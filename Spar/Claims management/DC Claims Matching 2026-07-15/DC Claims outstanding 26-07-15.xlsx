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gstim\.openclaw\workspace\Spar\Claims management\DC Claims Matching 2026-07-15\"/>
    </mc:Choice>
  </mc:AlternateContent>
  <xr:revisionPtr revIDLastSave="0" documentId="13_ncr:1_{8A464043-DE86-4F6A-B0B8-802FE1A37479}" xr6:coauthVersionLast="47" xr6:coauthVersionMax="47" xr10:uidLastSave="{00000000-0000-0000-0000-000000000000}"/>
  <bookViews>
    <workbookView xWindow="-110" yWindow="-110" windowWidth="19420" windowHeight="10300" activeTab="1" xr2:uid="{07C47CFD-61A5-4BC0-BE28-2B828F8C8409}"/>
  </bookViews>
  <sheets>
    <sheet name="Outstanding open claims" sheetId="7" r:id="rId1"/>
    <sheet name="Outstanding claims 2026-07-15" sheetId="6" r:id="rId2"/>
  </sheets>
  <externalReferences>
    <externalReference r:id="rId3"/>
  </externalReferences>
  <definedNames>
    <definedName name="_xlnm._FilterDatabase" localSheetId="1" hidden="1">'Outstanding claims 2026-07-15'!$A$3:$F$170</definedName>
    <definedName name="ALL_DC_STATEMENTS">[1]!SPAR_DC_STATEMENTS5[#All]</definedName>
    <definedName name="_xlnm.Print_Titles" localSheetId="1">'Outstanding claims 2026-07-15'!$2:$3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69" i="7" l="1"/>
  <c r="B2" i="6"/>
  <c r="E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E02102-4994-413B-AE57-CD9EAA8C39A4}" keepAlive="1" name="Query - ALL_DC_STATEMENTS" description="Connection to the 'ALL_DC_STATEMENTS' query in the workbook." type="5" refreshedVersion="0" background="1">
    <dbPr connection="Provider=Microsoft.Mashup.OleDb.1;Data Source=$Workbook$;Location=ALL_DC_STATEMENTS;Extended Properties=&quot;&quot;" command="SELECT * FROM [ALL_DC_STATEMENTS]"/>
  </connection>
  <connection id="2" xr16:uid="{64EC96D3-5682-484D-BD0F-F60BDDF36250}" keepAlive="1" name="Query - ALL_DC_STATEMENTS (2)" description="Connection to the 'ALL_DC_STATEMENTS (2)' query in the workbook." type="5" refreshedVersion="0" background="1">
    <dbPr connection="Provider=Microsoft.Mashup.OleDb.1;Data Source=$Workbook$;Location=&quot;ALL_DC_STATEMENTS (2)&quot;;Extended Properties=&quot;&quot;" command="SELECT * FROM [ALL_DC_STATEMENTS (2)]"/>
  </connection>
  <connection id="3" xr16:uid="{423502CA-06EC-4959-B696-5323E118B567}" keepAlive="1" name="Query - CLAIMS CLOSED" description="Connection to the 'CLAIMS CLOSED' query in the workbook." type="5" refreshedVersion="0" background="1">
    <dbPr connection="Provider=Microsoft.Mashup.OleDb.1;Data Source=$Workbook$;Location=&quot;CLAIMS CLOSED&quot;;Extended Properties=&quot;&quot;" command="SELECT * FROM [CLAIMS CLOSED]"/>
  </connection>
  <connection id="4" xr16:uid="{C1CA8CBB-D5AF-482A-B74A-5988ECDF7D6F}" keepAlive="1" name="Query - CLAIMS CLOSED (2)" description="Connection to the 'CLAIMS CLOSED (2)' query in the workbook." type="5" refreshedVersion="0" background="1">
    <dbPr connection="Provider=Microsoft.Mashup.OleDb.1;Data Source=$Workbook$;Location=&quot;CLAIMS CLOSED (2)&quot;;Extended Properties=&quot;&quot;" command="SELECT * FROM [CLAIMS CLOSED (2)]"/>
  </connection>
  <connection id="5" xr16:uid="{910ED6CB-4E21-48DC-B70D-5A05E45033B3}" keepAlive="1" name="Query - Matched_claims" description="Connection to the 'Matched_claims' query in the workbook." type="5" refreshedVersion="8" background="1" saveData="1">
    <dbPr connection="Provider=Microsoft.Mashup.OleDb.1;Data Source=$Workbook$;Location=Matched_claims;Extended Properties=&quot;&quot;" command="SELECT * FROM [Matched_claims]"/>
  </connection>
  <connection id="6" xr16:uid="{90FF8C56-0A0B-433C-8D2E-09FC99D912B7}" keepAlive="1" name="Query - NEW_PAID_CLAIMS" description="Connection to the 'NEW_PAID_CLAIMS' query in the workbook." type="5" refreshedVersion="0" background="1">
    <dbPr connection="Provider=Microsoft.Mashup.OleDb.1;Data Source=$Workbook$;Location=NEW_PAID_CLAIMS;Extended Properties=&quot;&quot;" command="SELECT * FROM [NEW_PAID_CLAIMS]"/>
  </connection>
  <connection id="7" xr16:uid="{EF73549A-C131-4A6D-8A06-9F7A57DF26E5}" keepAlive="1" name="Query - NEW_PAID_CLAIMS (2)" description="Connection to the 'NEW_PAID_CLAIMS (2)' query in the workbook." type="5" refreshedVersion="0" background="1">
    <dbPr connection="Provider=Microsoft.Mashup.OleDb.1;Data Source=$Workbook$;Location=&quot;NEW_PAID_CLAIMS (2)&quot;;Extended Properties=&quot;&quot;" command="SELECT * FROM [NEW_PAID_CLAIMS (2)]"/>
  </connection>
  <connection id="8" xr16:uid="{A043208E-ACA7-4DBD-8DCB-C7DFEDC57385}" keepAlive="1" name="Query - Outstanding claims remaining" description="Connection to the 'Outstanding claims remaining' query in the workbook." type="5" refreshedVersion="8" background="1" saveData="1">
    <dbPr connection="Provider=Microsoft.Mashup.OleDb.1;Data Source=$Workbook$;Location=&quot;Outstanding claims remaining&quot;;Extended Properties=&quot;&quot;" command="SELECT * FROM [Outstanding claims remaining]"/>
  </connection>
  <connection id="9" xr16:uid="{910546A4-2D8E-4F3D-8D87-9A3789D3610C}" keepAlive="1" name="Query - Outstanding claims remaining (2)" description="Connection to the 'Outstanding claims remaining (2)' query in the workbook." type="5" refreshedVersion="8" background="1" saveData="1">
    <dbPr connection="Provider=Microsoft.Mashup.OleDb.1;Data Source=$Workbook$;Location=&quot;Outstanding claims remaining (2)&quot;;Extended Properties=&quot;&quot;" command="SELECT * FROM [Outstanding claims remaining (2)]"/>
  </connection>
  <connection id="10" xr16:uid="{2ADC74E6-4E84-4CED-98BC-941C26AF2360}" keepAlive="1" name="Query - Outstanding open claims" description="Connection to the 'Outstanding open claims' query in the workbook." type="5" refreshedVersion="8" background="1" saveData="1">
    <dbPr connection="Provider=Microsoft.Mashup.OleDb.1;Data Source=$Workbook$;Location=&quot;Outstanding open claims&quot;;Extended Properties=&quot;&quot;" command="SELECT * FROM [Outstanding open claims]"/>
  </connection>
  <connection id="11" xr16:uid="{CB1B6F9E-5773-43BE-ABF3-635F52F5E9CF}" keepAlive="1" name="Query - Outstanding open claims (2)" description="Connection to the 'Outstanding open claims (2)' query in the workbook." type="5" refreshedVersion="8" background="1" saveData="1">
    <dbPr connection="Provider=Microsoft.Mashup.OleDb.1;Data Source=$Workbook$;Location=&quot;Outstanding open claims (2)&quot;;Extended Properties=&quot;&quot;" command="SELECT * FROM [Outstanding open claims (2)]"/>
  </connection>
  <connection id="12" xr16:uid="{93B418FC-6D15-4D0C-9A88-68EAF6C31525}" keepAlive="1" name="Query - Outstanding_claims" description="Connection to the 'Outstanding_claims' query in the workbook." type="5" refreshedVersion="8" background="1" saveData="1">
    <dbPr connection="Provider=Microsoft.Mashup.OleDb.1;Data Source=$Workbook$;Location=Outstanding_claims;Extended Properties=&quot;&quot;" command="SELECT * FROM [Outstanding_claims]"/>
  </connection>
  <connection id="13" xr16:uid="{C47CA9F3-906A-420F-8DDA-CD1D1A2FD178}" keepAlive="1" name="Query - OUTSTANDING_CLAIMS (2)" description="Connection to the 'OUTSTANDING_CLAIMS (2)' query in the workbook." type="5" refreshedVersion="0" background="1">
    <dbPr connection="Provider=Microsoft.Mashup.OleDb.1;Data Source=$Workbook$;Location=&quot;OUTSTANDING_CLAIMS (2)&quot;;Extended Properties=&quot;&quot;" command="SELECT * FROM [OUTSTANDING_CLAIMS (2)]"/>
  </connection>
  <connection id="14" xr16:uid="{2CE79128-9BAA-4FA1-BE52-883E9884CC64}" keepAlive="1" name="Query - OUTSTANDING_CLAIMS (3)" description="Connection to the 'OUTSTANDING_CLAIMS (3)' query in the workbook." type="5" refreshedVersion="0" background="1">
    <dbPr connection="Provider=Microsoft.Mashup.OleDb.1;Data Source=$Workbook$;Location=&quot;OUTSTANDING_CLAIMS (3)&quot;;Extended Properties=&quot;&quot;" command="SELECT * FROM [OUTSTANDING_CLAIMS (3)]"/>
  </connection>
  <connection id="15" xr16:uid="{0D1011CE-43ED-42E8-8AEA-19D7963672D7}" keepAlive="1" name="Query - OUTSTANDING_CLAIMS_REMAINING" description="Connection to the 'OUTSTANDING_CLAIMS_REMAINING' query in the workbook." type="5" refreshedVersion="0" background="1">
    <dbPr connection="Provider=Microsoft.Mashup.OleDb.1;Data Source=$Workbook$;Location=OUTSTANDING_CLAIMS_REMAINING;Extended Properties=&quot;&quot;" command="SELECT * FROM [OUTSTANDING_CLAIMS_REMAINING]"/>
  </connection>
  <connection id="16" xr16:uid="{4249E714-E84E-45C8-A08A-24922DE827AC}" keepAlive="1" name="Query - OUTSTANDING_CLAIMS_REMAINING (2)" description="Connection to the 'OUTSTANDING_CLAIMS_REMAINING (2)' query in the workbook." type="5" refreshedVersion="0" background="1">
    <dbPr connection="Provider=Microsoft.Mashup.OleDb.1;Data Source=$Workbook$;Location=&quot;OUTSTANDING_CLAIMS_REMAINING (2)&quot;;Extended Properties=&quot;&quot;" command="SELECT * FROM [OUTSTANDING_CLAIMS_REMAINING (2)]"/>
  </connection>
</connections>
</file>

<file path=xl/sharedStrings.xml><?xml version="1.0" encoding="utf-8"?>
<sst xmlns="http://schemas.openxmlformats.org/spreadsheetml/2006/main" count="683" uniqueCount="178">
  <si>
    <t>Claim date</t>
  </si>
  <si>
    <t>Claim No</t>
  </si>
  <si>
    <t>Item name for claim</t>
  </si>
  <si>
    <t>GRN</t>
  </si>
  <si>
    <t>Claim Value</t>
  </si>
  <si>
    <t>Reason for claim</t>
  </si>
  <si>
    <t>H/KEN CRATES 660ML</t>
  </si>
  <si>
    <t>WRONG GOODS RECEIVED</t>
  </si>
  <si>
    <t>DISTELL CRATES</t>
  </si>
  <si>
    <t>H/KEN CRATES</t>
  </si>
  <si>
    <t>H/KEN QRT CRATES 660ML</t>
  </si>
  <si>
    <t>SPAR VIENNAS CHICK&amp;CHEESE 500GR</t>
  </si>
  <si>
    <t>DONATION</t>
  </si>
  <si>
    <t xml:space="preserve">BLACK FRIDAY PROMO </t>
  </si>
  <si>
    <t>BLACK FRIDAY PRO OVER STOCK</t>
  </si>
  <si>
    <t>BACK TO SCHOOL RETURNS</t>
  </si>
  <si>
    <t>BACK TO SCHOOL</t>
  </si>
  <si>
    <t>LAMB GRADE A2</t>
  </si>
  <si>
    <t>INCORRECT PRICE</t>
  </si>
  <si>
    <t>CHEP LUGS</t>
  </si>
  <si>
    <t>PROMO OVERSTOCK</t>
  </si>
  <si>
    <t xml:space="preserve"> BAVARIA MALT NRB 340ML /FITS&amp;LEEDS TONIC PINK 1LT</t>
  </si>
  <si>
    <t>NOT ORDERED</t>
  </si>
  <si>
    <t>SAVEMOR DOGFOOD BEEF/CHICK/LAMB</t>
  </si>
  <si>
    <t>ROLLTAINERS</t>
  </si>
  <si>
    <t>SPAR SUGAR WHT 1KG</t>
  </si>
  <si>
    <t>ITAL PIZZAS ASST.</t>
  </si>
  <si>
    <t>SUNSHINE D BRICK 500G/SPAR YOG ASST 1KG</t>
  </si>
  <si>
    <t>PROMOTION CANCELLED STOCK</t>
  </si>
  <si>
    <t>L/WOOD YOG 1KG L/FREE</t>
  </si>
  <si>
    <t>ORAL B T/B ASST.</t>
  </si>
  <si>
    <t>OROS SQUISH ORRANGE 2LT</t>
  </si>
  <si>
    <t>OROS 2LT ASST.</t>
  </si>
  <si>
    <t>DURBANVILLE HILLS 750ML ASST.</t>
  </si>
  <si>
    <t>PRINGLES ASST 40GR</t>
  </si>
  <si>
    <t>SPAR CC STRIPS 1KG</t>
  </si>
  <si>
    <t>RECALL</t>
  </si>
  <si>
    <t>INFACARE 2 CARTON</t>
  </si>
  <si>
    <t>DC RELATED TRUCK DAMAGE</t>
  </si>
  <si>
    <t>ASST. DETTOL SOAP 175G</t>
  </si>
  <si>
    <t>CANCELLED STOCK</t>
  </si>
  <si>
    <t>TASTIC RICE PARBOILED 2KG</t>
  </si>
  <si>
    <t>WRONG PIC</t>
  </si>
  <si>
    <t xml:space="preserve">TASTIC 10KG </t>
  </si>
  <si>
    <t>SNF N PRETTY HAIRFOOD K 125GR.</t>
  </si>
  <si>
    <t>INCORRECTLY ORDERED</t>
  </si>
  <si>
    <t>SPAR SUPER MAIZE MEAL 2.5KG /NESCAFE CLASSIC 200GR</t>
  </si>
  <si>
    <t>CREDIT VOUCHER /SHORT DELIVERY</t>
  </si>
  <si>
    <t>FITCH &amp; LEED TONIC PINK 1LT</t>
  </si>
  <si>
    <t>SPEKKO  5KG</t>
  </si>
  <si>
    <t>TASTIC WHITE RICE 2KG LONGRAIN</t>
  </si>
  <si>
    <t>NESCAFE S/M COFF 400G</t>
  </si>
  <si>
    <t xml:space="preserve">KRONE BORLALIS </t>
  </si>
  <si>
    <t>SHORT DELIVERY</t>
  </si>
  <si>
    <t>BAKERS S/BASE CHD S/B BBQ</t>
  </si>
  <si>
    <t>PARMELAT/LACTALIS</t>
  </si>
  <si>
    <t>EXPIRED STOCK</t>
  </si>
  <si>
    <t>TWO OCEANS SAUV BLNC 3LT</t>
  </si>
  <si>
    <t>SPAR CHIPS TOMATO 120G /NESCAFE CLASSIC 200G</t>
  </si>
  <si>
    <t>DU TIOTSKLOOF SAUV BLANC 750ML /CARIBBEAN TWIST P/APPLE 440ML</t>
  </si>
  <si>
    <t>SPEKKO RICE 1KG BROWN</t>
  </si>
  <si>
    <t>F/PRODUCE DATES MEDJOOL P/KG</t>
  </si>
  <si>
    <t>HULLETS SUGAR WHT 2.5KG</t>
  </si>
  <si>
    <t>PRICE DIFFERENCE</t>
  </si>
  <si>
    <t>SPAR WHITE BREAD MIX 12.5KG</t>
  </si>
  <si>
    <t>E/BROWN COFF CREAMER 750G</t>
  </si>
  <si>
    <t>BAKERS PROVITA ANCIENT 500GR</t>
  </si>
  <si>
    <t>PARMELAT</t>
  </si>
  <si>
    <t>NAMAQUA EXTRA LIGHT 5LT</t>
  </si>
  <si>
    <t>SPAR COLA CSD 3LT</t>
  </si>
  <si>
    <t>4TH STREET NAT SWEET ROSE 5L</t>
  </si>
  <si>
    <t>SPAR CASTOR SUGAR 500G</t>
  </si>
  <si>
    <t>IMPORTERS FIL MOCHA JAVA 500GR</t>
  </si>
  <si>
    <t>NIVEA R/ON WOMEN PEARL 50ML  /P/HAPPINESS SPRY FST LOVE 90ML</t>
  </si>
  <si>
    <t>NEDERBURG PINOTAGE 750ML</t>
  </si>
  <si>
    <t>LUX SOAP TWIGHLIGHT</t>
  </si>
  <si>
    <t>SPAR YB CHICK BRAAIPACK / WINGS</t>
  </si>
  <si>
    <t>REDBULL E/DRINK  355ML  / SPAR GRANIDILLA 2LT</t>
  </si>
  <si>
    <t>SUNLIGHT AUTO LIQ 1.5LT</t>
  </si>
  <si>
    <t>FOUR COUSINS DRY RED 3LT</t>
  </si>
  <si>
    <t>SAVEMOR TOM&amp;ONION RELISH 410G</t>
  </si>
  <si>
    <t>SPAR COUNTRY MIX FROZEN 1KG</t>
  </si>
  <si>
    <t>BARCARDI W/MELON CAN 440 ML</t>
  </si>
  <si>
    <t>VICKS VAPORUB DISPENSER 10GR</t>
  </si>
  <si>
    <t>DAIRY PRODUCTS</t>
  </si>
  <si>
    <t>SHORT DATED</t>
  </si>
  <si>
    <t>SAVEMOR LEMON CREAMS150GR /SPAR CORNED MEAT 300GR</t>
  </si>
  <si>
    <t>CREDIT VOUCHER</t>
  </si>
  <si>
    <t>BENNY SEASONING</t>
  </si>
  <si>
    <t>EEZEE NOODLE BOEREWORS 5's</t>
  </si>
  <si>
    <t>SBK MIX COASTAL SCONE 12.5K</t>
  </si>
  <si>
    <t>ROBERTSON J/BURGER 3LT.</t>
  </si>
  <si>
    <t>SUNLIGHT REG.2KG</t>
  </si>
  <si>
    <t>SPAR JUMBLE OF JELLIES 400GR.</t>
  </si>
  <si>
    <t>DOOM CITRUS / SUPER 300ML</t>
  </si>
  <si>
    <t>BOSVELD FIRELIGHTERS</t>
  </si>
  <si>
    <t>SPIER SIGNATURE RED 750ML.</t>
  </si>
  <si>
    <t>F/L CARMAEL CUCAKES/VANILLA CUPCAKES 6's</t>
  </si>
  <si>
    <t>HI BABY WET WIPES 72's</t>
  </si>
  <si>
    <t>M/FAIR GIN&amp;DRY LEMON</t>
  </si>
  <si>
    <t>GRANDPA POWER 1'S</t>
  </si>
  <si>
    <t>SPAR SERVIETTES PRINTED</t>
  </si>
  <si>
    <t>C/VALUE POTATOES 1KG/F/L LETTUCE P/P</t>
  </si>
  <si>
    <t>BAKERS SALTICRAX BLCK PEPP 200GR</t>
  </si>
  <si>
    <t>BIG CRISTAL MED ASST. 1's</t>
  </si>
  <si>
    <t>PARMALAT CROWTH MILK 1+</t>
  </si>
  <si>
    <t>REDBULL ENERGY DRINK 473ML</t>
  </si>
  <si>
    <t>HIMALYA CREAM BRIGHT VC/OR 50G</t>
  </si>
  <si>
    <t>PROTEX SOAP 175G HERBAL/M/PLUS</t>
  </si>
  <si>
    <t>L/STAR PILCHARDS TOMATO 400GR</t>
  </si>
  <si>
    <t>SPAR TOMATO SAUCE 700ML</t>
  </si>
  <si>
    <t>savemor rice</t>
  </si>
  <si>
    <t>SPAR F/F RAISENS SALTED 250GR.</t>
  </si>
  <si>
    <t>BIOZEST CONC.LEMONADE 1LT</t>
  </si>
  <si>
    <t>AQUELLE P/APPLE SPARKLING 500ML/ENERGADE ZERO B/BERRY 500ML</t>
  </si>
  <si>
    <t>SPAR CHIPS 100GR ORIGINAL</t>
  </si>
  <si>
    <t>SPAR SAMP 1KG</t>
  </si>
  <si>
    <t>SPAR POLONY FRENCH 2KG</t>
  </si>
  <si>
    <t>KELLOGS NOODLES DURBAN CURRY 6's /SPAR SWEET CHILLI SAUCE 700ML</t>
  </si>
  <si>
    <t>SHORT DELIVERY  / CREDIT VOUCHER</t>
  </si>
  <si>
    <t>ROBERTSON CHAPEL 750ML</t>
  </si>
  <si>
    <t>SPAR H/C D/WASH REF</t>
  </si>
  <si>
    <t>ORIGINAL ICED MARGARITA 300ML</t>
  </si>
  <si>
    <t>H/B CAKE CUSTARD 7'inch</t>
  </si>
  <si>
    <t>SAVEMOR RICE 2KG</t>
  </si>
  <si>
    <t xml:space="preserve"> NESCAFE RICOFFEE 3IN1  10's </t>
  </si>
  <si>
    <t>KOO CHAKALAKA EXTRA HOT 410GR</t>
  </si>
  <si>
    <t>SHIELD AERO FW CLASSIC 150ML</t>
  </si>
  <si>
    <t>F/L BREAD GARLIC MINI 6's</t>
  </si>
  <si>
    <t>SPAR SUGAR 2.2KG</t>
  </si>
  <si>
    <t>SPAR INSTANT MAIZE VANILLA 1KG</t>
  </si>
  <si>
    <t>IMBO SAGO 500GR</t>
  </si>
  <si>
    <t>IMBO SPEC BEANS 500G</t>
  </si>
  <si>
    <t>SPAR CASHIER COMPETITION</t>
  </si>
  <si>
    <t>CASHIER COMPETITION</t>
  </si>
  <si>
    <t>STATUS DEO RESPECT 130ML</t>
  </si>
  <si>
    <t>SPAR ORAL PRO M/WASH B/MINT 250ML</t>
  </si>
  <si>
    <t>SPAR YOG L/F WILDBERRY 1KG</t>
  </si>
  <si>
    <t>CARE N/POLSH REM NARISH 100ML</t>
  </si>
  <si>
    <t>SPAR JUICE RED GRAPE 200ML</t>
  </si>
  <si>
    <t>SPAR CHIPS SMOKE BEEF 120GR</t>
  </si>
  <si>
    <t>SPAR SELFRAISING FLOUR 1KG</t>
  </si>
  <si>
    <t>S/B ROLL H/DOG 3's BRIOCH</t>
  </si>
  <si>
    <t>BOSVELD KAMEELDORING</t>
  </si>
  <si>
    <t>SAVEMOR VINEGAR 750ML</t>
  </si>
  <si>
    <t>TASTIC 10KG</t>
  </si>
  <si>
    <t>SPAR CAT LITTER 10KG</t>
  </si>
  <si>
    <t>SPAR SPRING WATER 500ML</t>
  </si>
  <si>
    <t>SAVEMOR DOGFOOD BEEF 8KG</t>
  </si>
  <si>
    <t>SAVEMOR OIL COOKING 750ML</t>
  </si>
  <si>
    <t>HOOCH BLK CURRENT BLAST 440ML CAN</t>
  </si>
  <si>
    <t>SPAR SWEET &amp; SOUR GHERKINS 780GR</t>
  </si>
  <si>
    <t>AQUELLE LEMON 1.5LT</t>
  </si>
  <si>
    <t>W/STAR M/MEAL SUP 10KG</t>
  </si>
  <si>
    <t>SPAR MILK 1LT UHT FAT FREE</t>
  </si>
  <si>
    <t>ORGANICS CONDITIONER SILKY 1LT</t>
  </si>
  <si>
    <t>OLD SPICE DEO WHITE WATER 150ML</t>
  </si>
  <si>
    <t>SPAR YOG DBL/CREAM 150G</t>
  </si>
  <si>
    <t>SPAR SODA WATER 2LT</t>
  </si>
  <si>
    <t>SNOWFLAKE S/RAISING FLOUR 1KG</t>
  </si>
  <si>
    <t>VASELINE CRM MEN SMOOTHING GEL 400ML</t>
  </si>
  <si>
    <t>SPAR FIREWOOD</t>
  </si>
  <si>
    <t>SPAR CSD 330ML COLA</t>
  </si>
  <si>
    <t>SPAR BEETROOT SLICED 780G</t>
  </si>
  <si>
    <t>F/L BABY POTATOES 1KG</t>
  </si>
  <si>
    <t>LIPTON ICE TEA PEACH 1.5ML</t>
  </si>
  <si>
    <t>PAMPERS CHUNKY CHIC &amp; LAMB 400GR</t>
  </si>
  <si>
    <t>GLADE TRIGGER 400ML AQUA</t>
  </si>
  <si>
    <t>GLADE TRIGGER 400ML</t>
  </si>
  <si>
    <t>MIAMI GHERKINS C/TAIL SWEET&amp;SOUR 265G</t>
  </si>
  <si>
    <t>SUNLIGHT  H/WASH 250G</t>
  </si>
  <si>
    <t>SPAR CSD LEMONADE 2LT</t>
  </si>
  <si>
    <t>Claims outstanding</t>
  </si>
  <si>
    <t>Value outstanding</t>
  </si>
  <si>
    <t>Outstanding Claims - SPAR and TOPS</t>
  </si>
  <si>
    <t>AQUELLE WATER</t>
  </si>
  <si>
    <t>H/KEN QRT CRATES 660 ML</t>
  </si>
  <si>
    <t>F/L LETTUCE CRISP HRT P/P 300GR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</si>
</sst>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4" fontId="0" fillId="0" borderId="0" xfId="0" applyNumberFormat="1"/>
    <xf numFmtId="14" fontId="0" fillId="0" borderId="1" xfId="0" applyNumberFormat="1" applyBorder="1"/>
    <xf numFmtId="0" fontId="0" fillId="0" borderId="1" xfId="0" applyBorder="1"/>
    <xf numFmtId="4" fontId="0" fillId="0" borderId="1" xfId="0" applyNumberFormat="1" applyBorder="1"/>
    <xf numFmtId="0" fontId="0" fillId="3" borderId="0" xfId="0" applyFill="1"/>
    <xf numFmtId="14" fontId="1" fillId="2" borderId="1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4" fontId="1" fillId="2" borderId="1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0" fillId="5" borderId="3" xfId="0" applyFont="1" applyFill="1" applyBorder="1"/>
    <xf numFmtId="0" fontId="0" fillId="5" borderId="4" xfId="0" applyFont="1" applyFill="1" applyBorder="1"/>
    <xf numFmtId="0" fontId="1" fillId="4" borderId="5" xfId="0" applyFont="1" applyFill="1" applyBorder="1"/>
    <xf numFmtId="0" fontId="1" fillId="4" borderId="6" xfId="0" applyFont="1" applyFill="1" applyBorder="1"/>
    <xf numFmtId="0" fontId="1" fillId="4" borderId="7" xfId="0" applyFont="1" applyFill="1" applyBorder="1"/>
    <xf numFmtId="22" fontId="0" fillId="5" borderId="5" xfId="0" applyNumberFormat="1" applyFont="1" applyFill="1" applyBorder="1"/>
    <xf numFmtId="0" fontId="0" fillId="5" borderId="6" xfId="0" applyFont="1" applyFill="1" applyBorder="1"/>
    <xf numFmtId="0" fontId="0" fillId="5" borderId="7" xfId="0" applyFont="1" applyFill="1" applyBorder="1"/>
    <xf numFmtId="22" fontId="0" fillId="0" borderId="5" xfId="0" applyNumberFormat="1" applyFont="1" applyBorder="1"/>
    <xf numFmtId="0" fontId="0" fillId="0" borderId="6" xfId="0" applyFont="1" applyBorder="1"/>
    <xf numFmtId="0" fontId="0" fillId="0" borderId="7" xfId="0" applyFont="1" applyBorder="1"/>
    <xf numFmtId="22" fontId="0" fillId="5" borderId="2" xfId="0" applyNumberFormat="1" applyFont="1" applyFill="1" applyBorder="1"/>
    <xf numFmtId="14" fontId="0" fillId="0" borderId="1" xfId="0" applyNumberFormat="1" applyFont="1" applyBorder="1"/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4" fontId="0" fillId="0" borderId="1" xfId="0" applyNumberFormat="1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C%20Claims%20Matching%202026-07-13/Claims%20Analysis%20-%20Tops%20and%20Spar%20-%202026-07-13.xlsm" TargetMode="External"/><Relationship Id="rId2" Type="http://schemas.openxmlformats.org/officeDocument/2006/relationships/externalLinkPath" Target="file:///C:\Users\gstim\.openclaw\workspace\Spar\Claims%20management\DC%20Claims%20Matching%202026-07-13\Claims%20Analysis%20-%20Tops%20and%20Spar%20-%202026-07-13.xlsm" TargetMode="External"/><Relationship Id="rId1" Type="http://schemas.openxmlformats.org/officeDocument/2006/relationships/externalLinkPath" Target="/Users/gstim/.openclaw/workspace/Spar/Claims%20management/DC%20Claims%20Matching%202026-07-13/Claims%20Analysis%20-%20Tops%20and%20Spar%20-%202026-07-13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PS_DC_STATEMENTS"/>
      <sheetName val="TOPS DC Statements"/>
      <sheetName val="SPAR DC Statements"/>
      <sheetName val="ALL_DC_STATEMENTS"/>
      <sheetName val="ALL DC STATEMENTS"/>
      <sheetName val="NEW_PAID_CLAIMS"/>
      <sheetName val="OUTSTANDING_CLAIMS_REMAINING"/>
      <sheetName val="Claims Closed"/>
      <sheetName val="Claims Status"/>
      <sheetName val="OUTSTANDING_CLAIMS"/>
      <sheetName val="Outstanding claims 2026-07-13"/>
      <sheetName val="Sheet2"/>
      <sheetName val="Sheet1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509D2-7F30-4C68-8A12-A1C7C0B20651}">
  <dimension ref="A1:F169"/>
  <sheetViews>
    <sheetView topLeftCell="A152" workbookViewId="0">
      <selection activeCell="E170" sqref="E170"/>
    </sheetView>
  </sheetViews>
  <sheetFormatPr defaultRowHeight="14.5" x14ac:dyDescent="0.35"/>
  <cols>
    <col min="1" max="1" width="15.08984375" bestFit="1" customWidth="1"/>
    <col min="2" max="2" width="10.7265625" bestFit="1" customWidth="1"/>
    <col min="3" max="3" width="62.7265625" bestFit="1" customWidth="1"/>
    <col min="4" max="4" width="6.81640625" bestFit="1" customWidth="1"/>
    <col min="5" max="5" width="13.1796875" bestFit="1" customWidth="1"/>
    <col min="6" max="6" width="31.54296875" bestFit="1" customWidth="1"/>
    <col min="7" max="7" width="13.7265625" bestFit="1" customWidth="1"/>
    <col min="8" max="8" width="12.26953125" bestFit="1" customWidth="1"/>
    <col min="9" max="9" width="21.453125" bestFit="1" customWidth="1"/>
    <col min="10" max="10" width="8.36328125" bestFit="1" customWidth="1"/>
    <col min="11" max="11" width="14.7265625" bestFit="1" customWidth="1"/>
    <col min="12" max="12" width="18.6328125" bestFit="1" customWidth="1"/>
  </cols>
  <sheetData>
    <row r="1" spans="1:6" x14ac:dyDescent="0.35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20" t="s">
        <v>5</v>
      </c>
    </row>
    <row r="2" spans="1:6" x14ac:dyDescent="0.35">
      <c r="A2" s="21">
        <v>45701</v>
      </c>
      <c r="B2" s="22">
        <v>548982</v>
      </c>
      <c r="C2" s="22" t="s">
        <v>141</v>
      </c>
      <c r="D2" s="22"/>
      <c r="E2" s="22">
        <v>164.19</v>
      </c>
      <c r="F2" s="23" t="s">
        <v>53</v>
      </c>
    </row>
    <row r="3" spans="1:6" x14ac:dyDescent="0.35">
      <c r="A3" s="24">
        <v>45734</v>
      </c>
      <c r="B3" s="25">
        <v>551058</v>
      </c>
      <c r="C3" s="25" t="s">
        <v>171</v>
      </c>
      <c r="D3" s="25"/>
      <c r="E3" s="25">
        <v>10.81</v>
      </c>
      <c r="F3" s="26" t="s">
        <v>87</v>
      </c>
    </row>
    <row r="4" spans="1:6" x14ac:dyDescent="0.35">
      <c r="A4" s="21">
        <v>45722</v>
      </c>
      <c r="B4" s="22">
        <v>551120</v>
      </c>
      <c r="C4" s="22" t="s">
        <v>8</v>
      </c>
      <c r="D4" s="22">
        <v>676321</v>
      </c>
      <c r="E4" s="22">
        <v>14</v>
      </c>
      <c r="F4" s="23" t="s">
        <v>8</v>
      </c>
    </row>
    <row r="5" spans="1:6" x14ac:dyDescent="0.35">
      <c r="A5" s="24">
        <v>45764</v>
      </c>
      <c r="B5" s="25">
        <v>579176</v>
      </c>
      <c r="C5" s="25" t="s">
        <v>93</v>
      </c>
      <c r="D5" s="25"/>
      <c r="E5" s="25">
        <v>472.77</v>
      </c>
      <c r="F5" s="26" t="s">
        <v>36</v>
      </c>
    </row>
    <row r="6" spans="1:6" x14ac:dyDescent="0.35">
      <c r="A6" s="21">
        <v>45799</v>
      </c>
      <c r="B6" s="22">
        <v>598907</v>
      </c>
      <c r="C6" s="22" t="s">
        <v>133</v>
      </c>
      <c r="D6" s="22"/>
      <c r="E6" s="22">
        <v>202.95</v>
      </c>
      <c r="F6" s="23" t="s">
        <v>134</v>
      </c>
    </row>
    <row r="7" spans="1:6" x14ac:dyDescent="0.35">
      <c r="A7" s="24">
        <v>45803</v>
      </c>
      <c r="B7" s="25">
        <v>598914</v>
      </c>
      <c r="C7" s="25" t="s">
        <v>84</v>
      </c>
      <c r="D7" s="25"/>
      <c r="E7" s="25">
        <v>514.22</v>
      </c>
      <c r="F7" s="26" t="s">
        <v>85</v>
      </c>
    </row>
    <row r="8" spans="1:6" x14ac:dyDescent="0.35">
      <c r="A8" s="21">
        <v>45824</v>
      </c>
      <c r="B8" s="22">
        <v>598953</v>
      </c>
      <c r="C8" s="22" t="s">
        <v>149</v>
      </c>
      <c r="D8" s="22"/>
      <c r="E8" s="22">
        <v>110.08</v>
      </c>
      <c r="F8" s="23" t="s">
        <v>63</v>
      </c>
    </row>
    <row r="9" spans="1:6" x14ac:dyDescent="0.35">
      <c r="A9" s="24">
        <v>45824</v>
      </c>
      <c r="B9" s="25">
        <v>598954</v>
      </c>
      <c r="C9" s="25" t="s">
        <v>62</v>
      </c>
      <c r="D9" s="25"/>
      <c r="E9" s="25">
        <v>769.35</v>
      </c>
      <c r="F9" s="26" t="s">
        <v>63</v>
      </c>
    </row>
    <row r="10" spans="1:6" x14ac:dyDescent="0.35">
      <c r="A10" s="21">
        <v>45824</v>
      </c>
      <c r="B10" s="22">
        <v>598955</v>
      </c>
      <c r="C10" s="22" t="s">
        <v>55</v>
      </c>
      <c r="D10" s="22"/>
      <c r="E10" s="22">
        <v>330.6</v>
      </c>
      <c r="F10" s="23" t="s">
        <v>56</v>
      </c>
    </row>
    <row r="11" spans="1:6" x14ac:dyDescent="0.35">
      <c r="A11" s="24">
        <v>45836</v>
      </c>
      <c r="B11" s="25">
        <v>598984</v>
      </c>
      <c r="C11" s="25" t="s">
        <v>109</v>
      </c>
      <c r="D11" s="25"/>
      <c r="E11" s="25">
        <v>325.92</v>
      </c>
      <c r="F11" s="26" t="s">
        <v>53</v>
      </c>
    </row>
    <row r="12" spans="1:6" x14ac:dyDescent="0.35">
      <c r="A12" s="21">
        <v>45882</v>
      </c>
      <c r="B12" s="22">
        <v>630481</v>
      </c>
      <c r="C12" s="22" t="s">
        <v>61</v>
      </c>
      <c r="D12" s="22"/>
      <c r="E12" s="22">
        <v>824.52</v>
      </c>
      <c r="F12" s="23" t="s">
        <v>22</v>
      </c>
    </row>
    <row r="13" spans="1:6" x14ac:dyDescent="0.35">
      <c r="A13" s="24">
        <v>45890</v>
      </c>
      <c r="B13" s="25">
        <v>630498</v>
      </c>
      <c r="C13" s="25" t="s">
        <v>111</v>
      </c>
      <c r="D13" s="25"/>
      <c r="E13" s="25">
        <v>306.75</v>
      </c>
      <c r="F13" s="26" t="s">
        <v>53</v>
      </c>
    </row>
    <row r="14" spans="1:6" x14ac:dyDescent="0.35">
      <c r="A14" s="21">
        <v>45890</v>
      </c>
      <c r="B14" s="22">
        <v>630499</v>
      </c>
      <c r="C14" s="22" t="s">
        <v>175</v>
      </c>
      <c r="D14" s="22"/>
      <c r="E14" s="22">
        <v>9.3699999999999992</v>
      </c>
      <c r="F14" s="23" t="s">
        <v>53</v>
      </c>
    </row>
    <row r="15" spans="1:6" x14ac:dyDescent="0.35">
      <c r="A15" s="24">
        <v>45893</v>
      </c>
      <c r="B15" s="25">
        <v>644857</v>
      </c>
      <c r="C15" s="25" t="s">
        <v>147</v>
      </c>
      <c r="D15" s="25"/>
      <c r="E15" s="25">
        <v>122.39</v>
      </c>
      <c r="F15" s="26" t="s">
        <v>53</v>
      </c>
    </row>
    <row r="16" spans="1:6" x14ac:dyDescent="0.35">
      <c r="A16" s="21">
        <v>45893</v>
      </c>
      <c r="B16" s="22">
        <v>644858</v>
      </c>
      <c r="C16" s="22" t="s">
        <v>78</v>
      </c>
      <c r="D16" s="22"/>
      <c r="E16" s="22">
        <v>548.99</v>
      </c>
      <c r="F16" s="23" t="s">
        <v>7</v>
      </c>
    </row>
    <row r="17" spans="1:6" x14ac:dyDescent="0.35">
      <c r="A17" s="24">
        <v>45913</v>
      </c>
      <c r="B17" s="25">
        <v>644911</v>
      </c>
      <c r="C17" s="25" t="s">
        <v>46</v>
      </c>
      <c r="D17" s="25"/>
      <c r="E17" s="25">
        <v>1321.97</v>
      </c>
      <c r="F17" s="26" t="s">
        <v>47</v>
      </c>
    </row>
    <row r="18" spans="1:6" x14ac:dyDescent="0.35">
      <c r="A18" s="21">
        <v>45915</v>
      </c>
      <c r="B18" s="22">
        <v>644915</v>
      </c>
      <c r="C18" s="22" t="s">
        <v>23</v>
      </c>
      <c r="D18" s="22"/>
      <c r="E18" s="22">
        <v>8728.5</v>
      </c>
      <c r="F18" s="23" t="s">
        <v>12</v>
      </c>
    </row>
    <row r="19" spans="1:6" x14ac:dyDescent="0.35">
      <c r="A19" s="24">
        <v>45916</v>
      </c>
      <c r="B19" s="25">
        <v>644921</v>
      </c>
      <c r="C19" s="25" t="s">
        <v>165</v>
      </c>
      <c r="D19" s="25"/>
      <c r="E19" s="25">
        <v>49.15</v>
      </c>
      <c r="F19" s="26" t="s">
        <v>87</v>
      </c>
    </row>
    <row r="20" spans="1:6" x14ac:dyDescent="0.35">
      <c r="A20" s="21">
        <v>45958</v>
      </c>
      <c r="B20" s="22">
        <v>663156</v>
      </c>
      <c r="C20" s="22" t="s">
        <v>164</v>
      </c>
      <c r="D20" s="22"/>
      <c r="E20" s="22">
        <v>54.15</v>
      </c>
      <c r="F20" s="23" t="s">
        <v>53</v>
      </c>
    </row>
    <row r="21" spans="1:6" x14ac:dyDescent="0.35">
      <c r="A21" s="24">
        <v>663157</v>
      </c>
      <c r="B21" s="25">
        <v>663157</v>
      </c>
      <c r="C21" s="25" t="s">
        <v>51</v>
      </c>
      <c r="D21" s="25"/>
      <c r="E21" s="25">
        <v>1078.69</v>
      </c>
      <c r="F21" s="26" t="s">
        <v>7</v>
      </c>
    </row>
    <row r="22" spans="1:6" x14ac:dyDescent="0.35">
      <c r="A22" s="21">
        <v>45991</v>
      </c>
      <c r="B22" s="22">
        <v>663163</v>
      </c>
      <c r="C22" s="22" t="s">
        <v>125</v>
      </c>
      <c r="D22" s="22"/>
      <c r="E22" s="22">
        <v>248.09</v>
      </c>
      <c r="F22" s="23" t="s">
        <v>53</v>
      </c>
    </row>
    <row r="23" spans="1:6" x14ac:dyDescent="0.35">
      <c r="A23" s="24">
        <v>45962</v>
      </c>
      <c r="B23" s="25">
        <v>663169</v>
      </c>
      <c r="C23" s="25" t="s">
        <v>82</v>
      </c>
      <c r="D23" s="25"/>
      <c r="E23" s="25">
        <v>517.24</v>
      </c>
      <c r="F23" s="26" t="s">
        <v>53</v>
      </c>
    </row>
    <row r="24" spans="1:6" x14ac:dyDescent="0.35">
      <c r="A24" s="21">
        <v>45962</v>
      </c>
      <c r="B24" s="22">
        <v>663170</v>
      </c>
      <c r="C24" s="22" t="s">
        <v>156</v>
      </c>
      <c r="D24" s="22"/>
      <c r="E24" s="22">
        <v>74.22</v>
      </c>
      <c r="F24" s="23" t="s">
        <v>53</v>
      </c>
    </row>
    <row r="25" spans="1:6" x14ac:dyDescent="0.35">
      <c r="A25" s="24">
        <v>45967</v>
      </c>
      <c r="B25" s="25">
        <v>663180</v>
      </c>
      <c r="C25" s="25" t="s">
        <v>30</v>
      </c>
      <c r="D25" s="25">
        <v>693748</v>
      </c>
      <c r="E25" s="25">
        <v>2240.85</v>
      </c>
      <c r="F25" s="26" t="s">
        <v>22</v>
      </c>
    </row>
    <row r="26" spans="1:6" x14ac:dyDescent="0.35">
      <c r="A26" s="21">
        <v>45976</v>
      </c>
      <c r="B26" s="22">
        <v>663197</v>
      </c>
      <c r="C26" s="22" t="s">
        <v>157</v>
      </c>
      <c r="D26" s="22"/>
      <c r="E26" s="22">
        <v>70.349999999999994</v>
      </c>
      <c r="F26" s="23" t="s">
        <v>53</v>
      </c>
    </row>
    <row r="27" spans="1:6" x14ac:dyDescent="0.35">
      <c r="A27" s="24">
        <v>45953</v>
      </c>
      <c r="B27" s="25">
        <v>663238</v>
      </c>
      <c r="C27" s="25" t="s">
        <v>51</v>
      </c>
      <c r="D27" s="25"/>
      <c r="E27" s="25">
        <v>1078.69</v>
      </c>
      <c r="F27" s="26" t="s">
        <v>53</v>
      </c>
    </row>
    <row r="28" spans="1:6" x14ac:dyDescent="0.35">
      <c r="A28" s="21">
        <v>45955</v>
      </c>
      <c r="B28" s="22">
        <v>663243</v>
      </c>
      <c r="C28" s="22" t="s">
        <v>101</v>
      </c>
      <c r="D28" s="22">
        <v>693748</v>
      </c>
      <c r="E28" s="22">
        <v>382.18</v>
      </c>
      <c r="F28" s="23" t="s">
        <v>7</v>
      </c>
    </row>
    <row r="29" spans="1:6" x14ac:dyDescent="0.35">
      <c r="A29" s="24">
        <v>46030</v>
      </c>
      <c r="B29" s="25">
        <v>688663</v>
      </c>
      <c r="C29" s="25" t="s">
        <v>139</v>
      </c>
      <c r="D29" s="25">
        <v>656436</v>
      </c>
      <c r="E29" s="25">
        <v>171.67</v>
      </c>
      <c r="F29" s="26" t="s">
        <v>53</v>
      </c>
    </row>
    <row r="30" spans="1:6" x14ac:dyDescent="0.35">
      <c r="A30" s="21">
        <v>46030</v>
      </c>
      <c r="B30" s="22">
        <v>688664</v>
      </c>
      <c r="C30" s="22" t="s">
        <v>168</v>
      </c>
      <c r="D30" s="22">
        <v>656436</v>
      </c>
      <c r="E30" s="22">
        <v>40</v>
      </c>
      <c r="F30" s="23" t="s">
        <v>87</v>
      </c>
    </row>
    <row r="31" spans="1:6" x14ac:dyDescent="0.35">
      <c r="A31" s="24">
        <v>46035</v>
      </c>
      <c r="B31" s="25">
        <v>688672</v>
      </c>
      <c r="C31" s="25" t="s">
        <v>77</v>
      </c>
      <c r="D31" s="25"/>
      <c r="E31" s="25">
        <v>560.87</v>
      </c>
      <c r="F31" s="26" t="s">
        <v>119</v>
      </c>
    </row>
    <row r="32" spans="1:6" x14ac:dyDescent="0.35">
      <c r="A32" s="21">
        <v>46035</v>
      </c>
      <c r="B32" s="22">
        <v>688673</v>
      </c>
      <c r="C32" s="22" t="s">
        <v>118</v>
      </c>
      <c r="D32" s="22"/>
      <c r="E32" s="22">
        <v>266.27999999999997</v>
      </c>
      <c r="F32" s="23" t="s">
        <v>119</v>
      </c>
    </row>
    <row r="33" spans="1:6" x14ac:dyDescent="0.35">
      <c r="A33" s="24">
        <v>46035</v>
      </c>
      <c r="B33" s="25">
        <v>688674</v>
      </c>
      <c r="C33" s="25" t="s">
        <v>73</v>
      </c>
      <c r="D33" s="25"/>
      <c r="E33" s="25">
        <v>590.09</v>
      </c>
      <c r="F33" s="26" t="s">
        <v>53</v>
      </c>
    </row>
    <row r="34" spans="1:6" x14ac:dyDescent="0.35">
      <c r="A34" s="21">
        <v>46035</v>
      </c>
      <c r="B34" s="22">
        <v>688675</v>
      </c>
      <c r="C34" s="22" t="s">
        <v>108</v>
      </c>
      <c r="D34" s="22"/>
      <c r="E34" s="22">
        <v>326.45999999999998</v>
      </c>
      <c r="F34" s="23" t="s">
        <v>53</v>
      </c>
    </row>
    <row r="35" spans="1:6" x14ac:dyDescent="0.35">
      <c r="A35" s="24">
        <v>45979</v>
      </c>
      <c r="B35" s="25">
        <v>691255</v>
      </c>
      <c r="C35" s="25" t="s">
        <v>116</v>
      </c>
      <c r="D35" s="25"/>
      <c r="E35" s="25">
        <v>274.98</v>
      </c>
      <c r="F35" s="26" t="s">
        <v>85</v>
      </c>
    </row>
    <row r="36" spans="1:6" x14ac:dyDescent="0.35">
      <c r="A36" s="21">
        <v>45985</v>
      </c>
      <c r="B36" s="22">
        <v>691264</v>
      </c>
      <c r="C36" s="22" t="s">
        <v>151</v>
      </c>
      <c r="D36" s="22"/>
      <c r="E36" s="22">
        <v>103.64</v>
      </c>
      <c r="F36" s="23" t="s">
        <v>87</v>
      </c>
    </row>
    <row r="37" spans="1:6" x14ac:dyDescent="0.35">
      <c r="A37" s="24">
        <v>45988</v>
      </c>
      <c r="B37" s="25">
        <v>691269</v>
      </c>
      <c r="C37" s="25" t="s">
        <v>17</v>
      </c>
      <c r="D37" s="25"/>
      <c r="E37" s="25">
        <v>16319.3</v>
      </c>
      <c r="F37" s="26" t="s">
        <v>18</v>
      </c>
    </row>
    <row r="38" spans="1:6" x14ac:dyDescent="0.35">
      <c r="A38" s="21">
        <v>45992</v>
      </c>
      <c r="B38" s="22">
        <v>691279</v>
      </c>
      <c r="C38" s="22" t="s">
        <v>13</v>
      </c>
      <c r="D38" s="22">
        <v>701797</v>
      </c>
      <c r="E38" s="22">
        <v>30783.11</v>
      </c>
      <c r="F38" s="23" t="s">
        <v>14</v>
      </c>
    </row>
    <row r="39" spans="1:6" x14ac:dyDescent="0.35">
      <c r="A39" s="24">
        <v>45993</v>
      </c>
      <c r="B39" s="25">
        <v>691283</v>
      </c>
      <c r="C39" s="25" t="s">
        <v>166</v>
      </c>
      <c r="D39" s="25"/>
      <c r="E39" s="25">
        <v>43.59</v>
      </c>
      <c r="F39" s="26" t="s">
        <v>87</v>
      </c>
    </row>
    <row r="40" spans="1:6" x14ac:dyDescent="0.35">
      <c r="A40" s="21">
        <v>46000</v>
      </c>
      <c r="B40" s="22">
        <v>691299</v>
      </c>
      <c r="C40" s="22" t="s">
        <v>129</v>
      </c>
      <c r="D40" s="22"/>
      <c r="E40" s="22">
        <v>216.15</v>
      </c>
      <c r="F40" s="23" t="s">
        <v>87</v>
      </c>
    </row>
    <row r="41" spans="1:6" x14ac:dyDescent="0.35">
      <c r="A41" s="24">
        <v>46007</v>
      </c>
      <c r="B41" s="25">
        <v>691320</v>
      </c>
      <c r="C41" s="25" t="s">
        <v>65</v>
      </c>
      <c r="D41" s="25"/>
      <c r="E41" s="25">
        <v>702.13</v>
      </c>
      <c r="F41" s="26" t="s">
        <v>53</v>
      </c>
    </row>
    <row r="42" spans="1:6" x14ac:dyDescent="0.35">
      <c r="A42" s="21">
        <v>46007</v>
      </c>
      <c r="B42" s="22">
        <v>691322</v>
      </c>
      <c r="C42" s="22" t="s">
        <v>34</v>
      </c>
      <c r="D42" s="22"/>
      <c r="E42" s="22">
        <v>1775.87</v>
      </c>
      <c r="F42" s="23" t="s">
        <v>22</v>
      </c>
    </row>
    <row r="43" spans="1:6" x14ac:dyDescent="0.35">
      <c r="A43" s="24">
        <v>46007</v>
      </c>
      <c r="B43" s="25">
        <v>691323</v>
      </c>
      <c r="C43" s="25" t="s">
        <v>169</v>
      </c>
      <c r="D43" s="25"/>
      <c r="E43" s="25">
        <v>38.36</v>
      </c>
      <c r="F43" s="26" t="s">
        <v>87</v>
      </c>
    </row>
    <row r="44" spans="1:6" x14ac:dyDescent="0.35">
      <c r="A44" s="21">
        <v>46011</v>
      </c>
      <c r="B44" s="22">
        <v>691333</v>
      </c>
      <c r="C44" s="22" t="s">
        <v>163</v>
      </c>
      <c r="D44" s="22"/>
      <c r="E44" s="22">
        <v>55.43</v>
      </c>
      <c r="F44" s="23" t="s">
        <v>87</v>
      </c>
    </row>
    <row r="45" spans="1:6" x14ac:dyDescent="0.35">
      <c r="A45" s="24">
        <v>46011</v>
      </c>
      <c r="B45" s="25">
        <v>691334</v>
      </c>
      <c r="C45" s="25" t="s">
        <v>155</v>
      </c>
      <c r="D45" s="25"/>
      <c r="E45" s="25">
        <v>80.09</v>
      </c>
      <c r="F45" s="26" t="s">
        <v>87</v>
      </c>
    </row>
    <row r="46" spans="1:6" x14ac:dyDescent="0.35">
      <c r="A46" s="21">
        <v>46015</v>
      </c>
      <c r="B46" s="22">
        <v>691341</v>
      </c>
      <c r="C46" s="22" t="s">
        <v>21</v>
      </c>
      <c r="D46" s="22">
        <v>687355</v>
      </c>
      <c r="E46" s="22">
        <v>9784.11</v>
      </c>
      <c r="F46" s="23" t="s">
        <v>22</v>
      </c>
    </row>
    <row r="47" spans="1:6" x14ac:dyDescent="0.35">
      <c r="A47" s="24">
        <v>46015</v>
      </c>
      <c r="B47" s="25">
        <v>691342</v>
      </c>
      <c r="C47" s="25" t="s">
        <v>120</v>
      </c>
      <c r="D47" s="25"/>
      <c r="E47" s="25">
        <v>265.55</v>
      </c>
      <c r="F47" s="26" t="s">
        <v>22</v>
      </c>
    </row>
    <row r="48" spans="1:6" x14ac:dyDescent="0.35">
      <c r="A48" s="21">
        <v>46015</v>
      </c>
      <c r="B48" s="22">
        <v>691343</v>
      </c>
      <c r="C48" s="22" t="s">
        <v>120</v>
      </c>
      <c r="D48" s="22"/>
      <c r="E48" s="22">
        <v>265.55</v>
      </c>
      <c r="F48" s="23" t="s">
        <v>22</v>
      </c>
    </row>
    <row r="49" spans="1:6" x14ac:dyDescent="0.35">
      <c r="A49" s="24">
        <v>46015</v>
      </c>
      <c r="B49" s="25">
        <v>691344</v>
      </c>
      <c r="C49" s="25" t="s">
        <v>52</v>
      </c>
      <c r="D49" s="25"/>
      <c r="E49" s="25">
        <v>964.93</v>
      </c>
      <c r="F49" s="26" t="s">
        <v>22</v>
      </c>
    </row>
    <row r="50" spans="1:6" x14ac:dyDescent="0.35">
      <c r="A50" s="21">
        <v>46015</v>
      </c>
      <c r="B50" s="22">
        <v>691345</v>
      </c>
      <c r="C50" s="22" t="s">
        <v>33</v>
      </c>
      <c r="D50" s="22"/>
      <c r="E50" s="22">
        <v>1801.81</v>
      </c>
      <c r="F50" s="23" t="s">
        <v>22</v>
      </c>
    </row>
    <row r="51" spans="1:6" x14ac:dyDescent="0.35">
      <c r="A51" s="24">
        <v>46015</v>
      </c>
      <c r="B51" s="25">
        <v>691346</v>
      </c>
      <c r="C51" s="25" t="s">
        <v>74</v>
      </c>
      <c r="D51" s="25"/>
      <c r="E51" s="25">
        <v>586.65</v>
      </c>
      <c r="F51" s="26" t="s">
        <v>22</v>
      </c>
    </row>
    <row r="52" spans="1:6" x14ac:dyDescent="0.35">
      <c r="A52" s="21">
        <v>46015</v>
      </c>
      <c r="B52" s="22">
        <v>691347</v>
      </c>
      <c r="C52" s="22" t="s">
        <v>91</v>
      </c>
      <c r="D52" s="22"/>
      <c r="E52" s="22">
        <v>483.93</v>
      </c>
      <c r="F52" s="23" t="s">
        <v>22</v>
      </c>
    </row>
    <row r="53" spans="1:6" x14ac:dyDescent="0.35">
      <c r="A53" s="24">
        <v>46015</v>
      </c>
      <c r="B53" s="25">
        <v>691348</v>
      </c>
      <c r="C53" s="25" t="s">
        <v>91</v>
      </c>
      <c r="D53" s="25"/>
      <c r="E53" s="25">
        <v>483.93</v>
      </c>
      <c r="F53" s="26" t="s">
        <v>22</v>
      </c>
    </row>
    <row r="54" spans="1:6" x14ac:dyDescent="0.35">
      <c r="A54" s="21">
        <v>46015</v>
      </c>
      <c r="B54" s="22">
        <v>691349</v>
      </c>
      <c r="C54" s="22" t="s">
        <v>96</v>
      </c>
      <c r="D54" s="22"/>
      <c r="E54" s="22">
        <v>425.1</v>
      </c>
      <c r="F54" s="23" t="s">
        <v>22</v>
      </c>
    </row>
    <row r="55" spans="1:6" x14ac:dyDescent="0.35">
      <c r="A55" s="24">
        <v>46020</v>
      </c>
      <c r="B55" s="25">
        <v>695253</v>
      </c>
      <c r="C55" s="25" t="s">
        <v>39</v>
      </c>
      <c r="D55" s="25"/>
      <c r="E55" s="25">
        <v>1469.49</v>
      </c>
      <c r="F55" s="26" t="s">
        <v>40</v>
      </c>
    </row>
    <row r="56" spans="1:6" x14ac:dyDescent="0.35">
      <c r="A56" s="21">
        <v>46020</v>
      </c>
      <c r="B56" s="22">
        <v>695254</v>
      </c>
      <c r="C56" s="22" t="s">
        <v>39</v>
      </c>
      <c r="D56" s="22"/>
      <c r="E56" s="22">
        <v>979.66</v>
      </c>
      <c r="F56" s="23" t="s">
        <v>40</v>
      </c>
    </row>
    <row r="57" spans="1:6" x14ac:dyDescent="0.35">
      <c r="A57" s="24">
        <v>46020</v>
      </c>
      <c r="B57" s="25">
        <v>695256</v>
      </c>
      <c r="C57" s="25" t="s">
        <v>39</v>
      </c>
      <c r="D57" s="25"/>
      <c r="E57" s="25">
        <v>1632.77</v>
      </c>
      <c r="F57" s="26" t="s">
        <v>40</v>
      </c>
    </row>
    <row r="58" spans="1:6" x14ac:dyDescent="0.35">
      <c r="A58" s="21">
        <v>46021</v>
      </c>
      <c r="B58" s="22">
        <v>695261</v>
      </c>
      <c r="C58" s="22" t="s">
        <v>90</v>
      </c>
      <c r="D58" s="22"/>
      <c r="E58" s="22">
        <v>485.35</v>
      </c>
      <c r="F58" s="23" t="s">
        <v>53</v>
      </c>
    </row>
    <row r="59" spans="1:6" x14ac:dyDescent="0.35">
      <c r="A59" s="24">
        <v>46021</v>
      </c>
      <c r="B59" s="25">
        <v>695262</v>
      </c>
      <c r="C59" s="25" t="s">
        <v>44</v>
      </c>
      <c r="D59" s="25"/>
      <c r="E59" s="25">
        <v>1344.47</v>
      </c>
      <c r="F59" s="26" t="s">
        <v>45</v>
      </c>
    </row>
    <row r="60" spans="1:6" x14ac:dyDescent="0.35">
      <c r="A60" s="21">
        <v>46022</v>
      </c>
      <c r="B60" s="22">
        <v>695272</v>
      </c>
      <c r="C60" s="22" t="s">
        <v>80</v>
      </c>
      <c r="D60" s="22">
        <v>696427</v>
      </c>
      <c r="E60" s="22">
        <v>521.38</v>
      </c>
      <c r="F60" s="23" t="s">
        <v>28</v>
      </c>
    </row>
    <row r="61" spans="1:6" x14ac:dyDescent="0.35">
      <c r="A61" s="24">
        <v>46022</v>
      </c>
      <c r="B61" s="25">
        <v>695273</v>
      </c>
      <c r="C61" s="25" t="s">
        <v>31</v>
      </c>
      <c r="D61" s="25"/>
      <c r="E61" s="25">
        <v>2226.0100000000002</v>
      </c>
      <c r="F61" s="26" t="s">
        <v>28</v>
      </c>
    </row>
    <row r="62" spans="1:6" x14ac:dyDescent="0.35">
      <c r="A62" s="21">
        <v>46022</v>
      </c>
      <c r="B62" s="22">
        <v>695285</v>
      </c>
      <c r="C62" s="22" t="s">
        <v>27</v>
      </c>
      <c r="D62" s="22"/>
      <c r="E62" s="22">
        <v>3220.5</v>
      </c>
      <c r="F62" s="23" t="s">
        <v>28</v>
      </c>
    </row>
    <row r="63" spans="1:6" x14ac:dyDescent="0.35">
      <c r="A63" s="24">
        <v>46022</v>
      </c>
      <c r="B63" s="25">
        <v>695286</v>
      </c>
      <c r="C63" s="25" t="s">
        <v>27</v>
      </c>
      <c r="D63" s="25"/>
      <c r="E63" s="25">
        <v>2283.92</v>
      </c>
      <c r="F63" s="26" t="s">
        <v>28</v>
      </c>
    </row>
    <row r="64" spans="1:6" x14ac:dyDescent="0.35">
      <c r="A64" s="21">
        <v>46023</v>
      </c>
      <c r="B64" s="22">
        <v>695291</v>
      </c>
      <c r="C64" s="22" t="s">
        <v>32</v>
      </c>
      <c r="D64" s="22">
        <v>696433</v>
      </c>
      <c r="E64" s="22">
        <v>2089.79</v>
      </c>
      <c r="F64" s="23" t="s">
        <v>28</v>
      </c>
    </row>
    <row r="65" spans="1:6" x14ac:dyDescent="0.35">
      <c r="A65" s="24">
        <v>46024</v>
      </c>
      <c r="B65" s="25">
        <v>695294</v>
      </c>
      <c r="C65" s="25" t="s">
        <v>122</v>
      </c>
      <c r="D65" s="25"/>
      <c r="E65" s="25">
        <v>256.52</v>
      </c>
      <c r="F65" s="26" t="s">
        <v>38</v>
      </c>
    </row>
    <row r="66" spans="1:6" x14ac:dyDescent="0.35">
      <c r="A66" s="21">
        <v>46210</v>
      </c>
      <c r="B66" s="22">
        <v>711260</v>
      </c>
      <c r="C66" s="22" t="s">
        <v>8</v>
      </c>
      <c r="D66" s="22">
        <v>715054</v>
      </c>
      <c r="E66" s="22">
        <v>27.99</v>
      </c>
      <c r="F66" s="23" t="s">
        <v>8</v>
      </c>
    </row>
    <row r="67" spans="1:6" x14ac:dyDescent="0.35">
      <c r="A67" s="24">
        <v>46046</v>
      </c>
      <c r="B67" s="25">
        <v>711503</v>
      </c>
      <c r="C67" s="25" t="s">
        <v>94</v>
      </c>
      <c r="D67" s="25"/>
      <c r="E67" s="25">
        <v>445.88</v>
      </c>
      <c r="F67" s="26" t="s">
        <v>53</v>
      </c>
    </row>
    <row r="68" spans="1:6" x14ac:dyDescent="0.35">
      <c r="A68" s="21">
        <v>46053</v>
      </c>
      <c r="B68" s="22">
        <v>711530</v>
      </c>
      <c r="C68" s="22" t="s">
        <v>127</v>
      </c>
      <c r="D68" s="22"/>
      <c r="E68" s="22">
        <v>229.45</v>
      </c>
      <c r="F68" s="23" t="s">
        <v>53</v>
      </c>
    </row>
    <row r="69" spans="1:6" x14ac:dyDescent="0.35">
      <c r="A69" s="24">
        <v>46055</v>
      </c>
      <c r="B69" s="25">
        <v>711531</v>
      </c>
      <c r="C69" s="25" t="s">
        <v>60</v>
      </c>
      <c r="D69" s="25"/>
      <c r="E69" s="25">
        <v>837.01</v>
      </c>
      <c r="F69" s="26" t="s">
        <v>22</v>
      </c>
    </row>
    <row r="70" spans="1:6" x14ac:dyDescent="0.35">
      <c r="A70" s="21">
        <v>46056</v>
      </c>
      <c r="B70" s="22">
        <v>711535</v>
      </c>
      <c r="C70" s="22" t="s">
        <v>148</v>
      </c>
      <c r="D70" s="22"/>
      <c r="E70" s="22">
        <v>118.94</v>
      </c>
      <c r="F70" s="23" t="s">
        <v>53</v>
      </c>
    </row>
    <row r="71" spans="1:6" x14ac:dyDescent="0.35">
      <c r="A71" s="24">
        <v>46056</v>
      </c>
      <c r="B71" s="25">
        <v>711536</v>
      </c>
      <c r="C71" s="25" t="s">
        <v>140</v>
      </c>
      <c r="D71" s="25"/>
      <c r="E71" s="25">
        <v>170.52</v>
      </c>
      <c r="F71" s="26" t="s">
        <v>53</v>
      </c>
    </row>
    <row r="72" spans="1:6" x14ac:dyDescent="0.35">
      <c r="A72" s="21">
        <v>46058</v>
      </c>
      <c r="B72" s="22">
        <v>711541</v>
      </c>
      <c r="C72" s="22" t="s">
        <v>59</v>
      </c>
      <c r="D72" s="22">
        <v>687368</v>
      </c>
      <c r="E72" s="22">
        <v>846.27</v>
      </c>
      <c r="F72" s="23" t="s">
        <v>53</v>
      </c>
    </row>
    <row r="73" spans="1:6" x14ac:dyDescent="0.35">
      <c r="A73" s="24">
        <v>46149</v>
      </c>
      <c r="B73" s="25">
        <v>711547</v>
      </c>
      <c r="C73" s="25" t="s">
        <v>41</v>
      </c>
      <c r="D73" s="25"/>
      <c r="E73" s="25">
        <v>1600.7</v>
      </c>
      <c r="F73" s="26" t="s">
        <v>42</v>
      </c>
    </row>
    <row r="74" spans="1:6" x14ac:dyDescent="0.35">
      <c r="A74" s="21">
        <v>46060</v>
      </c>
      <c r="B74" s="22">
        <v>711548</v>
      </c>
      <c r="C74" s="22" t="s">
        <v>126</v>
      </c>
      <c r="D74" s="22"/>
      <c r="E74" s="22">
        <v>241.67</v>
      </c>
      <c r="F74" s="23" t="s">
        <v>22</v>
      </c>
    </row>
    <row r="75" spans="1:6" x14ac:dyDescent="0.35">
      <c r="A75" s="24">
        <v>46063</v>
      </c>
      <c r="B75" s="25">
        <v>711550</v>
      </c>
      <c r="C75" s="25" t="s">
        <v>113</v>
      </c>
      <c r="D75" s="25"/>
      <c r="E75" s="25">
        <v>300.33</v>
      </c>
      <c r="F75" s="26" t="s">
        <v>53</v>
      </c>
    </row>
    <row r="76" spans="1:6" x14ac:dyDescent="0.35">
      <c r="A76" s="21">
        <v>46074</v>
      </c>
      <c r="B76" s="22">
        <v>711580</v>
      </c>
      <c r="C76" s="22" t="s">
        <v>57</v>
      </c>
      <c r="D76" s="22"/>
      <c r="E76" s="22">
        <v>856.28</v>
      </c>
      <c r="F76" s="23" t="s">
        <v>7</v>
      </c>
    </row>
    <row r="77" spans="1:6" x14ac:dyDescent="0.35">
      <c r="A77" s="24">
        <v>46074</v>
      </c>
      <c r="B77" s="25">
        <v>711583</v>
      </c>
      <c r="C77" s="25" t="s">
        <v>135</v>
      </c>
      <c r="D77" s="25"/>
      <c r="E77" s="25">
        <v>184.87</v>
      </c>
      <c r="F77" s="26" t="s">
        <v>7</v>
      </c>
    </row>
    <row r="78" spans="1:6" x14ac:dyDescent="0.35">
      <c r="A78" s="21">
        <v>46074</v>
      </c>
      <c r="B78" s="22">
        <v>711584</v>
      </c>
      <c r="C78" s="22" t="s">
        <v>138</v>
      </c>
      <c r="D78" s="22"/>
      <c r="E78" s="22">
        <v>177.28</v>
      </c>
      <c r="F78" s="23" t="s">
        <v>38</v>
      </c>
    </row>
    <row r="79" spans="1:6" x14ac:dyDescent="0.35">
      <c r="A79" s="24">
        <v>45011</v>
      </c>
      <c r="B79" s="25">
        <v>734565</v>
      </c>
      <c r="C79" s="25" t="s">
        <v>37</v>
      </c>
      <c r="D79" s="25"/>
      <c r="E79" s="25">
        <v>1642.76</v>
      </c>
      <c r="F79" s="26" t="s">
        <v>38</v>
      </c>
    </row>
    <row r="80" spans="1:6" x14ac:dyDescent="0.35">
      <c r="A80" s="21">
        <v>46107</v>
      </c>
      <c r="B80" s="22">
        <v>734566</v>
      </c>
      <c r="C80" s="22" t="s">
        <v>88</v>
      </c>
      <c r="D80" s="22"/>
      <c r="E80" s="22">
        <v>503.44</v>
      </c>
      <c r="F80" s="23" t="s">
        <v>22</v>
      </c>
    </row>
    <row r="81" spans="1:6" x14ac:dyDescent="0.35">
      <c r="A81" s="24">
        <v>46107</v>
      </c>
      <c r="B81" s="25">
        <v>734567</v>
      </c>
      <c r="C81" s="25" t="s">
        <v>136</v>
      </c>
      <c r="D81" s="25"/>
      <c r="E81" s="25">
        <v>183.38</v>
      </c>
      <c r="F81" s="26" t="s">
        <v>7</v>
      </c>
    </row>
    <row r="82" spans="1:6" x14ac:dyDescent="0.35">
      <c r="A82" s="21">
        <v>46114</v>
      </c>
      <c r="B82" s="22">
        <v>734585</v>
      </c>
      <c r="C82" s="22" t="s">
        <v>159</v>
      </c>
      <c r="D82" s="22"/>
      <c r="E82" s="22">
        <v>65.209999999999994</v>
      </c>
      <c r="F82" s="23" t="s">
        <v>87</v>
      </c>
    </row>
    <row r="83" spans="1:6" x14ac:dyDescent="0.35">
      <c r="A83" s="24">
        <v>46114</v>
      </c>
      <c r="B83" s="25">
        <v>734586</v>
      </c>
      <c r="C83" s="25" t="s">
        <v>170</v>
      </c>
      <c r="D83" s="25"/>
      <c r="E83" s="25">
        <v>11.6</v>
      </c>
      <c r="F83" s="26" t="s">
        <v>87</v>
      </c>
    </row>
    <row r="84" spans="1:6" x14ac:dyDescent="0.35">
      <c r="A84" s="21">
        <v>46116</v>
      </c>
      <c r="B84" s="22">
        <v>734590</v>
      </c>
      <c r="C84" s="22" t="s">
        <v>161</v>
      </c>
      <c r="D84" s="22"/>
      <c r="E84" s="22">
        <v>58.1</v>
      </c>
      <c r="F84" s="23" t="s">
        <v>53</v>
      </c>
    </row>
    <row r="85" spans="1:6" x14ac:dyDescent="0.35">
      <c r="A85" s="24">
        <v>46116</v>
      </c>
      <c r="B85" s="25">
        <v>734591</v>
      </c>
      <c r="C85" s="25" t="s">
        <v>153</v>
      </c>
      <c r="D85" s="25"/>
      <c r="E85" s="25">
        <v>92.92</v>
      </c>
      <c r="F85" s="26" t="s">
        <v>53</v>
      </c>
    </row>
    <row r="86" spans="1:6" x14ac:dyDescent="0.35">
      <c r="A86" s="21">
        <v>46121</v>
      </c>
      <c r="B86" s="22">
        <v>734600</v>
      </c>
      <c r="C86" s="22" t="s">
        <v>167</v>
      </c>
      <c r="D86" s="22"/>
      <c r="E86" s="22">
        <v>43.33</v>
      </c>
      <c r="F86" s="23" t="s">
        <v>87</v>
      </c>
    </row>
    <row r="87" spans="1:6" x14ac:dyDescent="0.35">
      <c r="A87" s="24">
        <v>46084</v>
      </c>
      <c r="B87" s="25">
        <v>734607</v>
      </c>
      <c r="C87" s="25" t="s">
        <v>70</v>
      </c>
      <c r="D87" s="25"/>
      <c r="E87" s="25">
        <v>617.67999999999995</v>
      </c>
      <c r="F87" s="26" t="s">
        <v>7</v>
      </c>
    </row>
    <row r="88" spans="1:6" x14ac:dyDescent="0.35">
      <c r="A88" s="21">
        <v>46086</v>
      </c>
      <c r="B88" s="22">
        <v>734612</v>
      </c>
      <c r="C88" s="22" t="s">
        <v>106</v>
      </c>
      <c r="D88" s="22"/>
      <c r="E88" s="22">
        <v>339.31</v>
      </c>
      <c r="F88" s="23" t="s">
        <v>53</v>
      </c>
    </row>
    <row r="89" spans="1:6" x14ac:dyDescent="0.35">
      <c r="A89" s="24">
        <v>46086</v>
      </c>
      <c r="B89" s="25">
        <v>734613</v>
      </c>
      <c r="C89" s="25" t="s">
        <v>86</v>
      </c>
      <c r="D89" s="25"/>
      <c r="E89" s="25">
        <v>511.6</v>
      </c>
      <c r="F89" s="26" t="s">
        <v>87</v>
      </c>
    </row>
    <row r="90" spans="1:6" x14ac:dyDescent="0.35">
      <c r="A90" s="21">
        <v>46086</v>
      </c>
      <c r="B90" s="22">
        <v>734614</v>
      </c>
      <c r="C90" s="22" t="s">
        <v>94</v>
      </c>
      <c r="D90" s="22"/>
      <c r="E90" s="22">
        <v>37.58</v>
      </c>
      <c r="F90" s="23" t="s">
        <v>87</v>
      </c>
    </row>
    <row r="91" spans="1:6" x14ac:dyDescent="0.35">
      <c r="A91" s="24">
        <v>46088</v>
      </c>
      <c r="B91" s="25">
        <v>734619</v>
      </c>
      <c r="C91" s="25" t="s">
        <v>66</v>
      </c>
      <c r="D91" s="25"/>
      <c r="E91" s="25">
        <v>689.38</v>
      </c>
      <c r="F91" s="26" t="s">
        <v>22</v>
      </c>
    </row>
    <row r="92" spans="1:6" x14ac:dyDescent="0.35">
      <c r="A92" s="21">
        <v>46091</v>
      </c>
      <c r="B92" s="22">
        <v>734624</v>
      </c>
      <c r="C92" s="22" t="s">
        <v>112</v>
      </c>
      <c r="D92" s="22"/>
      <c r="E92" s="22">
        <v>301.8</v>
      </c>
      <c r="F92" s="23" t="s">
        <v>53</v>
      </c>
    </row>
    <row r="93" spans="1:6" x14ac:dyDescent="0.35">
      <c r="A93" s="24">
        <v>46093</v>
      </c>
      <c r="B93" s="25">
        <v>734631</v>
      </c>
      <c r="C93" s="25" t="s">
        <v>75</v>
      </c>
      <c r="D93" s="25"/>
      <c r="E93" s="25">
        <v>581.72</v>
      </c>
      <c r="F93" s="26" t="s">
        <v>42</v>
      </c>
    </row>
    <row r="94" spans="1:6" x14ac:dyDescent="0.35">
      <c r="A94" s="21">
        <v>46097</v>
      </c>
      <c r="B94" s="22">
        <v>734636</v>
      </c>
      <c r="C94" s="22" t="s">
        <v>48</v>
      </c>
      <c r="D94" s="22"/>
      <c r="E94" s="22">
        <v>1316.01</v>
      </c>
      <c r="F94" s="23" t="s">
        <v>22</v>
      </c>
    </row>
    <row r="95" spans="1:6" x14ac:dyDescent="0.35">
      <c r="A95" s="24">
        <v>46098</v>
      </c>
      <c r="B95" s="25">
        <v>734642</v>
      </c>
      <c r="C95" s="25" t="s">
        <v>79</v>
      </c>
      <c r="D95" s="25"/>
      <c r="E95" s="25">
        <v>523.41999999999996</v>
      </c>
      <c r="F95" s="26" t="s">
        <v>22</v>
      </c>
    </row>
    <row r="96" spans="1:6" x14ac:dyDescent="0.35">
      <c r="A96" s="21">
        <v>46102</v>
      </c>
      <c r="B96" s="22">
        <v>734648</v>
      </c>
      <c r="C96" s="22" t="s">
        <v>68</v>
      </c>
      <c r="D96" s="22"/>
      <c r="E96" s="22">
        <v>633.95000000000005</v>
      </c>
      <c r="F96" s="23" t="s">
        <v>38</v>
      </c>
    </row>
    <row r="97" spans="1:6" x14ac:dyDescent="0.35">
      <c r="A97" s="24">
        <v>46122</v>
      </c>
      <c r="B97" s="25">
        <v>745551</v>
      </c>
      <c r="C97" s="25" t="s">
        <v>29</v>
      </c>
      <c r="D97" s="25"/>
      <c r="E97" s="25">
        <v>3068.89</v>
      </c>
      <c r="F97" s="26" t="s">
        <v>22</v>
      </c>
    </row>
    <row r="98" spans="1:6" x14ac:dyDescent="0.35">
      <c r="A98" s="21">
        <v>46123</v>
      </c>
      <c r="B98" s="22">
        <v>745556</v>
      </c>
      <c r="C98" s="22" t="s">
        <v>158</v>
      </c>
      <c r="D98" s="22"/>
      <c r="E98" s="22">
        <v>67.31</v>
      </c>
      <c r="F98" s="23" t="s">
        <v>53</v>
      </c>
    </row>
    <row r="99" spans="1:6" x14ac:dyDescent="0.35">
      <c r="A99" s="24">
        <v>46127</v>
      </c>
      <c r="B99" s="25">
        <v>745560</v>
      </c>
      <c r="C99" s="25" t="s">
        <v>26</v>
      </c>
      <c r="D99" s="25"/>
      <c r="E99" s="25">
        <v>5650.38</v>
      </c>
      <c r="F99" s="26" t="s">
        <v>20</v>
      </c>
    </row>
    <row r="100" spans="1:6" x14ac:dyDescent="0.35">
      <c r="A100" s="21">
        <v>46127</v>
      </c>
      <c r="B100" s="22">
        <v>745562</v>
      </c>
      <c r="C100" s="22" t="s">
        <v>49</v>
      </c>
      <c r="D100" s="22"/>
      <c r="E100" s="22">
        <v>1289.4000000000001</v>
      </c>
      <c r="F100" s="23" t="s">
        <v>20</v>
      </c>
    </row>
    <row r="101" spans="1:6" x14ac:dyDescent="0.35">
      <c r="A101" s="24">
        <v>46127</v>
      </c>
      <c r="B101" s="25">
        <v>745565</v>
      </c>
      <c r="C101" s="25" t="s">
        <v>43</v>
      </c>
      <c r="D101" s="25"/>
      <c r="E101" s="25">
        <v>1353.7</v>
      </c>
      <c r="F101" s="26" t="s">
        <v>20</v>
      </c>
    </row>
    <row r="102" spans="1:6" x14ac:dyDescent="0.35">
      <c r="A102" s="21">
        <v>46127</v>
      </c>
      <c r="B102" s="22">
        <v>745566</v>
      </c>
      <c r="C102" s="22" t="s">
        <v>145</v>
      </c>
      <c r="D102" s="22"/>
      <c r="E102" s="22">
        <v>135.37</v>
      </c>
      <c r="F102" s="23" t="s">
        <v>20</v>
      </c>
    </row>
    <row r="103" spans="1:6" x14ac:dyDescent="0.35">
      <c r="A103" s="24">
        <v>46128</v>
      </c>
      <c r="B103" s="25">
        <v>745572</v>
      </c>
      <c r="C103" s="25" t="s">
        <v>114</v>
      </c>
      <c r="D103" s="25"/>
      <c r="E103" s="25">
        <v>299.29000000000002</v>
      </c>
      <c r="F103" s="26" t="s">
        <v>53</v>
      </c>
    </row>
    <row r="104" spans="1:6" x14ac:dyDescent="0.35">
      <c r="A104" s="21">
        <v>46128</v>
      </c>
      <c r="B104" s="22">
        <v>745575</v>
      </c>
      <c r="C104" s="22" t="s">
        <v>107</v>
      </c>
      <c r="D104" s="22"/>
      <c r="E104" s="22">
        <v>332.51</v>
      </c>
      <c r="F104" s="23" t="s">
        <v>87</v>
      </c>
    </row>
    <row r="105" spans="1:6" x14ac:dyDescent="0.35">
      <c r="A105" s="24">
        <v>46128</v>
      </c>
      <c r="B105" s="25">
        <v>745576</v>
      </c>
      <c r="C105" s="25" t="s">
        <v>25</v>
      </c>
      <c r="D105" s="25"/>
      <c r="E105" s="25">
        <v>7572.06</v>
      </c>
      <c r="F105" s="26" t="s">
        <v>22</v>
      </c>
    </row>
    <row r="106" spans="1:6" x14ac:dyDescent="0.35">
      <c r="A106" s="21">
        <v>46130</v>
      </c>
      <c r="B106" s="22">
        <v>745580</v>
      </c>
      <c r="C106" s="22" t="s">
        <v>69</v>
      </c>
      <c r="D106" s="22"/>
      <c r="E106" s="22">
        <v>624.45000000000005</v>
      </c>
      <c r="F106" s="23" t="s">
        <v>53</v>
      </c>
    </row>
    <row r="107" spans="1:6" x14ac:dyDescent="0.35">
      <c r="A107" s="24">
        <v>46133</v>
      </c>
      <c r="B107" s="25">
        <v>745583</v>
      </c>
      <c r="C107" s="25" t="s">
        <v>6</v>
      </c>
      <c r="D107" s="25">
        <v>726269</v>
      </c>
      <c r="E107" s="25">
        <v>48.02</v>
      </c>
      <c r="F107" s="26" t="s">
        <v>9</v>
      </c>
    </row>
    <row r="108" spans="1:6" x14ac:dyDescent="0.35">
      <c r="A108" s="21">
        <v>46133</v>
      </c>
      <c r="B108" s="22">
        <v>745584</v>
      </c>
      <c r="C108" s="22" t="s">
        <v>8</v>
      </c>
      <c r="D108" s="22">
        <v>726269</v>
      </c>
      <c r="E108" s="22">
        <v>83.97</v>
      </c>
      <c r="F108" s="23" t="s">
        <v>8</v>
      </c>
    </row>
    <row r="109" spans="1:6" x14ac:dyDescent="0.35">
      <c r="A109" s="24">
        <v>46135</v>
      </c>
      <c r="B109" s="25">
        <v>745590</v>
      </c>
      <c r="C109" s="25" t="s">
        <v>98</v>
      </c>
      <c r="D109" s="25"/>
      <c r="E109" s="25">
        <v>414.13</v>
      </c>
      <c r="F109" s="26" t="s">
        <v>22</v>
      </c>
    </row>
    <row r="110" spans="1:6" x14ac:dyDescent="0.35">
      <c r="A110" s="21">
        <v>46147</v>
      </c>
      <c r="B110" s="22">
        <v>745605</v>
      </c>
      <c r="C110" s="22" t="s">
        <v>71</v>
      </c>
      <c r="D110" s="22"/>
      <c r="E110" s="22">
        <v>605.39</v>
      </c>
      <c r="F110" s="23" t="s">
        <v>22</v>
      </c>
    </row>
    <row r="111" spans="1:6" x14ac:dyDescent="0.35">
      <c r="A111" s="24">
        <v>46147</v>
      </c>
      <c r="B111" s="25">
        <v>745609</v>
      </c>
      <c r="C111" s="25" t="s">
        <v>58</v>
      </c>
      <c r="D111" s="25"/>
      <c r="E111" s="25">
        <v>851.05</v>
      </c>
      <c r="F111" s="26" t="s">
        <v>38</v>
      </c>
    </row>
    <row r="112" spans="1:6" x14ac:dyDescent="0.35">
      <c r="A112" s="21">
        <v>46147</v>
      </c>
      <c r="B112" s="22">
        <v>745610</v>
      </c>
      <c r="C112" s="22" t="s">
        <v>123</v>
      </c>
      <c r="D112" s="22"/>
      <c r="E112" s="22">
        <v>250.57</v>
      </c>
      <c r="F112" s="23" t="s">
        <v>53</v>
      </c>
    </row>
    <row r="113" spans="1:6" x14ac:dyDescent="0.35">
      <c r="A113" s="24">
        <v>46148</v>
      </c>
      <c r="B113" s="25">
        <v>745611</v>
      </c>
      <c r="C113" s="25" t="s">
        <v>35</v>
      </c>
      <c r="D113" s="25"/>
      <c r="E113" s="25">
        <v>1712.14</v>
      </c>
      <c r="F113" s="26" t="s">
        <v>36</v>
      </c>
    </row>
    <row r="114" spans="1:6" x14ac:dyDescent="0.35">
      <c r="A114" s="21">
        <v>46149</v>
      </c>
      <c r="B114" s="22">
        <v>745618</v>
      </c>
      <c r="C114" s="22" t="s">
        <v>102</v>
      </c>
      <c r="D114" s="22">
        <v>703780</v>
      </c>
      <c r="E114" s="22">
        <v>367.22</v>
      </c>
      <c r="F114" s="23" t="s">
        <v>53</v>
      </c>
    </row>
    <row r="115" spans="1:6" x14ac:dyDescent="0.35">
      <c r="A115" s="24">
        <v>46157</v>
      </c>
      <c r="B115" s="25">
        <v>745631</v>
      </c>
      <c r="C115" s="25" t="s">
        <v>11</v>
      </c>
      <c r="D115" s="25"/>
      <c r="E115" s="25">
        <v>71463.990000000005</v>
      </c>
      <c r="F115" s="26" t="s">
        <v>12</v>
      </c>
    </row>
    <row r="116" spans="1:6" x14ac:dyDescent="0.35">
      <c r="A116" s="21">
        <v>46158</v>
      </c>
      <c r="B116" s="22">
        <v>745632</v>
      </c>
      <c r="C116" s="22" t="s">
        <v>15</v>
      </c>
      <c r="D116" s="22"/>
      <c r="E116" s="22">
        <v>28479.57</v>
      </c>
      <c r="F116" s="23" t="s">
        <v>16</v>
      </c>
    </row>
    <row r="117" spans="1:6" x14ac:dyDescent="0.35">
      <c r="A117" s="24">
        <v>46161</v>
      </c>
      <c r="B117" s="25">
        <v>745636</v>
      </c>
      <c r="C117" s="25" t="s">
        <v>10</v>
      </c>
      <c r="D117" s="25">
        <v>723422</v>
      </c>
      <c r="E117" s="25">
        <v>12.01</v>
      </c>
      <c r="F117" s="26" t="s">
        <v>9</v>
      </c>
    </row>
    <row r="118" spans="1:6" x14ac:dyDescent="0.35">
      <c r="A118" s="21">
        <v>46161</v>
      </c>
      <c r="B118" s="22">
        <v>745640</v>
      </c>
      <c r="C118" s="22" t="s">
        <v>110</v>
      </c>
      <c r="D118" s="22"/>
      <c r="E118" s="22">
        <v>313.77</v>
      </c>
      <c r="F118" s="23" t="s">
        <v>53</v>
      </c>
    </row>
    <row r="119" spans="1:6" x14ac:dyDescent="0.35">
      <c r="A119" s="24">
        <v>46161</v>
      </c>
      <c r="B119" s="25">
        <v>745641</v>
      </c>
      <c r="C119" s="25" t="s">
        <v>64</v>
      </c>
      <c r="D119" s="25"/>
      <c r="E119" s="25">
        <v>704.79</v>
      </c>
      <c r="F119" s="26" t="s">
        <v>12</v>
      </c>
    </row>
    <row r="120" spans="1:6" x14ac:dyDescent="0.35">
      <c r="A120" s="21">
        <v>46163</v>
      </c>
      <c r="B120" s="22">
        <v>745646</v>
      </c>
      <c r="C120" s="22" t="s">
        <v>97</v>
      </c>
      <c r="D120" s="22"/>
      <c r="E120" s="22">
        <v>419.65</v>
      </c>
      <c r="F120" s="23" t="s">
        <v>63</v>
      </c>
    </row>
    <row r="121" spans="1:6" x14ac:dyDescent="0.35">
      <c r="A121" s="24">
        <v>46182</v>
      </c>
      <c r="B121" s="25">
        <v>750648</v>
      </c>
      <c r="C121" s="25" t="s">
        <v>124</v>
      </c>
      <c r="D121" s="25">
        <v>707084</v>
      </c>
      <c r="E121" s="25">
        <v>249.74</v>
      </c>
      <c r="F121" s="26" t="s">
        <v>53</v>
      </c>
    </row>
    <row r="122" spans="1:6" x14ac:dyDescent="0.35">
      <c r="A122" s="21">
        <v>46184</v>
      </c>
      <c r="B122" s="22">
        <v>755954</v>
      </c>
      <c r="C122" s="22" t="s">
        <v>131</v>
      </c>
      <c r="D122" s="22"/>
      <c r="E122" s="22">
        <v>211.11</v>
      </c>
      <c r="F122" s="23" t="s">
        <v>53</v>
      </c>
    </row>
    <row r="123" spans="1:6" x14ac:dyDescent="0.35">
      <c r="A123" s="24">
        <v>46184</v>
      </c>
      <c r="B123" s="25">
        <v>755955</v>
      </c>
      <c r="C123" s="25" t="s">
        <v>72</v>
      </c>
      <c r="D123" s="25"/>
      <c r="E123" s="25">
        <v>595.79</v>
      </c>
      <c r="F123" s="26" t="s">
        <v>53</v>
      </c>
    </row>
    <row r="124" spans="1:6" x14ac:dyDescent="0.35">
      <c r="A124" s="21">
        <v>46184</v>
      </c>
      <c r="B124" s="22">
        <v>755956</v>
      </c>
      <c r="C124" s="22" t="s">
        <v>104</v>
      </c>
      <c r="D124" s="22"/>
      <c r="E124" s="22">
        <v>345.49</v>
      </c>
      <c r="F124" s="23" t="s">
        <v>22</v>
      </c>
    </row>
    <row r="125" spans="1:6" x14ac:dyDescent="0.35">
      <c r="A125" s="24">
        <v>46188</v>
      </c>
      <c r="B125" s="25">
        <v>755962</v>
      </c>
      <c r="C125" s="25" t="s">
        <v>55</v>
      </c>
      <c r="D125" s="25"/>
      <c r="E125" s="25">
        <v>662.91</v>
      </c>
      <c r="F125" s="26" t="s">
        <v>67</v>
      </c>
    </row>
    <row r="126" spans="1:6" x14ac:dyDescent="0.35">
      <c r="A126" s="21">
        <v>46191</v>
      </c>
      <c r="B126" s="22">
        <v>755971</v>
      </c>
      <c r="C126" s="22" t="s">
        <v>132</v>
      </c>
      <c r="D126" s="22"/>
      <c r="E126" s="22">
        <v>210.29</v>
      </c>
      <c r="F126" s="23" t="s">
        <v>53</v>
      </c>
    </row>
    <row r="127" spans="1:6" x14ac:dyDescent="0.35">
      <c r="A127" s="24">
        <v>46191</v>
      </c>
      <c r="B127" s="25">
        <v>755972</v>
      </c>
      <c r="C127" s="25" t="s">
        <v>162</v>
      </c>
      <c r="D127" s="25"/>
      <c r="E127" s="25">
        <v>56.96</v>
      </c>
      <c r="F127" s="26" t="s">
        <v>53</v>
      </c>
    </row>
    <row r="128" spans="1:6" x14ac:dyDescent="0.35">
      <c r="A128" s="21">
        <v>46191</v>
      </c>
      <c r="B128" s="22">
        <v>755973</v>
      </c>
      <c r="C128" s="22" t="s">
        <v>130</v>
      </c>
      <c r="D128" s="22"/>
      <c r="E128" s="22">
        <v>213.7</v>
      </c>
      <c r="F128" s="23" t="s">
        <v>53</v>
      </c>
    </row>
    <row r="129" spans="1:6" x14ac:dyDescent="0.35">
      <c r="A129" s="24">
        <v>46193</v>
      </c>
      <c r="B129" s="25">
        <v>755974</v>
      </c>
      <c r="C129" s="25" t="s">
        <v>154</v>
      </c>
      <c r="D129" s="25"/>
      <c r="E129" s="25">
        <v>92.35</v>
      </c>
      <c r="F129" s="26" t="s">
        <v>53</v>
      </c>
    </row>
    <row r="130" spans="1:6" x14ac:dyDescent="0.35">
      <c r="A130" s="21">
        <v>46193</v>
      </c>
      <c r="B130" s="22">
        <v>755977</v>
      </c>
      <c r="C130" s="22" t="s">
        <v>83</v>
      </c>
      <c r="D130" s="22"/>
      <c r="E130" s="22">
        <v>516.52</v>
      </c>
      <c r="F130" s="23" t="s">
        <v>53</v>
      </c>
    </row>
    <row r="131" spans="1:6" x14ac:dyDescent="0.35">
      <c r="A131" s="24">
        <v>46196</v>
      </c>
      <c r="B131" s="25">
        <v>755978</v>
      </c>
      <c r="C131" s="25" t="s">
        <v>144</v>
      </c>
      <c r="D131" s="25"/>
      <c r="E131" s="25">
        <v>137.6</v>
      </c>
      <c r="F131" s="26" t="s">
        <v>53</v>
      </c>
    </row>
    <row r="132" spans="1:6" x14ac:dyDescent="0.35">
      <c r="A132" s="21">
        <v>46198</v>
      </c>
      <c r="B132" s="22">
        <v>755985</v>
      </c>
      <c r="C132" s="22" t="s">
        <v>8</v>
      </c>
      <c r="D132" s="22">
        <v>663489</v>
      </c>
      <c r="E132" s="22">
        <v>41.99</v>
      </c>
      <c r="F132" s="23" t="s">
        <v>8</v>
      </c>
    </row>
    <row r="133" spans="1:6" x14ac:dyDescent="0.35">
      <c r="A133" s="24">
        <v>46200</v>
      </c>
      <c r="B133" s="25">
        <v>755992</v>
      </c>
      <c r="C133" s="25" t="s">
        <v>103</v>
      </c>
      <c r="D133" s="25"/>
      <c r="E133" s="25">
        <v>360.38</v>
      </c>
      <c r="F133" s="26" t="s">
        <v>53</v>
      </c>
    </row>
    <row r="134" spans="1:6" x14ac:dyDescent="0.35">
      <c r="A134" s="21">
        <v>46205</v>
      </c>
      <c r="B134" s="22">
        <v>756000</v>
      </c>
      <c r="C134" s="22" t="s">
        <v>142</v>
      </c>
      <c r="D134" s="22"/>
      <c r="E134" s="22">
        <v>159.21</v>
      </c>
      <c r="F134" s="23" t="s">
        <v>53</v>
      </c>
    </row>
    <row r="135" spans="1:6" x14ac:dyDescent="0.35">
      <c r="A135" s="24">
        <v>46168</v>
      </c>
      <c r="B135" s="25">
        <v>756003</v>
      </c>
      <c r="C135" s="25" t="s">
        <v>54</v>
      </c>
      <c r="D135" s="25">
        <v>714642</v>
      </c>
      <c r="E135" s="25">
        <v>886.73</v>
      </c>
      <c r="F135" s="26" t="s">
        <v>53</v>
      </c>
    </row>
    <row r="136" spans="1:6" x14ac:dyDescent="0.35">
      <c r="A136" s="21">
        <v>46168</v>
      </c>
      <c r="B136" s="22">
        <v>756004</v>
      </c>
      <c r="C136" s="22" t="s">
        <v>137</v>
      </c>
      <c r="D136" s="22">
        <v>714642</v>
      </c>
      <c r="E136" s="22">
        <v>177.68</v>
      </c>
      <c r="F136" s="23" t="s">
        <v>53</v>
      </c>
    </row>
    <row r="137" spans="1:6" x14ac:dyDescent="0.35">
      <c r="A137" s="24">
        <v>46170</v>
      </c>
      <c r="B137" s="25">
        <v>756012</v>
      </c>
      <c r="C137" s="25" t="s">
        <v>95</v>
      </c>
      <c r="D137" s="25"/>
      <c r="E137" s="25">
        <v>427.16</v>
      </c>
      <c r="F137" s="26" t="s">
        <v>53</v>
      </c>
    </row>
    <row r="138" spans="1:6" x14ac:dyDescent="0.35">
      <c r="A138" s="21">
        <v>46170</v>
      </c>
      <c r="B138" s="22">
        <v>756013</v>
      </c>
      <c r="C138" s="22" t="s">
        <v>143</v>
      </c>
      <c r="D138" s="22"/>
      <c r="E138" s="22">
        <v>140.79</v>
      </c>
      <c r="F138" s="23" t="s">
        <v>53</v>
      </c>
    </row>
    <row r="139" spans="1:6" x14ac:dyDescent="0.35">
      <c r="A139" s="24">
        <v>46172</v>
      </c>
      <c r="B139" s="25">
        <v>756018</v>
      </c>
      <c r="C139" s="25" t="s">
        <v>121</v>
      </c>
      <c r="D139" s="25"/>
      <c r="E139" s="25">
        <v>258.06</v>
      </c>
      <c r="F139" s="26" t="s">
        <v>53</v>
      </c>
    </row>
    <row r="140" spans="1:6" x14ac:dyDescent="0.35">
      <c r="A140" s="21">
        <v>46172</v>
      </c>
      <c r="B140" s="22">
        <v>756019</v>
      </c>
      <c r="C140" s="22" t="s">
        <v>105</v>
      </c>
      <c r="D140" s="22"/>
      <c r="E140" s="22">
        <v>341.07</v>
      </c>
      <c r="F140" s="23" t="s">
        <v>53</v>
      </c>
    </row>
    <row r="141" spans="1:6" x14ac:dyDescent="0.35">
      <c r="A141" s="24">
        <v>46172</v>
      </c>
      <c r="B141" s="25">
        <v>756021</v>
      </c>
      <c r="C141" s="25" t="s">
        <v>100</v>
      </c>
      <c r="D141" s="25"/>
      <c r="E141" s="25">
        <v>384.36</v>
      </c>
      <c r="F141" s="26" t="s">
        <v>53</v>
      </c>
    </row>
    <row r="142" spans="1:6" x14ac:dyDescent="0.35">
      <c r="A142" s="21">
        <v>46174</v>
      </c>
      <c r="B142" s="22">
        <v>756024</v>
      </c>
      <c r="C142" s="22" t="s">
        <v>55</v>
      </c>
      <c r="D142" s="22">
        <v>663473</v>
      </c>
      <c r="E142" s="22">
        <v>880.34</v>
      </c>
      <c r="F142" s="23" t="s">
        <v>56</v>
      </c>
    </row>
    <row r="143" spans="1:6" x14ac:dyDescent="0.35">
      <c r="A143" s="24">
        <v>46175</v>
      </c>
      <c r="B143" s="25">
        <v>756028</v>
      </c>
      <c r="C143" s="25" t="s">
        <v>99</v>
      </c>
      <c r="D143" s="25"/>
      <c r="E143" s="25">
        <v>401.68</v>
      </c>
      <c r="F143" s="26" t="s">
        <v>53</v>
      </c>
    </row>
    <row r="144" spans="1:6" x14ac:dyDescent="0.35">
      <c r="A144" s="21">
        <v>46175</v>
      </c>
      <c r="B144" s="22">
        <v>756029</v>
      </c>
      <c r="C144" s="22" t="s">
        <v>140</v>
      </c>
      <c r="D144" s="22"/>
      <c r="E144" s="22">
        <v>146.06</v>
      </c>
      <c r="F144" s="23" t="s">
        <v>53</v>
      </c>
    </row>
    <row r="145" spans="1:6" x14ac:dyDescent="0.35">
      <c r="A145" s="24">
        <v>46175</v>
      </c>
      <c r="B145" s="25">
        <v>756030</v>
      </c>
      <c r="C145" s="25" t="s">
        <v>92</v>
      </c>
      <c r="D145" s="25"/>
      <c r="E145" s="25">
        <v>472.94</v>
      </c>
      <c r="F145" s="26" t="s">
        <v>53</v>
      </c>
    </row>
    <row r="146" spans="1:6" x14ac:dyDescent="0.35">
      <c r="A146" s="21">
        <v>46179</v>
      </c>
      <c r="B146" s="22">
        <v>756040</v>
      </c>
      <c r="C146" s="22" t="s">
        <v>150</v>
      </c>
      <c r="D146" s="22"/>
      <c r="E146" s="22">
        <v>109.39</v>
      </c>
      <c r="F146" s="23" t="s">
        <v>87</v>
      </c>
    </row>
    <row r="147" spans="1:6" x14ac:dyDescent="0.35">
      <c r="A147" s="24">
        <v>46179</v>
      </c>
      <c r="B147" s="25">
        <v>756041</v>
      </c>
      <c r="C147" s="25" t="s">
        <v>117</v>
      </c>
      <c r="D147" s="25"/>
      <c r="E147" s="25">
        <v>273.39</v>
      </c>
      <c r="F147" s="26" t="s">
        <v>53</v>
      </c>
    </row>
    <row r="148" spans="1:6" x14ac:dyDescent="0.35">
      <c r="A148" s="21">
        <v>46179</v>
      </c>
      <c r="B148" s="22">
        <v>756042</v>
      </c>
      <c r="C148" s="22" t="s">
        <v>146</v>
      </c>
      <c r="D148" s="22"/>
      <c r="E148" s="22">
        <v>129.65</v>
      </c>
      <c r="F148" s="23" t="s">
        <v>53</v>
      </c>
    </row>
    <row r="149" spans="1:6" x14ac:dyDescent="0.35">
      <c r="A149" s="24">
        <v>46179</v>
      </c>
      <c r="B149" s="25">
        <v>756043</v>
      </c>
      <c r="C149" s="25" t="s">
        <v>89</v>
      </c>
      <c r="D149" s="25"/>
      <c r="E149" s="25">
        <v>500.81</v>
      </c>
      <c r="F149" s="26" t="s">
        <v>53</v>
      </c>
    </row>
    <row r="150" spans="1:6" x14ac:dyDescent="0.35">
      <c r="A150" s="21">
        <v>46182</v>
      </c>
      <c r="B150" s="22">
        <v>756049</v>
      </c>
      <c r="C150" s="22" t="s">
        <v>160</v>
      </c>
      <c r="D150" s="22"/>
      <c r="E150" s="22">
        <v>63.1</v>
      </c>
      <c r="F150" s="23" t="s">
        <v>87</v>
      </c>
    </row>
    <row r="151" spans="1:6" x14ac:dyDescent="0.35">
      <c r="A151" s="24">
        <v>46210</v>
      </c>
      <c r="B151" s="25">
        <v>771256</v>
      </c>
      <c r="C151" s="25" t="s">
        <v>19</v>
      </c>
      <c r="D151" s="25">
        <v>715054</v>
      </c>
      <c r="E151" s="25">
        <v>8901</v>
      </c>
      <c r="F151" s="26" t="s">
        <v>19</v>
      </c>
    </row>
    <row r="152" spans="1:6" x14ac:dyDescent="0.35">
      <c r="A152" s="21">
        <v>46210</v>
      </c>
      <c r="B152" s="22">
        <v>771257</v>
      </c>
      <c r="C152" s="22" t="s">
        <v>24</v>
      </c>
      <c r="D152" s="22">
        <v>715054</v>
      </c>
      <c r="E152" s="22">
        <v>5865</v>
      </c>
      <c r="F152" s="23" t="s">
        <v>24</v>
      </c>
    </row>
    <row r="153" spans="1:6" x14ac:dyDescent="0.35">
      <c r="A153" s="24">
        <v>46210</v>
      </c>
      <c r="B153" s="25">
        <v>771258</v>
      </c>
      <c r="C153" s="25" t="s">
        <v>152</v>
      </c>
      <c r="D153" s="25"/>
      <c r="E153" s="25">
        <v>97.14</v>
      </c>
      <c r="F153" s="26" t="s">
        <v>53</v>
      </c>
    </row>
    <row r="154" spans="1:6" x14ac:dyDescent="0.35">
      <c r="A154" s="21">
        <v>46210</v>
      </c>
      <c r="B154" s="22">
        <v>771259</v>
      </c>
      <c r="C154" s="22" t="s">
        <v>10</v>
      </c>
      <c r="D154" s="22">
        <v>715054</v>
      </c>
      <c r="E154" s="22">
        <v>12.01</v>
      </c>
      <c r="F154" s="23" t="s">
        <v>9</v>
      </c>
    </row>
    <row r="155" spans="1:6" x14ac:dyDescent="0.35">
      <c r="A155" s="24">
        <v>46210</v>
      </c>
      <c r="B155" s="25">
        <v>771261</v>
      </c>
      <c r="C155" s="25" t="s">
        <v>115</v>
      </c>
      <c r="D155" s="25"/>
      <c r="E155" s="25">
        <v>296.99</v>
      </c>
      <c r="F155" s="26" t="s">
        <v>22</v>
      </c>
    </row>
    <row r="156" spans="1:6" x14ac:dyDescent="0.35">
      <c r="A156" s="21">
        <v>46211</v>
      </c>
      <c r="B156" s="22">
        <v>771262</v>
      </c>
      <c r="C156" s="22" t="s">
        <v>76</v>
      </c>
      <c r="D156" s="22"/>
      <c r="E156" s="22">
        <v>564.39</v>
      </c>
      <c r="F156" s="23" t="s">
        <v>53</v>
      </c>
    </row>
    <row r="157" spans="1:6" x14ac:dyDescent="0.35">
      <c r="A157" s="24">
        <v>46212</v>
      </c>
      <c r="B157" s="25">
        <v>771263</v>
      </c>
      <c r="C157" s="25" t="s">
        <v>10</v>
      </c>
      <c r="D157" s="25">
        <v>735121</v>
      </c>
      <c r="E157" s="25">
        <v>24.01</v>
      </c>
      <c r="F157" s="26" t="s">
        <v>9</v>
      </c>
    </row>
    <row r="158" spans="1:6" x14ac:dyDescent="0.35">
      <c r="A158" s="21">
        <v>46212</v>
      </c>
      <c r="B158" s="22">
        <v>771264</v>
      </c>
      <c r="C158" s="22" t="s">
        <v>8</v>
      </c>
      <c r="D158" s="22">
        <v>735121</v>
      </c>
      <c r="E158" s="22">
        <v>14</v>
      </c>
      <c r="F158" s="23" t="s">
        <v>8</v>
      </c>
    </row>
    <row r="159" spans="1:6" x14ac:dyDescent="0.35">
      <c r="A159" s="24">
        <v>46212</v>
      </c>
      <c r="B159" s="25">
        <v>771265</v>
      </c>
      <c r="C159" s="25" t="s">
        <v>19</v>
      </c>
      <c r="D159" s="25">
        <v>735121</v>
      </c>
      <c r="E159" s="25">
        <v>12213</v>
      </c>
      <c r="F159" s="26" t="s">
        <v>19</v>
      </c>
    </row>
    <row r="160" spans="1:6" x14ac:dyDescent="0.35">
      <c r="A160" s="21">
        <v>46212</v>
      </c>
      <c r="B160" s="22">
        <v>771266</v>
      </c>
      <c r="C160" s="22" t="s">
        <v>24</v>
      </c>
      <c r="D160" s="22">
        <v>735121</v>
      </c>
      <c r="E160" s="22">
        <v>5865</v>
      </c>
      <c r="F160" s="23" t="s">
        <v>24</v>
      </c>
    </row>
    <row r="161" spans="1:6" x14ac:dyDescent="0.35">
      <c r="A161" s="24">
        <v>46212</v>
      </c>
      <c r="B161" s="25">
        <v>771267</v>
      </c>
      <c r="C161" s="25" t="s">
        <v>128</v>
      </c>
      <c r="D161" s="25"/>
      <c r="E161" s="25">
        <v>225.62</v>
      </c>
      <c r="F161" s="26" t="s">
        <v>53</v>
      </c>
    </row>
    <row r="162" spans="1:6" x14ac:dyDescent="0.35">
      <c r="A162" s="21">
        <v>46212</v>
      </c>
      <c r="B162" s="22">
        <v>771268</v>
      </c>
      <c r="C162" s="22" t="s">
        <v>81</v>
      </c>
      <c r="D162" s="22"/>
      <c r="E162" s="22">
        <v>518</v>
      </c>
      <c r="F162" s="23" t="s">
        <v>53</v>
      </c>
    </row>
    <row r="163" spans="1:6" x14ac:dyDescent="0.35">
      <c r="A163" s="24">
        <v>46212</v>
      </c>
      <c r="B163" s="25">
        <v>771269</v>
      </c>
      <c r="C163" s="25" t="s">
        <v>50</v>
      </c>
      <c r="D163" s="25"/>
      <c r="E163" s="25">
        <v>1238.9000000000001</v>
      </c>
      <c r="F163" s="26" t="s">
        <v>7</v>
      </c>
    </row>
    <row r="164" spans="1:6" x14ac:dyDescent="0.35">
      <c r="A164" s="21">
        <v>46214</v>
      </c>
      <c r="B164" s="22">
        <v>771270</v>
      </c>
      <c r="C164" s="22" t="s">
        <v>19</v>
      </c>
      <c r="D164" s="22"/>
      <c r="E164" s="22">
        <v>10626</v>
      </c>
      <c r="F164" s="23" t="s">
        <v>19</v>
      </c>
    </row>
    <row r="165" spans="1:6" x14ac:dyDescent="0.35">
      <c r="A165" s="24">
        <v>46214</v>
      </c>
      <c r="B165" s="25">
        <v>771271</v>
      </c>
      <c r="C165" s="25" t="s">
        <v>24</v>
      </c>
      <c r="D165" s="25"/>
      <c r="E165" s="25">
        <v>7800</v>
      </c>
      <c r="F165" s="26" t="s">
        <v>24</v>
      </c>
    </row>
    <row r="166" spans="1:6" x14ac:dyDescent="0.35">
      <c r="A166" s="21">
        <v>46214</v>
      </c>
      <c r="B166" s="22">
        <v>771272</v>
      </c>
      <c r="C166" s="22" t="s">
        <v>24</v>
      </c>
      <c r="D166" s="22"/>
      <c r="E166" s="22">
        <v>1955</v>
      </c>
      <c r="F166" s="23" t="s">
        <v>24</v>
      </c>
    </row>
    <row r="167" spans="1:6" x14ac:dyDescent="0.35">
      <c r="A167" s="24">
        <v>46214</v>
      </c>
      <c r="B167" s="25">
        <v>771273</v>
      </c>
      <c r="C167" s="25" t="s">
        <v>176</v>
      </c>
      <c r="D167" s="25"/>
      <c r="E167" s="25">
        <v>12.01</v>
      </c>
      <c r="F167" s="26" t="s">
        <v>9</v>
      </c>
    </row>
    <row r="168" spans="1:6" x14ac:dyDescent="0.35">
      <c r="A168" s="27">
        <v>46214</v>
      </c>
      <c r="B168" s="16">
        <v>771274</v>
      </c>
      <c r="C168" s="16" t="s">
        <v>177</v>
      </c>
      <c r="D168" s="16"/>
      <c r="E168" s="16">
        <v>120</v>
      </c>
      <c r="F168" s="17" t="s">
        <v>53</v>
      </c>
    </row>
    <row r="169" spans="1:6" x14ac:dyDescent="0.35">
      <c r="E169">
        <f>SUM(E2:E168)</f>
        <v>310595.76000000013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CD2B7-FAB6-4E5A-818A-63D3B14C9CA7}">
  <sheetPr codeName="Sheet5"/>
  <dimension ref="A1:F170"/>
  <sheetViews>
    <sheetView tabSelected="1" workbookViewId="0">
      <pane ySplit="3" topLeftCell="A93" activePane="bottomLeft" state="frozen"/>
      <selection pane="bottomLeft" activeCell="C16" sqref="C16"/>
    </sheetView>
  </sheetViews>
  <sheetFormatPr defaultRowHeight="14.5" x14ac:dyDescent="0.35"/>
  <cols>
    <col min="1" max="1" width="10.54296875" style="1" customWidth="1"/>
    <col min="2" max="2" width="8.7265625" style="14" customWidth="1"/>
    <col min="3" max="3" width="64.26953125" bestFit="1" customWidth="1"/>
    <col min="4" max="4" width="8.1796875" customWidth="1"/>
    <col min="5" max="5" width="9.90625" style="2" bestFit="1" customWidth="1"/>
    <col min="6" max="6" width="31.54296875" bestFit="1" customWidth="1"/>
  </cols>
  <sheetData>
    <row r="1" spans="1:6" ht="18.5" x14ac:dyDescent="0.45">
      <c r="A1" s="15" t="s">
        <v>174</v>
      </c>
      <c r="B1" s="15"/>
      <c r="C1" s="15"/>
      <c r="D1" s="15"/>
      <c r="E1" s="15"/>
      <c r="F1" s="15"/>
    </row>
    <row r="2" spans="1:6" x14ac:dyDescent="0.35">
      <c r="B2" s="11">
        <f>COUNT(B4:B170)</f>
        <v>167</v>
      </c>
      <c r="C2" s="6" t="s">
        <v>172</v>
      </c>
      <c r="E2" s="2">
        <f>SUM(E4:E170)</f>
        <v>310595.76</v>
      </c>
      <c r="F2" s="2" t="s">
        <v>173</v>
      </c>
    </row>
    <row r="3" spans="1:6" s="10" customFormat="1" ht="29.15" customHeight="1" x14ac:dyDescent="0.35">
      <c r="A3" s="7" t="s">
        <v>0</v>
      </c>
      <c r="B3" s="12" t="s">
        <v>1</v>
      </c>
      <c r="C3" s="8" t="s">
        <v>2</v>
      </c>
      <c r="D3" s="8" t="s">
        <v>3</v>
      </c>
      <c r="E3" s="9" t="s">
        <v>4</v>
      </c>
      <c r="F3" s="8" t="s">
        <v>5</v>
      </c>
    </row>
    <row r="4" spans="1:6" x14ac:dyDescent="0.35">
      <c r="A4" s="3">
        <v>46214</v>
      </c>
      <c r="B4" s="13">
        <v>771274</v>
      </c>
      <c r="C4" s="4" t="s">
        <v>177</v>
      </c>
      <c r="D4" s="4"/>
      <c r="E4" s="5">
        <v>120</v>
      </c>
      <c r="F4" s="4" t="s">
        <v>53</v>
      </c>
    </row>
    <row r="5" spans="1:6" x14ac:dyDescent="0.35">
      <c r="A5" s="3">
        <v>46214</v>
      </c>
      <c r="B5" s="13">
        <v>771273</v>
      </c>
      <c r="C5" s="4" t="s">
        <v>176</v>
      </c>
      <c r="D5" s="4"/>
      <c r="E5" s="5">
        <v>12.01</v>
      </c>
      <c r="F5" s="4" t="s">
        <v>9</v>
      </c>
    </row>
    <row r="6" spans="1:6" x14ac:dyDescent="0.35">
      <c r="A6" s="3">
        <v>46214</v>
      </c>
      <c r="B6" s="13">
        <v>771272</v>
      </c>
      <c r="C6" s="4" t="s">
        <v>24</v>
      </c>
      <c r="D6" s="4"/>
      <c r="E6" s="5">
        <v>1955</v>
      </c>
      <c r="F6" s="4" t="s">
        <v>24</v>
      </c>
    </row>
    <row r="7" spans="1:6" x14ac:dyDescent="0.35">
      <c r="A7" s="3">
        <v>46214</v>
      </c>
      <c r="B7" s="13">
        <v>771271</v>
      </c>
      <c r="C7" s="4" t="s">
        <v>24</v>
      </c>
      <c r="D7" s="4"/>
      <c r="E7" s="5">
        <v>7800</v>
      </c>
      <c r="F7" s="4" t="s">
        <v>24</v>
      </c>
    </row>
    <row r="8" spans="1:6" x14ac:dyDescent="0.35">
      <c r="A8" s="3">
        <v>46214</v>
      </c>
      <c r="B8" s="13">
        <v>771270</v>
      </c>
      <c r="C8" s="4" t="s">
        <v>19</v>
      </c>
      <c r="D8" s="4"/>
      <c r="E8" s="5">
        <v>10626</v>
      </c>
      <c r="F8" s="4" t="s">
        <v>19</v>
      </c>
    </row>
    <row r="9" spans="1:6" x14ac:dyDescent="0.35">
      <c r="A9" s="3">
        <v>46212</v>
      </c>
      <c r="B9" s="13">
        <v>771269</v>
      </c>
      <c r="C9" s="4" t="s">
        <v>50</v>
      </c>
      <c r="D9" s="4"/>
      <c r="E9" s="5">
        <v>1238.9000000000001</v>
      </c>
      <c r="F9" s="4" t="s">
        <v>7</v>
      </c>
    </row>
    <row r="10" spans="1:6" x14ac:dyDescent="0.35">
      <c r="A10" s="3">
        <v>46212</v>
      </c>
      <c r="B10" s="13">
        <v>771268</v>
      </c>
      <c r="C10" s="4" t="s">
        <v>81</v>
      </c>
      <c r="D10" s="4"/>
      <c r="E10" s="5">
        <v>518</v>
      </c>
      <c r="F10" s="4" t="s">
        <v>53</v>
      </c>
    </row>
    <row r="11" spans="1:6" x14ac:dyDescent="0.35">
      <c r="A11" s="3">
        <v>46212</v>
      </c>
      <c r="B11" s="13">
        <v>771267</v>
      </c>
      <c r="C11" s="4" t="s">
        <v>128</v>
      </c>
      <c r="D11" s="4"/>
      <c r="E11" s="5">
        <v>225.62</v>
      </c>
      <c r="F11" s="4" t="s">
        <v>53</v>
      </c>
    </row>
    <row r="12" spans="1:6" x14ac:dyDescent="0.35">
      <c r="A12" s="3">
        <v>46212</v>
      </c>
      <c r="B12" s="13">
        <v>771266</v>
      </c>
      <c r="C12" s="4" t="s">
        <v>24</v>
      </c>
      <c r="D12" s="4">
        <v>735121</v>
      </c>
      <c r="E12" s="5">
        <v>5865</v>
      </c>
      <c r="F12" s="4" t="s">
        <v>24</v>
      </c>
    </row>
    <row r="13" spans="1:6" x14ac:dyDescent="0.35">
      <c r="A13" s="3">
        <v>46212</v>
      </c>
      <c r="B13" s="13">
        <v>771265</v>
      </c>
      <c r="C13" s="4" t="s">
        <v>19</v>
      </c>
      <c r="D13" s="4">
        <v>735121</v>
      </c>
      <c r="E13" s="5">
        <v>12213</v>
      </c>
      <c r="F13" s="4" t="s">
        <v>19</v>
      </c>
    </row>
    <row r="14" spans="1:6" x14ac:dyDescent="0.35">
      <c r="A14" s="3">
        <v>46212</v>
      </c>
      <c r="B14" s="13">
        <v>771264</v>
      </c>
      <c r="C14" s="4" t="s">
        <v>8</v>
      </c>
      <c r="D14" s="4">
        <v>735121</v>
      </c>
      <c r="E14" s="5">
        <v>14</v>
      </c>
      <c r="F14" s="4" t="s">
        <v>8</v>
      </c>
    </row>
    <row r="15" spans="1:6" x14ac:dyDescent="0.35">
      <c r="A15" s="3">
        <v>46212</v>
      </c>
      <c r="B15" s="13">
        <v>771263</v>
      </c>
      <c r="C15" s="4" t="s">
        <v>10</v>
      </c>
      <c r="D15" s="4">
        <v>735121</v>
      </c>
      <c r="E15" s="5">
        <v>24.01</v>
      </c>
      <c r="F15" s="4" t="s">
        <v>9</v>
      </c>
    </row>
    <row r="16" spans="1:6" x14ac:dyDescent="0.35">
      <c r="A16" s="3">
        <v>46211</v>
      </c>
      <c r="B16" s="13">
        <v>771262</v>
      </c>
      <c r="C16" s="4" t="s">
        <v>76</v>
      </c>
      <c r="D16" s="4"/>
      <c r="E16" s="5">
        <v>564.39</v>
      </c>
      <c r="F16" s="4" t="s">
        <v>53</v>
      </c>
    </row>
    <row r="17" spans="1:6" x14ac:dyDescent="0.35">
      <c r="A17" s="3">
        <v>46210</v>
      </c>
      <c r="B17" s="13">
        <v>771261</v>
      </c>
      <c r="C17" s="4" t="s">
        <v>115</v>
      </c>
      <c r="D17" s="4"/>
      <c r="E17" s="5">
        <v>296.99</v>
      </c>
      <c r="F17" s="4" t="s">
        <v>22</v>
      </c>
    </row>
    <row r="18" spans="1:6" x14ac:dyDescent="0.35">
      <c r="A18" s="3">
        <v>46210</v>
      </c>
      <c r="B18" s="13">
        <v>771259</v>
      </c>
      <c r="C18" s="4" t="s">
        <v>10</v>
      </c>
      <c r="D18" s="4">
        <v>715054</v>
      </c>
      <c r="E18" s="5">
        <v>12.01</v>
      </c>
      <c r="F18" s="4" t="s">
        <v>9</v>
      </c>
    </row>
    <row r="19" spans="1:6" x14ac:dyDescent="0.35">
      <c r="A19" s="3">
        <v>46210</v>
      </c>
      <c r="B19" s="13">
        <v>771258</v>
      </c>
      <c r="C19" s="4" t="s">
        <v>152</v>
      </c>
      <c r="D19" s="4"/>
      <c r="E19" s="5">
        <v>97.14</v>
      </c>
      <c r="F19" s="4" t="s">
        <v>53</v>
      </c>
    </row>
    <row r="20" spans="1:6" x14ac:dyDescent="0.35">
      <c r="A20" s="3">
        <v>46210</v>
      </c>
      <c r="B20" s="13">
        <v>771257</v>
      </c>
      <c r="C20" s="4" t="s">
        <v>24</v>
      </c>
      <c r="D20" s="4">
        <v>715054</v>
      </c>
      <c r="E20" s="5">
        <v>5865</v>
      </c>
      <c r="F20" s="4" t="s">
        <v>24</v>
      </c>
    </row>
    <row r="21" spans="1:6" x14ac:dyDescent="0.35">
      <c r="A21" s="3">
        <v>46210</v>
      </c>
      <c r="B21" s="13">
        <v>771256</v>
      </c>
      <c r="C21" s="4" t="s">
        <v>19</v>
      </c>
      <c r="D21" s="4">
        <v>715054</v>
      </c>
      <c r="E21" s="5">
        <v>8901</v>
      </c>
      <c r="F21" s="4" t="s">
        <v>19</v>
      </c>
    </row>
    <row r="22" spans="1:6" x14ac:dyDescent="0.35">
      <c r="A22" s="3">
        <v>46182</v>
      </c>
      <c r="B22" s="13">
        <v>756049</v>
      </c>
      <c r="C22" s="4" t="s">
        <v>160</v>
      </c>
      <c r="D22" s="4"/>
      <c r="E22" s="5">
        <v>63.1</v>
      </c>
      <c r="F22" s="4" t="s">
        <v>87</v>
      </c>
    </row>
    <row r="23" spans="1:6" x14ac:dyDescent="0.35">
      <c r="A23" s="3">
        <v>46179</v>
      </c>
      <c r="B23" s="13">
        <v>756043</v>
      </c>
      <c r="C23" s="4" t="s">
        <v>89</v>
      </c>
      <c r="D23" s="4"/>
      <c r="E23" s="5">
        <v>500.81</v>
      </c>
      <c r="F23" s="4" t="s">
        <v>53</v>
      </c>
    </row>
    <row r="24" spans="1:6" x14ac:dyDescent="0.35">
      <c r="A24" s="3">
        <v>46179</v>
      </c>
      <c r="B24" s="13">
        <v>756042</v>
      </c>
      <c r="C24" s="4" t="s">
        <v>146</v>
      </c>
      <c r="D24" s="4"/>
      <c r="E24" s="5">
        <v>129.65</v>
      </c>
      <c r="F24" s="4" t="s">
        <v>53</v>
      </c>
    </row>
    <row r="25" spans="1:6" x14ac:dyDescent="0.35">
      <c r="A25" s="3">
        <v>46179</v>
      </c>
      <c r="B25" s="13">
        <v>756041</v>
      </c>
      <c r="C25" s="4" t="s">
        <v>117</v>
      </c>
      <c r="D25" s="4"/>
      <c r="E25" s="5">
        <v>273.39</v>
      </c>
      <c r="F25" s="4" t="s">
        <v>53</v>
      </c>
    </row>
    <row r="26" spans="1:6" x14ac:dyDescent="0.35">
      <c r="A26" s="3">
        <v>46179</v>
      </c>
      <c r="B26" s="13">
        <v>756040</v>
      </c>
      <c r="C26" s="4" t="s">
        <v>150</v>
      </c>
      <c r="D26" s="4"/>
      <c r="E26" s="5">
        <v>109.39</v>
      </c>
      <c r="F26" s="4" t="s">
        <v>87</v>
      </c>
    </row>
    <row r="27" spans="1:6" x14ac:dyDescent="0.35">
      <c r="A27" s="3">
        <v>46175</v>
      </c>
      <c r="B27" s="13">
        <v>756030</v>
      </c>
      <c r="C27" s="4" t="s">
        <v>92</v>
      </c>
      <c r="D27" s="4"/>
      <c r="E27" s="5">
        <v>472.94</v>
      </c>
      <c r="F27" s="4" t="s">
        <v>53</v>
      </c>
    </row>
    <row r="28" spans="1:6" x14ac:dyDescent="0.35">
      <c r="A28" s="3">
        <v>46175</v>
      </c>
      <c r="B28" s="13">
        <v>756029</v>
      </c>
      <c r="C28" s="4" t="s">
        <v>140</v>
      </c>
      <c r="D28" s="4"/>
      <c r="E28" s="5">
        <v>146.06</v>
      </c>
      <c r="F28" s="4" t="s">
        <v>53</v>
      </c>
    </row>
    <row r="29" spans="1:6" x14ac:dyDescent="0.35">
      <c r="A29" s="3">
        <v>46175</v>
      </c>
      <c r="B29" s="13">
        <v>756028</v>
      </c>
      <c r="C29" s="4" t="s">
        <v>99</v>
      </c>
      <c r="D29" s="4"/>
      <c r="E29" s="5">
        <v>401.68</v>
      </c>
      <c r="F29" s="4" t="s">
        <v>53</v>
      </c>
    </row>
    <row r="30" spans="1:6" x14ac:dyDescent="0.35">
      <c r="A30" s="3">
        <v>46174</v>
      </c>
      <c r="B30" s="13">
        <v>756024</v>
      </c>
      <c r="C30" s="4" t="s">
        <v>55</v>
      </c>
      <c r="D30" s="4">
        <v>663473</v>
      </c>
      <c r="E30" s="5">
        <v>880.34</v>
      </c>
      <c r="F30" s="4" t="s">
        <v>56</v>
      </c>
    </row>
    <row r="31" spans="1:6" x14ac:dyDescent="0.35">
      <c r="A31" s="3">
        <v>46172</v>
      </c>
      <c r="B31" s="13">
        <v>756021</v>
      </c>
      <c r="C31" s="4" t="s">
        <v>100</v>
      </c>
      <c r="D31" s="4"/>
      <c r="E31" s="5">
        <v>384.36</v>
      </c>
      <c r="F31" s="4" t="s">
        <v>53</v>
      </c>
    </row>
    <row r="32" spans="1:6" x14ac:dyDescent="0.35">
      <c r="A32" s="3">
        <v>46172</v>
      </c>
      <c r="B32" s="13">
        <v>756019</v>
      </c>
      <c r="C32" s="4" t="s">
        <v>105</v>
      </c>
      <c r="D32" s="4"/>
      <c r="E32" s="5">
        <v>341.07</v>
      </c>
      <c r="F32" s="4" t="s">
        <v>53</v>
      </c>
    </row>
    <row r="33" spans="1:6" x14ac:dyDescent="0.35">
      <c r="A33" s="3">
        <v>46172</v>
      </c>
      <c r="B33" s="13">
        <v>756018</v>
      </c>
      <c r="C33" s="4" t="s">
        <v>121</v>
      </c>
      <c r="D33" s="4"/>
      <c r="E33" s="5">
        <v>258.06</v>
      </c>
      <c r="F33" s="4" t="s">
        <v>53</v>
      </c>
    </row>
    <row r="34" spans="1:6" x14ac:dyDescent="0.35">
      <c r="A34" s="3">
        <v>46170</v>
      </c>
      <c r="B34" s="13">
        <v>756013</v>
      </c>
      <c r="C34" s="4" t="s">
        <v>143</v>
      </c>
      <c r="D34" s="4"/>
      <c r="E34" s="5">
        <v>140.79</v>
      </c>
      <c r="F34" s="4" t="s">
        <v>53</v>
      </c>
    </row>
    <row r="35" spans="1:6" x14ac:dyDescent="0.35">
      <c r="A35" s="3">
        <v>46170</v>
      </c>
      <c r="B35" s="13">
        <v>756012</v>
      </c>
      <c r="C35" s="4" t="s">
        <v>95</v>
      </c>
      <c r="D35" s="4"/>
      <c r="E35" s="5">
        <v>427.16</v>
      </c>
      <c r="F35" s="4" t="s">
        <v>53</v>
      </c>
    </row>
    <row r="36" spans="1:6" x14ac:dyDescent="0.35">
      <c r="A36" s="3">
        <v>46168</v>
      </c>
      <c r="B36" s="13">
        <v>756004</v>
      </c>
      <c r="C36" s="4" t="s">
        <v>137</v>
      </c>
      <c r="D36" s="4">
        <v>714642</v>
      </c>
      <c r="E36" s="5">
        <v>177.68</v>
      </c>
      <c r="F36" s="4" t="s">
        <v>53</v>
      </c>
    </row>
    <row r="37" spans="1:6" x14ac:dyDescent="0.35">
      <c r="A37" s="3">
        <v>46168</v>
      </c>
      <c r="B37" s="13">
        <v>756003</v>
      </c>
      <c r="C37" s="4" t="s">
        <v>54</v>
      </c>
      <c r="D37" s="4">
        <v>714642</v>
      </c>
      <c r="E37" s="5">
        <v>886.73</v>
      </c>
      <c r="F37" s="4" t="s">
        <v>53</v>
      </c>
    </row>
    <row r="38" spans="1:6" x14ac:dyDescent="0.35">
      <c r="A38" s="3">
        <v>46205</v>
      </c>
      <c r="B38" s="13">
        <v>756000</v>
      </c>
      <c r="C38" s="4" t="s">
        <v>142</v>
      </c>
      <c r="D38" s="4"/>
      <c r="E38" s="5">
        <v>159.21</v>
      </c>
      <c r="F38" s="4" t="s">
        <v>53</v>
      </c>
    </row>
    <row r="39" spans="1:6" x14ac:dyDescent="0.35">
      <c r="A39" s="3">
        <v>46200</v>
      </c>
      <c r="B39" s="13">
        <v>755992</v>
      </c>
      <c r="C39" s="4" t="s">
        <v>103</v>
      </c>
      <c r="D39" s="4"/>
      <c r="E39" s="5">
        <v>360.38</v>
      </c>
      <c r="F39" s="4" t="s">
        <v>53</v>
      </c>
    </row>
    <row r="40" spans="1:6" x14ac:dyDescent="0.35">
      <c r="A40" s="3">
        <v>46198</v>
      </c>
      <c r="B40" s="13">
        <v>755985</v>
      </c>
      <c r="C40" s="4" t="s">
        <v>8</v>
      </c>
      <c r="D40" s="4">
        <v>663489</v>
      </c>
      <c r="E40" s="5">
        <v>41.99</v>
      </c>
      <c r="F40" s="4" t="s">
        <v>8</v>
      </c>
    </row>
    <row r="41" spans="1:6" x14ac:dyDescent="0.35">
      <c r="A41" s="3">
        <v>46196</v>
      </c>
      <c r="B41" s="13">
        <v>755978</v>
      </c>
      <c r="C41" s="4" t="s">
        <v>144</v>
      </c>
      <c r="D41" s="4"/>
      <c r="E41" s="5">
        <v>137.6</v>
      </c>
      <c r="F41" s="4" t="s">
        <v>53</v>
      </c>
    </row>
    <row r="42" spans="1:6" x14ac:dyDescent="0.35">
      <c r="A42" s="3">
        <v>46193</v>
      </c>
      <c r="B42" s="13">
        <v>755977</v>
      </c>
      <c r="C42" s="4" t="s">
        <v>83</v>
      </c>
      <c r="D42" s="4"/>
      <c r="E42" s="5">
        <v>516.52</v>
      </c>
      <c r="F42" s="4" t="s">
        <v>53</v>
      </c>
    </row>
    <row r="43" spans="1:6" x14ac:dyDescent="0.35">
      <c r="A43" s="3">
        <v>46193</v>
      </c>
      <c r="B43" s="13">
        <v>755974</v>
      </c>
      <c r="C43" s="4" t="s">
        <v>154</v>
      </c>
      <c r="D43" s="4"/>
      <c r="E43" s="5">
        <v>92.35</v>
      </c>
      <c r="F43" s="4" t="s">
        <v>53</v>
      </c>
    </row>
    <row r="44" spans="1:6" x14ac:dyDescent="0.35">
      <c r="A44" s="3">
        <v>46191</v>
      </c>
      <c r="B44" s="13">
        <v>755973</v>
      </c>
      <c r="C44" s="4" t="s">
        <v>130</v>
      </c>
      <c r="D44" s="4"/>
      <c r="E44" s="5">
        <v>213.7</v>
      </c>
      <c r="F44" s="4" t="s">
        <v>53</v>
      </c>
    </row>
    <row r="45" spans="1:6" x14ac:dyDescent="0.35">
      <c r="A45" s="3">
        <v>46191</v>
      </c>
      <c r="B45" s="13">
        <v>755972</v>
      </c>
      <c r="C45" s="4" t="s">
        <v>162</v>
      </c>
      <c r="D45" s="4"/>
      <c r="E45" s="5">
        <v>56.96</v>
      </c>
      <c r="F45" s="4" t="s">
        <v>53</v>
      </c>
    </row>
    <row r="46" spans="1:6" x14ac:dyDescent="0.35">
      <c r="A46" s="3">
        <v>46191</v>
      </c>
      <c r="B46" s="13">
        <v>755971</v>
      </c>
      <c r="C46" s="4" t="s">
        <v>132</v>
      </c>
      <c r="D46" s="4"/>
      <c r="E46" s="5">
        <v>210.29</v>
      </c>
      <c r="F46" s="4" t="s">
        <v>53</v>
      </c>
    </row>
    <row r="47" spans="1:6" x14ac:dyDescent="0.35">
      <c r="A47" s="3">
        <v>46188</v>
      </c>
      <c r="B47" s="13">
        <v>755962</v>
      </c>
      <c r="C47" s="4" t="s">
        <v>55</v>
      </c>
      <c r="D47" s="4"/>
      <c r="E47" s="5">
        <v>662.91</v>
      </c>
      <c r="F47" s="4" t="s">
        <v>67</v>
      </c>
    </row>
    <row r="48" spans="1:6" x14ac:dyDescent="0.35">
      <c r="A48" s="3">
        <v>46184</v>
      </c>
      <c r="B48" s="13">
        <v>755956</v>
      </c>
      <c r="C48" s="4" t="s">
        <v>104</v>
      </c>
      <c r="D48" s="4"/>
      <c r="E48" s="5">
        <v>345.49</v>
      </c>
      <c r="F48" s="4" t="s">
        <v>22</v>
      </c>
    </row>
    <row r="49" spans="1:6" x14ac:dyDescent="0.35">
      <c r="A49" s="3">
        <v>46184</v>
      </c>
      <c r="B49" s="13">
        <v>755955</v>
      </c>
      <c r="C49" s="4" t="s">
        <v>72</v>
      </c>
      <c r="D49" s="4"/>
      <c r="E49" s="5">
        <v>595.79</v>
      </c>
      <c r="F49" s="4" t="s">
        <v>53</v>
      </c>
    </row>
    <row r="50" spans="1:6" x14ac:dyDescent="0.35">
      <c r="A50" s="3">
        <v>46184</v>
      </c>
      <c r="B50" s="13">
        <v>755954</v>
      </c>
      <c r="C50" s="4" t="s">
        <v>131</v>
      </c>
      <c r="D50" s="4"/>
      <c r="E50" s="5">
        <v>211.11</v>
      </c>
      <c r="F50" s="4" t="s">
        <v>53</v>
      </c>
    </row>
    <row r="51" spans="1:6" x14ac:dyDescent="0.35">
      <c r="A51" s="3">
        <v>46182</v>
      </c>
      <c r="B51" s="13">
        <v>750648</v>
      </c>
      <c r="C51" s="4" t="s">
        <v>124</v>
      </c>
      <c r="D51" s="4">
        <v>707084</v>
      </c>
      <c r="E51" s="5">
        <v>249.74</v>
      </c>
      <c r="F51" s="4" t="s">
        <v>53</v>
      </c>
    </row>
    <row r="52" spans="1:6" x14ac:dyDescent="0.35">
      <c r="A52" s="3">
        <v>46163</v>
      </c>
      <c r="B52" s="13">
        <v>745646</v>
      </c>
      <c r="C52" s="4" t="s">
        <v>97</v>
      </c>
      <c r="D52" s="4"/>
      <c r="E52" s="5">
        <v>419.65</v>
      </c>
      <c r="F52" s="4" t="s">
        <v>63</v>
      </c>
    </row>
    <row r="53" spans="1:6" x14ac:dyDescent="0.35">
      <c r="A53" s="3">
        <v>46161</v>
      </c>
      <c r="B53" s="13">
        <v>745641</v>
      </c>
      <c r="C53" s="4" t="s">
        <v>64</v>
      </c>
      <c r="D53" s="4"/>
      <c r="E53" s="5">
        <v>704.79</v>
      </c>
      <c r="F53" s="4" t="s">
        <v>12</v>
      </c>
    </row>
    <row r="54" spans="1:6" x14ac:dyDescent="0.35">
      <c r="A54" s="3">
        <v>46161</v>
      </c>
      <c r="B54" s="13">
        <v>745640</v>
      </c>
      <c r="C54" s="4" t="s">
        <v>110</v>
      </c>
      <c r="D54" s="4"/>
      <c r="E54" s="5">
        <v>313.77</v>
      </c>
      <c r="F54" s="4" t="s">
        <v>53</v>
      </c>
    </row>
    <row r="55" spans="1:6" x14ac:dyDescent="0.35">
      <c r="A55" s="3">
        <v>46161</v>
      </c>
      <c r="B55" s="13">
        <v>745636</v>
      </c>
      <c r="C55" s="4" t="s">
        <v>10</v>
      </c>
      <c r="D55" s="4">
        <v>723422</v>
      </c>
      <c r="E55" s="5">
        <v>12.01</v>
      </c>
      <c r="F55" s="4" t="s">
        <v>9</v>
      </c>
    </row>
    <row r="56" spans="1:6" x14ac:dyDescent="0.35">
      <c r="A56" s="3">
        <v>46158</v>
      </c>
      <c r="B56" s="13">
        <v>745632</v>
      </c>
      <c r="C56" s="4" t="s">
        <v>15</v>
      </c>
      <c r="D56" s="4"/>
      <c r="E56" s="5">
        <v>28479.57</v>
      </c>
      <c r="F56" s="4" t="s">
        <v>16</v>
      </c>
    </row>
    <row r="57" spans="1:6" x14ac:dyDescent="0.35">
      <c r="A57" s="3">
        <v>46157</v>
      </c>
      <c r="B57" s="13">
        <v>745631</v>
      </c>
      <c r="C57" s="4" t="s">
        <v>11</v>
      </c>
      <c r="D57" s="4"/>
      <c r="E57" s="5">
        <v>71463.990000000005</v>
      </c>
      <c r="F57" s="4" t="s">
        <v>12</v>
      </c>
    </row>
    <row r="58" spans="1:6" x14ac:dyDescent="0.35">
      <c r="A58" s="3">
        <v>46149</v>
      </c>
      <c r="B58" s="13">
        <v>745618</v>
      </c>
      <c r="C58" s="4" t="s">
        <v>102</v>
      </c>
      <c r="D58" s="4">
        <v>703780</v>
      </c>
      <c r="E58" s="5">
        <v>367.22</v>
      </c>
      <c r="F58" s="4" t="s">
        <v>53</v>
      </c>
    </row>
    <row r="59" spans="1:6" x14ac:dyDescent="0.35">
      <c r="A59" s="3">
        <v>46148</v>
      </c>
      <c r="B59" s="13">
        <v>745611</v>
      </c>
      <c r="C59" s="4" t="s">
        <v>35</v>
      </c>
      <c r="D59" s="4"/>
      <c r="E59" s="5">
        <v>1712.14</v>
      </c>
      <c r="F59" s="4" t="s">
        <v>36</v>
      </c>
    </row>
    <row r="60" spans="1:6" x14ac:dyDescent="0.35">
      <c r="A60" s="3">
        <v>46147</v>
      </c>
      <c r="B60" s="13">
        <v>745610</v>
      </c>
      <c r="C60" s="4" t="s">
        <v>123</v>
      </c>
      <c r="D60" s="4"/>
      <c r="E60" s="5">
        <v>250.57</v>
      </c>
      <c r="F60" s="4" t="s">
        <v>53</v>
      </c>
    </row>
    <row r="61" spans="1:6" x14ac:dyDescent="0.35">
      <c r="A61" s="3">
        <v>46147</v>
      </c>
      <c r="B61" s="13">
        <v>745609</v>
      </c>
      <c r="C61" s="4" t="s">
        <v>58</v>
      </c>
      <c r="D61" s="4"/>
      <c r="E61" s="5">
        <v>851.05</v>
      </c>
      <c r="F61" s="4" t="s">
        <v>38</v>
      </c>
    </row>
    <row r="62" spans="1:6" x14ac:dyDescent="0.35">
      <c r="A62" s="3">
        <v>46147</v>
      </c>
      <c r="B62" s="13">
        <v>745605</v>
      </c>
      <c r="C62" s="4" t="s">
        <v>71</v>
      </c>
      <c r="D62" s="4"/>
      <c r="E62" s="5">
        <v>605.39</v>
      </c>
      <c r="F62" s="4" t="s">
        <v>22</v>
      </c>
    </row>
    <row r="63" spans="1:6" x14ac:dyDescent="0.35">
      <c r="A63" s="3">
        <v>46135</v>
      </c>
      <c r="B63" s="13">
        <v>745590</v>
      </c>
      <c r="C63" s="4" t="s">
        <v>98</v>
      </c>
      <c r="D63" s="4"/>
      <c r="E63" s="5">
        <v>414.13</v>
      </c>
      <c r="F63" s="4" t="s">
        <v>22</v>
      </c>
    </row>
    <row r="64" spans="1:6" x14ac:dyDescent="0.35">
      <c r="A64" s="3">
        <v>46133</v>
      </c>
      <c r="B64" s="13">
        <v>745584</v>
      </c>
      <c r="C64" s="4" t="s">
        <v>8</v>
      </c>
      <c r="D64" s="4">
        <v>726269</v>
      </c>
      <c r="E64" s="5">
        <v>83.97</v>
      </c>
      <c r="F64" s="4" t="s">
        <v>8</v>
      </c>
    </row>
    <row r="65" spans="1:6" x14ac:dyDescent="0.35">
      <c r="A65" s="3">
        <v>46133</v>
      </c>
      <c r="B65" s="13">
        <v>745583</v>
      </c>
      <c r="C65" s="4" t="s">
        <v>6</v>
      </c>
      <c r="D65" s="4">
        <v>726269</v>
      </c>
      <c r="E65" s="5">
        <v>48.02</v>
      </c>
      <c r="F65" s="4" t="s">
        <v>9</v>
      </c>
    </row>
    <row r="66" spans="1:6" x14ac:dyDescent="0.35">
      <c r="A66" s="3">
        <v>46130</v>
      </c>
      <c r="B66" s="13">
        <v>745580</v>
      </c>
      <c r="C66" s="4" t="s">
        <v>69</v>
      </c>
      <c r="D66" s="4"/>
      <c r="E66" s="5">
        <v>624.45000000000005</v>
      </c>
      <c r="F66" s="4" t="s">
        <v>53</v>
      </c>
    </row>
    <row r="67" spans="1:6" x14ac:dyDescent="0.35">
      <c r="A67" s="3">
        <v>46128</v>
      </c>
      <c r="B67" s="13">
        <v>745576</v>
      </c>
      <c r="C67" s="4" t="s">
        <v>25</v>
      </c>
      <c r="D67" s="4"/>
      <c r="E67" s="5">
        <v>7572.06</v>
      </c>
      <c r="F67" s="4" t="s">
        <v>22</v>
      </c>
    </row>
    <row r="68" spans="1:6" x14ac:dyDescent="0.35">
      <c r="A68" s="3">
        <v>46128</v>
      </c>
      <c r="B68" s="13">
        <v>745575</v>
      </c>
      <c r="C68" s="4" t="s">
        <v>107</v>
      </c>
      <c r="D68" s="4"/>
      <c r="E68" s="5">
        <v>332.51</v>
      </c>
      <c r="F68" s="4" t="s">
        <v>87</v>
      </c>
    </row>
    <row r="69" spans="1:6" x14ac:dyDescent="0.35">
      <c r="A69" s="3">
        <v>46128</v>
      </c>
      <c r="B69" s="13">
        <v>745572</v>
      </c>
      <c r="C69" s="4" t="s">
        <v>114</v>
      </c>
      <c r="D69" s="4"/>
      <c r="E69" s="5">
        <v>299.29000000000002</v>
      </c>
      <c r="F69" s="4" t="s">
        <v>53</v>
      </c>
    </row>
    <row r="70" spans="1:6" x14ac:dyDescent="0.35">
      <c r="A70" s="3">
        <v>46127</v>
      </c>
      <c r="B70" s="13">
        <v>745566</v>
      </c>
      <c r="C70" s="4" t="s">
        <v>145</v>
      </c>
      <c r="D70" s="4"/>
      <c r="E70" s="5">
        <v>135.37</v>
      </c>
      <c r="F70" s="4" t="s">
        <v>20</v>
      </c>
    </row>
    <row r="71" spans="1:6" x14ac:dyDescent="0.35">
      <c r="A71" s="3">
        <v>46127</v>
      </c>
      <c r="B71" s="13">
        <v>745565</v>
      </c>
      <c r="C71" s="4" t="s">
        <v>43</v>
      </c>
      <c r="D71" s="4"/>
      <c r="E71" s="5">
        <v>1353.7</v>
      </c>
      <c r="F71" s="4" t="s">
        <v>20</v>
      </c>
    </row>
    <row r="72" spans="1:6" x14ac:dyDescent="0.35">
      <c r="A72" s="3">
        <v>46127</v>
      </c>
      <c r="B72" s="13">
        <v>745562</v>
      </c>
      <c r="C72" s="4" t="s">
        <v>49</v>
      </c>
      <c r="D72" s="4"/>
      <c r="E72" s="5">
        <v>1289.4000000000001</v>
      </c>
      <c r="F72" s="4" t="s">
        <v>20</v>
      </c>
    </row>
    <row r="73" spans="1:6" x14ac:dyDescent="0.35">
      <c r="A73" s="3">
        <v>46127</v>
      </c>
      <c r="B73" s="13">
        <v>745560</v>
      </c>
      <c r="C73" s="4" t="s">
        <v>26</v>
      </c>
      <c r="D73" s="4"/>
      <c r="E73" s="5">
        <v>5650.38</v>
      </c>
      <c r="F73" s="4" t="s">
        <v>20</v>
      </c>
    </row>
    <row r="74" spans="1:6" x14ac:dyDescent="0.35">
      <c r="A74" s="3">
        <v>46123</v>
      </c>
      <c r="B74" s="13">
        <v>745556</v>
      </c>
      <c r="C74" s="4" t="s">
        <v>158</v>
      </c>
      <c r="D74" s="4"/>
      <c r="E74" s="5">
        <v>67.31</v>
      </c>
      <c r="F74" s="4" t="s">
        <v>53</v>
      </c>
    </row>
    <row r="75" spans="1:6" x14ac:dyDescent="0.35">
      <c r="A75" s="3">
        <v>46122</v>
      </c>
      <c r="B75" s="13">
        <v>745551</v>
      </c>
      <c r="C75" s="4" t="s">
        <v>29</v>
      </c>
      <c r="D75" s="4"/>
      <c r="E75" s="5">
        <v>3068.89</v>
      </c>
      <c r="F75" s="4" t="s">
        <v>22</v>
      </c>
    </row>
    <row r="76" spans="1:6" x14ac:dyDescent="0.35">
      <c r="A76" s="3">
        <v>46102</v>
      </c>
      <c r="B76" s="13">
        <v>734648</v>
      </c>
      <c r="C76" s="4" t="s">
        <v>68</v>
      </c>
      <c r="D76" s="4"/>
      <c r="E76" s="5">
        <v>633.95000000000005</v>
      </c>
      <c r="F76" s="4" t="s">
        <v>38</v>
      </c>
    </row>
    <row r="77" spans="1:6" x14ac:dyDescent="0.35">
      <c r="A77" s="3">
        <v>46098</v>
      </c>
      <c r="B77" s="13">
        <v>734642</v>
      </c>
      <c r="C77" s="4" t="s">
        <v>79</v>
      </c>
      <c r="D77" s="4"/>
      <c r="E77" s="5">
        <v>523.41999999999996</v>
      </c>
      <c r="F77" s="4" t="s">
        <v>22</v>
      </c>
    </row>
    <row r="78" spans="1:6" x14ac:dyDescent="0.35">
      <c r="A78" s="3">
        <v>46097</v>
      </c>
      <c r="B78" s="13">
        <v>734636</v>
      </c>
      <c r="C78" s="4" t="s">
        <v>48</v>
      </c>
      <c r="D78" s="4"/>
      <c r="E78" s="5">
        <v>1316.01</v>
      </c>
      <c r="F78" s="4" t="s">
        <v>22</v>
      </c>
    </row>
    <row r="79" spans="1:6" x14ac:dyDescent="0.35">
      <c r="A79" s="3">
        <v>46093</v>
      </c>
      <c r="B79" s="13">
        <v>734631</v>
      </c>
      <c r="C79" s="4" t="s">
        <v>75</v>
      </c>
      <c r="D79" s="4"/>
      <c r="E79" s="5">
        <v>581.72</v>
      </c>
      <c r="F79" s="4" t="s">
        <v>42</v>
      </c>
    </row>
    <row r="80" spans="1:6" x14ac:dyDescent="0.35">
      <c r="A80" s="3">
        <v>46091</v>
      </c>
      <c r="B80" s="13">
        <v>734624</v>
      </c>
      <c r="C80" s="4" t="s">
        <v>112</v>
      </c>
      <c r="D80" s="4"/>
      <c r="E80" s="5">
        <v>301.8</v>
      </c>
      <c r="F80" s="4" t="s">
        <v>53</v>
      </c>
    </row>
    <row r="81" spans="1:6" x14ac:dyDescent="0.35">
      <c r="A81" s="3">
        <v>46088</v>
      </c>
      <c r="B81" s="13">
        <v>734619</v>
      </c>
      <c r="C81" s="4" t="s">
        <v>66</v>
      </c>
      <c r="D81" s="4"/>
      <c r="E81" s="5">
        <v>689.38</v>
      </c>
      <c r="F81" s="4" t="s">
        <v>22</v>
      </c>
    </row>
    <row r="82" spans="1:6" x14ac:dyDescent="0.35">
      <c r="A82" s="3">
        <v>46086</v>
      </c>
      <c r="B82" s="13">
        <v>734614</v>
      </c>
      <c r="C82" s="4" t="s">
        <v>94</v>
      </c>
      <c r="D82" s="4"/>
      <c r="E82" s="5">
        <v>37.58</v>
      </c>
      <c r="F82" s="4" t="s">
        <v>87</v>
      </c>
    </row>
    <row r="83" spans="1:6" x14ac:dyDescent="0.35">
      <c r="A83" s="3">
        <v>46086</v>
      </c>
      <c r="B83" s="13">
        <v>734613</v>
      </c>
      <c r="C83" s="4" t="s">
        <v>86</v>
      </c>
      <c r="D83" s="4"/>
      <c r="E83" s="5">
        <v>511.6</v>
      </c>
      <c r="F83" s="4" t="s">
        <v>87</v>
      </c>
    </row>
    <row r="84" spans="1:6" x14ac:dyDescent="0.35">
      <c r="A84" s="3">
        <v>46086</v>
      </c>
      <c r="B84" s="13">
        <v>734612</v>
      </c>
      <c r="C84" s="4" t="s">
        <v>106</v>
      </c>
      <c r="D84" s="4"/>
      <c r="E84" s="5">
        <v>339.31</v>
      </c>
      <c r="F84" s="4" t="s">
        <v>53</v>
      </c>
    </row>
    <row r="85" spans="1:6" x14ac:dyDescent="0.35">
      <c r="A85" s="3">
        <v>46084</v>
      </c>
      <c r="B85" s="13">
        <v>734607</v>
      </c>
      <c r="C85" s="4" t="s">
        <v>70</v>
      </c>
      <c r="D85" s="4"/>
      <c r="E85" s="5">
        <v>617.67999999999995</v>
      </c>
      <c r="F85" s="4" t="s">
        <v>7</v>
      </c>
    </row>
    <row r="86" spans="1:6" x14ac:dyDescent="0.35">
      <c r="A86" s="3">
        <v>46121</v>
      </c>
      <c r="B86" s="13">
        <v>734600</v>
      </c>
      <c r="C86" s="4" t="s">
        <v>167</v>
      </c>
      <c r="D86" s="4"/>
      <c r="E86" s="5">
        <v>43.33</v>
      </c>
      <c r="F86" s="4" t="s">
        <v>87</v>
      </c>
    </row>
    <row r="87" spans="1:6" x14ac:dyDescent="0.35">
      <c r="A87" s="3">
        <v>46116</v>
      </c>
      <c r="B87" s="13">
        <v>734591</v>
      </c>
      <c r="C87" s="4" t="s">
        <v>153</v>
      </c>
      <c r="D87" s="4"/>
      <c r="E87" s="5">
        <v>92.92</v>
      </c>
      <c r="F87" s="4" t="s">
        <v>53</v>
      </c>
    </row>
    <row r="88" spans="1:6" x14ac:dyDescent="0.35">
      <c r="A88" s="3">
        <v>46116</v>
      </c>
      <c r="B88" s="13">
        <v>734590</v>
      </c>
      <c r="C88" s="4" t="s">
        <v>161</v>
      </c>
      <c r="D88" s="4"/>
      <c r="E88" s="5">
        <v>58.1</v>
      </c>
      <c r="F88" s="4" t="s">
        <v>53</v>
      </c>
    </row>
    <row r="89" spans="1:6" x14ac:dyDescent="0.35">
      <c r="A89" s="3">
        <v>46114</v>
      </c>
      <c r="B89" s="13">
        <v>734586</v>
      </c>
      <c r="C89" s="4" t="s">
        <v>170</v>
      </c>
      <c r="D89" s="4"/>
      <c r="E89" s="5">
        <v>11.6</v>
      </c>
      <c r="F89" s="4" t="s">
        <v>87</v>
      </c>
    </row>
    <row r="90" spans="1:6" x14ac:dyDescent="0.35">
      <c r="A90" s="3">
        <v>46114</v>
      </c>
      <c r="B90" s="13">
        <v>734585</v>
      </c>
      <c r="C90" s="4" t="s">
        <v>159</v>
      </c>
      <c r="D90" s="4"/>
      <c r="E90" s="5">
        <v>65.209999999999994</v>
      </c>
      <c r="F90" s="4" t="s">
        <v>87</v>
      </c>
    </row>
    <row r="91" spans="1:6" x14ac:dyDescent="0.35">
      <c r="A91" s="3">
        <v>46107</v>
      </c>
      <c r="B91" s="13">
        <v>734567</v>
      </c>
      <c r="C91" s="4" t="s">
        <v>136</v>
      </c>
      <c r="D91" s="4"/>
      <c r="E91" s="5">
        <v>183.38</v>
      </c>
      <c r="F91" s="4" t="s">
        <v>7</v>
      </c>
    </row>
    <row r="92" spans="1:6" x14ac:dyDescent="0.35">
      <c r="A92" s="3">
        <v>46107</v>
      </c>
      <c r="B92" s="13">
        <v>734566</v>
      </c>
      <c r="C92" s="4" t="s">
        <v>88</v>
      </c>
      <c r="D92" s="4"/>
      <c r="E92" s="5">
        <v>503.44</v>
      </c>
      <c r="F92" s="4" t="s">
        <v>22</v>
      </c>
    </row>
    <row r="93" spans="1:6" x14ac:dyDescent="0.35">
      <c r="A93" s="3">
        <v>45011</v>
      </c>
      <c r="B93" s="13">
        <v>734565</v>
      </c>
      <c r="C93" s="4" t="s">
        <v>37</v>
      </c>
      <c r="D93" s="4"/>
      <c r="E93" s="5">
        <v>1642.76</v>
      </c>
      <c r="F93" s="4" t="s">
        <v>38</v>
      </c>
    </row>
    <row r="94" spans="1:6" x14ac:dyDescent="0.35">
      <c r="A94" s="3">
        <v>46074</v>
      </c>
      <c r="B94" s="13">
        <v>711584</v>
      </c>
      <c r="C94" s="4" t="s">
        <v>138</v>
      </c>
      <c r="D94" s="4"/>
      <c r="E94" s="5">
        <v>177.28</v>
      </c>
      <c r="F94" s="4" t="s">
        <v>38</v>
      </c>
    </row>
    <row r="95" spans="1:6" x14ac:dyDescent="0.35">
      <c r="A95" s="3">
        <v>46074</v>
      </c>
      <c r="B95" s="13">
        <v>711583</v>
      </c>
      <c r="C95" s="4" t="s">
        <v>135</v>
      </c>
      <c r="D95" s="4"/>
      <c r="E95" s="5">
        <v>184.87</v>
      </c>
      <c r="F95" s="4" t="s">
        <v>7</v>
      </c>
    </row>
    <row r="96" spans="1:6" x14ac:dyDescent="0.35">
      <c r="A96" s="3">
        <v>46074</v>
      </c>
      <c r="B96" s="13">
        <v>711580</v>
      </c>
      <c r="C96" s="4" t="s">
        <v>57</v>
      </c>
      <c r="D96" s="4"/>
      <c r="E96" s="5">
        <v>856.28</v>
      </c>
      <c r="F96" s="4" t="s">
        <v>7</v>
      </c>
    </row>
    <row r="97" spans="1:6" x14ac:dyDescent="0.35">
      <c r="A97" s="3">
        <v>46063</v>
      </c>
      <c r="B97" s="13">
        <v>711550</v>
      </c>
      <c r="C97" s="4" t="s">
        <v>113</v>
      </c>
      <c r="D97" s="4"/>
      <c r="E97" s="5">
        <v>300.33</v>
      </c>
      <c r="F97" s="4" t="s">
        <v>53</v>
      </c>
    </row>
    <row r="98" spans="1:6" x14ac:dyDescent="0.35">
      <c r="A98" s="3">
        <v>46060</v>
      </c>
      <c r="B98" s="13">
        <v>711548</v>
      </c>
      <c r="C98" s="4" t="s">
        <v>126</v>
      </c>
      <c r="D98" s="4"/>
      <c r="E98" s="5">
        <v>241.67</v>
      </c>
      <c r="F98" s="4" t="s">
        <v>22</v>
      </c>
    </row>
    <row r="99" spans="1:6" x14ac:dyDescent="0.35">
      <c r="A99" s="3">
        <v>46149</v>
      </c>
      <c r="B99" s="13">
        <v>711547</v>
      </c>
      <c r="C99" s="4" t="s">
        <v>41</v>
      </c>
      <c r="D99" s="4"/>
      <c r="E99" s="5">
        <v>1600.7</v>
      </c>
      <c r="F99" s="4" t="s">
        <v>42</v>
      </c>
    </row>
    <row r="100" spans="1:6" x14ac:dyDescent="0.35">
      <c r="A100" s="3">
        <v>46058</v>
      </c>
      <c r="B100" s="13">
        <v>711541</v>
      </c>
      <c r="C100" s="4" t="s">
        <v>59</v>
      </c>
      <c r="D100" s="4">
        <v>687368</v>
      </c>
      <c r="E100" s="5">
        <v>846.27</v>
      </c>
      <c r="F100" s="4" t="s">
        <v>53</v>
      </c>
    </row>
    <row r="101" spans="1:6" x14ac:dyDescent="0.35">
      <c r="A101" s="3">
        <v>46056</v>
      </c>
      <c r="B101" s="13">
        <v>711536</v>
      </c>
      <c r="C101" s="4" t="s">
        <v>140</v>
      </c>
      <c r="D101" s="4"/>
      <c r="E101" s="5">
        <v>170.52</v>
      </c>
      <c r="F101" s="4" t="s">
        <v>53</v>
      </c>
    </row>
    <row r="102" spans="1:6" x14ac:dyDescent="0.35">
      <c r="A102" s="3">
        <v>46056</v>
      </c>
      <c r="B102" s="13">
        <v>711535</v>
      </c>
      <c r="C102" s="4" t="s">
        <v>148</v>
      </c>
      <c r="D102" s="4"/>
      <c r="E102" s="5">
        <v>118.94</v>
      </c>
      <c r="F102" s="4" t="s">
        <v>53</v>
      </c>
    </row>
    <row r="103" spans="1:6" x14ac:dyDescent="0.35">
      <c r="A103" s="3">
        <v>46055</v>
      </c>
      <c r="B103" s="13">
        <v>711531</v>
      </c>
      <c r="C103" s="4" t="s">
        <v>60</v>
      </c>
      <c r="D103" s="4"/>
      <c r="E103" s="5">
        <v>837.01</v>
      </c>
      <c r="F103" s="4" t="s">
        <v>22</v>
      </c>
    </row>
    <row r="104" spans="1:6" x14ac:dyDescent="0.35">
      <c r="A104" s="3">
        <v>46053</v>
      </c>
      <c r="B104" s="13">
        <v>711530</v>
      </c>
      <c r="C104" s="4" t="s">
        <v>127</v>
      </c>
      <c r="D104" s="4"/>
      <c r="E104" s="5">
        <v>229.45</v>
      </c>
      <c r="F104" s="4" t="s">
        <v>53</v>
      </c>
    </row>
    <row r="105" spans="1:6" x14ac:dyDescent="0.35">
      <c r="A105" s="3">
        <v>46046</v>
      </c>
      <c r="B105" s="13">
        <v>711503</v>
      </c>
      <c r="C105" s="4" t="s">
        <v>94</v>
      </c>
      <c r="D105" s="4"/>
      <c r="E105" s="5">
        <v>445.88</v>
      </c>
      <c r="F105" s="4" t="s">
        <v>53</v>
      </c>
    </row>
    <row r="106" spans="1:6" x14ac:dyDescent="0.35">
      <c r="A106" s="3">
        <v>46210</v>
      </c>
      <c r="B106" s="13">
        <v>711260</v>
      </c>
      <c r="C106" s="4" t="s">
        <v>8</v>
      </c>
      <c r="D106" s="4">
        <v>715054</v>
      </c>
      <c r="E106" s="5">
        <v>27.99</v>
      </c>
      <c r="F106" s="4" t="s">
        <v>8</v>
      </c>
    </row>
    <row r="107" spans="1:6" x14ac:dyDescent="0.35">
      <c r="A107" s="3">
        <v>46024</v>
      </c>
      <c r="B107" s="13">
        <v>695294</v>
      </c>
      <c r="C107" s="4" t="s">
        <v>122</v>
      </c>
      <c r="D107" s="4"/>
      <c r="E107" s="5">
        <v>256.52</v>
      </c>
      <c r="F107" s="4" t="s">
        <v>38</v>
      </c>
    </row>
    <row r="108" spans="1:6" x14ac:dyDescent="0.35">
      <c r="A108" s="3">
        <v>46023</v>
      </c>
      <c r="B108" s="13">
        <v>695291</v>
      </c>
      <c r="C108" s="4" t="s">
        <v>32</v>
      </c>
      <c r="D108" s="4">
        <v>696433</v>
      </c>
      <c r="E108" s="5">
        <v>2089.79</v>
      </c>
      <c r="F108" s="4" t="s">
        <v>28</v>
      </c>
    </row>
    <row r="109" spans="1:6" x14ac:dyDescent="0.35">
      <c r="A109" s="3">
        <v>46022</v>
      </c>
      <c r="B109" s="13">
        <v>695286</v>
      </c>
      <c r="C109" s="4" t="s">
        <v>27</v>
      </c>
      <c r="D109" s="4"/>
      <c r="E109" s="5">
        <v>2283.92</v>
      </c>
      <c r="F109" s="4" t="s">
        <v>28</v>
      </c>
    </row>
    <row r="110" spans="1:6" x14ac:dyDescent="0.35">
      <c r="A110" s="3">
        <v>46022</v>
      </c>
      <c r="B110" s="13">
        <v>695285</v>
      </c>
      <c r="C110" s="4" t="s">
        <v>27</v>
      </c>
      <c r="D110" s="4"/>
      <c r="E110" s="5">
        <v>3220.5</v>
      </c>
      <c r="F110" s="4" t="s">
        <v>28</v>
      </c>
    </row>
    <row r="111" spans="1:6" x14ac:dyDescent="0.35">
      <c r="A111" s="3">
        <v>46022</v>
      </c>
      <c r="B111" s="13">
        <v>695273</v>
      </c>
      <c r="C111" s="4" t="s">
        <v>31</v>
      </c>
      <c r="D111" s="4"/>
      <c r="E111" s="5">
        <v>2226.0100000000002</v>
      </c>
      <c r="F111" s="4" t="s">
        <v>28</v>
      </c>
    </row>
    <row r="112" spans="1:6" x14ac:dyDescent="0.35">
      <c r="A112" s="3">
        <v>46022</v>
      </c>
      <c r="B112" s="13">
        <v>695272</v>
      </c>
      <c r="C112" s="4" t="s">
        <v>80</v>
      </c>
      <c r="D112" s="4">
        <v>696427</v>
      </c>
      <c r="E112" s="5">
        <v>521.38</v>
      </c>
      <c r="F112" s="4" t="s">
        <v>28</v>
      </c>
    </row>
    <row r="113" spans="1:6" x14ac:dyDescent="0.35">
      <c r="A113" s="3">
        <v>46021</v>
      </c>
      <c r="B113" s="13">
        <v>695262</v>
      </c>
      <c r="C113" s="4" t="s">
        <v>44</v>
      </c>
      <c r="D113" s="4"/>
      <c r="E113" s="5">
        <v>1344.47</v>
      </c>
      <c r="F113" s="4" t="s">
        <v>45</v>
      </c>
    </row>
    <row r="114" spans="1:6" x14ac:dyDescent="0.35">
      <c r="A114" s="3">
        <v>46021</v>
      </c>
      <c r="B114" s="13">
        <v>695261</v>
      </c>
      <c r="C114" s="4" t="s">
        <v>90</v>
      </c>
      <c r="D114" s="4"/>
      <c r="E114" s="5">
        <v>485.35</v>
      </c>
      <c r="F114" s="4" t="s">
        <v>53</v>
      </c>
    </row>
    <row r="115" spans="1:6" x14ac:dyDescent="0.35">
      <c r="A115" s="3">
        <v>46020</v>
      </c>
      <c r="B115" s="13">
        <v>695256</v>
      </c>
      <c r="C115" s="4" t="s">
        <v>39</v>
      </c>
      <c r="D115" s="4"/>
      <c r="E115" s="5">
        <v>1632.77</v>
      </c>
      <c r="F115" s="4" t="s">
        <v>40</v>
      </c>
    </row>
    <row r="116" spans="1:6" x14ac:dyDescent="0.35">
      <c r="A116" s="3">
        <v>46020</v>
      </c>
      <c r="B116" s="13">
        <v>695254</v>
      </c>
      <c r="C116" s="4" t="s">
        <v>39</v>
      </c>
      <c r="D116" s="4"/>
      <c r="E116" s="5">
        <v>979.66</v>
      </c>
      <c r="F116" s="4" t="s">
        <v>40</v>
      </c>
    </row>
    <row r="117" spans="1:6" x14ac:dyDescent="0.35">
      <c r="A117" s="3">
        <v>46020</v>
      </c>
      <c r="B117" s="13">
        <v>695253</v>
      </c>
      <c r="C117" s="4" t="s">
        <v>39</v>
      </c>
      <c r="D117" s="4"/>
      <c r="E117" s="5">
        <v>1469.49</v>
      </c>
      <c r="F117" s="4" t="s">
        <v>40</v>
      </c>
    </row>
    <row r="118" spans="1:6" x14ac:dyDescent="0.35">
      <c r="A118" s="3">
        <v>46015</v>
      </c>
      <c r="B118" s="13">
        <v>691349</v>
      </c>
      <c r="C118" s="4" t="s">
        <v>96</v>
      </c>
      <c r="D118" s="4"/>
      <c r="E118" s="5">
        <v>425.1</v>
      </c>
      <c r="F118" s="4" t="s">
        <v>22</v>
      </c>
    </row>
    <row r="119" spans="1:6" x14ac:dyDescent="0.35">
      <c r="A119" s="3">
        <v>46015</v>
      </c>
      <c r="B119" s="13">
        <v>691348</v>
      </c>
      <c r="C119" s="4" t="s">
        <v>91</v>
      </c>
      <c r="D119" s="4"/>
      <c r="E119" s="5">
        <v>483.93</v>
      </c>
      <c r="F119" s="4" t="s">
        <v>22</v>
      </c>
    </row>
    <row r="120" spans="1:6" x14ac:dyDescent="0.35">
      <c r="A120" s="3">
        <v>46015</v>
      </c>
      <c r="B120" s="13">
        <v>691347</v>
      </c>
      <c r="C120" s="4" t="s">
        <v>91</v>
      </c>
      <c r="D120" s="4"/>
      <c r="E120" s="5">
        <v>483.93</v>
      </c>
      <c r="F120" s="4" t="s">
        <v>22</v>
      </c>
    </row>
    <row r="121" spans="1:6" x14ac:dyDescent="0.35">
      <c r="A121" s="3">
        <v>46015</v>
      </c>
      <c r="B121" s="13">
        <v>691346</v>
      </c>
      <c r="C121" s="4" t="s">
        <v>74</v>
      </c>
      <c r="D121" s="4"/>
      <c r="E121" s="5">
        <v>586.65</v>
      </c>
      <c r="F121" s="4" t="s">
        <v>22</v>
      </c>
    </row>
    <row r="122" spans="1:6" x14ac:dyDescent="0.35">
      <c r="A122" s="3">
        <v>46015</v>
      </c>
      <c r="B122" s="13">
        <v>691345</v>
      </c>
      <c r="C122" s="4" t="s">
        <v>33</v>
      </c>
      <c r="D122" s="4"/>
      <c r="E122" s="5">
        <v>1801.81</v>
      </c>
      <c r="F122" s="4" t="s">
        <v>22</v>
      </c>
    </row>
    <row r="123" spans="1:6" x14ac:dyDescent="0.35">
      <c r="A123" s="3">
        <v>46015</v>
      </c>
      <c r="B123" s="13">
        <v>691344</v>
      </c>
      <c r="C123" s="4" t="s">
        <v>52</v>
      </c>
      <c r="D123" s="4"/>
      <c r="E123" s="5">
        <v>964.93</v>
      </c>
      <c r="F123" s="4" t="s">
        <v>22</v>
      </c>
    </row>
    <row r="124" spans="1:6" x14ac:dyDescent="0.35">
      <c r="A124" s="3">
        <v>46015</v>
      </c>
      <c r="B124" s="13">
        <v>691343</v>
      </c>
      <c r="C124" s="4" t="s">
        <v>120</v>
      </c>
      <c r="D124" s="4"/>
      <c r="E124" s="5">
        <v>265.55</v>
      </c>
      <c r="F124" s="4" t="s">
        <v>22</v>
      </c>
    </row>
    <row r="125" spans="1:6" x14ac:dyDescent="0.35">
      <c r="A125" s="3">
        <v>46015</v>
      </c>
      <c r="B125" s="13">
        <v>691342</v>
      </c>
      <c r="C125" s="4" t="s">
        <v>120</v>
      </c>
      <c r="D125" s="4"/>
      <c r="E125" s="5">
        <v>265.55</v>
      </c>
      <c r="F125" s="4" t="s">
        <v>22</v>
      </c>
    </row>
    <row r="126" spans="1:6" x14ac:dyDescent="0.35">
      <c r="A126" s="3">
        <v>46015</v>
      </c>
      <c r="B126" s="13">
        <v>691341</v>
      </c>
      <c r="C126" s="4" t="s">
        <v>21</v>
      </c>
      <c r="D126" s="4">
        <v>687355</v>
      </c>
      <c r="E126" s="5">
        <v>9784.11</v>
      </c>
      <c r="F126" s="4" t="s">
        <v>22</v>
      </c>
    </row>
    <row r="127" spans="1:6" x14ac:dyDescent="0.35">
      <c r="A127" s="3">
        <v>46011</v>
      </c>
      <c r="B127" s="13">
        <v>691334</v>
      </c>
      <c r="C127" s="4" t="s">
        <v>155</v>
      </c>
      <c r="D127" s="4"/>
      <c r="E127" s="5">
        <v>80.09</v>
      </c>
      <c r="F127" s="4" t="s">
        <v>87</v>
      </c>
    </row>
    <row r="128" spans="1:6" x14ac:dyDescent="0.35">
      <c r="A128" s="3">
        <v>46011</v>
      </c>
      <c r="B128" s="13">
        <v>691333</v>
      </c>
      <c r="C128" s="4" t="s">
        <v>163</v>
      </c>
      <c r="D128" s="4"/>
      <c r="E128" s="5">
        <v>55.43</v>
      </c>
      <c r="F128" s="4" t="s">
        <v>87</v>
      </c>
    </row>
    <row r="129" spans="1:6" x14ac:dyDescent="0.35">
      <c r="A129" s="3">
        <v>46007</v>
      </c>
      <c r="B129" s="13">
        <v>691323</v>
      </c>
      <c r="C129" s="4" t="s">
        <v>169</v>
      </c>
      <c r="D129" s="4"/>
      <c r="E129" s="5">
        <v>38.36</v>
      </c>
      <c r="F129" s="4" t="s">
        <v>87</v>
      </c>
    </row>
    <row r="130" spans="1:6" x14ac:dyDescent="0.35">
      <c r="A130" s="3">
        <v>46007</v>
      </c>
      <c r="B130" s="13">
        <v>691322</v>
      </c>
      <c r="C130" s="4" t="s">
        <v>34</v>
      </c>
      <c r="D130" s="4"/>
      <c r="E130" s="5">
        <v>1775.87</v>
      </c>
      <c r="F130" s="4" t="s">
        <v>22</v>
      </c>
    </row>
    <row r="131" spans="1:6" x14ac:dyDescent="0.35">
      <c r="A131" s="3">
        <v>46007</v>
      </c>
      <c r="B131" s="13">
        <v>691320</v>
      </c>
      <c r="C131" s="4" t="s">
        <v>65</v>
      </c>
      <c r="D131" s="4"/>
      <c r="E131" s="5">
        <v>702.13</v>
      </c>
      <c r="F131" s="4" t="s">
        <v>53</v>
      </c>
    </row>
    <row r="132" spans="1:6" x14ac:dyDescent="0.35">
      <c r="A132" s="3">
        <v>46000</v>
      </c>
      <c r="B132" s="13">
        <v>691299</v>
      </c>
      <c r="C132" s="4" t="s">
        <v>129</v>
      </c>
      <c r="D132" s="4"/>
      <c r="E132" s="5">
        <v>216.15</v>
      </c>
      <c r="F132" s="4" t="s">
        <v>87</v>
      </c>
    </row>
    <row r="133" spans="1:6" x14ac:dyDescent="0.35">
      <c r="A133" s="3">
        <v>45993</v>
      </c>
      <c r="B133" s="13">
        <v>691283</v>
      </c>
      <c r="C133" s="4" t="s">
        <v>166</v>
      </c>
      <c r="D133" s="4"/>
      <c r="E133" s="5">
        <v>43.59</v>
      </c>
      <c r="F133" s="4" t="s">
        <v>87</v>
      </c>
    </row>
    <row r="134" spans="1:6" x14ac:dyDescent="0.35">
      <c r="A134" s="3">
        <v>45992</v>
      </c>
      <c r="B134" s="13">
        <v>691279</v>
      </c>
      <c r="C134" s="4" t="s">
        <v>13</v>
      </c>
      <c r="D134" s="4">
        <v>701797</v>
      </c>
      <c r="E134" s="5">
        <v>30783.11</v>
      </c>
      <c r="F134" s="4" t="s">
        <v>14</v>
      </c>
    </row>
    <row r="135" spans="1:6" x14ac:dyDescent="0.35">
      <c r="A135" s="3">
        <v>45988</v>
      </c>
      <c r="B135" s="13">
        <v>691269</v>
      </c>
      <c r="C135" s="4" t="s">
        <v>17</v>
      </c>
      <c r="D135" s="4"/>
      <c r="E135" s="5">
        <v>16319.3</v>
      </c>
      <c r="F135" s="4" t="s">
        <v>18</v>
      </c>
    </row>
    <row r="136" spans="1:6" x14ac:dyDescent="0.35">
      <c r="A136" s="3">
        <v>45985</v>
      </c>
      <c r="B136" s="13">
        <v>691264</v>
      </c>
      <c r="C136" s="4" t="s">
        <v>151</v>
      </c>
      <c r="D136" s="4"/>
      <c r="E136" s="5">
        <v>103.64</v>
      </c>
      <c r="F136" s="4" t="s">
        <v>87</v>
      </c>
    </row>
    <row r="137" spans="1:6" x14ac:dyDescent="0.35">
      <c r="A137" s="3">
        <v>45979</v>
      </c>
      <c r="B137" s="13">
        <v>691255</v>
      </c>
      <c r="C137" s="4" t="s">
        <v>116</v>
      </c>
      <c r="D137" s="4"/>
      <c r="E137" s="5">
        <v>274.98</v>
      </c>
      <c r="F137" s="4" t="s">
        <v>85</v>
      </c>
    </row>
    <row r="138" spans="1:6" x14ac:dyDescent="0.35">
      <c r="A138" s="3">
        <v>46035</v>
      </c>
      <c r="B138" s="13">
        <v>688675</v>
      </c>
      <c r="C138" s="4" t="s">
        <v>108</v>
      </c>
      <c r="D138" s="4"/>
      <c r="E138" s="5">
        <v>326.45999999999998</v>
      </c>
      <c r="F138" s="4" t="s">
        <v>53</v>
      </c>
    </row>
    <row r="139" spans="1:6" x14ac:dyDescent="0.35">
      <c r="A139" s="3">
        <v>46035</v>
      </c>
      <c r="B139" s="13">
        <v>688674</v>
      </c>
      <c r="C139" s="4" t="s">
        <v>73</v>
      </c>
      <c r="D139" s="4"/>
      <c r="E139" s="5">
        <v>590.09</v>
      </c>
      <c r="F139" s="4" t="s">
        <v>53</v>
      </c>
    </row>
    <row r="140" spans="1:6" x14ac:dyDescent="0.35">
      <c r="A140" s="3">
        <v>46035</v>
      </c>
      <c r="B140" s="13">
        <v>688673</v>
      </c>
      <c r="C140" s="4" t="s">
        <v>118</v>
      </c>
      <c r="D140" s="4"/>
      <c r="E140" s="5">
        <v>266.27999999999997</v>
      </c>
      <c r="F140" s="4" t="s">
        <v>119</v>
      </c>
    </row>
    <row r="141" spans="1:6" x14ac:dyDescent="0.35">
      <c r="A141" s="3">
        <v>46035</v>
      </c>
      <c r="B141" s="13">
        <v>688672</v>
      </c>
      <c r="C141" s="4" t="s">
        <v>77</v>
      </c>
      <c r="D141" s="4"/>
      <c r="E141" s="5">
        <v>560.87</v>
      </c>
      <c r="F141" s="4" t="s">
        <v>119</v>
      </c>
    </row>
    <row r="142" spans="1:6" x14ac:dyDescent="0.35">
      <c r="A142" s="3">
        <v>46030</v>
      </c>
      <c r="B142" s="13">
        <v>688664</v>
      </c>
      <c r="C142" s="4" t="s">
        <v>168</v>
      </c>
      <c r="D142" s="4">
        <v>656436</v>
      </c>
      <c r="E142" s="5">
        <v>40</v>
      </c>
      <c r="F142" s="4" t="s">
        <v>87</v>
      </c>
    </row>
    <row r="143" spans="1:6" x14ac:dyDescent="0.35">
      <c r="A143" s="3">
        <v>46030</v>
      </c>
      <c r="B143" s="13">
        <v>688663</v>
      </c>
      <c r="C143" s="4" t="s">
        <v>139</v>
      </c>
      <c r="D143" s="4">
        <v>656436</v>
      </c>
      <c r="E143" s="5">
        <v>171.67</v>
      </c>
      <c r="F143" s="4" t="s">
        <v>53</v>
      </c>
    </row>
    <row r="144" spans="1:6" x14ac:dyDescent="0.35">
      <c r="A144" s="3">
        <v>45955</v>
      </c>
      <c r="B144" s="13">
        <v>663243</v>
      </c>
      <c r="C144" s="4" t="s">
        <v>101</v>
      </c>
      <c r="D144" s="4">
        <v>693748</v>
      </c>
      <c r="E144" s="5">
        <v>382.18</v>
      </c>
      <c r="F144" s="4" t="s">
        <v>7</v>
      </c>
    </row>
    <row r="145" spans="1:6" x14ac:dyDescent="0.35">
      <c r="A145" s="3">
        <v>45953</v>
      </c>
      <c r="B145" s="13">
        <v>663238</v>
      </c>
      <c r="C145" s="4" t="s">
        <v>51</v>
      </c>
      <c r="D145" s="4"/>
      <c r="E145" s="5">
        <v>1078.69</v>
      </c>
      <c r="F145" s="4" t="s">
        <v>53</v>
      </c>
    </row>
    <row r="146" spans="1:6" x14ac:dyDescent="0.35">
      <c r="A146" s="3">
        <v>45976</v>
      </c>
      <c r="B146" s="13">
        <v>663197</v>
      </c>
      <c r="C146" s="4" t="s">
        <v>157</v>
      </c>
      <c r="D146" s="4"/>
      <c r="E146" s="5">
        <v>70.349999999999994</v>
      </c>
      <c r="F146" s="4" t="s">
        <v>53</v>
      </c>
    </row>
    <row r="147" spans="1:6" x14ac:dyDescent="0.35">
      <c r="A147" s="3">
        <v>45967</v>
      </c>
      <c r="B147" s="13">
        <v>663180</v>
      </c>
      <c r="C147" s="4" t="s">
        <v>30</v>
      </c>
      <c r="D147" s="4">
        <v>693748</v>
      </c>
      <c r="E147" s="5">
        <v>2240.85</v>
      </c>
      <c r="F147" s="4" t="s">
        <v>22</v>
      </c>
    </row>
    <row r="148" spans="1:6" x14ac:dyDescent="0.35">
      <c r="A148" s="3">
        <v>45962</v>
      </c>
      <c r="B148" s="13">
        <v>663170</v>
      </c>
      <c r="C148" s="4" t="s">
        <v>156</v>
      </c>
      <c r="D148" s="4"/>
      <c r="E148" s="5">
        <v>74.22</v>
      </c>
      <c r="F148" s="4" t="s">
        <v>53</v>
      </c>
    </row>
    <row r="149" spans="1:6" x14ac:dyDescent="0.35">
      <c r="A149" s="3">
        <v>45962</v>
      </c>
      <c r="B149" s="13">
        <v>663169</v>
      </c>
      <c r="C149" s="4" t="s">
        <v>82</v>
      </c>
      <c r="D149" s="4"/>
      <c r="E149" s="5">
        <v>517.24</v>
      </c>
      <c r="F149" s="4" t="s">
        <v>53</v>
      </c>
    </row>
    <row r="150" spans="1:6" x14ac:dyDescent="0.35">
      <c r="A150" s="3">
        <v>45991</v>
      </c>
      <c r="B150" s="13">
        <v>663163</v>
      </c>
      <c r="C150" s="4" t="s">
        <v>125</v>
      </c>
      <c r="D150" s="4"/>
      <c r="E150" s="5">
        <v>248.09</v>
      </c>
      <c r="F150" s="4" t="s">
        <v>53</v>
      </c>
    </row>
    <row r="151" spans="1:6" x14ac:dyDescent="0.35">
      <c r="A151" s="3">
        <v>663157</v>
      </c>
      <c r="B151" s="13">
        <v>663157</v>
      </c>
      <c r="C151" s="4" t="s">
        <v>51</v>
      </c>
      <c r="D151" s="4"/>
      <c r="E151" s="5">
        <v>1078.69</v>
      </c>
      <c r="F151" s="4" t="s">
        <v>7</v>
      </c>
    </row>
    <row r="152" spans="1:6" x14ac:dyDescent="0.35">
      <c r="A152" s="3">
        <v>45958</v>
      </c>
      <c r="B152" s="13">
        <v>663156</v>
      </c>
      <c r="C152" s="4" t="s">
        <v>164</v>
      </c>
      <c r="D152" s="4"/>
      <c r="E152" s="5">
        <v>54.15</v>
      </c>
      <c r="F152" s="4" t="s">
        <v>53</v>
      </c>
    </row>
    <row r="153" spans="1:6" x14ac:dyDescent="0.35">
      <c r="A153" s="3">
        <v>45916</v>
      </c>
      <c r="B153" s="13">
        <v>644921</v>
      </c>
      <c r="C153" s="4" t="s">
        <v>165</v>
      </c>
      <c r="D153" s="4"/>
      <c r="E153" s="5">
        <v>49.15</v>
      </c>
      <c r="F153" s="4" t="s">
        <v>87</v>
      </c>
    </row>
    <row r="154" spans="1:6" x14ac:dyDescent="0.35">
      <c r="A154" s="3">
        <v>45915</v>
      </c>
      <c r="B154" s="13">
        <v>644915</v>
      </c>
      <c r="C154" s="4" t="s">
        <v>23</v>
      </c>
      <c r="D154" s="4"/>
      <c r="E154" s="5">
        <v>8728.5</v>
      </c>
      <c r="F154" s="4" t="s">
        <v>12</v>
      </c>
    </row>
    <row r="155" spans="1:6" x14ac:dyDescent="0.35">
      <c r="A155" s="3">
        <v>45913</v>
      </c>
      <c r="B155" s="13">
        <v>644911</v>
      </c>
      <c r="C155" s="4" t="s">
        <v>46</v>
      </c>
      <c r="D155" s="4"/>
      <c r="E155" s="5">
        <v>1321.97</v>
      </c>
      <c r="F155" s="4" t="s">
        <v>47</v>
      </c>
    </row>
    <row r="156" spans="1:6" x14ac:dyDescent="0.35">
      <c r="A156" s="3">
        <v>45893</v>
      </c>
      <c r="B156" s="13">
        <v>644858</v>
      </c>
      <c r="C156" s="4" t="s">
        <v>78</v>
      </c>
      <c r="D156" s="4"/>
      <c r="E156" s="5">
        <v>548.99</v>
      </c>
      <c r="F156" s="4" t="s">
        <v>7</v>
      </c>
    </row>
    <row r="157" spans="1:6" x14ac:dyDescent="0.35">
      <c r="A157" s="3">
        <v>45893</v>
      </c>
      <c r="B157" s="13">
        <v>644857</v>
      </c>
      <c r="C157" s="4" t="s">
        <v>147</v>
      </c>
      <c r="D157" s="4"/>
      <c r="E157" s="5">
        <v>122.39</v>
      </c>
      <c r="F157" s="4" t="s">
        <v>53</v>
      </c>
    </row>
    <row r="158" spans="1:6" x14ac:dyDescent="0.35">
      <c r="A158" s="3">
        <v>45890</v>
      </c>
      <c r="B158" s="13">
        <v>630499</v>
      </c>
      <c r="C158" s="4" t="s">
        <v>175</v>
      </c>
      <c r="D158" s="4"/>
      <c r="E158" s="5">
        <v>9.3699999999999992</v>
      </c>
      <c r="F158" s="4" t="s">
        <v>53</v>
      </c>
    </row>
    <row r="159" spans="1:6" x14ac:dyDescent="0.35">
      <c r="A159" s="3">
        <v>45890</v>
      </c>
      <c r="B159" s="13">
        <v>630498</v>
      </c>
      <c r="C159" s="4" t="s">
        <v>111</v>
      </c>
      <c r="D159" s="4"/>
      <c r="E159" s="5">
        <v>306.75</v>
      </c>
      <c r="F159" s="4" t="s">
        <v>53</v>
      </c>
    </row>
    <row r="160" spans="1:6" x14ac:dyDescent="0.35">
      <c r="A160" s="3">
        <v>45882</v>
      </c>
      <c r="B160" s="13">
        <v>630481</v>
      </c>
      <c r="C160" s="4" t="s">
        <v>61</v>
      </c>
      <c r="D160" s="4"/>
      <c r="E160" s="5">
        <v>824.52</v>
      </c>
      <c r="F160" s="4" t="s">
        <v>22</v>
      </c>
    </row>
    <row r="161" spans="1:6" x14ac:dyDescent="0.35">
      <c r="A161" s="3">
        <v>45836</v>
      </c>
      <c r="B161" s="13">
        <v>598984</v>
      </c>
      <c r="C161" s="4" t="s">
        <v>109</v>
      </c>
      <c r="D161" s="4"/>
      <c r="E161" s="5">
        <v>325.92</v>
      </c>
      <c r="F161" s="4" t="s">
        <v>53</v>
      </c>
    </row>
    <row r="162" spans="1:6" x14ac:dyDescent="0.35">
      <c r="A162" s="3">
        <v>45824</v>
      </c>
      <c r="B162" s="13">
        <v>598955</v>
      </c>
      <c r="C162" s="4" t="s">
        <v>55</v>
      </c>
      <c r="D162" s="4"/>
      <c r="E162" s="5">
        <v>330.6</v>
      </c>
      <c r="F162" s="4" t="s">
        <v>56</v>
      </c>
    </row>
    <row r="163" spans="1:6" x14ac:dyDescent="0.35">
      <c r="A163" s="3">
        <v>45824</v>
      </c>
      <c r="B163" s="13">
        <v>598954</v>
      </c>
      <c r="C163" s="4" t="s">
        <v>62</v>
      </c>
      <c r="D163" s="4"/>
      <c r="E163" s="5">
        <v>769.35</v>
      </c>
      <c r="F163" s="4" t="s">
        <v>63</v>
      </c>
    </row>
    <row r="164" spans="1:6" x14ac:dyDescent="0.35">
      <c r="A164" s="28">
        <v>45824</v>
      </c>
      <c r="B164" s="29">
        <v>598953</v>
      </c>
      <c r="C164" s="30" t="s">
        <v>149</v>
      </c>
      <c r="D164" s="30"/>
      <c r="E164" s="31">
        <v>110.08</v>
      </c>
      <c r="F164" s="30" t="s">
        <v>63</v>
      </c>
    </row>
    <row r="165" spans="1:6" x14ac:dyDescent="0.35">
      <c r="A165" s="3">
        <v>45803</v>
      </c>
      <c r="B165" s="13">
        <v>598914</v>
      </c>
      <c r="C165" s="4" t="s">
        <v>84</v>
      </c>
      <c r="D165" s="4"/>
      <c r="E165" s="5">
        <v>514.22</v>
      </c>
      <c r="F165" s="4" t="s">
        <v>85</v>
      </c>
    </row>
    <row r="166" spans="1:6" x14ac:dyDescent="0.35">
      <c r="A166" s="3">
        <v>45799</v>
      </c>
      <c r="B166" s="13">
        <v>598907</v>
      </c>
      <c r="C166" s="4" t="s">
        <v>133</v>
      </c>
      <c r="D166" s="4"/>
      <c r="E166" s="5">
        <v>202.95</v>
      </c>
      <c r="F166" s="4" t="s">
        <v>134</v>
      </c>
    </row>
    <row r="167" spans="1:6" x14ac:dyDescent="0.35">
      <c r="A167" s="3">
        <v>45764</v>
      </c>
      <c r="B167" s="13">
        <v>579176</v>
      </c>
      <c r="C167" s="4" t="s">
        <v>93</v>
      </c>
      <c r="D167" s="4"/>
      <c r="E167" s="5">
        <v>472.77</v>
      </c>
      <c r="F167" s="4" t="s">
        <v>36</v>
      </c>
    </row>
    <row r="168" spans="1:6" x14ac:dyDescent="0.35">
      <c r="A168" s="3">
        <v>45722</v>
      </c>
      <c r="B168" s="13">
        <v>551120</v>
      </c>
      <c r="C168" s="4" t="s">
        <v>8</v>
      </c>
      <c r="D168" s="4">
        <v>676321</v>
      </c>
      <c r="E168" s="5">
        <v>14</v>
      </c>
      <c r="F168" s="4" t="s">
        <v>8</v>
      </c>
    </row>
    <row r="169" spans="1:6" x14ac:dyDescent="0.35">
      <c r="A169" s="3">
        <v>45734</v>
      </c>
      <c r="B169" s="13">
        <v>551058</v>
      </c>
      <c r="C169" s="4" t="s">
        <v>171</v>
      </c>
      <c r="D169" s="4"/>
      <c r="E169" s="5">
        <v>10.81</v>
      </c>
      <c r="F169" s="4" t="s">
        <v>87</v>
      </c>
    </row>
    <row r="170" spans="1:6" x14ac:dyDescent="0.35">
      <c r="A170" s="3">
        <v>45701</v>
      </c>
      <c r="B170" s="13">
        <v>548982</v>
      </c>
      <c r="C170" s="4" t="s">
        <v>141</v>
      </c>
      <c r="D170" s="4"/>
      <c r="E170" s="5">
        <v>164.19</v>
      </c>
      <c r="F170" s="4" t="s">
        <v>53</v>
      </c>
    </row>
  </sheetData>
  <autoFilter ref="A3:F170" xr:uid="{253CD2B7-FAB6-4E5A-818A-63D3B14C9CA7}">
    <sortState xmlns:xlrd2="http://schemas.microsoft.com/office/spreadsheetml/2017/richdata2" ref="A4:F170">
      <sortCondition descending="1" ref="B4:B170"/>
    </sortState>
  </autoFilter>
  <mergeCells count="1">
    <mergeCell ref="A1:F1"/>
  </mergeCells>
  <conditionalFormatting sqref="E2:F2">
    <cfRule type="cellIs" dxfId="0" priority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A8EB36-9B56-40EA-B8FB-99800AC556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Outstanding open claims</vt:lpstr>
      <vt:lpstr>Outstanding claims 2026-07-15</vt:lpstr>
      <vt:lpstr>'Outstanding claims 2026-07-15'!Print_Titles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Gerhard Stimie</dc:creator>
  <cp:lastModifiedBy>Gerhard Stimie</cp:lastModifiedBy>
  <dcterms:created xsi:type="dcterms:W3CDTF">2026-07-10T07:36:24Z</dcterms:created>
  <dcterms:modified xsi:type="dcterms:W3CDTF">2026-07-15T16:47:56Z</dcterms:modified>
</cp:coreProperties>
</file>
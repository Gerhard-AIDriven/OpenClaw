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7\"/>
    </mc:Choice>
  </mc:AlternateContent>
  <xr:revisionPtr revIDLastSave="0" documentId="13_ncr:1_{950737C6-FF72-4E77-B6A1-19D8577F512F}" xr6:coauthVersionLast="47" xr6:coauthVersionMax="47" xr10:uidLastSave="{00000000-0000-0000-0000-000000000000}"/>
  <bookViews>
    <workbookView xWindow="-110" yWindow="-110" windowWidth="19420" windowHeight="10300" firstSheet="1" activeTab="2" xr2:uid="{07C47CFD-61A5-4BC0-BE28-2B828F8C8409}"/>
  </bookViews>
  <sheets>
    <sheet name="Outdtsnding claims queries" sheetId="13" r:id="rId1"/>
    <sheet name="Outstanding_claims" sheetId="12" r:id="rId2"/>
    <sheet name="Outstanding claims 2026-07-15" sheetId="11" r:id="rId3"/>
    <sheet name="Enquiry tracking" sheetId="7" r:id="rId4"/>
  </sheets>
  <externalReferences>
    <externalReference r:id="rId5"/>
  </externalReferences>
  <definedNames>
    <definedName name="_xlnm._FilterDatabase" localSheetId="3" hidden="1">'Enquiry tracking'!$A$2:$M$81</definedName>
    <definedName name="_xlnm._FilterDatabase" localSheetId="0" hidden="1">'Outdtsnding claims queries'!$A$1:$J$168</definedName>
    <definedName name="_xlnm._FilterDatabase" localSheetId="2" hidden="1">'Outstanding claims 2026-07-15'!$A$3:$F$170</definedName>
    <definedName name="ALL_DC_STATEMENTS">[1]!SPAR_DC_STATEMENTS5[#All]</definedName>
    <definedName name="ExternalData_1" localSheetId="1" hidden="1">Outstanding_claims!$A$1:$F$168</definedName>
    <definedName name="_xlnm.Print_Titles" localSheetId="3">'Enquiry tracking'!$1:$2</definedName>
    <definedName name="_xlnm.Print_Titles" localSheetId="2">'Outstanding claims 2026-07-15'!$2:$3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9" i="13" l="1"/>
  <c r="B2" i="11"/>
  <c r="E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tc={71011E0A-C00A-4960-9BF6-B707A112F4D2}</author>
  </authors>
  <commentList>
    <comment ref="E3" authorId="0" shapeId="0" xr:uid="{71011E0A-C00A-4960-9BF6-B707A112F4D2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fixed from 8397.00 to 83.97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D7BEAE-5853-4BA5-9497-CC6F8A38EE0B}" keepAlive="1" name="Query - Enquiry_tracking" description="Connection to the 'Enquiry_tracking' query in the workbook." type="5" refreshedVersion="0" background="1">
    <dbPr connection="Provider=Microsoft.Mashup.OleDb.1;Data Source=$Workbook$;Location=Enquiry_tracking;Extended Properties=&quot;&quot;" command="SELECT * FROM [Enquiry_tracking]"/>
  </connection>
  <connection id="2" xr16:uid="{C7C87794-A7FC-4DE9-9BA5-4F5F8ED67BA3}" keepAlive="1" name="Query - Outdtsnding claims queries" description="Connection to the 'Outdtsnding claims queries' query in the workbook." type="5" refreshedVersion="0" background="1">
    <dbPr connection="Provider=Microsoft.Mashup.OleDb.1;Data Source=$Workbook$;Location=&quot;Outdtsnding claims queries&quot;;Extended Properties=&quot;&quot;" command="SELECT * FROM [Outdtsnding claims queries]"/>
  </connection>
  <connection id="3" xr16:uid="{7A150545-2C9B-4262-9499-E89A24B3FC04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</connections>
</file>

<file path=xl/sharedStrings.xml><?xml version="1.0" encoding="utf-8"?>
<sst xmlns="http://schemas.openxmlformats.org/spreadsheetml/2006/main" count="1523" uniqueCount="236">
  <si>
    <t>Claim date</t>
  </si>
  <si>
    <t>Claim No</t>
  </si>
  <si>
    <t>Item name for claim</t>
  </si>
  <si>
    <t>GRN</t>
  </si>
  <si>
    <t>Claim Value</t>
  </si>
  <si>
    <t>Reason for claim</t>
  </si>
  <si>
    <t>H/KEN CRATES 660ML</t>
  </si>
  <si>
    <t>H/KEN QRT CRATES</t>
  </si>
  <si>
    <t>WRONG GOODS RECEIVED</t>
  </si>
  <si>
    <t>DISTELL CRATES</t>
  </si>
  <si>
    <t>H/KEN CRATES</t>
  </si>
  <si>
    <t>H/KEN CRARES</t>
  </si>
  <si>
    <t>H/KEN QRT CRATES 660ML</t>
  </si>
  <si>
    <t>DISTELL CRATES/H/KEN QRT CRATES 660ML</t>
  </si>
  <si>
    <t>DISTELL CRATES/H/KEN CRATES</t>
  </si>
  <si>
    <t>DISTELL CRATE</t>
  </si>
  <si>
    <t>DISTEL CRATES</t>
  </si>
  <si>
    <t>H/KEN EMPTY BOTTLES</t>
  </si>
  <si>
    <t>H/KEN BOTTLES</t>
  </si>
  <si>
    <t>DISTELL CRTATES</t>
  </si>
  <si>
    <t>H/CRATES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</si>
  <si>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</si>
  <si>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</si>
  <si>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</si>
  <si>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</si>
  <si>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</si>
  <si>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</si>
  <si>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</si>
  <si>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</si>
  <si>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</si>
  <si>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PROMO OVERSTOCK</t>
  </si>
  <si>
    <t xml:space="preserve"> BAVARIA MALT NRB 340ML /FITS&amp;LEEDS TONIC PINK 1LT</t>
  </si>
  <si>
    <t>NOT ORDERED</t>
  </si>
  <si>
    <t>TASTIC 10KG/D/EGBERT 400G</t>
  </si>
  <si>
    <t>SAVEMOR DOGFOOD BEEF/CHICK/LAMB</t>
  </si>
  <si>
    <t>ROLLTAINERS</t>
  </si>
  <si>
    <t>SPAR SUGAR WHT 1KG</t>
  </si>
  <si>
    <t xml:space="preserve"> DOVE SOAP 4's ASST</t>
  </si>
  <si>
    <t>LISTERINE ASST.500ML 12PACK</t>
  </si>
  <si>
    <t>SPAR SUGAR WHITE 2.5KG</t>
  </si>
  <si>
    <t>ITAL PIZZAS ASST.</t>
  </si>
  <si>
    <t>SPAR TOILET TISSUE 2PLY 18's</t>
  </si>
  <si>
    <t>D/EGBERTS COFF 400G</t>
  </si>
  <si>
    <t>SUNSHINE D BRICK 500G/SPAR YOG ASST 1KG</t>
  </si>
  <si>
    <t>PROMOTION CANCELLED STOCK</t>
  </si>
  <si>
    <t>L/WOOD YOG 1KG L/FREE</t>
  </si>
  <si>
    <t>GOLDN DLIGHT RICE /IWISA SUP MAIZE 10KG/SNOWFLAKE CAKE FLOUR 10KG</t>
  </si>
  <si>
    <t>F&amp;MONIS MACARONI/SPAGHETTI 500G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</si>
  <si>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</si>
  <si>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</si>
  <si>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</si>
  <si>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</si>
  <si>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</si>
  <si>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</si>
  <si>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</si>
  <si>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</si>
  <si>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</si>
  <si>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</si>
  <si>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</si>
  <si>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</si>
  <si>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</si>
  <si>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</si>
  <si>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</si>
  <si>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</si>
  <si>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YB SPICE BEEF SAUSAGE 1KG</t>
  </si>
  <si>
    <t>SPAR SUPER MAIZE MEAL 2.5KG /NESCAFE CLASSIC 200GR</t>
  </si>
  <si>
    <t>CREDIT VOUCHER /SHORT DELIVERY</t>
  </si>
  <si>
    <t>FITCH &amp; LEED TONIC PINK 1LT</t>
  </si>
  <si>
    <t>SPEKKO  5KG</t>
  </si>
  <si>
    <t>SPAR MARG.BRICK 500GR</t>
  </si>
  <si>
    <t>TASTIC WHITE RICE 2KG LONGRAIN</t>
  </si>
  <si>
    <t>NESCAFE S/M COFF 400G</t>
  </si>
  <si>
    <t xml:space="preserve">KRONE BORLALIS </t>
  </si>
  <si>
    <t>SHORT DELIVERY</t>
  </si>
  <si>
    <t>AG JAM APRICOT SMTH 900GR</t>
  </si>
  <si>
    <t>DOVE SOAPWHITE 4's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</si>
  <si>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</si>
  <si>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</si>
  <si>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</si>
  <si>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</si>
  <si>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</si>
  <si>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</si>
  <si>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</si>
  <si>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</si>
  <si>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</si>
  <si>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</si>
  <si>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</si>
  <si>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</si>
  <si>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</si>
  <si>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</si>
  <si>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RHODES JAM SMTH 900GR</t>
  </si>
  <si>
    <t>NAMAQUA EXTRA LIGHT 5LT</t>
  </si>
  <si>
    <t>F&amp; MONIS SPAGHETTI 500G</t>
  </si>
  <si>
    <t>SPAR COLA CSD 3LT</t>
  </si>
  <si>
    <t>S/FREE MAXI ASST.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</si>
  <si>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</si>
  <si>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</si>
  <si>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</si>
  <si>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</si>
  <si>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</si>
  <si>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</si>
  <si>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</si>
  <si>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</si>
  <si>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SUNLIGHT AUTO LIQ 1.5LT</t>
  </si>
  <si>
    <t>FOUR COUSINS DRY RED 3LT</t>
  </si>
  <si>
    <t>SAVEMOR TOM&amp;ONION RELISH 410G</t>
  </si>
  <si>
    <t>SPAR CORNFLAKES 500GR</t>
  </si>
  <si>
    <t>SPAR COUNTRY MIX FROZEN 1KG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</si>
  <si>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</si>
  <si>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</si>
  <si>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</si>
  <si>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</si>
  <si>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</si>
  <si>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</si>
  <si>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</si>
  <si>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</si>
  <si>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</si>
  <si>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</si>
  <si>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</si>
  <si>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</si>
  <si>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</si>
  <si>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</si>
  <si>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</si>
  <si>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</si>
  <si>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</si>
  <si>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</si>
  <si>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</si>
  <si>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</si>
  <si>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</si>
  <si>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</si>
  <si>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</si>
  <si>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</si>
  <si>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</si>
  <si>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</si>
  <si>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</si>
  <si>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</si>
  <si>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</si>
  <si>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</si>
  <si>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</si>
  <si>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</si>
  <si>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</si>
  <si>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</si>
  <si>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</si>
  <si>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</si>
  <si>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</si>
  <si>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</si>
  <si>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</si>
  <si>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</si>
  <si>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</si>
  <si>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</si>
  <si>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</si>
  <si>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</si>
  <si>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</si>
  <si>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</si>
  <si>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</si>
  <si>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</si>
  <si>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SPAR INSTANT MAIZE VANILLA 1KG</t>
  </si>
  <si>
    <t>IMBO SAGO 500GR</t>
  </si>
  <si>
    <t>IMBO SPEC BEANS 500G</t>
  </si>
  <si>
    <t>SPAR CASHIER COMPETITION</t>
  </si>
  <si>
    <t>CASHIER COMPETITION</t>
  </si>
  <si>
    <t>SPAR SUP MAIZE 10KG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</si>
  <si>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</si>
  <si>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</si>
  <si>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</si>
  <si>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</si>
  <si>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</si>
  <si>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</si>
  <si>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</si>
  <si>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</si>
  <si>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</si>
  <si>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</si>
  <si>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</si>
  <si>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</si>
  <si>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</si>
  <si>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</si>
  <si>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</si>
  <si>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</si>
  <si>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</si>
  <si>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</si>
  <si>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W/STAR M/MEAL SUP 10KG</t>
  </si>
  <si>
    <t>SPAR MILK 1LT UHT FAT FREE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</si>
  <si>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</si>
  <si>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</si>
  <si>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</si>
  <si>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</si>
  <si>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</si>
  <si>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</si>
  <si>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</si>
  <si>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</si>
  <si>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</si>
  <si>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</si>
  <si>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</si>
  <si>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>PAMPERS CHUNKY CHIC &amp; LAMB 400GR</t>
  </si>
  <si>
    <t>GLADE TRIGGER 400ML AQUA</t>
  </si>
  <si>
    <t>GLADE TRIGGER 400ML</t>
  </si>
  <si>
    <t>MIAMI GHERKINS C/TAIL SWEET&amp;SOUR 265G</t>
  </si>
  <si>
    <t>SUNLIGHT  H/WASH 250G</t>
  </si>
  <si>
    <t>SPAR CSD LEMONADE 2LT</t>
  </si>
  <si>
    <t>Claims outstanding</t>
  </si>
  <si>
    <t>Value outstanding</t>
  </si>
  <si>
    <t>Outstanding Claims - SPAR and TOPS</t>
  </si>
  <si>
    <t>AQUELLE WATER</t>
  </si>
  <si>
    <t>H/KEN QRT CRATES 660 ML</t>
  </si>
  <si>
    <t>F/L LETTUCE CRISP HRT P/P 300GR</t>
  </si>
  <si>
    <t>Enquiries Status</t>
  </si>
  <si>
    <t>To</t>
  </si>
  <si>
    <t>Sent</t>
  </si>
  <si>
    <t>Response Received</t>
  </si>
  <si>
    <t>From</t>
  </si>
  <si>
    <t>Date</t>
  </si>
  <si>
    <t>Status</t>
  </si>
  <si>
    <t>Action taken/needed</t>
  </si>
  <si>
    <t>Phakama</t>
  </si>
  <si>
    <t>Claim re-forwarded for settlement</t>
  </si>
  <si>
    <t>Gadija</t>
  </si>
  <si>
    <t>Awaiting DC Respons</t>
  </si>
  <si>
    <t>Documents sent, Amount fixed</t>
  </si>
  <si>
    <t>OVER STOCK</t>
  </si>
  <si>
    <t>Brandon</t>
  </si>
  <si>
    <t>Rejected</t>
  </si>
  <si>
    <t>Phinde</t>
  </si>
  <si>
    <t xml:space="preserve">Rejection disputed. GRN number. </t>
  </si>
  <si>
    <t>Uston</t>
  </si>
  <si>
    <t>Need copies of claims and proof of email sent in 24h</t>
  </si>
  <si>
    <t>Bandon</t>
  </si>
  <si>
    <t>Awaiting our response</t>
  </si>
  <si>
    <t>We must confirm if stock hasn’t been re-used and send docs</t>
  </si>
  <si>
    <t>SPAR SUGAR  WHITE 2.5KG /RHODES JAM SMOOTH 900GR</t>
  </si>
  <si>
    <t>Cancelled</t>
  </si>
  <si>
    <t>Stock re-sold or re-used - Jan</t>
  </si>
  <si>
    <t>Paid</t>
  </si>
  <si>
    <t>Closed</t>
  </si>
  <si>
    <t>Decision needed</t>
  </si>
  <si>
    <t>Provide docs?</t>
  </si>
  <si>
    <t>SPEKKO  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</si>
</sst>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\ 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22" fontId="0" fillId="0" borderId="0" xfId="0" applyNumberFormat="1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4" borderId="3" xfId="0" applyFont="1" applyFill="1" applyBorder="1"/>
    <xf numFmtId="1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4" fontId="3" fillId="0" borderId="5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center" vertical="top" wrapText="1"/>
    </xf>
    <xf numFmtId="14" fontId="4" fillId="0" borderId="8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14" fontId="0" fillId="0" borderId="9" xfId="0" applyNumberFormat="1" applyBorder="1" applyAlignment="1">
      <alignment vertical="top" wrapText="1"/>
    </xf>
    <xf numFmtId="14" fontId="0" fillId="0" borderId="8" xfId="0" applyNumberFormat="1" applyBorder="1" applyAlignment="1">
      <alignment horizontal="center" vertical="top" wrapText="1"/>
    </xf>
    <xf numFmtId="165" fontId="0" fillId="0" borderId="1" xfId="0" applyNumberFormat="1" applyBorder="1" applyAlignment="1">
      <alignment horizontal="right" vertical="top" wrapText="1"/>
    </xf>
    <xf numFmtId="14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right" vertical="top" wrapText="1"/>
    </xf>
    <xf numFmtId="14" fontId="4" fillId="0" borderId="10" xfId="0" applyNumberFormat="1" applyFont="1" applyBorder="1" applyAlignment="1">
      <alignment horizontal="center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" fontId="4" fillId="0" borderId="11" xfId="0" applyNumberFormat="1" applyFont="1" applyBorder="1" applyAlignment="1">
      <alignment horizontal="center" vertical="top" wrapText="1"/>
    </xf>
    <xf numFmtId="165" fontId="4" fillId="0" borderId="11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14" fontId="0" fillId="0" borderId="11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1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0" fontId="0" fillId="0" borderId="12" xfId="0" applyBorder="1"/>
    <xf numFmtId="0" fontId="0" fillId="0" borderId="0" xfId="0" applyNumberFormat="1"/>
    <xf numFmtId="14" fontId="0" fillId="0" borderId="8" xfId="0" applyNumberFormat="1" applyBorder="1"/>
    <xf numFmtId="0" fontId="0" fillId="0" borderId="9" xfId="0" applyBorder="1"/>
    <xf numFmtId="14" fontId="1" fillId="2" borderId="5" xfId="0" applyNumberFormat="1" applyFont="1" applyFill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wrapText="1"/>
    </xf>
    <xf numFmtId="4" fontId="1" fillId="2" borderId="6" xfId="0" applyNumberFormat="1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14" fontId="0" fillId="0" borderId="10" xfId="0" applyNumberFormat="1" applyBorder="1"/>
    <xf numFmtId="0" fontId="0" fillId="0" borderId="11" xfId="0" applyBorder="1" applyAlignment="1">
      <alignment horizontal="center"/>
    </xf>
    <xf numFmtId="0" fontId="0" fillId="0" borderId="11" xfId="0" applyBorder="1"/>
    <xf numFmtId="4" fontId="0" fillId="0" borderId="11" xfId="0" applyNumberFormat="1" applyBorder="1"/>
    <xf numFmtId="0" fontId="1" fillId="5" borderId="13" xfId="0" applyFont="1" applyFill="1" applyBorder="1"/>
    <xf numFmtId="0" fontId="1" fillId="5" borderId="14" xfId="0" applyFont="1" applyFill="1" applyBorder="1"/>
    <xf numFmtId="0" fontId="1" fillId="5" borderId="15" xfId="0" applyFont="1" applyFill="1" applyBorder="1"/>
    <xf numFmtId="22" fontId="0" fillId="4" borderId="13" xfId="0" applyNumberFormat="1" applyFont="1" applyFill="1" applyBorder="1"/>
    <xf numFmtId="0" fontId="0" fillId="4" borderId="14" xfId="0" applyFont="1" applyFill="1" applyBorder="1"/>
    <xf numFmtId="0" fontId="0" fillId="4" borderId="14" xfId="0" applyNumberFormat="1" applyFont="1" applyFill="1" applyBorder="1"/>
    <xf numFmtId="22" fontId="0" fillId="4" borderId="14" xfId="0" applyNumberFormat="1" applyFont="1" applyFill="1" applyBorder="1"/>
    <xf numFmtId="0" fontId="0" fillId="4" borderId="15" xfId="0" applyNumberFormat="1" applyFont="1" applyFill="1" applyBorder="1"/>
    <xf numFmtId="22" fontId="0" fillId="0" borderId="13" xfId="0" applyNumberFormat="1" applyFont="1" applyBorder="1"/>
    <xf numFmtId="0" fontId="0" fillId="0" borderId="14" xfId="0" applyFont="1" applyBorder="1"/>
    <xf numFmtId="0" fontId="0" fillId="0" borderId="14" xfId="0" applyNumberFormat="1" applyFont="1" applyBorder="1"/>
    <xf numFmtId="22" fontId="0" fillId="0" borderId="14" xfId="0" applyNumberFormat="1" applyFont="1" applyBorder="1"/>
    <xf numFmtId="0" fontId="0" fillId="0" borderId="15" xfId="0" applyNumberFormat="1" applyFont="1" applyBorder="1"/>
    <xf numFmtId="22" fontId="0" fillId="4" borderId="2" xfId="0" applyNumberFormat="1" applyFont="1" applyFill="1" applyBorder="1"/>
    <xf numFmtId="0" fontId="0" fillId="4" borderId="3" xfId="0" applyNumberFormat="1" applyFont="1" applyFill="1" applyBorder="1"/>
    <xf numFmtId="22" fontId="0" fillId="4" borderId="3" xfId="0" applyNumberFormat="1" applyFont="1" applyFill="1" applyBorder="1"/>
    <xf numFmtId="0" fontId="0" fillId="4" borderId="4" xfId="0" applyNumberFormat="1" applyFont="1" applyFill="1" applyBorder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#\ 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C%20Claims%20Matching%202026-07-13/Claims%20Analysis%20-%20Tops%20and%20Spar%20-%202026-07-13.xlsm" TargetMode="External"/><Relationship Id="rId2" Type="http://schemas.openxmlformats.org/officeDocument/2006/relationships/externalLinkPath" Target="file:///C:\Users\gstim\.openclaw\workspace\Spar\Claims%20management\DC%20Claims%20Matching%202026-07-13\Claims%20Analysis%20-%20Tops%20and%20Spar%20-%202026-07-13.xlsm" TargetMode="External"/><Relationship Id="rId1" Type="http://schemas.openxmlformats.org/officeDocument/2006/relationships/externalLinkPath" Target="/Users/gstim/.openclaw/workspace/Spar/Claims%20management/DC%20Claims%20Matching%202026-07-13/Claims%20Analysis%20-%20Tops%20and%20Spar%20-%202026-07-1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PS_DC_STATEMENTS"/>
      <sheetName val="TOPS DC Statements"/>
      <sheetName val="SPAR DC Statements"/>
      <sheetName val="ALL_DC_STATEMENTS"/>
      <sheetName val="ALL DC STATEMENTS"/>
      <sheetName val="NEW_PAID_CLAIMS"/>
      <sheetName val="OUTSTANDING_CLAIMS_REMAINING"/>
      <sheetName val="Claims Closed"/>
      <sheetName val="Claims Status"/>
      <sheetName val="OUTSTANDING_CLAIMS"/>
      <sheetName val="Outstanding claims 2026-07-13"/>
      <sheetName val="Sheet2"/>
      <sheetName val="Sheet1"/>
      <sheetName val="Claims Analysis - Tops and Spa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erhard Stimie" id="{DCF39A81-69BE-44BF-AE17-3F6564770DD0}" userId="903c3566953fed4c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9506218-55B2-4275-8ED2-79C3CA3CD8FF}" autoFormatId="16" applyNumberFormats="0" applyBorderFormats="0" applyFontFormats="0" applyPatternFormats="0" applyAlignmentFormats="0" applyWidthHeightFormats="0">
  <queryTableRefresh nextId="7">
    <queryTableFields count="6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BD8828-224E-4CD4-8E76-6E09F79CF373}" name="Outstanding_claims" displayName="Outstanding_claims" ref="A1:F168" tableType="queryTable" totalsRowShown="0">
  <autoFilter ref="A1:F168" xr:uid="{D2BD8828-224E-4CD4-8E76-6E09F79CF373}"/>
  <tableColumns count="6">
    <tableColumn id="1" xr3:uid="{F396824B-EF0F-4BAE-A483-357D733DFF6F}" uniqueName="1" name="Claim date" queryTableFieldId="1" dataDxfId="2"/>
    <tableColumn id="2" xr3:uid="{338F139F-C6F6-4F8A-9F49-8EF7EEE00578}" uniqueName="2" name="Claim No" queryTableFieldId="2"/>
    <tableColumn id="3" xr3:uid="{F07E626C-54DA-4812-AD20-862B17610271}" uniqueName="3" name="Item name for claim" queryTableFieldId="3" dataDxfId="1"/>
    <tableColumn id="4" xr3:uid="{A51F56D6-089C-4400-985A-DE9756169BD5}" uniqueName="4" name="GRN" queryTableFieldId="4"/>
    <tableColumn id="5" xr3:uid="{4F359651-7FA0-4A06-BA5A-2575FA95DF10}" uniqueName="5" name="Claim Value" queryTableFieldId="5"/>
    <tableColumn id="6" xr3:uid="{F27FB53E-8486-44C8-9C6C-32BD9B805A8D}" uniqueName="6" name="Reason for claim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A6D3A4-713D-44AD-A0B2-4D16264F95F6}" name="Table6" displayName="Table6" ref="A3:F170" totalsRowShown="0" headerRowDxfId="3" headerRowBorderDxfId="11" tableBorderDxfId="12" totalsRowBorderDxfId="10">
  <autoFilter ref="A3:F170" xr:uid="{253CD2B7-FAB6-4E5A-818A-63D3B14C9CA7}"/>
  <sortState xmlns:xlrd2="http://schemas.microsoft.com/office/spreadsheetml/2017/richdata2" ref="A4:F170">
    <sortCondition descending="1" ref="B4:B170"/>
  </sortState>
  <tableColumns count="6">
    <tableColumn id="1" xr3:uid="{15B5C8E8-3E84-4A4B-8635-78B9464F9096}" name="Claim date" dataDxfId="9"/>
    <tableColumn id="2" xr3:uid="{59AB2435-670B-40ED-8690-6149103B250B}" name="Claim No" dataDxfId="8"/>
    <tableColumn id="3" xr3:uid="{628F2E93-D416-4AC1-BBD8-7D61607866F1}" name="Item name for claim" dataDxfId="7"/>
    <tableColumn id="4" xr3:uid="{924139CB-61A5-4FFD-9A2F-2D78CCC120D1}" name="GRN" dataDxfId="6"/>
    <tableColumn id="5" xr3:uid="{19E39D1B-38C3-42A7-B85F-FC35672D8560}" name="Claim Value" dataDxfId="5"/>
    <tableColumn id="6" xr3:uid="{01CA053A-ACA4-4AB7-BA3C-448F0D18B954}" name="Reason for claim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478B0-B94F-4E59-A949-1D76B49A3DC0}" name="Enquiry_tracking" displayName="Enquiry_tracking" ref="A2:M81" totalsRowShown="0" headerRowDxfId="31" dataDxfId="30" headerRowBorderDxfId="28" tableBorderDxfId="29" totalsRowBorderDxfId="27">
  <autoFilter ref="A2:M81" xr:uid="{97142DB4-3FF6-4C05-B488-15074EBCBB6C}"/>
  <sortState xmlns:xlrd2="http://schemas.microsoft.com/office/spreadsheetml/2017/richdata2" ref="A3:M81">
    <sortCondition ref="L2:L81"/>
  </sortState>
  <tableColumns count="13">
    <tableColumn id="1" xr3:uid="{143DF006-B6CB-4C60-B890-843E134B4D03}" name="Claim date" dataDxfId="26"/>
    <tableColumn id="2" xr3:uid="{6DAE6DDD-E08D-4B4D-8A95-F184F9B801BE}" name="Claim No" dataDxfId="25"/>
    <tableColumn id="3" xr3:uid="{F2D3256A-2CC3-4DB4-9926-42C6E36522AF}" name="Item name for claim" dataDxfId="24"/>
    <tableColumn id="4" xr3:uid="{FFFF53C9-384A-42D8-BDFD-188B560AF214}" name="GRN" dataDxfId="23"/>
    <tableColumn id="5" xr3:uid="{ACBC0DF2-1B13-4728-8E65-BAF3309E77A7}" name="Claim Value" dataDxfId="22"/>
    <tableColumn id="6" xr3:uid="{FF583C20-8EC5-4DE6-9133-B21F56DA41DF}" name="Reason for claim" dataDxfId="21"/>
    <tableColumn id="7" xr3:uid="{E9ABE335-F7BE-460C-AF89-0AA3EBF70894}" name="To" dataDxfId="20"/>
    <tableColumn id="8" xr3:uid="{E3444190-A71F-4AA1-B21E-4ABCEF52C54B}" name="Sent" dataDxfId="19"/>
    <tableColumn id="9" xr3:uid="{E7D07AD6-2020-47BC-8A02-476BDA90BC0E}" name="Response Received" dataDxfId="18"/>
    <tableColumn id="10" xr3:uid="{6EE37272-CFFF-4BB8-AD42-D6A49D046C38}" name="From" dataDxfId="17"/>
    <tableColumn id="11" xr3:uid="{4274DDE2-502D-45B4-91BF-373282DB61B0}" name="Date" dataDxfId="16"/>
    <tableColumn id="13" xr3:uid="{79A38E48-EFD4-4808-89B1-2776397857DA}" name="Status" dataDxfId="15"/>
    <tableColumn id="12" xr3:uid="{88E3D0DE-546C-4585-9B3E-98C05275C9E6}" name="Action taken/needed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7-09T11:04:01.27" personId="{DCF39A81-69BE-44BF-AE17-3F6564770DD0}" id="{71011E0A-C00A-4960-9BF6-B707A112F4D2}">
    <text>Amount fixed from 8397.00 to 83.97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B6D1-DF54-4445-809D-946E4BF9206B}">
  <dimension ref="A1:J169"/>
  <sheetViews>
    <sheetView topLeftCell="C157" workbookViewId="0">
      <selection activeCell="E1" sqref="E1:E1048576"/>
    </sheetView>
  </sheetViews>
  <sheetFormatPr defaultRowHeight="14.5" x14ac:dyDescent="0.35"/>
  <cols>
    <col min="1" max="1" width="15.08984375" bestFit="1" customWidth="1"/>
    <col min="2" max="2" width="10.7265625" bestFit="1" customWidth="1"/>
    <col min="3" max="3" width="62.7265625" bestFit="1" customWidth="1"/>
    <col min="4" max="4" width="6.81640625" bestFit="1" customWidth="1"/>
    <col min="5" max="5" width="13.1796875" bestFit="1" customWidth="1"/>
    <col min="6" max="6" width="31.54296875" bestFit="1" customWidth="1"/>
    <col min="7" max="7" width="8.36328125" bestFit="1" customWidth="1"/>
    <col min="8" max="8" width="15.08984375" bestFit="1" customWidth="1"/>
    <col min="9" max="9" width="18.6328125" bestFit="1" customWidth="1"/>
    <col min="10" max="10" width="49.7265625" bestFit="1" customWidth="1"/>
  </cols>
  <sheetData>
    <row r="1" spans="1:10" x14ac:dyDescent="0.35">
      <c r="A1" s="57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206</v>
      </c>
      <c r="H1" s="58" t="s">
        <v>207</v>
      </c>
      <c r="I1" s="58" t="s">
        <v>211</v>
      </c>
      <c r="J1" s="59" t="s">
        <v>212</v>
      </c>
    </row>
    <row r="2" spans="1:10" x14ac:dyDescent="0.35">
      <c r="A2" s="60">
        <v>46214</v>
      </c>
      <c r="B2" s="61">
        <v>771274</v>
      </c>
      <c r="C2" s="62" t="s">
        <v>204</v>
      </c>
      <c r="D2" s="61"/>
      <c r="E2" s="61">
        <v>120</v>
      </c>
      <c r="F2" s="62" t="s">
        <v>73</v>
      </c>
      <c r="G2" s="62"/>
      <c r="H2" s="63"/>
      <c r="I2" s="62"/>
      <c r="J2" s="64"/>
    </row>
    <row r="3" spans="1:10" x14ac:dyDescent="0.35">
      <c r="A3" s="65">
        <v>46133</v>
      </c>
      <c r="B3" s="66">
        <v>745584</v>
      </c>
      <c r="C3" s="67" t="s">
        <v>9</v>
      </c>
      <c r="D3" s="66">
        <v>726269</v>
      </c>
      <c r="E3" s="66">
        <v>83.97</v>
      </c>
      <c r="F3" s="67" t="s">
        <v>9</v>
      </c>
      <c r="G3" s="67" t="s">
        <v>213</v>
      </c>
      <c r="H3" s="68">
        <v>46211</v>
      </c>
      <c r="I3" s="67" t="s">
        <v>216</v>
      </c>
      <c r="J3" s="69" t="s">
        <v>217</v>
      </c>
    </row>
    <row r="4" spans="1:10" x14ac:dyDescent="0.35">
      <c r="A4" s="60">
        <v>46214</v>
      </c>
      <c r="B4" s="61">
        <v>771273</v>
      </c>
      <c r="C4" s="62" t="s">
        <v>203</v>
      </c>
      <c r="D4" s="61"/>
      <c r="E4" s="61">
        <v>12.01</v>
      </c>
      <c r="F4" s="62" t="s">
        <v>10</v>
      </c>
      <c r="G4" s="62"/>
      <c r="H4" s="63"/>
      <c r="I4" s="62"/>
      <c r="J4" s="64"/>
    </row>
    <row r="5" spans="1:10" x14ac:dyDescent="0.35">
      <c r="A5" s="65">
        <v>46214</v>
      </c>
      <c r="B5" s="66">
        <v>771272</v>
      </c>
      <c r="C5" s="67" t="s">
        <v>35</v>
      </c>
      <c r="D5" s="66"/>
      <c r="E5" s="66">
        <v>1955</v>
      </c>
      <c r="F5" s="67" t="s">
        <v>35</v>
      </c>
      <c r="G5" s="67"/>
      <c r="H5" s="68"/>
      <c r="I5" s="67"/>
      <c r="J5" s="69"/>
    </row>
    <row r="6" spans="1:10" x14ac:dyDescent="0.35">
      <c r="A6" s="60">
        <v>46214</v>
      </c>
      <c r="B6" s="61">
        <v>771271</v>
      </c>
      <c r="C6" s="62" t="s">
        <v>35</v>
      </c>
      <c r="D6" s="61"/>
      <c r="E6" s="61">
        <v>7800</v>
      </c>
      <c r="F6" s="62" t="s">
        <v>35</v>
      </c>
      <c r="G6" s="62"/>
      <c r="H6" s="63"/>
      <c r="I6" s="62"/>
      <c r="J6" s="64"/>
    </row>
    <row r="7" spans="1:10" x14ac:dyDescent="0.35">
      <c r="A7" s="65">
        <v>46214</v>
      </c>
      <c r="B7" s="66">
        <v>771270</v>
      </c>
      <c r="C7" s="67" t="s">
        <v>29</v>
      </c>
      <c r="D7" s="66"/>
      <c r="E7" s="66">
        <v>10626</v>
      </c>
      <c r="F7" s="67" t="s">
        <v>29</v>
      </c>
      <c r="G7" s="67"/>
      <c r="H7" s="68"/>
      <c r="I7" s="67"/>
      <c r="J7" s="69"/>
    </row>
    <row r="8" spans="1:10" x14ac:dyDescent="0.35">
      <c r="A8" s="60">
        <v>46157</v>
      </c>
      <c r="B8" s="61">
        <v>745631</v>
      </c>
      <c r="C8" s="62" t="s">
        <v>21</v>
      </c>
      <c r="D8" s="61"/>
      <c r="E8" s="61">
        <v>71463.990000000005</v>
      </c>
      <c r="F8" s="62" t="s">
        <v>22</v>
      </c>
      <c r="G8" s="62" t="s">
        <v>219</v>
      </c>
      <c r="H8" s="63">
        <v>46210</v>
      </c>
      <c r="I8" s="62" t="s">
        <v>216</v>
      </c>
      <c r="J8" s="64"/>
    </row>
    <row r="9" spans="1:10" x14ac:dyDescent="0.35">
      <c r="A9" s="65">
        <v>46212</v>
      </c>
      <c r="B9" s="66">
        <v>771269</v>
      </c>
      <c r="C9" s="67" t="s">
        <v>70</v>
      </c>
      <c r="D9" s="66"/>
      <c r="E9" s="66">
        <v>1238.9000000000001</v>
      </c>
      <c r="F9" s="67" t="s">
        <v>8</v>
      </c>
      <c r="G9" s="67"/>
      <c r="H9" s="68"/>
      <c r="I9" s="67"/>
      <c r="J9" s="69"/>
    </row>
    <row r="10" spans="1:10" x14ac:dyDescent="0.35">
      <c r="A10" s="60">
        <v>46158</v>
      </c>
      <c r="B10" s="61">
        <v>745632</v>
      </c>
      <c r="C10" s="62" t="s">
        <v>25</v>
      </c>
      <c r="D10" s="61"/>
      <c r="E10" s="61">
        <v>28479.57</v>
      </c>
      <c r="F10" s="62" t="s">
        <v>26</v>
      </c>
      <c r="G10" s="62" t="s">
        <v>223</v>
      </c>
      <c r="H10" s="63">
        <v>46212</v>
      </c>
      <c r="I10" s="62" t="s">
        <v>216</v>
      </c>
      <c r="J10" s="64"/>
    </row>
    <row r="11" spans="1:10" x14ac:dyDescent="0.35">
      <c r="A11" s="65">
        <v>46212</v>
      </c>
      <c r="B11" s="66">
        <v>771268</v>
      </c>
      <c r="C11" s="67" t="s">
        <v>107</v>
      </c>
      <c r="D11" s="66"/>
      <c r="E11" s="66">
        <v>518</v>
      </c>
      <c r="F11" s="67" t="s">
        <v>73</v>
      </c>
      <c r="G11" s="67"/>
      <c r="H11" s="68"/>
      <c r="I11" s="67"/>
      <c r="J11" s="69"/>
    </row>
    <row r="12" spans="1:10" x14ac:dyDescent="0.35">
      <c r="A12" s="60">
        <v>46133</v>
      </c>
      <c r="B12" s="61">
        <v>745583</v>
      </c>
      <c r="C12" s="62" t="s">
        <v>6</v>
      </c>
      <c r="D12" s="61">
        <v>726269</v>
      </c>
      <c r="E12" s="61">
        <v>48.02</v>
      </c>
      <c r="F12" s="62" t="s">
        <v>10</v>
      </c>
      <c r="G12" s="62" t="s">
        <v>213</v>
      </c>
      <c r="H12" s="63">
        <v>46212</v>
      </c>
      <c r="I12" s="62" t="s">
        <v>216</v>
      </c>
      <c r="J12" s="64"/>
    </row>
    <row r="13" spans="1:10" x14ac:dyDescent="0.35">
      <c r="A13" s="65">
        <v>46212</v>
      </c>
      <c r="B13" s="66">
        <v>771267</v>
      </c>
      <c r="C13" s="67" t="s">
        <v>154</v>
      </c>
      <c r="D13" s="66"/>
      <c r="E13" s="66">
        <v>225.62</v>
      </c>
      <c r="F13" s="67" t="s">
        <v>73</v>
      </c>
      <c r="G13" s="67"/>
      <c r="H13" s="68"/>
      <c r="I13" s="67"/>
      <c r="J13" s="69"/>
    </row>
    <row r="14" spans="1:10" x14ac:dyDescent="0.35">
      <c r="A14" s="60">
        <v>46212</v>
      </c>
      <c r="B14" s="61">
        <v>771266</v>
      </c>
      <c r="C14" s="62" t="s">
        <v>35</v>
      </c>
      <c r="D14" s="61">
        <v>735121</v>
      </c>
      <c r="E14" s="61">
        <v>5865</v>
      </c>
      <c r="F14" s="62" t="s">
        <v>35</v>
      </c>
      <c r="G14" s="62"/>
      <c r="H14" s="63"/>
      <c r="I14" s="62"/>
      <c r="J14" s="64"/>
    </row>
    <row r="15" spans="1:10" x14ac:dyDescent="0.35">
      <c r="A15" s="65">
        <v>46161</v>
      </c>
      <c r="B15" s="66">
        <v>745636</v>
      </c>
      <c r="C15" s="67" t="s">
        <v>12</v>
      </c>
      <c r="D15" s="66">
        <v>723422</v>
      </c>
      <c r="E15" s="66">
        <v>12.01</v>
      </c>
      <c r="F15" s="67" t="s">
        <v>10</v>
      </c>
      <c r="G15" s="67" t="s">
        <v>213</v>
      </c>
      <c r="H15" s="68">
        <v>46212</v>
      </c>
      <c r="I15" s="67" t="s">
        <v>216</v>
      </c>
      <c r="J15" s="69"/>
    </row>
    <row r="16" spans="1:10" x14ac:dyDescent="0.35">
      <c r="A16" s="60">
        <v>46212</v>
      </c>
      <c r="B16" s="61">
        <v>771265</v>
      </c>
      <c r="C16" s="62" t="s">
        <v>29</v>
      </c>
      <c r="D16" s="61">
        <v>735121</v>
      </c>
      <c r="E16" s="61">
        <v>12213</v>
      </c>
      <c r="F16" s="62" t="s">
        <v>29</v>
      </c>
      <c r="G16" s="62"/>
      <c r="H16" s="63"/>
      <c r="I16" s="62"/>
      <c r="J16" s="64"/>
    </row>
    <row r="17" spans="1:10" x14ac:dyDescent="0.35">
      <c r="A17" s="65">
        <v>46127</v>
      </c>
      <c r="B17" s="66">
        <v>745566</v>
      </c>
      <c r="C17" s="67" t="s">
        <v>172</v>
      </c>
      <c r="D17" s="66"/>
      <c r="E17" s="66">
        <v>135.37</v>
      </c>
      <c r="F17" s="67" t="s">
        <v>30</v>
      </c>
      <c r="G17" s="67" t="s">
        <v>219</v>
      </c>
      <c r="H17" s="68">
        <v>46213</v>
      </c>
      <c r="I17" s="67" t="s">
        <v>226</v>
      </c>
      <c r="J17" s="69" t="s">
        <v>227</v>
      </c>
    </row>
    <row r="18" spans="1:10" x14ac:dyDescent="0.35">
      <c r="A18" s="60">
        <v>46212</v>
      </c>
      <c r="B18" s="61">
        <v>771264</v>
      </c>
      <c r="C18" s="62" t="s">
        <v>9</v>
      </c>
      <c r="D18" s="61">
        <v>735121</v>
      </c>
      <c r="E18" s="61">
        <v>14</v>
      </c>
      <c r="F18" s="62" t="s">
        <v>9</v>
      </c>
      <c r="G18" s="62"/>
      <c r="H18" s="63"/>
      <c r="I18" s="62"/>
      <c r="J18" s="64"/>
    </row>
    <row r="19" spans="1:10" x14ac:dyDescent="0.35">
      <c r="A19" s="65">
        <v>46212</v>
      </c>
      <c r="B19" s="66">
        <v>771263</v>
      </c>
      <c r="C19" s="67" t="s">
        <v>12</v>
      </c>
      <c r="D19" s="66">
        <v>735121</v>
      </c>
      <c r="E19" s="66">
        <v>24.01</v>
      </c>
      <c r="F19" s="67" t="s">
        <v>10</v>
      </c>
      <c r="G19" s="67"/>
      <c r="H19" s="68"/>
      <c r="I19" s="67"/>
      <c r="J19" s="69"/>
    </row>
    <row r="20" spans="1:10" x14ac:dyDescent="0.35">
      <c r="A20" s="60">
        <v>46211</v>
      </c>
      <c r="B20" s="61">
        <v>771262</v>
      </c>
      <c r="C20" s="62" t="s">
        <v>101</v>
      </c>
      <c r="D20" s="61"/>
      <c r="E20" s="61">
        <v>564.39</v>
      </c>
      <c r="F20" s="62" t="s">
        <v>73</v>
      </c>
      <c r="G20" s="62"/>
      <c r="H20" s="63"/>
      <c r="I20" s="62"/>
      <c r="J20" s="64"/>
    </row>
    <row r="21" spans="1:10" x14ac:dyDescent="0.35">
      <c r="A21" s="65">
        <v>46210</v>
      </c>
      <c r="B21" s="66">
        <v>771261</v>
      </c>
      <c r="C21" s="67" t="s">
        <v>141</v>
      </c>
      <c r="D21" s="66"/>
      <c r="E21" s="66">
        <v>296.99</v>
      </c>
      <c r="F21" s="67" t="s">
        <v>32</v>
      </c>
      <c r="G21" s="67"/>
      <c r="H21" s="68"/>
      <c r="I21" s="67"/>
      <c r="J21" s="69"/>
    </row>
    <row r="22" spans="1:10" x14ac:dyDescent="0.35">
      <c r="A22" s="60">
        <v>46210</v>
      </c>
      <c r="B22" s="61">
        <v>771259</v>
      </c>
      <c r="C22" s="62" t="s">
        <v>12</v>
      </c>
      <c r="D22" s="61">
        <v>715054</v>
      </c>
      <c r="E22" s="61">
        <v>12.01</v>
      </c>
      <c r="F22" s="62" t="s">
        <v>10</v>
      </c>
      <c r="G22" s="62"/>
      <c r="H22" s="63"/>
      <c r="I22" s="62"/>
      <c r="J22" s="64"/>
    </row>
    <row r="23" spans="1:10" x14ac:dyDescent="0.35">
      <c r="A23" s="65">
        <v>46210</v>
      </c>
      <c r="B23" s="66">
        <v>771258</v>
      </c>
      <c r="C23" s="67" t="s">
        <v>179</v>
      </c>
      <c r="D23" s="66"/>
      <c r="E23" s="66">
        <v>97.14</v>
      </c>
      <c r="F23" s="67" t="s">
        <v>73</v>
      </c>
      <c r="G23" s="67"/>
      <c r="H23" s="68"/>
      <c r="I23" s="67"/>
      <c r="J23" s="69"/>
    </row>
    <row r="24" spans="1:10" x14ac:dyDescent="0.35">
      <c r="A24" s="60">
        <v>46210</v>
      </c>
      <c r="B24" s="61">
        <v>771257</v>
      </c>
      <c r="C24" s="62" t="s">
        <v>35</v>
      </c>
      <c r="D24" s="61">
        <v>715054</v>
      </c>
      <c r="E24" s="61">
        <v>5865</v>
      </c>
      <c r="F24" s="62" t="s">
        <v>35</v>
      </c>
      <c r="G24" s="62"/>
      <c r="H24" s="63"/>
      <c r="I24" s="62"/>
      <c r="J24" s="64"/>
    </row>
    <row r="25" spans="1:10" x14ac:dyDescent="0.35">
      <c r="A25" s="65">
        <v>46210</v>
      </c>
      <c r="B25" s="66">
        <v>771256</v>
      </c>
      <c r="C25" s="67" t="s">
        <v>29</v>
      </c>
      <c r="D25" s="66">
        <v>715054</v>
      </c>
      <c r="E25" s="66">
        <v>8901</v>
      </c>
      <c r="F25" s="67" t="s">
        <v>29</v>
      </c>
      <c r="G25" s="67"/>
      <c r="H25" s="68"/>
      <c r="I25" s="67"/>
      <c r="J25" s="69"/>
    </row>
    <row r="26" spans="1:10" x14ac:dyDescent="0.35">
      <c r="A26" s="60">
        <v>46182</v>
      </c>
      <c r="B26" s="61">
        <v>756049</v>
      </c>
      <c r="C26" s="62" t="s">
        <v>187</v>
      </c>
      <c r="D26" s="61"/>
      <c r="E26" s="61">
        <v>63.1</v>
      </c>
      <c r="F26" s="62" t="s">
        <v>113</v>
      </c>
      <c r="G26" s="62"/>
      <c r="H26" s="63"/>
      <c r="I26" s="62"/>
      <c r="J26" s="64"/>
    </row>
    <row r="27" spans="1:10" x14ac:dyDescent="0.35">
      <c r="A27" s="65">
        <v>46179</v>
      </c>
      <c r="B27" s="66">
        <v>756043</v>
      </c>
      <c r="C27" s="67" t="s">
        <v>115</v>
      </c>
      <c r="D27" s="66"/>
      <c r="E27" s="66">
        <v>500.81</v>
      </c>
      <c r="F27" s="67" t="s">
        <v>73</v>
      </c>
      <c r="G27" s="67"/>
      <c r="H27" s="68"/>
      <c r="I27" s="67"/>
      <c r="J27" s="69"/>
    </row>
    <row r="28" spans="1:10" x14ac:dyDescent="0.35">
      <c r="A28" s="60">
        <v>46179</v>
      </c>
      <c r="B28" s="61">
        <v>756042</v>
      </c>
      <c r="C28" s="62" t="s">
        <v>173</v>
      </c>
      <c r="D28" s="61"/>
      <c r="E28" s="61">
        <v>129.65</v>
      </c>
      <c r="F28" s="62" t="s">
        <v>73</v>
      </c>
      <c r="G28" s="62"/>
      <c r="H28" s="63"/>
      <c r="I28" s="62"/>
      <c r="J28" s="64"/>
    </row>
    <row r="29" spans="1:10" x14ac:dyDescent="0.35">
      <c r="A29" s="65">
        <v>46179</v>
      </c>
      <c r="B29" s="66">
        <v>756041</v>
      </c>
      <c r="C29" s="67" t="s">
        <v>143</v>
      </c>
      <c r="D29" s="66"/>
      <c r="E29" s="66">
        <v>273.39</v>
      </c>
      <c r="F29" s="67" t="s">
        <v>73</v>
      </c>
      <c r="G29" s="67"/>
      <c r="H29" s="68"/>
      <c r="I29" s="67"/>
      <c r="J29" s="69"/>
    </row>
    <row r="30" spans="1:10" x14ac:dyDescent="0.35">
      <c r="A30" s="60">
        <v>46179</v>
      </c>
      <c r="B30" s="61">
        <v>756040</v>
      </c>
      <c r="C30" s="62" t="s">
        <v>177</v>
      </c>
      <c r="D30" s="61"/>
      <c r="E30" s="61">
        <v>109.39</v>
      </c>
      <c r="F30" s="62" t="s">
        <v>113</v>
      </c>
      <c r="G30" s="62"/>
      <c r="H30" s="63"/>
      <c r="I30" s="62"/>
      <c r="J30" s="64"/>
    </row>
    <row r="31" spans="1:10" x14ac:dyDescent="0.35">
      <c r="A31" s="65">
        <v>46175</v>
      </c>
      <c r="B31" s="66">
        <v>756030</v>
      </c>
      <c r="C31" s="67" t="s">
        <v>118</v>
      </c>
      <c r="D31" s="66"/>
      <c r="E31" s="66">
        <v>472.94</v>
      </c>
      <c r="F31" s="67" t="s">
        <v>73</v>
      </c>
      <c r="G31" s="67"/>
      <c r="H31" s="68"/>
      <c r="I31" s="67"/>
      <c r="J31" s="69"/>
    </row>
    <row r="32" spans="1:10" x14ac:dyDescent="0.35">
      <c r="A32" s="60">
        <v>46175</v>
      </c>
      <c r="B32" s="61">
        <v>756029</v>
      </c>
      <c r="C32" s="62" t="s">
        <v>167</v>
      </c>
      <c r="D32" s="61"/>
      <c r="E32" s="61">
        <v>146.06</v>
      </c>
      <c r="F32" s="62" t="s">
        <v>73</v>
      </c>
      <c r="G32" s="62"/>
      <c r="H32" s="63"/>
      <c r="I32" s="62"/>
      <c r="J32" s="64"/>
    </row>
    <row r="33" spans="1:10" x14ac:dyDescent="0.35">
      <c r="A33" s="65">
        <v>46175</v>
      </c>
      <c r="B33" s="66">
        <v>756028</v>
      </c>
      <c r="C33" s="67" t="s">
        <v>125</v>
      </c>
      <c r="D33" s="66"/>
      <c r="E33" s="66">
        <v>401.68</v>
      </c>
      <c r="F33" s="67" t="s">
        <v>73</v>
      </c>
      <c r="G33" s="67"/>
      <c r="H33" s="68"/>
      <c r="I33" s="67"/>
      <c r="J33" s="69"/>
    </row>
    <row r="34" spans="1:10" x14ac:dyDescent="0.35">
      <c r="A34" s="60">
        <v>46174</v>
      </c>
      <c r="B34" s="61">
        <v>756024</v>
      </c>
      <c r="C34" s="62" t="s">
        <v>77</v>
      </c>
      <c r="D34" s="61">
        <v>663473</v>
      </c>
      <c r="E34" s="61">
        <v>880.34</v>
      </c>
      <c r="F34" s="62" t="s">
        <v>78</v>
      </c>
      <c r="G34" s="62"/>
      <c r="H34" s="63"/>
      <c r="I34" s="62"/>
      <c r="J34" s="64"/>
    </row>
    <row r="35" spans="1:10" x14ac:dyDescent="0.35">
      <c r="A35" s="65">
        <v>46172</v>
      </c>
      <c r="B35" s="66">
        <v>756021</v>
      </c>
      <c r="C35" s="67" t="s">
        <v>126</v>
      </c>
      <c r="D35" s="66"/>
      <c r="E35" s="66">
        <v>384.36</v>
      </c>
      <c r="F35" s="67" t="s">
        <v>73</v>
      </c>
      <c r="G35" s="67"/>
      <c r="H35" s="68"/>
      <c r="I35" s="67"/>
      <c r="J35" s="69"/>
    </row>
    <row r="36" spans="1:10" x14ac:dyDescent="0.35">
      <c r="A36" s="60">
        <v>46172</v>
      </c>
      <c r="B36" s="61">
        <v>756019</v>
      </c>
      <c r="C36" s="62" t="s">
        <v>131</v>
      </c>
      <c r="D36" s="61"/>
      <c r="E36" s="61">
        <v>341.07</v>
      </c>
      <c r="F36" s="62" t="s">
        <v>73</v>
      </c>
      <c r="G36" s="62"/>
      <c r="H36" s="63"/>
      <c r="I36" s="62"/>
      <c r="J36" s="64"/>
    </row>
    <row r="37" spans="1:10" x14ac:dyDescent="0.35">
      <c r="A37" s="65">
        <v>46172</v>
      </c>
      <c r="B37" s="66">
        <v>756018</v>
      </c>
      <c r="C37" s="67" t="s">
        <v>147</v>
      </c>
      <c r="D37" s="66"/>
      <c r="E37" s="66">
        <v>258.06</v>
      </c>
      <c r="F37" s="67" t="s">
        <v>73</v>
      </c>
      <c r="G37" s="67"/>
      <c r="H37" s="68"/>
      <c r="I37" s="67"/>
      <c r="J37" s="69"/>
    </row>
    <row r="38" spans="1:10" x14ac:dyDescent="0.35">
      <c r="A38" s="60">
        <v>46170</v>
      </c>
      <c r="B38" s="61">
        <v>756013</v>
      </c>
      <c r="C38" s="62" t="s">
        <v>170</v>
      </c>
      <c r="D38" s="61"/>
      <c r="E38" s="61">
        <v>140.79</v>
      </c>
      <c r="F38" s="62" t="s">
        <v>73</v>
      </c>
      <c r="G38" s="62"/>
      <c r="H38" s="63"/>
      <c r="I38" s="62"/>
      <c r="J38" s="64"/>
    </row>
    <row r="39" spans="1:10" x14ac:dyDescent="0.35">
      <c r="A39" s="65">
        <v>46170</v>
      </c>
      <c r="B39" s="66">
        <v>756012</v>
      </c>
      <c r="C39" s="67" t="s">
        <v>121</v>
      </c>
      <c r="D39" s="66"/>
      <c r="E39" s="66">
        <v>427.16</v>
      </c>
      <c r="F39" s="67" t="s">
        <v>73</v>
      </c>
      <c r="G39" s="67"/>
      <c r="H39" s="68"/>
      <c r="I39" s="67"/>
      <c r="J39" s="69"/>
    </row>
    <row r="40" spans="1:10" x14ac:dyDescent="0.35">
      <c r="A40" s="60">
        <v>46168</v>
      </c>
      <c r="B40" s="61">
        <v>756004</v>
      </c>
      <c r="C40" s="62" t="s">
        <v>164</v>
      </c>
      <c r="D40" s="61">
        <v>714642</v>
      </c>
      <c r="E40" s="61">
        <v>177.68</v>
      </c>
      <c r="F40" s="62" t="s">
        <v>73</v>
      </c>
      <c r="G40" s="62"/>
      <c r="H40" s="63"/>
      <c r="I40" s="62"/>
      <c r="J40" s="64"/>
    </row>
    <row r="41" spans="1:10" x14ac:dyDescent="0.35">
      <c r="A41" s="65">
        <v>46168</v>
      </c>
      <c r="B41" s="66">
        <v>756003</v>
      </c>
      <c r="C41" s="67" t="s">
        <v>76</v>
      </c>
      <c r="D41" s="66">
        <v>714642</v>
      </c>
      <c r="E41" s="66">
        <v>886.73</v>
      </c>
      <c r="F41" s="67" t="s">
        <v>73</v>
      </c>
      <c r="G41" s="67"/>
      <c r="H41" s="68"/>
      <c r="I41" s="67"/>
      <c r="J41" s="69"/>
    </row>
    <row r="42" spans="1:10" x14ac:dyDescent="0.35">
      <c r="A42" s="60">
        <v>46205</v>
      </c>
      <c r="B42" s="61">
        <v>756000</v>
      </c>
      <c r="C42" s="62" t="s">
        <v>169</v>
      </c>
      <c r="D42" s="61"/>
      <c r="E42" s="61">
        <v>159.21</v>
      </c>
      <c r="F42" s="62" t="s">
        <v>73</v>
      </c>
      <c r="G42" s="62"/>
      <c r="H42" s="63"/>
      <c r="I42" s="62"/>
      <c r="J42" s="64"/>
    </row>
    <row r="43" spans="1:10" x14ac:dyDescent="0.35">
      <c r="A43" s="65">
        <v>46200</v>
      </c>
      <c r="B43" s="66">
        <v>755992</v>
      </c>
      <c r="C43" s="67" t="s">
        <v>129</v>
      </c>
      <c r="D43" s="66"/>
      <c r="E43" s="66">
        <v>360.38</v>
      </c>
      <c r="F43" s="67" t="s">
        <v>73</v>
      </c>
      <c r="G43" s="67"/>
      <c r="H43" s="68"/>
      <c r="I43" s="67"/>
      <c r="J43" s="69"/>
    </row>
    <row r="44" spans="1:10" x14ac:dyDescent="0.35">
      <c r="A44" s="60">
        <v>46198</v>
      </c>
      <c r="B44" s="61">
        <v>755985</v>
      </c>
      <c r="C44" s="62" t="s">
        <v>9</v>
      </c>
      <c r="D44" s="61">
        <v>663489</v>
      </c>
      <c r="E44" s="61">
        <v>41.99</v>
      </c>
      <c r="F44" s="62" t="s">
        <v>9</v>
      </c>
      <c r="G44" s="62"/>
      <c r="H44" s="63"/>
      <c r="I44" s="62"/>
      <c r="J44" s="64"/>
    </row>
    <row r="45" spans="1:10" x14ac:dyDescent="0.35">
      <c r="A45" s="65">
        <v>46196</v>
      </c>
      <c r="B45" s="66">
        <v>755978</v>
      </c>
      <c r="C45" s="67" t="s">
        <v>171</v>
      </c>
      <c r="D45" s="66"/>
      <c r="E45" s="66">
        <v>137.6</v>
      </c>
      <c r="F45" s="67" t="s">
        <v>73</v>
      </c>
      <c r="G45" s="67"/>
      <c r="H45" s="68"/>
      <c r="I45" s="67"/>
      <c r="J45" s="69"/>
    </row>
    <row r="46" spans="1:10" x14ac:dyDescent="0.35">
      <c r="A46" s="60">
        <v>46193</v>
      </c>
      <c r="B46" s="61">
        <v>755977</v>
      </c>
      <c r="C46" s="62" t="s">
        <v>109</v>
      </c>
      <c r="D46" s="61"/>
      <c r="E46" s="61">
        <v>516.52</v>
      </c>
      <c r="F46" s="62" t="s">
        <v>73</v>
      </c>
      <c r="G46" s="62"/>
      <c r="H46" s="63"/>
      <c r="I46" s="62"/>
      <c r="J46" s="64"/>
    </row>
    <row r="47" spans="1:10" x14ac:dyDescent="0.35">
      <c r="A47" s="65">
        <v>46193</v>
      </c>
      <c r="B47" s="66">
        <v>755974</v>
      </c>
      <c r="C47" s="67" t="s">
        <v>181</v>
      </c>
      <c r="D47" s="66"/>
      <c r="E47" s="66">
        <v>92.35</v>
      </c>
      <c r="F47" s="67" t="s">
        <v>73</v>
      </c>
      <c r="G47" s="67"/>
      <c r="H47" s="68"/>
      <c r="I47" s="67"/>
      <c r="J47" s="69"/>
    </row>
    <row r="48" spans="1:10" x14ac:dyDescent="0.35">
      <c r="A48" s="60">
        <v>46191</v>
      </c>
      <c r="B48" s="61">
        <v>755973</v>
      </c>
      <c r="C48" s="62" t="s">
        <v>156</v>
      </c>
      <c r="D48" s="61"/>
      <c r="E48" s="61">
        <v>213.7</v>
      </c>
      <c r="F48" s="62" t="s">
        <v>73</v>
      </c>
      <c r="G48" s="62"/>
      <c r="H48" s="63"/>
      <c r="I48" s="62"/>
      <c r="J48" s="64"/>
    </row>
    <row r="49" spans="1:10" x14ac:dyDescent="0.35">
      <c r="A49" s="65">
        <v>46191</v>
      </c>
      <c r="B49" s="66">
        <v>755972</v>
      </c>
      <c r="C49" s="67" t="s">
        <v>189</v>
      </c>
      <c r="D49" s="66"/>
      <c r="E49" s="66">
        <v>56.96</v>
      </c>
      <c r="F49" s="67" t="s">
        <v>73</v>
      </c>
      <c r="G49" s="67"/>
      <c r="H49" s="68"/>
      <c r="I49" s="67"/>
      <c r="J49" s="69"/>
    </row>
    <row r="50" spans="1:10" x14ac:dyDescent="0.35">
      <c r="A50" s="60">
        <v>46191</v>
      </c>
      <c r="B50" s="61">
        <v>755971</v>
      </c>
      <c r="C50" s="62" t="s">
        <v>158</v>
      </c>
      <c r="D50" s="61"/>
      <c r="E50" s="61">
        <v>210.29</v>
      </c>
      <c r="F50" s="62" t="s">
        <v>73</v>
      </c>
      <c r="G50" s="62"/>
      <c r="H50" s="63"/>
      <c r="I50" s="62"/>
      <c r="J50" s="64"/>
    </row>
    <row r="51" spans="1:10" x14ac:dyDescent="0.35">
      <c r="A51" s="65">
        <v>46188</v>
      </c>
      <c r="B51" s="66">
        <v>755962</v>
      </c>
      <c r="C51" s="67" t="s">
        <v>77</v>
      </c>
      <c r="D51" s="66"/>
      <c r="E51" s="66">
        <v>662.91</v>
      </c>
      <c r="F51" s="67" t="s">
        <v>89</v>
      </c>
      <c r="G51" s="67"/>
      <c r="H51" s="68"/>
      <c r="I51" s="67"/>
      <c r="J51" s="69"/>
    </row>
    <row r="52" spans="1:10" x14ac:dyDescent="0.35">
      <c r="A52" s="60">
        <v>46184</v>
      </c>
      <c r="B52" s="61">
        <v>755956</v>
      </c>
      <c r="C52" s="62" t="s">
        <v>130</v>
      </c>
      <c r="D52" s="61"/>
      <c r="E52" s="61">
        <v>345.49</v>
      </c>
      <c r="F52" s="62" t="s">
        <v>32</v>
      </c>
      <c r="G52" s="62"/>
      <c r="H52" s="63"/>
      <c r="I52" s="62"/>
      <c r="J52" s="64"/>
    </row>
    <row r="53" spans="1:10" x14ac:dyDescent="0.35">
      <c r="A53" s="65">
        <v>46184</v>
      </c>
      <c r="B53" s="66">
        <v>755955</v>
      </c>
      <c r="C53" s="67" t="s">
        <v>97</v>
      </c>
      <c r="D53" s="66"/>
      <c r="E53" s="66">
        <v>595.79</v>
      </c>
      <c r="F53" s="67" t="s">
        <v>73</v>
      </c>
      <c r="G53" s="67"/>
      <c r="H53" s="68"/>
      <c r="I53" s="67"/>
      <c r="J53" s="69"/>
    </row>
    <row r="54" spans="1:10" x14ac:dyDescent="0.35">
      <c r="A54" s="60">
        <v>46184</v>
      </c>
      <c r="B54" s="61">
        <v>755954</v>
      </c>
      <c r="C54" s="62" t="s">
        <v>157</v>
      </c>
      <c r="D54" s="61"/>
      <c r="E54" s="61">
        <v>211.11</v>
      </c>
      <c r="F54" s="62" t="s">
        <v>73</v>
      </c>
      <c r="G54" s="62"/>
      <c r="H54" s="63"/>
      <c r="I54" s="62"/>
      <c r="J54" s="64"/>
    </row>
    <row r="55" spans="1:10" x14ac:dyDescent="0.35">
      <c r="A55" s="65">
        <v>46182</v>
      </c>
      <c r="B55" s="66">
        <v>750648</v>
      </c>
      <c r="C55" s="67" t="s">
        <v>150</v>
      </c>
      <c r="D55" s="66">
        <v>707084</v>
      </c>
      <c r="E55" s="66">
        <v>249.74</v>
      </c>
      <c r="F55" s="67" t="s">
        <v>73</v>
      </c>
      <c r="G55" s="67"/>
      <c r="H55" s="68"/>
      <c r="I55" s="67"/>
      <c r="J55" s="69"/>
    </row>
    <row r="56" spans="1:10" x14ac:dyDescent="0.35">
      <c r="A56" s="60">
        <v>46163</v>
      </c>
      <c r="B56" s="61">
        <v>745646</v>
      </c>
      <c r="C56" s="62" t="s">
        <v>123</v>
      </c>
      <c r="D56" s="61"/>
      <c r="E56" s="61">
        <v>419.65</v>
      </c>
      <c r="F56" s="62" t="s">
        <v>85</v>
      </c>
      <c r="G56" s="62"/>
      <c r="H56" s="63"/>
      <c r="I56" s="62"/>
      <c r="J56" s="64"/>
    </row>
    <row r="57" spans="1:10" x14ac:dyDescent="0.35">
      <c r="A57" s="65">
        <v>46161</v>
      </c>
      <c r="B57" s="66">
        <v>745641</v>
      </c>
      <c r="C57" s="67" t="s">
        <v>86</v>
      </c>
      <c r="D57" s="66"/>
      <c r="E57" s="66">
        <v>704.79</v>
      </c>
      <c r="F57" s="67" t="s">
        <v>22</v>
      </c>
      <c r="G57" s="67"/>
      <c r="H57" s="68"/>
      <c r="I57" s="67"/>
      <c r="J57" s="69"/>
    </row>
    <row r="58" spans="1:10" x14ac:dyDescent="0.35">
      <c r="A58" s="60">
        <v>46161</v>
      </c>
      <c r="B58" s="61">
        <v>745640</v>
      </c>
      <c r="C58" s="62" t="s">
        <v>136</v>
      </c>
      <c r="D58" s="61"/>
      <c r="E58" s="61">
        <v>313.77</v>
      </c>
      <c r="F58" s="62" t="s">
        <v>73</v>
      </c>
      <c r="G58" s="62"/>
      <c r="H58" s="63"/>
      <c r="I58" s="62"/>
      <c r="J58" s="64"/>
    </row>
    <row r="59" spans="1:10" x14ac:dyDescent="0.35">
      <c r="A59" s="65">
        <v>46149</v>
      </c>
      <c r="B59" s="66">
        <v>745618</v>
      </c>
      <c r="C59" s="67" t="s">
        <v>128</v>
      </c>
      <c r="D59" s="66">
        <v>703780</v>
      </c>
      <c r="E59" s="66">
        <v>367.22</v>
      </c>
      <c r="F59" s="67" t="s">
        <v>73</v>
      </c>
      <c r="G59" s="67"/>
      <c r="H59" s="68"/>
      <c r="I59" s="67"/>
      <c r="J59" s="69"/>
    </row>
    <row r="60" spans="1:10" x14ac:dyDescent="0.35">
      <c r="A60" s="60">
        <v>46148</v>
      </c>
      <c r="B60" s="61">
        <v>745611</v>
      </c>
      <c r="C60" s="62" t="s">
        <v>53</v>
      </c>
      <c r="D60" s="61"/>
      <c r="E60" s="61">
        <v>1712.14</v>
      </c>
      <c r="F60" s="62" t="s">
        <v>54</v>
      </c>
      <c r="G60" s="62"/>
      <c r="H60" s="63"/>
      <c r="I60" s="62"/>
      <c r="J60" s="64"/>
    </row>
    <row r="61" spans="1:10" x14ac:dyDescent="0.35">
      <c r="A61" s="65">
        <v>46147</v>
      </c>
      <c r="B61" s="66">
        <v>745610</v>
      </c>
      <c r="C61" s="67" t="s">
        <v>149</v>
      </c>
      <c r="D61" s="66"/>
      <c r="E61" s="66">
        <v>250.57</v>
      </c>
      <c r="F61" s="67" t="s">
        <v>73</v>
      </c>
      <c r="G61" s="67"/>
      <c r="H61" s="68"/>
      <c r="I61" s="67"/>
      <c r="J61" s="69"/>
    </row>
    <row r="62" spans="1:10" x14ac:dyDescent="0.35">
      <c r="A62" s="60">
        <v>46147</v>
      </c>
      <c r="B62" s="61">
        <v>745609</v>
      </c>
      <c r="C62" s="62" t="s">
        <v>80</v>
      </c>
      <c r="D62" s="61"/>
      <c r="E62" s="61">
        <v>851.05</v>
      </c>
      <c r="F62" s="62" t="s">
        <v>56</v>
      </c>
      <c r="G62" s="62"/>
      <c r="H62" s="63"/>
      <c r="I62" s="62"/>
      <c r="J62" s="64"/>
    </row>
    <row r="63" spans="1:10" x14ac:dyDescent="0.35">
      <c r="A63" s="65">
        <v>46147</v>
      </c>
      <c r="B63" s="66">
        <v>745605</v>
      </c>
      <c r="C63" s="67" t="s">
        <v>96</v>
      </c>
      <c r="D63" s="66"/>
      <c r="E63" s="66">
        <v>605.39</v>
      </c>
      <c r="F63" s="67" t="s">
        <v>32</v>
      </c>
      <c r="G63" s="67"/>
      <c r="H63" s="68"/>
      <c r="I63" s="67"/>
      <c r="J63" s="69"/>
    </row>
    <row r="64" spans="1:10" x14ac:dyDescent="0.35">
      <c r="A64" s="60">
        <v>46135</v>
      </c>
      <c r="B64" s="61">
        <v>745590</v>
      </c>
      <c r="C64" s="62" t="s">
        <v>124</v>
      </c>
      <c r="D64" s="61"/>
      <c r="E64" s="61">
        <v>414.13</v>
      </c>
      <c r="F64" s="62" t="s">
        <v>32</v>
      </c>
      <c r="G64" s="62"/>
      <c r="H64" s="63"/>
      <c r="I64" s="62"/>
      <c r="J64" s="64"/>
    </row>
    <row r="65" spans="1:10" x14ac:dyDescent="0.35">
      <c r="A65" s="65">
        <v>46130</v>
      </c>
      <c r="B65" s="66">
        <v>745580</v>
      </c>
      <c r="C65" s="67" t="s">
        <v>93</v>
      </c>
      <c r="D65" s="66"/>
      <c r="E65" s="66">
        <v>624.45000000000005</v>
      </c>
      <c r="F65" s="67" t="s">
        <v>73</v>
      </c>
      <c r="G65" s="67"/>
      <c r="H65" s="68"/>
      <c r="I65" s="67"/>
      <c r="J65" s="69"/>
    </row>
    <row r="66" spans="1:10" x14ac:dyDescent="0.35">
      <c r="A66" s="60">
        <v>46128</v>
      </c>
      <c r="B66" s="61">
        <v>745576</v>
      </c>
      <c r="C66" s="62" t="s">
        <v>36</v>
      </c>
      <c r="D66" s="61"/>
      <c r="E66" s="61">
        <v>7572.06</v>
      </c>
      <c r="F66" s="62" t="s">
        <v>32</v>
      </c>
      <c r="G66" s="62"/>
      <c r="H66" s="63"/>
      <c r="I66" s="62"/>
      <c r="J66" s="64"/>
    </row>
    <row r="67" spans="1:10" x14ac:dyDescent="0.35">
      <c r="A67" s="65">
        <v>46128</v>
      </c>
      <c r="B67" s="66">
        <v>745575</v>
      </c>
      <c r="C67" s="67" t="s">
        <v>133</v>
      </c>
      <c r="D67" s="66"/>
      <c r="E67" s="66">
        <v>332.51</v>
      </c>
      <c r="F67" s="67" t="s">
        <v>113</v>
      </c>
      <c r="G67" s="67"/>
      <c r="H67" s="68"/>
      <c r="I67" s="67"/>
      <c r="J67" s="69"/>
    </row>
    <row r="68" spans="1:10" x14ac:dyDescent="0.35">
      <c r="A68" s="60">
        <v>46128</v>
      </c>
      <c r="B68" s="61">
        <v>745572</v>
      </c>
      <c r="C68" s="62" t="s">
        <v>140</v>
      </c>
      <c r="D68" s="61"/>
      <c r="E68" s="61">
        <v>299.29000000000002</v>
      </c>
      <c r="F68" s="62" t="s">
        <v>73</v>
      </c>
      <c r="G68" s="62"/>
      <c r="H68" s="63"/>
      <c r="I68" s="62"/>
      <c r="J68" s="64"/>
    </row>
    <row r="69" spans="1:10" x14ac:dyDescent="0.35">
      <c r="A69" s="65">
        <v>46127</v>
      </c>
      <c r="B69" s="66">
        <v>745560</v>
      </c>
      <c r="C69" s="67" t="s">
        <v>40</v>
      </c>
      <c r="D69" s="66"/>
      <c r="E69" s="66">
        <v>5650.38</v>
      </c>
      <c r="F69" s="67" t="s">
        <v>30</v>
      </c>
      <c r="G69" s="67" t="s">
        <v>219</v>
      </c>
      <c r="H69" s="68">
        <v>46213</v>
      </c>
      <c r="I69" s="67" t="s">
        <v>233</v>
      </c>
      <c r="J69" s="69" t="s">
        <v>234</v>
      </c>
    </row>
    <row r="70" spans="1:10" x14ac:dyDescent="0.35">
      <c r="A70" s="60">
        <v>46127</v>
      </c>
      <c r="B70" s="61">
        <v>745565</v>
      </c>
      <c r="C70" s="62" t="s">
        <v>61</v>
      </c>
      <c r="D70" s="61"/>
      <c r="E70" s="61">
        <v>1353.7</v>
      </c>
      <c r="F70" s="62" t="s">
        <v>30</v>
      </c>
      <c r="G70" s="62" t="s">
        <v>219</v>
      </c>
      <c r="H70" s="63">
        <v>46213</v>
      </c>
      <c r="I70" s="62" t="s">
        <v>233</v>
      </c>
      <c r="J70" s="64" t="s">
        <v>234</v>
      </c>
    </row>
    <row r="71" spans="1:10" x14ac:dyDescent="0.35">
      <c r="A71" s="65">
        <v>46127</v>
      </c>
      <c r="B71" s="66">
        <v>745562</v>
      </c>
      <c r="C71" s="67" t="s">
        <v>68</v>
      </c>
      <c r="D71" s="66"/>
      <c r="E71" s="66">
        <v>1289.4000000000001</v>
      </c>
      <c r="F71" s="67" t="s">
        <v>30</v>
      </c>
      <c r="G71" s="67" t="s">
        <v>219</v>
      </c>
      <c r="H71" s="68">
        <v>46213</v>
      </c>
      <c r="I71" s="67" t="s">
        <v>233</v>
      </c>
      <c r="J71" s="69" t="s">
        <v>234</v>
      </c>
    </row>
    <row r="72" spans="1:10" x14ac:dyDescent="0.35">
      <c r="A72" s="60">
        <v>46123</v>
      </c>
      <c r="B72" s="61">
        <v>745556</v>
      </c>
      <c r="C72" s="62" t="s">
        <v>185</v>
      </c>
      <c r="D72" s="61"/>
      <c r="E72" s="61">
        <v>67.31</v>
      </c>
      <c r="F72" s="62" t="s">
        <v>73</v>
      </c>
      <c r="G72" s="62"/>
      <c r="H72" s="63"/>
      <c r="I72" s="62"/>
      <c r="J72" s="64"/>
    </row>
    <row r="73" spans="1:10" x14ac:dyDescent="0.35">
      <c r="A73" s="65">
        <v>46122</v>
      </c>
      <c r="B73" s="66">
        <v>745551</v>
      </c>
      <c r="C73" s="67" t="s">
        <v>45</v>
      </c>
      <c r="D73" s="66"/>
      <c r="E73" s="66">
        <v>3068.89</v>
      </c>
      <c r="F73" s="67" t="s">
        <v>32</v>
      </c>
      <c r="G73" s="67"/>
      <c r="H73" s="68"/>
      <c r="I73" s="67"/>
      <c r="J73" s="69"/>
    </row>
    <row r="74" spans="1:10" x14ac:dyDescent="0.35">
      <c r="A74" s="60">
        <v>46102</v>
      </c>
      <c r="B74" s="61">
        <v>734648</v>
      </c>
      <c r="C74" s="62" t="s">
        <v>91</v>
      </c>
      <c r="D74" s="61"/>
      <c r="E74" s="61">
        <v>633.95000000000005</v>
      </c>
      <c r="F74" s="62" t="s">
        <v>56</v>
      </c>
      <c r="G74" s="62"/>
      <c r="H74" s="63"/>
      <c r="I74" s="62"/>
      <c r="J74" s="64"/>
    </row>
    <row r="75" spans="1:10" x14ac:dyDescent="0.35">
      <c r="A75" s="65">
        <v>46098</v>
      </c>
      <c r="B75" s="66">
        <v>734642</v>
      </c>
      <c r="C75" s="67" t="s">
        <v>104</v>
      </c>
      <c r="D75" s="66"/>
      <c r="E75" s="66">
        <v>523.41999999999996</v>
      </c>
      <c r="F75" s="67" t="s">
        <v>32</v>
      </c>
      <c r="G75" s="67"/>
      <c r="H75" s="68"/>
      <c r="I75" s="67"/>
      <c r="J75" s="69"/>
    </row>
    <row r="76" spans="1:10" x14ac:dyDescent="0.35">
      <c r="A76" s="60">
        <v>46097</v>
      </c>
      <c r="B76" s="61">
        <v>734636</v>
      </c>
      <c r="C76" s="62" t="s">
        <v>67</v>
      </c>
      <c r="D76" s="61"/>
      <c r="E76" s="61">
        <v>1316.01</v>
      </c>
      <c r="F76" s="62" t="s">
        <v>32</v>
      </c>
      <c r="G76" s="62"/>
      <c r="H76" s="63"/>
      <c r="I76" s="62"/>
      <c r="J76" s="64"/>
    </row>
    <row r="77" spans="1:10" x14ac:dyDescent="0.35">
      <c r="A77" s="65">
        <v>46093</v>
      </c>
      <c r="B77" s="66">
        <v>734631</v>
      </c>
      <c r="C77" s="67" t="s">
        <v>100</v>
      </c>
      <c r="D77" s="66"/>
      <c r="E77" s="66">
        <v>581.72</v>
      </c>
      <c r="F77" s="67" t="s">
        <v>60</v>
      </c>
      <c r="G77" s="67"/>
      <c r="H77" s="68"/>
      <c r="I77" s="67"/>
      <c r="J77" s="69"/>
    </row>
    <row r="78" spans="1:10" x14ac:dyDescent="0.35">
      <c r="A78" s="60">
        <v>46091</v>
      </c>
      <c r="B78" s="61">
        <v>734624</v>
      </c>
      <c r="C78" s="62" t="s">
        <v>138</v>
      </c>
      <c r="D78" s="61"/>
      <c r="E78" s="61">
        <v>301.8</v>
      </c>
      <c r="F78" s="62" t="s">
        <v>73</v>
      </c>
      <c r="G78" s="62"/>
      <c r="H78" s="63"/>
      <c r="I78" s="62"/>
      <c r="J78" s="64"/>
    </row>
    <row r="79" spans="1:10" x14ac:dyDescent="0.35">
      <c r="A79" s="65">
        <v>46088</v>
      </c>
      <c r="B79" s="66">
        <v>734619</v>
      </c>
      <c r="C79" s="67" t="s">
        <v>88</v>
      </c>
      <c r="D79" s="66"/>
      <c r="E79" s="66">
        <v>689.38</v>
      </c>
      <c r="F79" s="67" t="s">
        <v>32</v>
      </c>
      <c r="G79" s="67"/>
      <c r="H79" s="68"/>
      <c r="I79" s="67"/>
      <c r="J79" s="69"/>
    </row>
    <row r="80" spans="1:10" x14ac:dyDescent="0.35">
      <c r="A80" s="60">
        <v>46086</v>
      </c>
      <c r="B80" s="61">
        <v>734614</v>
      </c>
      <c r="C80" s="62" t="s">
        <v>120</v>
      </c>
      <c r="D80" s="61"/>
      <c r="E80" s="61">
        <v>37.58</v>
      </c>
      <c r="F80" s="62" t="s">
        <v>113</v>
      </c>
      <c r="G80" s="62"/>
      <c r="H80" s="63"/>
      <c r="I80" s="62"/>
      <c r="J80" s="64"/>
    </row>
    <row r="81" spans="1:10" x14ac:dyDescent="0.35">
      <c r="A81" s="65">
        <v>46086</v>
      </c>
      <c r="B81" s="66">
        <v>734613</v>
      </c>
      <c r="C81" s="67" t="s">
        <v>112</v>
      </c>
      <c r="D81" s="66"/>
      <c r="E81" s="66">
        <v>511.6</v>
      </c>
      <c r="F81" s="67" t="s">
        <v>113</v>
      </c>
      <c r="G81" s="67"/>
      <c r="H81" s="68"/>
      <c r="I81" s="67"/>
      <c r="J81" s="69"/>
    </row>
    <row r="82" spans="1:10" x14ac:dyDescent="0.35">
      <c r="A82" s="60">
        <v>46086</v>
      </c>
      <c r="B82" s="61">
        <v>734612</v>
      </c>
      <c r="C82" s="62" t="s">
        <v>132</v>
      </c>
      <c r="D82" s="61"/>
      <c r="E82" s="61">
        <v>339.31</v>
      </c>
      <c r="F82" s="62" t="s">
        <v>73</v>
      </c>
      <c r="G82" s="62"/>
      <c r="H82" s="63"/>
      <c r="I82" s="62"/>
      <c r="J82" s="64"/>
    </row>
    <row r="83" spans="1:10" x14ac:dyDescent="0.35">
      <c r="A83" s="65">
        <v>46084</v>
      </c>
      <c r="B83" s="66">
        <v>734607</v>
      </c>
      <c r="C83" s="67" t="s">
        <v>95</v>
      </c>
      <c r="D83" s="66"/>
      <c r="E83" s="66">
        <v>617.67999999999995</v>
      </c>
      <c r="F83" s="67" t="s">
        <v>8</v>
      </c>
      <c r="G83" s="67"/>
      <c r="H83" s="68"/>
      <c r="I83" s="67"/>
      <c r="J83" s="69"/>
    </row>
    <row r="84" spans="1:10" x14ac:dyDescent="0.35">
      <c r="A84" s="60">
        <v>46121</v>
      </c>
      <c r="B84" s="61">
        <v>734600</v>
      </c>
      <c r="C84" s="62" t="s">
        <v>194</v>
      </c>
      <c r="D84" s="61"/>
      <c r="E84" s="61">
        <v>43.33</v>
      </c>
      <c r="F84" s="62" t="s">
        <v>113</v>
      </c>
      <c r="G84" s="62"/>
      <c r="H84" s="63"/>
      <c r="I84" s="62"/>
      <c r="J84" s="64"/>
    </row>
    <row r="85" spans="1:10" x14ac:dyDescent="0.35">
      <c r="A85" s="65">
        <v>46116</v>
      </c>
      <c r="B85" s="66">
        <v>734591</v>
      </c>
      <c r="C85" s="67" t="s">
        <v>180</v>
      </c>
      <c r="D85" s="66"/>
      <c r="E85" s="66">
        <v>92.92</v>
      </c>
      <c r="F85" s="67" t="s">
        <v>73</v>
      </c>
      <c r="G85" s="67"/>
      <c r="H85" s="68"/>
      <c r="I85" s="67"/>
      <c r="J85" s="69"/>
    </row>
    <row r="86" spans="1:10" x14ac:dyDescent="0.35">
      <c r="A86" s="60">
        <v>46116</v>
      </c>
      <c r="B86" s="61">
        <v>734590</v>
      </c>
      <c r="C86" s="62" t="s">
        <v>188</v>
      </c>
      <c r="D86" s="61"/>
      <c r="E86" s="61">
        <v>58.1</v>
      </c>
      <c r="F86" s="62" t="s">
        <v>73</v>
      </c>
      <c r="G86" s="62"/>
      <c r="H86" s="63"/>
      <c r="I86" s="62"/>
      <c r="J86" s="64"/>
    </row>
    <row r="87" spans="1:10" x14ac:dyDescent="0.35">
      <c r="A87" s="65">
        <v>46114</v>
      </c>
      <c r="B87" s="66">
        <v>734586</v>
      </c>
      <c r="C87" s="67" t="s">
        <v>197</v>
      </c>
      <c r="D87" s="66"/>
      <c r="E87" s="66">
        <v>11.6</v>
      </c>
      <c r="F87" s="67" t="s">
        <v>113</v>
      </c>
      <c r="G87" s="67"/>
      <c r="H87" s="68"/>
      <c r="I87" s="67"/>
      <c r="J87" s="69"/>
    </row>
    <row r="88" spans="1:10" x14ac:dyDescent="0.35">
      <c r="A88" s="60">
        <v>46114</v>
      </c>
      <c r="B88" s="61">
        <v>734585</v>
      </c>
      <c r="C88" s="62" t="s">
        <v>186</v>
      </c>
      <c r="D88" s="61"/>
      <c r="E88" s="61">
        <v>65.209999999999994</v>
      </c>
      <c r="F88" s="62" t="s">
        <v>113</v>
      </c>
      <c r="G88" s="62"/>
      <c r="H88" s="63"/>
      <c r="I88" s="62"/>
      <c r="J88" s="64"/>
    </row>
    <row r="89" spans="1:10" x14ac:dyDescent="0.35">
      <c r="A89" s="65">
        <v>46107</v>
      </c>
      <c r="B89" s="66">
        <v>734567</v>
      </c>
      <c r="C89" s="67" t="s">
        <v>163</v>
      </c>
      <c r="D89" s="66"/>
      <c r="E89" s="66">
        <v>183.38</v>
      </c>
      <c r="F89" s="67" t="s">
        <v>8</v>
      </c>
      <c r="G89" s="67"/>
      <c r="H89" s="68"/>
      <c r="I89" s="67"/>
      <c r="J89" s="69"/>
    </row>
    <row r="90" spans="1:10" x14ac:dyDescent="0.35">
      <c r="A90" s="60">
        <v>46107</v>
      </c>
      <c r="B90" s="61">
        <v>734566</v>
      </c>
      <c r="C90" s="62" t="s">
        <v>114</v>
      </c>
      <c r="D90" s="61"/>
      <c r="E90" s="61">
        <v>503.44</v>
      </c>
      <c r="F90" s="62" t="s">
        <v>32</v>
      </c>
      <c r="G90" s="62"/>
      <c r="H90" s="63"/>
      <c r="I90" s="62"/>
      <c r="J90" s="64"/>
    </row>
    <row r="91" spans="1:10" x14ac:dyDescent="0.35">
      <c r="A91" s="65">
        <v>45011</v>
      </c>
      <c r="B91" s="66">
        <v>734565</v>
      </c>
      <c r="C91" s="67" t="s">
        <v>55</v>
      </c>
      <c r="D91" s="66"/>
      <c r="E91" s="66">
        <v>1642.76</v>
      </c>
      <c r="F91" s="67" t="s">
        <v>56</v>
      </c>
      <c r="G91" s="67"/>
      <c r="H91" s="68"/>
      <c r="I91" s="67"/>
      <c r="J91" s="69"/>
    </row>
    <row r="92" spans="1:10" x14ac:dyDescent="0.35">
      <c r="A92" s="60">
        <v>46074</v>
      </c>
      <c r="B92" s="61">
        <v>711584</v>
      </c>
      <c r="C92" s="62" t="s">
        <v>165</v>
      </c>
      <c r="D92" s="61"/>
      <c r="E92" s="61">
        <v>177.28</v>
      </c>
      <c r="F92" s="62" t="s">
        <v>56</v>
      </c>
      <c r="G92" s="62"/>
      <c r="H92" s="63"/>
      <c r="I92" s="62"/>
      <c r="J92" s="64"/>
    </row>
    <row r="93" spans="1:10" x14ac:dyDescent="0.35">
      <c r="A93" s="65">
        <v>46074</v>
      </c>
      <c r="B93" s="66">
        <v>711583</v>
      </c>
      <c r="C93" s="67" t="s">
        <v>162</v>
      </c>
      <c r="D93" s="66"/>
      <c r="E93" s="66">
        <v>184.87</v>
      </c>
      <c r="F93" s="67" t="s">
        <v>8</v>
      </c>
      <c r="G93" s="67"/>
      <c r="H93" s="68"/>
      <c r="I93" s="67"/>
      <c r="J93" s="69"/>
    </row>
    <row r="94" spans="1:10" x14ac:dyDescent="0.35">
      <c r="A94" s="60">
        <v>46074</v>
      </c>
      <c r="B94" s="61">
        <v>711580</v>
      </c>
      <c r="C94" s="62" t="s">
        <v>79</v>
      </c>
      <c r="D94" s="61"/>
      <c r="E94" s="61">
        <v>856.28</v>
      </c>
      <c r="F94" s="62" t="s">
        <v>8</v>
      </c>
      <c r="G94" s="62"/>
      <c r="H94" s="63"/>
      <c r="I94" s="62"/>
      <c r="J94" s="64"/>
    </row>
    <row r="95" spans="1:10" x14ac:dyDescent="0.35">
      <c r="A95" s="65">
        <v>46063</v>
      </c>
      <c r="B95" s="66">
        <v>711550</v>
      </c>
      <c r="C95" s="67" t="s">
        <v>139</v>
      </c>
      <c r="D95" s="66"/>
      <c r="E95" s="66">
        <v>300.33</v>
      </c>
      <c r="F95" s="67" t="s">
        <v>73</v>
      </c>
      <c r="G95" s="67"/>
      <c r="H95" s="68"/>
      <c r="I95" s="67"/>
      <c r="J95" s="69"/>
    </row>
    <row r="96" spans="1:10" x14ac:dyDescent="0.35">
      <c r="A96" s="60">
        <v>46060</v>
      </c>
      <c r="B96" s="61">
        <v>711548</v>
      </c>
      <c r="C96" s="62" t="s">
        <v>152</v>
      </c>
      <c r="D96" s="61"/>
      <c r="E96" s="61">
        <v>241.67</v>
      </c>
      <c r="F96" s="62" t="s">
        <v>32</v>
      </c>
      <c r="G96" s="62"/>
      <c r="H96" s="63"/>
      <c r="I96" s="62"/>
      <c r="J96" s="64"/>
    </row>
    <row r="97" spans="1:10" x14ac:dyDescent="0.35">
      <c r="A97" s="65">
        <v>46149</v>
      </c>
      <c r="B97" s="66">
        <v>711547</v>
      </c>
      <c r="C97" s="67" t="s">
        <v>59</v>
      </c>
      <c r="D97" s="66"/>
      <c r="E97" s="66">
        <v>1600.7</v>
      </c>
      <c r="F97" s="67" t="s">
        <v>60</v>
      </c>
      <c r="G97" s="67"/>
      <c r="H97" s="68"/>
      <c r="I97" s="67"/>
      <c r="J97" s="69"/>
    </row>
    <row r="98" spans="1:10" x14ac:dyDescent="0.35">
      <c r="A98" s="60">
        <v>46058</v>
      </c>
      <c r="B98" s="61">
        <v>711541</v>
      </c>
      <c r="C98" s="62" t="s">
        <v>81</v>
      </c>
      <c r="D98" s="61">
        <v>687368</v>
      </c>
      <c r="E98" s="61">
        <v>846.27</v>
      </c>
      <c r="F98" s="62" t="s">
        <v>73</v>
      </c>
      <c r="G98" s="62"/>
      <c r="H98" s="63"/>
      <c r="I98" s="62"/>
      <c r="J98" s="64"/>
    </row>
    <row r="99" spans="1:10" x14ac:dyDescent="0.35">
      <c r="A99" s="65">
        <v>46056</v>
      </c>
      <c r="B99" s="66">
        <v>711536</v>
      </c>
      <c r="C99" s="67" t="s">
        <v>167</v>
      </c>
      <c r="D99" s="66"/>
      <c r="E99" s="66">
        <v>170.52</v>
      </c>
      <c r="F99" s="67" t="s">
        <v>73</v>
      </c>
      <c r="G99" s="67"/>
      <c r="H99" s="68"/>
      <c r="I99" s="67"/>
      <c r="J99" s="69"/>
    </row>
    <row r="100" spans="1:10" x14ac:dyDescent="0.35">
      <c r="A100" s="60">
        <v>46056</v>
      </c>
      <c r="B100" s="61">
        <v>711535</v>
      </c>
      <c r="C100" s="62" t="s">
        <v>175</v>
      </c>
      <c r="D100" s="61"/>
      <c r="E100" s="61">
        <v>118.94</v>
      </c>
      <c r="F100" s="62" t="s">
        <v>73</v>
      </c>
      <c r="G100" s="62"/>
      <c r="H100" s="63"/>
      <c r="I100" s="62"/>
      <c r="J100" s="64"/>
    </row>
    <row r="101" spans="1:10" x14ac:dyDescent="0.35">
      <c r="A101" s="65">
        <v>46055</v>
      </c>
      <c r="B101" s="66">
        <v>711531</v>
      </c>
      <c r="C101" s="67" t="s">
        <v>82</v>
      </c>
      <c r="D101" s="66"/>
      <c r="E101" s="66">
        <v>837.01</v>
      </c>
      <c r="F101" s="67" t="s">
        <v>32</v>
      </c>
      <c r="G101" s="67"/>
      <c r="H101" s="68"/>
      <c r="I101" s="67"/>
      <c r="J101" s="69"/>
    </row>
    <row r="102" spans="1:10" x14ac:dyDescent="0.35">
      <c r="A102" s="60">
        <v>46053</v>
      </c>
      <c r="B102" s="61">
        <v>711530</v>
      </c>
      <c r="C102" s="62" t="s">
        <v>153</v>
      </c>
      <c r="D102" s="61"/>
      <c r="E102" s="61">
        <v>229.45</v>
      </c>
      <c r="F102" s="62" t="s">
        <v>73</v>
      </c>
      <c r="G102" s="62"/>
      <c r="H102" s="63"/>
      <c r="I102" s="62"/>
      <c r="J102" s="64"/>
    </row>
    <row r="103" spans="1:10" x14ac:dyDescent="0.35">
      <c r="A103" s="65">
        <v>46046</v>
      </c>
      <c r="B103" s="66">
        <v>711503</v>
      </c>
      <c r="C103" s="67" t="s">
        <v>120</v>
      </c>
      <c r="D103" s="66"/>
      <c r="E103" s="66">
        <v>445.88</v>
      </c>
      <c r="F103" s="67" t="s">
        <v>73</v>
      </c>
      <c r="G103" s="67"/>
      <c r="H103" s="68"/>
      <c r="I103" s="67"/>
      <c r="J103" s="69"/>
    </row>
    <row r="104" spans="1:10" x14ac:dyDescent="0.35">
      <c r="A104" s="60">
        <v>46210</v>
      </c>
      <c r="B104" s="61">
        <v>711260</v>
      </c>
      <c r="C104" s="62" t="s">
        <v>9</v>
      </c>
      <c r="D104" s="61">
        <v>715054</v>
      </c>
      <c r="E104" s="61">
        <v>27.99</v>
      </c>
      <c r="F104" s="62" t="s">
        <v>9</v>
      </c>
      <c r="G104" s="62"/>
      <c r="H104" s="63"/>
      <c r="I104" s="62"/>
      <c r="J104" s="64"/>
    </row>
    <row r="105" spans="1:10" x14ac:dyDescent="0.35">
      <c r="A105" s="65">
        <v>46024</v>
      </c>
      <c r="B105" s="66">
        <v>695294</v>
      </c>
      <c r="C105" s="67" t="s">
        <v>148</v>
      </c>
      <c r="D105" s="66"/>
      <c r="E105" s="66">
        <v>256.52</v>
      </c>
      <c r="F105" s="67" t="s">
        <v>56</v>
      </c>
      <c r="G105" s="67"/>
      <c r="H105" s="68"/>
      <c r="I105" s="67"/>
      <c r="J105" s="69"/>
    </row>
    <row r="106" spans="1:10" x14ac:dyDescent="0.35">
      <c r="A106" s="60">
        <v>46023</v>
      </c>
      <c r="B106" s="61">
        <v>695291</v>
      </c>
      <c r="C106" s="62" t="s">
        <v>50</v>
      </c>
      <c r="D106" s="61">
        <v>696433</v>
      </c>
      <c r="E106" s="61">
        <v>2089.79</v>
      </c>
      <c r="F106" s="62" t="s">
        <v>44</v>
      </c>
      <c r="G106" s="62"/>
      <c r="H106" s="63"/>
      <c r="I106" s="62"/>
      <c r="J106" s="64"/>
    </row>
    <row r="107" spans="1:10" x14ac:dyDescent="0.35">
      <c r="A107" s="65">
        <v>46022</v>
      </c>
      <c r="B107" s="66">
        <v>695286</v>
      </c>
      <c r="C107" s="67" t="s">
        <v>43</v>
      </c>
      <c r="D107" s="66"/>
      <c r="E107" s="66">
        <v>2283.92</v>
      </c>
      <c r="F107" s="67" t="s">
        <v>44</v>
      </c>
      <c r="G107" s="67"/>
      <c r="H107" s="68"/>
      <c r="I107" s="67"/>
      <c r="J107" s="69"/>
    </row>
    <row r="108" spans="1:10" x14ac:dyDescent="0.35">
      <c r="A108" s="60">
        <v>46022</v>
      </c>
      <c r="B108" s="61">
        <v>695285</v>
      </c>
      <c r="C108" s="62" t="s">
        <v>43</v>
      </c>
      <c r="D108" s="61"/>
      <c r="E108" s="61">
        <v>3220.5</v>
      </c>
      <c r="F108" s="62" t="s">
        <v>44</v>
      </c>
      <c r="G108" s="62"/>
      <c r="H108" s="63"/>
      <c r="I108" s="62"/>
      <c r="J108" s="64"/>
    </row>
    <row r="109" spans="1:10" x14ac:dyDescent="0.35">
      <c r="A109" s="65">
        <v>46022</v>
      </c>
      <c r="B109" s="66">
        <v>695273</v>
      </c>
      <c r="C109" s="67" t="s">
        <v>49</v>
      </c>
      <c r="D109" s="66"/>
      <c r="E109" s="66">
        <v>2226.0100000000002</v>
      </c>
      <c r="F109" s="67" t="s">
        <v>44</v>
      </c>
      <c r="G109" s="67"/>
      <c r="H109" s="68"/>
      <c r="I109" s="67"/>
      <c r="J109" s="69"/>
    </row>
    <row r="110" spans="1:10" x14ac:dyDescent="0.35">
      <c r="A110" s="60">
        <v>46022</v>
      </c>
      <c r="B110" s="61">
        <v>695272</v>
      </c>
      <c r="C110" s="62" t="s">
        <v>105</v>
      </c>
      <c r="D110" s="61">
        <v>696427</v>
      </c>
      <c r="E110" s="61">
        <v>521.38</v>
      </c>
      <c r="F110" s="62" t="s">
        <v>44</v>
      </c>
      <c r="G110" s="62"/>
      <c r="H110" s="63"/>
      <c r="I110" s="62"/>
      <c r="J110" s="64"/>
    </row>
    <row r="111" spans="1:10" x14ac:dyDescent="0.35">
      <c r="A111" s="65">
        <v>46021</v>
      </c>
      <c r="B111" s="66">
        <v>695262</v>
      </c>
      <c r="C111" s="67" t="s">
        <v>62</v>
      </c>
      <c r="D111" s="66"/>
      <c r="E111" s="66">
        <v>1344.47</v>
      </c>
      <c r="F111" s="67" t="s">
        <v>63</v>
      </c>
      <c r="G111" s="67"/>
      <c r="H111" s="68"/>
      <c r="I111" s="67"/>
      <c r="J111" s="69"/>
    </row>
    <row r="112" spans="1:10" x14ac:dyDescent="0.35">
      <c r="A112" s="60">
        <v>46021</v>
      </c>
      <c r="B112" s="61">
        <v>695261</v>
      </c>
      <c r="C112" s="62" t="s">
        <v>116</v>
      </c>
      <c r="D112" s="61"/>
      <c r="E112" s="61">
        <v>485.35</v>
      </c>
      <c r="F112" s="62" t="s">
        <v>73</v>
      </c>
      <c r="G112" s="62"/>
      <c r="H112" s="63"/>
      <c r="I112" s="62"/>
      <c r="J112" s="64"/>
    </row>
    <row r="113" spans="1:10" x14ac:dyDescent="0.35">
      <c r="A113" s="65">
        <v>46020</v>
      </c>
      <c r="B113" s="66">
        <v>695256</v>
      </c>
      <c r="C113" s="67" t="s">
        <v>57</v>
      </c>
      <c r="D113" s="66"/>
      <c r="E113" s="66">
        <v>1632.77</v>
      </c>
      <c r="F113" s="67" t="s">
        <v>58</v>
      </c>
      <c r="G113" s="67"/>
      <c r="H113" s="68"/>
      <c r="I113" s="67"/>
      <c r="J113" s="69"/>
    </row>
    <row r="114" spans="1:10" x14ac:dyDescent="0.35">
      <c r="A114" s="60">
        <v>46020</v>
      </c>
      <c r="B114" s="61">
        <v>695254</v>
      </c>
      <c r="C114" s="62" t="s">
        <v>57</v>
      </c>
      <c r="D114" s="61"/>
      <c r="E114" s="61">
        <v>979.66</v>
      </c>
      <c r="F114" s="62" t="s">
        <v>58</v>
      </c>
      <c r="G114" s="62"/>
      <c r="H114" s="63"/>
      <c r="I114" s="62"/>
      <c r="J114" s="64"/>
    </row>
    <row r="115" spans="1:10" x14ac:dyDescent="0.35">
      <c r="A115" s="65">
        <v>46020</v>
      </c>
      <c r="B115" s="66">
        <v>695253</v>
      </c>
      <c r="C115" s="67" t="s">
        <v>57</v>
      </c>
      <c r="D115" s="66"/>
      <c r="E115" s="66">
        <v>1469.49</v>
      </c>
      <c r="F115" s="67" t="s">
        <v>58</v>
      </c>
      <c r="G115" s="67"/>
      <c r="H115" s="68"/>
      <c r="I115" s="67"/>
      <c r="J115" s="69"/>
    </row>
    <row r="116" spans="1:10" x14ac:dyDescent="0.35">
      <c r="A116" s="60">
        <v>46015</v>
      </c>
      <c r="B116" s="61">
        <v>691349</v>
      </c>
      <c r="C116" s="62" t="s">
        <v>122</v>
      </c>
      <c r="D116" s="61"/>
      <c r="E116" s="61">
        <v>425.1</v>
      </c>
      <c r="F116" s="62" t="s">
        <v>32</v>
      </c>
      <c r="G116" s="62"/>
      <c r="H116" s="63"/>
      <c r="I116" s="62"/>
      <c r="J116" s="64"/>
    </row>
    <row r="117" spans="1:10" x14ac:dyDescent="0.35">
      <c r="A117" s="65">
        <v>46015</v>
      </c>
      <c r="B117" s="66">
        <v>691348</v>
      </c>
      <c r="C117" s="67" t="s">
        <v>117</v>
      </c>
      <c r="D117" s="66"/>
      <c r="E117" s="66">
        <v>483.93</v>
      </c>
      <c r="F117" s="67" t="s">
        <v>32</v>
      </c>
      <c r="G117" s="67"/>
      <c r="H117" s="68"/>
      <c r="I117" s="67"/>
      <c r="J117" s="69"/>
    </row>
    <row r="118" spans="1:10" x14ac:dyDescent="0.35">
      <c r="A118" s="60">
        <v>46015</v>
      </c>
      <c r="B118" s="61">
        <v>691347</v>
      </c>
      <c r="C118" s="62" t="s">
        <v>117</v>
      </c>
      <c r="D118" s="61"/>
      <c r="E118" s="61">
        <v>483.93</v>
      </c>
      <c r="F118" s="62" t="s">
        <v>32</v>
      </c>
      <c r="G118" s="62"/>
      <c r="H118" s="63"/>
      <c r="I118" s="62"/>
      <c r="J118" s="64"/>
    </row>
    <row r="119" spans="1:10" x14ac:dyDescent="0.35">
      <c r="A119" s="65">
        <v>46015</v>
      </c>
      <c r="B119" s="66">
        <v>691346</v>
      </c>
      <c r="C119" s="67" t="s">
        <v>99</v>
      </c>
      <c r="D119" s="66"/>
      <c r="E119" s="66">
        <v>586.65</v>
      </c>
      <c r="F119" s="67" t="s">
        <v>32</v>
      </c>
      <c r="G119" s="67"/>
      <c r="H119" s="68"/>
      <c r="I119" s="67"/>
      <c r="J119" s="69"/>
    </row>
    <row r="120" spans="1:10" x14ac:dyDescent="0.35">
      <c r="A120" s="60">
        <v>46015</v>
      </c>
      <c r="B120" s="61">
        <v>691345</v>
      </c>
      <c r="C120" s="62" t="s">
        <v>51</v>
      </c>
      <c r="D120" s="61"/>
      <c r="E120" s="61">
        <v>1801.81</v>
      </c>
      <c r="F120" s="62" t="s">
        <v>32</v>
      </c>
      <c r="G120" s="62"/>
      <c r="H120" s="63"/>
      <c r="I120" s="62"/>
      <c r="J120" s="64"/>
    </row>
    <row r="121" spans="1:10" x14ac:dyDescent="0.35">
      <c r="A121" s="65">
        <v>46015</v>
      </c>
      <c r="B121" s="66">
        <v>691344</v>
      </c>
      <c r="C121" s="67" t="s">
        <v>72</v>
      </c>
      <c r="D121" s="66"/>
      <c r="E121" s="66">
        <v>964.93</v>
      </c>
      <c r="F121" s="67" t="s">
        <v>32</v>
      </c>
      <c r="G121" s="67"/>
      <c r="H121" s="68"/>
      <c r="I121" s="67"/>
      <c r="J121" s="69"/>
    </row>
    <row r="122" spans="1:10" x14ac:dyDescent="0.35">
      <c r="A122" s="60">
        <v>46015</v>
      </c>
      <c r="B122" s="61">
        <v>691343</v>
      </c>
      <c r="C122" s="62" t="s">
        <v>146</v>
      </c>
      <c r="D122" s="61"/>
      <c r="E122" s="61">
        <v>265.55</v>
      </c>
      <c r="F122" s="62" t="s">
        <v>32</v>
      </c>
      <c r="G122" s="62"/>
      <c r="H122" s="63"/>
      <c r="I122" s="62"/>
      <c r="J122" s="64"/>
    </row>
    <row r="123" spans="1:10" x14ac:dyDescent="0.35">
      <c r="A123" s="65">
        <v>46015</v>
      </c>
      <c r="B123" s="66">
        <v>691342</v>
      </c>
      <c r="C123" s="67" t="s">
        <v>146</v>
      </c>
      <c r="D123" s="66"/>
      <c r="E123" s="66">
        <v>265.55</v>
      </c>
      <c r="F123" s="67" t="s">
        <v>32</v>
      </c>
      <c r="G123" s="67"/>
      <c r="H123" s="68"/>
      <c r="I123" s="67"/>
      <c r="J123" s="69"/>
    </row>
    <row r="124" spans="1:10" x14ac:dyDescent="0.35">
      <c r="A124" s="60">
        <v>46015</v>
      </c>
      <c r="B124" s="61">
        <v>691341</v>
      </c>
      <c r="C124" s="62" t="s">
        <v>31</v>
      </c>
      <c r="D124" s="61">
        <v>687355</v>
      </c>
      <c r="E124" s="61">
        <v>9784.11</v>
      </c>
      <c r="F124" s="62" t="s">
        <v>32</v>
      </c>
      <c r="G124" s="62" t="s">
        <v>219</v>
      </c>
      <c r="H124" s="63">
        <v>46211</v>
      </c>
      <c r="I124" s="62" t="s">
        <v>216</v>
      </c>
      <c r="J124" s="64" t="s">
        <v>222</v>
      </c>
    </row>
    <row r="125" spans="1:10" x14ac:dyDescent="0.35">
      <c r="A125" s="65">
        <v>46011</v>
      </c>
      <c r="B125" s="66">
        <v>691334</v>
      </c>
      <c r="C125" s="67" t="s">
        <v>182</v>
      </c>
      <c r="D125" s="66"/>
      <c r="E125" s="66">
        <v>80.09</v>
      </c>
      <c r="F125" s="67" t="s">
        <v>113</v>
      </c>
      <c r="G125" s="67"/>
      <c r="H125" s="68"/>
      <c r="I125" s="67"/>
      <c r="J125" s="69"/>
    </row>
    <row r="126" spans="1:10" x14ac:dyDescent="0.35">
      <c r="A126" s="60">
        <v>46011</v>
      </c>
      <c r="B126" s="61">
        <v>691333</v>
      </c>
      <c r="C126" s="62" t="s">
        <v>190</v>
      </c>
      <c r="D126" s="61"/>
      <c r="E126" s="61">
        <v>55.43</v>
      </c>
      <c r="F126" s="62" t="s">
        <v>113</v>
      </c>
      <c r="G126" s="62"/>
      <c r="H126" s="63"/>
      <c r="I126" s="62"/>
      <c r="J126" s="64"/>
    </row>
    <row r="127" spans="1:10" x14ac:dyDescent="0.35">
      <c r="A127" s="65">
        <v>46007</v>
      </c>
      <c r="B127" s="66">
        <v>691323</v>
      </c>
      <c r="C127" s="67" t="s">
        <v>196</v>
      </c>
      <c r="D127" s="66"/>
      <c r="E127" s="66">
        <v>38.36</v>
      </c>
      <c r="F127" s="67" t="s">
        <v>113</v>
      </c>
      <c r="G127" s="67"/>
      <c r="H127" s="68"/>
      <c r="I127" s="67"/>
      <c r="J127" s="69"/>
    </row>
    <row r="128" spans="1:10" x14ac:dyDescent="0.35">
      <c r="A128" s="60">
        <v>46007</v>
      </c>
      <c r="B128" s="61">
        <v>691322</v>
      </c>
      <c r="C128" s="62" t="s">
        <v>52</v>
      </c>
      <c r="D128" s="61"/>
      <c r="E128" s="61">
        <v>1775.87</v>
      </c>
      <c r="F128" s="62" t="s">
        <v>32</v>
      </c>
      <c r="G128" s="62"/>
      <c r="H128" s="63"/>
      <c r="I128" s="62"/>
      <c r="J128" s="64"/>
    </row>
    <row r="129" spans="1:10" x14ac:dyDescent="0.35">
      <c r="A129" s="65">
        <v>46007</v>
      </c>
      <c r="B129" s="66">
        <v>691320</v>
      </c>
      <c r="C129" s="67" t="s">
        <v>87</v>
      </c>
      <c r="D129" s="66"/>
      <c r="E129" s="66">
        <v>702.13</v>
      </c>
      <c r="F129" s="67" t="s">
        <v>73</v>
      </c>
      <c r="G129" s="67"/>
      <c r="H129" s="68"/>
      <c r="I129" s="67"/>
      <c r="J129" s="69"/>
    </row>
    <row r="130" spans="1:10" x14ac:dyDescent="0.35">
      <c r="A130" s="60">
        <v>46000</v>
      </c>
      <c r="B130" s="61">
        <v>691299</v>
      </c>
      <c r="C130" s="62" t="s">
        <v>155</v>
      </c>
      <c r="D130" s="61"/>
      <c r="E130" s="61">
        <v>216.15</v>
      </c>
      <c r="F130" s="62" t="s">
        <v>113</v>
      </c>
      <c r="G130" s="62"/>
      <c r="H130" s="63"/>
      <c r="I130" s="62"/>
      <c r="J130" s="64"/>
    </row>
    <row r="131" spans="1:10" x14ac:dyDescent="0.35">
      <c r="A131" s="65">
        <v>45993</v>
      </c>
      <c r="B131" s="66">
        <v>691283</v>
      </c>
      <c r="C131" s="67" t="s">
        <v>193</v>
      </c>
      <c r="D131" s="66"/>
      <c r="E131" s="66">
        <v>43.59</v>
      </c>
      <c r="F131" s="67" t="s">
        <v>113</v>
      </c>
      <c r="G131" s="67"/>
      <c r="H131" s="68"/>
      <c r="I131" s="67"/>
      <c r="J131" s="69"/>
    </row>
    <row r="132" spans="1:10" x14ac:dyDescent="0.35">
      <c r="A132" s="60">
        <v>45992</v>
      </c>
      <c r="B132" s="61">
        <v>691279</v>
      </c>
      <c r="C132" s="62" t="s">
        <v>23</v>
      </c>
      <c r="D132" s="61">
        <v>701797</v>
      </c>
      <c r="E132" s="61">
        <v>30783.11</v>
      </c>
      <c r="F132" s="62" t="s">
        <v>24</v>
      </c>
      <c r="G132" s="62" t="s">
        <v>219</v>
      </c>
      <c r="H132" s="63">
        <v>46211</v>
      </c>
      <c r="I132" s="62" t="s">
        <v>216</v>
      </c>
      <c r="J132" s="64" t="s">
        <v>222</v>
      </c>
    </row>
    <row r="133" spans="1:10" x14ac:dyDescent="0.35">
      <c r="A133" s="65">
        <v>45988</v>
      </c>
      <c r="B133" s="66">
        <v>691269</v>
      </c>
      <c r="C133" s="67" t="s">
        <v>27</v>
      </c>
      <c r="D133" s="66"/>
      <c r="E133" s="66">
        <v>16319.3</v>
      </c>
      <c r="F133" s="67" t="s">
        <v>28</v>
      </c>
      <c r="G133" s="67"/>
      <c r="H133" s="68"/>
      <c r="I133" s="67"/>
      <c r="J133" s="69"/>
    </row>
    <row r="134" spans="1:10" x14ac:dyDescent="0.35">
      <c r="A134" s="60">
        <v>45985</v>
      </c>
      <c r="B134" s="61">
        <v>691264</v>
      </c>
      <c r="C134" s="62" t="s">
        <v>178</v>
      </c>
      <c r="D134" s="61"/>
      <c r="E134" s="61">
        <v>103.64</v>
      </c>
      <c r="F134" s="62" t="s">
        <v>113</v>
      </c>
      <c r="G134" s="62"/>
      <c r="H134" s="63"/>
      <c r="I134" s="62"/>
      <c r="J134" s="64"/>
    </row>
    <row r="135" spans="1:10" x14ac:dyDescent="0.35">
      <c r="A135" s="65">
        <v>45979</v>
      </c>
      <c r="B135" s="66">
        <v>691255</v>
      </c>
      <c r="C135" s="67" t="s">
        <v>142</v>
      </c>
      <c r="D135" s="66"/>
      <c r="E135" s="66">
        <v>274.98</v>
      </c>
      <c r="F135" s="67" t="s">
        <v>111</v>
      </c>
      <c r="G135" s="67"/>
      <c r="H135" s="68"/>
      <c r="I135" s="67"/>
      <c r="J135" s="69"/>
    </row>
    <row r="136" spans="1:10" x14ac:dyDescent="0.35">
      <c r="A136" s="60">
        <v>46035</v>
      </c>
      <c r="B136" s="61">
        <v>688675</v>
      </c>
      <c r="C136" s="62" t="s">
        <v>134</v>
      </c>
      <c r="D136" s="61"/>
      <c r="E136" s="61">
        <v>326.45999999999998</v>
      </c>
      <c r="F136" s="62" t="s">
        <v>73</v>
      </c>
      <c r="G136" s="62"/>
      <c r="H136" s="63"/>
      <c r="I136" s="62"/>
      <c r="J136" s="64"/>
    </row>
    <row r="137" spans="1:10" x14ac:dyDescent="0.35">
      <c r="A137" s="65">
        <v>46035</v>
      </c>
      <c r="B137" s="66">
        <v>688674</v>
      </c>
      <c r="C137" s="67" t="s">
        <v>98</v>
      </c>
      <c r="D137" s="66"/>
      <c r="E137" s="66">
        <v>590.09</v>
      </c>
      <c r="F137" s="67" t="s">
        <v>73</v>
      </c>
      <c r="G137" s="67"/>
      <c r="H137" s="68"/>
      <c r="I137" s="67"/>
      <c r="J137" s="69"/>
    </row>
    <row r="138" spans="1:10" x14ac:dyDescent="0.35">
      <c r="A138" s="60">
        <v>46035</v>
      </c>
      <c r="B138" s="61">
        <v>688673</v>
      </c>
      <c r="C138" s="62" t="s">
        <v>144</v>
      </c>
      <c r="D138" s="61"/>
      <c r="E138" s="61">
        <v>266.27999999999997</v>
      </c>
      <c r="F138" s="62" t="s">
        <v>145</v>
      </c>
      <c r="G138" s="62"/>
      <c r="H138" s="63"/>
      <c r="I138" s="62"/>
      <c r="J138" s="64"/>
    </row>
    <row r="139" spans="1:10" x14ac:dyDescent="0.35">
      <c r="A139" s="65">
        <v>46035</v>
      </c>
      <c r="B139" s="66">
        <v>688672</v>
      </c>
      <c r="C139" s="67" t="s">
        <v>102</v>
      </c>
      <c r="D139" s="66"/>
      <c r="E139" s="66">
        <v>560.87</v>
      </c>
      <c r="F139" s="67" t="s">
        <v>145</v>
      </c>
      <c r="G139" s="67"/>
      <c r="H139" s="68"/>
      <c r="I139" s="67"/>
      <c r="J139" s="69"/>
    </row>
    <row r="140" spans="1:10" x14ac:dyDescent="0.35">
      <c r="A140" s="60">
        <v>46030</v>
      </c>
      <c r="B140" s="61">
        <v>688664</v>
      </c>
      <c r="C140" s="62" t="s">
        <v>195</v>
      </c>
      <c r="D140" s="61">
        <v>656436</v>
      </c>
      <c r="E140" s="61">
        <v>40</v>
      </c>
      <c r="F140" s="62" t="s">
        <v>113</v>
      </c>
      <c r="G140" s="62"/>
      <c r="H140" s="63"/>
      <c r="I140" s="62"/>
      <c r="J140" s="64"/>
    </row>
    <row r="141" spans="1:10" x14ac:dyDescent="0.35">
      <c r="A141" s="65">
        <v>46030</v>
      </c>
      <c r="B141" s="66">
        <v>688663</v>
      </c>
      <c r="C141" s="67" t="s">
        <v>166</v>
      </c>
      <c r="D141" s="66">
        <v>656436</v>
      </c>
      <c r="E141" s="66">
        <v>171.67</v>
      </c>
      <c r="F141" s="67" t="s">
        <v>73</v>
      </c>
      <c r="G141" s="67"/>
      <c r="H141" s="68"/>
      <c r="I141" s="67"/>
      <c r="J141" s="69"/>
    </row>
    <row r="142" spans="1:10" x14ac:dyDescent="0.35">
      <c r="A142" s="60">
        <v>45955</v>
      </c>
      <c r="B142" s="61">
        <v>663243</v>
      </c>
      <c r="C142" s="62" t="s">
        <v>127</v>
      </c>
      <c r="D142" s="61">
        <v>693748</v>
      </c>
      <c r="E142" s="61">
        <v>382.18</v>
      </c>
      <c r="F142" s="62" t="s">
        <v>8</v>
      </c>
      <c r="G142" s="62"/>
      <c r="H142" s="63"/>
      <c r="I142" s="62"/>
      <c r="J142" s="64"/>
    </row>
    <row r="143" spans="1:10" x14ac:dyDescent="0.35">
      <c r="A143" s="65">
        <v>45953</v>
      </c>
      <c r="B143" s="66">
        <v>663238</v>
      </c>
      <c r="C143" s="67" t="s">
        <v>71</v>
      </c>
      <c r="D143" s="66"/>
      <c r="E143" s="66">
        <v>1078.69</v>
      </c>
      <c r="F143" s="67" t="s">
        <v>73</v>
      </c>
      <c r="G143" s="67"/>
      <c r="H143" s="68"/>
      <c r="I143" s="67"/>
      <c r="J143" s="69"/>
    </row>
    <row r="144" spans="1:10" x14ac:dyDescent="0.35">
      <c r="A144" s="60">
        <v>45976</v>
      </c>
      <c r="B144" s="61">
        <v>663197</v>
      </c>
      <c r="C144" s="62" t="s">
        <v>184</v>
      </c>
      <c r="D144" s="61"/>
      <c r="E144" s="61">
        <v>70.349999999999994</v>
      </c>
      <c r="F144" s="62" t="s">
        <v>73</v>
      </c>
      <c r="G144" s="62"/>
      <c r="H144" s="63"/>
      <c r="I144" s="62"/>
      <c r="J144" s="64"/>
    </row>
    <row r="145" spans="1:10" x14ac:dyDescent="0.35">
      <c r="A145" s="65">
        <v>45967</v>
      </c>
      <c r="B145" s="66">
        <v>663180</v>
      </c>
      <c r="C145" s="67" t="s">
        <v>48</v>
      </c>
      <c r="D145" s="66">
        <v>693748</v>
      </c>
      <c r="E145" s="66">
        <v>2240.85</v>
      </c>
      <c r="F145" s="67" t="s">
        <v>32</v>
      </c>
      <c r="G145" s="67" t="s">
        <v>219</v>
      </c>
      <c r="H145" s="68">
        <v>46211</v>
      </c>
      <c r="I145" s="67" t="s">
        <v>216</v>
      </c>
      <c r="J145" s="69" t="s">
        <v>222</v>
      </c>
    </row>
    <row r="146" spans="1:10" x14ac:dyDescent="0.35">
      <c r="A146" s="60">
        <v>45962</v>
      </c>
      <c r="B146" s="61">
        <v>663170</v>
      </c>
      <c r="C146" s="62" t="s">
        <v>183</v>
      </c>
      <c r="D146" s="61"/>
      <c r="E146" s="61">
        <v>74.22</v>
      </c>
      <c r="F146" s="62" t="s">
        <v>73</v>
      </c>
      <c r="G146" s="62"/>
      <c r="H146" s="63"/>
      <c r="I146" s="62"/>
      <c r="J146" s="64"/>
    </row>
    <row r="147" spans="1:10" x14ac:dyDescent="0.35">
      <c r="A147" s="65">
        <v>45962</v>
      </c>
      <c r="B147" s="66">
        <v>663169</v>
      </c>
      <c r="C147" s="67" t="s">
        <v>108</v>
      </c>
      <c r="D147" s="66"/>
      <c r="E147" s="66">
        <v>517.24</v>
      </c>
      <c r="F147" s="67" t="s">
        <v>73</v>
      </c>
      <c r="G147" s="67"/>
      <c r="H147" s="68"/>
      <c r="I147" s="67"/>
      <c r="J147" s="69"/>
    </row>
    <row r="148" spans="1:10" x14ac:dyDescent="0.35">
      <c r="A148" s="60">
        <v>45991</v>
      </c>
      <c r="B148" s="61">
        <v>663163</v>
      </c>
      <c r="C148" s="62" t="s">
        <v>151</v>
      </c>
      <c r="D148" s="61"/>
      <c r="E148" s="61">
        <v>248.09</v>
      </c>
      <c r="F148" s="62" t="s">
        <v>73</v>
      </c>
      <c r="G148" s="62"/>
      <c r="H148" s="63"/>
      <c r="I148" s="62"/>
      <c r="J148" s="64"/>
    </row>
    <row r="149" spans="1:10" x14ac:dyDescent="0.35">
      <c r="A149" s="65">
        <v>663157</v>
      </c>
      <c r="B149" s="66">
        <v>663157</v>
      </c>
      <c r="C149" s="67" t="s">
        <v>71</v>
      </c>
      <c r="D149" s="66"/>
      <c r="E149" s="66">
        <v>1078.69</v>
      </c>
      <c r="F149" s="67" t="s">
        <v>8</v>
      </c>
      <c r="G149" s="67"/>
      <c r="H149" s="68"/>
      <c r="I149" s="67"/>
      <c r="J149" s="69"/>
    </row>
    <row r="150" spans="1:10" x14ac:dyDescent="0.35">
      <c r="A150" s="60">
        <v>45958</v>
      </c>
      <c r="B150" s="61">
        <v>663156</v>
      </c>
      <c r="C150" s="62" t="s">
        <v>191</v>
      </c>
      <c r="D150" s="61"/>
      <c r="E150" s="61">
        <v>54.15</v>
      </c>
      <c r="F150" s="62" t="s">
        <v>73</v>
      </c>
      <c r="G150" s="62"/>
      <c r="H150" s="63"/>
      <c r="I150" s="62"/>
      <c r="J150" s="64"/>
    </row>
    <row r="151" spans="1:10" x14ac:dyDescent="0.35">
      <c r="A151" s="65">
        <v>45916</v>
      </c>
      <c r="B151" s="66">
        <v>644921</v>
      </c>
      <c r="C151" s="67" t="s">
        <v>192</v>
      </c>
      <c r="D151" s="66"/>
      <c r="E151" s="66">
        <v>49.15</v>
      </c>
      <c r="F151" s="67" t="s">
        <v>113</v>
      </c>
      <c r="G151" s="67"/>
      <c r="H151" s="68"/>
      <c r="I151" s="67"/>
      <c r="J151" s="69"/>
    </row>
    <row r="152" spans="1:10" x14ac:dyDescent="0.35">
      <c r="A152" s="60">
        <v>45915</v>
      </c>
      <c r="B152" s="61">
        <v>644915</v>
      </c>
      <c r="C152" s="62" t="s">
        <v>34</v>
      </c>
      <c r="D152" s="61"/>
      <c r="E152" s="61">
        <v>8728.5</v>
      </c>
      <c r="F152" s="62" t="s">
        <v>22</v>
      </c>
      <c r="G152" s="62"/>
      <c r="H152" s="63"/>
      <c r="I152" s="62"/>
      <c r="J152" s="64"/>
    </row>
    <row r="153" spans="1:10" x14ac:dyDescent="0.35">
      <c r="A153" s="65">
        <v>45913</v>
      </c>
      <c r="B153" s="66">
        <v>644911</v>
      </c>
      <c r="C153" s="67" t="s">
        <v>65</v>
      </c>
      <c r="D153" s="66"/>
      <c r="E153" s="66">
        <v>1321.97</v>
      </c>
      <c r="F153" s="67" t="s">
        <v>66</v>
      </c>
      <c r="G153" s="67"/>
      <c r="H153" s="68"/>
      <c r="I153" s="67"/>
      <c r="J153" s="69"/>
    </row>
    <row r="154" spans="1:10" x14ac:dyDescent="0.35">
      <c r="A154" s="60">
        <v>45893</v>
      </c>
      <c r="B154" s="61">
        <v>644858</v>
      </c>
      <c r="C154" s="62" t="s">
        <v>103</v>
      </c>
      <c r="D154" s="61"/>
      <c r="E154" s="61">
        <v>548.99</v>
      </c>
      <c r="F154" s="62" t="s">
        <v>8</v>
      </c>
      <c r="G154" s="62"/>
      <c r="H154" s="63"/>
      <c r="I154" s="62"/>
      <c r="J154" s="64"/>
    </row>
    <row r="155" spans="1:10" x14ac:dyDescent="0.35">
      <c r="A155" s="65">
        <v>45893</v>
      </c>
      <c r="B155" s="66">
        <v>644857</v>
      </c>
      <c r="C155" s="67" t="s">
        <v>174</v>
      </c>
      <c r="D155" s="66"/>
      <c r="E155" s="66">
        <v>122.39</v>
      </c>
      <c r="F155" s="67" t="s">
        <v>73</v>
      </c>
      <c r="G155" s="67"/>
      <c r="H155" s="68"/>
      <c r="I155" s="67"/>
      <c r="J155" s="69"/>
    </row>
    <row r="156" spans="1:10" x14ac:dyDescent="0.35">
      <c r="A156" s="60">
        <v>45890</v>
      </c>
      <c r="B156" s="61">
        <v>630499</v>
      </c>
      <c r="C156" s="62" t="s">
        <v>202</v>
      </c>
      <c r="D156" s="61"/>
      <c r="E156" s="61">
        <v>9.3699999999999992</v>
      </c>
      <c r="F156" s="62" t="s">
        <v>73</v>
      </c>
      <c r="G156" s="62"/>
      <c r="H156" s="63"/>
      <c r="I156" s="62"/>
      <c r="J156" s="64"/>
    </row>
    <row r="157" spans="1:10" x14ac:dyDescent="0.35">
      <c r="A157" s="65">
        <v>45890</v>
      </c>
      <c r="B157" s="66">
        <v>630498</v>
      </c>
      <c r="C157" s="67" t="s">
        <v>137</v>
      </c>
      <c r="D157" s="66"/>
      <c r="E157" s="66">
        <v>306.75</v>
      </c>
      <c r="F157" s="67" t="s">
        <v>73</v>
      </c>
      <c r="G157" s="67"/>
      <c r="H157" s="68"/>
      <c r="I157" s="67"/>
      <c r="J157" s="69"/>
    </row>
    <row r="158" spans="1:10" x14ac:dyDescent="0.35">
      <c r="A158" s="60">
        <v>45882</v>
      </c>
      <c r="B158" s="61">
        <v>630481</v>
      </c>
      <c r="C158" s="62" t="s">
        <v>83</v>
      </c>
      <c r="D158" s="61"/>
      <c r="E158" s="61">
        <v>824.52</v>
      </c>
      <c r="F158" s="62" t="s">
        <v>32</v>
      </c>
      <c r="G158" s="62"/>
      <c r="H158" s="63"/>
      <c r="I158" s="62"/>
      <c r="J158" s="64"/>
    </row>
    <row r="159" spans="1:10" x14ac:dyDescent="0.35">
      <c r="A159" s="65">
        <v>45836</v>
      </c>
      <c r="B159" s="66">
        <v>598984</v>
      </c>
      <c r="C159" s="67" t="s">
        <v>135</v>
      </c>
      <c r="D159" s="66"/>
      <c r="E159" s="66">
        <v>325.92</v>
      </c>
      <c r="F159" s="67" t="s">
        <v>73</v>
      </c>
      <c r="G159" s="67"/>
      <c r="H159" s="68"/>
      <c r="I159" s="67"/>
      <c r="J159" s="69"/>
    </row>
    <row r="160" spans="1:10" x14ac:dyDescent="0.35">
      <c r="A160" s="60">
        <v>45824</v>
      </c>
      <c r="B160" s="61">
        <v>598955</v>
      </c>
      <c r="C160" s="62" t="s">
        <v>77</v>
      </c>
      <c r="D160" s="61"/>
      <c r="E160" s="61">
        <v>330.6</v>
      </c>
      <c r="F160" s="62" t="s">
        <v>78</v>
      </c>
      <c r="G160" s="62"/>
      <c r="H160" s="63"/>
      <c r="I160" s="62"/>
      <c r="J160" s="64"/>
    </row>
    <row r="161" spans="1:10" x14ac:dyDescent="0.35">
      <c r="A161" s="65">
        <v>45824</v>
      </c>
      <c r="B161" s="66">
        <v>598954</v>
      </c>
      <c r="C161" s="67" t="s">
        <v>84</v>
      </c>
      <c r="D161" s="66"/>
      <c r="E161" s="66">
        <v>769.35</v>
      </c>
      <c r="F161" s="67" t="s">
        <v>85</v>
      </c>
      <c r="G161" s="67"/>
      <c r="H161" s="68"/>
      <c r="I161" s="67"/>
      <c r="J161" s="69"/>
    </row>
    <row r="162" spans="1:10" x14ac:dyDescent="0.35">
      <c r="A162" s="60">
        <v>45824</v>
      </c>
      <c r="B162" s="61">
        <v>598953</v>
      </c>
      <c r="C162" s="62" t="s">
        <v>176</v>
      </c>
      <c r="D162" s="61"/>
      <c r="E162" s="61">
        <v>110.08</v>
      </c>
      <c r="F162" s="62" t="s">
        <v>85</v>
      </c>
      <c r="G162" s="62"/>
      <c r="H162" s="63"/>
      <c r="I162" s="62"/>
      <c r="J162" s="64"/>
    </row>
    <row r="163" spans="1:10" x14ac:dyDescent="0.35">
      <c r="A163" s="65">
        <v>45803</v>
      </c>
      <c r="B163" s="66">
        <v>598914</v>
      </c>
      <c r="C163" s="67" t="s">
        <v>110</v>
      </c>
      <c r="D163" s="66"/>
      <c r="E163" s="66">
        <v>514.22</v>
      </c>
      <c r="F163" s="67" t="s">
        <v>111</v>
      </c>
      <c r="G163" s="67"/>
      <c r="H163" s="68"/>
      <c r="I163" s="67"/>
      <c r="J163" s="69"/>
    </row>
    <row r="164" spans="1:10" x14ac:dyDescent="0.35">
      <c r="A164" s="60">
        <v>45799</v>
      </c>
      <c r="B164" s="61">
        <v>598907</v>
      </c>
      <c r="C164" s="62" t="s">
        <v>159</v>
      </c>
      <c r="D164" s="61"/>
      <c r="E164" s="61">
        <v>202.95</v>
      </c>
      <c r="F164" s="62" t="s">
        <v>160</v>
      </c>
      <c r="G164" s="62"/>
      <c r="H164" s="63"/>
      <c r="I164" s="62"/>
      <c r="J164" s="64"/>
    </row>
    <row r="165" spans="1:10" x14ac:dyDescent="0.35">
      <c r="A165" s="65">
        <v>45764</v>
      </c>
      <c r="B165" s="66">
        <v>579176</v>
      </c>
      <c r="C165" s="67" t="s">
        <v>119</v>
      </c>
      <c r="D165" s="66"/>
      <c r="E165" s="66">
        <v>472.77</v>
      </c>
      <c r="F165" s="67" t="s">
        <v>54</v>
      </c>
      <c r="G165" s="67"/>
      <c r="H165" s="68"/>
      <c r="I165" s="67"/>
      <c r="J165" s="69"/>
    </row>
    <row r="166" spans="1:10" x14ac:dyDescent="0.35">
      <c r="A166" s="60">
        <v>45722</v>
      </c>
      <c r="B166" s="61">
        <v>551120</v>
      </c>
      <c r="C166" s="62" t="s">
        <v>9</v>
      </c>
      <c r="D166" s="61">
        <v>676321</v>
      </c>
      <c r="E166" s="61">
        <v>14</v>
      </c>
      <c r="F166" s="62" t="s">
        <v>9</v>
      </c>
      <c r="G166" s="62" t="s">
        <v>213</v>
      </c>
      <c r="H166" s="63">
        <v>46212</v>
      </c>
      <c r="I166" s="62" t="s">
        <v>216</v>
      </c>
      <c r="J166" s="64"/>
    </row>
    <row r="167" spans="1:10" x14ac:dyDescent="0.35">
      <c r="A167" s="65">
        <v>45734</v>
      </c>
      <c r="B167" s="66">
        <v>551058</v>
      </c>
      <c r="C167" s="67" t="s">
        <v>198</v>
      </c>
      <c r="D167" s="66"/>
      <c r="E167" s="66">
        <v>10.81</v>
      </c>
      <c r="F167" s="67" t="s">
        <v>113</v>
      </c>
      <c r="G167" s="67"/>
      <c r="H167" s="68"/>
      <c r="I167" s="67"/>
      <c r="J167" s="69"/>
    </row>
    <row r="168" spans="1:10" x14ac:dyDescent="0.35">
      <c r="A168" s="70">
        <v>45701</v>
      </c>
      <c r="B168" s="12">
        <v>548982</v>
      </c>
      <c r="C168" s="71" t="s">
        <v>168</v>
      </c>
      <c r="D168" s="12"/>
      <c r="E168" s="12">
        <v>164.19</v>
      </c>
      <c r="F168" s="71" t="s">
        <v>73</v>
      </c>
      <c r="G168" s="71"/>
      <c r="H168" s="72"/>
      <c r="I168" s="71"/>
      <c r="J168" s="73"/>
    </row>
    <row r="169" spans="1:10" x14ac:dyDescent="0.35">
      <c r="E169">
        <f>SUM(E2:E168)</f>
        <v>310595.76000000007</v>
      </c>
    </row>
  </sheetData>
  <autoFilter ref="A1:J168" xr:uid="{19B2B6D1-DF54-4445-809D-946E4BF920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DBA5-7ECC-4F51-8F8F-DE271DC9F448}">
  <dimension ref="A1:F168"/>
  <sheetViews>
    <sheetView workbookViewId="0"/>
  </sheetViews>
  <sheetFormatPr defaultRowHeight="14.5" x14ac:dyDescent="0.35"/>
  <cols>
    <col min="1" max="1" width="15.08984375" bestFit="1" customWidth="1"/>
    <col min="2" max="2" width="10.7265625" bestFit="1" customWidth="1"/>
    <col min="3" max="3" width="62.7265625" bestFit="1" customWidth="1"/>
    <col min="4" max="4" width="6.81640625" bestFit="1" customWidth="1"/>
    <col min="5" max="5" width="13.1796875" bestFit="1" customWidth="1"/>
    <col min="6" max="6" width="3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46214</v>
      </c>
      <c r="B2">
        <v>771274</v>
      </c>
      <c r="C2" s="45" t="s">
        <v>204</v>
      </c>
      <c r="E2">
        <v>120</v>
      </c>
      <c r="F2" s="45" t="s">
        <v>73</v>
      </c>
    </row>
    <row r="3" spans="1:6" x14ac:dyDescent="0.35">
      <c r="A3" s="1">
        <v>46214</v>
      </c>
      <c r="B3">
        <v>771273</v>
      </c>
      <c r="C3" s="45" t="s">
        <v>203</v>
      </c>
      <c r="E3">
        <v>12.01</v>
      </c>
      <c r="F3" s="45" t="s">
        <v>10</v>
      </c>
    </row>
    <row r="4" spans="1:6" x14ac:dyDescent="0.35">
      <c r="A4" s="1">
        <v>46214</v>
      </c>
      <c r="B4">
        <v>771272</v>
      </c>
      <c r="C4" s="45" t="s">
        <v>35</v>
      </c>
      <c r="E4">
        <v>1955</v>
      </c>
      <c r="F4" s="45" t="s">
        <v>35</v>
      </c>
    </row>
    <row r="5" spans="1:6" x14ac:dyDescent="0.35">
      <c r="A5" s="1">
        <v>46214</v>
      </c>
      <c r="B5">
        <v>771271</v>
      </c>
      <c r="C5" s="45" t="s">
        <v>35</v>
      </c>
      <c r="E5">
        <v>7800</v>
      </c>
      <c r="F5" s="45" t="s">
        <v>35</v>
      </c>
    </row>
    <row r="6" spans="1:6" x14ac:dyDescent="0.35">
      <c r="A6" s="1">
        <v>46214</v>
      </c>
      <c r="B6">
        <v>771270</v>
      </c>
      <c r="C6" s="45" t="s">
        <v>29</v>
      </c>
      <c r="E6">
        <v>10626</v>
      </c>
      <c r="F6" s="45" t="s">
        <v>29</v>
      </c>
    </row>
    <row r="7" spans="1:6" x14ac:dyDescent="0.35">
      <c r="A7" s="1">
        <v>46212</v>
      </c>
      <c r="B7">
        <v>771269</v>
      </c>
      <c r="C7" s="45" t="s">
        <v>70</v>
      </c>
      <c r="E7">
        <v>1238.9000000000001</v>
      </c>
      <c r="F7" s="45" t="s">
        <v>8</v>
      </c>
    </row>
    <row r="8" spans="1:6" x14ac:dyDescent="0.35">
      <c r="A8" s="1">
        <v>46212</v>
      </c>
      <c r="B8">
        <v>771268</v>
      </c>
      <c r="C8" s="45" t="s">
        <v>107</v>
      </c>
      <c r="E8">
        <v>518</v>
      </c>
      <c r="F8" s="45" t="s">
        <v>73</v>
      </c>
    </row>
    <row r="9" spans="1:6" x14ac:dyDescent="0.35">
      <c r="A9" s="1">
        <v>46212</v>
      </c>
      <c r="B9">
        <v>771267</v>
      </c>
      <c r="C9" s="45" t="s">
        <v>154</v>
      </c>
      <c r="E9">
        <v>225.62</v>
      </c>
      <c r="F9" s="45" t="s">
        <v>73</v>
      </c>
    </row>
    <row r="10" spans="1:6" x14ac:dyDescent="0.35">
      <c r="A10" s="1">
        <v>46212</v>
      </c>
      <c r="B10">
        <v>771266</v>
      </c>
      <c r="C10" s="45" t="s">
        <v>35</v>
      </c>
      <c r="D10">
        <v>735121</v>
      </c>
      <c r="E10">
        <v>5865</v>
      </c>
      <c r="F10" s="45" t="s">
        <v>35</v>
      </c>
    </row>
    <row r="11" spans="1:6" x14ac:dyDescent="0.35">
      <c r="A11" s="1">
        <v>46212</v>
      </c>
      <c r="B11">
        <v>771265</v>
      </c>
      <c r="C11" s="45" t="s">
        <v>29</v>
      </c>
      <c r="D11">
        <v>735121</v>
      </c>
      <c r="E11">
        <v>12213</v>
      </c>
      <c r="F11" s="45" t="s">
        <v>29</v>
      </c>
    </row>
    <row r="12" spans="1:6" x14ac:dyDescent="0.35">
      <c r="A12" s="1">
        <v>46212</v>
      </c>
      <c r="B12">
        <v>771264</v>
      </c>
      <c r="C12" s="45" t="s">
        <v>9</v>
      </c>
      <c r="D12">
        <v>735121</v>
      </c>
      <c r="E12">
        <v>14</v>
      </c>
      <c r="F12" s="45" t="s">
        <v>9</v>
      </c>
    </row>
    <row r="13" spans="1:6" x14ac:dyDescent="0.35">
      <c r="A13" s="1">
        <v>46212</v>
      </c>
      <c r="B13">
        <v>771263</v>
      </c>
      <c r="C13" s="45" t="s">
        <v>12</v>
      </c>
      <c r="D13">
        <v>735121</v>
      </c>
      <c r="E13">
        <v>24.01</v>
      </c>
      <c r="F13" s="45" t="s">
        <v>10</v>
      </c>
    </row>
    <row r="14" spans="1:6" x14ac:dyDescent="0.35">
      <c r="A14" s="1">
        <v>46211</v>
      </c>
      <c r="B14">
        <v>771262</v>
      </c>
      <c r="C14" s="45" t="s">
        <v>101</v>
      </c>
      <c r="E14">
        <v>564.39</v>
      </c>
      <c r="F14" s="45" t="s">
        <v>73</v>
      </c>
    </row>
    <row r="15" spans="1:6" x14ac:dyDescent="0.35">
      <c r="A15" s="1">
        <v>46210</v>
      </c>
      <c r="B15">
        <v>771261</v>
      </c>
      <c r="C15" s="45" t="s">
        <v>141</v>
      </c>
      <c r="E15">
        <v>296.99</v>
      </c>
      <c r="F15" s="45" t="s">
        <v>32</v>
      </c>
    </row>
    <row r="16" spans="1:6" x14ac:dyDescent="0.35">
      <c r="A16" s="1">
        <v>46210</v>
      </c>
      <c r="B16">
        <v>771259</v>
      </c>
      <c r="C16" s="45" t="s">
        <v>12</v>
      </c>
      <c r="D16">
        <v>715054</v>
      </c>
      <c r="E16">
        <v>12.01</v>
      </c>
      <c r="F16" s="45" t="s">
        <v>10</v>
      </c>
    </row>
    <row r="17" spans="1:6" x14ac:dyDescent="0.35">
      <c r="A17" s="1">
        <v>46210</v>
      </c>
      <c r="B17">
        <v>771258</v>
      </c>
      <c r="C17" s="45" t="s">
        <v>179</v>
      </c>
      <c r="E17">
        <v>97.14</v>
      </c>
      <c r="F17" s="45" t="s">
        <v>73</v>
      </c>
    </row>
    <row r="18" spans="1:6" x14ac:dyDescent="0.35">
      <c r="A18" s="1">
        <v>46210</v>
      </c>
      <c r="B18">
        <v>771257</v>
      </c>
      <c r="C18" s="45" t="s">
        <v>35</v>
      </c>
      <c r="D18">
        <v>715054</v>
      </c>
      <c r="E18">
        <v>5865</v>
      </c>
      <c r="F18" s="45" t="s">
        <v>35</v>
      </c>
    </row>
    <row r="19" spans="1:6" x14ac:dyDescent="0.35">
      <c r="A19" s="1">
        <v>46210</v>
      </c>
      <c r="B19">
        <v>771256</v>
      </c>
      <c r="C19" s="45" t="s">
        <v>29</v>
      </c>
      <c r="D19">
        <v>715054</v>
      </c>
      <c r="E19">
        <v>8901</v>
      </c>
      <c r="F19" s="45" t="s">
        <v>29</v>
      </c>
    </row>
    <row r="20" spans="1:6" x14ac:dyDescent="0.35">
      <c r="A20" s="1">
        <v>46182</v>
      </c>
      <c r="B20">
        <v>756049</v>
      </c>
      <c r="C20" s="45" t="s">
        <v>187</v>
      </c>
      <c r="E20">
        <v>63.1</v>
      </c>
      <c r="F20" s="45" t="s">
        <v>113</v>
      </c>
    </row>
    <row r="21" spans="1:6" x14ac:dyDescent="0.35">
      <c r="A21" s="1">
        <v>46179</v>
      </c>
      <c r="B21">
        <v>756043</v>
      </c>
      <c r="C21" s="45" t="s">
        <v>115</v>
      </c>
      <c r="E21">
        <v>500.81</v>
      </c>
      <c r="F21" s="45" t="s">
        <v>73</v>
      </c>
    </row>
    <row r="22" spans="1:6" x14ac:dyDescent="0.35">
      <c r="A22" s="1">
        <v>46179</v>
      </c>
      <c r="B22">
        <v>756042</v>
      </c>
      <c r="C22" s="45" t="s">
        <v>173</v>
      </c>
      <c r="E22">
        <v>129.65</v>
      </c>
      <c r="F22" s="45" t="s">
        <v>73</v>
      </c>
    </row>
    <row r="23" spans="1:6" x14ac:dyDescent="0.35">
      <c r="A23" s="1">
        <v>46179</v>
      </c>
      <c r="B23">
        <v>756041</v>
      </c>
      <c r="C23" s="45" t="s">
        <v>143</v>
      </c>
      <c r="E23">
        <v>273.39</v>
      </c>
      <c r="F23" s="45" t="s">
        <v>73</v>
      </c>
    </row>
    <row r="24" spans="1:6" x14ac:dyDescent="0.35">
      <c r="A24" s="1">
        <v>46179</v>
      </c>
      <c r="B24">
        <v>756040</v>
      </c>
      <c r="C24" s="45" t="s">
        <v>177</v>
      </c>
      <c r="E24">
        <v>109.39</v>
      </c>
      <c r="F24" s="45" t="s">
        <v>113</v>
      </c>
    </row>
    <row r="25" spans="1:6" x14ac:dyDescent="0.35">
      <c r="A25" s="1">
        <v>46175</v>
      </c>
      <c r="B25">
        <v>756030</v>
      </c>
      <c r="C25" s="45" t="s">
        <v>118</v>
      </c>
      <c r="E25">
        <v>472.94</v>
      </c>
      <c r="F25" s="45" t="s">
        <v>73</v>
      </c>
    </row>
    <row r="26" spans="1:6" x14ac:dyDescent="0.35">
      <c r="A26" s="1">
        <v>46175</v>
      </c>
      <c r="B26">
        <v>756029</v>
      </c>
      <c r="C26" s="45" t="s">
        <v>167</v>
      </c>
      <c r="E26">
        <v>146.06</v>
      </c>
      <c r="F26" s="45" t="s">
        <v>73</v>
      </c>
    </row>
    <row r="27" spans="1:6" x14ac:dyDescent="0.35">
      <c r="A27" s="1">
        <v>46175</v>
      </c>
      <c r="B27">
        <v>756028</v>
      </c>
      <c r="C27" s="45" t="s">
        <v>125</v>
      </c>
      <c r="E27">
        <v>401.68</v>
      </c>
      <c r="F27" s="45" t="s">
        <v>73</v>
      </c>
    </row>
    <row r="28" spans="1:6" x14ac:dyDescent="0.35">
      <c r="A28" s="1">
        <v>46174</v>
      </c>
      <c r="B28">
        <v>756024</v>
      </c>
      <c r="C28" s="45" t="s">
        <v>77</v>
      </c>
      <c r="D28">
        <v>663473</v>
      </c>
      <c r="E28">
        <v>880.34</v>
      </c>
      <c r="F28" s="45" t="s">
        <v>78</v>
      </c>
    </row>
    <row r="29" spans="1:6" x14ac:dyDescent="0.35">
      <c r="A29" s="1">
        <v>46172</v>
      </c>
      <c r="B29">
        <v>756021</v>
      </c>
      <c r="C29" s="45" t="s">
        <v>126</v>
      </c>
      <c r="E29">
        <v>384.36</v>
      </c>
      <c r="F29" s="45" t="s">
        <v>73</v>
      </c>
    </row>
    <row r="30" spans="1:6" x14ac:dyDescent="0.35">
      <c r="A30" s="1">
        <v>46172</v>
      </c>
      <c r="B30">
        <v>756019</v>
      </c>
      <c r="C30" s="45" t="s">
        <v>131</v>
      </c>
      <c r="E30">
        <v>341.07</v>
      </c>
      <c r="F30" s="45" t="s">
        <v>73</v>
      </c>
    </row>
    <row r="31" spans="1:6" x14ac:dyDescent="0.35">
      <c r="A31" s="1">
        <v>46172</v>
      </c>
      <c r="B31">
        <v>756018</v>
      </c>
      <c r="C31" s="45" t="s">
        <v>147</v>
      </c>
      <c r="E31">
        <v>258.06</v>
      </c>
      <c r="F31" s="45" t="s">
        <v>73</v>
      </c>
    </row>
    <row r="32" spans="1:6" x14ac:dyDescent="0.35">
      <c r="A32" s="1">
        <v>46170</v>
      </c>
      <c r="B32">
        <v>756013</v>
      </c>
      <c r="C32" s="45" t="s">
        <v>170</v>
      </c>
      <c r="E32">
        <v>140.79</v>
      </c>
      <c r="F32" s="45" t="s">
        <v>73</v>
      </c>
    </row>
    <row r="33" spans="1:6" x14ac:dyDescent="0.35">
      <c r="A33" s="1">
        <v>46170</v>
      </c>
      <c r="B33">
        <v>756012</v>
      </c>
      <c r="C33" s="45" t="s">
        <v>121</v>
      </c>
      <c r="E33">
        <v>427.16</v>
      </c>
      <c r="F33" s="45" t="s">
        <v>73</v>
      </c>
    </row>
    <row r="34" spans="1:6" x14ac:dyDescent="0.35">
      <c r="A34" s="1">
        <v>46168</v>
      </c>
      <c r="B34">
        <v>756004</v>
      </c>
      <c r="C34" s="45" t="s">
        <v>164</v>
      </c>
      <c r="D34">
        <v>714642</v>
      </c>
      <c r="E34">
        <v>177.68</v>
      </c>
      <c r="F34" s="45" t="s">
        <v>73</v>
      </c>
    </row>
    <row r="35" spans="1:6" x14ac:dyDescent="0.35">
      <c r="A35" s="1">
        <v>46168</v>
      </c>
      <c r="B35">
        <v>756003</v>
      </c>
      <c r="C35" s="45" t="s">
        <v>76</v>
      </c>
      <c r="D35">
        <v>714642</v>
      </c>
      <c r="E35">
        <v>886.73</v>
      </c>
      <c r="F35" s="45" t="s">
        <v>73</v>
      </c>
    </row>
    <row r="36" spans="1:6" x14ac:dyDescent="0.35">
      <c r="A36" s="1">
        <v>46205</v>
      </c>
      <c r="B36">
        <v>756000</v>
      </c>
      <c r="C36" s="45" t="s">
        <v>169</v>
      </c>
      <c r="E36">
        <v>159.21</v>
      </c>
      <c r="F36" s="45" t="s">
        <v>73</v>
      </c>
    </row>
    <row r="37" spans="1:6" x14ac:dyDescent="0.35">
      <c r="A37" s="1">
        <v>46200</v>
      </c>
      <c r="B37">
        <v>755992</v>
      </c>
      <c r="C37" s="45" t="s">
        <v>129</v>
      </c>
      <c r="E37">
        <v>360.38</v>
      </c>
      <c r="F37" s="45" t="s">
        <v>73</v>
      </c>
    </row>
    <row r="38" spans="1:6" x14ac:dyDescent="0.35">
      <c r="A38" s="1">
        <v>46198</v>
      </c>
      <c r="B38">
        <v>755985</v>
      </c>
      <c r="C38" s="45" t="s">
        <v>9</v>
      </c>
      <c r="D38">
        <v>663489</v>
      </c>
      <c r="E38">
        <v>41.99</v>
      </c>
      <c r="F38" s="45" t="s">
        <v>9</v>
      </c>
    </row>
    <row r="39" spans="1:6" x14ac:dyDescent="0.35">
      <c r="A39" s="1">
        <v>46196</v>
      </c>
      <c r="B39">
        <v>755978</v>
      </c>
      <c r="C39" s="45" t="s">
        <v>171</v>
      </c>
      <c r="E39">
        <v>137.6</v>
      </c>
      <c r="F39" s="45" t="s">
        <v>73</v>
      </c>
    </row>
    <row r="40" spans="1:6" x14ac:dyDescent="0.35">
      <c r="A40" s="1">
        <v>46193</v>
      </c>
      <c r="B40">
        <v>755977</v>
      </c>
      <c r="C40" s="45" t="s">
        <v>109</v>
      </c>
      <c r="E40">
        <v>516.52</v>
      </c>
      <c r="F40" s="45" t="s">
        <v>73</v>
      </c>
    </row>
    <row r="41" spans="1:6" x14ac:dyDescent="0.35">
      <c r="A41" s="1">
        <v>46193</v>
      </c>
      <c r="B41">
        <v>755974</v>
      </c>
      <c r="C41" s="45" t="s">
        <v>181</v>
      </c>
      <c r="E41">
        <v>92.35</v>
      </c>
      <c r="F41" s="45" t="s">
        <v>73</v>
      </c>
    </row>
    <row r="42" spans="1:6" x14ac:dyDescent="0.35">
      <c r="A42" s="1">
        <v>46191</v>
      </c>
      <c r="B42">
        <v>755973</v>
      </c>
      <c r="C42" s="45" t="s">
        <v>156</v>
      </c>
      <c r="E42">
        <v>213.7</v>
      </c>
      <c r="F42" s="45" t="s">
        <v>73</v>
      </c>
    </row>
    <row r="43" spans="1:6" x14ac:dyDescent="0.35">
      <c r="A43" s="1">
        <v>46191</v>
      </c>
      <c r="B43">
        <v>755972</v>
      </c>
      <c r="C43" s="45" t="s">
        <v>189</v>
      </c>
      <c r="E43">
        <v>56.96</v>
      </c>
      <c r="F43" s="45" t="s">
        <v>73</v>
      </c>
    </row>
    <row r="44" spans="1:6" x14ac:dyDescent="0.35">
      <c r="A44" s="1">
        <v>46191</v>
      </c>
      <c r="B44">
        <v>755971</v>
      </c>
      <c r="C44" s="45" t="s">
        <v>158</v>
      </c>
      <c r="E44">
        <v>210.29</v>
      </c>
      <c r="F44" s="45" t="s">
        <v>73</v>
      </c>
    </row>
    <row r="45" spans="1:6" x14ac:dyDescent="0.35">
      <c r="A45" s="1">
        <v>46188</v>
      </c>
      <c r="B45">
        <v>755962</v>
      </c>
      <c r="C45" s="45" t="s">
        <v>77</v>
      </c>
      <c r="E45">
        <v>662.91</v>
      </c>
      <c r="F45" s="45" t="s">
        <v>89</v>
      </c>
    </row>
    <row r="46" spans="1:6" x14ac:dyDescent="0.35">
      <c r="A46" s="1">
        <v>46184</v>
      </c>
      <c r="B46">
        <v>755956</v>
      </c>
      <c r="C46" s="45" t="s">
        <v>130</v>
      </c>
      <c r="E46">
        <v>345.49</v>
      </c>
      <c r="F46" s="45" t="s">
        <v>32</v>
      </c>
    </row>
    <row r="47" spans="1:6" x14ac:dyDescent="0.35">
      <c r="A47" s="1">
        <v>46184</v>
      </c>
      <c r="B47">
        <v>755955</v>
      </c>
      <c r="C47" s="45" t="s">
        <v>97</v>
      </c>
      <c r="E47">
        <v>595.79</v>
      </c>
      <c r="F47" s="45" t="s">
        <v>73</v>
      </c>
    </row>
    <row r="48" spans="1:6" x14ac:dyDescent="0.35">
      <c r="A48" s="1">
        <v>46184</v>
      </c>
      <c r="B48">
        <v>755954</v>
      </c>
      <c r="C48" s="45" t="s">
        <v>157</v>
      </c>
      <c r="E48">
        <v>211.11</v>
      </c>
      <c r="F48" s="45" t="s">
        <v>73</v>
      </c>
    </row>
    <row r="49" spans="1:6" x14ac:dyDescent="0.35">
      <c r="A49" s="1">
        <v>46182</v>
      </c>
      <c r="B49">
        <v>750648</v>
      </c>
      <c r="C49" s="45" t="s">
        <v>150</v>
      </c>
      <c r="D49">
        <v>707084</v>
      </c>
      <c r="E49">
        <v>249.74</v>
      </c>
      <c r="F49" s="45" t="s">
        <v>73</v>
      </c>
    </row>
    <row r="50" spans="1:6" x14ac:dyDescent="0.35">
      <c r="A50" s="1">
        <v>46163</v>
      </c>
      <c r="B50">
        <v>745646</v>
      </c>
      <c r="C50" s="45" t="s">
        <v>123</v>
      </c>
      <c r="E50">
        <v>419.65</v>
      </c>
      <c r="F50" s="45" t="s">
        <v>85</v>
      </c>
    </row>
    <row r="51" spans="1:6" x14ac:dyDescent="0.35">
      <c r="A51" s="1">
        <v>46161</v>
      </c>
      <c r="B51">
        <v>745641</v>
      </c>
      <c r="C51" s="45" t="s">
        <v>86</v>
      </c>
      <c r="E51">
        <v>704.79</v>
      </c>
      <c r="F51" s="45" t="s">
        <v>22</v>
      </c>
    </row>
    <row r="52" spans="1:6" x14ac:dyDescent="0.35">
      <c r="A52" s="1">
        <v>46161</v>
      </c>
      <c r="B52">
        <v>745640</v>
      </c>
      <c r="C52" s="45" t="s">
        <v>136</v>
      </c>
      <c r="E52">
        <v>313.77</v>
      </c>
      <c r="F52" s="45" t="s">
        <v>73</v>
      </c>
    </row>
    <row r="53" spans="1:6" x14ac:dyDescent="0.35">
      <c r="A53" s="1">
        <v>46161</v>
      </c>
      <c r="B53">
        <v>745636</v>
      </c>
      <c r="C53" s="45" t="s">
        <v>12</v>
      </c>
      <c r="D53">
        <v>723422</v>
      </c>
      <c r="E53">
        <v>12.01</v>
      </c>
      <c r="F53" s="45" t="s">
        <v>10</v>
      </c>
    </row>
    <row r="54" spans="1:6" x14ac:dyDescent="0.35">
      <c r="A54" s="1">
        <v>46158</v>
      </c>
      <c r="B54">
        <v>745632</v>
      </c>
      <c r="C54" s="45" t="s">
        <v>25</v>
      </c>
      <c r="E54">
        <v>28479.57</v>
      </c>
      <c r="F54" s="45" t="s">
        <v>26</v>
      </c>
    </row>
    <row r="55" spans="1:6" x14ac:dyDescent="0.35">
      <c r="A55" s="1">
        <v>46157</v>
      </c>
      <c r="B55">
        <v>745631</v>
      </c>
      <c r="C55" s="45" t="s">
        <v>21</v>
      </c>
      <c r="E55">
        <v>71463.990000000005</v>
      </c>
      <c r="F55" s="45" t="s">
        <v>22</v>
      </c>
    </row>
    <row r="56" spans="1:6" x14ac:dyDescent="0.35">
      <c r="A56" s="1">
        <v>46149</v>
      </c>
      <c r="B56">
        <v>745618</v>
      </c>
      <c r="C56" s="45" t="s">
        <v>128</v>
      </c>
      <c r="D56">
        <v>703780</v>
      </c>
      <c r="E56">
        <v>367.22</v>
      </c>
      <c r="F56" s="45" t="s">
        <v>73</v>
      </c>
    </row>
    <row r="57" spans="1:6" x14ac:dyDescent="0.35">
      <c r="A57" s="1">
        <v>46148</v>
      </c>
      <c r="B57">
        <v>745611</v>
      </c>
      <c r="C57" s="45" t="s">
        <v>53</v>
      </c>
      <c r="E57">
        <v>1712.14</v>
      </c>
      <c r="F57" s="45" t="s">
        <v>54</v>
      </c>
    </row>
    <row r="58" spans="1:6" x14ac:dyDescent="0.35">
      <c r="A58" s="1">
        <v>46147</v>
      </c>
      <c r="B58">
        <v>745610</v>
      </c>
      <c r="C58" s="45" t="s">
        <v>149</v>
      </c>
      <c r="E58">
        <v>250.57</v>
      </c>
      <c r="F58" s="45" t="s">
        <v>73</v>
      </c>
    </row>
    <row r="59" spans="1:6" x14ac:dyDescent="0.35">
      <c r="A59" s="1">
        <v>46147</v>
      </c>
      <c r="B59">
        <v>745609</v>
      </c>
      <c r="C59" s="45" t="s">
        <v>80</v>
      </c>
      <c r="E59">
        <v>851.05</v>
      </c>
      <c r="F59" s="45" t="s">
        <v>56</v>
      </c>
    </row>
    <row r="60" spans="1:6" x14ac:dyDescent="0.35">
      <c r="A60" s="1">
        <v>46147</v>
      </c>
      <c r="B60">
        <v>745605</v>
      </c>
      <c r="C60" s="45" t="s">
        <v>96</v>
      </c>
      <c r="E60">
        <v>605.39</v>
      </c>
      <c r="F60" s="45" t="s">
        <v>32</v>
      </c>
    </row>
    <row r="61" spans="1:6" x14ac:dyDescent="0.35">
      <c r="A61" s="1">
        <v>46135</v>
      </c>
      <c r="B61">
        <v>745590</v>
      </c>
      <c r="C61" s="45" t="s">
        <v>124</v>
      </c>
      <c r="E61">
        <v>414.13</v>
      </c>
      <c r="F61" s="45" t="s">
        <v>32</v>
      </c>
    </row>
    <row r="62" spans="1:6" x14ac:dyDescent="0.35">
      <c r="A62" s="1">
        <v>46133</v>
      </c>
      <c r="B62">
        <v>745584</v>
      </c>
      <c r="C62" s="45" t="s">
        <v>9</v>
      </c>
      <c r="D62">
        <v>726269</v>
      </c>
      <c r="E62">
        <v>83.97</v>
      </c>
      <c r="F62" s="45" t="s">
        <v>9</v>
      </c>
    </row>
    <row r="63" spans="1:6" x14ac:dyDescent="0.35">
      <c r="A63" s="1">
        <v>46133</v>
      </c>
      <c r="B63">
        <v>745583</v>
      </c>
      <c r="C63" s="45" t="s">
        <v>6</v>
      </c>
      <c r="D63">
        <v>726269</v>
      </c>
      <c r="E63">
        <v>48.02</v>
      </c>
      <c r="F63" s="45" t="s">
        <v>10</v>
      </c>
    </row>
    <row r="64" spans="1:6" x14ac:dyDescent="0.35">
      <c r="A64" s="1">
        <v>46130</v>
      </c>
      <c r="B64">
        <v>745580</v>
      </c>
      <c r="C64" s="45" t="s">
        <v>93</v>
      </c>
      <c r="E64">
        <v>624.45000000000005</v>
      </c>
      <c r="F64" s="45" t="s">
        <v>73</v>
      </c>
    </row>
    <row r="65" spans="1:6" x14ac:dyDescent="0.35">
      <c r="A65" s="1">
        <v>46128</v>
      </c>
      <c r="B65">
        <v>745576</v>
      </c>
      <c r="C65" s="45" t="s">
        <v>36</v>
      </c>
      <c r="E65">
        <v>7572.06</v>
      </c>
      <c r="F65" s="45" t="s">
        <v>32</v>
      </c>
    </row>
    <row r="66" spans="1:6" x14ac:dyDescent="0.35">
      <c r="A66" s="1">
        <v>46128</v>
      </c>
      <c r="B66">
        <v>745575</v>
      </c>
      <c r="C66" s="45" t="s">
        <v>133</v>
      </c>
      <c r="E66">
        <v>332.51</v>
      </c>
      <c r="F66" s="45" t="s">
        <v>113</v>
      </c>
    </row>
    <row r="67" spans="1:6" x14ac:dyDescent="0.35">
      <c r="A67" s="1">
        <v>46128</v>
      </c>
      <c r="B67">
        <v>745572</v>
      </c>
      <c r="C67" s="45" t="s">
        <v>140</v>
      </c>
      <c r="E67">
        <v>299.29000000000002</v>
      </c>
      <c r="F67" s="45" t="s">
        <v>73</v>
      </c>
    </row>
    <row r="68" spans="1:6" x14ac:dyDescent="0.35">
      <c r="A68" s="1">
        <v>46127</v>
      </c>
      <c r="B68">
        <v>745566</v>
      </c>
      <c r="C68" s="45" t="s">
        <v>172</v>
      </c>
      <c r="E68">
        <v>135.37</v>
      </c>
      <c r="F68" s="45" t="s">
        <v>30</v>
      </c>
    </row>
    <row r="69" spans="1:6" x14ac:dyDescent="0.35">
      <c r="A69" s="1">
        <v>46127</v>
      </c>
      <c r="B69">
        <v>745565</v>
      </c>
      <c r="C69" s="45" t="s">
        <v>61</v>
      </c>
      <c r="E69">
        <v>1353.7</v>
      </c>
      <c r="F69" s="45" t="s">
        <v>30</v>
      </c>
    </row>
    <row r="70" spans="1:6" x14ac:dyDescent="0.35">
      <c r="A70" s="1">
        <v>46127</v>
      </c>
      <c r="B70">
        <v>745562</v>
      </c>
      <c r="C70" s="45" t="s">
        <v>68</v>
      </c>
      <c r="E70">
        <v>1289.4000000000001</v>
      </c>
      <c r="F70" s="45" t="s">
        <v>30</v>
      </c>
    </row>
    <row r="71" spans="1:6" x14ac:dyDescent="0.35">
      <c r="A71" s="1">
        <v>46127</v>
      </c>
      <c r="B71">
        <v>745560</v>
      </c>
      <c r="C71" s="45" t="s">
        <v>40</v>
      </c>
      <c r="E71">
        <v>5650.38</v>
      </c>
      <c r="F71" s="45" t="s">
        <v>30</v>
      </c>
    </row>
    <row r="72" spans="1:6" x14ac:dyDescent="0.35">
      <c r="A72" s="1">
        <v>46123</v>
      </c>
      <c r="B72">
        <v>745556</v>
      </c>
      <c r="C72" s="45" t="s">
        <v>185</v>
      </c>
      <c r="E72">
        <v>67.31</v>
      </c>
      <c r="F72" s="45" t="s">
        <v>73</v>
      </c>
    </row>
    <row r="73" spans="1:6" x14ac:dyDescent="0.35">
      <c r="A73" s="1">
        <v>46122</v>
      </c>
      <c r="B73">
        <v>745551</v>
      </c>
      <c r="C73" s="45" t="s">
        <v>45</v>
      </c>
      <c r="E73">
        <v>3068.89</v>
      </c>
      <c r="F73" s="45" t="s">
        <v>32</v>
      </c>
    </row>
    <row r="74" spans="1:6" x14ac:dyDescent="0.35">
      <c r="A74" s="1">
        <v>46102</v>
      </c>
      <c r="B74">
        <v>734648</v>
      </c>
      <c r="C74" s="45" t="s">
        <v>91</v>
      </c>
      <c r="E74">
        <v>633.95000000000005</v>
      </c>
      <c r="F74" s="45" t="s">
        <v>56</v>
      </c>
    </row>
    <row r="75" spans="1:6" x14ac:dyDescent="0.35">
      <c r="A75" s="1">
        <v>46098</v>
      </c>
      <c r="B75">
        <v>734642</v>
      </c>
      <c r="C75" s="45" t="s">
        <v>104</v>
      </c>
      <c r="E75">
        <v>523.41999999999996</v>
      </c>
      <c r="F75" s="45" t="s">
        <v>32</v>
      </c>
    </row>
    <row r="76" spans="1:6" x14ac:dyDescent="0.35">
      <c r="A76" s="1">
        <v>46097</v>
      </c>
      <c r="B76">
        <v>734636</v>
      </c>
      <c r="C76" s="45" t="s">
        <v>67</v>
      </c>
      <c r="E76">
        <v>1316.01</v>
      </c>
      <c r="F76" s="45" t="s">
        <v>32</v>
      </c>
    </row>
    <row r="77" spans="1:6" x14ac:dyDescent="0.35">
      <c r="A77" s="1">
        <v>46093</v>
      </c>
      <c r="B77">
        <v>734631</v>
      </c>
      <c r="C77" s="45" t="s">
        <v>100</v>
      </c>
      <c r="E77">
        <v>581.72</v>
      </c>
      <c r="F77" s="45" t="s">
        <v>60</v>
      </c>
    </row>
    <row r="78" spans="1:6" x14ac:dyDescent="0.35">
      <c r="A78" s="1">
        <v>46091</v>
      </c>
      <c r="B78">
        <v>734624</v>
      </c>
      <c r="C78" s="45" t="s">
        <v>138</v>
      </c>
      <c r="E78">
        <v>301.8</v>
      </c>
      <c r="F78" s="45" t="s">
        <v>73</v>
      </c>
    </row>
    <row r="79" spans="1:6" x14ac:dyDescent="0.35">
      <c r="A79" s="1">
        <v>46088</v>
      </c>
      <c r="B79">
        <v>734619</v>
      </c>
      <c r="C79" s="45" t="s">
        <v>88</v>
      </c>
      <c r="E79">
        <v>689.38</v>
      </c>
      <c r="F79" s="45" t="s">
        <v>32</v>
      </c>
    </row>
    <row r="80" spans="1:6" x14ac:dyDescent="0.35">
      <c r="A80" s="1">
        <v>46086</v>
      </c>
      <c r="B80">
        <v>734614</v>
      </c>
      <c r="C80" s="45" t="s">
        <v>120</v>
      </c>
      <c r="E80">
        <v>37.58</v>
      </c>
      <c r="F80" s="45" t="s">
        <v>113</v>
      </c>
    </row>
    <row r="81" spans="1:6" x14ac:dyDescent="0.35">
      <c r="A81" s="1">
        <v>46086</v>
      </c>
      <c r="B81">
        <v>734613</v>
      </c>
      <c r="C81" s="45" t="s">
        <v>112</v>
      </c>
      <c r="E81">
        <v>511.6</v>
      </c>
      <c r="F81" s="45" t="s">
        <v>113</v>
      </c>
    </row>
    <row r="82" spans="1:6" x14ac:dyDescent="0.35">
      <c r="A82" s="1">
        <v>46086</v>
      </c>
      <c r="B82">
        <v>734612</v>
      </c>
      <c r="C82" s="45" t="s">
        <v>132</v>
      </c>
      <c r="E82">
        <v>339.31</v>
      </c>
      <c r="F82" s="45" t="s">
        <v>73</v>
      </c>
    </row>
    <row r="83" spans="1:6" x14ac:dyDescent="0.35">
      <c r="A83" s="1">
        <v>46084</v>
      </c>
      <c r="B83">
        <v>734607</v>
      </c>
      <c r="C83" s="45" t="s">
        <v>95</v>
      </c>
      <c r="E83">
        <v>617.67999999999995</v>
      </c>
      <c r="F83" s="45" t="s">
        <v>8</v>
      </c>
    </row>
    <row r="84" spans="1:6" x14ac:dyDescent="0.35">
      <c r="A84" s="1">
        <v>46121</v>
      </c>
      <c r="B84">
        <v>734600</v>
      </c>
      <c r="C84" s="45" t="s">
        <v>194</v>
      </c>
      <c r="E84">
        <v>43.33</v>
      </c>
      <c r="F84" s="45" t="s">
        <v>113</v>
      </c>
    </row>
    <row r="85" spans="1:6" x14ac:dyDescent="0.35">
      <c r="A85" s="1">
        <v>46116</v>
      </c>
      <c r="B85">
        <v>734591</v>
      </c>
      <c r="C85" s="45" t="s">
        <v>180</v>
      </c>
      <c r="E85">
        <v>92.92</v>
      </c>
      <c r="F85" s="45" t="s">
        <v>73</v>
      </c>
    </row>
    <row r="86" spans="1:6" x14ac:dyDescent="0.35">
      <c r="A86" s="1">
        <v>46116</v>
      </c>
      <c r="B86">
        <v>734590</v>
      </c>
      <c r="C86" s="45" t="s">
        <v>188</v>
      </c>
      <c r="E86">
        <v>58.1</v>
      </c>
      <c r="F86" s="45" t="s">
        <v>73</v>
      </c>
    </row>
    <row r="87" spans="1:6" x14ac:dyDescent="0.35">
      <c r="A87" s="1">
        <v>46114</v>
      </c>
      <c r="B87">
        <v>734586</v>
      </c>
      <c r="C87" s="45" t="s">
        <v>197</v>
      </c>
      <c r="E87">
        <v>11.6</v>
      </c>
      <c r="F87" s="45" t="s">
        <v>113</v>
      </c>
    </row>
    <row r="88" spans="1:6" x14ac:dyDescent="0.35">
      <c r="A88" s="1">
        <v>46114</v>
      </c>
      <c r="B88">
        <v>734585</v>
      </c>
      <c r="C88" s="45" t="s">
        <v>186</v>
      </c>
      <c r="E88">
        <v>65.209999999999994</v>
      </c>
      <c r="F88" s="45" t="s">
        <v>113</v>
      </c>
    </row>
    <row r="89" spans="1:6" x14ac:dyDescent="0.35">
      <c r="A89" s="1">
        <v>46107</v>
      </c>
      <c r="B89">
        <v>734567</v>
      </c>
      <c r="C89" s="45" t="s">
        <v>163</v>
      </c>
      <c r="E89">
        <v>183.38</v>
      </c>
      <c r="F89" s="45" t="s">
        <v>8</v>
      </c>
    </row>
    <row r="90" spans="1:6" x14ac:dyDescent="0.35">
      <c r="A90" s="1">
        <v>46107</v>
      </c>
      <c r="B90">
        <v>734566</v>
      </c>
      <c r="C90" s="45" t="s">
        <v>114</v>
      </c>
      <c r="E90">
        <v>503.44</v>
      </c>
      <c r="F90" s="45" t="s">
        <v>32</v>
      </c>
    </row>
    <row r="91" spans="1:6" x14ac:dyDescent="0.35">
      <c r="A91" s="1">
        <v>45011</v>
      </c>
      <c r="B91">
        <v>734565</v>
      </c>
      <c r="C91" s="45" t="s">
        <v>55</v>
      </c>
      <c r="E91">
        <v>1642.76</v>
      </c>
      <c r="F91" s="45" t="s">
        <v>56</v>
      </c>
    </row>
    <row r="92" spans="1:6" x14ac:dyDescent="0.35">
      <c r="A92" s="1">
        <v>46074</v>
      </c>
      <c r="B92">
        <v>711584</v>
      </c>
      <c r="C92" s="45" t="s">
        <v>165</v>
      </c>
      <c r="E92">
        <v>177.28</v>
      </c>
      <c r="F92" s="45" t="s">
        <v>56</v>
      </c>
    </row>
    <row r="93" spans="1:6" x14ac:dyDescent="0.35">
      <c r="A93" s="1">
        <v>46074</v>
      </c>
      <c r="B93">
        <v>711583</v>
      </c>
      <c r="C93" s="45" t="s">
        <v>162</v>
      </c>
      <c r="E93">
        <v>184.87</v>
      </c>
      <c r="F93" s="45" t="s">
        <v>8</v>
      </c>
    </row>
    <row r="94" spans="1:6" x14ac:dyDescent="0.35">
      <c r="A94" s="1">
        <v>46074</v>
      </c>
      <c r="B94">
        <v>711580</v>
      </c>
      <c r="C94" s="45" t="s">
        <v>79</v>
      </c>
      <c r="E94">
        <v>856.28</v>
      </c>
      <c r="F94" s="45" t="s">
        <v>8</v>
      </c>
    </row>
    <row r="95" spans="1:6" x14ac:dyDescent="0.35">
      <c r="A95" s="1">
        <v>46063</v>
      </c>
      <c r="B95">
        <v>711550</v>
      </c>
      <c r="C95" s="45" t="s">
        <v>139</v>
      </c>
      <c r="E95">
        <v>300.33</v>
      </c>
      <c r="F95" s="45" t="s">
        <v>73</v>
      </c>
    </row>
    <row r="96" spans="1:6" x14ac:dyDescent="0.35">
      <c r="A96" s="1">
        <v>46060</v>
      </c>
      <c r="B96">
        <v>711548</v>
      </c>
      <c r="C96" s="45" t="s">
        <v>152</v>
      </c>
      <c r="E96">
        <v>241.67</v>
      </c>
      <c r="F96" s="45" t="s">
        <v>32</v>
      </c>
    </row>
    <row r="97" spans="1:6" x14ac:dyDescent="0.35">
      <c r="A97" s="1">
        <v>46149</v>
      </c>
      <c r="B97">
        <v>711547</v>
      </c>
      <c r="C97" s="45" t="s">
        <v>59</v>
      </c>
      <c r="E97">
        <v>1600.7</v>
      </c>
      <c r="F97" s="45" t="s">
        <v>60</v>
      </c>
    </row>
    <row r="98" spans="1:6" x14ac:dyDescent="0.35">
      <c r="A98" s="1">
        <v>46058</v>
      </c>
      <c r="B98">
        <v>711541</v>
      </c>
      <c r="C98" s="45" t="s">
        <v>81</v>
      </c>
      <c r="D98">
        <v>687368</v>
      </c>
      <c r="E98">
        <v>846.27</v>
      </c>
      <c r="F98" s="45" t="s">
        <v>73</v>
      </c>
    </row>
    <row r="99" spans="1:6" x14ac:dyDescent="0.35">
      <c r="A99" s="1">
        <v>46056</v>
      </c>
      <c r="B99">
        <v>711536</v>
      </c>
      <c r="C99" s="45" t="s">
        <v>167</v>
      </c>
      <c r="E99">
        <v>170.52</v>
      </c>
      <c r="F99" s="45" t="s">
        <v>73</v>
      </c>
    </row>
    <row r="100" spans="1:6" x14ac:dyDescent="0.35">
      <c r="A100" s="1">
        <v>46056</v>
      </c>
      <c r="B100">
        <v>711535</v>
      </c>
      <c r="C100" s="45" t="s">
        <v>175</v>
      </c>
      <c r="E100">
        <v>118.94</v>
      </c>
      <c r="F100" s="45" t="s">
        <v>73</v>
      </c>
    </row>
    <row r="101" spans="1:6" x14ac:dyDescent="0.35">
      <c r="A101" s="1">
        <v>46055</v>
      </c>
      <c r="B101">
        <v>711531</v>
      </c>
      <c r="C101" s="45" t="s">
        <v>82</v>
      </c>
      <c r="E101">
        <v>837.01</v>
      </c>
      <c r="F101" s="45" t="s">
        <v>32</v>
      </c>
    </row>
    <row r="102" spans="1:6" x14ac:dyDescent="0.35">
      <c r="A102" s="1">
        <v>46053</v>
      </c>
      <c r="B102">
        <v>711530</v>
      </c>
      <c r="C102" s="45" t="s">
        <v>153</v>
      </c>
      <c r="E102">
        <v>229.45</v>
      </c>
      <c r="F102" s="45" t="s">
        <v>73</v>
      </c>
    </row>
    <row r="103" spans="1:6" x14ac:dyDescent="0.35">
      <c r="A103" s="1">
        <v>46046</v>
      </c>
      <c r="B103">
        <v>711503</v>
      </c>
      <c r="C103" s="45" t="s">
        <v>120</v>
      </c>
      <c r="E103">
        <v>445.88</v>
      </c>
      <c r="F103" s="45" t="s">
        <v>73</v>
      </c>
    </row>
    <row r="104" spans="1:6" x14ac:dyDescent="0.35">
      <c r="A104" s="1">
        <v>46210</v>
      </c>
      <c r="B104">
        <v>711260</v>
      </c>
      <c r="C104" s="45" t="s">
        <v>9</v>
      </c>
      <c r="D104">
        <v>715054</v>
      </c>
      <c r="E104">
        <v>27.99</v>
      </c>
      <c r="F104" s="45" t="s">
        <v>9</v>
      </c>
    </row>
    <row r="105" spans="1:6" x14ac:dyDescent="0.35">
      <c r="A105" s="1">
        <v>46024</v>
      </c>
      <c r="B105">
        <v>695294</v>
      </c>
      <c r="C105" s="45" t="s">
        <v>148</v>
      </c>
      <c r="E105">
        <v>256.52</v>
      </c>
      <c r="F105" s="45" t="s">
        <v>56</v>
      </c>
    </row>
    <row r="106" spans="1:6" x14ac:dyDescent="0.35">
      <c r="A106" s="1">
        <v>46023</v>
      </c>
      <c r="B106">
        <v>695291</v>
      </c>
      <c r="C106" s="45" t="s">
        <v>50</v>
      </c>
      <c r="D106">
        <v>696433</v>
      </c>
      <c r="E106">
        <v>2089.79</v>
      </c>
      <c r="F106" s="45" t="s">
        <v>44</v>
      </c>
    </row>
    <row r="107" spans="1:6" x14ac:dyDescent="0.35">
      <c r="A107" s="1">
        <v>46022</v>
      </c>
      <c r="B107">
        <v>695286</v>
      </c>
      <c r="C107" s="45" t="s">
        <v>43</v>
      </c>
      <c r="E107">
        <v>2283.92</v>
      </c>
      <c r="F107" s="45" t="s">
        <v>44</v>
      </c>
    </row>
    <row r="108" spans="1:6" x14ac:dyDescent="0.35">
      <c r="A108" s="1">
        <v>46022</v>
      </c>
      <c r="B108">
        <v>695285</v>
      </c>
      <c r="C108" s="45" t="s">
        <v>43</v>
      </c>
      <c r="E108">
        <v>3220.5</v>
      </c>
      <c r="F108" s="45" t="s">
        <v>44</v>
      </c>
    </row>
    <row r="109" spans="1:6" x14ac:dyDescent="0.35">
      <c r="A109" s="1">
        <v>46022</v>
      </c>
      <c r="B109">
        <v>695273</v>
      </c>
      <c r="C109" s="45" t="s">
        <v>49</v>
      </c>
      <c r="E109">
        <v>2226.0100000000002</v>
      </c>
      <c r="F109" s="45" t="s">
        <v>44</v>
      </c>
    </row>
    <row r="110" spans="1:6" x14ac:dyDescent="0.35">
      <c r="A110" s="1">
        <v>46022</v>
      </c>
      <c r="B110">
        <v>695272</v>
      </c>
      <c r="C110" s="45" t="s">
        <v>105</v>
      </c>
      <c r="D110">
        <v>696427</v>
      </c>
      <c r="E110">
        <v>521.38</v>
      </c>
      <c r="F110" s="45" t="s">
        <v>44</v>
      </c>
    </row>
    <row r="111" spans="1:6" x14ac:dyDescent="0.35">
      <c r="A111" s="1">
        <v>46021</v>
      </c>
      <c r="B111">
        <v>695262</v>
      </c>
      <c r="C111" s="45" t="s">
        <v>62</v>
      </c>
      <c r="E111">
        <v>1344.47</v>
      </c>
      <c r="F111" s="45" t="s">
        <v>63</v>
      </c>
    </row>
    <row r="112" spans="1:6" x14ac:dyDescent="0.35">
      <c r="A112" s="1">
        <v>46021</v>
      </c>
      <c r="B112">
        <v>695261</v>
      </c>
      <c r="C112" s="45" t="s">
        <v>116</v>
      </c>
      <c r="E112">
        <v>485.35</v>
      </c>
      <c r="F112" s="45" t="s">
        <v>73</v>
      </c>
    </row>
    <row r="113" spans="1:6" x14ac:dyDescent="0.35">
      <c r="A113" s="1">
        <v>46020</v>
      </c>
      <c r="B113">
        <v>695256</v>
      </c>
      <c r="C113" s="45" t="s">
        <v>57</v>
      </c>
      <c r="E113">
        <v>1632.77</v>
      </c>
      <c r="F113" s="45" t="s">
        <v>58</v>
      </c>
    </row>
    <row r="114" spans="1:6" x14ac:dyDescent="0.35">
      <c r="A114" s="1">
        <v>46020</v>
      </c>
      <c r="B114">
        <v>695254</v>
      </c>
      <c r="C114" s="45" t="s">
        <v>57</v>
      </c>
      <c r="E114">
        <v>979.66</v>
      </c>
      <c r="F114" s="45" t="s">
        <v>58</v>
      </c>
    </row>
    <row r="115" spans="1:6" x14ac:dyDescent="0.35">
      <c r="A115" s="1">
        <v>46020</v>
      </c>
      <c r="B115">
        <v>695253</v>
      </c>
      <c r="C115" s="45" t="s">
        <v>57</v>
      </c>
      <c r="E115">
        <v>1469.49</v>
      </c>
      <c r="F115" s="45" t="s">
        <v>58</v>
      </c>
    </row>
    <row r="116" spans="1:6" x14ac:dyDescent="0.35">
      <c r="A116" s="1">
        <v>46015</v>
      </c>
      <c r="B116">
        <v>691349</v>
      </c>
      <c r="C116" s="45" t="s">
        <v>122</v>
      </c>
      <c r="E116">
        <v>425.1</v>
      </c>
      <c r="F116" s="45" t="s">
        <v>32</v>
      </c>
    </row>
    <row r="117" spans="1:6" x14ac:dyDescent="0.35">
      <c r="A117" s="1">
        <v>46015</v>
      </c>
      <c r="B117">
        <v>691348</v>
      </c>
      <c r="C117" s="45" t="s">
        <v>117</v>
      </c>
      <c r="E117">
        <v>483.93</v>
      </c>
      <c r="F117" s="45" t="s">
        <v>32</v>
      </c>
    </row>
    <row r="118" spans="1:6" x14ac:dyDescent="0.35">
      <c r="A118" s="1">
        <v>46015</v>
      </c>
      <c r="B118">
        <v>691347</v>
      </c>
      <c r="C118" s="45" t="s">
        <v>117</v>
      </c>
      <c r="E118">
        <v>483.93</v>
      </c>
      <c r="F118" s="45" t="s">
        <v>32</v>
      </c>
    </row>
    <row r="119" spans="1:6" x14ac:dyDescent="0.35">
      <c r="A119" s="1">
        <v>46015</v>
      </c>
      <c r="B119">
        <v>691346</v>
      </c>
      <c r="C119" s="45" t="s">
        <v>99</v>
      </c>
      <c r="E119">
        <v>586.65</v>
      </c>
      <c r="F119" s="45" t="s">
        <v>32</v>
      </c>
    </row>
    <row r="120" spans="1:6" x14ac:dyDescent="0.35">
      <c r="A120" s="1">
        <v>46015</v>
      </c>
      <c r="B120">
        <v>691345</v>
      </c>
      <c r="C120" s="45" t="s">
        <v>51</v>
      </c>
      <c r="E120">
        <v>1801.81</v>
      </c>
      <c r="F120" s="45" t="s">
        <v>32</v>
      </c>
    </row>
    <row r="121" spans="1:6" x14ac:dyDescent="0.35">
      <c r="A121" s="1">
        <v>46015</v>
      </c>
      <c r="B121">
        <v>691344</v>
      </c>
      <c r="C121" s="45" t="s">
        <v>72</v>
      </c>
      <c r="E121">
        <v>964.93</v>
      </c>
      <c r="F121" s="45" t="s">
        <v>32</v>
      </c>
    </row>
    <row r="122" spans="1:6" x14ac:dyDescent="0.35">
      <c r="A122" s="1">
        <v>46015</v>
      </c>
      <c r="B122">
        <v>691343</v>
      </c>
      <c r="C122" s="45" t="s">
        <v>146</v>
      </c>
      <c r="E122">
        <v>265.55</v>
      </c>
      <c r="F122" s="45" t="s">
        <v>32</v>
      </c>
    </row>
    <row r="123" spans="1:6" x14ac:dyDescent="0.35">
      <c r="A123" s="1">
        <v>46015</v>
      </c>
      <c r="B123">
        <v>691342</v>
      </c>
      <c r="C123" s="45" t="s">
        <v>146</v>
      </c>
      <c r="E123">
        <v>265.55</v>
      </c>
      <c r="F123" s="45" t="s">
        <v>32</v>
      </c>
    </row>
    <row r="124" spans="1:6" x14ac:dyDescent="0.35">
      <c r="A124" s="1">
        <v>46015</v>
      </c>
      <c r="B124">
        <v>691341</v>
      </c>
      <c r="C124" s="45" t="s">
        <v>31</v>
      </c>
      <c r="D124">
        <v>687355</v>
      </c>
      <c r="E124">
        <v>9784.11</v>
      </c>
      <c r="F124" s="45" t="s">
        <v>32</v>
      </c>
    </row>
    <row r="125" spans="1:6" x14ac:dyDescent="0.35">
      <c r="A125" s="1">
        <v>46011</v>
      </c>
      <c r="B125">
        <v>691334</v>
      </c>
      <c r="C125" s="45" t="s">
        <v>182</v>
      </c>
      <c r="E125">
        <v>80.09</v>
      </c>
      <c r="F125" s="45" t="s">
        <v>113</v>
      </c>
    </row>
    <row r="126" spans="1:6" x14ac:dyDescent="0.35">
      <c r="A126" s="1">
        <v>46011</v>
      </c>
      <c r="B126">
        <v>691333</v>
      </c>
      <c r="C126" s="45" t="s">
        <v>190</v>
      </c>
      <c r="E126">
        <v>55.43</v>
      </c>
      <c r="F126" s="45" t="s">
        <v>113</v>
      </c>
    </row>
    <row r="127" spans="1:6" x14ac:dyDescent="0.35">
      <c r="A127" s="1">
        <v>46007</v>
      </c>
      <c r="B127">
        <v>691323</v>
      </c>
      <c r="C127" s="45" t="s">
        <v>196</v>
      </c>
      <c r="E127">
        <v>38.36</v>
      </c>
      <c r="F127" s="45" t="s">
        <v>113</v>
      </c>
    </row>
    <row r="128" spans="1:6" x14ac:dyDescent="0.35">
      <c r="A128" s="1">
        <v>46007</v>
      </c>
      <c r="B128">
        <v>691322</v>
      </c>
      <c r="C128" s="45" t="s">
        <v>52</v>
      </c>
      <c r="E128">
        <v>1775.87</v>
      </c>
      <c r="F128" s="45" t="s">
        <v>32</v>
      </c>
    </row>
    <row r="129" spans="1:6" x14ac:dyDescent="0.35">
      <c r="A129" s="1">
        <v>46007</v>
      </c>
      <c r="B129">
        <v>691320</v>
      </c>
      <c r="C129" s="45" t="s">
        <v>87</v>
      </c>
      <c r="E129">
        <v>702.13</v>
      </c>
      <c r="F129" s="45" t="s">
        <v>73</v>
      </c>
    </row>
    <row r="130" spans="1:6" x14ac:dyDescent="0.35">
      <c r="A130" s="1">
        <v>46000</v>
      </c>
      <c r="B130">
        <v>691299</v>
      </c>
      <c r="C130" s="45" t="s">
        <v>155</v>
      </c>
      <c r="E130">
        <v>216.15</v>
      </c>
      <c r="F130" s="45" t="s">
        <v>113</v>
      </c>
    </row>
    <row r="131" spans="1:6" x14ac:dyDescent="0.35">
      <c r="A131" s="1">
        <v>45993</v>
      </c>
      <c r="B131">
        <v>691283</v>
      </c>
      <c r="C131" s="45" t="s">
        <v>193</v>
      </c>
      <c r="E131">
        <v>43.59</v>
      </c>
      <c r="F131" s="45" t="s">
        <v>113</v>
      </c>
    </row>
    <row r="132" spans="1:6" x14ac:dyDescent="0.35">
      <c r="A132" s="1">
        <v>45992</v>
      </c>
      <c r="B132">
        <v>691279</v>
      </c>
      <c r="C132" s="45" t="s">
        <v>23</v>
      </c>
      <c r="D132">
        <v>701797</v>
      </c>
      <c r="E132">
        <v>30783.11</v>
      </c>
      <c r="F132" s="45" t="s">
        <v>24</v>
      </c>
    </row>
    <row r="133" spans="1:6" x14ac:dyDescent="0.35">
      <c r="A133" s="1">
        <v>45988</v>
      </c>
      <c r="B133">
        <v>691269</v>
      </c>
      <c r="C133" s="45" t="s">
        <v>27</v>
      </c>
      <c r="E133">
        <v>16319.3</v>
      </c>
      <c r="F133" s="45" t="s">
        <v>28</v>
      </c>
    </row>
    <row r="134" spans="1:6" x14ac:dyDescent="0.35">
      <c r="A134" s="1">
        <v>45985</v>
      </c>
      <c r="B134">
        <v>691264</v>
      </c>
      <c r="C134" s="45" t="s">
        <v>178</v>
      </c>
      <c r="E134">
        <v>103.64</v>
      </c>
      <c r="F134" s="45" t="s">
        <v>113</v>
      </c>
    </row>
    <row r="135" spans="1:6" x14ac:dyDescent="0.35">
      <c r="A135" s="1">
        <v>45979</v>
      </c>
      <c r="B135">
        <v>691255</v>
      </c>
      <c r="C135" s="45" t="s">
        <v>142</v>
      </c>
      <c r="E135">
        <v>274.98</v>
      </c>
      <c r="F135" s="45" t="s">
        <v>111</v>
      </c>
    </row>
    <row r="136" spans="1:6" x14ac:dyDescent="0.35">
      <c r="A136" s="1">
        <v>46035</v>
      </c>
      <c r="B136">
        <v>688675</v>
      </c>
      <c r="C136" s="45" t="s">
        <v>134</v>
      </c>
      <c r="E136">
        <v>326.45999999999998</v>
      </c>
      <c r="F136" s="45" t="s">
        <v>73</v>
      </c>
    </row>
    <row r="137" spans="1:6" x14ac:dyDescent="0.35">
      <c r="A137" s="1">
        <v>46035</v>
      </c>
      <c r="B137">
        <v>688674</v>
      </c>
      <c r="C137" s="45" t="s">
        <v>98</v>
      </c>
      <c r="E137">
        <v>590.09</v>
      </c>
      <c r="F137" s="45" t="s">
        <v>73</v>
      </c>
    </row>
    <row r="138" spans="1:6" x14ac:dyDescent="0.35">
      <c r="A138" s="1">
        <v>46035</v>
      </c>
      <c r="B138">
        <v>688673</v>
      </c>
      <c r="C138" s="45" t="s">
        <v>144</v>
      </c>
      <c r="E138">
        <v>266.27999999999997</v>
      </c>
      <c r="F138" s="45" t="s">
        <v>145</v>
      </c>
    </row>
    <row r="139" spans="1:6" x14ac:dyDescent="0.35">
      <c r="A139" s="1">
        <v>46035</v>
      </c>
      <c r="B139">
        <v>688672</v>
      </c>
      <c r="C139" s="45" t="s">
        <v>102</v>
      </c>
      <c r="E139">
        <v>560.87</v>
      </c>
      <c r="F139" s="45" t="s">
        <v>145</v>
      </c>
    </row>
    <row r="140" spans="1:6" x14ac:dyDescent="0.35">
      <c r="A140" s="1">
        <v>46030</v>
      </c>
      <c r="B140">
        <v>688664</v>
      </c>
      <c r="C140" s="45" t="s">
        <v>195</v>
      </c>
      <c r="D140">
        <v>656436</v>
      </c>
      <c r="E140">
        <v>40</v>
      </c>
      <c r="F140" s="45" t="s">
        <v>113</v>
      </c>
    </row>
    <row r="141" spans="1:6" x14ac:dyDescent="0.35">
      <c r="A141" s="1">
        <v>46030</v>
      </c>
      <c r="B141">
        <v>688663</v>
      </c>
      <c r="C141" s="45" t="s">
        <v>166</v>
      </c>
      <c r="D141">
        <v>656436</v>
      </c>
      <c r="E141">
        <v>171.67</v>
      </c>
      <c r="F141" s="45" t="s">
        <v>73</v>
      </c>
    </row>
    <row r="142" spans="1:6" x14ac:dyDescent="0.35">
      <c r="A142" s="1">
        <v>45955</v>
      </c>
      <c r="B142">
        <v>663243</v>
      </c>
      <c r="C142" s="45" t="s">
        <v>127</v>
      </c>
      <c r="D142">
        <v>693748</v>
      </c>
      <c r="E142">
        <v>382.18</v>
      </c>
      <c r="F142" s="45" t="s">
        <v>8</v>
      </c>
    </row>
    <row r="143" spans="1:6" x14ac:dyDescent="0.35">
      <c r="A143" s="1">
        <v>45953</v>
      </c>
      <c r="B143">
        <v>663238</v>
      </c>
      <c r="C143" s="45" t="s">
        <v>71</v>
      </c>
      <c r="E143">
        <v>1078.69</v>
      </c>
      <c r="F143" s="45" t="s">
        <v>73</v>
      </c>
    </row>
    <row r="144" spans="1:6" x14ac:dyDescent="0.35">
      <c r="A144" s="1">
        <v>45976</v>
      </c>
      <c r="B144">
        <v>663197</v>
      </c>
      <c r="C144" s="45" t="s">
        <v>184</v>
      </c>
      <c r="E144">
        <v>70.349999999999994</v>
      </c>
      <c r="F144" s="45" t="s">
        <v>73</v>
      </c>
    </row>
    <row r="145" spans="1:6" x14ac:dyDescent="0.35">
      <c r="A145" s="1">
        <v>45967</v>
      </c>
      <c r="B145">
        <v>663180</v>
      </c>
      <c r="C145" s="45" t="s">
        <v>48</v>
      </c>
      <c r="D145">
        <v>693748</v>
      </c>
      <c r="E145">
        <v>2240.85</v>
      </c>
      <c r="F145" s="45" t="s">
        <v>32</v>
      </c>
    </row>
    <row r="146" spans="1:6" x14ac:dyDescent="0.35">
      <c r="A146" s="1">
        <v>45962</v>
      </c>
      <c r="B146">
        <v>663170</v>
      </c>
      <c r="C146" s="45" t="s">
        <v>183</v>
      </c>
      <c r="E146">
        <v>74.22</v>
      </c>
      <c r="F146" s="45" t="s">
        <v>73</v>
      </c>
    </row>
    <row r="147" spans="1:6" x14ac:dyDescent="0.35">
      <c r="A147" s="1">
        <v>45962</v>
      </c>
      <c r="B147">
        <v>663169</v>
      </c>
      <c r="C147" s="45" t="s">
        <v>108</v>
      </c>
      <c r="E147">
        <v>517.24</v>
      </c>
      <c r="F147" s="45" t="s">
        <v>73</v>
      </c>
    </row>
    <row r="148" spans="1:6" x14ac:dyDescent="0.35">
      <c r="A148" s="1">
        <v>45991</v>
      </c>
      <c r="B148">
        <v>663163</v>
      </c>
      <c r="C148" s="45" t="s">
        <v>151</v>
      </c>
      <c r="E148">
        <v>248.09</v>
      </c>
      <c r="F148" s="45" t="s">
        <v>73</v>
      </c>
    </row>
    <row r="149" spans="1:6" x14ac:dyDescent="0.35">
      <c r="A149" s="1">
        <v>663157</v>
      </c>
      <c r="B149">
        <v>663157</v>
      </c>
      <c r="C149" s="45" t="s">
        <v>71</v>
      </c>
      <c r="E149">
        <v>1078.69</v>
      </c>
      <c r="F149" s="45" t="s">
        <v>8</v>
      </c>
    </row>
    <row r="150" spans="1:6" x14ac:dyDescent="0.35">
      <c r="A150" s="1">
        <v>45958</v>
      </c>
      <c r="B150">
        <v>663156</v>
      </c>
      <c r="C150" s="45" t="s">
        <v>191</v>
      </c>
      <c r="E150">
        <v>54.15</v>
      </c>
      <c r="F150" s="45" t="s">
        <v>73</v>
      </c>
    </row>
    <row r="151" spans="1:6" x14ac:dyDescent="0.35">
      <c r="A151" s="1">
        <v>45916</v>
      </c>
      <c r="B151">
        <v>644921</v>
      </c>
      <c r="C151" s="45" t="s">
        <v>192</v>
      </c>
      <c r="E151">
        <v>49.15</v>
      </c>
      <c r="F151" s="45" t="s">
        <v>113</v>
      </c>
    </row>
    <row r="152" spans="1:6" x14ac:dyDescent="0.35">
      <c r="A152" s="1">
        <v>45915</v>
      </c>
      <c r="B152">
        <v>644915</v>
      </c>
      <c r="C152" s="45" t="s">
        <v>34</v>
      </c>
      <c r="E152">
        <v>8728.5</v>
      </c>
      <c r="F152" s="45" t="s">
        <v>22</v>
      </c>
    </row>
    <row r="153" spans="1:6" x14ac:dyDescent="0.35">
      <c r="A153" s="1">
        <v>45913</v>
      </c>
      <c r="B153">
        <v>644911</v>
      </c>
      <c r="C153" s="45" t="s">
        <v>65</v>
      </c>
      <c r="E153">
        <v>1321.97</v>
      </c>
      <c r="F153" s="45" t="s">
        <v>66</v>
      </c>
    </row>
    <row r="154" spans="1:6" x14ac:dyDescent="0.35">
      <c r="A154" s="1">
        <v>45893</v>
      </c>
      <c r="B154">
        <v>644858</v>
      </c>
      <c r="C154" s="45" t="s">
        <v>103</v>
      </c>
      <c r="E154">
        <v>548.99</v>
      </c>
      <c r="F154" s="45" t="s">
        <v>8</v>
      </c>
    </row>
    <row r="155" spans="1:6" x14ac:dyDescent="0.35">
      <c r="A155" s="1">
        <v>45893</v>
      </c>
      <c r="B155">
        <v>644857</v>
      </c>
      <c r="C155" s="45" t="s">
        <v>174</v>
      </c>
      <c r="E155">
        <v>122.39</v>
      </c>
      <c r="F155" s="45" t="s">
        <v>73</v>
      </c>
    </row>
    <row r="156" spans="1:6" x14ac:dyDescent="0.35">
      <c r="A156" s="1">
        <v>45890</v>
      </c>
      <c r="B156">
        <v>630499</v>
      </c>
      <c r="C156" s="45" t="s">
        <v>202</v>
      </c>
      <c r="E156">
        <v>9.3699999999999992</v>
      </c>
      <c r="F156" s="45" t="s">
        <v>73</v>
      </c>
    </row>
    <row r="157" spans="1:6" x14ac:dyDescent="0.35">
      <c r="A157" s="1">
        <v>45890</v>
      </c>
      <c r="B157">
        <v>630498</v>
      </c>
      <c r="C157" s="45" t="s">
        <v>137</v>
      </c>
      <c r="E157">
        <v>306.75</v>
      </c>
      <c r="F157" s="45" t="s">
        <v>73</v>
      </c>
    </row>
    <row r="158" spans="1:6" x14ac:dyDescent="0.35">
      <c r="A158" s="1">
        <v>45882</v>
      </c>
      <c r="B158">
        <v>630481</v>
      </c>
      <c r="C158" s="45" t="s">
        <v>83</v>
      </c>
      <c r="E158">
        <v>824.52</v>
      </c>
      <c r="F158" s="45" t="s">
        <v>32</v>
      </c>
    </row>
    <row r="159" spans="1:6" x14ac:dyDescent="0.35">
      <c r="A159" s="1">
        <v>45836</v>
      </c>
      <c r="B159">
        <v>598984</v>
      </c>
      <c r="C159" s="45" t="s">
        <v>135</v>
      </c>
      <c r="E159">
        <v>325.92</v>
      </c>
      <c r="F159" s="45" t="s">
        <v>73</v>
      </c>
    </row>
    <row r="160" spans="1:6" x14ac:dyDescent="0.35">
      <c r="A160" s="1">
        <v>45824</v>
      </c>
      <c r="B160">
        <v>598955</v>
      </c>
      <c r="C160" s="45" t="s">
        <v>77</v>
      </c>
      <c r="E160">
        <v>330.6</v>
      </c>
      <c r="F160" s="45" t="s">
        <v>78</v>
      </c>
    </row>
    <row r="161" spans="1:6" x14ac:dyDescent="0.35">
      <c r="A161" s="1">
        <v>45824</v>
      </c>
      <c r="B161">
        <v>598954</v>
      </c>
      <c r="C161" s="45" t="s">
        <v>84</v>
      </c>
      <c r="E161">
        <v>769.35</v>
      </c>
      <c r="F161" s="45" t="s">
        <v>85</v>
      </c>
    </row>
    <row r="162" spans="1:6" x14ac:dyDescent="0.35">
      <c r="A162" s="1">
        <v>45824</v>
      </c>
      <c r="B162">
        <v>598953</v>
      </c>
      <c r="C162" s="45" t="s">
        <v>176</v>
      </c>
      <c r="E162">
        <v>110.08</v>
      </c>
      <c r="F162" s="45" t="s">
        <v>85</v>
      </c>
    </row>
    <row r="163" spans="1:6" x14ac:dyDescent="0.35">
      <c r="A163" s="1">
        <v>45803</v>
      </c>
      <c r="B163">
        <v>598914</v>
      </c>
      <c r="C163" s="45" t="s">
        <v>110</v>
      </c>
      <c r="E163">
        <v>514.22</v>
      </c>
      <c r="F163" s="45" t="s">
        <v>111</v>
      </c>
    </row>
    <row r="164" spans="1:6" x14ac:dyDescent="0.35">
      <c r="A164" s="1">
        <v>45799</v>
      </c>
      <c r="B164">
        <v>598907</v>
      </c>
      <c r="C164" s="45" t="s">
        <v>159</v>
      </c>
      <c r="E164">
        <v>202.95</v>
      </c>
      <c r="F164" s="45" t="s">
        <v>160</v>
      </c>
    </row>
    <row r="165" spans="1:6" x14ac:dyDescent="0.35">
      <c r="A165" s="1">
        <v>45764</v>
      </c>
      <c r="B165">
        <v>579176</v>
      </c>
      <c r="C165" s="45" t="s">
        <v>119</v>
      </c>
      <c r="E165">
        <v>472.77</v>
      </c>
      <c r="F165" s="45" t="s">
        <v>54</v>
      </c>
    </row>
    <row r="166" spans="1:6" x14ac:dyDescent="0.35">
      <c r="A166" s="1">
        <v>45722</v>
      </c>
      <c r="B166">
        <v>551120</v>
      </c>
      <c r="C166" s="45" t="s">
        <v>9</v>
      </c>
      <c r="D166">
        <v>676321</v>
      </c>
      <c r="E166">
        <v>14</v>
      </c>
      <c r="F166" s="45" t="s">
        <v>9</v>
      </c>
    </row>
    <row r="167" spans="1:6" x14ac:dyDescent="0.35">
      <c r="A167" s="1">
        <v>45734</v>
      </c>
      <c r="B167">
        <v>551058</v>
      </c>
      <c r="C167" s="45" t="s">
        <v>198</v>
      </c>
      <c r="E167">
        <v>10.81</v>
      </c>
      <c r="F167" s="45" t="s">
        <v>113</v>
      </c>
    </row>
    <row r="168" spans="1:6" x14ac:dyDescent="0.35">
      <c r="A168" s="1">
        <v>45701</v>
      </c>
      <c r="B168">
        <v>548982</v>
      </c>
      <c r="C168" s="45" t="s">
        <v>168</v>
      </c>
      <c r="E168">
        <v>164.19</v>
      </c>
      <c r="F168" s="45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B206-234A-48D7-9A91-001A9114EFBB}">
  <dimension ref="A1:F170"/>
  <sheetViews>
    <sheetView tabSelected="1" workbookViewId="0">
      <pane ySplit="3" topLeftCell="A4" activePane="bottomLeft" state="frozen"/>
      <selection pane="bottomLeft" activeCell="A3" sqref="A3:F170"/>
    </sheetView>
  </sheetViews>
  <sheetFormatPr defaultRowHeight="14.5" x14ac:dyDescent="0.35"/>
  <cols>
    <col min="1" max="1" width="11.90625" style="2" customWidth="1"/>
    <col min="2" max="2" width="10.453125" style="10" customWidth="1"/>
    <col min="3" max="3" width="64.26953125" bestFit="1" customWidth="1"/>
    <col min="4" max="4" width="8.1796875" customWidth="1"/>
    <col min="5" max="5" width="12.90625" style="3" customWidth="1"/>
    <col min="6" max="6" width="31.54296875" bestFit="1" customWidth="1"/>
  </cols>
  <sheetData>
    <row r="1" spans="1:6" ht="18.5" x14ac:dyDescent="0.45">
      <c r="A1" s="11" t="s">
        <v>201</v>
      </c>
      <c r="B1" s="11"/>
      <c r="C1" s="11"/>
      <c r="D1" s="11"/>
      <c r="E1" s="11"/>
      <c r="F1" s="11"/>
    </row>
    <row r="2" spans="1:6" x14ac:dyDescent="0.35">
      <c r="B2" s="8">
        <f>COUNT(B4:B170)</f>
        <v>167</v>
      </c>
      <c r="C2" s="6" t="s">
        <v>199</v>
      </c>
      <c r="E2" s="3">
        <f>SUM(E4:E170)</f>
        <v>310595.76</v>
      </c>
      <c r="F2" s="3" t="s">
        <v>200</v>
      </c>
    </row>
    <row r="3" spans="1:6" s="7" customFormat="1" ht="29.15" customHeight="1" x14ac:dyDescent="0.35">
      <c r="A3" s="48" t="s">
        <v>0</v>
      </c>
      <c r="B3" s="49" t="s">
        <v>1</v>
      </c>
      <c r="C3" s="50" t="s">
        <v>2</v>
      </c>
      <c r="D3" s="50" t="s">
        <v>3</v>
      </c>
      <c r="E3" s="51" t="s">
        <v>4</v>
      </c>
      <c r="F3" s="52" t="s">
        <v>5</v>
      </c>
    </row>
    <row r="4" spans="1:6" x14ac:dyDescent="0.35">
      <c r="A4" s="46">
        <v>46214</v>
      </c>
      <c r="B4" s="9">
        <v>771274</v>
      </c>
      <c r="C4" s="4" t="s">
        <v>204</v>
      </c>
      <c r="D4" s="4"/>
      <c r="E4" s="5">
        <v>120</v>
      </c>
      <c r="F4" s="47" t="s">
        <v>73</v>
      </c>
    </row>
    <row r="5" spans="1:6" x14ac:dyDescent="0.35">
      <c r="A5" s="46">
        <v>46214</v>
      </c>
      <c r="B5" s="9">
        <v>771273</v>
      </c>
      <c r="C5" s="4" t="s">
        <v>203</v>
      </c>
      <c r="D5" s="4"/>
      <c r="E5" s="5">
        <v>12.01</v>
      </c>
      <c r="F5" s="47" t="s">
        <v>10</v>
      </c>
    </row>
    <row r="6" spans="1:6" x14ac:dyDescent="0.35">
      <c r="A6" s="46">
        <v>46214</v>
      </c>
      <c r="B6" s="9">
        <v>771272</v>
      </c>
      <c r="C6" s="4" t="s">
        <v>35</v>
      </c>
      <c r="D6" s="4"/>
      <c r="E6" s="5">
        <v>1955</v>
      </c>
      <c r="F6" s="47" t="s">
        <v>35</v>
      </c>
    </row>
    <row r="7" spans="1:6" x14ac:dyDescent="0.35">
      <c r="A7" s="46">
        <v>46214</v>
      </c>
      <c r="B7" s="9">
        <v>771271</v>
      </c>
      <c r="C7" s="4" t="s">
        <v>35</v>
      </c>
      <c r="D7" s="4"/>
      <c r="E7" s="5">
        <v>7800</v>
      </c>
      <c r="F7" s="47" t="s">
        <v>35</v>
      </c>
    </row>
    <row r="8" spans="1:6" x14ac:dyDescent="0.35">
      <c r="A8" s="46">
        <v>46214</v>
      </c>
      <c r="B8" s="9">
        <v>771270</v>
      </c>
      <c r="C8" s="4" t="s">
        <v>29</v>
      </c>
      <c r="D8" s="4"/>
      <c r="E8" s="5">
        <v>10626</v>
      </c>
      <c r="F8" s="47" t="s">
        <v>29</v>
      </c>
    </row>
    <row r="9" spans="1:6" x14ac:dyDescent="0.35">
      <c r="A9" s="46">
        <v>46212</v>
      </c>
      <c r="B9" s="9">
        <v>771269</v>
      </c>
      <c r="C9" s="4" t="s">
        <v>70</v>
      </c>
      <c r="D9" s="4"/>
      <c r="E9" s="5">
        <v>1238.9000000000001</v>
      </c>
      <c r="F9" s="47" t="s">
        <v>8</v>
      </c>
    </row>
    <row r="10" spans="1:6" x14ac:dyDescent="0.35">
      <c r="A10" s="46">
        <v>46212</v>
      </c>
      <c r="B10" s="9">
        <v>771268</v>
      </c>
      <c r="C10" s="4" t="s">
        <v>107</v>
      </c>
      <c r="D10" s="4"/>
      <c r="E10" s="5">
        <v>518</v>
      </c>
      <c r="F10" s="47" t="s">
        <v>73</v>
      </c>
    </row>
    <row r="11" spans="1:6" x14ac:dyDescent="0.35">
      <c r="A11" s="46">
        <v>46212</v>
      </c>
      <c r="B11" s="9">
        <v>771267</v>
      </c>
      <c r="C11" s="4" t="s">
        <v>154</v>
      </c>
      <c r="D11" s="4"/>
      <c r="E11" s="5">
        <v>225.62</v>
      </c>
      <c r="F11" s="47" t="s">
        <v>73</v>
      </c>
    </row>
    <row r="12" spans="1:6" x14ac:dyDescent="0.35">
      <c r="A12" s="46">
        <v>46212</v>
      </c>
      <c r="B12" s="9">
        <v>771266</v>
      </c>
      <c r="C12" s="4" t="s">
        <v>35</v>
      </c>
      <c r="D12" s="4">
        <v>735121</v>
      </c>
      <c r="E12" s="5">
        <v>5865</v>
      </c>
      <c r="F12" s="47" t="s">
        <v>35</v>
      </c>
    </row>
    <row r="13" spans="1:6" x14ac:dyDescent="0.35">
      <c r="A13" s="46">
        <v>46212</v>
      </c>
      <c r="B13" s="9">
        <v>771265</v>
      </c>
      <c r="C13" s="4" t="s">
        <v>29</v>
      </c>
      <c r="D13" s="4">
        <v>735121</v>
      </c>
      <c r="E13" s="5">
        <v>12213</v>
      </c>
      <c r="F13" s="47" t="s">
        <v>29</v>
      </c>
    </row>
    <row r="14" spans="1:6" x14ac:dyDescent="0.35">
      <c r="A14" s="46">
        <v>46212</v>
      </c>
      <c r="B14" s="9">
        <v>771264</v>
      </c>
      <c r="C14" s="4" t="s">
        <v>9</v>
      </c>
      <c r="D14" s="4">
        <v>735121</v>
      </c>
      <c r="E14" s="5">
        <v>14</v>
      </c>
      <c r="F14" s="47" t="s">
        <v>9</v>
      </c>
    </row>
    <row r="15" spans="1:6" x14ac:dyDescent="0.35">
      <c r="A15" s="46">
        <v>46212</v>
      </c>
      <c r="B15" s="9">
        <v>771263</v>
      </c>
      <c r="C15" s="4" t="s">
        <v>12</v>
      </c>
      <c r="D15" s="4">
        <v>735121</v>
      </c>
      <c r="E15" s="5">
        <v>24.01</v>
      </c>
      <c r="F15" s="47" t="s">
        <v>10</v>
      </c>
    </row>
    <row r="16" spans="1:6" x14ac:dyDescent="0.35">
      <c r="A16" s="46">
        <v>46211</v>
      </c>
      <c r="B16" s="9">
        <v>771262</v>
      </c>
      <c r="C16" s="4" t="s">
        <v>101</v>
      </c>
      <c r="D16" s="4"/>
      <c r="E16" s="5">
        <v>564.39</v>
      </c>
      <c r="F16" s="47" t="s">
        <v>73</v>
      </c>
    </row>
    <row r="17" spans="1:6" x14ac:dyDescent="0.35">
      <c r="A17" s="46">
        <v>46210</v>
      </c>
      <c r="B17" s="9">
        <v>771261</v>
      </c>
      <c r="C17" s="4" t="s">
        <v>141</v>
      </c>
      <c r="D17" s="4"/>
      <c r="E17" s="5">
        <v>296.99</v>
      </c>
      <c r="F17" s="47" t="s">
        <v>32</v>
      </c>
    </row>
    <row r="18" spans="1:6" x14ac:dyDescent="0.35">
      <c r="A18" s="46">
        <v>46210</v>
      </c>
      <c r="B18" s="9">
        <v>771259</v>
      </c>
      <c r="C18" s="4" t="s">
        <v>12</v>
      </c>
      <c r="D18" s="4">
        <v>715054</v>
      </c>
      <c r="E18" s="5">
        <v>12.01</v>
      </c>
      <c r="F18" s="47" t="s">
        <v>10</v>
      </c>
    </row>
    <row r="19" spans="1:6" x14ac:dyDescent="0.35">
      <c r="A19" s="46">
        <v>46210</v>
      </c>
      <c r="B19" s="9">
        <v>771258</v>
      </c>
      <c r="C19" s="4" t="s">
        <v>179</v>
      </c>
      <c r="D19" s="4"/>
      <c r="E19" s="5">
        <v>97.14</v>
      </c>
      <c r="F19" s="47" t="s">
        <v>73</v>
      </c>
    </row>
    <row r="20" spans="1:6" x14ac:dyDescent="0.35">
      <c r="A20" s="46">
        <v>46210</v>
      </c>
      <c r="B20" s="9">
        <v>771257</v>
      </c>
      <c r="C20" s="4" t="s">
        <v>35</v>
      </c>
      <c r="D20" s="4">
        <v>715054</v>
      </c>
      <c r="E20" s="5">
        <v>5865</v>
      </c>
      <c r="F20" s="47" t="s">
        <v>35</v>
      </c>
    </row>
    <row r="21" spans="1:6" x14ac:dyDescent="0.35">
      <c r="A21" s="46">
        <v>46210</v>
      </c>
      <c r="B21" s="9">
        <v>771256</v>
      </c>
      <c r="C21" s="4" t="s">
        <v>29</v>
      </c>
      <c r="D21" s="4">
        <v>715054</v>
      </c>
      <c r="E21" s="5">
        <v>8901</v>
      </c>
      <c r="F21" s="47" t="s">
        <v>29</v>
      </c>
    </row>
    <row r="22" spans="1:6" x14ac:dyDescent="0.35">
      <c r="A22" s="46">
        <v>46182</v>
      </c>
      <c r="B22" s="9">
        <v>756049</v>
      </c>
      <c r="C22" s="4" t="s">
        <v>187</v>
      </c>
      <c r="D22" s="4"/>
      <c r="E22" s="5">
        <v>63.1</v>
      </c>
      <c r="F22" s="47" t="s">
        <v>113</v>
      </c>
    </row>
    <row r="23" spans="1:6" x14ac:dyDescent="0.35">
      <c r="A23" s="46">
        <v>46179</v>
      </c>
      <c r="B23" s="9">
        <v>756043</v>
      </c>
      <c r="C23" s="4" t="s">
        <v>115</v>
      </c>
      <c r="D23" s="4"/>
      <c r="E23" s="5">
        <v>500.81</v>
      </c>
      <c r="F23" s="47" t="s">
        <v>73</v>
      </c>
    </row>
    <row r="24" spans="1:6" x14ac:dyDescent="0.35">
      <c r="A24" s="46">
        <v>46179</v>
      </c>
      <c r="B24" s="9">
        <v>756042</v>
      </c>
      <c r="C24" s="4" t="s">
        <v>173</v>
      </c>
      <c r="D24" s="4"/>
      <c r="E24" s="5">
        <v>129.65</v>
      </c>
      <c r="F24" s="47" t="s">
        <v>73</v>
      </c>
    </row>
    <row r="25" spans="1:6" x14ac:dyDescent="0.35">
      <c r="A25" s="46">
        <v>46179</v>
      </c>
      <c r="B25" s="9">
        <v>756041</v>
      </c>
      <c r="C25" s="4" t="s">
        <v>143</v>
      </c>
      <c r="D25" s="4"/>
      <c r="E25" s="5">
        <v>273.39</v>
      </c>
      <c r="F25" s="47" t="s">
        <v>73</v>
      </c>
    </row>
    <row r="26" spans="1:6" x14ac:dyDescent="0.35">
      <c r="A26" s="46">
        <v>46179</v>
      </c>
      <c r="B26" s="9">
        <v>756040</v>
      </c>
      <c r="C26" s="4" t="s">
        <v>177</v>
      </c>
      <c r="D26" s="4"/>
      <c r="E26" s="5">
        <v>109.39</v>
      </c>
      <c r="F26" s="47" t="s">
        <v>113</v>
      </c>
    </row>
    <row r="27" spans="1:6" x14ac:dyDescent="0.35">
      <c r="A27" s="46">
        <v>46175</v>
      </c>
      <c r="B27" s="9">
        <v>756030</v>
      </c>
      <c r="C27" s="4" t="s">
        <v>118</v>
      </c>
      <c r="D27" s="4"/>
      <c r="E27" s="5">
        <v>472.94</v>
      </c>
      <c r="F27" s="47" t="s">
        <v>73</v>
      </c>
    </row>
    <row r="28" spans="1:6" x14ac:dyDescent="0.35">
      <c r="A28" s="46">
        <v>46175</v>
      </c>
      <c r="B28" s="9">
        <v>756029</v>
      </c>
      <c r="C28" s="4" t="s">
        <v>167</v>
      </c>
      <c r="D28" s="4"/>
      <c r="E28" s="5">
        <v>146.06</v>
      </c>
      <c r="F28" s="47" t="s">
        <v>73</v>
      </c>
    </row>
    <row r="29" spans="1:6" x14ac:dyDescent="0.35">
      <c r="A29" s="46">
        <v>46175</v>
      </c>
      <c r="B29" s="9">
        <v>756028</v>
      </c>
      <c r="C29" s="4" t="s">
        <v>125</v>
      </c>
      <c r="D29" s="4"/>
      <c r="E29" s="5">
        <v>401.68</v>
      </c>
      <c r="F29" s="47" t="s">
        <v>73</v>
      </c>
    </row>
    <row r="30" spans="1:6" x14ac:dyDescent="0.35">
      <c r="A30" s="46">
        <v>46174</v>
      </c>
      <c r="B30" s="9">
        <v>756024</v>
      </c>
      <c r="C30" s="4" t="s">
        <v>77</v>
      </c>
      <c r="D30" s="4">
        <v>663473</v>
      </c>
      <c r="E30" s="5">
        <v>880.34</v>
      </c>
      <c r="F30" s="47" t="s">
        <v>78</v>
      </c>
    </row>
    <row r="31" spans="1:6" x14ac:dyDescent="0.35">
      <c r="A31" s="46">
        <v>46172</v>
      </c>
      <c r="B31" s="9">
        <v>756021</v>
      </c>
      <c r="C31" s="4" t="s">
        <v>126</v>
      </c>
      <c r="D31" s="4"/>
      <c r="E31" s="5">
        <v>384.36</v>
      </c>
      <c r="F31" s="47" t="s">
        <v>73</v>
      </c>
    </row>
    <row r="32" spans="1:6" x14ac:dyDescent="0.35">
      <c r="A32" s="46">
        <v>46172</v>
      </c>
      <c r="B32" s="9">
        <v>756019</v>
      </c>
      <c r="C32" s="4" t="s">
        <v>131</v>
      </c>
      <c r="D32" s="4"/>
      <c r="E32" s="5">
        <v>341.07</v>
      </c>
      <c r="F32" s="47" t="s">
        <v>73</v>
      </c>
    </row>
    <row r="33" spans="1:6" x14ac:dyDescent="0.35">
      <c r="A33" s="46">
        <v>46172</v>
      </c>
      <c r="B33" s="9">
        <v>756018</v>
      </c>
      <c r="C33" s="4" t="s">
        <v>147</v>
      </c>
      <c r="D33" s="4"/>
      <c r="E33" s="5">
        <v>258.06</v>
      </c>
      <c r="F33" s="47" t="s">
        <v>73</v>
      </c>
    </row>
    <row r="34" spans="1:6" x14ac:dyDescent="0.35">
      <c r="A34" s="46">
        <v>46170</v>
      </c>
      <c r="B34" s="9">
        <v>756013</v>
      </c>
      <c r="C34" s="4" t="s">
        <v>170</v>
      </c>
      <c r="D34" s="4"/>
      <c r="E34" s="5">
        <v>140.79</v>
      </c>
      <c r="F34" s="47" t="s">
        <v>73</v>
      </c>
    </row>
    <row r="35" spans="1:6" x14ac:dyDescent="0.35">
      <c r="A35" s="46">
        <v>46170</v>
      </c>
      <c r="B35" s="9">
        <v>756012</v>
      </c>
      <c r="C35" s="4" t="s">
        <v>121</v>
      </c>
      <c r="D35" s="4"/>
      <c r="E35" s="5">
        <v>427.16</v>
      </c>
      <c r="F35" s="47" t="s">
        <v>73</v>
      </c>
    </row>
    <row r="36" spans="1:6" x14ac:dyDescent="0.35">
      <c r="A36" s="46">
        <v>46168</v>
      </c>
      <c r="B36" s="9">
        <v>756004</v>
      </c>
      <c r="C36" s="4" t="s">
        <v>164</v>
      </c>
      <c r="D36" s="4">
        <v>714642</v>
      </c>
      <c r="E36" s="5">
        <v>177.68</v>
      </c>
      <c r="F36" s="47" t="s">
        <v>73</v>
      </c>
    </row>
    <row r="37" spans="1:6" x14ac:dyDescent="0.35">
      <c r="A37" s="46">
        <v>46168</v>
      </c>
      <c r="B37" s="9">
        <v>756003</v>
      </c>
      <c r="C37" s="4" t="s">
        <v>76</v>
      </c>
      <c r="D37" s="4">
        <v>714642</v>
      </c>
      <c r="E37" s="5">
        <v>886.73</v>
      </c>
      <c r="F37" s="47" t="s">
        <v>73</v>
      </c>
    </row>
    <row r="38" spans="1:6" x14ac:dyDescent="0.35">
      <c r="A38" s="46">
        <v>46205</v>
      </c>
      <c r="B38" s="9">
        <v>756000</v>
      </c>
      <c r="C38" s="4" t="s">
        <v>169</v>
      </c>
      <c r="D38" s="4"/>
      <c r="E38" s="5">
        <v>159.21</v>
      </c>
      <c r="F38" s="47" t="s">
        <v>73</v>
      </c>
    </row>
    <row r="39" spans="1:6" x14ac:dyDescent="0.35">
      <c r="A39" s="46">
        <v>46200</v>
      </c>
      <c r="B39" s="9">
        <v>755992</v>
      </c>
      <c r="C39" s="4" t="s">
        <v>129</v>
      </c>
      <c r="D39" s="4"/>
      <c r="E39" s="5">
        <v>360.38</v>
      </c>
      <c r="F39" s="47" t="s">
        <v>73</v>
      </c>
    </row>
    <row r="40" spans="1:6" x14ac:dyDescent="0.35">
      <c r="A40" s="46">
        <v>46198</v>
      </c>
      <c r="B40" s="9">
        <v>755985</v>
      </c>
      <c r="C40" s="4" t="s">
        <v>9</v>
      </c>
      <c r="D40" s="4">
        <v>663489</v>
      </c>
      <c r="E40" s="5">
        <v>41.99</v>
      </c>
      <c r="F40" s="47" t="s">
        <v>9</v>
      </c>
    </row>
    <row r="41" spans="1:6" x14ac:dyDescent="0.35">
      <c r="A41" s="46">
        <v>46196</v>
      </c>
      <c r="B41" s="9">
        <v>755978</v>
      </c>
      <c r="C41" s="4" t="s">
        <v>171</v>
      </c>
      <c r="D41" s="4"/>
      <c r="E41" s="5">
        <v>137.6</v>
      </c>
      <c r="F41" s="47" t="s">
        <v>73</v>
      </c>
    </row>
    <row r="42" spans="1:6" x14ac:dyDescent="0.35">
      <c r="A42" s="46">
        <v>46193</v>
      </c>
      <c r="B42" s="9">
        <v>755977</v>
      </c>
      <c r="C42" s="4" t="s">
        <v>109</v>
      </c>
      <c r="D42" s="4"/>
      <c r="E42" s="5">
        <v>516.52</v>
      </c>
      <c r="F42" s="47" t="s">
        <v>73</v>
      </c>
    </row>
    <row r="43" spans="1:6" x14ac:dyDescent="0.35">
      <c r="A43" s="46">
        <v>46193</v>
      </c>
      <c r="B43" s="9">
        <v>755974</v>
      </c>
      <c r="C43" s="4" t="s">
        <v>181</v>
      </c>
      <c r="D43" s="4"/>
      <c r="E43" s="5">
        <v>92.35</v>
      </c>
      <c r="F43" s="47" t="s">
        <v>73</v>
      </c>
    </row>
    <row r="44" spans="1:6" x14ac:dyDescent="0.35">
      <c r="A44" s="46">
        <v>46191</v>
      </c>
      <c r="B44" s="9">
        <v>755973</v>
      </c>
      <c r="C44" s="4" t="s">
        <v>156</v>
      </c>
      <c r="D44" s="4"/>
      <c r="E44" s="5">
        <v>213.7</v>
      </c>
      <c r="F44" s="47" t="s">
        <v>73</v>
      </c>
    </row>
    <row r="45" spans="1:6" x14ac:dyDescent="0.35">
      <c r="A45" s="46">
        <v>46191</v>
      </c>
      <c r="B45" s="9">
        <v>755972</v>
      </c>
      <c r="C45" s="4" t="s">
        <v>189</v>
      </c>
      <c r="D45" s="4"/>
      <c r="E45" s="5">
        <v>56.96</v>
      </c>
      <c r="F45" s="47" t="s">
        <v>73</v>
      </c>
    </row>
    <row r="46" spans="1:6" x14ac:dyDescent="0.35">
      <c r="A46" s="46">
        <v>46191</v>
      </c>
      <c r="B46" s="9">
        <v>755971</v>
      </c>
      <c r="C46" s="4" t="s">
        <v>158</v>
      </c>
      <c r="D46" s="4"/>
      <c r="E46" s="5">
        <v>210.29</v>
      </c>
      <c r="F46" s="47" t="s">
        <v>73</v>
      </c>
    </row>
    <row r="47" spans="1:6" x14ac:dyDescent="0.35">
      <c r="A47" s="46">
        <v>46188</v>
      </c>
      <c r="B47" s="9">
        <v>755962</v>
      </c>
      <c r="C47" s="4" t="s">
        <v>77</v>
      </c>
      <c r="D47" s="4"/>
      <c r="E47" s="5">
        <v>662.91</v>
      </c>
      <c r="F47" s="47" t="s">
        <v>89</v>
      </c>
    </row>
    <row r="48" spans="1:6" x14ac:dyDescent="0.35">
      <c r="A48" s="46">
        <v>46184</v>
      </c>
      <c r="B48" s="9">
        <v>755956</v>
      </c>
      <c r="C48" s="4" t="s">
        <v>130</v>
      </c>
      <c r="D48" s="4"/>
      <c r="E48" s="5">
        <v>345.49</v>
      </c>
      <c r="F48" s="47" t="s">
        <v>32</v>
      </c>
    </row>
    <row r="49" spans="1:6" x14ac:dyDescent="0.35">
      <c r="A49" s="46">
        <v>46184</v>
      </c>
      <c r="B49" s="9">
        <v>755955</v>
      </c>
      <c r="C49" s="4" t="s">
        <v>97</v>
      </c>
      <c r="D49" s="4"/>
      <c r="E49" s="5">
        <v>595.79</v>
      </c>
      <c r="F49" s="47" t="s">
        <v>73</v>
      </c>
    </row>
    <row r="50" spans="1:6" x14ac:dyDescent="0.35">
      <c r="A50" s="46">
        <v>46184</v>
      </c>
      <c r="B50" s="9">
        <v>755954</v>
      </c>
      <c r="C50" s="4" t="s">
        <v>157</v>
      </c>
      <c r="D50" s="4"/>
      <c r="E50" s="5">
        <v>211.11</v>
      </c>
      <c r="F50" s="47" t="s">
        <v>73</v>
      </c>
    </row>
    <row r="51" spans="1:6" x14ac:dyDescent="0.35">
      <c r="A51" s="46">
        <v>46182</v>
      </c>
      <c r="B51" s="9">
        <v>750648</v>
      </c>
      <c r="C51" s="4" t="s">
        <v>150</v>
      </c>
      <c r="D51" s="4">
        <v>707084</v>
      </c>
      <c r="E51" s="5">
        <v>249.74</v>
      </c>
      <c r="F51" s="47" t="s">
        <v>73</v>
      </c>
    </row>
    <row r="52" spans="1:6" x14ac:dyDescent="0.35">
      <c r="A52" s="46">
        <v>46163</v>
      </c>
      <c r="B52" s="9">
        <v>745646</v>
      </c>
      <c r="C52" s="4" t="s">
        <v>123</v>
      </c>
      <c r="D52" s="4"/>
      <c r="E52" s="5">
        <v>419.65</v>
      </c>
      <c r="F52" s="47" t="s">
        <v>85</v>
      </c>
    </row>
    <row r="53" spans="1:6" x14ac:dyDescent="0.35">
      <c r="A53" s="46">
        <v>46161</v>
      </c>
      <c r="B53" s="9">
        <v>745641</v>
      </c>
      <c r="C53" s="4" t="s">
        <v>86</v>
      </c>
      <c r="D53" s="4"/>
      <c r="E53" s="5">
        <v>704.79</v>
      </c>
      <c r="F53" s="47" t="s">
        <v>22</v>
      </c>
    </row>
    <row r="54" spans="1:6" x14ac:dyDescent="0.35">
      <c r="A54" s="46">
        <v>46161</v>
      </c>
      <c r="B54" s="9">
        <v>745640</v>
      </c>
      <c r="C54" s="4" t="s">
        <v>136</v>
      </c>
      <c r="D54" s="4"/>
      <c r="E54" s="5">
        <v>313.77</v>
      </c>
      <c r="F54" s="47" t="s">
        <v>73</v>
      </c>
    </row>
    <row r="55" spans="1:6" x14ac:dyDescent="0.35">
      <c r="A55" s="46">
        <v>46161</v>
      </c>
      <c r="B55" s="9">
        <v>745636</v>
      </c>
      <c r="C55" s="4" t="s">
        <v>12</v>
      </c>
      <c r="D55" s="4">
        <v>723422</v>
      </c>
      <c r="E55" s="5">
        <v>12.01</v>
      </c>
      <c r="F55" s="47" t="s">
        <v>10</v>
      </c>
    </row>
    <row r="56" spans="1:6" x14ac:dyDescent="0.35">
      <c r="A56" s="46">
        <v>46158</v>
      </c>
      <c r="B56" s="9">
        <v>745632</v>
      </c>
      <c r="C56" s="4" t="s">
        <v>25</v>
      </c>
      <c r="D56" s="4"/>
      <c r="E56" s="5">
        <v>28479.57</v>
      </c>
      <c r="F56" s="47" t="s">
        <v>26</v>
      </c>
    </row>
    <row r="57" spans="1:6" x14ac:dyDescent="0.35">
      <c r="A57" s="46">
        <v>46157</v>
      </c>
      <c r="B57" s="9">
        <v>745631</v>
      </c>
      <c r="C57" s="4" t="s">
        <v>21</v>
      </c>
      <c r="D57" s="4"/>
      <c r="E57" s="5">
        <v>71463.990000000005</v>
      </c>
      <c r="F57" s="47" t="s">
        <v>22</v>
      </c>
    </row>
    <row r="58" spans="1:6" x14ac:dyDescent="0.35">
      <c r="A58" s="46">
        <v>46149</v>
      </c>
      <c r="B58" s="9">
        <v>745618</v>
      </c>
      <c r="C58" s="4" t="s">
        <v>128</v>
      </c>
      <c r="D58" s="4">
        <v>703780</v>
      </c>
      <c r="E58" s="5">
        <v>367.22</v>
      </c>
      <c r="F58" s="47" t="s">
        <v>73</v>
      </c>
    </row>
    <row r="59" spans="1:6" x14ac:dyDescent="0.35">
      <c r="A59" s="46">
        <v>46148</v>
      </c>
      <c r="B59" s="9">
        <v>745611</v>
      </c>
      <c r="C59" s="4" t="s">
        <v>53</v>
      </c>
      <c r="D59" s="4"/>
      <c r="E59" s="5">
        <v>1712.14</v>
      </c>
      <c r="F59" s="47" t="s">
        <v>54</v>
      </c>
    </row>
    <row r="60" spans="1:6" x14ac:dyDescent="0.35">
      <c r="A60" s="46">
        <v>46147</v>
      </c>
      <c r="B60" s="9">
        <v>745610</v>
      </c>
      <c r="C60" s="4" t="s">
        <v>149</v>
      </c>
      <c r="D60" s="4"/>
      <c r="E60" s="5">
        <v>250.57</v>
      </c>
      <c r="F60" s="47" t="s">
        <v>73</v>
      </c>
    </row>
    <row r="61" spans="1:6" x14ac:dyDescent="0.35">
      <c r="A61" s="46">
        <v>46147</v>
      </c>
      <c r="B61" s="9">
        <v>745609</v>
      </c>
      <c r="C61" s="4" t="s">
        <v>80</v>
      </c>
      <c r="D61" s="4"/>
      <c r="E61" s="5">
        <v>851.05</v>
      </c>
      <c r="F61" s="47" t="s">
        <v>56</v>
      </c>
    </row>
    <row r="62" spans="1:6" x14ac:dyDescent="0.35">
      <c r="A62" s="46">
        <v>46147</v>
      </c>
      <c r="B62" s="9">
        <v>745605</v>
      </c>
      <c r="C62" s="4" t="s">
        <v>96</v>
      </c>
      <c r="D62" s="4"/>
      <c r="E62" s="5">
        <v>605.39</v>
      </c>
      <c r="F62" s="47" t="s">
        <v>32</v>
      </c>
    </row>
    <row r="63" spans="1:6" x14ac:dyDescent="0.35">
      <c r="A63" s="46">
        <v>46135</v>
      </c>
      <c r="B63" s="9">
        <v>745590</v>
      </c>
      <c r="C63" s="4" t="s">
        <v>124</v>
      </c>
      <c r="D63" s="4"/>
      <c r="E63" s="5">
        <v>414.13</v>
      </c>
      <c r="F63" s="47" t="s">
        <v>32</v>
      </c>
    </row>
    <row r="64" spans="1:6" x14ac:dyDescent="0.35">
      <c r="A64" s="46">
        <v>46133</v>
      </c>
      <c r="B64" s="9">
        <v>745584</v>
      </c>
      <c r="C64" s="4" t="s">
        <v>9</v>
      </c>
      <c r="D64" s="4">
        <v>726269</v>
      </c>
      <c r="E64" s="5">
        <v>83.97</v>
      </c>
      <c r="F64" s="47" t="s">
        <v>9</v>
      </c>
    </row>
    <row r="65" spans="1:6" x14ac:dyDescent="0.35">
      <c r="A65" s="46">
        <v>46133</v>
      </c>
      <c r="B65" s="9">
        <v>745583</v>
      </c>
      <c r="C65" s="4" t="s">
        <v>6</v>
      </c>
      <c r="D65" s="4">
        <v>726269</v>
      </c>
      <c r="E65" s="5">
        <v>48.02</v>
      </c>
      <c r="F65" s="47" t="s">
        <v>10</v>
      </c>
    </row>
    <row r="66" spans="1:6" x14ac:dyDescent="0.35">
      <c r="A66" s="46">
        <v>46130</v>
      </c>
      <c r="B66" s="9">
        <v>745580</v>
      </c>
      <c r="C66" s="4" t="s">
        <v>93</v>
      </c>
      <c r="D66" s="4"/>
      <c r="E66" s="5">
        <v>624.45000000000005</v>
      </c>
      <c r="F66" s="47" t="s">
        <v>73</v>
      </c>
    </row>
    <row r="67" spans="1:6" x14ac:dyDescent="0.35">
      <c r="A67" s="46">
        <v>46128</v>
      </c>
      <c r="B67" s="9">
        <v>745576</v>
      </c>
      <c r="C67" s="4" t="s">
        <v>36</v>
      </c>
      <c r="D67" s="4"/>
      <c r="E67" s="5">
        <v>7572.06</v>
      </c>
      <c r="F67" s="47" t="s">
        <v>32</v>
      </c>
    </row>
    <row r="68" spans="1:6" x14ac:dyDescent="0.35">
      <c r="A68" s="46">
        <v>46128</v>
      </c>
      <c r="B68" s="9">
        <v>745575</v>
      </c>
      <c r="C68" s="4" t="s">
        <v>133</v>
      </c>
      <c r="D68" s="4"/>
      <c r="E68" s="5">
        <v>332.51</v>
      </c>
      <c r="F68" s="47" t="s">
        <v>113</v>
      </c>
    </row>
    <row r="69" spans="1:6" x14ac:dyDescent="0.35">
      <c r="A69" s="46">
        <v>46128</v>
      </c>
      <c r="B69" s="9">
        <v>745572</v>
      </c>
      <c r="C69" s="4" t="s">
        <v>140</v>
      </c>
      <c r="D69" s="4"/>
      <c r="E69" s="5">
        <v>299.29000000000002</v>
      </c>
      <c r="F69" s="47" t="s">
        <v>73</v>
      </c>
    </row>
    <row r="70" spans="1:6" x14ac:dyDescent="0.35">
      <c r="A70" s="46">
        <v>46127</v>
      </c>
      <c r="B70" s="9">
        <v>745566</v>
      </c>
      <c r="C70" s="4" t="s">
        <v>172</v>
      </c>
      <c r="D70" s="4"/>
      <c r="E70" s="5">
        <v>135.37</v>
      </c>
      <c r="F70" s="47" t="s">
        <v>30</v>
      </c>
    </row>
    <row r="71" spans="1:6" x14ac:dyDescent="0.35">
      <c r="A71" s="46">
        <v>46127</v>
      </c>
      <c r="B71" s="9">
        <v>745565</v>
      </c>
      <c r="C71" s="4" t="s">
        <v>61</v>
      </c>
      <c r="D71" s="4"/>
      <c r="E71" s="5">
        <v>1353.7</v>
      </c>
      <c r="F71" s="47" t="s">
        <v>30</v>
      </c>
    </row>
    <row r="72" spans="1:6" x14ac:dyDescent="0.35">
      <c r="A72" s="46">
        <v>46127</v>
      </c>
      <c r="B72" s="9">
        <v>745562</v>
      </c>
      <c r="C72" s="4" t="s">
        <v>68</v>
      </c>
      <c r="D72" s="4"/>
      <c r="E72" s="5">
        <v>1289.4000000000001</v>
      </c>
      <c r="F72" s="47" t="s">
        <v>30</v>
      </c>
    </row>
    <row r="73" spans="1:6" x14ac:dyDescent="0.35">
      <c r="A73" s="46">
        <v>46127</v>
      </c>
      <c r="B73" s="9">
        <v>745560</v>
      </c>
      <c r="C73" s="4" t="s">
        <v>40</v>
      </c>
      <c r="D73" s="4"/>
      <c r="E73" s="5">
        <v>5650.38</v>
      </c>
      <c r="F73" s="47" t="s">
        <v>30</v>
      </c>
    </row>
    <row r="74" spans="1:6" x14ac:dyDescent="0.35">
      <c r="A74" s="46">
        <v>46123</v>
      </c>
      <c r="B74" s="9">
        <v>745556</v>
      </c>
      <c r="C74" s="4" t="s">
        <v>185</v>
      </c>
      <c r="D74" s="4"/>
      <c r="E74" s="5">
        <v>67.31</v>
      </c>
      <c r="F74" s="47" t="s">
        <v>73</v>
      </c>
    </row>
    <row r="75" spans="1:6" x14ac:dyDescent="0.35">
      <c r="A75" s="46">
        <v>46122</v>
      </c>
      <c r="B75" s="9">
        <v>745551</v>
      </c>
      <c r="C75" s="4" t="s">
        <v>45</v>
      </c>
      <c r="D75" s="4"/>
      <c r="E75" s="5">
        <v>3068.89</v>
      </c>
      <c r="F75" s="47" t="s">
        <v>32</v>
      </c>
    </row>
    <row r="76" spans="1:6" x14ac:dyDescent="0.35">
      <c r="A76" s="46">
        <v>46102</v>
      </c>
      <c r="B76" s="9">
        <v>734648</v>
      </c>
      <c r="C76" s="4" t="s">
        <v>91</v>
      </c>
      <c r="D76" s="4"/>
      <c r="E76" s="5">
        <v>633.95000000000005</v>
      </c>
      <c r="F76" s="47" t="s">
        <v>56</v>
      </c>
    </row>
    <row r="77" spans="1:6" x14ac:dyDescent="0.35">
      <c r="A77" s="46">
        <v>46098</v>
      </c>
      <c r="B77" s="9">
        <v>734642</v>
      </c>
      <c r="C77" s="4" t="s">
        <v>104</v>
      </c>
      <c r="D77" s="4"/>
      <c r="E77" s="5">
        <v>523.41999999999996</v>
      </c>
      <c r="F77" s="47" t="s">
        <v>32</v>
      </c>
    </row>
    <row r="78" spans="1:6" x14ac:dyDescent="0.35">
      <c r="A78" s="46">
        <v>46097</v>
      </c>
      <c r="B78" s="9">
        <v>734636</v>
      </c>
      <c r="C78" s="4" t="s">
        <v>67</v>
      </c>
      <c r="D78" s="4"/>
      <c r="E78" s="5">
        <v>1316.01</v>
      </c>
      <c r="F78" s="47" t="s">
        <v>32</v>
      </c>
    </row>
    <row r="79" spans="1:6" x14ac:dyDescent="0.35">
      <c r="A79" s="46">
        <v>46093</v>
      </c>
      <c r="B79" s="9">
        <v>734631</v>
      </c>
      <c r="C79" s="4" t="s">
        <v>100</v>
      </c>
      <c r="D79" s="4"/>
      <c r="E79" s="5">
        <v>581.72</v>
      </c>
      <c r="F79" s="47" t="s">
        <v>60</v>
      </c>
    </row>
    <row r="80" spans="1:6" x14ac:dyDescent="0.35">
      <c r="A80" s="46">
        <v>46091</v>
      </c>
      <c r="B80" s="9">
        <v>734624</v>
      </c>
      <c r="C80" s="4" t="s">
        <v>138</v>
      </c>
      <c r="D80" s="4"/>
      <c r="E80" s="5">
        <v>301.8</v>
      </c>
      <c r="F80" s="47" t="s">
        <v>73</v>
      </c>
    </row>
    <row r="81" spans="1:6" x14ac:dyDescent="0.35">
      <c r="A81" s="46">
        <v>46088</v>
      </c>
      <c r="B81" s="9">
        <v>734619</v>
      </c>
      <c r="C81" s="4" t="s">
        <v>88</v>
      </c>
      <c r="D81" s="4"/>
      <c r="E81" s="5">
        <v>689.38</v>
      </c>
      <c r="F81" s="47" t="s">
        <v>32</v>
      </c>
    </row>
    <row r="82" spans="1:6" x14ac:dyDescent="0.35">
      <c r="A82" s="46">
        <v>46086</v>
      </c>
      <c r="B82" s="9">
        <v>734614</v>
      </c>
      <c r="C82" s="4" t="s">
        <v>120</v>
      </c>
      <c r="D82" s="4"/>
      <c r="E82" s="5">
        <v>37.58</v>
      </c>
      <c r="F82" s="47" t="s">
        <v>113</v>
      </c>
    </row>
    <row r="83" spans="1:6" x14ac:dyDescent="0.35">
      <c r="A83" s="46">
        <v>46086</v>
      </c>
      <c r="B83" s="9">
        <v>734613</v>
      </c>
      <c r="C83" s="4" t="s">
        <v>112</v>
      </c>
      <c r="D83" s="4"/>
      <c r="E83" s="5">
        <v>511.6</v>
      </c>
      <c r="F83" s="47" t="s">
        <v>113</v>
      </c>
    </row>
    <row r="84" spans="1:6" x14ac:dyDescent="0.35">
      <c r="A84" s="46">
        <v>46086</v>
      </c>
      <c r="B84" s="9">
        <v>734612</v>
      </c>
      <c r="C84" s="4" t="s">
        <v>132</v>
      </c>
      <c r="D84" s="4"/>
      <c r="E84" s="5">
        <v>339.31</v>
      </c>
      <c r="F84" s="47" t="s">
        <v>73</v>
      </c>
    </row>
    <row r="85" spans="1:6" x14ac:dyDescent="0.35">
      <c r="A85" s="46">
        <v>46084</v>
      </c>
      <c r="B85" s="9">
        <v>734607</v>
      </c>
      <c r="C85" s="4" t="s">
        <v>95</v>
      </c>
      <c r="D85" s="4"/>
      <c r="E85" s="5">
        <v>617.67999999999995</v>
      </c>
      <c r="F85" s="47" t="s">
        <v>8</v>
      </c>
    </row>
    <row r="86" spans="1:6" x14ac:dyDescent="0.35">
      <c r="A86" s="46">
        <v>46121</v>
      </c>
      <c r="B86" s="9">
        <v>734600</v>
      </c>
      <c r="C86" s="4" t="s">
        <v>194</v>
      </c>
      <c r="D86" s="4"/>
      <c r="E86" s="5">
        <v>43.33</v>
      </c>
      <c r="F86" s="47" t="s">
        <v>113</v>
      </c>
    </row>
    <row r="87" spans="1:6" x14ac:dyDescent="0.35">
      <c r="A87" s="46">
        <v>46116</v>
      </c>
      <c r="B87" s="9">
        <v>734591</v>
      </c>
      <c r="C87" s="4" t="s">
        <v>180</v>
      </c>
      <c r="D87" s="4"/>
      <c r="E87" s="5">
        <v>92.92</v>
      </c>
      <c r="F87" s="47" t="s">
        <v>73</v>
      </c>
    </row>
    <row r="88" spans="1:6" x14ac:dyDescent="0.35">
      <c r="A88" s="46">
        <v>46116</v>
      </c>
      <c r="B88" s="9">
        <v>734590</v>
      </c>
      <c r="C88" s="4" t="s">
        <v>188</v>
      </c>
      <c r="D88" s="4"/>
      <c r="E88" s="5">
        <v>58.1</v>
      </c>
      <c r="F88" s="47" t="s">
        <v>73</v>
      </c>
    </row>
    <row r="89" spans="1:6" x14ac:dyDescent="0.35">
      <c r="A89" s="46">
        <v>46114</v>
      </c>
      <c r="B89" s="9">
        <v>734586</v>
      </c>
      <c r="C89" s="4" t="s">
        <v>197</v>
      </c>
      <c r="D89" s="4"/>
      <c r="E89" s="5">
        <v>11.6</v>
      </c>
      <c r="F89" s="47" t="s">
        <v>113</v>
      </c>
    </row>
    <row r="90" spans="1:6" x14ac:dyDescent="0.35">
      <c r="A90" s="46">
        <v>46114</v>
      </c>
      <c r="B90" s="9">
        <v>734585</v>
      </c>
      <c r="C90" s="4" t="s">
        <v>186</v>
      </c>
      <c r="D90" s="4"/>
      <c r="E90" s="5">
        <v>65.209999999999994</v>
      </c>
      <c r="F90" s="47" t="s">
        <v>113</v>
      </c>
    </row>
    <row r="91" spans="1:6" x14ac:dyDescent="0.35">
      <c r="A91" s="46">
        <v>46107</v>
      </c>
      <c r="B91" s="9">
        <v>734567</v>
      </c>
      <c r="C91" s="4" t="s">
        <v>163</v>
      </c>
      <c r="D91" s="4"/>
      <c r="E91" s="5">
        <v>183.38</v>
      </c>
      <c r="F91" s="47" t="s">
        <v>8</v>
      </c>
    </row>
    <row r="92" spans="1:6" x14ac:dyDescent="0.35">
      <c r="A92" s="46">
        <v>46107</v>
      </c>
      <c r="B92" s="9">
        <v>734566</v>
      </c>
      <c r="C92" s="4" t="s">
        <v>114</v>
      </c>
      <c r="D92" s="4"/>
      <c r="E92" s="5">
        <v>503.44</v>
      </c>
      <c r="F92" s="47" t="s">
        <v>32</v>
      </c>
    </row>
    <row r="93" spans="1:6" x14ac:dyDescent="0.35">
      <c r="A93" s="46">
        <v>45011</v>
      </c>
      <c r="B93" s="9">
        <v>734565</v>
      </c>
      <c r="C93" s="4" t="s">
        <v>55</v>
      </c>
      <c r="D93" s="4"/>
      <c r="E93" s="5">
        <v>1642.76</v>
      </c>
      <c r="F93" s="47" t="s">
        <v>56</v>
      </c>
    </row>
    <row r="94" spans="1:6" x14ac:dyDescent="0.35">
      <c r="A94" s="46">
        <v>46074</v>
      </c>
      <c r="B94" s="9">
        <v>711584</v>
      </c>
      <c r="C94" s="4" t="s">
        <v>165</v>
      </c>
      <c r="D94" s="4"/>
      <c r="E94" s="5">
        <v>177.28</v>
      </c>
      <c r="F94" s="47" t="s">
        <v>56</v>
      </c>
    </row>
    <row r="95" spans="1:6" x14ac:dyDescent="0.35">
      <c r="A95" s="46">
        <v>46074</v>
      </c>
      <c r="B95" s="9">
        <v>711583</v>
      </c>
      <c r="C95" s="4" t="s">
        <v>162</v>
      </c>
      <c r="D95" s="4"/>
      <c r="E95" s="5">
        <v>184.87</v>
      </c>
      <c r="F95" s="47" t="s">
        <v>8</v>
      </c>
    </row>
    <row r="96" spans="1:6" x14ac:dyDescent="0.35">
      <c r="A96" s="46">
        <v>46074</v>
      </c>
      <c r="B96" s="9">
        <v>711580</v>
      </c>
      <c r="C96" s="4" t="s">
        <v>79</v>
      </c>
      <c r="D96" s="4"/>
      <c r="E96" s="5">
        <v>856.28</v>
      </c>
      <c r="F96" s="47" t="s">
        <v>8</v>
      </c>
    </row>
    <row r="97" spans="1:6" x14ac:dyDescent="0.35">
      <c r="A97" s="46">
        <v>46063</v>
      </c>
      <c r="B97" s="9">
        <v>711550</v>
      </c>
      <c r="C97" s="4" t="s">
        <v>139</v>
      </c>
      <c r="D97" s="4"/>
      <c r="E97" s="5">
        <v>300.33</v>
      </c>
      <c r="F97" s="47" t="s">
        <v>73</v>
      </c>
    </row>
    <row r="98" spans="1:6" x14ac:dyDescent="0.35">
      <c r="A98" s="46">
        <v>46060</v>
      </c>
      <c r="B98" s="9">
        <v>711548</v>
      </c>
      <c r="C98" s="4" t="s">
        <v>152</v>
      </c>
      <c r="D98" s="4"/>
      <c r="E98" s="5">
        <v>241.67</v>
      </c>
      <c r="F98" s="47" t="s">
        <v>32</v>
      </c>
    </row>
    <row r="99" spans="1:6" x14ac:dyDescent="0.35">
      <c r="A99" s="46">
        <v>46149</v>
      </c>
      <c r="B99" s="9">
        <v>711547</v>
      </c>
      <c r="C99" s="4" t="s">
        <v>59</v>
      </c>
      <c r="D99" s="4"/>
      <c r="E99" s="5">
        <v>1600.7</v>
      </c>
      <c r="F99" s="47" t="s">
        <v>60</v>
      </c>
    </row>
    <row r="100" spans="1:6" x14ac:dyDescent="0.35">
      <c r="A100" s="46">
        <v>46058</v>
      </c>
      <c r="B100" s="9">
        <v>711541</v>
      </c>
      <c r="C100" s="4" t="s">
        <v>81</v>
      </c>
      <c r="D100" s="4">
        <v>687368</v>
      </c>
      <c r="E100" s="5">
        <v>846.27</v>
      </c>
      <c r="F100" s="47" t="s">
        <v>73</v>
      </c>
    </row>
    <row r="101" spans="1:6" x14ac:dyDescent="0.35">
      <c r="A101" s="46">
        <v>46056</v>
      </c>
      <c r="B101" s="9">
        <v>711536</v>
      </c>
      <c r="C101" s="4" t="s">
        <v>167</v>
      </c>
      <c r="D101" s="4"/>
      <c r="E101" s="5">
        <v>170.52</v>
      </c>
      <c r="F101" s="47" t="s">
        <v>73</v>
      </c>
    </row>
    <row r="102" spans="1:6" x14ac:dyDescent="0.35">
      <c r="A102" s="46">
        <v>46056</v>
      </c>
      <c r="B102" s="9">
        <v>711535</v>
      </c>
      <c r="C102" s="4" t="s">
        <v>175</v>
      </c>
      <c r="D102" s="4"/>
      <c r="E102" s="5">
        <v>118.94</v>
      </c>
      <c r="F102" s="47" t="s">
        <v>73</v>
      </c>
    </row>
    <row r="103" spans="1:6" x14ac:dyDescent="0.35">
      <c r="A103" s="46">
        <v>46055</v>
      </c>
      <c r="B103" s="9">
        <v>711531</v>
      </c>
      <c r="C103" s="4" t="s">
        <v>82</v>
      </c>
      <c r="D103" s="4"/>
      <c r="E103" s="5">
        <v>837.01</v>
      </c>
      <c r="F103" s="47" t="s">
        <v>32</v>
      </c>
    </row>
    <row r="104" spans="1:6" x14ac:dyDescent="0.35">
      <c r="A104" s="46">
        <v>46053</v>
      </c>
      <c r="B104" s="9">
        <v>711530</v>
      </c>
      <c r="C104" s="4" t="s">
        <v>153</v>
      </c>
      <c r="D104" s="4"/>
      <c r="E104" s="5">
        <v>229.45</v>
      </c>
      <c r="F104" s="47" t="s">
        <v>73</v>
      </c>
    </row>
    <row r="105" spans="1:6" x14ac:dyDescent="0.35">
      <c r="A105" s="46">
        <v>46046</v>
      </c>
      <c r="B105" s="9">
        <v>711503</v>
      </c>
      <c r="C105" s="4" t="s">
        <v>120</v>
      </c>
      <c r="D105" s="4"/>
      <c r="E105" s="5">
        <v>445.88</v>
      </c>
      <c r="F105" s="47" t="s">
        <v>73</v>
      </c>
    </row>
    <row r="106" spans="1:6" x14ac:dyDescent="0.35">
      <c r="A106" s="46">
        <v>46210</v>
      </c>
      <c r="B106" s="9">
        <v>711260</v>
      </c>
      <c r="C106" s="4" t="s">
        <v>9</v>
      </c>
      <c r="D106" s="4">
        <v>715054</v>
      </c>
      <c r="E106" s="5">
        <v>27.99</v>
      </c>
      <c r="F106" s="47" t="s">
        <v>9</v>
      </c>
    </row>
    <row r="107" spans="1:6" x14ac:dyDescent="0.35">
      <c r="A107" s="46">
        <v>46024</v>
      </c>
      <c r="B107" s="9">
        <v>695294</v>
      </c>
      <c r="C107" s="4" t="s">
        <v>148</v>
      </c>
      <c r="D107" s="4"/>
      <c r="E107" s="5">
        <v>256.52</v>
      </c>
      <c r="F107" s="47" t="s">
        <v>56</v>
      </c>
    </row>
    <row r="108" spans="1:6" x14ac:dyDescent="0.35">
      <c r="A108" s="46">
        <v>46023</v>
      </c>
      <c r="B108" s="9">
        <v>695291</v>
      </c>
      <c r="C108" s="4" t="s">
        <v>50</v>
      </c>
      <c r="D108" s="4">
        <v>696433</v>
      </c>
      <c r="E108" s="5">
        <v>2089.79</v>
      </c>
      <c r="F108" s="47" t="s">
        <v>44</v>
      </c>
    </row>
    <row r="109" spans="1:6" x14ac:dyDescent="0.35">
      <c r="A109" s="46">
        <v>46022</v>
      </c>
      <c r="B109" s="9">
        <v>695286</v>
      </c>
      <c r="C109" s="4" t="s">
        <v>43</v>
      </c>
      <c r="D109" s="4"/>
      <c r="E109" s="5">
        <v>2283.92</v>
      </c>
      <c r="F109" s="47" t="s">
        <v>44</v>
      </c>
    </row>
    <row r="110" spans="1:6" x14ac:dyDescent="0.35">
      <c r="A110" s="46">
        <v>46022</v>
      </c>
      <c r="B110" s="9">
        <v>695285</v>
      </c>
      <c r="C110" s="4" t="s">
        <v>43</v>
      </c>
      <c r="D110" s="4"/>
      <c r="E110" s="5">
        <v>3220.5</v>
      </c>
      <c r="F110" s="47" t="s">
        <v>44</v>
      </c>
    </row>
    <row r="111" spans="1:6" x14ac:dyDescent="0.35">
      <c r="A111" s="46">
        <v>46022</v>
      </c>
      <c r="B111" s="9">
        <v>695273</v>
      </c>
      <c r="C111" s="4" t="s">
        <v>49</v>
      </c>
      <c r="D111" s="4"/>
      <c r="E111" s="5">
        <v>2226.0100000000002</v>
      </c>
      <c r="F111" s="47" t="s">
        <v>44</v>
      </c>
    </row>
    <row r="112" spans="1:6" x14ac:dyDescent="0.35">
      <c r="A112" s="46">
        <v>46022</v>
      </c>
      <c r="B112" s="9">
        <v>695272</v>
      </c>
      <c r="C112" s="4" t="s">
        <v>105</v>
      </c>
      <c r="D112" s="4">
        <v>696427</v>
      </c>
      <c r="E112" s="5">
        <v>521.38</v>
      </c>
      <c r="F112" s="47" t="s">
        <v>44</v>
      </c>
    </row>
    <row r="113" spans="1:6" x14ac:dyDescent="0.35">
      <c r="A113" s="46">
        <v>46021</v>
      </c>
      <c r="B113" s="9">
        <v>695262</v>
      </c>
      <c r="C113" s="4" t="s">
        <v>62</v>
      </c>
      <c r="D113" s="4"/>
      <c r="E113" s="5">
        <v>1344.47</v>
      </c>
      <c r="F113" s="47" t="s">
        <v>63</v>
      </c>
    </row>
    <row r="114" spans="1:6" x14ac:dyDescent="0.35">
      <c r="A114" s="46">
        <v>46021</v>
      </c>
      <c r="B114" s="9">
        <v>695261</v>
      </c>
      <c r="C114" s="4" t="s">
        <v>116</v>
      </c>
      <c r="D114" s="4"/>
      <c r="E114" s="5">
        <v>485.35</v>
      </c>
      <c r="F114" s="47" t="s">
        <v>73</v>
      </c>
    </row>
    <row r="115" spans="1:6" x14ac:dyDescent="0.35">
      <c r="A115" s="46">
        <v>46020</v>
      </c>
      <c r="B115" s="9">
        <v>695256</v>
      </c>
      <c r="C115" s="4" t="s">
        <v>57</v>
      </c>
      <c r="D115" s="4"/>
      <c r="E115" s="5">
        <v>1632.77</v>
      </c>
      <c r="F115" s="47" t="s">
        <v>58</v>
      </c>
    </row>
    <row r="116" spans="1:6" x14ac:dyDescent="0.35">
      <c r="A116" s="46">
        <v>46020</v>
      </c>
      <c r="B116" s="9">
        <v>695254</v>
      </c>
      <c r="C116" s="4" t="s">
        <v>57</v>
      </c>
      <c r="D116" s="4"/>
      <c r="E116" s="5">
        <v>979.66</v>
      </c>
      <c r="F116" s="47" t="s">
        <v>58</v>
      </c>
    </row>
    <row r="117" spans="1:6" x14ac:dyDescent="0.35">
      <c r="A117" s="46">
        <v>46020</v>
      </c>
      <c r="B117" s="9">
        <v>695253</v>
      </c>
      <c r="C117" s="4" t="s">
        <v>57</v>
      </c>
      <c r="D117" s="4"/>
      <c r="E117" s="5">
        <v>1469.49</v>
      </c>
      <c r="F117" s="47" t="s">
        <v>58</v>
      </c>
    </row>
    <row r="118" spans="1:6" x14ac:dyDescent="0.35">
      <c r="A118" s="46">
        <v>46015</v>
      </c>
      <c r="B118" s="9">
        <v>691349</v>
      </c>
      <c r="C118" s="4" t="s">
        <v>122</v>
      </c>
      <c r="D118" s="4"/>
      <c r="E118" s="5">
        <v>425.1</v>
      </c>
      <c r="F118" s="47" t="s">
        <v>32</v>
      </c>
    </row>
    <row r="119" spans="1:6" x14ac:dyDescent="0.35">
      <c r="A119" s="46">
        <v>46015</v>
      </c>
      <c r="B119" s="9">
        <v>691348</v>
      </c>
      <c r="C119" s="4" t="s">
        <v>117</v>
      </c>
      <c r="D119" s="4"/>
      <c r="E119" s="5">
        <v>483.93</v>
      </c>
      <c r="F119" s="47" t="s">
        <v>32</v>
      </c>
    </row>
    <row r="120" spans="1:6" x14ac:dyDescent="0.35">
      <c r="A120" s="46">
        <v>46015</v>
      </c>
      <c r="B120" s="9">
        <v>691347</v>
      </c>
      <c r="C120" s="4" t="s">
        <v>117</v>
      </c>
      <c r="D120" s="4"/>
      <c r="E120" s="5">
        <v>483.93</v>
      </c>
      <c r="F120" s="47" t="s">
        <v>32</v>
      </c>
    </row>
    <row r="121" spans="1:6" x14ac:dyDescent="0.35">
      <c r="A121" s="46">
        <v>46015</v>
      </c>
      <c r="B121" s="9">
        <v>691346</v>
      </c>
      <c r="C121" s="4" t="s">
        <v>99</v>
      </c>
      <c r="D121" s="4"/>
      <c r="E121" s="5">
        <v>586.65</v>
      </c>
      <c r="F121" s="47" t="s">
        <v>32</v>
      </c>
    </row>
    <row r="122" spans="1:6" x14ac:dyDescent="0.35">
      <c r="A122" s="46">
        <v>46015</v>
      </c>
      <c r="B122" s="9">
        <v>691345</v>
      </c>
      <c r="C122" s="4" t="s">
        <v>51</v>
      </c>
      <c r="D122" s="4"/>
      <c r="E122" s="5">
        <v>1801.81</v>
      </c>
      <c r="F122" s="47" t="s">
        <v>32</v>
      </c>
    </row>
    <row r="123" spans="1:6" x14ac:dyDescent="0.35">
      <c r="A123" s="46">
        <v>46015</v>
      </c>
      <c r="B123" s="9">
        <v>691344</v>
      </c>
      <c r="C123" s="4" t="s">
        <v>72</v>
      </c>
      <c r="D123" s="4"/>
      <c r="E123" s="5">
        <v>964.93</v>
      </c>
      <c r="F123" s="47" t="s">
        <v>32</v>
      </c>
    </row>
    <row r="124" spans="1:6" x14ac:dyDescent="0.35">
      <c r="A124" s="46">
        <v>46015</v>
      </c>
      <c r="B124" s="9">
        <v>691343</v>
      </c>
      <c r="C124" s="4" t="s">
        <v>146</v>
      </c>
      <c r="D124" s="4"/>
      <c r="E124" s="5">
        <v>265.55</v>
      </c>
      <c r="F124" s="47" t="s">
        <v>32</v>
      </c>
    </row>
    <row r="125" spans="1:6" x14ac:dyDescent="0.35">
      <c r="A125" s="46">
        <v>46015</v>
      </c>
      <c r="B125" s="9">
        <v>691342</v>
      </c>
      <c r="C125" s="4" t="s">
        <v>146</v>
      </c>
      <c r="D125" s="4"/>
      <c r="E125" s="5">
        <v>265.55</v>
      </c>
      <c r="F125" s="47" t="s">
        <v>32</v>
      </c>
    </row>
    <row r="126" spans="1:6" x14ac:dyDescent="0.35">
      <c r="A126" s="46">
        <v>46015</v>
      </c>
      <c r="B126" s="9">
        <v>691341</v>
      </c>
      <c r="C126" s="4" t="s">
        <v>31</v>
      </c>
      <c r="D126" s="4">
        <v>687355</v>
      </c>
      <c r="E126" s="5">
        <v>9784.11</v>
      </c>
      <c r="F126" s="47" t="s">
        <v>32</v>
      </c>
    </row>
    <row r="127" spans="1:6" x14ac:dyDescent="0.35">
      <c r="A127" s="46">
        <v>46011</v>
      </c>
      <c r="B127" s="9">
        <v>691334</v>
      </c>
      <c r="C127" s="4" t="s">
        <v>182</v>
      </c>
      <c r="D127" s="4"/>
      <c r="E127" s="5">
        <v>80.09</v>
      </c>
      <c r="F127" s="47" t="s">
        <v>113</v>
      </c>
    </row>
    <row r="128" spans="1:6" x14ac:dyDescent="0.35">
      <c r="A128" s="46">
        <v>46011</v>
      </c>
      <c r="B128" s="9">
        <v>691333</v>
      </c>
      <c r="C128" s="4" t="s">
        <v>190</v>
      </c>
      <c r="D128" s="4"/>
      <c r="E128" s="5">
        <v>55.43</v>
      </c>
      <c r="F128" s="47" t="s">
        <v>113</v>
      </c>
    </row>
    <row r="129" spans="1:6" x14ac:dyDescent="0.35">
      <c r="A129" s="46">
        <v>46007</v>
      </c>
      <c r="B129" s="9">
        <v>691323</v>
      </c>
      <c r="C129" s="4" t="s">
        <v>196</v>
      </c>
      <c r="D129" s="4"/>
      <c r="E129" s="5">
        <v>38.36</v>
      </c>
      <c r="F129" s="47" t="s">
        <v>113</v>
      </c>
    </row>
    <row r="130" spans="1:6" x14ac:dyDescent="0.35">
      <c r="A130" s="46">
        <v>46007</v>
      </c>
      <c r="B130" s="9">
        <v>691322</v>
      </c>
      <c r="C130" s="4" t="s">
        <v>52</v>
      </c>
      <c r="D130" s="4"/>
      <c r="E130" s="5">
        <v>1775.87</v>
      </c>
      <c r="F130" s="47" t="s">
        <v>32</v>
      </c>
    </row>
    <row r="131" spans="1:6" x14ac:dyDescent="0.35">
      <c r="A131" s="46">
        <v>46007</v>
      </c>
      <c r="B131" s="9">
        <v>691320</v>
      </c>
      <c r="C131" s="4" t="s">
        <v>87</v>
      </c>
      <c r="D131" s="4"/>
      <c r="E131" s="5">
        <v>702.13</v>
      </c>
      <c r="F131" s="47" t="s">
        <v>73</v>
      </c>
    </row>
    <row r="132" spans="1:6" x14ac:dyDescent="0.35">
      <c r="A132" s="46">
        <v>46000</v>
      </c>
      <c r="B132" s="9">
        <v>691299</v>
      </c>
      <c r="C132" s="4" t="s">
        <v>155</v>
      </c>
      <c r="D132" s="4"/>
      <c r="E132" s="5">
        <v>216.15</v>
      </c>
      <c r="F132" s="47" t="s">
        <v>113</v>
      </c>
    </row>
    <row r="133" spans="1:6" x14ac:dyDescent="0.35">
      <c r="A133" s="46">
        <v>45993</v>
      </c>
      <c r="B133" s="9">
        <v>691283</v>
      </c>
      <c r="C133" s="4" t="s">
        <v>193</v>
      </c>
      <c r="D133" s="4"/>
      <c r="E133" s="5">
        <v>43.59</v>
      </c>
      <c r="F133" s="47" t="s">
        <v>113</v>
      </c>
    </row>
    <row r="134" spans="1:6" x14ac:dyDescent="0.35">
      <c r="A134" s="46">
        <v>45992</v>
      </c>
      <c r="B134" s="9">
        <v>691279</v>
      </c>
      <c r="C134" s="4" t="s">
        <v>23</v>
      </c>
      <c r="D134" s="4">
        <v>701797</v>
      </c>
      <c r="E134" s="5">
        <v>30783.11</v>
      </c>
      <c r="F134" s="47" t="s">
        <v>24</v>
      </c>
    </row>
    <row r="135" spans="1:6" x14ac:dyDescent="0.35">
      <c r="A135" s="46">
        <v>45988</v>
      </c>
      <c r="B135" s="9">
        <v>691269</v>
      </c>
      <c r="C135" s="4" t="s">
        <v>27</v>
      </c>
      <c r="D135" s="4"/>
      <c r="E135" s="5">
        <v>16319.3</v>
      </c>
      <c r="F135" s="47" t="s">
        <v>28</v>
      </c>
    </row>
    <row r="136" spans="1:6" x14ac:dyDescent="0.35">
      <c r="A136" s="46">
        <v>45985</v>
      </c>
      <c r="B136" s="9">
        <v>691264</v>
      </c>
      <c r="C136" s="4" t="s">
        <v>178</v>
      </c>
      <c r="D136" s="4"/>
      <c r="E136" s="5">
        <v>103.64</v>
      </c>
      <c r="F136" s="47" t="s">
        <v>113</v>
      </c>
    </row>
    <row r="137" spans="1:6" x14ac:dyDescent="0.35">
      <c r="A137" s="46">
        <v>45979</v>
      </c>
      <c r="B137" s="9">
        <v>691255</v>
      </c>
      <c r="C137" s="4" t="s">
        <v>142</v>
      </c>
      <c r="D137" s="4"/>
      <c r="E137" s="5">
        <v>274.98</v>
      </c>
      <c r="F137" s="47" t="s">
        <v>111</v>
      </c>
    </row>
    <row r="138" spans="1:6" x14ac:dyDescent="0.35">
      <c r="A138" s="46">
        <v>46035</v>
      </c>
      <c r="B138" s="9">
        <v>688675</v>
      </c>
      <c r="C138" s="4" t="s">
        <v>134</v>
      </c>
      <c r="D138" s="4"/>
      <c r="E138" s="5">
        <v>326.45999999999998</v>
      </c>
      <c r="F138" s="47" t="s">
        <v>73</v>
      </c>
    </row>
    <row r="139" spans="1:6" x14ac:dyDescent="0.35">
      <c r="A139" s="46">
        <v>46035</v>
      </c>
      <c r="B139" s="9">
        <v>688674</v>
      </c>
      <c r="C139" s="4" t="s">
        <v>98</v>
      </c>
      <c r="D139" s="4"/>
      <c r="E139" s="5">
        <v>590.09</v>
      </c>
      <c r="F139" s="47" t="s">
        <v>73</v>
      </c>
    </row>
    <row r="140" spans="1:6" x14ac:dyDescent="0.35">
      <c r="A140" s="46">
        <v>46035</v>
      </c>
      <c r="B140" s="9">
        <v>688673</v>
      </c>
      <c r="C140" s="4" t="s">
        <v>144</v>
      </c>
      <c r="D140" s="4"/>
      <c r="E140" s="5">
        <v>266.27999999999997</v>
      </c>
      <c r="F140" s="47" t="s">
        <v>145</v>
      </c>
    </row>
    <row r="141" spans="1:6" x14ac:dyDescent="0.35">
      <c r="A141" s="46">
        <v>46035</v>
      </c>
      <c r="B141" s="9">
        <v>688672</v>
      </c>
      <c r="C141" s="4" t="s">
        <v>102</v>
      </c>
      <c r="D141" s="4"/>
      <c r="E141" s="5">
        <v>560.87</v>
      </c>
      <c r="F141" s="47" t="s">
        <v>145</v>
      </c>
    </row>
    <row r="142" spans="1:6" x14ac:dyDescent="0.35">
      <c r="A142" s="46">
        <v>46030</v>
      </c>
      <c r="B142" s="9">
        <v>688664</v>
      </c>
      <c r="C142" s="4" t="s">
        <v>195</v>
      </c>
      <c r="D142" s="4">
        <v>656436</v>
      </c>
      <c r="E142" s="5">
        <v>40</v>
      </c>
      <c r="F142" s="47" t="s">
        <v>113</v>
      </c>
    </row>
    <row r="143" spans="1:6" x14ac:dyDescent="0.35">
      <c r="A143" s="46">
        <v>46030</v>
      </c>
      <c r="B143" s="9">
        <v>688663</v>
      </c>
      <c r="C143" s="4" t="s">
        <v>166</v>
      </c>
      <c r="D143" s="4">
        <v>656436</v>
      </c>
      <c r="E143" s="5">
        <v>171.67</v>
      </c>
      <c r="F143" s="47" t="s">
        <v>73</v>
      </c>
    </row>
    <row r="144" spans="1:6" x14ac:dyDescent="0.35">
      <c r="A144" s="46">
        <v>45955</v>
      </c>
      <c r="B144" s="9">
        <v>663243</v>
      </c>
      <c r="C144" s="4" t="s">
        <v>127</v>
      </c>
      <c r="D144" s="4">
        <v>693748</v>
      </c>
      <c r="E144" s="5">
        <v>382.18</v>
      </c>
      <c r="F144" s="47" t="s">
        <v>8</v>
      </c>
    </row>
    <row r="145" spans="1:6" x14ac:dyDescent="0.35">
      <c r="A145" s="46">
        <v>45953</v>
      </c>
      <c r="B145" s="9">
        <v>663238</v>
      </c>
      <c r="C145" s="4" t="s">
        <v>71</v>
      </c>
      <c r="D145" s="4"/>
      <c r="E145" s="5">
        <v>1078.69</v>
      </c>
      <c r="F145" s="47" t="s">
        <v>73</v>
      </c>
    </row>
    <row r="146" spans="1:6" x14ac:dyDescent="0.35">
      <c r="A146" s="46">
        <v>45976</v>
      </c>
      <c r="B146" s="9">
        <v>663197</v>
      </c>
      <c r="C146" s="4" t="s">
        <v>184</v>
      </c>
      <c r="D146" s="4"/>
      <c r="E146" s="5">
        <v>70.349999999999994</v>
      </c>
      <c r="F146" s="47" t="s">
        <v>73</v>
      </c>
    </row>
    <row r="147" spans="1:6" x14ac:dyDescent="0.35">
      <c r="A147" s="46">
        <v>45967</v>
      </c>
      <c r="B147" s="9">
        <v>663180</v>
      </c>
      <c r="C147" s="4" t="s">
        <v>48</v>
      </c>
      <c r="D147" s="4">
        <v>693748</v>
      </c>
      <c r="E147" s="5">
        <v>2240.85</v>
      </c>
      <c r="F147" s="47" t="s">
        <v>32</v>
      </c>
    </row>
    <row r="148" spans="1:6" x14ac:dyDescent="0.35">
      <c r="A148" s="46">
        <v>45962</v>
      </c>
      <c r="B148" s="9">
        <v>663170</v>
      </c>
      <c r="C148" s="4" t="s">
        <v>183</v>
      </c>
      <c r="D148" s="4"/>
      <c r="E148" s="5">
        <v>74.22</v>
      </c>
      <c r="F148" s="47" t="s">
        <v>73</v>
      </c>
    </row>
    <row r="149" spans="1:6" x14ac:dyDescent="0.35">
      <c r="A149" s="46">
        <v>45962</v>
      </c>
      <c r="B149" s="9">
        <v>663169</v>
      </c>
      <c r="C149" s="4" t="s">
        <v>108</v>
      </c>
      <c r="D149" s="4"/>
      <c r="E149" s="5">
        <v>517.24</v>
      </c>
      <c r="F149" s="47" t="s">
        <v>73</v>
      </c>
    </row>
    <row r="150" spans="1:6" x14ac:dyDescent="0.35">
      <c r="A150" s="46">
        <v>45991</v>
      </c>
      <c r="B150" s="9">
        <v>663163</v>
      </c>
      <c r="C150" s="4" t="s">
        <v>151</v>
      </c>
      <c r="D150" s="4"/>
      <c r="E150" s="5">
        <v>248.09</v>
      </c>
      <c r="F150" s="47" t="s">
        <v>73</v>
      </c>
    </row>
    <row r="151" spans="1:6" x14ac:dyDescent="0.35">
      <c r="A151" s="46">
        <v>663157</v>
      </c>
      <c r="B151" s="9">
        <v>663157</v>
      </c>
      <c r="C151" s="4" t="s">
        <v>71</v>
      </c>
      <c r="D151" s="4"/>
      <c r="E151" s="5">
        <v>1078.69</v>
      </c>
      <c r="F151" s="47" t="s">
        <v>8</v>
      </c>
    </row>
    <row r="152" spans="1:6" x14ac:dyDescent="0.35">
      <c r="A152" s="46">
        <v>45958</v>
      </c>
      <c r="B152" s="9">
        <v>663156</v>
      </c>
      <c r="C152" s="4" t="s">
        <v>191</v>
      </c>
      <c r="D152" s="4"/>
      <c r="E152" s="5">
        <v>54.15</v>
      </c>
      <c r="F152" s="47" t="s">
        <v>73</v>
      </c>
    </row>
    <row r="153" spans="1:6" x14ac:dyDescent="0.35">
      <c r="A153" s="46">
        <v>45916</v>
      </c>
      <c r="B153" s="9">
        <v>644921</v>
      </c>
      <c r="C153" s="4" t="s">
        <v>192</v>
      </c>
      <c r="D153" s="4"/>
      <c r="E153" s="5">
        <v>49.15</v>
      </c>
      <c r="F153" s="47" t="s">
        <v>113</v>
      </c>
    </row>
    <row r="154" spans="1:6" x14ac:dyDescent="0.35">
      <c r="A154" s="46">
        <v>45915</v>
      </c>
      <c r="B154" s="9">
        <v>644915</v>
      </c>
      <c r="C154" s="4" t="s">
        <v>34</v>
      </c>
      <c r="D154" s="4"/>
      <c r="E154" s="5">
        <v>8728.5</v>
      </c>
      <c r="F154" s="47" t="s">
        <v>22</v>
      </c>
    </row>
    <row r="155" spans="1:6" x14ac:dyDescent="0.35">
      <c r="A155" s="46">
        <v>45913</v>
      </c>
      <c r="B155" s="9">
        <v>644911</v>
      </c>
      <c r="C155" s="4" t="s">
        <v>65</v>
      </c>
      <c r="D155" s="4"/>
      <c r="E155" s="5">
        <v>1321.97</v>
      </c>
      <c r="F155" s="47" t="s">
        <v>66</v>
      </c>
    </row>
    <row r="156" spans="1:6" x14ac:dyDescent="0.35">
      <c r="A156" s="46">
        <v>45893</v>
      </c>
      <c r="B156" s="9">
        <v>644858</v>
      </c>
      <c r="C156" s="4" t="s">
        <v>103</v>
      </c>
      <c r="D156" s="4"/>
      <c r="E156" s="5">
        <v>548.99</v>
      </c>
      <c r="F156" s="47" t="s">
        <v>8</v>
      </c>
    </row>
    <row r="157" spans="1:6" x14ac:dyDescent="0.35">
      <c r="A157" s="46">
        <v>45893</v>
      </c>
      <c r="B157" s="9">
        <v>644857</v>
      </c>
      <c r="C157" s="4" t="s">
        <v>174</v>
      </c>
      <c r="D157" s="4"/>
      <c r="E157" s="5">
        <v>122.39</v>
      </c>
      <c r="F157" s="47" t="s">
        <v>73</v>
      </c>
    </row>
    <row r="158" spans="1:6" x14ac:dyDescent="0.35">
      <c r="A158" s="46">
        <v>45890</v>
      </c>
      <c r="B158" s="9">
        <v>630499</v>
      </c>
      <c r="C158" s="4" t="s">
        <v>202</v>
      </c>
      <c r="D158" s="4"/>
      <c r="E158" s="5">
        <v>9.3699999999999992</v>
      </c>
      <c r="F158" s="47" t="s">
        <v>73</v>
      </c>
    </row>
    <row r="159" spans="1:6" x14ac:dyDescent="0.35">
      <c r="A159" s="46">
        <v>45890</v>
      </c>
      <c r="B159" s="9">
        <v>630498</v>
      </c>
      <c r="C159" s="4" t="s">
        <v>137</v>
      </c>
      <c r="D159" s="4"/>
      <c r="E159" s="5">
        <v>306.75</v>
      </c>
      <c r="F159" s="47" t="s">
        <v>73</v>
      </c>
    </row>
    <row r="160" spans="1:6" x14ac:dyDescent="0.35">
      <c r="A160" s="46">
        <v>45882</v>
      </c>
      <c r="B160" s="9">
        <v>630481</v>
      </c>
      <c r="C160" s="4" t="s">
        <v>83</v>
      </c>
      <c r="D160" s="4"/>
      <c r="E160" s="5">
        <v>824.52</v>
      </c>
      <c r="F160" s="47" t="s">
        <v>32</v>
      </c>
    </row>
    <row r="161" spans="1:6" x14ac:dyDescent="0.35">
      <c r="A161" s="46">
        <v>45836</v>
      </c>
      <c r="B161" s="9">
        <v>598984</v>
      </c>
      <c r="C161" s="4" t="s">
        <v>135</v>
      </c>
      <c r="D161" s="4"/>
      <c r="E161" s="5">
        <v>325.92</v>
      </c>
      <c r="F161" s="47" t="s">
        <v>73</v>
      </c>
    </row>
    <row r="162" spans="1:6" x14ac:dyDescent="0.35">
      <c r="A162" s="46">
        <v>45824</v>
      </c>
      <c r="B162" s="9">
        <v>598955</v>
      </c>
      <c r="C162" s="4" t="s">
        <v>77</v>
      </c>
      <c r="D162" s="4"/>
      <c r="E162" s="5">
        <v>330.6</v>
      </c>
      <c r="F162" s="47" t="s">
        <v>78</v>
      </c>
    </row>
    <row r="163" spans="1:6" x14ac:dyDescent="0.35">
      <c r="A163" s="46">
        <v>45824</v>
      </c>
      <c r="B163" s="9">
        <v>598954</v>
      </c>
      <c r="C163" s="4" t="s">
        <v>84</v>
      </c>
      <c r="D163" s="4"/>
      <c r="E163" s="5">
        <v>769.35</v>
      </c>
      <c r="F163" s="47" t="s">
        <v>85</v>
      </c>
    </row>
    <row r="164" spans="1:6" x14ac:dyDescent="0.35">
      <c r="A164" s="46">
        <v>45824</v>
      </c>
      <c r="B164" s="9">
        <v>598953</v>
      </c>
      <c r="C164" s="4" t="s">
        <v>176</v>
      </c>
      <c r="D164" s="4"/>
      <c r="E164" s="5">
        <v>110.08</v>
      </c>
      <c r="F164" s="47" t="s">
        <v>85</v>
      </c>
    </row>
    <row r="165" spans="1:6" x14ac:dyDescent="0.35">
      <c r="A165" s="46">
        <v>45803</v>
      </c>
      <c r="B165" s="9">
        <v>598914</v>
      </c>
      <c r="C165" s="4" t="s">
        <v>110</v>
      </c>
      <c r="D165" s="4"/>
      <c r="E165" s="5">
        <v>514.22</v>
      </c>
      <c r="F165" s="47" t="s">
        <v>111</v>
      </c>
    </row>
    <row r="166" spans="1:6" x14ac:dyDescent="0.35">
      <c r="A166" s="46">
        <v>45799</v>
      </c>
      <c r="B166" s="9">
        <v>598907</v>
      </c>
      <c r="C166" s="4" t="s">
        <v>159</v>
      </c>
      <c r="D166" s="4"/>
      <c r="E166" s="5">
        <v>202.95</v>
      </c>
      <c r="F166" s="47" t="s">
        <v>160</v>
      </c>
    </row>
    <row r="167" spans="1:6" x14ac:dyDescent="0.35">
      <c r="A167" s="46">
        <v>45764</v>
      </c>
      <c r="B167" s="9">
        <v>579176</v>
      </c>
      <c r="C167" s="4" t="s">
        <v>119</v>
      </c>
      <c r="D167" s="4"/>
      <c r="E167" s="5">
        <v>472.77</v>
      </c>
      <c r="F167" s="47" t="s">
        <v>54</v>
      </c>
    </row>
    <row r="168" spans="1:6" x14ac:dyDescent="0.35">
      <c r="A168" s="46">
        <v>45722</v>
      </c>
      <c r="B168" s="9">
        <v>551120</v>
      </c>
      <c r="C168" s="4" t="s">
        <v>9</v>
      </c>
      <c r="D168" s="4">
        <v>676321</v>
      </c>
      <c r="E168" s="5">
        <v>14</v>
      </c>
      <c r="F168" s="47" t="s">
        <v>9</v>
      </c>
    </row>
    <row r="169" spans="1:6" x14ac:dyDescent="0.35">
      <c r="A169" s="46">
        <v>45734</v>
      </c>
      <c r="B169" s="9">
        <v>551058</v>
      </c>
      <c r="C169" s="4" t="s">
        <v>198</v>
      </c>
      <c r="D169" s="4"/>
      <c r="E169" s="5">
        <v>10.81</v>
      </c>
      <c r="F169" s="47" t="s">
        <v>113</v>
      </c>
    </row>
    <row r="170" spans="1:6" x14ac:dyDescent="0.35">
      <c r="A170" s="53">
        <v>45701</v>
      </c>
      <c r="B170" s="54">
        <v>548982</v>
      </c>
      <c r="C170" s="55" t="s">
        <v>168</v>
      </c>
      <c r="D170" s="55"/>
      <c r="E170" s="56">
        <v>164.19</v>
      </c>
      <c r="F170" s="44" t="s">
        <v>73</v>
      </c>
    </row>
  </sheetData>
  <mergeCells count="1">
    <mergeCell ref="A1:F1"/>
  </mergeCells>
  <conditionalFormatting sqref="E2:F2">
    <cfRule type="cellIs" dxfId="13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15E0-A2C4-41EE-9792-453DB8326812}">
  <sheetPr>
    <pageSetUpPr fitToPage="1"/>
  </sheetPr>
  <dimension ref="A1:M81"/>
  <sheetViews>
    <sheetView workbookViewId="0">
      <pane xSplit="2" ySplit="2" topLeftCell="C16" activePane="bottomRight" state="frozen"/>
      <selection pane="topRight" activeCell="C1" sqref="C1"/>
      <selection pane="bottomLeft" activeCell="A3" sqref="A3"/>
      <selection pane="bottomRight" activeCell="A2" sqref="A2:M81"/>
    </sheetView>
  </sheetViews>
  <sheetFormatPr defaultColWidth="8.7265625" defaultRowHeight="14.5" x14ac:dyDescent="0.35"/>
  <cols>
    <col min="1" max="1" width="10.90625" style="42" customWidth="1"/>
    <col min="2" max="2" width="7.6328125" style="14" customWidth="1"/>
    <col min="3" max="3" width="22.7265625" style="14" customWidth="1"/>
    <col min="4" max="4" width="8.08984375" style="14" customWidth="1"/>
    <col min="5" max="5" width="9.54296875" style="43" customWidth="1"/>
    <col min="6" max="6" width="19.26953125" style="14" customWidth="1"/>
    <col min="7" max="7" width="8.7265625" style="14"/>
    <col min="8" max="8" width="10.453125" style="14" bestFit="1" customWidth="1"/>
    <col min="9" max="9" width="17.453125" style="14" customWidth="1"/>
    <col min="10" max="10" width="8.7265625" style="14"/>
    <col min="11" max="11" width="10.453125" style="14" bestFit="1" customWidth="1"/>
    <col min="12" max="12" width="10.453125" style="14" customWidth="1"/>
    <col min="13" max="13" width="18.81640625" style="14" customWidth="1"/>
    <col min="14" max="16384" width="8.7265625" style="14"/>
  </cols>
  <sheetData>
    <row r="1" spans="1:13" x14ac:dyDescent="0.35">
      <c r="A1" s="13" t="s">
        <v>205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2" x14ac:dyDescent="0.35">
      <c r="A2" s="15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6" t="s">
        <v>5</v>
      </c>
      <c r="G2" s="16" t="s">
        <v>206</v>
      </c>
      <c r="H2" s="16" t="s">
        <v>207</v>
      </c>
      <c r="I2" s="16" t="s">
        <v>208</v>
      </c>
      <c r="J2" s="16" t="s">
        <v>209</v>
      </c>
      <c r="K2" s="16" t="s">
        <v>210</v>
      </c>
      <c r="L2" s="18" t="s">
        <v>211</v>
      </c>
      <c r="M2" s="18" t="s">
        <v>212</v>
      </c>
    </row>
    <row r="3" spans="1:13" ht="30.5" customHeight="1" x14ac:dyDescent="0.35">
      <c r="A3" s="19">
        <v>46133</v>
      </c>
      <c r="B3" s="20">
        <v>745584</v>
      </c>
      <c r="C3" s="21" t="s">
        <v>9</v>
      </c>
      <c r="D3" s="22">
        <v>726269</v>
      </c>
      <c r="E3" s="23">
        <v>83.97</v>
      </c>
      <c r="F3" s="24" t="s">
        <v>9</v>
      </c>
      <c r="G3" s="25" t="s">
        <v>213</v>
      </c>
      <c r="H3" s="26">
        <v>46211</v>
      </c>
      <c r="I3" s="25" t="s">
        <v>214</v>
      </c>
      <c r="J3" s="25" t="s">
        <v>215</v>
      </c>
      <c r="K3" s="26">
        <v>46211</v>
      </c>
      <c r="L3" s="27" t="s">
        <v>216</v>
      </c>
      <c r="M3" s="27" t="s">
        <v>217</v>
      </c>
    </row>
    <row r="4" spans="1:13" ht="43.5" x14ac:dyDescent="0.35">
      <c r="A4" s="19">
        <v>45992</v>
      </c>
      <c r="B4" s="20">
        <v>691279</v>
      </c>
      <c r="C4" s="21" t="s">
        <v>23</v>
      </c>
      <c r="D4" s="22">
        <v>701797</v>
      </c>
      <c r="E4" s="23">
        <v>30783.11</v>
      </c>
      <c r="F4" s="24" t="s">
        <v>218</v>
      </c>
      <c r="G4" s="25" t="s">
        <v>219</v>
      </c>
      <c r="H4" s="26">
        <v>46211</v>
      </c>
      <c r="I4" s="25" t="s">
        <v>220</v>
      </c>
      <c r="J4" s="25" t="s">
        <v>221</v>
      </c>
      <c r="K4" s="26">
        <v>46216</v>
      </c>
      <c r="L4" s="28" t="s">
        <v>216</v>
      </c>
      <c r="M4" s="27" t="s">
        <v>222</v>
      </c>
    </row>
    <row r="5" spans="1:13" ht="30" customHeight="1" x14ac:dyDescent="0.35">
      <c r="A5" s="19">
        <v>46015</v>
      </c>
      <c r="B5" s="20">
        <v>691341</v>
      </c>
      <c r="C5" s="21" t="s">
        <v>31</v>
      </c>
      <c r="D5" s="22">
        <v>687355</v>
      </c>
      <c r="E5" s="23">
        <v>9784.11</v>
      </c>
      <c r="F5" s="24" t="s">
        <v>32</v>
      </c>
      <c r="G5" s="25" t="s">
        <v>219</v>
      </c>
      <c r="H5" s="26">
        <v>46211</v>
      </c>
      <c r="I5" s="25" t="s">
        <v>220</v>
      </c>
      <c r="J5" s="25" t="s">
        <v>221</v>
      </c>
      <c r="K5" s="26">
        <v>46213</v>
      </c>
      <c r="L5" s="27" t="s">
        <v>216</v>
      </c>
      <c r="M5" s="27" t="s">
        <v>222</v>
      </c>
    </row>
    <row r="6" spans="1:13" ht="44.5" customHeight="1" x14ac:dyDescent="0.35">
      <c r="A6" s="19">
        <v>45967</v>
      </c>
      <c r="B6" s="20">
        <v>663180</v>
      </c>
      <c r="C6" s="21" t="s">
        <v>48</v>
      </c>
      <c r="D6" s="22">
        <v>693748</v>
      </c>
      <c r="E6" s="23">
        <v>2240.85</v>
      </c>
      <c r="F6" s="24" t="s">
        <v>32</v>
      </c>
      <c r="G6" s="25" t="s">
        <v>219</v>
      </c>
      <c r="H6" s="26">
        <v>46211</v>
      </c>
      <c r="I6" s="25" t="s">
        <v>220</v>
      </c>
      <c r="J6" s="25" t="s">
        <v>221</v>
      </c>
      <c r="K6" s="25"/>
      <c r="L6" s="27" t="s">
        <v>216</v>
      </c>
      <c r="M6" s="27" t="s">
        <v>222</v>
      </c>
    </row>
    <row r="7" spans="1:13" ht="43.5" x14ac:dyDescent="0.35">
      <c r="A7" s="19">
        <v>46157</v>
      </c>
      <c r="B7" s="20">
        <v>745631</v>
      </c>
      <c r="C7" s="21" t="s">
        <v>21</v>
      </c>
      <c r="D7" s="22"/>
      <c r="E7" s="23">
        <v>71463.990000000005</v>
      </c>
      <c r="F7" s="24" t="s">
        <v>22</v>
      </c>
      <c r="G7" s="25" t="s">
        <v>219</v>
      </c>
      <c r="H7" s="26">
        <v>46210</v>
      </c>
      <c r="I7" s="25"/>
      <c r="J7" s="25"/>
      <c r="K7" s="25"/>
      <c r="L7" s="27" t="s">
        <v>216</v>
      </c>
      <c r="M7" s="27"/>
    </row>
    <row r="8" spans="1:13" ht="31.5" customHeight="1" x14ac:dyDescent="0.35">
      <c r="A8" s="29">
        <v>46157</v>
      </c>
      <c r="B8" s="20">
        <v>745632</v>
      </c>
      <c r="C8" s="25" t="s">
        <v>25</v>
      </c>
      <c r="D8" s="25"/>
      <c r="E8" s="30">
        <v>28479.57</v>
      </c>
      <c r="F8" s="25" t="s">
        <v>26</v>
      </c>
      <c r="G8" s="25" t="s">
        <v>223</v>
      </c>
      <c r="H8" s="26">
        <v>46212</v>
      </c>
      <c r="I8" s="25"/>
      <c r="J8" s="25"/>
      <c r="K8" s="25"/>
      <c r="L8" s="27" t="s">
        <v>216</v>
      </c>
      <c r="M8" s="27"/>
    </row>
    <row r="9" spans="1:13" ht="30" customHeight="1" x14ac:dyDescent="0.35">
      <c r="A9" s="19">
        <v>46133</v>
      </c>
      <c r="B9" s="20">
        <v>745583</v>
      </c>
      <c r="C9" s="21" t="s">
        <v>6</v>
      </c>
      <c r="D9" s="22">
        <v>726269</v>
      </c>
      <c r="E9" s="23">
        <v>48.02</v>
      </c>
      <c r="F9" s="24" t="s">
        <v>10</v>
      </c>
      <c r="G9" s="25" t="s">
        <v>213</v>
      </c>
      <c r="H9" s="26">
        <v>46212</v>
      </c>
      <c r="I9" s="25"/>
      <c r="J9" s="25"/>
      <c r="K9" s="25"/>
      <c r="L9" s="27" t="s">
        <v>216</v>
      </c>
      <c r="M9" s="27"/>
    </row>
    <row r="10" spans="1:13" ht="31.5" customHeight="1" x14ac:dyDescent="0.35">
      <c r="A10" s="19">
        <v>45722</v>
      </c>
      <c r="B10" s="20">
        <v>551120</v>
      </c>
      <c r="C10" s="21" t="s">
        <v>9</v>
      </c>
      <c r="D10" s="22">
        <v>676321</v>
      </c>
      <c r="E10" s="23">
        <v>14</v>
      </c>
      <c r="F10" s="24" t="s">
        <v>16</v>
      </c>
      <c r="G10" s="25" t="s">
        <v>213</v>
      </c>
      <c r="H10" s="26">
        <v>46212</v>
      </c>
      <c r="I10" s="25"/>
      <c r="J10" s="25"/>
      <c r="K10" s="25"/>
      <c r="L10" s="25" t="s">
        <v>216</v>
      </c>
      <c r="M10" s="25"/>
    </row>
    <row r="11" spans="1:13" ht="43.5" x14ac:dyDescent="0.35">
      <c r="A11" s="19">
        <v>46161</v>
      </c>
      <c r="B11" s="20">
        <v>745636</v>
      </c>
      <c r="C11" s="21" t="s">
        <v>12</v>
      </c>
      <c r="D11" s="22">
        <v>723422</v>
      </c>
      <c r="E11" s="23">
        <v>12.01</v>
      </c>
      <c r="F11" s="24" t="s">
        <v>10</v>
      </c>
      <c r="G11" s="25" t="s">
        <v>213</v>
      </c>
      <c r="H11" s="26">
        <v>46212</v>
      </c>
      <c r="I11" s="25"/>
      <c r="J11" s="25"/>
      <c r="K11" s="25"/>
      <c r="L11" s="27" t="s">
        <v>216</v>
      </c>
      <c r="M11" s="27"/>
    </row>
    <row r="12" spans="1:13" ht="46.5" customHeight="1" x14ac:dyDescent="0.35">
      <c r="A12" s="29">
        <v>46127</v>
      </c>
      <c r="B12" s="25">
        <v>745566</v>
      </c>
      <c r="C12" s="25" t="s">
        <v>172</v>
      </c>
      <c r="D12" s="25"/>
      <c r="E12" s="30">
        <v>135.37</v>
      </c>
      <c r="F12" s="25" t="s">
        <v>30</v>
      </c>
      <c r="G12" s="25" t="s">
        <v>219</v>
      </c>
      <c r="H12" s="26">
        <v>46213</v>
      </c>
      <c r="I12" s="25" t="s">
        <v>224</v>
      </c>
      <c r="J12" s="25" t="s">
        <v>225</v>
      </c>
      <c r="K12" s="26">
        <v>46216</v>
      </c>
      <c r="L12" s="26" t="s">
        <v>226</v>
      </c>
      <c r="M12" s="25" t="s">
        <v>227</v>
      </c>
    </row>
    <row r="13" spans="1:13" ht="42" customHeight="1" x14ac:dyDescent="0.35">
      <c r="A13" s="29">
        <v>46048</v>
      </c>
      <c r="B13" s="25">
        <v>711504</v>
      </c>
      <c r="C13" s="25" t="s">
        <v>228</v>
      </c>
      <c r="D13" s="25"/>
      <c r="E13" s="30">
        <v>12091.49</v>
      </c>
      <c r="F13" s="25" t="s">
        <v>30</v>
      </c>
      <c r="G13" s="25" t="s">
        <v>219</v>
      </c>
      <c r="H13" s="26">
        <v>46213</v>
      </c>
      <c r="I13" s="25" t="s">
        <v>224</v>
      </c>
      <c r="J13" s="25" t="s">
        <v>225</v>
      </c>
      <c r="K13" s="26">
        <v>46216</v>
      </c>
      <c r="L13" s="28" t="s">
        <v>229</v>
      </c>
      <c r="M13" s="25" t="s">
        <v>230</v>
      </c>
    </row>
    <row r="14" spans="1:13" ht="47" customHeight="1" x14ac:dyDescent="0.35">
      <c r="A14" s="29">
        <v>46127</v>
      </c>
      <c r="B14" s="25">
        <v>745561</v>
      </c>
      <c r="C14" s="25" t="s">
        <v>33</v>
      </c>
      <c r="D14" s="25"/>
      <c r="E14" s="30">
        <v>9123.0300000000007</v>
      </c>
      <c r="F14" s="25" t="s">
        <v>30</v>
      </c>
      <c r="G14" s="25" t="s">
        <v>219</v>
      </c>
      <c r="H14" s="26">
        <v>46213</v>
      </c>
      <c r="I14" s="25" t="s">
        <v>224</v>
      </c>
      <c r="J14" s="25" t="s">
        <v>225</v>
      </c>
      <c r="K14" s="26">
        <v>46216</v>
      </c>
      <c r="L14" s="28" t="s">
        <v>229</v>
      </c>
      <c r="M14" s="25" t="s">
        <v>230</v>
      </c>
    </row>
    <row r="15" spans="1:13" ht="42.5" customHeight="1" x14ac:dyDescent="0.35">
      <c r="A15" s="19">
        <v>46001</v>
      </c>
      <c r="B15" s="20">
        <v>691307</v>
      </c>
      <c r="C15" s="21" t="s">
        <v>23</v>
      </c>
      <c r="D15" s="22">
        <v>707012</v>
      </c>
      <c r="E15" s="23">
        <v>7752.4</v>
      </c>
      <c r="F15" s="24" t="s">
        <v>218</v>
      </c>
      <c r="G15" s="25" t="s">
        <v>219</v>
      </c>
      <c r="H15" s="26">
        <v>46211</v>
      </c>
      <c r="I15" s="25" t="s">
        <v>224</v>
      </c>
      <c r="J15" s="25" t="s">
        <v>225</v>
      </c>
      <c r="K15" s="26">
        <v>46216</v>
      </c>
      <c r="L15" s="28" t="s">
        <v>229</v>
      </c>
      <c r="M15" s="25" t="s">
        <v>230</v>
      </c>
    </row>
    <row r="16" spans="1:13" ht="42.5" customHeight="1" x14ac:dyDescent="0.35">
      <c r="A16" s="29">
        <v>46048</v>
      </c>
      <c r="B16" s="25">
        <v>711511</v>
      </c>
      <c r="C16" s="25" t="s">
        <v>106</v>
      </c>
      <c r="D16" s="25"/>
      <c r="E16" s="30">
        <v>518.75</v>
      </c>
      <c r="F16" s="25" t="s">
        <v>30</v>
      </c>
      <c r="G16" s="25" t="s">
        <v>219</v>
      </c>
      <c r="H16" s="26">
        <v>46213</v>
      </c>
      <c r="I16" s="25" t="s">
        <v>224</v>
      </c>
      <c r="J16" s="25" t="s">
        <v>225</v>
      </c>
      <c r="K16" s="26">
        <v>46216</v>
      </c>
      <c r="L16" s="28" t="s">
        <v>229</v>
      </c>
      <c r="M16" s="25" t="s">
        <v>230</v>
      </c>
    </row>
    <row r="17" spans="1:13" ht="42" customHeight="1" x14ac:dyDescent="0.35">
      <c r="A17" s="29">
        <v>46148</v>
      </c>
      <c r="B17" s="25">
        <v>745612</v>
      </c>
      <c r="C17" s="25" t="s">
        <v>161</v>
      </c>
      <c r="D17" s="25"/>
      <c r="E17" s="30">
        <v>202.47</v>
      </c>
      <c r="F17" s="25" t="s">
        <v>30</v>
      </c>
      <c r="G17" s="25" t="s">
        <v>219</v>
      </c>
      <c r="H17" s="26">
        <v>46213</v>
      </c>
      <c r="I17" s="25" t="s">
        <v>224</v>
      </c>
      <c r="J17" s="25" t="s">
        <v>225</v>
      </c>
      <c r="K17" s="26">
        <v>46216</v>
      </c>
      <c r="L17" s="28" t="s">
        <v>229</v>
      </c>
      <c r="M17" s="25" t="s">
        <v>230</v>
      </c>
    </row>
    <row r="18" spans="1:13" ht="17.5" customHeight="1" x14ac:dyDescent="0.35">
      <c r="A18" s="19">
        <v>46205</v>
      </c>
      <c r="B18" s="20">
        <v>755998</v>
      </c>
      <c r="C18" s="21" t="s">
        <v>29</v>
      </c>
      <c r="D18" s="22">
        <v>714544</v>
      </c>
      <c r="E18" s="23">
        <v>12903</v>
      </c>
      <c r="F18" s="31" t="s">
        <v>29</v>
      </c>
      <c r="G18" s="25" t="s">
        <v>213</v>
      </c>
      <c r="H18" s="26">
        <v>46211</v>
      </c>
      <c r="I18" s="25" t="s">
        <v>231</v>
      </c>
      <c r="J18" s="25" t="s">
        <v>215</v>
      </c>
      <c r="K18" s="26">
        <v>46211</v>
      </c>
      <c r="L18" s="28" t="s">
        <v>232</v>
      </c>
      <c r="M18" s="25" t="s">
        <v>231</v>
      </c>
    </row>
    <row r="19" spans="1:13" ht="17" customHeight="1" x14ac:dyDescent="0.35">
      <c r="A19" s="19">
        <v>46102</v>
      </c>
      <c r="B19" s="20">
        <v>734649</v>
      </c>
      <c r="C19" s="21" t="s">
        <v>64</v>
      </c>
      <c r="D19" s="22">
        <v>707039</v>
      </c>
      <c r="E19" s="23">
        <v>1341.8</v>
      </c>
      <c r="F19" s="24" t="s">
        <v>32</v>
      </c>
      <c r="G19" s="25" t="s">
        <v>219</v>
      </c>
      <c r="H19" s="26">
        <v>46211</v>
      </c>
      <c r="I19" s="25"/>
      <c r="J19" s="25"/>
      <c r="K19" s="25"/>
      <c r="L19" s="28" t="s">
        <v>232</v>
      </c>
      <c r="M19" s="25" t="s">
        <v>231</v>
      </c>
    </row>
    <row r="20" spans="1:13" ht="16.5" customHeight="1" x14ac:dyDescent="0.35">
      <c r="A20" s="19">
        <v>46197</v>
      </c>
      <c r="B20" s="20">
        <v>755984</v>
      </c>
      <c r="C20" s="21" t="s">
        <v>67</v>
      </c>
      <c r="D20" s="22">
        <v>726300</v>
      </c>
      <c r="E20" s="23">
        <v>1316.01</v>
      </c>
      <c r="F20" s="31" t="s">
        <v>32</v>
      </c>
      <c r="G20" s="25" t="s">
        <v>219</v>
      </c>
      <c r="H20" s="26">
        <v>46211</v>
      </c>
      <c r="I20" s="25"/>
      <c r="J20" s="25"/>
      <c r="K20" s="25"/>
      <c r="L20" s="28" t="s">
        <v>232</v>
      </c>
      <c r="M20" s="25" t="s">
        <v>231</v>
      </c>
    </row>
    <row r="21" spans="1:13" ht="16.5" customHeight="1" x14ac:dyDescent="0.35">
      <c r="A21" s="19">
        <v>46188</v>
      </c>
      <c r="B21" s="20">
        <v>755961</v>
      </c>
      <c r="C21" s="21" t="s">
        <v>6</v>
      </c>
      <c r="D21" s="22">
        <v>735101</v>
      </c>
      <c r="E21" s="23">
        <v>96.05</v>
      </c>
      <c r="F21" s="31" t="s">
        <v>10</v>
      </c>
      <c r="G21" s="25" t="s">
        <v>213</v>
      </c>
      <c r="H21" s="26">
        <v>46212</v>
      </c>
      <c r="I21" s="25"/>
      <c r="J21" s="25"/>
      <c r="K21" s="25"/>
      <c r="L21" s="26" t="s">
        <v>232</v>
      </c>
      <c r="M21" s="25" t="s">
        <v>231</v>
      </c>
    </row>
    <row r="22" spans="1:13" ht="16" customHeight="1" x14ac:dyDescent="0.35">
      <c r="A22" s="19">
        <v>46119</v>
      </c>
      <c r="B22" s="20">
        <v>734595</v>
      </c>
      <c r="C22" s="21" t="s">
        <v>6</v>
      </c>
      <c r="D22" s="22">
        <v>711614</v>
      </c>
      <c r="E22" s="23">
        <v>95.05</v>
      </c>
      <c r="F22" s="24" t="s">
        <v>10</v>
      </c>
      <c r="G22" s="25" t="s">
        <v>213</v>
      </c>
      <c r="H22" s="26">
        <v>46212</v>
      </c>
      <c r="I22" s="25"/>
      <c r="J22" s="25"/>
      <c r="K22" s="25"/>
      <c r="L22" s="28" t="s">
        <v>232</v>
      </c>
      <c r="M22" s="25" t="s">
        <v>231</v>
      </c>
    </row>
    <row r="23" spans="1:13" ht="18" customHeight="1" x14ac:dyDescent="0.35">
      <c r="A23" s="19">
        <v>46120</v>
      </c>
      <c r="B23" s="20">
        <v>734596</v>
      </c>
      <c r="C23" s="21" t="s">
        <v>6</v>
      </c>
      <c r="D23" s="22">
        <v>711614</v>
      </c>
      <c r="E23" s="23">
        <v>84.04</v>
      </c>
      <c r="F23" s="24" t="s">
        <v>11</v>
      </c>
      <c r="G23" s="25" t="s">
        <v>213</v>
      </c>
      <c r="H23" s="26">
        <v>46212</v>
      </c>
      <c r="I23" s="25"/>
      <c r="J23" s="25"/>
      <c r="K23" s="25"/>
      <c r="L23" s="28" t="s">
        <v>232</v>
      </c>
      <c r="M23" s="25" t="s">
        <v>231</v>
      </c>
    </row>
    <row r="24" spans="1:13" ht="16.5" customHeight="1" x14ac:dyDescent="0.35">
      <c r="A24" s="19">
        <v>46174</v>
      </c>
      <c r="B24" s="20">
        <v>756022</v>
      </c>
      <c r="C24" s="21" t="s">
        <v>12</v>
      </c>
      <c r="D24" s="22">
        <v>663473</v>
      </c>
      <c r="E24" s="23">
        <v>72.040000000000006</v>
      </c>
      <c r="F24" s="24" t="s">
        <v>10</v>
      </c>
      <c r="G24" s="25" t="s">
        <v>213</v>
      </c>
      <c r="H24" s="26">
        <v>46212</v>
      </c>
      <c r="I24" s="25"/>
      <c r="J24" s="25"/>
      <c r="K24" s="25"/>
      <c r="L24" s="28" t="s">
        <v>232</v>
      </c>
      <c r="M24" s="25" t="s">
        <v>231</v>
      </c>
    </row>
    <row r="25" spans="1:13" ht="16.5" customHeight="1" x14ac:dyDescent="0.35">
      <c r="A25" s="19">
        <v>46155</v>
      </c>
      <c r="B25" s="20">
        <v>745627</v>
      </c>
      <c r="C25" s="21" t="s">
        <v>12</v>
      </c>
      <c r="D25" s="22">
        <v>723417</v>
      </c>
      <c r="E25" s="23">
        <v>72.040000000000006</v>
      </c>
      <c r="F25" s="24" t="s">
        <v>10</v>
      </c>
      <c r="G25" s="25" t="s">
        <v>213</v>
      </c>
      <c r="H25" s="26">
        <v>46212</v>
      </c>
      <c r="I25" s="25"/>
      <c r="J25" s="25"/>
      <c r="K25" s="25"/>
      <c r="L25" s="28" t="s">
        <v>232</v>
      </c>
      <c r="M25" s="25" t="s">
        <v>231</v>
      </c>
    </row>
    <row r="26" spans="1:13" ht="16" customHeight="1" x14ac:dyDescent="0.35">
      <c r="A26" s="19">
        <v>46182</v>
      </c>
      <c r="B26" s="20">
        <v>756044</v>
      </c>
      <c r="C26" s="21" t="s">
        <v>9</v>
      </c>
      <c r="D26" s="22">
        <v>707084</v>
      </c>
      <c r="E26" s="23">
        <v>69.95</v>
      </c>
      <c r="F26" s="31" t="s">
        <v>9</v>
      </c>
      <c r="G26" s="25" t="s">
        <v>213</v>
      </c>
      <c r="H26" s="26">
        <v>46212</v>
      </c>
      <c r="I26" s="25"/>
      <c r="J26" s="25"/>
      <c r="K26" s="25"/>
      <c r="L26" s="28" t="s">
        <v>232</v>
      </c>
      <c r="M26" s="25" t="s">
        <v>231</v>
      </c>
    </row>
    <row r="27" spans="1:13" ht="18" customHeight="1" x14ac:dyDescent="0.35">
      <c r="A27" s="19">
        <v>46179</v>
      </c>
      <c r="B27" s="20">
        <v>756035</v>
      </c>
      <c r="C27" s="21" t="s">
        <v>9</v>
      </c>
      <c r="D27" s="22">
        <v>706062</v>
      </c>
      <c r="E27" s="23">
        <v>55.98</v>
      </c>
      <c r="F27" s="31" t="s">
        <v>9</v>
      </c>
      <c r="G27" s="25" t="s">
        <v>213</v>
      </c>
      <c r="H27" s="26">
        <v>46212</v>
      </c>
      <c r="I27" s="25"/>
      <c r="J27" s="25"/>
      <c r="K27" s="25"/>
      <c r="L27" s="28" t="s">
        <v>232</v>
      </c>
      <c r="M27" s="25" t="s">
        <v>231</v>
      </c>
    </row>
    <row r="28" spans="1:13" ht="17.5" customHeight="1" x14ac:dyDescent="0.35">
      <c r="A28" s="19">
        <v>46154</v>
      </c>
      <c r="B28" s="20">
        <v>745624</v>
      </c>
      <c r="C28" s="21" t="s">
        <v>9</v>
      </c>
      <c r="D28" s="22">
        <v>723417</v>
      </c>
      <c r="E28" s="23">
        <v>41.39</v>
      </c>
      <c r="F28" s="24" t="s">
        <v>9</v>
      </c>
      <c r="G28" s="25" t="s">
        <v>213</v>
      </c>
      <c r="H28" s="26">
        <v>46212</v>
      </c>
      <c r="I28" s="25"/>
      <c r="J28" s="25"/>
      <c r="K28" s="25"/>
      <c r="L28" s="26" t="s">
        <v>232</v>
      </c>
      <c r="M28" s="25" t="s">
        <v>231</v>
      </c>
    </row>
    <row r="29" spans="1:13" ht="16.5" customHeight="1" x14ac:dyDescent="0.35">
      <c r="A29" s="19">
        <v>46175</v>
      </c>
      <c r="B29" s="20">
        <v>756025</v>
      </c>
      <c r="C29" s="21" t="s">
        <v>13</v>
      </c>
      <c r="D29" s="22">
        <v>715028</v>
      </c>
      <c r="E29" s="23">
        <v>38.01</v>
      </c>
      <c r="F29" s="24" t="s">
        <v>14</v>
      </c>
      <c r="G29" s="25" t="s">
        <v>213</v>
      </c>
      <c r="H29" s="26">
        <v>46212</v>
      </c>
      <c r="I29" s="25"/>
      <c r="J29" s="25"/>
      <c r="K29" s="25"/>
      <c r="L29" s="28" t="s">
        <v>232</v>
      </c>
      <c r="M29" s="25" t="s">
        <v>231</v>
      </c>
    </row>
    <row r="30" spans="1:13" ht="14" customHeight="1" x14ac:dyDescent="0.35">
      <c r="A30" s="19">
        <v>46177</v>
      </c>
      <c r="B30" s="20">
        <v>756032</v>
      </c>
      <c r="C30" s="21" t="s">
        <v>12</v>
      </c>
      <c r="D30" s="22">
        <v>726293</v>
      </c>
      <c r="E30" s="23">
        <v>36.020000000000003</v>
      </c>
      <c r="F30" s="31" t="s">
        <v>7</v>
      </c>
      <c r="G30" s="25" t="s">
        <v>213</v>
      </c>
      <c r="H30" s="26">
        <v>46212</v>
      </c>
      <c r="I30" s="25"/>
      <c r="J30" s="25"/>
      <c r="K30" s="25"/>
      <c r="L30" s="28" t="s">
        <v>232</v>
      </c>
      <c r="M30" s="25" t="s">
        <v>231</v>
      </c>
    </row>
    <row r="31" spans="1:13" ht="16" customHeight="1" x14ac:dyDescent="0.35">
      <c r="A31" s="19">
        <v>46190</v>
      </c>
      <c r="B31" s="20">
        <v>755963</v>
      </c>
      <c r="C31" s="21" t="s">
        <v>12</v>
      </c>
      <c r="D31" s="22">
        <v>714649</v>
      </c>
      <c r="E31" s="23">
        <v>36.020000000000003</v>
      </c>
      <c r="F31" s="31" t="s">
        <v>20</v>
      </c>
      <c r="G31" s="25" t="s">
        <v>213</v>
      </c>
      <c r="H31" s="26">
        <v>46212</v>
      </c>
      <c r="I31" s="25"/>
      <c r="J31" s="25"/>
      <c r="K31" s="25"/>
      <c r="L31" s="26" t="s">
        <v>232</v>
      </c>
      <c r="M31" s="25" t="s">
        <v>231</v>
      </c>
    </row>
    <row r="32" spans="1:13" ht="19" customHeight="1" x14ac:dyDescent="0.35">
      <c r="A32" s="19">
        <v>46186</v>
      </c>
      <c r="B32" s="20">
        <v>755959</v>
      </c>
      <c r="C32" s="21" t="s">
        <v>12</v>
      </c>
      <c r="D32" s="22">
        <v>735101</v>
      </c>
      <c r="E32" s="23">
        <v>36.020000000000003</v>
      </c>
      <c r="F32" s="31" t="s">
        <v>10</v>
      </c>
      <c r="G32" s="25" t="s">
        <v>213</v>
      </c>
      <c r="H32" s="26">
        <v>46212</v>
      </c>
      <c r="I32" s="25"/>
      <c r="J32" s="25"/>
      <c r="K32" s="25"/>
      <c r="L32" s="28" t="s">
        <v>232</v>
      </c>
      <c r="M32" s="27" t="s">
        <v>231</v>
      </c>
    </row>
    <row r="33" spans="1:13" ht="16.5" customHeight="1" x14ac:dyDescent="0.35">
      <c r="A33" s="19">
        <v>46140</v>
      </c>
      <c r="B33" s="20">
        <v>745598</v>
      </c>
      <c r="C33" s="21" t="s">
        <v>6</v>
      </c>
      <c r="D33" s="22">
        <v>696803</v>
      </c>
      <c r="E33" s="23">
        <v>36.020000000000003</v>
      </c>
      <c r="F33" s="24" t="s">
        <v>10</v>
      </c>
      <c r="G33" s="25" t="s">
        <v>213</v>
      </c>
      <c r="H33" s="26">
        <v>46212</v>
      </c>
      <c r="I33" s="25"/>
      <c r="J33" s="25"/>
      <c r="K33" s="25"/>
      <c r="L33" s="28" t="s">
        <v>232</v>
      </c>
      <c r="M33" s="27" t="s">
        <v>231</v>
      </c>
    </row>
    <row r="34" spans="1:13" ht="16" customHeight="1" x14ac:dyDescent="0.35">
      <c r="A34" s="19">
        <v>46168</v>
      </c>
      <c r="B34" s="20">
        <v>745650</v>
      </c>
      <c r="C34" s="21" t="s">
        <v>9</v>
      </c>
      <c r="D34" s="22">
        <v>714642</v>
      </c>
      <c r="E34" s="23">
        <v>27.99</v>
      </c>
      <c r="F34" s="24" t="s">
        <v>9</v>
      </c>
      <c r="G34" s="25" t="s">
        <v>213</v>
      </c>
      <c r="H34" s="26">
        <v>46212</v>
      </c>
      <c r="I34" s="25"/>
      <c r="J34" s="25"/>
      <c r="K34" s="25"/>
      <c r="L34" s="28" t="s">
        <v>232</v>
      </c>
      <c r="M34" s="27" t="s">
        <v>231</v>
      </c>
    </row>
    <row r="35" spans="1:13" x14ac:dyDescent="0.35">
      <c r="A35" s="19">
        <v>46158</v>
      </c>
      <c r="B35" s="20">
        <v>745633</v>
      </c>
      <c r="C35" s="21" t="s">
        <v>9</v>
      </c>
      <c r="D35" s="22">
        <v>724040</v>
      </c>
      <c r="E35" s="23">
        <v>27.99</v>
      </c>
      <c r="F35" s="24" t="s">
        <v>9</v>
      </c>
      <c r="G35" s="25" t="s">
        <v>213</v>
      </c>
      <c r="H35" s="26">
        <v>46212</v>
      </c>
      <c r="I35" s="25"/>
      <c r="J35" s="25"/>
      <c r="K35" s="25"/>
      <c r="L35" s="28" t="s">
        <v>232</v>
      </c>
      <c r="M35" s="27" t="s">
        <v>231</v>
      </c>
    </row>
    <row r="36" spans="1:13" x14ac:dyDescent="0.35">
      <c r="A36" s="19">
        <v>46121</v>
      </c>
      <c r="B36" s="20">
        <v>734597</v>
      </c>
      <c r="C36" s="21" t="s">
        <v>9</v>
      </c>
      <c r="D36" s="22">
        <v>696488</v>
      </c>
      <c r="E36" s="23">
        <v>27.99</v>
      </c>
      <c r="F36" s="24" t="s">
        <v>9</v>
      </c>
      <c r="G36" s="25" t="s">
        <v>213</v>
      </c>
      <c r="H36" s="26">
        <v>46212</v>
      </c>
      <c r="I36" s="25"/>
      <c r="J36" s="25"/>
      <c r="K36" s="25"/>
      <c r="L36" s="28" t="s">
        <v>232</v>
      </c>
      <c r="M36" s="27" t="s">
        <v>231</v>
      </c>
    </row>
    <row r="37" spans="1:13" x14ac:dyDescent="0.35">
      <c r="A37" s="19">
        <v>46116</v>
      </c>
      <c r="B37" s="20">
        <v>734587</v>
      </c>
      <c r="C37" s="21" t="s">
        <v>9</v>
      </c>
      <c r="D37" s="22">
        <v>715003</v>
      </c>
      <c r="E37" s="23">
        <v>27.99</v>
      </c>
      <c r="F37" s="24" t="s">
        <v>9</v>
      </c>
      <c r="G37" s="25" t="s">
        <v>213</v>
      </c>
      <c r="H37" s="26">
        <v>46212</v>
      </c>
      <c r="I37" s="25"/>
      <c r="J37" s="25"/>
      <c r="K37" s="25"/>
      <c r="L37" s="28" t="s">
        <v>232</v>
      </c>
      <c r="M37" s="27" t="s">
        <v>231</v>
      </c>
    </row>
    <row r="38" spans="1:13" ht="16" customHeight="1" x14ac:dyDescent="0.35">
      <c r="A38" s="19">
        <v>46156</v>
      </c>
      <c r="B38" s="20">
        <v>745630</v>
      </c>
      <c r="C38" s="21" t="s">
        <v>9</v>
      </c>
      <c r="D38" s="22">
        <v>710007</v>
      </c>
      <c r="E38" s="23">
        <v>27.9</v>
      </c>
      <c r="F38" s="24" t="s">
        <v>9</v>
      </c>
      <c r="G38" s="25" t="s">
        <v>213</v>
      </c>
      <c r="H38" s="26">
        <v>46212</v>
      </c>
      <c r="I38" s="25"/>
      <c r="J38" s="25"/>
      <c r="K38" s="25"/>
      <c r="L38" s="28" t="s">
        <v>232</v>
      </c>
      <c r="M38" s="27" t="s">
        <v>231</v>
      </c>
    </row>
    <row r="39" spans="1:13" ht="17.5" customHeight="1" x14ac:dyDescent="0.35">
      <c r="A39" s="19">
        <v>46144</v>
      </c>
      <c r="B39" s="20">
        <v>745602</v>
      </c>
      <c r="C39" s="21" t="s">
        <v>13</v>
      </c>
      <c r="D39" s="22">
        <v>696500</v>
      </c>
      <c r="E39" s="23">
        <v>26.01</v>
      </c>
      <c r="F39" s="24" t="s">
        <v>14</v>
      </c>
      <c r="G39" s="25" t="s">
        <v>213</v>
      </c>
      <c r="H39" s="26">
        <v>46212</v>
      </c>
      <c r="I39" s="25"/>
      <c r="J39" s="25"/>
      <c r="K39" s="25"/>
      <c r="L39" s="28" t="s">
        <v>232</v>
      </c>
      <c r="M39" s="27" t="s">
        <v>231</v>
      </c>
    </row>
    <row r="40" spans="1:13" ht="18" customHeight="1" x14ac:dyDescent="0.35">
      <c r="A40" s="19">
        <v>46174</v>
      </c>
      <c r="B40" s="20">
        <v>756023</v>
      </c>
      <c r="C40" s="21" t="s">
        <v>17</v>
      </c>
      <c r="D40" s="22">
        <v>663473</v>
      </c>
      <c r="E40" s="23">
        <v>24.01</v>
      </c>
      <c r="F40" s="24" t="s">
        <v>18</v>
      </c>
      <c r="G40" s="25" t="s">
        <v>213</v>
      </c>
      <c r="H40" s="26">
        <v>46212</v>
      </c>
      <c r="I40" s="25"/>
      <c r="J40" s="25"/>
      <c r="K40" s="25"/>
      <c r="L40" s="28" t="s">
        <v>232</v>
      </c>
      <c r="M40" s="27" t="s">
        <v>231</v>
      </c>
    </row>
    <row r="41" spans="1:13" x14ac:dyDescent="0.35">
      <c r="A41" s="19">
        <v>46191</v>
      </c>
      <c r="B41" s="20">
        <v>755968</v>
      </c>
      <c r="C41" s="21" t="s">
        <v>12</v>
      </c>
      <c r="D41" s="22">
        <v>715040</v>
      </c>
      <c r="E41" s="23">
        <v>24.01</v>
      </c>
      <c r="F41" s="31" t="s">
        <v>10</v>
      </c>
      <c r="G41" s="25" t="s">
        <v>213</v>
      </c>
      <c r="H41" s="26">
        <v>46212</v>
      </c>
      <c r="I41" s="25"/>
      <c r="J41" s="25"/>
      <c r="K41" s="25"/>
      <c r="L41" s="28" t="s">
        <v>232</v>
      </c>
      <c r="M41" s="27" t="s">
        <v>231</v>
      </c>
    </row>
    <row r="42" spans="1:13" x14ac:dyDescent="0.35">
      <c r="A42" s="19">
        <v>46184</v>
      </c>
      <c r="B42" s="20">
        <v>755951</v>
      </c>
      <c r="C42" s="21" t="s">
        <v>12</v>
      </c>
      <c r="D42" s="22">
        <v>724057</v>
      </c>
      <c r="E42" s="23">
        <v>24.01</v>
      </c>
      <c r="F42" s="31" t="s">
        <v>7</v>
      </c>
      <c r="G42" s="25" t="s">
        <v>213</v>
      </c>
      <c r="H42" s="26">
        <v>46212</v>
      </c>
      <c r="I42" s="25"/>
      <c r="J42" s="25"/>
      <c r="K42" s="25"/>
      <c r="L42" s="28" t="s">
        <v>232</v>
      </c>
      <c r="M42" s="27" t="s">
        <v>231</v>
      </c>
    </row>
    <row r="43" spans="1:13" ht="17" customHeight="1" x14ac:dyDescent="0.35">
      <c r="A43" s="19">
        <v>46163</v>
      </c>
      <c r="B43" s="20">
        <v>745644</v>
      </c>
      <c r="C43" s="21" t="s">
        <v>12</v>
      </c>
      <c r="D43" s="22">
        <v>714531</v>
      </c>
      <c r="E43" s="23">
        <v>24.01</v>
      </c>
      <c r="F43" s="24" t="s">
        <v>10</v>
      </c>
      <c r="G43" s="25" t="s">
        <v>213</v>
      </c>
      <c r="H43" s="26">
        <v>46212</v>
      </c>
      <c r="I43" s="25"/>
      <c r="J43" s="25"/>
      <c r="K43" s="25"/>
      <c r="L43" s="28" t="s">
        <v>232</v>
      </c>
      <c r="M43" s="27" t="s">
        <v>231</v>
      </c>
    </row>
    <row r="44" spans="1:13" x14ac:dyDescent="0.35">
      <c r="A44" s="19">
        <v>46142</v>
      </c>
      <c r="B44" s="20">
        <v>745601</v>
      </c>
      <c r="C44" s="21" t="s">
        <v>12</v>
      </c>
      <c r="D44" s="22">
        <v>685497</v>
      </c>
      <c r="E44" s="23">
        <v>24.01</v>
      </c>
      <c r="F44" s="24" t="s">
        <v>10</v>
      </c>
      <c r="G44" s="25" t="s">
        <v>213</v>
      </c>
      <c r="H44" s="26">
        <v>46212</v>
      </c>
      <c r="I44" s="25"/>
      <c r="J44" s="25"/>
      <c r="K44" s="25"/>
      <c r="L44" s="28" t="s">
        <v>232</v>
      </c>
      <c r="M44" s="27" t="s">
        <v>231</v>
      </c>
    </row>
    <row r="45" spans="1:13" ht="17.5" customHeight="1" x14ac:dyDescent="0.35">
      <c r="A45" s="19">
        <v>46137</v>
      </c>
      <c r="B45" s="20">
        <v>745594</v>
      </c>
      <c r="C45" s="21" t="s">
        <v>6</v>
      </c>
      <c r="D45" s="22">
        <v>685493</v>
      </c>
      <c r="E45" s="23">
        <v>24.01</v>
      </c>
      <c r="F45" s="24" t="s">
        <v>10</v>
      </c>
      <c r="G45" s="25" t="s">
        <v>213</v>
      </c>
      <c r="H45" s="26">
        <v>46212</v>
      </c>
      <c r="I45" s="25"/>
      <c r="J45" s="25"/>
      <c r="K45" s="25"/>
      <c r="L45" s="28" t="s">
        <v>232</v>
      </c>
      <c r="M45" s="27" t="s">
        <v>231</v>
      </c>
    </row>
    <row r="46" spans="1:13" ht="18" customHeight="1" x14ac:dyDescent="0.35">
      <c r="A46" s="19">
        <v>46177</v>
      </c>
      <c r="B46" s="20">
        <v>756031</v>
      </c>
      <c r="C46" s="21" t="s">
        <v>9</v>
      </c>
      <c r="D46" s="22">
        <v>726293</v>
      </c>
      <c r="E46" s="23">
        <v>14</v>
      </c>
      <c r="F46" s="31" t="s">
        <v>9</v>
      </c>
      <c r="G46" s="25" t="s">
        <v>213</v>
      </c>
      <c r="H46" s="26">
        <v>46212</v>
      </c>
      <c r="I46" s="25"/>
      <c r="J46" s="25"/>
      <c r="K46" s="25"/>
      <c r="L46" s="28" t="s">
        <v>232</v>
      </c>
      <c r="M46" s="27" t="s">
        <v>231</v>
      </c>
    </row>
    <row r="47" spans="1:13" ht="17" customHeight="1" x14ac:dyDescent="0.35">
      <c r="A47" s="19">
        <v>46172</v>
      </c>
      <c r="B47" s="20">
        <v>756015</v>
      </c>
      <c r="C47" s="21" t="s">
        <v>16</v>
      </c>
      <c r="D47" s="22">
        <v>663473</v>
      </c>
      <c r="E47" s="23">
        <v>14</v>
      </c>
      <c r="F47" s="24" t="s">
        <v>16</v>
      </c>
      <c r="G47" s="25" t="s">
        <v>213</v>
      </c>
      <c r="H47" s="26">
        <v>46212</v>
      </c>
      <c r="I47" s="25"/>
      <c r="J47" s="25"/>
      <c r="K47" s="25"/>
      <c r="L47" s="28" t="s">
        <v>232</v>
      </c>
      <c r="M47" s="27" t="s">
        <v>231</v>
      </c>
    </row>
    <row r="48" spans="1:13" ht="16.5" customHeight="1" x14ac:dyDescent="0.35">
      <c r="A48" s="19">
        <v>46170</v>
      </c>
      <c r="B48" s="32">
        <v>756011</v>
      </c>
      <c r="C48" s="21" t="s">
        <v>9</v>
      </c>
      <c r="D48" s="22">
        <v>714644</v>
      </c>
      <c r="E48" s="23">
        <v>14</v>
      </c>
      <c r="F48" s="24" t="s">
        <v>9</v>
      </c>
      <c r="G48" s="25" t="s">
        <v>213</v>
      </c>
      <c r="H48" s="26">
        <v>46212</v>
      </c>
      <c r="I48" s="25"/>
      <c r="J48" s="25"/>
      <c r="K48" s="25"/>
      <c r="L48" s="28" t="s">
        <v>232</v>
      </c>
      <c r="M48" s="27" t="s">
        <v>231</v>
      </c>
    </row>
    <row r="49" spans="1:13" x14ac:dyDescent="0.35">
      <c r="A49" s="19">
        <v>46190</v>
      </c>
      <c r="B49" s="20">
        <v>755964</v>
      </c>
      <c r="C49" s="21" t="s">
        <v>19</v>
      </c>
      <c r="D49" s="22">
        <v>714649</v>
      </c>
      <c r="E49" s="23">
        <v>14</v>
      </c>
      <c r="F49" s="31" t="s">
        <v>9</v>
      </c>
      <c r="G49" s="25" t="s">
        <v>213</v>
      </c>
      <c r="H49" s="26">
        <v>46212</v>
      </c>
      <c r="I49" s="25"/>
      <c r="J49" s="25"/>
      <c r="K49" s="25"/>
      <c r="L49" s="28" t="s">
        <v>232</v>
      </c>
      <c r="M49" s="27" t="s">
        <v>231</v>
      </c>
    </row>
    <row r="50" spans="1:13" x14ac:dyDescent="0.35">
      <c r="A50" s="19">
        <v>46186</v>
      </c>
      <c r="B50" s="20">
        <v>755960</v>
      </c>
      <c r="C50" s="21" t="s">
        <v>9</v>
      </c>
      <c r="D50" s="22">
        <v>735101</v>
      </c>
      <c r="E50" s="23">
        <v>14</v>
      </c>
      <c r="F50" s="31" t="s">
        <v>16</v>
      </c>
      <c r="G50" s="25" t="s">
        <v>213</v>
      </c>
      <c r="H50" s="26">
        <v>46212</v>
      </c>
      <c r="I50" s="25"/>
      <c r="J50" s="25"/>
      <c r="K50" s="25"/>
      <c r="L50" s="28" t="s">
        <v>232</v>
      </c>
      <c r="M50" s="27" t="s">
        <v>231</v>
      </c>
    </row>
    <row r="51" spans="1:13" x14ac:dyDescent="0.35">
      <c r="A51" s="19">
        <v>46165</v>
      </c>
      <c r="B51" s="20">
        <v>745649</v>
      </c>
      <c r="C51" s="21" t="s">
        <v>15</v>
      </c>
      <c r="D51" s="22">
        <v>724047</v>
      </c>
      <c r="E51" s="23">
        <v>14</v>
      </c>
      <c r="F51" s="24" t="s">
        <v>16</v>
      </c>
      <c r="G51" s="25" t="s">
        <v>213</v>
      </c>
      <c r="H51" s="26">
        <v>46212</v>
      </c>
      <c r="I51" s="25"/>
      <c r="J51" s="25"/>
      <c r="K51" s="25"/>
      <c r="L51" s="28" t="s">
        <v>232</v>
      </c>
      <c r="M51" s="27" t="s">
        <v>231</v>
      </c>
    </row>
    <row r="52" spans="1:13" x14ac:dyDescent="0.35">
      <c r="A52" s="19">
        <v>46163</v>
      </c>
      <c r="B52" s="20">
        <v>745645</v>
      </c>
      <c r="C52" s="21" t="s">
        <v>9</v>
      </c>
      <c r="D52" s="22">
        <v>714531</v>
      </c>
      <c r="E52" s="23">
        <v>14</v>
      </c>
      <c r="F52" s="24" t="s">
        <v>9</v>
      </c>
      <c r="G52" s="25" t="s">
        <v>213</v>
      </c>
      <c r="H52" s="26">
        <v>46212</v>
      </c>
      <c r="I52" s="25"/>
      <c r="J52" s="25"/>
      <c r="K52" s="25"/>
      <c r="L52" s="28" t="s">
        <v>232</v>
      </c>
      <c r="M52" s="27" t="s">
        <v>231</v>
      </c>
    </row>
    <row r="53" spans="1:13" x14ac:dyDescent="0.35">
      <c r="A53" s="19">
        <v>46149</v>
      </c>
      <c r="B53" s="20">
        <v>745614</v>
      </c>
      <c r="C53" s="21" t="s">
        <v>9</v>
      </c>
      <c r="D53" s="22">
        <v>703780</v>
      </c>
      <c r="E53" s="23">
        <v>14</v>
      </c>
      <c r="F53" s="24" t="s">
        <v>9</v>
      </c>
      <c r="G53" s="25" t="s">
        <v>213</v>
      </c>
      <c r="H53" s="26">
        <v>46212</v>
      </c>
      <c r="I53" s="25"/>
      <c r="J53" s="25"/>
      <c r="K53" s="25"/>
      <c r="L53" s="28" t="s">
        <v>232</v>
      </c>
      <c r="M53" s="27" t="s">
        <v>231</v>
      </c>
    </row>
    <row r="54" spans="1:13" x14ac:dyDescent="0.35">
      <c r="A54" s="19">
        <v>46147</v>
      </c>
      <c r="B54" s="20">
        <v>745606</v>
      </c>
      <c r="C54" s="21" t="s">
        <v>9</v>
      </c>
      <c r="D54" s="22">
        <v>715020</v>
      </c>
      <c r="E54" s="23">
        <v>14</v>
      </c>
      <c r="F54" s="24" t="s">
        <v>9</v>
      </c>
      <c r="G54" s="25" t="s">
        <v>213</v>
      </c>
      <c r="H54" s="26">
        <v>46212</v>
      </c>
      <c r="I54" s="25"/>
      <c r="J54" s="25"/>
      <c r="K54" s="25"/>
      <c r="L54" s="28" t="s">
        <v>232</v>
      </c>
      <c r="M54" s="27" t="s">
        <v>231</v>
      </c>
    </row>
    <row r="55" spans="1:13" ht="17" customHeight="1" x14ac:dyDescent="0.35">
      <c r="A55" s="19">
        <v>46140</v>
      </c>
      <c r="B55" s="20">
        <v>745597</v>
      </c>
      <c r="C55" s="21" t="s">
        <v>9</v>
      </c>
      <c r="D55" s="22">
        <v>696803</v>
      </c>
      <c r="E55" s="23">
        <v>14</v>
      </c>
      <c r="F55" s="24" t="s">
        <v>9</v>
      </c>
      <c r="G55" s="25" t="s">
        <v>213</v>
      </c>
      <c r="H55" s="26">
        <v>46212</v>
      </c>
      <c r="I55" s="25"/>
      <c r="J55" s="25"/>
      <c r="K55" s="25"/>
      <c r="L55" s="28" t="s">
        <v>232</v>
      </c>
      <c r="M55" s="27" t="s">
        <v>231</v>
      </c>
    </row>
    <row r="56" spans="1:13" x14ac:dyDescent="0.35">
      <c r="A56" s="19">
        <v>46137</v>
      </c>
      <c r="B56" s="20">
        <v>745593</v>
      </c>
      <c r="C56" s="21" t="s">
        <v>9</v>
      </c>
      <c r="D56" s="22">
        <v>685493</v>
      </c>
      <c r="E56" s="23">
        <v>14</v>
      </c>
      <c r="F56" s="24" t="s">
        <v>9</v>
      </c>
      <c r="G56" s="25" t="s">
        <v>213</v>
      </c>
      <c r="H56" s="26">
        <v>46212</v>
      </c>
      <c r="I56" s="25"/>
      <c r="J56" s="25"/>
      <c r="K56" s="25"/>
      <c r="L56" s="28" t="s">
        <v>232</v>
      </c>
      <c r="M56" s="27" t="s">
        <v>231</v>
      </c>
    </row>
    <row r="57" spans="1:13" ht="17" customHeight="1" x14ac:dyDescent="0.35">
      <c r="A57" s="19">
        <v>46135</v>
      </c>
      <c r="B57" s="20">
        <v>745587</v>
      </c>
      <c r="C57" s="21" t="s">
        <v>9</v>
      </c>
      <c r="D57" s="22">
        <v>711065</v>
      </c>
      <c r="E57" s="23">
        <v>14</v>
      </c>
      <c r="F57" s="24" t="s">
        <v>9</v>
      </c>
      <c r="G57" s="25" t="s">
        <v>213</v>
      </c>
      <c r="H57" s="26">
        <v>46212</v>
      </c>
      <c r="I57" s="25"/>
      <c r="J57" s="25"/>
      <c r="K57" s="25"/>
      <c r="L57" s="28" t="s">
        <v>232</v>
      </c>
      <c r="M57" s="27" t="s">
        <v>231</v>
      </c>
    </row>
    <row r="58" spans="1:13" ht="16.5" customHeight="1" x14ac:dyDescent="0.35">
      <c r="A58" s="19">
        <v>46119</v>
      </c>
      <c r="B58" s="20">
        <v>734594</v>
      </c>
      <c r="C58" s="21" t="s">
        <v>9</v>
      </c>
      <c r="D58" s="22">
        <v>711614</v>
      </c>
      <c r="E58" s="23">
        <v>14</v>
      </c>
      <c r="F58" s="24" t="s">
        <v>9</v>
      </c>
      <c r="G58" s="25" t="s">
        <v>213</v>
      </c>
      <c r="H58" s="26">
        <v>46212</v>
      </c>
      <c r="I58" s="25"/>
      <c r="J58" s="25"/>
      <c r="K58" s="25"/>
      <c r="L58" s="28" t="s">
        <v>232</v>
      </c>
      <c r="M58" s="27" t="s">
        <v>231</v>
      </c>
    </row>
    <row r="59" spans="1:13" ht="16" customHeight="1" x14ac:dyDescent="0.35">
      <c r="A59" s="19">
        <v>46182</v>
      </c>
      <c r="B59" s="20">
        <v>756045</v>
      </c>
      <c r="C59" s="21" t="s">
        <v>12</v>
      </c>
      <c r="D59" s="22">
        <v>707084</v>
      </c>
      <c r="E59" s="23">
        <v>12.01</v>
      </c>
      <c r="F59" s="31" t="s">
        <v>10</v>
      </c>
      <c r="G59" s="25" t="s">
        <v>213</v>
      </c>
      <c r="H59" s="26">
        <v>46212</v>
      </c>
      <c r="I59" s="25"/>
      <c r="J59" s="25"/>
      <c r="K59" s="25"/>
      <c r="L59" s="28" t="s">
        <v>232</v>
      </c>
      <c r="M59" s="27" t="s">
        <v>231</v>
      </c>
    </row>
    <row r="60" spans="1:13" ht="17" customHeight="1" x14ac:dyDescent="0.35">
      <c r="A60" s="19">
        <v>46179</v>
      </c>
      <c r="B60" s="20">
        <v>756036</v>
      </c>
      <c r="C60" s="21" t="s">
        <v>12</v>
      </c>
      <c r="D60" s="22">
        <v>706062</v>
      </c>
      <c r="E60" s="23">
        <v>12.01</v>
      </c>
      <c r="F60" s="31" t="s">
        <v>10</v>
      </c>
      <c r="G60" s="25" t="s">
        <v>213</v>
      </c>
      <c r="H60" s="26">
        <v>46212</v>
      </c>
      <c r="I60" s="25"/>
      <c r="J60" s="25"/>
      <c r="K60" s="25"/>
      <c r="L60" s="28" t="s">
        <v>232</v>
      </c>
      <c r="M60" s="27" t="s">
        <v>231</v>
      </c>
    </row>
    <row r="61" spans="1:13" x14ac:dyDescent="0.35">
      <c r="A61" s="19">
        <v>46154</v>
      </c>
      <c r="B61" s="20">
        <v>745623</v>
      </c>
      <c r="C61" s="21" t="s">
        <v>12</v>
      </c>
      <c r="D61" s="22">
        <v>723417</v>
      </c>
      <c r="E61" s="23">
        <v>12.01</v>
      </c>
      <c r="F61" s="24" t="s">
        <v>10</v>
      </c>
      <c r="G61" s="25" t="s">
        <v>213</v>
      </c>
      <c r="H61" s="26">
        <v>46212</v>
      </c>
      <c r="I61" s="25"/>
      <c r="J61" s="25"/>
      <c r="K61" s="25"/>
      <c r="L61" s="28" t="s">
        <v>232</v>
      </c>
      <c r="M61" s="27" t="s">
        <v>231</v>
      </c>
    </row>
    <row r="62" spans="1:13" x14ac:dyDescent="0.35">
      <c r="A62" s="19">
        <v>46151</v>
      </c>
      <c r="B62" s="20">
        <v>745619</v>
      </c>
      <c r="C62" s="21" t="s">
        <v>12</v>
      </c>
      <c r="D62" s="22">
        <v>745619</v>
      </c>
      <c r="E62" s="23">
        <v>12.01</v>
      </c>
      <c r="F62" s="24" t="s">
        <v>10</v>
      </c>
      <c r="G62" s="25" t="s">
        <v>213</v>
      </c>
      <c r="H62" s="26">
        <v>46212</v>
      </c>
      <c r="I62" s="25"/>
      <c r="J62" s="25"/>
      <c r="K62" s="25"/>
      <c r="L62" s="28" t="s">
        <v>232</v>
      </c>
      <c r="M62" s="27" t="s">
        <v>231</v>
      </c>
    </row>
    <row r="63" spans="1:13" x14ac:dyDescent="0.35">
      <c r="A63" s="19">
        <v>46149</v>
      </c>
      <c r="B63" s="20">
        <v>745615</v>
      </c>
      <c r="C63" s="21" t="s">
        <v>12</v>
      </c>
      <c r="D63" s="22">
        <v>703780</v>
      </c>
      <c r="E63" s="23">
        <v>12.01</v>
      </c>
      <c r="F63" s="24" t="s">
        <v>7</v>
      </c>
      <c r="G63" s="25" t="s">
        <v>213</v>
      </c>
      <c r="H63" s="26">
        <v>46212</v>
      </c>
      <c r="I63" s="25"/>
      <c r="J63" s="25"/>
      <c r="K63" s="25"/>
      <c r="L63" s="28" t="s">
        <v>232</v>
      </c>
      <c r="M63" s="27" t="s">
        <v>231</v>
      </c>
    </row>
    <row r="64" spans="1:13" ht="30" customHeight="1" x14ac:dyDescent="0.35">
      <c r="A64" s="19">
        <v>45955</v>
      </c>
      <c r="B64" s="20">
        <v>663246</v>
      </c>
      <c r="C64" s="21" t="s">
        <v>37</v>
      </c>
      <c r="D64" s="22">
        <v>693748</v>
      </c>
      <c r="E64" s="23">
        <v>6789.51</v>
      </c>
      <c r="F64" s="24" t="s">
        <v>32</v>
      </c>
      <c r="G64" s="25" t="s">
        <v>219</v>
      </c>
      <c r="H64" s="26">
        <v>46211</v>
      </c>
      <c r="I64" s="25" t="s">
        <v>220</v>
      </c>
      <c r="J64" s="25" t="s">
        <v>221</v>
      </c>
      <c r="K64" s="25"/>
      <c r="L64" s="27" t="s">
        <v>216</v>
      </c>
      <c r="M64" s="27" t="s">
        <v>222</v>
      </c>
    </row>
    <row r="65" spans="1:13" ht="29" customHeight="1" x14ac:dyDescent="0.35">
      <c r="A65" s="19">
        <v>45955</v>
      </c>
      <c r="B65" s="20">
        <v>663245</v>
      </c>
      <c r="C65" s="21" t="s">
        <v>38</v>
      </c>
      <c r="D65" s="22">
        <v>693748</v>
      </c>
      <c r="E65" s="23">
        <v>6153.65</v>
      </c>
      <c r="F65" s="24" t="s">
        <v>32</v>
      </c>
      <c r="G65" s="25" t="s">
        <v>219</v>
      </c>
      <c r="H65" s="26">
        <v>46211</v>
      </c>
      <c r="I65" s="25" t="s">
        <v>220</v>
      </c>
      <c r="J65" s="25" t="s">
        <v>221</v>
      </c>
      <c r="K65" s="25"/>
      <c r="L65" s="27" t="s">
        <v>216</v>
      </c>
      <c r="M65" s="27" t="s">
        <v>222</v>
      </c>
    </row>
    <row r="66" spans="1:13" ht="29" x14ac:dyDescent="0.35">
      <c r="A66" s="29">
        <v>46048</v>
      </c>
      <c r="B66" s="25">
        <v>711506</v>
      </c>
      <c r="C66" s="25" t="s">
        <v>39</v>
      </c>
      <c r="D66" s="25"/>
      <c r="E66" s="30">
        <v>5717.8</v>
      </c>
      <c r="F66" s="25" t="s">
        <v>30</v>
      </c>
      <c r="G66" s="25" t="s">
        <v>219</v>
      </c>
      <c r="H66" s="26">
        <v>46213</v>
      </c>
      <c r="I66" s="25" t="s">
        <v>220</v>
      </c>
      <c r="J66" s="25" t="s">
        <v>221</v>
      </c>
      <c r="K66" s="26">
        <v>46216</v>
      </c>
      <c r="L66" s="28" t="s">
        <v>233</v>
      </c>
      <c r="M66" s="27" t="s">
        <v>234</v>
      </c>
    </row>
    <row r="67" spans="1:13" ht="29" x14ac:dyDescent="0.35">
      <c r="A67" s="29">
        <v>46048</v>
      </c>
      <c r="B67" s="25">
        <v>711505</v>
      </c>
      <c r="C67" s="25" t="s">
        <v>39</v>
      </c>
      <c r="D67" s="25"/>
      <c r="E67" s="30">
        <v>5717.8</v>
      </c>
      <c r="F67" s="25" t="s">
        <v>30</v>
      </c>
      <c r="G67" s="25" t="s">
        <v>219</v>
      </c>
      <c r="H67" s="26">
        <v>46213</v>
      </c>
      <c r="I67" s="25" t="s">
        <v>220</v>
      </c>
      <c r="J67" s="25" t="s">
        <v>221</v>
      </c>
      <c r="K67" s="26">
        <v>46216</v>
      </c>
      <c r="L67" s="28" t="s">
        <v>233</v>
      </c>
      <c r="M67" s="27" t="s">
        <v>234</v>
      </c>
    </row>
    <row r="68" spans="1:13" ht="29" x14ac:dyDescent="0.35">
      <c r="A68" s="29">
        <v>46127</v>
      </c>
      <c r="B68" s="25">
        <v>745560</v>
      </c>
      <c r="C68" s="25" t="s">
        <v>40</v>
      </c>
      <c r="D68" s="25"/>
      <c r="E68" s="30">
        <v>5650.38</v>
      </c>
      <c r="F68" s="25" t="s">
        <v>30</v>
      </c>
      <c r="G68" s="25" t="s">
        <v>219</v>
      </c>
      <c r="H68" s="26">
        <v>46213</v>
      </c>
      <c r="I68" s="25" t="s">
        <v>220</v>
      </c>
      <c r="J68" s="25" t="s">
        <v>221</v>
      </c>
      <c r="K68" s="26">
        <v>46216</v>
      </c>
      <c r="L68" s="28" t="s">
        <v>233</v>
      </c>
      <c r="M68" s="27" t="s">
        <v>234</v>
      </c>
    </row>
    <row r="69" spans="1:13" ht="30" customHeight="1" x14ac:dyDescent="0.35">
      <c r="A69" s="29">
        <v>45849</v>
      </c>
      <c r="B69" s="25">
        <v>630407</v>
      </c>
      <c r="C69" s="25" t="s">
        <v>41</v>
      </c>
      <c r="D69" s="25"/>
      <c r="E69" s="30">
        <v>4302.5</v>
      </c>
      <c r="F69" s="25" t="s">
        <v>30</v>
      </c>
      <c r="G69" s="25" t="s">
        <v>219</v>
      </c>
      <c r="H69" s="26">
        <v>46213</v>
      </c>
      <c r="I69" s="25" t="s">
        <v>220</v>
      </c>
      <c r="J69" s="25" t="s">
        <v>221</v>
      </c>
      <c r="K69" s="26">
        <v>46216</v>
      </c>
      <c r="L69" s="28" t="s">
        <v>233</v>
      </c>
      <c r="M69" s="27" t="s">
        <v>234</v>
      </c>
    </row>
    <row r="70" spans="1:13" ht="29" x14ac:dyDescent="0.35">
      <c r="A70" s="29">
        <v>46127</v>
      </c>
      <c r="B70" s="25">
        <v>745567</v>
      </c>
      <c r="C70" s="25" t="s">
        <v>42</v>
      </c>
      <c r="D70" s="25"/>
      <c r="E70" s="30">
        <v>3530.41</v>
      </c>
      <c r="F70" s="25" t="s">
        <v>30</v>
      </c>
      <c r="G70" s="25" t="s">
        <v>219</v>
      </c>
      <c r="H70" s="26">
        <v>46213</v>
      </c>
      <c r="I70" s="25" t="s">
        <v>220</v>
      </c>
      <c r="J70" s="25" t="s">
        <v>221</v>
      </c>
      <c r="K70" s="26">
        <v>46216</v>
      </c>
      <c r="L70" s="28" t="s">
        <v>233</v>
      </c>
      <c r="M70" s="27" t="s">
        <v>234</v>
      </c>
    </row>
    <row r="71" spans="1:13" ht="58" x14ac:dyDescent="0.35">
      <c r="A71" s="29">
        <v>46148</v>
      </c>
      <c r="B71" s="25">
        <v>745613</v>
      </c>
      <c r="C71" s="25" t="s">
        <v>46</v>
      </c>
      <c r="D71" s="25"/>
      <c r="E71" s="30">
        <v>2965.7</v>
      </c>
      <c r="F71" s="25" t="s">
        <v>30</v>
      </c>
      <c r="G71" s="25" t="s">
        <v>219</v>
      </c>
      <c r="H71" s="26">
        <v>46213</v>
      </c>
      <c r="I71" s="25" t="s">
        <v>220</v>
      </c>
      <c r="J71" s="25" t="s">
        <v>221</v>
      </c>
      <c r="K71" s="26">
        <v>46216</v>
      </c>
      <c r="L71" s="28" t="s">
        <v>233</v>
      </c>
      <c r="M71" s="27" t="s">
        <v>234</v>
      </c>
    </row>
    <row r="72" spans="1:13" ht="43.5" x14ac:dyDescent="0.35">
      <c r="A72" s="29">
        <v>46127</v>
      </c>
      <c r="B72" s="25">
        <v>745564</v>
      </c>
      <c r="C72" s="25" t="s">
        <v>47</v>
      </c>
      <c r="D72" s="25"/>
      <c r="E72" s="30">
        <v>2507.7399999999998</v>
      </c>
      <c r="F72" s="25" t="s">
        <v>30</v>
      </c>
      <c r="G72" s="25" t="s">
        <v>219</v>
      </c>
      <c r="H72" s="26">
        <v>46213</v>
      </c>
      <c r="I72" s="25" t="s">
        <v>220</v>
      </c>
      <c r="J72" s="25" t="s">
        <v>221</v>
      </c>
      <c r="K72" s="26">
        <v>46216</v>
      </c>
      <c r="L72" s="28" t="s">
        <v>233</v>
      </c>
      <c r="M72" s="27" t="s">
        <v>234</v>
      </c>
    </row>
    <row r="73" spans="1:13" ht="43.5" x14ac:dyDescent="0.35">
      <c r="A73" s="29">
        <v>46127</v>
      </c>
      <c r="B73" s="25">
        <v>745563</v>
      </c>
      <c r="C73" s="25" t="s">
        <v>47</v>
      </c>
      <c r="D73" s="25"/>
      <c r="E73" s="30">
        <v>2507.7399999999998</v>
      </c>
      <c r="F73" s="25" t="s">
        <v>30</v>
      </c>
      <c r="G73" s="25" t="s">
        <v>219</v>
      </c>
      <c r="H73" s="26">
        <v>46213</v>
      </c>
      <c r="I73" s="25" t="s">
        <v>220</v>
      </c>
      <c r="J73" s="25" t="s">
        <v>221</v>
      </c>
      <c r="K73" s="26">
        <v>46216</v>
      </c>
      <c r="L73" s="28" t="s">
        <v>233</v>
      </c>
      <c r="M73" s="27" t="s">
        <v>234</v>
      </c>
    </row>
    <row r="74" spans="1:13" ht="29" x14ac:dyDescent="0.35">
      <c r="A74" s="29">
        <v>46127</v>
      </c>
      <c r="B74" s="25">
        <v>745565</v>
      </c>
      <c r="C74" s="25" t="s">
        <v>172</v>
      </c>
      <c r="D74" s="25"/>
      <c r="E74" s="30">
        <v>1353.7</v>
      </c>
      <c r="F74" s="25" t="s">
        <v>30</v>
      </c>
      <c r="G74" s="25" t="s">
        <v>219</v>
      </c>
      <c r="H74" s="26">
        <v>46213</v>
      </c>
      <c r="I74" s="25" t="s">
        <v>220</v>
      </c>
      <c r="J74" s="25" t="s">
        <v>221</v>
      </c>
      <c r="K74" s="26">
        <v>46216</v>
      </c>
      <c r="L74" s="28" t="s">
        <v>233</v>
      </c>
      <c r="M74" s="27" t="s">
        <v>234</v>
      </c>
    </row>
    <row r="75" spans="1:13" ht="29" x14ac:dyDescent="0.35">
      <c r="A75" s="29">
        <v>46127</v>
      </c>
      <c r="B75" s="25">
        <v>745562</v>
      </c>
      <c r="C75" s="25" t="s">
        <v>235</v>
      </c>
      <c r="D75" s="25"/>
      <c r="E75" s="30">
        <v>1289.4000000000001</v>
      </c>
      <c r="F75" s="25" t="s">
        <v>30</v>
      </c>
      <c r="G75" s="25" t="s">
        <v>219</v>
      </c>
      <c r="H75" s="26">
        <v>46213</v>
      </c>
      <c r="I75" s="25" t="s">
        <v>220</v>
      </c>
      <c r="J75" s="25" t="s">
        <v>221</v>
      </c>
      <c r="K75" s="26">
        <v>46216</v>
      </c>
      <c r="L75" s="28" t="s">
        <v>233</v>
      </c>
      <c r="M75" s="27" t="s">
        <v>234</v>
      </c>
    </row>
    <row r="76" spans="1:13" ht="16" customHeight="1" x14ac:dyDescent="0.35">
      <c r="A76" s="29">
        <v>46048</v>
      </c>
      <c r="B76" s="25">
        <v>711512</v>
      </c>
      <c r="C76" s="25" t="s">
        <v>69</v>
      </c>
      <c r="D76" s="25"/>
      <c r="E76" s="30">
        <v>1255.46</v>
      </c>
      <c r="F76" s="25" t="s">
        <v>30</v>
      </c>
      <c r="G76" s="25" t="s">
        <v>219</v>
      </c>
      <c r="H76" s="26">
        <v>46213</v>
      </c>
      <c r="I76" s="25" t="s">
        <v>220</v>
      </c>
      <c r="J76" s="25" t="s">
        <v>221</v>
      </c>
      <c r="K76" s="26">
        <v>46216</v>
      </c>
      <c r="L76" s="28" t="s">
        <v>233</v>
      </c>
      <c r="M76" s="27" t="s">
        <v>234</v>
      </c>
    </row>
    <row r="77" spans="1:13" ht="18.5" customHeight="1" x14ac:dyDescent="0.35">
      <c r="A77" s="29">
        <v>46048</v>
      </c>
      <c r="B77" s="25">
        <v>711513</v>
      </c>
      <c r="C77" s="25" t="s">
        <v>74</v>
      </c>
      <c r="D77" s="25"/>
      <c r="E77" s="30">
        <v>901.14</v>
      </c>
      <c r="F77" s="25" t="s">
        <v>30</v>
      </c>
      <c r="G77" s="25" t="s">
        <v>219</v>
      </c>
      <c r="H77" s="26">
        <v>46213</v>
      </c>
      <c r="I77" s="25" t="s">
        <v>220</v>
      </c>
      <c r="J77" s="25" t="s">
        <v>221</v>
      </c>
      <c r="K77" s="26">
        <v>46216</v>
      </c>
      <c r="L77" s="28" t="s">
        <v>233</v>
      </c>
      <c r="M77" s="27" t="s">
        <v>234</v>
      </c>
    </row>
    <row r="78" spans="1:13" ht="16" customHeight="1" x14ac:dyDescent="0.35">
      <c r="A78" s="19">
        <v>45955</v>
      </c>
      <c r="B78" s="20">
        <v>663244</v>
      </c>
      <c r="C78" s="21" t="s">
        <v>75</v>
      </c>
      <c r="D78" s="22">
        <v>693748</v>
      </c>
      <c r="E78" s="23">
        <v>892.5</v>
      </c>
      <c r="F78" s="24" t="s">
        <v>32</v>
      </c>
      <c r="G78" s="25" t="s">
        <v>219</v>
      </c>
      <c r="H78" s="26">
        <v>46211</v>
      </c>
      <c r="I78" s="25" t="s">
        <v>220</v>
      </c>
      <c r="J78" s="25" t="s">
        <v>221</v>
      </c>
      <c r="K78" s="25"/>
      <c r="L78" s="27" t="s">
        <v>233</v>
      </c>
      <c r="M78" s="27" t="s">
        <v>234</v>
      </c>
    </row>
    <row r="79" spans="1:13" ht="17.5" customHeight="1" x14ac:dyDescent="0.35">
      <c r="A79" s="29">
        <v>46048</v>
      </c>
      <c r="B79" s="25">
        <v>711510</v>
      </c>
      <c r="C79" s="25" t="s">
        <v>90</v>
      </c>
      <c r="D79" s="25"/>
      <c r="E79" s="30">
        <v>658.74</v>
      </c>
      <c r="F79" s="25" t="s">
        <v>30</v>
      </c>
      <c r="G79" s="25" t="s">
        <v>219</v>
      </c>
      <c r="H79" s="26">
        <v>46213</v>
      </c>
      <c r="I79" s="25" t="s">
        <v>220</v>
      </c>
      <c r="J79" s="25" t="s">
        <v>221</v>
      </c>
      <c r="K79" s="26">
        <v>46216</v>
      </c>
      <c r="L79" s="28" t="s">
        <v>233</v>
      </c>
      <c r="M79" s="27" t="s">
        <v>234</v>
      </c>
    </row>
    <row r="80" spans="1:13" ht="16.5" customHeight="1" x14ac:dyDescent="0.35">
      <c r="A80" s="29">
        <v>46127</v>
      </c>
      <c r="B80" s="25">
        <v>745568</v>
      </c>
      <c r="C80" s="25" t="s">
        <v>92</v>
      </c>
      <c r="D80" s="25"/>
      <c r="E80" s="30">
        <v>626.92999999999995</v>
      </c>
      <c r="F80" s="25" t="s">
        <v>30</v>
      </c>
      <c r="G80" s="25" t="s">
        <v>219</v>
      </c>
      <c r="H80" s="26">
        <v>46213</v>
      </c>
      <c r="I80" s="25" t="s">
        <v>220</v>
      </c>
      <c r="J80" s="25" t="s">
        <v>221</v>
      </c>
      <c r="K80" s="26">
        <v>46216</v>
      </c>
      <c r="L80" s="28" t="s">
        <v>233</v>
      </c>
      <c r="M80" s="27" t="s">
        <v>234</v>
      </c>
    </row>
    <row r="81" spans="1:13" ht="30.5" customHeight="1" x14ac:dyDescent="0.35">
      <c r="A81" s="33">
        <v>45957</v>
      </c>
      <c r="B81" s="34">
        <v>663247</v>
      </c>
      <c r="C81" s="35" t="s">
        <v>94</v>
      </c>
      <c r="D81" s="36">
        <v>693748</v>
      </c>
      <c r="E81" s="37">
        <v>621.28</v>
      </c>
      <c r="F81" s="38" t="s">
        <v>32</v>
      </c>
      <c r="G81" s="39" t="s">
        <v>219</v>
      </c>
      <c r="H81" s="40">
        <v>46211</v>
      </c>
      <c r="I81" s="39" t="s">
        <v>220</v>
      </c>
      <c r="J81" s="39" t="s">
        <v>221</v>
      </c>
      <c r="K81" s="39"/>
      <c r="L81" s="27" t="s">
        <v>233</v>
      </c>
      <c r="M81" s="41" t="s">
        <v>234</v>
      </c>
    </row>
  </sheetData>
  <mergeCells count="1">
    <mergeCell ref="A1:M1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Outdtsnding claims queries</vt:lpstr>
      <vt:lpstr>Outstanding_claims</vt:lpstr>
      <vt:lpstr>Outstanding claims 2026-07-15</vt:lpstr>
      <vt:lpstr>Enquiry tracking</vt:lpstr>
      <vt:lpstr>'Enquiry tracking'!Print_Titles</vt:lpstr>
      <vt:lpstr>'Outstanding claims 2026-07-15'!Print_Titles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2026-07-10T07:36:24Z</dcterms:created>
  <dcterms:modified xsi:type="dcterms:W3CDTF">2026-07-17T13:39:21Z</dcterms:modified>
</cp:coreProperties>
</file>
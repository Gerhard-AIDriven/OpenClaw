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S5\Desktop\Gerhard\"/>
    </mc:Choice>
  </mc:AlternateContent>
  <xr:revisionPtr revIDLastSave="0" documentId="8_{FCE29F12-132D-43AE-B4EE-DD2A21B4ADD6}" xr6:coauthVersionLast="47" xr6:coauthVersionMax="47" xr10:uidLastSave="{00000000-0000-0000-0000-000000000000}"/>
  <bookViews>
    <workbookView xWindow="-120" yWindow="-120" windowWidth="29040" windowHeight="15720" xr2:uid="{09FE0947-E4C2-40D5-9E8F-187C09C7F11A}"/>
  </bookViews>
  <sheets>
    <sheet name="Claims with GRV's rejected" sheetId="1" r:id="rId1"/>
  </sheets>
  <definedNames>
    <definedName name="ExternalData_2" localSheetId="0" hidden="1">'Claims with GRV''s rejected'!$A$1:$Q$11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09B937-20BA-44E1-B0D6-930BF06260F9}" keepAlive="1" name="Query - Claims" description="Connection to the 'Claims' query in the workbook." type="5" refreshedVersion="0" background="1">
    <dbPr connection="Provider=Microsoft.Mashup.OleDb.1;Data Source=$Workbook$;Location=Claims;Extended Properties=&quot;&quot;" command="SELECT * FROM [Claims]"/>
  </connection>
  <connection id="2" xr16:uid="{F73E8401-58D6-4BDE-ACD5-4701E49607B7}" keepAlive="1" name="Query - Claims rejected" description="Connection to the 'Claims rejected' query in the workbook." type="5" refreshedVersion="8" background="1" saveData="1">
    <dbPr connection="Provider=Microsoft.Mashup.OleDb.1;Data Source=$Workbook$;Location=&quot;Claims rejected&quot;;Extended Properties=&quot;&quot;" command="SELECT * FROM [Claims rejected]"/>
  </connection>
  <connection id="3" xr16:uid="{A89CF700-216A-475A-B7C9-5D6183492F87}" keepAlive="1" name="Query - Rejections" description="Connection to the 'Rejections' query in the workbook." type="5" refreshedVersion="0" background="1">
    <dbPr connection="Provider=Microsoft.Mashup.OleDb.1;Data Source=$Workbook$;Location=Rejections;Extended Properties=&quot;&quot;" command="SELECT * FROM [Rejections]"/>
  </connection>
</connections>
</file>

<file path=xl/sharedStrings.xml><?xml version="1.0" encoding="utf-8"?>
<sst xmlns="http://schemas.openxmlformats.org/spreadsheetml/2006/main" count="60" uniqueCount="34">
  <si>
    <t>Claim date</t>
  </si>
  <si>
    <t>Claim No</t>
  </si>
  <si>
    <t>Item name for claim</t>
  </si>
  <si>
    <t>GRN</t>
  </si>
  <si>
    <t>Claim Value</t>
  </si>
  <si>
    <t>Reason for claim</t>
  </si>
  <si>
    <t>To</t>
  </si>
  <si>
    <t>Sent</t>
  </si>
  <si>
    <t>Response Received</t>
  </si>
  <si>
    <t>From</t>
  </si>
  <si>
    <t>Date</t>
  </si>
  <si>
    <t>Status</t>
  </si>
  <si>
    <t>Rejections.Claim.No.</t>
  </si>
  <si>
    <t>Rejections.Value</t>
  </si>
  <si>
    <t>Rejections.Reg.Date</t>
  </si>
  <si>
    <t>Rejections.Cur/Date</t>
  </si>
  <si>
    <t>Rejections.Out/days</t>
  </si>
  <si>
    <t>SPAR YB SPICE BEEF SAUSAGE 1KG</t>
  </si>
  <si>
    <t>NOT ORDERED</t>
  </si>
  <si>
    <t>Brandon</t>
  </si>
  <si>
    <t>Paid</t>
  </si>
  <si>
    <t>3/30/2026</t>
  </si>
  <si>
    <t xml:space="preserve">BLACK FRIDAY PROMO </t>
  </si>
  <si>
    <t>OVER STOCK</t>
  </si>
  <si>
    <t>Need copies of claims and proof of email sent in 24h</t>
  </si>
  <si>
    <t>Bandon</t>
  </si>
  <si>
    <t>We must confirm if stock hasn’t been re-used</t>
  </si>
  <si>
    <t>LISTERINE ASST.500ML 12PACK</t>
  </si>
  <si>
    <t>10/30/2025</t>
  </si>
  <si>
    <t xml:space="preserve"> DOVE SOAP 4's ASST</t>
  </si>
  <si>
    <t>ORAL B T/B ASST.</t>
  </si>
  <si>
    <t>DOVE SOAPWHITE 4's</t>
  </si>
  <si>
    <t>S/FREE MAXI ASST.</t>
  </si>
  <si>
    <t xml:space="preserve"> BAVARIA MALT NRB 340ML /FITS&amp;LEEDS TONIC PINK 1LT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</si>
</sst>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1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36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numFmt numFmtId="19" formatCode="dd/mm/yyyy"/>
      <alignment horizontal="right" vertical="top" textRotation="0" wrapText="1" indent="0" justifyLastLine="0" shrinkToFit="0" readingOrder="0"/>
    </dxf>
    <dxf>
      <numFmt numFmtId="19" formatCode="dd/mm/yyyy"/>
      <alignment horizontal="right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numFmt numFmtId="19" formatCode="dd/mm/yyyy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10AC9A2-7121-4885-AD11-C2E09150FCB1}" autoFormatId="16" applyNumberFormats="0" applyBorderFormats="0" applyFontFormats="0" applyPatternFormats="0" applyAlignmentFormats="0" applyWidthHeightFormats="0">
  <queryTableRefresh nextId="18">
    <queryTableFields count="17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  <queryTableField id="7" name="To" tableColumnId="7"/>
      <queryTableField id="8" name="Sent" tableColumnId="8"/>
      <queryTableField id="9" name="Response Received" tableColumnId="9"/>
      <queryTableField id="10" name="From" tableColumnId="10"/>
      <queryTableField id="11" name="Date" tableColumnId="11"/>
      <queryTableField id="12" name="Status" tableColumnId="12"/>
      <queryTableField id="13" name="Rejections.Claim.No." tableColumnId="13"/>
      <queryTableField id="14" name="Rejections.Value" tableColumnId="14"/>
      <queryTableField id="15" name="Rejections.Reg.Date" tableColumnId="15"/>
      <queryTableField id="16" name="Rejections.Cur/Date" tableColumnId="16"/>
      <queryTableField id="17" name="Rejections.Out/day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88BB9-2A82-40B5-BB8A-35A58D056F6E}" name="Claims_rejected" displayName="Claims_rejected" ref="A1:Q12" tableType="queryTable" totalsRowCount="1" headerRowDxfId="35" dataDxfId="34">
  <autoFilter ref="A1:Q11" xr:uid="{4C29F84B-D92F-49AE-B3E7-76A7BC5972AB}"/>
  <sortState xmlns:xlrd2="http://schemas.microsoft.com/office/spreadsheetml/2017/richdata2" ref="A2:Q11">
    <sortCondition descending="1" ref="D1:D11"/>
  </sortState>
  <tableColumns count="17">
    <tableColumn id="1" xr3:uid="{99B8FCD7-0A2D-43DC-9144-39D54F13FFCD}" uniqueName="1" name="Claim date" queryTableFieldId="1" dataDxfId="32" totalsRowDxfId="33"/>
    <tableColumn id="2" xr3:uid="{1DE87CC2-6576-427B-83C9-347FCC557B02}" uniqueName="2" name="Claim No" queryTableFieldId="2" dataDxfId="30" totalsRowDxfId="31"/>
    <tableColumn id="3" xr3:uid="{AA1F9C02-C691-4F28-8141-BD2E9900BACD}" uniqueName="3" name="Item name for claim" queryTableFieldId="3" dataDxfId="28" totalsRowDxfId="29"/>
    <tableColumn id="4" xr3:uid="{D9909B2B-E6D9-4212-9496-586B1499D44E}" uniqueName="4" name="GRN" queryTableFieldId="4" dataDxfId="26" totalsRowDxfId="27"/>
    <tableColumn id="5" xr3:uid="{A405E3C2-D1CC-4341-87DE-EA4CB5FFDB9F}" uniqueName="5" name="Claim Value" totalsRowFunction="custom" queryTableFieldId="5" dataDxfId="24" totalsRowDxfId="25">
      <totalsRowFormula>SUM(Claims_rejected[Claim Value])</totalsRowFormula>
    </tableColumn>
    <tableColumn id="6" xr3:uid="{B6FF9E50-C742-41FF-8A82-AE2A48873E59}" uniqueName="6" name="Reason for claim" queryTableFieldId="6" dataDxfId="22" totalsRowDxfId="23"/>
    <tableColumn id="7" xr3:uid="{1D5034C0-AB6C-4456-B3AB-6FC0362D5DA3}" uniqueName="7" name="To" queryTableFieldId="7" dataDxfId="20" totalsRowDxfId="21"/>
    <tableColumn id="8" xr3:uid="{25F081EE-450C-4865-A08A-64DCC2E8677F}" uniqueName="8" name="Sent" queryTableFieldId="8" dataDxfId="18" totalsRowDxfId="19"/>
    <tableColumn id="9" xr3:uid="{85B32D6E-E2A2-49DD-B223-27C72558B246}" uniqueName="9" name="Response Received" queryTableFieldId="9" dataDxfId="16" totalsRowDxfId="17"/>
    <tableColumn id="10" xr3:uid="{81A55ED4-CF4F-4ACD-B48B-5811661A6E2A}" uniqueName="10" name="From" queryTableFieldId="10" dataDxfId="14" totalsRowDxfId="15"/>
    <tableColumn id="11" xr3:uid="{6FD1C48B-CDE0-4009-9206-3930F0992AA2}" uniqueName="11" name="Date" queryTableFieldId="11" dataDxfId="12" totalsRowDxfId="13"/>
    <tableColumn id="12" xr3:uid="{245FAD6E-5651-49D4-A48B-ADF8E5857D92}" uniqueName="12" name="Status" queryTableFieldId="12" dataDxfId="10" totalsRowDxfId="11"/>
    <tableColumn id="13" xr3:uid="{229AC85E-725E-457D-ABAA-845B98381A59}" uniqueName="13" name="Rejections.Claim.No." queryTableFieldId="13" dataDxfId="8" totalsRowDxfId="9"/>
    <tableColumn id="14" xr3:uid="{6B228D6D-655E-4DCB-993A-07ADD30F4323}" uniqueName="14" name="Rejections.Value" queryTableFieldId="14" dataDxfId="6" totalsRowDxfId="7"/>
    <tableColumn id="15" xr3:uid="{3F3B5322-BDA1-4C54-8D7F-47B3E2E9E195}" uniqueName="15" name="Rejections.Reg.Date" queryTableFieldId="15" dataDxfId="4" totalsRowDxfId="5"/>
    <tableColumn id="16" xr3:uid="{60DD194C-DE45-4E7F-AE63-C187A2CAD17F}" uniqueName="16" name="Rejections.Cur/Date" queryTableFieldId="16" dataDxfId="2" totalsRowDxfId="3"/>
    <tableColumn id="17" xr3:uid="{0FB57A21-1E3E-4BDC-B614-B1A1E5414B69}" uniqueName="17" name="Rejections.Out/days" queryTableFieldId="17" dataDxfId="0" totalsRow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9F10-0B6C-41DD-9E2F-2BDAE6502772}">
  <dimension ref="A1:Q12"/>
  <sheetViews>
    <sheetView tabSelected="1" workbookViewId="0">
      <selection activeCell="D17" sqref="D17"/>
    </sheetView>
  </sheetViews>
  <sheetFormatPr defaultColWidth="22.7109375" defaultRowHeight="30.75" customHeight="1" x14ac:dyDescent="0.25"/>
  <cols>
    <col min="1" max="1" width="11.42578125" style="1" customWidth="1"/>
    <col min="2" max="2" width="8.85546875" style="2" customWidth="1"/>
    <col min="3" max="3" width="22.7109375" style="2"/>
    <col min="4" max="4" width="7.28515625" style="2" bestFit="1" customWidth="1"/>
    <col min="5" max="5" width="10" style="3" customWidth="1"/>
    <col min="6" max="6" width="13.5703125" style="2" customWidth="1"/>
    <col min="7" max="7" width="10" style="2" customWidth="1"/>
    <col min="8" max="8" width="11.28515625" style="1" customWidth="1"/>
    <col min="9" max="9" width="0" style="2" hidden="1" customWidth="1"/>
    <col min="10" max="10" width="8.7109375" style="2" hidden="1" customWidth="1"/>
    <col min="11" max="11" width="10.7109375" style="1" hidden="1" customWidth="1"/>
    <col min="12" max="12" width="0" style="2" hidden="1" customWidth="1"/>
    <col min="13" max="13" width="11.140625" style="2" customWidth="1"/>
    <col min="14" max="14" width="10.28515625" style="3" customWidth="1"/>
    <col min="15" max="15" width="11.5703125" style="4" customWidth="1"/>
    <col min="16" max="16" width="11" style="2" customWidth="1"/>
    <col min="17" max="17" width="10.42578125" style="2" customWidth="1"/>
    <col min="18" max="16384" width="22.7109375" style="2"/>
  </cols>
  <sheetData>
    <row r="1" spans="1:17" ht="30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2" t="s">
        <v>15</v>
      </c>
      <c r="Q1" s="2" t="s">
        <v>16</v>
      </c>
    </row>
    <row r="2" spans="1:17" ht="30" x14ac:dyDescent="0.25">
      <c r="A2" s="1">
        <v>46102</v>
      </c>
      <c r="B2" s="2">
        <v>734649</v>
      </c>
      <c r="C2" s="2" t="s">
        <v>17</v>
      </c>
      <c r="D2" s="2">
        <v>707039</v>
      </c>
      <c r="E2" s="3">
        <v>1341.8</v>
      </c>
      <c r="F2" s="2" t="s">
        <v>18</v>
      </c>
      <c r="G2" s="2" t="s">
        <v>19</v>
      </c>
      <c r="H2" s="1">
        <v>46211</v>
      </c>
      <c r="L2" s="2" t="s">
        <v>20</v>
      </c>
      <c r="M2" s="2">
        <v>734649</v>
      </c>
      <c r="N2" s="3">
        <v>1314.8</v>
      </c>
      <c r="O2" s="4" t="s">
        <v>21</v>
      </c>
      <c r="P2" s="1">
        <v>46167</v>
      </c>
      <c r="Q2" s="2">
        <v>55</v>
      </c>
    </row>
    <row r="3" spans="1:17" ht="30.75" customHeight="1" x14ac:dyDescent="0.25">
      <c r="A3" s="1">
        <v>46001</v>
      </c>
      <c r="B3" s="2">
        <v>691307</v>
      </c>
      <c r="C3" s="2" t="s">
        <v>22</v>
      </c>
      <c r="D3" s="2">
        <v>707012</v>
      </c>
      <c r="E3" s="3">
        <v>7752.4</v>
      </c>
      <c r="F3" s="2" t="s">
        <v>23</v>
      </c>
      <c r="G3" s="2" t="s">
        <v>19</v>
      </c>
      <c r="H3" s="1">
        <v>46211</v>
      </c>
      <c r="I3" s="2" t="s">
        <v>24</v>
      </c>
      <c r="J3" s="2" t="s">
        <v>25</v>
      </c>
      <c r="K3" s="1">
        <v>46216</v>
      </c>
      <c r="L3" s="2" t="s">
        <v>26</v>
      </c>
      <c r="M3" s="2">
        <v>691307</v>
      </c>
      <c r="N3" s="3">
        <v>7752.4</v>
      </c>
      <c r="O3" s="4">
        <v>45973</v>
      </c>
      <c r="P3" s="1">
        <v>46167</v>
      </c>
      <c r="Q3" s="2">
        <v>164</v>
      </c>
    </row>
    <row r="4" spans="1:17" ht="30.75" customHeight="1" x14ac:dyDescent="0.25">
      <c r="A4" s="1">
        <v>45992</v>
      </c>
      <c r="B4" s="2">
        <v>691279</v>
      </c>
      <c r="C4" s="2" t="s">
        <v>22</v>
      </c>
      <c r="D4" s="2">
        <v>701797</v>
      </c>
      <c r="E4" s="3">
        <v>30783.11</v>
      </c>
      <c r="F4" s="2" t="s">
        <v>23</v>
      </c>
      <c r="G4" s="2" t="s">
        <v>19</v>
      </c>
      <c r="H4" s="1">
        <v>46211</v>
      </c>
      <c r="I4" s="2" t="s">
        <v>24</v>
      </c>
      <c r="J4" s="2" t="s">
        <v>25</v>
      </c>
      <c r="K4" s="1">
        <v>46216</v>
      </c>
      <c r="L4" s="2" t="s">
        <v>26</v>
      </c>
      <c r="M4" s="2">
        <v>691279</v>
      </c>
      <c r="N4" s="3">
        <v>30783.11</v>
      </c>
      <c r="O4" s="4">
        <v>45942</v>
      </c>
      <c r="P4" s="1">
        <v>46167</v>
      </c>
      <c r="Q4" s="2">
        <v>165</v>
      </c>
    </row>
    <row r="5" spans="1:17" ht="30.75" customHeight="1" x14ac:dyDescent="0.25">
      <c r="A5" s="1">
        <v>45955</v>
      </c>
      <c r="B5" s="2">
        <v>663245</v>
      </c>
      <c r="C5" s="2" t="s">
        <v>27</v>
      </c>
      <c r="D5" s="2">
        <v>693748</v>
      </c>
      <c r="E5" s="3">
        <v>6153.65</v>
      </c>
      <c r="F5" s="2" t="s">
        <v>18</v>
      </c>
      <c r="G5" s="2" t="s">
        <v>19</v>
      </c>
      <c r="H5" s="1">
        <v>46211</v>
      </c>
      <c r="M5" s="2">
        <v>663245</v>
      </c>
      <c r="N5" s="3">
        <v>6153.65</v>
      </c>
      <c r="O5" s="4" t="s">
        <v>28</v>
      </c>
      <c r="P5" s="1">
        <v>46167</v>
      </c>
      <c r="Q5" s="2">
        <v>205</v>
      </c>
    </row>
    <row r="6" spans="1:17" ht="30.75" customHeight="1" x14ac:dyDescent="0.25">
      <c r="A6" s="1">
        <v>45955</v>
      </c>
      <c r="B6" s="2">
        <v>663246</v>
      </c>
      <c r="C6" s="2" t="s">
        <v>29</v>
      </c>
      <c r="D6" s="2">
        <v>693748</v>
      </c>
      <c r="E6" s="3">
        <v>6789.51</v>
      </c>
      <c r="F6" s="2" t="s">
        <v>18</v>
      </c>
      <c r="G6" s="2" t="s">
        <v>19</v>
      </c>
      <c r="H6" s="1">
        <v>46211</v>
      </c>
      <c r="M6" s="2">
        <v>663246</v>
      </c>
      <c r="N6" s="3">
        <v>6789.51</v>
      </c>
      <c r="O6" s="4" t="s">
        <v>28</v>
      </c>
      <c r="P6" s="1">
        <v>46167</v>
      </c>
      <c r="Q6" s="2">
        <v>205</v>
      </c>
    </row>
    <row r="7" spans="1:17" ht="30.75" customHeight="1" x14ac:dyDescent="0.25">
      <c r="A7" s="1">
        <v>45955</v>
      </c>
      <c r="B7" s="2">
        <v>663246</v>
      </c>
      <c r="C7" s="2" t="s">
        <v>29</v>
      </c>
      <c r="D7" s="2">
        <v>693748</v>
      </c>
      <c r="E7" s="3">
        <v>6789.51</v>
      </c>
      <c r="F7" s="2" t="s">
        <v>18</v>
      </c>
      <c r="G7" s="2" t="s">
        <v>19</v>
      </c>
      <c r="H7" s="1">
        <v>46211</v>
      </c>
      <c r="M7" s="2">
        <v>663246</v>
      </c>
      <c r="N7" s="3">
        <v>6789.51</v>
      </c>
      <c r="O7" s="4" t="s">
        <v>28</v>
      </c>
      <c r="P7" s="1">
        <v>46167</v>
      </c>
      <c r="Q7" s="2">
        <v>205</v>
      </c>
    </row>
    <row r="8" spans="1:17" ht="30.75" customHeight="1" x14ac:dyDescent="0.25">
      <c r="A8" s="1">
        <v>45967</v>
      </c>
      <c r="B8" s="2">
        <v>663180</v>
      </c>
      <c r="C8" s="2" t="s">
        <v>30</v>
      </c>
      <c r="D8" s="2">
        <v>693748</v>
      </c>
      <c r="E8" s="3">
        <v>2240.85</v>
      </c>
      <c r="F8" s="2" t="s">
        <v>18</v>
      </c>
      <c r="G8" s="2" t="s">
        <v>19</v>
      </c>
      <c r="H8" s="1">
        <v>46211</v>
      </c>
      <c r="M8" s="2">
        <v>663180</v>
      </c>
      <c r="N8" s="3">
        <v>2240.85</v>
      </c>
      <c r="O8" s="4">
        <v>45849</v>
      </c>
      <c r="P8" s="1">
        <v>46167</v>
      </c>
      <c r="Q8" s="2">
        <v>198</v>
      </c>
    </row>
    <row r="9" spans="1:17" ht="30.75" customHeight="1" x14ac:dyDescent="0.25">
      <c r="A9" s="1">
        <v>45955</v>
      </c>
      <c r="B9" s="2">
        <v>663244</v>
      </c>
      <c r="C9" s="2" t="s">
        <v>31</v>
      </c>
      <c r="D9" s="2">
        <v>693748</v>
      </c>
      <c r="E9" s="3">
        <v>892.5</v>
      </c>
      <c r="F9" s="2" t="s">
        <v>18</v>
      </c>
      <c r="G9" s="2" t="s">
        <v>19</v>
      </c>
      <c r="H9" s="1">
        <v>46211</v>
      </c>
      <c r="M9" s="2">
        <v>663244</v>
      </c>
      <c r="N9" s="3">
        <v>892.5</v>
      </c>
      <c r="O9" s="4" t="s">
        <v>28</v>
      </c>
      <c r="P9" s="1">
        <v>46167</v>
      </c>
      <c r="Q9" s="2">
        <v>205</v>
      </c>
    </row>
    <row r="10" spans="1:17" ht="30.75" customHeight="1" x14ac:dyDescent="0.25">
      <c r="A10" s="1">
        <v>45957</v>
      </c>
      <c r="B10" s="2">
        <v>663247</v>
      </c>
      <c r="C10" s="2" t="s">
        <v>32</v>
      </c>
      <c r="D10" s="2">
        <v>693748</v>
      </c>
      <c r="E10" s="3">
        <v>621.28</v>
      </c>
      <c r="F10" s="2" t="s">
        <v>18</v>
      </c>
      <c r="G10" s="2" t="s">
        <v>19</v>
      </c>
      <c r="H10" s="1">
        <v>46211</v>
      </c>
      <c r="M10" s="2">
        <v>663247</v>
      </c>
      <c r="N10" s="3">
        <v>621.28</v>
      </c>
      <c r="O10" s="4" t="s">
        <v>28</v>
      </c>
      <c r="P10" s="1">
        <v>46167</v>
      </c>
      <c r="Q10" s="2">
        <v>205</v>
      </c>
    </row>
    <row r="11" spans="1:17" ht="30.75" customHeight="1" x14ac:dyDescent="0.25">
      <c r="A11" s="1">
        <v>46015</v>
      </c>
      <c r="B11" s="2">
        <v>691341</v>
      </c>
      <c r="C11" s="2" t="s">
        <v>33</v>
      </c>
      <c r="D11" s="2">
        <v>687355</v>
      </c>
      <c r="E11" s="3">
        <v>9784.11</v>
      </c>
      <c r="F11" s="2" t="s">
        <v>18</v>
      </c>
      <c r="G11" s="2" t="s">
        <v>19</v>
      </c>
      <c r="H11" s="1">
        <v>46211</v>
      </c>
      <c r="M11" s="2">
        <v>691341</v>
      </c>
      <c r="N11" s="3">
        <v>9784.11</v>
      </c>
      <c r="O11" s="4">
        <v>46266</v>
      </c>
      <c r="P11" s="1">
        <v>46167</v>
      </c>
      <c r="Q11" s="2">
        <v>136</v>
      </c>
    </row>
    <row r="12" spans="1:17" ht="30.75" customHeight="1" x14ac:dyDescent="0.25">
      <c r="E12" s="3">
        <f>SUM(Claims_rejected[Claim Value])</f>
        <v>73148.72</v>
      </c>
      <c r="P1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03DA41-64CF-4A4F-99DB-33BC0C7D51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 with GRV's rejected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@ Bonnievale</dc:creator>
  <cp:lastModifiedBy>Jan @ Bonnievale</cp:lastModifiedBy>
  <dcterms:created xsi:type="dcterms:W3CDTF">2026-07-14T10:11:43Z</dcterms:created>
  <dcterms:modified xsi:type="dcterms:W3CDTF">2026-07-14T10:13:01Z</dcterms:modified>
</cp:coreProperties>
</file>
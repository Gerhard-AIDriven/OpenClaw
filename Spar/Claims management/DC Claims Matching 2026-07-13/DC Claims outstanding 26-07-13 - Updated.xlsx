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3\"/>
    </mc:Choice>
  </mc:AlternateContent>
  <xr:revisionPtr revIDLastSave="0" documentId="13_ncr:1_{BCFEAE88-95F9-469F-AC30-81BF3FC87FCD}" xr6:coauthVersionLast="47" xr6:coauthVersionMax="47" xr10:uidLastSave="{00000000-0000-0000-0000-000000000000}"/>
  <bookViews>
    <workbookView xWindow="-110" yWindow="-110" windowWidth="19420" windowHeight="10300" firstSheet="4" activeTab="4" xr2:uid="{07C47CFD-61A5-4BC0-BE28-2B828F8C8409}"/>
  </bookViews>
  <sheets>
    <sheet name="Outstanding_claims (2)" sheetId="3" r:id="rId1"/>
    <sheet name="Outstanding_claims" sheetId="2" r:id="rId2"/>
    <sheet name="Outstanding claims remaining" sheetId="5" r:id="rId3"/>
    <sheet name="Matched_claims" sheetId="4" r:id="rId4"/>
    <sheet name="Outstanding claims 2026-07-13" sheetId="6" r:id="rId5"/>
  </sheets>
  <definedNames>
    <definedName name="_xlnm._FilterDatabase" localSheetId="4" hidden="1">'Outstanding claims 2026-07-13'!$A$3:$F$197</definedName>
    <definedName name="ExternalData_1" localSheetId="3" hidden="1">Matched_claims!$A$1:$M$52</definedName>
    <definedName name="ExternalData_1" localSheetId="0" hidden="1">'Outstanding_claims (2)'!$A$1:$F$246</definedName>
    <definedName name="ExternalData_2" localSheetId="2" hidden="1">'Outstanding claims remaining'!$A$1:$F$195</definedName>
    <definedName name="_xlnm.Print_Titles" localSheetId="4">'Outstanding claims 2026-07-13'!$2:$3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/>
  <c r="E2" i="6"/>
  <c r="E19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ED6CB-4E21-48DC-B70D-5A05E45033B3}" keepAlive="1" name="Query - Matched_claims" description="Connection to the 'Matched_claims' query in the workbook." type="5" refreshedVersion="8" background="1" saveData="1">
    <dbPr connection="Provider=Microsoft.Mashup.OleDb.1;Data Source=$Workbook$;Location=Matched_claims;Extended Properties=&quot;&quot;" command="SELECT * FROM [Matched_claims]"/>
  </connection>
  <connection id="2" xr16:uid="{A043208E-ACA7-4DBD-8DCB-C7DFEDC57385}" keepAlive="1" name="Query - Outstanding claims remaining" description="Connection to the 'Outstanding claims remaining' query in the workbook." type="5" refreshedVersion="8" background="1" saveData="1">
    <dbPr connection="Provider=Microsoft.Mashup.OleDb.1;Data Source=$Workbook$;Location=&quot;Outstanding claims remaining&quot;;Extended Properties=&quot;&quot;" command="SELECT * FROM [Outstanding claims remaining]"/>
  </connection>
  <connection id="3" xr16:uid="{910546A4-2D8E-4F3D-8D87-9A3789D3610C}" keepAlive="1" name="Query - Outstanding claims remaining (2)" description="Connection to the 'Outstanding claims remaining (2)' query in the workbook." type="5" refreshedVersion="8" background="1" saveData="1">
    <dbPr connection="Provider=Microsoft.Mashup.OleDb.1;Data Source=$Workbook$;Location=&quot;Outstanding claims remaining (2)&quot;;Extended Properties=&quot;&quot;" command="SELECT * FROM [Outstanding claims remaining (2)]"/>
  </connection>
  <connection id="4" xr16:uid="{93B418FC-6D15-4D0C-9A88-68EAF6C31525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</connections>
</file>

<file path=xl/sharedStrings.xml><?xml version="1.0" encoding="utf-8"?>
<sst xmlns="http://schemas.openxmlformats.org/spreadsheetml/2006/main" count="2039" uniqueCount="284">
  <si>
    <t>Claim date</t>
  </si>
  <si>
    <t>Claim No</t>
  </si>
  <si>
    <t>Item name for claim</t>
  </si>
  <si>
    <t>GRN</t>
  </si>
  <si>
    <t>Claim Value</t>
  </si>
  <si>
    <t>Reason for claim</t>
  </si>
  <si>
    <t>Merged_DC_statements.Business Unit</t>
  </si>
  <si>
    <t>Merged_DC_statements.Document
Date</t>
  </si>
  <si>
    <t>Merged_DC_statements.Document
Number</t>
  </si>
  <si>
    <t>Merged_DC_statements.Document
Type</t>
  </si>
  <si>
    <t>Merged_DC_statements.Credit
Amount</t>
  </si>
  <si>
    <t xml:space="preserve">Merged_DC_statements.
 Comments </t>
  </si>
  <si>
    <t>Merged_DC_statements.Claim Number</t>
  </si>
  <si>
    <t>H/KEN CRATES 660ML</t>
  </si>
  <si>
    <t>H/KEN QRT CRATES</t>
  </si>
  <si>
    <t>TOPS</t>
  </si>
  <si>
    <t>CRED</t>
  </si>
  <si>
    <t>663231 HKEN</t>
  </si>
  <si>
    <t>BARCARDI W/MELON 440ML</t>
  </si>
  <si>
    <t>WRONG GOODS RECEIVED</t>
  </si>
  <si>
    <t>688656</t>
  </si>
  <si>
    <t>DISTELL CRATES</t>
  </si>
  <si>
    <t>734587 WINE</t>
  </si>
  <si>
    <t>H/KEN CRATES</t>
  </si>
  <si>
    <t>734595 HKEN</t>
  </si>
  <si>
    <t>734594 WINE</t>
  </si>
  <si>
    <t>H/KEN CRARES</t>
  </si>
  <si>
    <t>734596 HKEN</t>
  </si>
  <si>
    <t>734597 WINE</t>
  </si>
  <si>
    <t>745587 WINE</t>
  </si>
  <si>
    <t>745594 HKEN</t>
  </si>
  <si>
    <t>745593 WINE</t>
  </si>
  <si>
    <t>745597 WINE</t>
  </si>
  <si>
    <t>745598 HKEN</t>
  </si>
  <si>
    <t>H/KEN QRT CRATES 660ML</t>
  </si>
  <si>
    <t>745601 HKEN</t>
  </si>
  <si>
    <t>DISTELL CRATES/H/KEN QRT CRATES 660ML</t>
  </si>
  <si>
    <t>DISTELL CRATES/H/KEN CRATES</t>
  </si>
  <si>
    <t>745602 WINE</t>
  </si>
  <si>
    <t>745606 WINE</t>
  </si>
  <si>
    <t>745614 WINE</t>
  </si>
  <si>
    <t>745615 HKEN</t>
  </si>
  <si>
    <t>745619 HKEN</t>
  </si>
  <si>
    <t>745623 HKEN</t>
  </si>
  <si>
    <t>745624 WINE</t>
  </si>
  <si>
    <t>745627 HHKE</t>
  </si>
  <si>
    <t>745630 WINE</t>
  </si>
  <si>
    <t>745633 WINE</t>
  </si>
  <si>
    <t>745644 HKEN</t>
  </si>
  <si>
    <t>745645 WINE</t>
  </si>
  <si>
    <t>DISTELL CRATE</t>
  </si>
  <si>
    <t>DISTEL CRATES</t>
  </si>
  <si>
    <t>745649 WINE</t>
  </si>
  <si>
    <t>745650 WINE</t>
  </si>
  <si>
    <t>756011 WINE</t>
  </si>
  <si>
    <t>756015 WINE</t>
  </si>
  <si>
    <t>756022 HKEN</t>
  </si>
  <si>
    <t>H/KEN EMPTY BOTTLES</t>
  </si>
  <si>
    <t>H/KEN BOTTLES</t>
  </si>
  <si>
    <t>756023 HKEN</t>
  </si>
  <si>
    <t>756025 WINE</t>
  </si>
  <si>
    <t>756032 HKEN</t>
  </si>
  <si>
    <t>756031 WINE</t>
  </si>
  <si>
    <t>756036 HKEN</t>
  </si>
  <si>
    <t>756035 WINE</t>
  </si>
  <si>
    <t>756044 WINE</t>
  </si>
  <si>
    <t>756045 HKEN</t>
  </si>
  <si>
    <t>755951 HKEN</t>
  </si>
  <si>
    <t>755959 HKEN</t>
  </si>
  <si>
    <t>755960 WINE</t>
  </si>
  <si>
    <t>755961 HKEN</t>
  </si>
  <si>
    <t>DISTELL CRTATES</t>
  </si>
  <si>
    <t>755964 WINE</t>
  </si>
  <si>
    <t>H/CRATES</t>
  </si>
  <si>
    <t>755963 HKEN</t>
  </si>
  <si>
    <t>755968 HKEN</t>
  </si>
  <si>
    <t>H/KEN QRT CRATES 660ML /DISTELL CRATES</t>
  </si>
  <si>
    <t>H/KEN CRATES/DISTELL CRATES</t>
  </si>
  <si>
    <t>755981 WINE</t>
  </si>
  <si>
    <t>755982 HKEN</t>
  </si>
  <si>
    <t>H/KE N BOTTLES</t>
  </si>
  <si>
    <t>755983 HKEN</t>
  </si>
  <si>
    <t>755989 HKEN</t>
  </si>
  <si>
    <t>755988 WINE</t>
  </si>
  <si>
    <t>H/KEN QRT CRATES/H/KEN BOTTLES</t>
  </si>
  <si>
    <t>755995 HKEN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</si>
  <si>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</si>
  <si>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</si>
  <si>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</si>
  <si>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</si>
  <si>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</si>
  <si>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</si>
  <si>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</si>
  <si>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</si>
  <si>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</si>
  <si>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SPAR SUGAR  WHITE 2.5KG /RHODES JAM SMOOTH 900GR</t>
  </si>
  <si>
    <t>PROMO OVERSTOCK</t>
  </si>
  <si>
    <t xml:space="preserve"> BAVARIA MALT NRB 340ML /FITS&amp;LEEDS TONIC PINK 1LT</t>
  </si>
  <si>
    <t>NOT ORDERED</t>
  </si>
  <si>
    <t>TASTIC 10KG/D/EGBERT 400G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</si>
  <si>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</si>
  <si>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</si>
  <si>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</si>
  <si>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</si>
  <si>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</si>
  <si>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</si>
  <si>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</si>
  <si>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</si>
  <si>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PROMOTION OVERSTOCK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</si>
  <si>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</si>
  <si>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</si>
  <si>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</si>
  <si>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</si>
  <si>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</si>
  <si>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</si>
  <si>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</si>
  <si>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</si>
  <si>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</si>
  <si>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</si>
  <si>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</si>
  <si>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</si>
  <si>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</si>
  <si>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</si>
  <si>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</si>
  <si>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</si>
  <si>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</si>
  <si>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</si>
  <si>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</si>
  <si>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</si>
  <si>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</si>
  <si>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</si>
  <si>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YB SPICE BEEF SAUSAGE 1KG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</si>
  <si>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</si>
  <si>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</si>
  <si>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</si>
  <si>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</si>
  <si>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</si>
  <si>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</si>
  <si>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</si>
  <si>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>SHORT delivery</t>
  </si>
  <si>
    <t xml:space="preserve">KRONE BORLALIS </t>
  </si>
  <si>
    <t>SPAR YB CHKN BRAAI PK /CHKN WINGS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</si>
  <si>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</si>
  <si>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</si>
  <si>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</si>
  <si>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</si>
  <si>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</si>
  <si>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</si>
  <si>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</si>
  <si>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</si>
  <si>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DC TRUCK RELATED DAMAGE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</si>
  <si>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</si>
  <si>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</si>
  <si>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</si>
  <si>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</si>
  <si>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</si>
  <si>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</si>
  <si>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</si>
  <si>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</si>
  <si>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</si>
  <si>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</si>
  <si>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</si>
  <si>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</si>
  <si>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</si>
  <si>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</si>
  <si>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</si>
  <si>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</si>
  <si>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</si>
  <si>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</si>
  <si>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</si>
  <si>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</si>
  <si>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</si>
  <si>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</si>
  <si>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SHORT DELIVERY /CREDIT VOUCHER</t>
  </si>
  <si>
    <t>SUNLIGHT AUTO LIQ 1.5LT</t>
  </si>
  <si>
    <t>FOUR COUSINS DRY RED 3LT</t>
  </si>
  <si>
    <t>SAVEMOR TOM&amp;ONION RELISH 410G</t>
  </si>
  <si>
    <t>SPAR CORNFLAKES 500GR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</si>
  <si>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</si>
  <si>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</si>
  <si>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</si>
  <si>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</si>
  <si>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</si>
  <si>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</si>
  <si>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</si>
  <si>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</si>
  <si>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</si>
  <si>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</si>
  <si>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</si>
  <si>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</si>
  <si>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</si>
  <si>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</si>
  <si>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</si>
  <si>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</si>
  <si>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</si>
  <si>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</si>
  <si>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</si>
  <si>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</si>
  <si>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</si>
  <si>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</si>
  <si>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</si>
  <si>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</si>
  <si>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</si>
  <si>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</si>
  <si>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</si>
  <si>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</si>
  <si>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</si>
  <si>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</si>
  <si>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</si>
  <si>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</si>
  <si>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</si>
  <si>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</si>
  <si>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</si>
  <si>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</si>
  <si>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</si>
  <si>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</si>
  <si>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</si>
  <si>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</si>
  <si>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</si>
  <si>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</si>
  <si>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</si>
  <si>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</si>
  <si>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</si>
  <si>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</si>
  <si>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</si>
  <si>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</si>
  <si>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</si>
  <si>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CREDIT VOUCHERS</t>
  </si>
  <si>
    <t>SPAR INSTANT MAIZE VANILLA 1KG</t>
  </si>
  <si>
    <t>IMBO SAGO 500GR</t>
  </si>
  <si>
    <t>IMBO SPEC BEANS 500G</t>
  </si>
  <si>
    <t>SPAR CASHIER COMPETITION</t>
  </si>
  <si>
    <t>CASHIER COMPETITION</t>
  </si>
  <si>
    <t>SPAR SUP MAIZE 10KG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</si>
  <si>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</si>
  <si>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</si>
  <si>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</si>
  <si>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</si>
  <si>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</si>
  <si>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</si>
  <si>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</si>
  <si>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</si>
  <si>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</si>
  <si>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</si>
  <si>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</si>
  <si>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</si>
  <si>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</si>
  <si>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</si>
  <si>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</si>
  <si>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</si>
  <si>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</si>
  <si>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</si>
  <si>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SHORT DELIVEY</t>
  </si>
  <si>
    <t>W/STAR M/MEAL SUP 10KG</t>
  </si>
  <si>
    <t>SPAR MILK 1LT UHT FAT FREE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</si>
  <si>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</si>
  <si>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</si>
  <si>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</si>
  <si>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</si>
  <si>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</si>
  <si>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</si>
  <si>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</si>
  <si>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</si>
  <si>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</si>
  <si>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</si>
  <si>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</si>
  <si>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 xml:space="preserve">H/KEN QRT CRATES </t>
  </si>
  <si>
    <t>PAMPERS CHUNKY CHIC &amp; LAMB 400GR</t>
  </si>
  <si>
    <t>GLADE TRIGGER 400ML AQUA</t>
  </si>
  <si>
    <t>GLADE TRIGGER 400ML</t>
  </si>
  <si>
    <t>MIAMI GHERKINS C/TAIL SWEET&amp;SOUR 265G</t>
  </si>
  <si>
    <t>CREDIT VOUVHER</t>
  </si>
  <si>
    <t>DISELL CRATES</t>
  </si>
  <si>
    <t>SUNLIGHT  H/WASH 250G</t>
  </si>
  <si>
    <t>SPAR CSD LEMONADE 2LT</t>
  </si>
  <si>
    <t>CREDIT VUOCHER</t>
  </si>
  <si>
    <t>Aquel water</t>
  </si>
  <si>
    <t>short delivery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</si>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</sst>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" fontId="0" fillId="3" borderId="1" xfId="0" applyNumberForma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h:mm"/>
    </dxf>
    <dxf>
      <numFmt numFmtId="164" formatCode="yyyy/mm/dd\ hh:mm"/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164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DC8538-E1B6-401D-A751-C22313AE5565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FD0B65F-ECAC-44B6-8262-47BAB116CEF3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0777B2-87C8-4631-B063-90195682FD03}" autoFormatId="16" applyNumberFormats="0" applyBorderFormats="0" applyFontFormats="0" applyPatternFormats="0" applyAlignmentFormats="0" applyWidthHeightFormats="0">
  <queryTableRefresh nextId="14">
    <queryTableFields count="13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Merged_DC_statements.Business Unit" tableColumnId="7"/>
      <queryTableField id="8" name="Merged_DC_statements.Document_x000a_Date" tableColumnId="8"/>
      <queryTableField id="9" name="Merged_DC_statements.Document_x000a_Number" tableColumnId="9"/>
      <queryTableField id="10" name="Merged_DC_statements.Document_x000a_Type" tableColumnId="10"/>
      <queryTableField id="11" name="Merged_DC_statements.Credit_x000a_Amount" tableColumnId="11"/>
      <queryTableField id="12" name="Merged_DC_statements._x000a_ Comments " tableColumnId="12"/>
      <queryTableField id="13" name="Merged_DC_statements.Claim Numb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AFCA6-B132-4874-B047-A41DE8EF8A97}" name="Outstanding_claims_1" displayName="Outstanding_claims_1" ref="A1:F246" tableType="queryTable" totalsRowShown="0">
  <autoFilter ref="A1:F246" xr:uid="{AEEAFCA6-B132-4874-B047-A41DE8EF8A97}"/>
  <tableColumns count="6">
    <tableColumn id="1" xr3:uid="{80AADF59-7B55-4E11-AB84-695E52E51208}" uniqueName="1" name="Claim date" queryTableFieldId="1" dataDxfId="19"/>
    <tableColumn id="2" xr3:uid="{958EF4F9-9832-4CBA-A3B9-59F3EE9BD081}" uniqueName="2" name="Claim No" queryTableFieldId="2"/>
    <tableColumn id="3" xr3:uid="{2829C217-FF93-4822-9917-E3ACE7EF2CE4}" uniqueName="3" name="Item name for claim" queryTableFieldId="3" dataDxfId="18"/>
    <tableColumn id="4" xr3:uid="{82543328-A6B8-443D-B235-A341A1659C89}" uniqueName="4" name="GRN" queryTableFieldId="4"/>
    <tableColumn id="5" xr3:uid="{CB780761-D8A4-48CE-9F70-00D4285C4B25}" uniqueName="5" name="Claim Value" queryTableFieldId="5"/>
    <tableColumn id="6" xr3:uid="{FC541193-7BB4-4E7F-8CFD-A1AA60E8E0B1}" uniqueName="6" name="Reason for claim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51ADF-D230-4744-A032-1A215EF9D91A}" name="Outstanding_claims" displayName="Outstanding_claims" ref="A1:F246" totalsRowShown="0">
  <autoFilter ref="A1:F246" xr:uid="{E34150A7-5977-41F8-93BD-AC3A06B1A002}"/>
  <tableColumns count="6">
    <tableColumn id="1" xr3:uid="{6998EA17-97B8-485D-999D-33A1D0275273}" name="Claim date" dataDxfId="16"/>
    <tableColumn id="2" xr3:uid="{7A271931-70C9-4E2F-97BF-54AC0168186A}" name="Claim No"/>
    <tableColumn id="3" xr3:uid="{8479BDC3-7ACE-4343-8122-0D20365DC9B2}" name="Item name for claim" dataDxfId="15"/>
    <tableColumn id="4" xr3:uid="{0EE530D6-E8D1-45E5-9235-BDD5E96A6985}" name="GRN"/>
    <tableColumn id="5" xr3:uid="{AE7F5F5D-2717-4437-A622-3ABFBD03815E}" name="Claim Value"/>
    <tableColumn id="6" xr3:uid="{5600D0AF-A405-46A2-8342-0092D9FE55CE}" name="Reason for claim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CC8B48-D415-4CE4-9BBE-C543EE96FB5C}" name="Outstanding_claims_remaining" displayName="Outstanding_claims_remaining" ref="A1:F196" tableType="queryTable" totalsRowCount="1">
  <autoFilter ref="A1:F195" xr:uid="{BCCC8B48-D415-4CE4-9BBE-C543EE96FB5C}"/>
  <tableColumns count="6">
    <tableColumn id="1" xr3:uid="{92E4B777-4518-4431-A6C3-812704AF8D8C}" uniqueName="1" name="Claim date" queryTableFieldId="1" dataDxfId="13" totalsRowDxfId="12"/>
    <tableColumn id="2" xr3:uid="{056590EC-EA80-43B8-ACBF-21F1BB5DC26B}" uniqueName="2" name="Claim No" queryTableFieldId="2"/>
    <tableColumn id="3" xr3:uid="{1F0AB9B7-AE7C-4FAF-A77A-21440C92FED4}" uniqueName="3" name="Item name for claim" queryTableFieldId="3" dataDxfId="11" totalsRowDxfId="10"/>
    <tableColumn id="4" xr3:uid="{8F65796A-C324-465E-8B5B-A89972D4531B}" uniqueName="4" name="GRN" queryTableFieldId="4"/>
    <tableColumn id="5" xr3:uid="{3133B1AA-27C2-47D8-9281-4720776DD056}" uniqueName="5" name="Claim Value" totalsRowFunction="custom" queryTableFieldId="5">
      <totalsRowFormula>SUM(Outstanding_claims_remaining[Claim Value])</totalsRowFormula>
    </tableColumn>
    <tableColumn id="6" xr3:uid="{6FE95857-8CBB-417C-A60C-CDD78B74DA2B}" uniqueName="6" name="Reason for claim" queryTableFieldId="6" dataDxfId="9" totalsRow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883A2C-9009-4E4E-A748-FD29F4566D08}" name="Matched_claims_1" displayName="Matched_claims_1" ref="A1:M52" tableType="queryTable" totalsRowShown="0">
  <autoFilter ref="A1:M52" xr:uid="{08883A2C-9009-4E4E-A748-FD29F4566D08}"/>
  <tableColumns count="13">
    <tableColumn id="1" xr3:uid="{48235770-74B0-4BB3-93E9-C6F432490A74}" uniqueName="1" name="Claim date" queryTableFieldId="1" dataDxfId="7"/>
    <tableColumn id="2" xr3:uid="{85D43FF6-8DE2-4BDE-A9CE-756F016B3AA6}" uniqueName="2" name="Claim No" queryTableFieldId="2"/>
    <tableColumn id="3" xr3:uid="{82CD4AF7-8464-4B55-B99D-D1EDB941D684}" uniqueName="3" name="Item name for claim" queryTableFieldId="3" dataDxfId="6"/>
    <tableColumn id="4" xr3:uid="{916B1AC4-75F3-4EF8-AF7E-17C76CEC1E08}" uniqueName="4" name="GRN" queryTableFieldId="4"/>
    <tableColumn id="5" xr3:uid="{B3A52DC7-AB53-449E-8C15-304665D9941A}" uniqueName="5" name="Claim Value" queryTableFieldId="5"/>
    <tableColumn id="6" xr3:uid="{EE61CCEB-043D-46D2-B814-1E78466B9505}" uniqueName="6" name="Reason for claim" queryTableFieldId="6" dataDxfId="5"/>
    <tableColumn id="7" xr3:uid="{D65F36C0-3EBC-4746-AD40-16E720F31097}" uniqueName="7" name="Merged_DC_statements.Business Unit" queryTableFieldId="7" dataDxfId="4"/>
    <tableColumn id="8" xr3:uid="{10DA9CF2-B20C-4B3E-95E7-292F5FCD427A}" uniqueName="8" name="Merged_DC_statements.Document_x000a_Date" queryTableFieldId="8" dataDxfId="3"/>
    <tableColumn id="9" xr3:uid="{96D8C1A1-1742-41EB-A156-ACE720D9BDB2}" uniqueName="9" name="Merged_DC_statements.Document_x000a_Number" queryTableFieldId="9"/>
    <tableColumn id="10" xr3:uid="{D9754EF9-FA22-4D4F-ACFE-3DC6C2E364BC}" uniqueName="10" name="Merged_DC_statements.Document_x000a_Type" queryTableFieldId="10" dataDxfId="2"/>
    <tableColumn id="11" xr3:uid="{B007431C-A014-4AE6-BB55-874A5A030D90}" uniqueName="11" name="Merged_DC_statements.Credit_x000a_Amount" queryTableFieldId="11"/>
    <tableColumn id="12" xr3:uid="{ED815BBB-5282-4BB8-B792-CB10D771A6CF}" uniqueName="12" name="Merged_DC_statements._x000a_ Comments " queryTableFieldId="12" dataDxfId="1"/>
    <tableColumn id="13" xr3:uid="{6FDDBBB2-54DD-420F-AD68-BA863A316FBB}" uniqueName="13" name="Merged_DC_statements.Claim Number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9940-7452-440F-8505-E8BD84C8157E}">
  <sheetPr codeName="Sheet1"/>
  <dimension ref="A1:F246"/>
  <sheetViews>
    <sheetView topLeftCell="A34" workbookViewId="0"/>
  </sheetViews>
  <sheetFormatPr defaultRowHeight="14.5" x14ac:dyDescent="0.35"/>
  <cols>
    <col min="1" max="1" width="15.17968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3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3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3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3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3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3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3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3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3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3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3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3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3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3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3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3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3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3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3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3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3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3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3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3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3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3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3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3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3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3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3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3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3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3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3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3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3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3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3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3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3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3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3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3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3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3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3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3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3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3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3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3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3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3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3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3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3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3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3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3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3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3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3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3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3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3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3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3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3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3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3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3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3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3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3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3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3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3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3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3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3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3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3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3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3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3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3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3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3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3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3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3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3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3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3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3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3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3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3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3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3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3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3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3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3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3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3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3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3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3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3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3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3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3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3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3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3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3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3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3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3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3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3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3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3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3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3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3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3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3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3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3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3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3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3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3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3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3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3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3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3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3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3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3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3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3893-4A62-4C9B-9405-6E2D5B121972}">
  <sheetPr codeName="Sheet2"/>
  <dimension ref="A1:F246"/>
  <sheetViews>
    <sheetView workbookViewId="0">
      <selection sqref="A1:F246"/>
    </sheetView>
  </sheetViews>
  <sheetFormatPr defaultRowHeight="14.5" x14ac:dyDescent="0.35"/>
  <cols>
    <col min="1" max="1" width="15.17968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3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3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3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3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3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3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3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3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3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3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3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3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3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3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3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3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3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3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3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3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3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3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3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3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3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3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3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3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3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3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3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3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3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3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3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3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3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3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3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3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3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3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3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3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3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3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3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3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3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3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3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3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3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3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3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3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3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3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3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3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3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3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3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3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3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3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3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3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3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3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3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3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3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3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3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3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3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3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3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3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3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3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3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3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3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3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3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3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3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3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3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3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3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3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3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3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3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3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3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3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3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3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3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3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3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3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3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3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3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3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3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3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3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3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3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3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3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3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3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3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3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3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3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3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3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3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3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3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3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3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3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3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3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3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3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3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3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3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3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3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3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3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3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3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3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8B4E-A9B1-42D6-8A8A-FD76DEAFC823}">
  <sheetPr codeName="Sheet3"/>
  <dimension ref="A1:F196"/>
  <sheetViews>
    <sheetView topLeftCell="A179" workbookViewId="0">
      <selection activeCell="A179" sqref="A179"/>
    </sheetView>
  </sheetViews>
  <sheetFormatPr defaultRowHeight="14.5" x14ac:dyDescent="0.35"/>
  <cols>
    <col min="1" max="1" width="15.17968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3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3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3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3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3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3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3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3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3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3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3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3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3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3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3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3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3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3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3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3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3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3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3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3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3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3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3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3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3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3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3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3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3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3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3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3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3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3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3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3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3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3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3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3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3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3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3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3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3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3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3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3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3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3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3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3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3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3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3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3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3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3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3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3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3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3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3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3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3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3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3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3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3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3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3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3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3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3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3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3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3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3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3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3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3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3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3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3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3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3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3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3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3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3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3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3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3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3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35">
      <c r="A101" s="1">
        <v>46046</v>
      </c>
      <c r="B101">
        <v>711503</v>
      </c>
      <c r="C101" t="s">
        <v>191</v>
      </c>
      <c r="E101">
        <v>445.88</v>
      </c>
      <c r="F101" t="s">
        <v>142</v>
      </c>
    </row>
    <row r="102" spans="1:6" x14ac:dyDescent="0.35">
      <c r="A102" s="1">
        <v>46170</v>
      </c>
      <c r="B102">
        <v>756012</v>
      </c>
      <c r="C102" t="s">
        <v>192</v>
      </c>
      <c r="E102">
        <v>427.16</v>
      </c>
      <c r="F102" t="s">
        <v>142</v>
      </c>
    </row>
    <row r="103" spans="1:6" x14ac:dyDescent="0.35">
      <c r="A103" s="1">
        <v>46015</v>
      </c>
      <c r="B103">
        <v>691349</v>
      </c>
      <c r="C103" t="s">
        <v>193</v>
      </c>
      <c r="E103">
        <v>425.1</v>
      </c>
      <c r="F103" t="s">
        <v>98</v>
      </c>
    </row>
    <row r="104" spans="1:6" x14ac:dyDescent="0.35">
      <c r="A104" s="1">
        <v>46163</v>
      </c>
      <c r="B104">
        <v>745646</v>
      </c>
      <c r="C104" t="s">
        <v>194</v>
      </c>
      <c r="E104">
        <v>419.65</v>
      </c>
      <c r="F104" t="s">
        <v>155</v>
      </c>
    </row>
    <row r="105" spans="1:6" x14ac:dyDescent="0.35">
      <c r="A105" s="1">
        <v>46135</v>
      </c>
      <c r="B105">
        <v>745590</v>
      </c>
      <c r="C105" t="s">
        <v>195</v>
      </c>
      <c r="E105">
        <v>414.13</v>
      </c>
      <c r="F105" t="s">
        <v>98</v>
      </c>
    </row>
    <row r="106" spans="1:6" x14ac:dyDescent="0.35">
      <c r="A106" s="1">
        <v>46175</v>
      </c>
      <c r="B106">
        <v>756028</v>
      </c>
      <c r="C106" t="s">
        <v>196</v>
      </c>
      <c r="E106">
        <v>401.68</v>
      </c>
      <c r="F106" t="s">
        <v>142</v>
      </c>
    </row>
    <row r="107" spans="1:6" x14ac:dyDescent="0.35">
      <c r="A107" s="1">
        <v>46172</v>
      </c>
      <c r="B107">
        <v>756021</v>
      </c>
      <c r="C107" t="s">
        <v>197</v>
      </c>
      <c r="E107">
        <v>384.36</v>
      </c>
      <c r="F107" t="s">
        <v>142</v>
      </c>
    </row>
    <row r="108" spans="1:6" x14ac:dyDescent="0.35">
      <c r="A108" s="1">
        <v>45955</v>
      </c>
      <c r="B108">
        <v>663243</v>
      </c>
      <c r="C108" t="s">
        <v>198</v>
      </c>
      <c r="D108">
        <v>693748</v>
      </c>
      <c r="E108">
        <v>382.18</v>
      </c>
      <c r="F108" t="s">
        <v>19</v>
      </c>
    </row>
    <row r="109" spans="1:6" x14ac:dyDescent="0.35">
      <c r="A109" s="1">
        <v>46149</v>
      </c>
      <c r="B109">
        <v>745618</v>
      </c>
      <c r="C109" t="s">
        <v>199</v>
      </c>
      <c r="D109">
        <v>703780</v>
      </c>
      <c r="E109">
        <v>367.22</v>
      </c>
      <c r="F109" t="s">
        <v>142</v>
      </c>
    </row>
    <row r="110" spans="1:6" x14ac:dyDescent="0.35">
      <c r="A110" s="1">
        <v>46200</v>
      </c>
      <c r="B110">
        <v>755992</v>
      </c>
      <c r="C110" t="s">
        <v>200</v>
      </c>
      <c r="E110">
        <v>360.38</v>
      </c>
      <c r="F110" t="s">
        <v>142</v>
      </c>
    </row>
    <row r="111" spans="1:6" x14ac:dyDescent="0.35">
      <c r="A111" s="1">
        <v>46184</v>
      </c>
      <c r="B111">
        <v>755956</v>
      </c>
      <c r="C111" t="s">
        <v>201</v>
      </c>
      <c r="E111">
        <v>345.49</v>
      </c>
      <c r="F111" t="s">
        <v>98</v>
      </c>
    </row>
    <row r="112" spans="1:6" x14ac:dyDescent="0.35">
      <c r="A112" s="1">
        <v>46172</v>
      </c>
      <c r="B112">
        <v>756019</v>
      </c>
      <c r="C112" t="s">
        <v>202</v>
      </c>
      <c r="E112">
        <v>341.07</v>
      </c>
      <c r="F112" t="s">
        <v>142</v>
      </c>
    </row>
    <row r="113" spans="1:6" x14ac:dyDescent="0.35">
      <c r="A113" s="1">
        <v>46086</v>
      </c>
      <c r="B113">
        <v>734612</v>
      </c>
      <c r="C113" t="s">
        <v>203</v>
      </c>
      <c r="E113">
        <v>339.31</v>
      </c>
      <c r="F113" t="s">
        <v>142</v>
      </c>
    </row>
    <row r="114" spans="1:6" x14ac:dyDescent="0.35">
      <c r="A114" s="1">
        <v>46128</v>
      </c>
      <c r="B114">
        <v>745575</v>
      </c>
      <c r="C114" t="s">
        <v>204</v>
      </c>
      <c r="E114">
        <v>332.51</v>
      </c>
      <c r="F114" t="s">
        <v>184</v>
      </c>
    </row>
    <row r="115" spans="1:6" x14ac:dyDescent="0.35">
      <c r="A115" s="1">
        <v>45824</v>
      </c>
      <c r="B115">
        <v>598955</v>
      </c>
      <c r="C115" t="s">
        <v>146</v>
      </c>
      <c r="E115">
        <v>330.6</v>
      </c>
      <c r="F115" t="s">
        <v>147</v>
      </c>
    </row>
    <row r="116" spans="1:6" x14ac:dyDescent="0.35">
      <c r="A116" s="1">
        <v>46035</v>
      </c>
      <c r="B116">
        <v>688675</v>
      </c>
      <c r="C116" t="s">
        <v>205</v>
      </c>
      <c r="E116">
        <v>326.45999999999998</v>
      </c>
      <c r="F116" t="s">
        <v>142</v>
      </c>
    </row>
    <row r="117" spans="1:6" x14ac:dyDescent="0.35">
      <c r="A117" s="1">
        <v>45836</v>
      </c>
      <c r="B117">
        <v>598984</v>
      </c>
      <c r="C117" t="s">
        <v>206</v>
      </c>
      <c r="E117">
        <v>325.92</v>
      </c>
      <c r="F117" t="s">
        <v>139</v>
      </c>
    </row>
    <row r="118" spans="1:6" x14ac:dyDescent="0.35">
      <c r="A118" s="1">
        <v>46161</v>
      </c>
      <c r="B118">
        <v>745640</v>
      </c>
      <c r="C118" t="s">
        <v>207</v>
      </c>
      <c r="E118">
        <v>313.77</v>
      </c>
      <c r="F118" t="s">
        <v>142</v>
      </c>
    </row>
    <row r="119" spans="1:6" x14ac:dyDescent="0.35">
      <c r="A119" s="1">
        <v>45890</v>
      </c>
      <c r="B119">
        <v>630498</v>
      </c>
      <c r="C119" t="s">
        <v>208</v>
      </c>
      <c r="E119">
        <v>306.75</v>
      </c>
      <c r="F119" t="s">
        <v>139</v>
      </c>
    </row>
    <row r="120" spans="1:6" x14ac:dyDescent="0.35">
      <c r="A120" s="1">
        <v>46091</v>
      </c>
      <c r="B120">
        <v>734624</v>
      </c>
      <c r="C120" t="s">
        <v>209</v>
      </c>
      <c r="E120">
        <v>301.8</v>
      </c>
      <c r="F120" t="s">
        <v>142</v>
      </c>
    </row>
    <row r="121" spans="1:6" x14ac:dyDescent="0.35">
      <c r="A121" s="1">
        <v>46063</v>
      </c>
      <c r="B121">
        <v>711550</v>
      </c>
      <c r="C121" t="s">
        <v>210</v>
      </c>
      <c r="E121">
        <v>300.33</v>
      </c>
      <c r="F121" t="s">
        <v>142</v>
      </c>
    </row>
    <row r="122" spans="1:6" x14ac:dyDescent="0.35">
      <c r="A122" s="1">
        <v>46128</v>
      </c>
      <c r="B122">
        <v>745572</v>
      </c>
      <c r="C122" t="s">
        <v>211</v>
      </c>
      <c r="E122">
        <v>299.29000000000002</v>
      </c>
      <c r="F122" t="s">
        <v>142</v>
      </c>
    </row>
    <row r="123" spans="1:6" x14ac:dyDescent="0.35">
      <c r="A123" s="1">
        <v>46210</v>
      </c>
      <c r="B123">
        <v>771261</v>
      </c>
      <c r="C123" t="s">
        <v>212</v>
      </c>
      <c r="E123">
        <v>296.99</v>
      </c>
      <c r="F123" t="s">
        <v>98</v>
      </c>
    </row>
    <row r="124" spans="1:6" x14ac:dyDescent="0.35">
      <c r="A124" s="1">
        <v>45979</v>
      </c>
      <c r="B124">
        <v>691255</v>
      </c>
      <c r="C124" t="s">
        <v>213</v>
      </c>
      <c r="E124">
        <v>274.98</v>
      </c>
      <c r="F124" t="s">
        <v>182</v>
      </c>
    </row>
    <row r="125" spans="1:6" x14ac:dyDescent="0.35">
      <c r="A125" s="1">
        <v>46179</v>
      </c>
      <c r="B125">
        <v>756041</v>
      </c>
      <c r="C125" t="s">
        <v>214</v>
      </c>
      <c r="E125">
        <v>273.39</v>
      </c>
      <c r="F125" t="s">
        <v>142</v>
      </c>
    </row>
    <row r="126" spans="1:6" x14ac:dyDescent="0.35">
      <c r="A126" s="1">
        <v>46035</v>
      </c>
      <c r="B126">
        <v>688673</v>
      </c>
      <c r="C126" t="s">
        <v>215</v>
      </c>
      <c r="E126">
        <v>266.27999999999997</v>
      </c>
      <c r="F126" t="s">
        <v>216</v>
      </c>
    </row>
    <row r="127" spans="1:6" x14ac:dyDescent="0.35">
      <c r="A127" s="1">
        <v>46015</v>
      </c>
      <c r="B127">
        <v>691342</v>
      </c>
      <c r="C127" t="s">
        <v>217</v>
      </c>
      <c r="E127">
        <v>265.55</v>
      </c>
      <c r="F127" t="s">
        <v>98</v>
      </c>
    </row>
    <row r="128" spans="1:6" x14ac:dyDescent="0.35">
      <c r="A128" s="1">
        <v>46015</v>
      </c>
      <c r="B128">
        <v>691343</v>
      </c>
      <c r="C128" t="s">
        <v>217</v>
      </c>
      <c r="E128">
        <v>265.55</v>
      </c>
      <c r="F128" t="s">
        <v>98</v>
      </c>
    </row>
    <row r="129" spans="1:6" x14ac:dyDescent="0.35">
      <c r="A129" s="1">
        <v>46172</v>
      </c>
      <c r="B129">
        <v>756018</v>
      </c>
      <c r="C129" t="s">
        <v>218</v>
      </c>
      <c r="E129">
        <v>258.06</v>
      </c>
      <c r="F129" t="s">
        <v>142</v>
      </c>
    </row>
    <row r="130" spans="1:6" x14ac:dyDescent="0.35">
      <c r="A130" s="1">
        <v>46024</v>
      </c>
      <c r="B130">
        <v>695294</v>
      </c>
      <c r="C130" t="s">
        <v>219</v>
      </c>
      <c r="E130">
        <v>256.52</v>
      </c>
      <c r="F130" t="s">
        <v>123</v>
      </c>
    </row>
    <row r="131" spans="1:6" x14ac:dyDescent="0.35">
      <c r="A131" s="1">
        <v>46147</v>
      </c>
      <c r="B131">
        <v>745610</v>
      </c>
      <c r="C131" t="s">
        <v>220</v>
      </c>
      <c r="E131">
        <v>250.57</v>
      </c>
      <c r="F131" t="s">
        <v>142</v>
      </c>
    </row>
    <row r="132" spans="1:6" x14ac:dyDescent="0.35">
      <c r="A132" s="1">
        <v>46182</v>
      </c>
      <c r="B132">
        <v>750648</v>
      </c>
      <c r="C132" t="s">
        <v>221</v>
      </c>
      <c r="D132">
        <v>707084</v>
      </c>
      <c r="E132">
        <v>249.74</v>
      </c>
      <c r="F132" t="s">
        <v>142</v>
      </c>
    </row>
    <row r="133" spans="1:6" x14ac:dyDescent="0.35">
      <c r="A133" s="1">
        <v>45991</v>
      </c>
      <c r="B133">
        <v>663163</v>
      </c>
      <c r="C133" t="s">
        <v>222</v>
      </c>
      <c r="E133">
        <v>248.09</v>
      </c>
      <c r="F133" t="s">
        <v>139</v>
      </c>
    </row>
    <row r="134" spans="1:6" x14ac:dyDescent="0.35">
      <c r="A134" s="1">
        <v>46060</v>
      </c>
      <c r="B134">
        <v>711548</v>
      </c>
      <c r="C134" t="s">
        <v>223</v>
      </c>
      <c r="E134">
        <v>241.67</v>
      </c>
      <c r="F134" t="s">
        <v>98</v>
      </c>
    </row>
    <row r="135" spans="1:6" x14ac:dyDescent="0.35">
      <c r="A135" s="1">
        <v>46053</v>
      </c>
      <c r="B135">
        <v>711530</v>
      </c>
      <c r="C135" t="s">
        <v>224</v>
      </c>
      <c r="E135">
        <v>229.45</v>
      </c>
      <c r="F135" t="s">
        <v>142</v>
      </c>
    </row>
    <row r="136" spans="1:6" x14ac:dyDescent="0.35">
      <c r="A136" s="1">
        <v>46212</v>
      </c>
      <c r="B136">
        <v>771267</v>
      </c>
      <c r="C136" t="s">
        <v>225</v>
      </c>
      <c r="E136">
        <v>225.62</v>
      </c>
      <c r="F136" t="s">
        <v>142</v>
      </c>
    </row>
    <row r="137" spans="1:6" x14ac:dyDescent="0.35">
      <c r="A137" s="1">
        <v>46000</v>
      </c>
      <c r="B137">
        <v>691299</v>
      </c>
      <c r="C137" t="s">
        <v>226</v>
      </c>
      <c r="E137">
        <v>216.15</v>
      </c>
      <c r="F137" t="s">
        <v>227</v>
      </c>
    </row>
    <row r="138" spans="1:6" x14ac:dyDescent="0.35">
      <c r="A138" s="1">
        <v>46191</v>
      </c>
      <c r="B138">
        <v>755973</v>
      </c>
      <c r="C138" t="s">
        <v>228</v>
      </c>
      <c r="E138">
        <v>213.7</v>
      </c>
      <c r="F138" t="s">
        <v>142</v>
      </c>
    </row>
    <row r="139" spans="1:6" x14ac:dyDescent="0.35">
      <c r="A139" s="1">
        <v>46184</v>
      </c>
      <c r="B139">
        <v>755954</v>
      </c>
      <c r="C139" t="s">
        <v>229</v>
      </c>
      <c r="E139">
        <v>211.11</v>
      </c>
      <c r="F139" t="s">
        <v>142</v>
      </c>
    </row>
    <row r="140" spans="1:6" x14ac:dyDescent="0.35">
      <c r="A140" s="1">
        <v>46191</v>
      </c>
      <c r="B140">
        <v>755971</v>
      </c>
      <c r="C140" t="s">
        <v>230</v>
      </c>
      <c r="E140">
        <v>210.29</v>
      </c>
      <c r="F140" t="s">
        <v>142</v>
      </c>
    </row>
    <row r="141" spans="1:6" x14ac:dyDescent="0.35">
      <c r="A141" s="1">
        <v>45799</v>
      </c>
      <c r="B141">
        <v>598907</v>
      </c>
      <c r="C141" t="s">
        <v>231</v>
      </c>
      <c r="E141">
        <v>202.95</v>
      </c>
      <c r="F141" t="s">
        <v>232</v>
      </c>
    </row>
    <row r="142" spans="1:6" x14ac:dyDescent="0.35">
      <c r="A142" s="1">
        <v>46148</v>
      </c>
      <c r="B142">
        <v>745612</v>
      </c>
      <c r="C142" t="s">
        <v>233</v>
      </c>
      <c r="E142">
        <v>202.47</v>
      </c>
      <c r="F142" t="s">
        <v>96</v>
      </c>
    </row>
    <row r="143" spans="1:6" x14ac:dyDescent="0.35">
      <c r="A143" s="1">
        <v>46074</v>
      </c>
      <c r="B143">
        <v>711583</v>
      </c>
      <c r="C143" t="s">
        <v>234</v>
      </c>
      <c r="E143">
        <v>184.87</v>
      </c>
      <c r="F143" t="s">
        <v>19</v>
      </c>
    </row>
    <row r="144" spans="1:6" x14ac:dyDescent="0.35">
      <c r="A144" s="1">
        <v>46107</v>
      </c>
      <c r="B144">
        <v>734567</v>
      </c>
      <c r="C144" t="s">
        <v>235</v>
      </c>
      <c r="E144">
        <v>183.38</v>
      </c>
      <c r="F144" t="s">
        <v>19</v>
      </c>
    </row>
    <row r="145" spans="1:6" x14ac:dyDescent="0.35">
      <c r="A145" s="1">
        <v>46168</v>
      </c>
      <c r="B145">
        <v>756004</v>
      </c>
      <c r="C145" t="s">
        <v>236</v>
      </c>
      <c r="D145">
        <v>714642</v>
      </c>
      <c r="E145">
        <v>177.68</v>
      </c>
      <c r="F145" t="s">
        <v>142</v>
      </c>
    </row>
    <row r="146" spans="1:6" x14ac:dyDescent="0.35">
      <c r="A146" s="1">
        <v>46074</v>
      </c>
      <c r="B146">
        <v>711584</v>
      </c>
      <c r="C146" t="s">
        <v>237</v>
      </c>
      <c r="E146">
        <v>177.28</v>
      </c>
      <c r="F146" t="s">
        <v>123</v>
      </c>
    </row>
    <row r="147" spans="1:6" x14ac:dyDescent="0.35">
      <c r="A147" s="1">
        <v>46030</v>
      </c>
      <c r="B147">
        <v>688663</v>
      </c>
      <c r="C147" t="s">
        <v>238</v>
      </c>
      <c r="D147">
        <v>656436</v>
      </c>
      <c r="E147">
        <v>171.67</v>
      </c>
      <c r="F147" t="s">
        <v>142</v>
      </c>
    </row>
    <row r="148" spans="1:6" x14ac:dyDescent="0.35">
      <c r="A148" s="1">
        <v>46056</v>
      </c>
      <c r="B148">
        <v>711536</v>
      </c>
      <c r="C148" t="s">
        <v>239</v>
      </c>
      <c r="E148">
        <v>170.52</v>
      </c>
      <c r="F148" t="s">
        <v>142</v>
      </c>
    </row>
    <row r="149" spans="1:6" x14ac:dyDescent="0.35">
      <c r="A149" s="1">
        <v>45701</v>
      </c>
      <c r="B149">
        <v>548982</v>
      </c>
      <c r="C149" t="s">
        <v>240</v>
      </c>
      <c r="E149">
        <v>164.19</v>
      </c>
      <c r="F149" t="s">
        <v>142</v>
      </c>
    </row>
    <row r="150" spans="1:6" x14ac:dyDescent="0.35">
      <c r="A150" s="1">
        <v>46205</v>
      </c>
      <c r="B150">
        <v>756000</v>
      </c>
      <c r="C150" t="s">
        <v>241</v>
      </c>
      <c r="E150">
        <v>159.21</v>
      </c>
      <c r="F150" t="s">
        <v>142</v>
      </c>
    </row>
    <row r="151" spans="1:6" x14ac:dyDescent="0.35">
      <c r="A151" s="1">
        <v>46175</v>
      </c>
      <c r="B151">
        <v>756029</v>
      </c>
      <c r="C151" t="s">
        <v>239</v>
      </c>
      <c r="E151">
        <v>146.06</v>
      </c>
      <c r="F151" t="s">
        <v>142</v>
      </c>
    </row>
    <row r="152" spans="1:6" x14ac:dyDescent="0.35">
      <c r="A152" s="1">
        <v>46170</v>
      </c>
      <c r="B152">
        <v>756013</v>
      </c>
      <c r="C152" t="s">
        <v>242</v>
      </c>
      <c r="E152">
        <v>140.79</v>
      </c>
      <c r="F152" t="s">
        <v>142</v>
      </c>
    </row>
    <row r="153" spans="1:6" x14ac:dyDescent="0.35">
      <c r="A153" s="1">
        <v>46196</v>
      </c>
      <c r="B153">
        <v>755978</v>
      </c>
      <c r="C153" t="s">
        <v>243</v>
      </c>
      <c r="E153">
        <v>137.6</v>
      </c>
      <c r="F153" t="s">
        <v>142</v>
      </c>
    </row>
    <row r="154" spans="1:6" x14ac:dyDescent="0.35">
      <c r="A154" s="1">
        <v>46127</v>
      </c>
      <c r="B154">
        <v>745566</v>
      </c>
      <c r="C154" t="s">
        <v>244</v>
      </c>
      <c r="E154">
        <v>135.37</v>
      </c>
      <c r="F154" t="s">
        <v>96</v>
      </c>
    </row>
    <row r="155" spans="1:6" x14ac:dyDescent="0.35">
      <c r="A155" s="1">
        <v>46179</v>
      </c>
      <c r="B155">
        <v>756042</v>
      </c>
      <c r="C155" t="s">
        <v>245</v>
      </c>
      <c r="E155">
        <v>129.65</v>
      </c>
      <c r="F155" t="s">
        <v>142</v>
      </c>
    </row>
    <row r="156" spans="1:6" x14ac:dyDescent="0.35">
      <c r="A156" s="1">
        <v>45893</v>
      </c>
      <c r="B156">
        <v>644857</v>
      </c>
      <c r="C156" t="s">
        <v>246</v>
      </c>
      <c r="E156">
        <v>122.39</v>
      </c>
      <c r="F156" t="s">
        <v>142</v>
      </c>
    </row>
    <row r="157" spans="1:6" x14ac:dyDescent="0.35">
      <c r="A157" s="1">
        <v>46056</v>
      </c>
      <c r="B157">
        <v>711535</v>
      </c>
      <c r="C157" t="s">
        <v>247</v>
      </c>
      <c r="E157">
        <v>118.94</v>
      </c>
      <c r="F157" t="s">
        <v>142</v>
      </c>
    </row>
    <row r="158" spans="1:6" x14ac:dyDescent="0.35">
      <c r="A158" s="1">
        <v>45824</v>
      </c>
      <c r="B158">
        <v>598953</v>
      </c>
      <c r="C158" t="s">
        <v>248</v>
      </c>
      <c r="E158">
        <v>110.08</v>
      </c>
      <c r="F158" t="s">
        <v>155</v>
      </c>
    </row>
    <row r="159" spans="1:6" x14ac:dyDescent="0.35">
      <c r="A159" s="1">
        <v>46179</v>
      </c>
      <c r="B159">
        <v>756040</v>
      </c>
      <c r="C159" t="s">
        <v>249</v>
      </c>
      <c r="E159">
        <v>109.39</v>
      </c>
      <c r="F159" t="s">
        <v>184</v>
      </c>
    </row>
    <row r="160" spans="1:6" x14ac:dyDescent="0.35">
      <c r="A160" s="1">
        <v>45985</v>
      </c>
      <c r="B160">
        <v>691264</v>
      </c>
      <c r="C160" t="s">
        <v>250</v>
      </c>
      <c r="E160">
        <v>103.64</v>
      </c>
      <c r="F160" t="s">
        <v>227</v>
      </c>
    </row>
    <row r="161" spans="1:6" x14ac:dyDescent="0.35">
      <c r="A161" s="1">
        <v>46210</v>
      </c>
      <c r="B161">
        <v>771258</v>
      </c>
      <c r="C161" t="s">
        <v>251</v>
      </c>
      <c r="E161">
        <v>97.14</v>
      </c>
      <c r="F161" t="s">
        <v>252</v>
      </c>
    </row>
    <row r="162" spans="1:6" x14ac:dyDescent="0.35">
      <c r="A162" s="1">
        <v>46116</v>
      </c>
      <c r="B162">
        <v>734591</v>
      </c>
      <c r="C162" t="s">
        <v>253</v>
      </c>
      <c r="E162">
        <v>92.92</v>
      </c>
      <c r="F162" t="s">
        <v>142</v>
      </c>
    </row>
    <row r="163" spans="1:6" x14ac:dyDescent="0.35">
      <c r="A163" s="1">
        <v>46193</v>
      </c>
      <c r="B163">
        <v>755974</v>
      </c>
      <c r="C163" t="s">
        <v>254</v>
      </c>
      <c r="E163">
        <v>92.35</v>
      </c>
      <c r="F163" t="s">
        <v>142</v>
      </c>
    </row>
    <row r="164" spans="1:6" x14ac:dyDescent="0.35">
      <c r="A164" s="1">
        <v>46133</v>
      </c>
      <c r="B164">
        <v>745584</v>
      </c>
      <c r="C164" t="s">
        <v>21</v>
      </c>
      <c r="D164">
        <v>726269</v>
      </c>
      <c r="E164">
        <v>83.97</v>
      </c>
      <c r="F164" t="s">
        <v>21</v>
      </c>
    </row>
    <row r="165" spans="1:6" x14ac:dyDescent="0.35">
      <c r="A165" s="1">
        <v>46011</v>
      </c>
      <c r="B165">
        <v>691334</v>
      </c>
      <c r="C165" t="s">
        <v>255</v>
      </c>
      <c r="E165">
        <v>80.09</v>
      </c>
      <c r="F165" t="s">
        <v>227</v>
      </c>
    </row>
    <row r="166" spans="1:6" x14ac:dyDescent="0.35">
      <c r="A166" s="1">
        <v>45962</v>
      </c>
      <c r="B166">
        <v>663170</v>
      </c>
      <c r="C166" t="s">
        <v>256</v>
      </c>
      <c r="E166">
        <v>74.22</v>
      </c>
      <c r="F166" t="s">
        <v>142</v>
      </c>
    </row>
    <row r="167" spans="1:6" x14ac:dyDescent="0.35">
      <c r="A167" s="1">
        <v>45976</v>
      </c>
      <c r="B167">
        <v>663197</v>
      </c>
      <c r="C167" t="s">
        <v>257</v>
      </c>
      <c r="E167">
        <v>70.349999999999994</v>
      </c>
      <c r="F167" t="s">
        <v>139</v>
      </c>
    </row>
    <row r="168" spans="1:6" x14ac:dyDescent="0.35">
      <c r="A168" s="1">
        <v>46205</v>
      </c>
      <c r="B168">
        <v>755996</v>
      </c>
      <c r="C168" t="s">
        <v>21</v>
      </c>
      <c r="D168">
        <v>714544</v>
      </c>
      <c r="E168">
        <v>69.98</v>
      </c>
      <c r="F168" t="s">
        <v>21</v>
      </c>
    </row>
    <row r="169" spans="1:6" x14ac:dyDescent="0.35">
      <c r="A169" s="1">
        <v>46123</v>
      </c>
      <c r="B169">
        <v>745556</v>
      </c>
      <c r="C169" t="s">
        <v>258</v>
      </c>
      <c r="E169">
        <v>67.31</v>
      </c>
      <c r="F169" t="s">
        <v>142</v>
      </c>
    </row>
    <row r="170" spans="1:6" x14ac:dyDescent="0.35">
      <c r="A170" s="1">
        <v>46114</v>
      </c>
      <c r="B170">
        <v>734585</v>
      </c>
      <c r="C170" t="s">
        <v>259</v>
      </c>
      <c r="E170">
        <v>65.209999999999994</v>
      </c>
      <c r="F170" t="s">
        <v>227</v>
      </c>
    </row>
    <row r="171" spans="1:6" x14ac:dyDescent="0.35">
      <c r="A171" s="1">
        <v>46182</v>
      </c>
      <c r="B171">
        <v>756049</v>
      </c>
      <c r="C171" t="s">
        <v>260</v>
      </c>
      <c r="E171">
        <v>63.1</v>
      </c>
      <c r="F171" t="s">
        <v>227</v>
      </c>
    </row>
    <row r="172" spans="1:6" x14ac:dyDescent="0.35">
      <c r="A172" s="1">
        <v>46116</v>
      </c>
      <c r="B172">
        <v>734590</v>
      </c>
      <c r="C172" t="s">
        <v>261</v>
      </c>
      <c r="E172">
        <v>58.1</v>
      </c>
      <c r="F172" t="s">
        <v>142</v>
      </c>
    </row>
    <row r="173" spans="1:6" x14ac:dyDescent="0.35">
      <c r="A173" s="1">
        <v>46191</v>
      </c>
      <c r="B173">
        <v>755972</v>
      </c>
      <c r="C173" t="s">
        <v>262</v>
      </c>
      <c r="E173">
        <v>56.96</v>
      </c>
      <c r="F173" t="s">
        <v>142</v>
      </c>
    </row>
    <row r="174" spans="1:6" x14ac:dyDescent="0.35">
      <c r="A174" s="1">
        <v>46011</v>
      </c>
      <c r="B174">
        <v>691333</v>
      </c>
      <c r="C174" t="s">
        <v>263</v>
      </c>
      <c r="E174">
        <v>55.43</v>
      </c>
      <c r="F174" t="s">
        <v>227</v>
      </c>
    </row>
    <row r="175" spans="1:6" x14ac:dyDescent="0.35">
      <c r="A175" s="1">
        <v>45958</v>
      </c>
      <c r="B175">
        <v>663156</v>
      </c>
      <c r="C175" t="s">
        <v>264</v>
      </c>
      <c r="E175">
        <v>54.15</v>
      </c>
      <c r="F175" t="s">
        <v>142</v>
      </c>
    </row>
    <row r="176" spans="1:6" x14ac:dyDescent="0.35">
      <c r="A176" s="1">
        <v>45916</v>
      </c>
      <c r="B176">
        <v>644921</v>
      </c>
      <c r="C176" t="s">
        <v>265</v>
      </c>
      <c r="E176">
        <v>49.15</v>
      </c>
      <c r="F176" t="s">
        <v>227</v>
      </c>
    </row>
    <row r="177" spans="1:6" x14ac:dyDescent="0.35">
      <c r="A177" s="1">
        <v>46133</v>
      </c>
      <c r="B177">
        <v>745583</v>
      </c>
      <c r="C177" t="s">
        <v>13</v>
      </c>
      <c r="D177">
        <v>726269</v>
      </c>
      <c r="E177">
        <v>48.02</v>
      </c>
      <c r="F177" t="s">
        <v>23</v>
      </c>
    </row>
    <row r="178" spans="1:6" x14ac:dyDescent="0.35">
      <c r="A178" s="1">
        <v>46205</v>
      </c>
      <c r="B178">
        <v>755997</v>
      </c>
      <c r="C178" t="s">
        <v>266</v>
      </c>
      <c r="D178">
        <v>714544</v>
      </c>
      <c r="E178">
        <v>48.02</v>
      </c>
      <c r="F178" t="s">
        <v>23</v>
      </c>
    </row>
    <row r="179" spans="1:6" x14ac:dyDescent="0.35">
      <c r="A179" s="1">
        <v>45993</v>
      </c>
      <c r="B179">
        <v>691283</v>
      </c>
      <c r="C179" t="s">
        <v>267</v>
      </c>
      <c r="E179">
        <v>43.59</v>
      </c>
      <c r="F179" t="s">
        <v>184</v>
      </c>
    </row>
    <row r="180" spans="1:6" x14ac:dyDescent="0.35">
      <c r="A180" s="1">
        <v>46121</v>
      </c>
      <c r="B180">
        <v>734600</v>
      </c>
      <c r="C180" t="s">
        <v>268</v>
      </c>
      <c r="E180">
        <v>43.33</v>
      </c>
      <c r="F180" t="s">
        <v>227</v>
      </c>
    </row>
    <row r="181" spans="1:6" x14ac:dyDescent="0.35">
      <c r="A181" s="1">
        <v>46198</v>
      </c>
      <c r="B181">
        <v>755985</v>
      </c>
      <c r="C181" t="s">
        <v>21</v>
      </c>
      <c r="E181">
        <v>41.99</v>
      </c>
      <c r="F181" t="s">
        <v>21</v>
      </c>
    </row>
    <row r="182" spans="1:6" x14ac:dyDescent="0.35">
      <c r="A182" s="1">
        <v>46030</v>
      </c>
      <c r="B182">
        <v>688664</v>
      </c>
      <c r="C182" t="s">
        <v>269</v>
      </c>
      <c r="D182">
        <v>656436</v>
      </c>
      <c r="E182">
        <v>40</v>
      </c>
      <c r="F182" t="s">
        <v>184</v>
      </c>
    </row>
    <row r="183" spans="1:6" x14ac:dyDescent="0.35">
      <c r="A183" s="1">
        <v>46007</v>
      </c>
      <c r="B183">
        <v>691323</v>
      </c>
      <c r="C183" t="s">
        <v>270</v>
      </c>
      <c r="E183">
        <v>38.36</v>
      </c>
      <c r="F183" t="s">
        <v>184</v>
      </c>
    </row>
    <row r="184" spans="1:6" x14ac:dyDescent="0.35">
      <c r="A184" s="1">
        <v>46086</v>
      </c>
      <c r="B184">
        <v>734614</v>
      </c>
      <c r="C184" t="s">
        <v>191</v>
      </c>
      <c r="E184">
        <v>37.58</v>
      </c>
      <c r="F184" t="s">
        <v>271</v>
      </c>
    </row>
    <row r="185" spans="1:6" x14ac:dyDescent="0.35">
      <c r="A185" s="1">
        <v>46207</v>
      </c>
      <c r="B185">
        <v>771253</v>
      </c>
      <c r="C185" t="s">
        <v>34</v>
      </c>
      <c r="D185">
        <v>735117</v>
      </c>
      <c r="E185">
        <v>36.020000000000003</v>
      </c>
      <c r="F185" t="s">
        <v>23</v>
      </c>
    </row>
    <row r="186" spans="1:6" x14ac:dyDescent="0.35">
      <c r="A186" s="1">
        <v>46207</v>
      </c>
      <c r="B186">
        <v>771254</v>
      </c>
      <c r="C186" t="s">
        <v>21</v>
      </c>
      <c r="D186">
        <v>735117</v>
      </c>
      <c r="E186">
        <v>27.99</v>
      </c>
      <c r="F186" t="s">
        <v>21</v>
      </c>
    </row>
    <row r="187" spans="1:6" x14ac:dyDescent="0.35">
      <c r="A187" s="1">
        <v>46210</v>
      </c>
      <c r="B187">
        <v>711260</v>
      </c>
      <c r="C187" t="s">
        <v>21</v>
      </c>
      <c r="D187">
        <v>715054</v>
      </c>
      <c r="E187">
        <v>27.99</v>
      </c>
      <c r="F187" t="s">
        <v>272</v>
      </c>
    </row>
    <row r="188" spans="1:6" x14ac:dyDescent="0.35">
      <c r="A188" s="1">
        <v>46212</v>
      </c>
      <c r="B188">
        <v>771263</v>
      </c>
      <c r="C188" t="s">
        <v>34</v>
      </c>
      <c r="E188">
        <v>24.01</v>
      </c>
      <c r="F188" t="s">
        <v>23</v>
      </c>
    </row>
    <row r="189" spans="1:6" x14ac:dyDescent="0.35">
      <c r="A189" s="1">
        <v>45722</v>
      </c>
      <c r="B189">
        <v>551120</v>
      </c>
      <c r="C189" t="s">
        <v>21</v>
      </c>
      <c r="D189">
        <v>676321</v>
      </c>
      <c r="E189">
        <v>14</v>
      </c>
      <c r="F189" t="s">
        <v>51</v>
      </c>
    </row>
    <row r="190" spans="1:6" x14ac:dyDescent="0.35">
      <c r="A190" s="1">
        <v>46212</v>
      </c>
      <c r="B190">
        <v>771264</v>
      </c>
      <c r="C190" t="s">
        <v>21</v>
      </c>
      <c r="E190">
        <v>14</v>
      </c>
      <c r="F190" t="s">
        <v>21</v>
      </c>
    </row>
    <row r="191" spans="1:6" x14ac:dyDescent="0.35">
      <c r="A191" s="1">
        <v>46161</v>
      </c>
      <c r="B191">
        <v>745636</v>
      </c>
      <c r="C191" t="s">
        <v>34</v>
      </c>
      <c r="D191">
        <v>723422</v>
      </c>
      <c r="E191">
        <v>12.01</v>
      </c>
      <c r="F191" t="s">
        <v>23</v>
      </c>
    </row>
    <row r="192" spans="1:6" x14ac:dyDescent="0.35">
      <c r="A192" s="1">
        <v>46210</v>
      </c>
      <c r="B192">
        <v>771259</v>
      </c>
      <c r="C192" t="s">
        <v>34</v>
      </c>
      <c r="D192">
        <v>715054</v>
      </c>
      <c r="E192">
        <v>12.01</v>
      </c>
      <c r="F192" t="s">
        <v>23</v>
      </c>
    </row>
    <row r="193" spans="1:6" x14ac:dyDescent="0.35">
      <c r="A193" s="1">
        <v>46114</v>
      </c>
      <c r="B193">
        <v>734586</v>
      </c>
      <c r="C193" t="s">
        <v>273</v>
      </c>
      <c r="E193">
        <v>11.6</v>
      </c>
      <c r="F193" t="s">
        <v>227</v>
      </c>
    </row>
    <row r="194" spans="1:6" x14ac:dyDescent="0.35">
      <c r="A194" s="1">
        <v>45734</v>
      </c>
      <c r="B194">
        <v>551058</v>
      </c>
      <c r="C194" t="s">
        <v>274</v>
      </c>
      <c r="E194">
        <v>10.81</v>
      </c>
      <c r="F194" t="s">
        <v>275</v>
      </c>
    </row>
    <row r="195" spans="1:6" x14ac:dyDescent="0.35">
      <c r="A195" s="1">
        <v>45890</v>
      </c>
      <c r="B195">
        <v>630499</v>
      </c>
      <c r="C195" t="s">
        <v>276</v>
      </c>
      <c r="E195">
        <v>9.3699999999999992</v>
      </c>
      <c r="F195" t="s">
        <v>277</v>
      </c>
    </row>
    <row r="196" spans="1:6" x14ac:dyDescent="0.35">
      <c r="A196" s="1"/>
      <c r="E196">
        <f>SUM(Outstanding_claims_remaining[Claim Value])</f>
        <v>415897.13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30E-72B9-40AA-B9DF-F1A755960D49}">
  <sheetPr codeName="Sheet4"/>
  <dimension ref="A1:M52"/>
  <sheetViews>
    <sheetView topLeftCell="A34" workbookViewId="0"/>
  </sheetViews>
  <sheetFormatPr defaultRowHeight="14.5" x14ac:dyDescent="0.35"/>
  <cols>
    <col min="1" max="1" width="15.1796875" bestFit="1" customWidth="1"/>
    <col min="2" max="2" width="10.7265625" bestFit="1" customWidth="1"/>
    <col min="3" max="3" width="36.81640625" bestFit="1" customWidth="1"/>
    <col min="4" max="4" width="6.81640625" bestFit="1" customWidth="1"/>
    <col min="5" max="5" width="13.1796875" bestFit="1" customWidth="1"/>
    <col min="6" max="6" width="26.81640625" bestFit="1" customWidth="1"/>
    <col min="7" max="7" width="35.26953125" bestFit="1" customWidth="1"/>
    <col min="8" max="8" width="37.453125" bestFit="1" customWidth="1"/>
    <col min="9" max="9" width="40.26953125" bestFit="1" customWidth="1"/>
    <col min="10" max="10" width="37.453125" bestFit="1" customWidth="1"/>
    <col min="11" max="11" width="36.453125" bestFit="1" customWidth="1"/>
    <col min="12" max="12" width="34.54296875" bestFit="1" customWidth="1"/>
    <col min="13" max="13" width="36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45951</v>
      </c>
      <c r="B2">
        <v>663231</v>
      </c>
      <c r="C2" t="s">
        <v>13</v>
      </c>
      <c r="E2">
        <v>12.01</v>
      </c>
      <c r="F2" t="s">
        <v>14</v>
      </c>
      <c r="G2" t="s">
        <v>15</v>
      </c>
      <c r="H2" s="1">
        <v>45954</v>
      </c>
      <c r="I2">
        <v>233166</v>
      </c>
      <c r="J2" t="s">
        <v>16</v>
      </c>
      <c r="K2">
        <v>12.01</v>
      </c>
      <c r="L2" t="s">
        <v>17</v>
      </c>
      <c r="M2">
        <v>663231</v>
      </c>
    </row>
    <row r="3" spans="1:13" x14ac:dyDescent="0.35">
      <c r="A3" s="1">
        <v>46028</v>
      </c>
      <c r="B3">
        <v>688656</v>
      </c>
      <c r="C3" t="s">
        <v>18</v>
      </c>
      <c r="D3">
        <v>687355</v>
      </c>
      <c r="E3">
        <v>467.59</v>
      </c>
      <c r="F3" t="s">
        <v>19</v>
      </c>
      <c r="G3" t="s">
        <v>15</v>
      </c>
      <c r="H3" s="1">
        <v>46070</v>
      </c>
      <c r="I3">
        <v>291002</v>
      </c>
      <c r="J3" t="s">
        <v>16</v>
      </c>
      <c r="K3">
        <v>467.59</v>
      </c>
      <c r="L3" t="s">
        <v>20</v>
      </c>
      <c r="M3">
        <v>688656</v>
      </c>
    </row>
    <row r="4" spans="1:13" x14ac:dyDescent="0.35">
      <c r="A4" s="1">
        <v>46116</v>
      </c>
      <c r="B4">
        <v>734587</v>
      </c>
      <c r="C4" t="s">
        <v>21</v>
      </c>
      <c r="D4">
        <v>715003</v>
      </c>
      <c r="E4">
        <v>27.99</v>
      </c>
      <c r="F4" t="s">
        <v>21</v>
      </c>
      <c r="G4" t="s">
        <v>15</v>
      </c>
      <c r="H4" s="1">
        <v>46126</v>
      </c>
      <c r="I4">
        <v>319336</v>
      </c>
      <c r="J4" t="s">
        <v>16</v>
      </c>
      <c r="K4">
        <v>27.99</v>
      </c>
      <c r="L4" t="s">
        <v>22</v>
      </c>
      <c r="M4">
        <v>734587</v>
      </c>
    </row>
    <row r="5" spans="1:13" x14ac:dyDescent="0.35">
      <c r="A5" s="1">
        <v>46119</v>
      </c>
      <c r="B5">
        <v>734595</v>
      </c>
      <c r="C5" t="s">
        <v>13</v>
      </c>
      <c r="D5">
        <v>711614</v>
      </c>
      <c r="E5">
        <v>95.05</v>
      </c>
      <c r="F5" t="s">
        <v>23</v>
      </c>
      <c r="G5" t="s">
        <v>15</v>
      </c>
      <c r="H5" s="1">
        <v>46126</v>
      </c>
      <c r="I5">
        <v>318988</v>
      </c>
      <c r="J5" t="s">
        <v>16</v>
      </c>
      <c r="K5">
        <v>96.05</v>
      </c>
      <c r="L5" t="s">
        <v>24</v>
      </c>
      <c r="M5">
        <v>734595</v>
      </c>
    </row>
    <row r="6" spans="1:13" x14ac:dyDescent="0.35">
      <c r="A6" s="1">
        <v>46119</v>
      </c>
      <c r="B6">
        <v>734594</v>
      </c>
      <c r="C6" t="s">
        <v>21</v>
      </c>
      <c r="D6">
        <v>711614</v>
      </c>
      <c r="E6">
        <v>14</v>
      </c>
      <c r="F6" t="s">
        <v>21</v>
      </c>
      <c r="G6" t="s">
        <v>15</v>
      </c>
      <c r="H6" s="1">
        <v>46126</v>
      </c>
      <c r="I6">
        <v>319318</v>
      </c>
      <c r="J6" t="s">
        <v>16</v>
      </c>
      <c r="K6">
        <v>14</v>
      </c>
      <c r="L6" t="s">
        <v>25</v>
      </c>
      <c r="M6">
        <v>734594</v>
      </c>
    </row>
    <row r="7" spans="1:13" x14ac:dyDescent="0.35">
      <c r="A7" s="1">
        <v>46120</v>
      </c>
      <c r="B7">
        <v>734596</v>
      </c>
      <c r="C7" t="s">
        <v>13</v>
      </c>
      <c r="D7">
        <v>711614</v>
      </c>
      <c r="E7">
        <v>84.04</v>
      </c>
      <c r="F7" t="s">
        <v>26</v>
      </c>
      <c r="G7" t="s">
        <v>15</v>
      </c>
      <c r="H7" s="1">
        <v>46126</v>
      </c>
      <c r="I7">
        <v>318981</v>
      </c>
      <c r="J7" t="s">
        <v>16</v>
      </c>
      <c r="K7">
        <v>84.04</v>
      </c>
      <c r="L7" t="s">
        <v>27</v>
      </c>
      <c r="M7">
        <v>734596</v>
      </c>
    </row>
    <row r="8" spans="1:13" x14ac:dyDescent="0.35">
      <c r="A8" s="1">
        <v>46121</v>
      </c>
      <c r="B8">
        <v>734597</v>
      </c>
      <c r="C8" t="s">
        <v>21</v>
      </c>
      <c r="D8">
        <v>696488</v>
      </c>
      <c r="E8">
        <v>27.99</v>
      </c>
      <c r="F8" t="s">
        <v>21</v>
      </c>
      <c r="G8" t="s">
        <v>15</v>
      </c>
      <c r="H8" s="1">
        <v>46126</v>
      </c>
      <c r="I8">
        <v>319347</v>
      </c>
      <c r="J8" t="s">
        <v>16</v>
      </c>
      <c r="K8">
        <v>27.99</v>
      </c>
      <c r="L8" t="s">
        <v>28</v>
      </c>
      <c r="M8">
        <v>734597</v>
      </c>
    </row>
    <row r="9" spans="1:13" x14ac:dyDescent="0.35">
      <c r="A9" s="1">
        <v>46135</v>
      </c>
      <c r="B9">
        <v>745587</v>
      </c>
      <c r="C9" t="s">
        <v>21</v>
      </c>
      <c r="D9">
        <v>711065</v>
      </c>
      <c r="E9">
        <v>14</v>
      </c>
      <c r="F9" t="s">
        <v>21</v>
      </c>
      <c r="G9" t="s">
        <v>15</v>
      </c>
      <c r="H9" s="1">
        <v>46149</v>
      </c>
      <c r="I9">
        <v>329988</v>
      </c>
      <c r="J9" t="s">
        <v>16</v>
      </c>
      <c r="K9">
        <v>14</v>
      </c>
      <c r="L9" t="s">
        <v>29</v>
      </c>
      <c r="M9">
        <v>745587</v>
      </c>
    </row>
    <row r="10" spans="1:13" x14ac:dyDescent="0.35">
      <c r="A10" s="1">
        <v>46137</v>
      </c>
      <c r="B10">
        <v>745594</v>
      </c>
      <c r="C10" t="s">
        <v>13</v>
      </c>
      <c r="D10">
        <v>685493</v>
      </c>
      <c r="E10">
        <v>24.01</v>
      </c>
      <c r="F10" t="s">
        <v>23</v>
      </c>
      <c r="G10" t="s">
        <v>15</v>
      </c>
      <c r="H10" s="1">
        <v>46147</v>
      </c>
      <c r="I10">
        <v>328836</v>
      </c>
      <c r="J10" t="s">
        <v>16</v>
      </c>
      <c r="K10">
        <v>24.01</v>
      </c>
      <c r="L10" t="s">
        <v>30</v>
      </c>
      <c r="M10">
        <v>745594</v>
      </c>
    </row>
    <row r="11" spans="1:13" x14ac:dyDescent="0.35">
      <c r="A11" s="1">
        <v>46137</v>
      </c>
      <c r="B11">
        <v>745593</v>
      </c>
      <c r="C11" t="s">
        <v>21</v>
      </c>
      <c r="D11">
        <v>685493</v>
      </c>
      <c r="E11">
        <v>14</v>
      </c>
      <c r="F11" t="s">
        <v>21</v>
      </c>
      <c r="G11" t="s">
        <v>15</v>
      </c>
      <c r="H11" s="1">
        <v>46149</v>
      </c>
      <c r="I11">
        <v>330082</v>
      </c>
      <c r="J11" t="s">
        <v>16</v>
      </c>
      <c r="K11">
        <v>14</v>
      </c>
      <c r="L11" t="s">
        <v>31</v>
      </c>
      <c r="M11">
        <v>745593</v>
      </c>
    </row>
    <row r="12" spans="1:13" x14ac:dyDescent="0.35">
      <c r="A12" s="1">
        <v>46140</v>
      </c>
      <c r="B12">
        <v>745597</v>
      </c>
      <c r="C12" t="s">
        <v>21</v>
      </c>
      <c r="D12">
        <v>696803</v>
      </c>
      <c r="E12">
        <v>14</v>
      </c>
      <c r="F12" t="s">
        <v>21</v>
      </c>
      <c r="G12" t="s">
        <v>15</v>
      </c>
      <c r="H12" s="1">
        <v>46149</v>
      </c>
      <c r="I12">
        <v>329939</v>
      </c>
      <c r="J12" t="s">
        <v>16</v>
      </c>
      <c r="K12">
        <v>14</v>
      </c>
      <c r="L12" t="s">
        <v>32</v>
      </c>
      <c r="M12">
        <v>745597</v>
      </c>
    </row>
    <row r="13" spans="1:13" x14ac:dyDescent="0.35">
      <c r="A13" s="1">
        <v>46140</v>
      </c>
      <c r="B13">
        <v>745598</v>
      </c>
      <c r="C13" t="s">
        <v>13</v>
      </c>
      <c r="D13">
        <v>696803</v>
      </c>
      <c r="E13">
        <v>36.020000000000003</v>
      </c>
      <c r="F13" t="s">
        <v>23</v>
      </c>
      <c r="G13" t="s">
        <v>15</v>
      </c>
      <c r="H13" s="1">
        <v>46154</v>
      </c>
      <c r="I13">
        <v>332186</v>
      </c>
      <c r="J13" t="s">
        <v>16</v>
      </c>
      <c r="K13">
        <v>36.020000000000003</v>
      </c>
      <c r="L13" t="s">
        <v>33</v>
      </c>
      <c r="M13">
        <v>745598</v>
      </c>
    </row>
    <row r="14" spans="1:13" x14ac:dyDescent="0.35">
      <c r="A14" s="1">
        <v>46142</v>
      </c>
      <c r="B14">
        <v>745601</v>
      </c>
      <c r="C14" t="s">
        <v>34</v>
      </c>
      <c r="D14">
        <v>685497</v>
      </c>
      <c r="E14">
        <v>24.01</v>
      </c>
      <c r="F14" t="s">
        <v>23</v>
      </c>
      <c r="G14" t="s">
        <v>15</v>
      </c>
      <c r="H14" s="1">
        <v>46154</v>
      </c>
      <c r="I14">
        <v>332187</v>
      </c>
      <c r="J14" t="s">
        <v>16</v>
      </c>
      <c r="K14">
        <v>24.01</v>
      </c>
      <c r="L14" t="s">
        <v>35</v>
      </c>
      <c r="M14">
        <v>745601</v>
      </c>
    </row>
    <row r="15" spans="1:13" x14ac:dyDescent="0.35">
      <c r="A15" s="1">
        <v>46144</v>
      </c>
      <c r="B15">
        <v>745602</v>
      </c>
      <c r="C15" t="s">
        <v>36</v>
      </c>
      <c r="D15">
        <v>696500</v>
      </c>
      <c r="E15">
        <v>26.01</v>
      </c>
      <c r="F15" t="s">
        <v>37</v>
      </c>
      <c r="G15" t="s">
        <v>15</v>
      </c>
      <c r="H15" s="1">
        <v>46155</v>
      </c>
      <c r="I15">
        <v>332397</v>
      </c>
      <c r="J15" t="s">
        <v>16</v>
      </c>
      <c r="K15">
        <v>26.01</v>
      </c>
      <c r="L15" t="s">
        <v>38</v>
      </c>
      <c r="M15">
        <v>745602</v>
      </c>
    </row>
    <row r="16" spans="1:13" x14ac:dyDescent="0.35">
      <c r="A16" s="1">
        <v>46147</v>
      </c>
      <c r="B16">
        <v>745606</v>
      </c>
      <c r="C16" t="s">
        <v>21</v>
      </c>
      <c r="D16">
        <v>715020</v>
      </c>
      <c r="E16">
        <v>14</v>
      </c>
      <c r="F16" t="s">
        <v>21</v>
      </c>
      <c r="G16" t="s">
        <v>15</v>
      </c>
      <c r="H16" s="1">
        <v>46154</v>
      </c>
      <c r="I16">
        <v>332135</v>
      </c>
      <c r="J16" t="s">
        <v>16</v>
      </c>
      <c r="K16">
        <v>14</v>
      </c>
      <c r="L16" t="s">
        <v>39</v>
      </c>
      <c r="M16">
        <v>745606</v>
      </c>
    </row>
    <row r="17" spans="1:13" x14ac:dyDescent="0.35">
      <c r="A17" s="1">
        <v>46149</v>
      </c>
      <c r="B17">
        <v>745614</v>
      </c>
      <c r="C17" t="s">
        <v>21</v>
      </c>
      <c r="D17">
        <v>703780</v>
      </c>
      <c r="E17">
        <v>14</v>
      </c>
      <c r="F17" t="s">
        <v>21</v>
      </c>
      <c r="G17" t="s">
        <v>15</v>
      </c>
      <c r="H17" s="1">
        <v>46154</v>
      </c>
      <c r="I17">
        <v>332095</v>
      </c>
      <c r="J17" t="s">
        <v>16</v>
      </c>
      <c r="K17">
        <v>14</v>
      </c>
      <c r="L17" t="s">
        <v>40</v>
      </c>
      <c r="M17">
        <v>745614</v>
      </c>
    </row>
    <row r="18" spans="1:13" x14ac:dyDescent="0.35">
      <c r="A18" s="1">
        <v>46149</v>
      </c>
      <c r="B18">
        <v>745615</v>
      </c>
      <c r="C18" t="s">
        <v>34</v>
      </c>
      <c r="D18">
        <v>703780</v>
      </c>
      <c r="E18">
        <v>12.01</v>
      </c>
      <c r="F18" t="s">
        <v>14</v>
      </c>
      <c r="G18" t="s">
        <v>15</v>
      </c>
      <c r="H18" s="1">
        <v>46154</v>
      </c>
      <c r="I18">
        <v>332166</v>
      </c>
      <c r="J18" t="s">
        <v>16</v>
      </c>
      <c r="K18">
        <v>12.01</v>
      </c>
      <c r="L18" t="s">
        <v>41</v>
      </c>
      <c r="M18">
        <v>745615</v>
      </c>
    </row>
    <row r="19" spans="1:13" x14ac:dyDescent="0.35">
      <c r="A19" s="1">
        <v>46151</v>
      </c>
      <c r="B19">
        <v>745619</v>
      </c>
      <c r="C19" t="s">
        <v>34</v>
      </c>
      <c r="D19">
        <v>745619</v>
      </c>
      <c r="E19">
        <v>12.01</v>
      </c>
      <c r="F19" t="s">
        <v>23</v>
      </c>
      <c r="G19" t="s">
        <v>15</v>
      </c>
      <c r="H19" s="1">
        <v>46158</v>
      </c>
      <c r="I19">
        <v>334438</v>
      </c>
      <c r="J19" t="s">
        <v>16</v>
      </c>
      <c r="K19">
        <v>12.01</v>
      </c>
      <c r="L19" t="s">
        <v>42</v>
      </c>
      <c r="M19">
        <v>745619</v>
      </c>
    </row>
    <row r="20" spans="1:13" x14ac:dyDescent="0.35">
      <c r="A20" s="1">
        <v>46154</v>
      </c>
      <c r="B20">
        <v>745623</v>
      </c>
      <c r="C20" t="s">
        <v>34</v>
      </c>
      <c r="D20">
        <v>723417</v>
      </c>
      <c r="E20">
        <v>12.01</v>
      </c>
      <c r="F20" t="s">
        <v>23</v>
      </c>
      <c r="G20" t="s">
        <v>15</v>
      </c>
      <c r="H20" s="1">
        <v>46157</v>
      </c>
      <c r="I20">
        <v>333915</v>
      </c>
      <c r="J20" t="s">
        <v>16</v>
      </c>
      <c r="K20">
        <v>12.01</v>
      </c>
      <c r="L20" t="s">
        <v>43</v>
      </c>
      <c r="M20">
        <v>745623</v>
      </c>
    </row>
    <row r="21" spans="1:13" x14ac:dyDescent="0.35">
      <c r="A21" s="1">
        <v>46154</v>
      </c>
      <c r="B21">
        <v>745624</v>
      </c>
      <c r="C21" t="s">
        <v>21</v>
      </c>
      <c r="D21">
        <v>723417</v>
      </c>
      <c r="E21">
        <v>41.39</v>
      </c>
      <c r="F21" t="s">
        <v>21</v>
      </c>
      <c r="G21" t="s">
        <v>15</v>
      </c>
      <c r="H21" s="1">
        <v>46157</v>
      </c>
      <c r="I21">
        <v>333917</v>
      </c>
      <c r="J21" t="s">
        <v>16</v>
      </c>
      <c r="K21">
        <v>41.99</v>
      </c>
      <c r="L21" t="s">
        <v>44</v>
      </c>
      <c r="M21">
        <v>745624</v>
      </c>
    </row>
    <row r="22" spans="1:13" x14ac:dyDescent="0.35">
      <c r="A22" s="1">
        <v>46155</v>
      </c>
      <c r="B22">
        <v>745627</v>
      </c>
      <c r="C22" t="s">
        <v>34</v>
      </c>
      <c r="D22">
        <v>723417</v>
      </c>
      <c r="E22">
        <v>72.040000000000006</v>
      </c>
      <c r="F22" t="s">
        <v>23</v>
      </c>
      <c r="G22" t="s">
        <v>15</v>
      </c>
      <c r="H22" s="1">
        <v>46157</v>
      </c>
      <c r="I22">
        <v>333863</v>
      </c>
      <c r="J22" t="s">
        <v>16</v>
      </c>
      <c r="K22">
        <v>72.040000000000006</v>
      </c>
      <c r="L22" t="s">
        <v>45</v>
      </c>
      <c r="M22">
        <v>745627</v>
      </c>
    </row>
    <row r="23" spans="1:13" x14ac:dyDescent="0.35">
      <c r="A23" s="1">
        <v>46156</v>
      </c>
      <c r="B23">
        <v>745630</v>
      </c>
      <c r="C23" t="s">
        <v>21</v>
      </c>
      <c r="D23">
        <v>710007</v>
      </c>
      <c r="E23">
        <v>27.9</v>
      </c>
      <c r="F23" t="s">
        <v>21</v>
      </c>
      <c r="G23" t="s">
        <v>15</v>
      </c>
      <c r="H23" s="1">
        <v>46178</v>
      </c>
      <c r="I23">
        <v>343099</v>
      </c>
      <c r="J23" t="s">
        <v>16</v>
      </c>
      <c r="K23">
        <v>27.99</v>
      </c>
      <c r="L23" t="s">
        <v>46</v>
      </c>
      <c r="M23">
        <v>745630</v>
      </c>
    </row>
    <row r="24" spans="1:13" x14ac:dyDescent="0.35">
      <c r="A24" s="1">
        <v>46158</v>
      </c>
      <c r="B24">
        <v>745633</v>
      </c>
      <c r="C24" t="s">
        <v>21</v>
      </c>
      <c r="D24">
        <v>724040</v>
      </c>
      <c r="E24">
        <v>27.99</v>
      </c>
      <c r="F24" t="s">
        <v>21</v>
      </c>
      <c r="G24" t="s">
        <v>15</v>
      </c>
      <c r="H24" s="1">
        <v>46195</v>
      </c>
      <c r="I24">
        <v>349665</v>
      </c>
      <c r="J24" t="s">
        <v>16</v>
      </c>
      <c r="K24">
        <v>27.99</v>
      </c>
      <c r="L24" t="s">
        <v>47</v>
      </c>
      <c r="M24">
        <v>745633</v>
      </c>
    </row>
    <row r="25" spans="1:13" x14ac:dyDescent="0.35">
      <c r="A25" s="1">
        <v>46163</v>
      </c>
      <c r="B25">
        <v>745644</v>
      </c>
      <c r="C25" t="s">
        <v>34</v>
      </c>
      <c r="D25">
        <v>714531</v>
      </c>
      <c r="E25">
        <v>24.01</v>
      </c>
      <c r="F25" t="s">
        <v>23</v>
      </c>
      <c r="G25" t="s">
        <v>15</v>
      </c>
      <c r="H25" s="1">
        <v>46176</v>
      </c>
      <c r="I25">
        <v>341476</v>
      </c>
      <c r="J25" t="s">
        <v>16</v>
      </c>
      <c r="K25">
        <v>24.01</v>
      </c>
      <c r="L25" t="s">
        <v>48</v>
      </c>
      <c r="M25">
        <v>745644</v>
      </c>
    </row>
    <row r="26" spans="1:13" x14ac:dyDescent="0.35">
      <c r="A26" s="1">
        <v>46163</v>
      </c>
      <c r="B26">
        <v>745645</v>
      </c>
      <c r="C26" t="s">
        <v>21</v>
      </c>
      <c r="D26">
        <v>714531</v>
      </c>
      <c r="E26">
        <v>14</v>
      </c>
      <c r="F26" t="s">
        <v>21</v>
      </c>
      <c r="G26" t="s">
        <v>15</v>
      </c>
      <c r="H26" s="1">
        <v>46178</v>
      </c>
      <c r="I26">
        <v>343056</v>
      </c>
      <c r="J26" t="s">
        <v>16</v>
      </c>
      <c r="K26">
        <v>14</v>
      </c>
      <c r="L26" t="s">
        <v>49</v>
      </c>
      <c r="M26">
        <v>745645</v>
      </c>
    </row>
    <row r="27" spans="1:13" x14ac:dyDescent="0.35">
      <c r="A27" s="1">
        <v>46165</v>
      </c>
      <c r="B27">
        <v>745649</v>
      </c>
      <c r="C27" t="s">
        <v>50</v>
      </c>
      <c r="D27">
        <v>724047</v>
      </c>
      <c r="E27">
        <v>14</v>
      </c>
      <c r="F27" t="s">
        <v>51</v>
      </c>
      <c r="G27" t="s">
        <v>15</v>
      </c>
      <c r="H27" s="1">
        <v>46178</v>
      </c>
      <c r="I27">
        <v>343051</v>
      </c>
      <c r="J27" t="s">
        <v>16</v>
      </c>
      <c r="K27">
        <v>14</v>
      </c>
      <c r="L27" t="s">
        <v>52</v>
      </c>
      <c r="M27">
        <v>745649</v>
      </c>
    </row>
    <row r="28" spans="1:13" x14ac:dyDescent="0.35">
      <c r="A28" s="1">
        <v>46168</v>
      </c>
      <c r="B28">
        <v>745650</v>
      </c>
      <c r="C28" t="s">
        <v>21</v>
      </c>
      <c r="D28">
        <v>714642</v>
      </c>
      <c r="E28">
        <v>27.99</v>
      </c>
      <c r="F28" t="s">
        <v>21</v>
      </c>
      <c r="G28" t="s">
        <v>15</v>
      </c>
      <c r="H28" s="1">
        <v>46195</v>
      </c>
      <c r="I28">
        <v>349734</v>
      </c>
      <c r="J28" t="s">
        <v>16</v>
      </c>
      <c r="K28">
        <v>27.99</v>
      </c>
      <c r="L28" t="s">
        <v>53</v>
      </c>
      <c r="M28">
        <v>745650</v>
      </c>
    </row>
    <row r="29" spans="1:13" x14ac:dyDescent="0.35">
      <c r="A29" s="1">
        <v>46170</v>
      </c>
      <c r="B29">
        <v>756011</v>
      </c>
      <c r="C29" t="s">
        <v>21</v>
      </c>
      <c r="D29">
        <v>714644</v>
      </c>
      <c r="E29">
        <v>14</v>
      </c>
      <c r="F29" t="s">
        <v>21</v>
      </c>
      <c r="G29" t="s">
        <v>15</v>
      </c>
      <c r="H29" s="1">
        <v>46195</v>
      </c>
      <c r="I29">
        <v>349767</v>
      </c>
      <c r="J29" t="s">
        <v>16</v>
      </c>
      <c r="K29">
        <v>14</v>
      </c>
      <c r="L29" t="s">
        <v>54</v>
      </c>
      <c r="M29">
        <v>756011</v>
      </c>
    </row>
    <row r="30" spans="1:13" x14ac:dyDescent="0.35">
      <c r="A30" s="1">
        <v>46172</v>
      </c>
      <c r="B30">
        <v>756015</v>
      </c>
      <c r="C30" t="s">
        <v>51</v>
      </c>
      <c r="D30">
        <v>663473</v>
      </c>
      <c r="E30">
        <v>14</v>
      </c>
      <c r="F30" t="s">
        <v>51</v>
      </c>
      <c r="G30" t="s">
        <v>15</v>
      </c>
      <c r="H30" s="1">
        <v>46178</v>
      </c>
      <c r="I30">
        <v>342993</v>
      </c>
      <c r="J30" t="s">
        <v>16</v>
      </c>
      <c r="K30">
        <v>14</v>
      </c>
      <c r="L30" t="s">
        <v>55</v>
      </c>
      <c r="M30">
        <v>756015</v>
      </c>
    </row>
    <row r="31" spans="1:13" x14ac:dyDescent="0.35">
      <c r="A31" s="1">
        <v>46174</v>
      </c>
      <c r="B31">
        <v>756022</v>
      </c>
      <c r="C31" t="s">
        <v>34</v>
      </c>
      <c r="D31">
        <v>663473</v>
      </c>
      <c r="E31">
        <v>72.040000000000006</v>
      </c>
      <c r="F31" t="s">
        <v>23</v>
      </c>
      <c r="G31" t="s">
        <v>15</v>
      </c>
      <c r="H31" s="1">
        <v>46178</v>
      </c>
      <c r="I31">
        <v>342986</v>
      </c>
      <c r="J31" t="s">
        <v>16</v>
      </c>
      <c r="K31">
        <v>72.040000000000006</v>
      </c>
      <c r="L31" t="s">
        <v>56</v>
      </c>
      <c r="M31">
        <v>756022</v>
      </c>
    </row>
    <row r="32" spans="1:13" x14ac:dyDescent="0.35">
      <c r="A32" s="1">
        <v>46174</v>
      </c>
      <c r="B32">
        <v>756023</v>
      </c>
      <c r="C32" t="s">
        <v>57</v>
      </c>
      <c r="D32">
        <v>663473</v>
      </c>
      <c r="E32">
        <v>24.01</v>
      </c>
      <c r="F32" t="s">
        <v>58</v>
      </c>
      <c r="G32" t="s">
        <v>15</v>
      </c>
      <c r="H32" s="1">
        <v>46178</v>
      </c>
      <c r="I32">
        <v>342990</v>
      </c>
      <c r="J32" t="s">
        <v>16</v>
      </c>
      <c r="K32">
        <v>24.01</v>
      </c>
      <c r="L32" t="s">
        <v>59</v>
      </c>
      <c r="M32">
        <v>756023</v>
      </c>
    </row>
    <row r="33" spans="1:13" x14ac:dyDescent="0.35">
      <c r="A33" s="1">
        <v>46175</v>
      </c>
      <c r="B33">
        <v>756025</v>
      </c>
      <c r="C33" t="s">
        <v>36</v>
      </c>
      <c r="D33">
        <v>715028</v>
      </c>
      <c r="E33">
        <v>38.01</v>
      </c>
      <c r="F33" t="s">
        <v>37</v>
      </c>
      <c r="G33" t="s">
        <v>15</v>
      </c>
      <c r="H33" s="1">
        <v>46178</v>
      </c>
      <c r="I33">
        <v>342963</v>
      </c>
      <c r="J33" t="s">
        <v>16</v>
      </c>
      <c r="K33">
        <v>38.01</v>
      </c>
      <c r="L33" t="s">
        <v>60</v>
      </c>
      <c r="M33">
        <v>756025</v>
      </c>
    </row>
    <row r="34" spans="1:13" x14ac:dyDescent="0.35">
      <c r="A34" s="1">
        <v>46177</v>
      </c>
      <c r="B34">
        <v>756032</v>
      </c>
      <c r="C34" t="s">
        <v>34</v>
      </c>
      <c r="D34">
        <v>726293</v>
      </c>
      <c r="E34">
        <v>36.020000000000003</v>
      </c>
      <c r="F34" t="s">
        <v>14</v>
      </c>
      <c r="G34" t="s">
        <v>15</v>
      </c>
      <c r="H34" s="1">
        <v>46195</v>
      </c>
      <c r="I34">
        <v>349768</v>
      </c>
      <c r="J34" t="s">
        <v>16</v>
      </c>
      <c r="K34">
        <v>36.020000000000003</v>
      </c>
      <c r="L34" t="s">
        <v>61</v>
      </c>
      <c r="M34">
        <v>756032</v>
      </c>
    </row>
    <row r="35" spans="1:13" x14ac:dyDescent="0.35">
      <c r="A35" s="1">
        <v>46177</v>
      </c>
      <c r="B35">
        <v>756031</v>
      </c>
      <c r="C35" t="s">
        <v>21</v>
      </c>
      <c r="D35">
        <v>726293</v>
      </c>
      <c r="E35">
        <v>14</v>
      </c>
      <c r="F35" t="s">
        <v>21</v>
      </c>
      <c r="G35" t="s">
        <v>15</v>
      </c>
      <c r="H35" s="1">
        <v>46195</v>
      </c>
      <c r="I35">
        <v>349909</v>
      </c>
      <c r="J35" t="s">
        <v>16</v>
      </c>
      <c r="K35">
        <v>14</v>
      </c>
      <c r="L35" t="s">
        <v>62</v>
      </c>
      <c r="M35">
        <v>756031</v>
      </c>
    </row>
    <row r="36" spans="1:13" x14ac:dyDescent="0.35">
      <c r="A36" s="1">
        <v>46179</v>
      </c>
      <c r="B36">
        <v>756036</v>
      </c>
      <c r="C36" t="s">
        <v>34</v>
      </c>
      <c r="D36">
        <v>706062</v>
      </c>
      <c r="E36">
        <v>12.01</v>
      </c>
      <c r="F36" t="s">
        <v>23</v>
      </c>
      <c r="G36" t="s">
        <v>15</v>
      </c>
      <c r="H36" s="1">
        <v>46195</v>
      </c>
      <c r="I36">
        <v>349931</v>
      </c>
      <c r="J36" t="s">
        <v>16</v>
      </c>
      <c r="K36">
        <v>12.01</v>
      </c>
      <c r="L36" t="s">
        <v>63</v>
      </c>
      <c r="M36">
        <v>756036</v>
      </c>
    </row>
    <row r="37" spans="1:13" x14ac:dyDescent="0.35">
      <c r="A37" s="1">
        <v>46179</v>
      </c>
      <c r="B37">
        <v>756035</v>
      </c>
      <c r="C37" t="s">
        <v>21</v>
      </c>
      <c r="D37">
        <v>706062</v>
      </c>
      <c r="E37">
        <v>55.98</v>
      </c>
      <c r="F37" t="s">
        <v>21</v>
      </c>
      <c r="G37" t="s">
        <v>15</v>
      </c>
      <c r="H37" s="1">
        <v>46195</v>
      </c>
      <c r="I37">
        <v>349933</v>
      </c>
      <c r="J37" t="s">
        <v>16</v>
      </c>
      <c r="K37">
        <v>55.98</v>
      </c>
      <c r="L37" t="s">
        <v>64</v>
      </c>
      <c r="M37">
        <v>756035</v>
      </c>
    </row>
    <row r="38" spans="1:13" x14ac:dyDescent="0.35">
      <c r="A38" s="1">
        <v>46182</v>
      </c>
      <c r="B38">
        <v>756044</v>
      </c>
      <c r="C38" t="s">
        <v>21</v>
      </c>
      <c r="D38">
        <v>707084</v>
      </c>
      <c r="E38">
        <v>69.95</v>
      </c>
      <c r="F38" t="s">
        <v>21</v>
      </c>
      <c r="G38" t="s">
        <v>15</v>
      </c>
      <c r="H38" s="1">
        <v>46195</v>
      </c>
      <c r="I38">
        <v>349990</v>
      </c>
      <c r="J38" t="s">
        <v>16</v>
      </c>
      <c r="K38">
        <v>69.98</v>
      </c>
      <c r="L38" t="s">
        <v>65</v>
      </c>
      <c r="M38">
        <v>756044</v>
      </c>
    </row>
    <row r="39" spans="1:13" x14ac:dyDescent="0.35">
      <c r="A39" s="1">
        <v>46182</v>
      </c>
      <c r="B39">
        <v>756045</v>
      </c>
      <c r="C39" t="s">
        <v>34</v>
      </c>
      <c r="D39">
        <v>707084</v>
      </c>
      <c r="E39">
        <v>12.01</v>
      </c>
      <c r="F39" t="s">
        <v>23</v>
      </c>
      <c r="G39" t="s">
        <v>15</v>
      </c>
      <c r="H39" s="1">
        <v>46195</v>
      </c>
      <c r="I39">
        <v>349991</v>
      </c>
      <c r="J39" t="s">
        <v>16</v>
      </c>
      <c r="K39">
        <v>12.01</v>
      </c>
      <c r="L39" t="s">
        <v>66</v>
      </c>
      <c r="M39">
        <v>756045</v>
      </c>
    </row>
    <row r="40" spans="1:13" x14ac:dyDescent="0.35">
      <c r="A40" s="1">
        <v>46184</v>
      </c>
      <c r="B40">
        <v>755951</v>
      </c>
      <c r="C40" t="s">
        <v>34</v>
      </c>
      <c r="D40">
        <v>724057</v>
      </c>
      <c r="E40">
        <v>24.01</v>
      </c>
      <c r="F40" t="s">
        <v>14</v>
      </c>
      <c r="G40" t="s">
        <v>15</v>
      </c>
      <c r="H40" s="1">
        <v>46195</v>
      </c>
      <c r="I40">
        <v>349940</v>
      </c>
      <c r="J40" t="s">
        <v>16</v>
      </c>
      <c r="K40">
        <v>24.01</v>
      </c>
      <c r="L40" t="s">
        <v>67</v>
      </c>
      <c r="M40">
        <v>755951</v>
      </c>
    </row>
    <row r="41" spans="1:13" x14ac:dyDescent="0.35">
      <c r="A41" s="1">
        <v>46186</v>
      </c>
      <c r="B41">
        <v>755959</v>
      </c>
      <c r="C41" t="s">
        <v>34</v>
      </c>
      <c r="D41">
        <v>735101</v>
      </c>
      <c r="E41">
        <v>36.020000000000003</v>
      </c>
      <c r="F41" t="s">
        <v>23</v>
      </c>
      <c r="G41" t="s">
        <v>15</v>
      </c>
      <c r="H41" s="1">
        <v>46195</v>
      </c>
      <c r="I41">
        <v>349627</v>
      </c>
      <c r="J41" t="s">
        <v>16</v>
      </c>
      <c r="K41">
        <v>36.020000000000003</v>
      </c>
      <c r="L41" t="s">
        <v>68</v>
      </c>
      <c r="M41">
        <v>755959</v>
      </c>
    </row>
    <row r="42" spans="1:13" x14ac:dyDescent="0.35">
      <c r="A42" s="1">
        <v>46186</v>
      </c>
      <c r="B42">
        <v>755960</v>
      </c>
      <c r="C42" t="s">
        <v>21</v>
      </c>
      <c r="D42">
        <v>735101</v>
      </c>
      <c r="E42">
        <v>14</v>
      </c>
      <c r="F42" t="s">
        <v>51</v>
      </c>
      <c r="G42" t="s">
        <v>15</v>
      </c>
      <c r="H42" s="1">
        <v>46195</v>
      </c>
      <c r="I42">
        <v>349629</v>
      </c>
      <c r="J42" t="s">
        <v>16</v>
      </c>
      <c r="K42">
        <v>14</v>
      </c>
      <c r="L42" t="s">
        <v>69</v>
      </c>
      <c r="M42">
        <v>755960</v>
      </c>
    </row>
    <row r="43" spans="1:13" x14ac:dyDescent="0.35">
      <c r="A43" s="1">
        <v>46188</v>
      </c>
      <c r="B43">
        <v>755961</v>
      </c>
      <c r="C43" t="s">
        <v>13</v>
      </c>
      <c r="D43">
        <v>735101</v>
      </c>
      <c r="E43">
        <v>96.05</v>
      </c>
      <c r="F43" t="s">
        <v>23</v>
      </c>
      <c r="G43" t="s">
        <v>15</v>
      </c>
      <c r="H43" s="1">
        <v>46195</v>
      </c>
      <c r="I43">
        <v>349632</v>
      </c>
      <c r="J43" t="s">
        <v>16</v>
      </c>
      <c r="K43">
        <v>96.05</v>
      </c>
      <c r="L43" t="s">
        <v>70</v>
      </c>
      <c r="M43">
        <v>755961</v>
      </c>
    </row>
    <row r="44" spans="1:13" x14ac:dyDescent="0.35">
      <c r="A44" s="1">
        <v>46190</v>
      </c>
      <c r="B44">
        <v>755964</v>
      </c>
      <c r="C44" t="s">
        <v>71</v>
      </c>
      <c r="D44">
        <v>714649</v>
      </c>
      <c r="E44">
        <v>14</v>
      </c>
      <c r="F44" t="s">
        <v>21</v>
      </c>
      <c r="G44" t="s">
        <v>15</v>
      </c>
      <c r="H44" s="1">
        <v>46195</v>
      </c>
      <c r="I44">
        <v>349562</v>
      </c>
      <c r="J44" t="s">
        <v>16</v>
      </c>
      <c r="K44">
        <v>14</v>
      </c>
      <c r="L44" t="s">
        <v>72</v>
      </c>
      <c r="M44">
        <v>755964</v>
      </c>
    </row>
    <row r="45" spans="1:13" x14ac:dyDescent="0.35">
      <c r="A45" s="1">
        <v>46190</v>
      </c>
      <c r="B45">
        <v>755963</v>
      </c>
      <c r="C45" t="s">
        <v>34</v>
      </c>
      <c r="D45">
        <v>714649</v>
      </c>
      <c r="E45">
        <v>36.020000000000003</v>
      </c>
      <c r="F45" t="s">
        <v>73</v>
      </c>
      <c r="G45" t="s">
        <v>15</v>
      </c>
      <c r="H45" s="1">
        <v>46195</v>
      </c>
      <c r="I45">
        <v>349564</v>
      </c>
      <c r="J45" t="s">
        <v>16</v>
      </c>
      <c r="K45">
        <v>36.020000000000003</v>
      </c>
      <c r="L45" t="s">
        <v>74</v>
      </c>
      <c r="M45">
        <v>755963</v>
      </c>
    </row>
    <row r="46" spans="1:13" x14ac:dyDescent="0.35">
      <c r="A46" s="1">
        <v>46191</v>
      </c>
      <c r="B46">
        <v>755968</v>
      </c>
      <c r="C46" t="s">
        <v>34</v>
      </c>
      <c r="D46">
        <v>715040</v>
      </c>
      <c r="E46">
        <v>24.01</v>
      </c>
      <c r="F46" t="s">
        <v>23</v>
      </c>
      <c r="G46" t="s">
        <v>15</v>
      </c>
      <c r="H46" s="1">
        <v>46204</v>
      </c>
      <c r="I46">
        <v>355005</v>
      </c>
      <c r="J46" t="s">
        <v>16</v>
      </c>
      <c r="K46">
        <v>24.01</v>
      </c>
      <c r="L46" t="s">
        <v>75</v>
      </c>
      <c r="M46">
        <v>755968</v>
      </c>
    </row>
    <row r="47" spans="1:13" x14ac:dyDescent="0.35">
      <c r="A47" s="1">
        <v>46196</v>
      </c>
      <c r="B47">
        <v>755981</v>
      </c>
      <c r="C47" t="s">
        <v>76</v>
      </c>
      <c r="E47">
        <v>40</v>
      </c>
      <c r="F47" t="s">
        <v>77</v>
      </c>
      <c r="G47" t="s">
        <v>15</v>
      </c>
      <c r="H47" s="1">
        <v>46202</v>
      </c>
      <c r="I47">
        <v>353818</v>
      </c>
      <c r="J47" t="s">
        <v>16</v>
      </c>
      <c r="K47">
        <v>40</v>
      </c>
      <c r="L47" t="s">
        <v>78</v>
      </c>
      <c r="M47">
        <v>755981</v>
      </c>
    </row>
    <row r="48" spans="1:13" x14ac:dyDescent="0.35">
      <c r="A48" s="1">
        <v>46197</v>
      </c>
      <c r="B48">
        <v>755982</v>
      </c>
      <c r="C48" t="s">
        <v>13</v>
      </c>
      <c r="D48">
        <v>726300</v>
      </c>
      <c r="E48">
        <v>72.040000000000006</v>
      </c>
      <c r="F48" t="s">
        <v>23</v>
      </c>
      <c r="G48" t="s">
        <v>15</v>
      </c>
      <c r="H48" s="1">
        <v>46206</v>
      </c>
      <c r="I48">
        <v>356075</v>
      </c>
      <c r="J48" t="s">
        <v>16</v>
      </c>
      <c r="K48">
        <v>72.040000000000006</v>
      </c>
      <c r="L48" t="s">
        <v>79</v>
      </c>
      <c r="M48">
        <v>755982</v>
      </c>
    </row>
    <row r="49" spans="1:13" x14ac:dyDescent="0.35">
      <c r="A49" s="1">
        <v>46197</v>
      </c>
      <c r="B49">
        <v>755983</v>
      </c>
      <c r="C49" t="s">
        <v>57</v>
      </c>
      <c r="D49">
        <v>726300</v>
      </c>
      <c r="E49">
        <v>24.01</v>
      </c>
      <c r="F49" t="s">
        <v>80</v>
      </c>
      <c r="G49" t="s">
        <v>15</v>
      </c>
      <c r="H49" s="1">
        <v>46206</v>
      </c>
      <c r="I49">
        <v>356080</v>
      </c>
      <c r="J49" t="s">
        <v>16</v>
      </c>
      <c r="K49">
        <v>24.01</v>
      </c>
      <c r="L49" t="s">
        <v>81</v>
      </c>
      <c r="M49">
        <v>755983</v>
      </c>
    </row>
    <row r="50" spans="1:13" x14ac:dyDescent="0.35">
      <c r="A50" s="1">
        <v>46200</v>
      </c>
      <c r="B50">
        <v>755989</v>
      </c>
      <c r="C50" t="s">
        <v>14</v>
      </c>
      <c r="E50">
        <v>36.020000000000003</v>
      </c>
      <c r="F50" t="s">
        <v>23</v>
      </c>
      <c r="G50" t="s">
        <v>15</v>
      </c>
      <c r="H50" s="1">
        <v>46204</v>
      </c>
      <c r="I50">
        <v>355098</v>
      </c>
      <c r="J50" t="s">
        <v>16</v>
      </c>
      <c r="K50">
        <v>36.020000000000003</v>
      </c>
      <c r="L50" t="s">
        <v>82</v>
      </c>
      <c r="M50">
        <v>755989</v>
      </c>
    </row>
    <row r="51" spans="1:13" x14ac:dyDescent="0.35">
      <c r="A51" s="1">
        <v>46200</v>
      </c>
      <c r="B51">
        <v>755988</v>
      </c>
      <c r="C51" t="s">
        <v>21</v>
      </c>
      <c r="E51">
        <v>27.99</v>
      </c>
      <c r="F51" t="s">
        <v>21</v>
      </c>
      <c r="G51" t="s">
        <v>15</v>
      </c>
      <c r="H51" s="1">
        <v>46204</v>
      </c>
      <c r="I51">
        <v>355100</v>
      </c>
      <c r="J51" t="s">
        <v>16</v>
      </c>
      <c r="K51">
        <v>27.99</v>
      </c>
      <c r="L51" t="s">
        <v>83</v>
      </c>
      <c r="M51">
        <v>755988</v>
      </c>
    </row>
    <row r="52" spans="1:13" x14ac:dyDescent="0.35">
      <c r="A52" s="1">
        <v>46203</v>
      </c>
      <c r="B52">
        <v>755995</v>
      </c>
      <c r="C52" t="s">
        <v>84</v>
      </c>
      <c r="D52">
        <v>726300</v>
      </c>
      <c r="E52">
        <v>71.55</v>
      </c>
      <c r="F52" t="s">
        <v>23</v>
      </c>
      <c r="G52" t="s">
        <v>15</v>
      </c>
      <c r="H52" s="1">
        <v>46206</v>
      </c>
      <c r="I52">
        <v>356077</v>
      </c>
      <c r="J52" t="s">
        <v>16</v>
      </c>
      <c r="K52">
        <v>72.03</v>
      </c>
      <c r="L52" t="s">
        <v>85</v>
      </c>
      <c r="M52">
        <v>755995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F251"/>
  <sheetViews>
    <sheetView tabSelected="1" workbookViewId="0">
      <pane ySplit="3" topLeftCell="A138" activePane="bottomLeft" state="frozen"/>
      <selection pane="bottomLeft" activeCell="C150" sqref="C150"/>
    </sheetView>
  </sheetViews>
  <sheetFormatPr defaultRowHeight="14.5" x14ac:dyDescent="0.35"/>
  <cols>
    <col min="1" max="1" width="10.54296875" style="2" customWidth="1"/>
    <col min="2" max="2" width="8.7265625" style="18" customWidth="1"/>
    <col min="3" max="3" width="64.26953125" bestFit="1" customWidth="1"/>
    <col min="4" max="4" width="8.1796875" customWidth="1"/>
    <col min="5" max="5" width="9.7265625" style="3" bestFit="1" customWidth="1"/>
    <col min="6" max="6" width="31.54296875" bestFit="1" customWidth="1"/>
  </cols>
  <sheetData>
    <row r="1" spans="1:6" ht="18.5" x14ac:dyDescent="0.45">
      <c r="A1" s="19" t="s">
        <v>280</v>
      </c>
      <c r="B1" s="19"/>
      <c r="C1" s="19"/>
      <c r="D1" s="19"/>
      <c r="E1" s="19"/>
      <c r="F1" s="19"/>
    </row>
    <row r="2" spans="1:6" x14ac:dyDescent="0.35">
      <c r="B2" s="15">
        <f>COUNT(B4:B251)</f>
        <v>188</v>
      </c>
      <c r="C2" s="10" t="s">
        <v>278</v>
      </c>
      <c r="E2" s="3">
        <f>SUM(E4:E251)</f>
        <v>386774.60000000003</v>
      </c>
      <c r="F2" s="3" t="s">
        <v>279</v>
      </c>
    </row>
    <row r="3" spans="1:6" s="14" customFormat="1" ht="29.15" customHeight="1" x14ac:dyDescent="0.35">
      <c r="A3" s="11" t="s">
        <v>0</v>
      </c>
      <c r="B3" s="16" t="s">
        <v>1</v>
      </c>
      <c r="C3" s="12" t="s">
        <v>2</v>
      </c>
      <c r="D3" s="12" t="s">
        <v>3</v>
      </c>
      <c r="E3" s="13" t="s">
        <v>4</v>
      </c>
      <c r="F3" s="12" t="s">
        <v>5</v>
      </c>
    </row>
    <row r="4" spans="1:6" x14ac:dyDescent="0.35">
      <c r="A4" s="4">
        <v>46214</v>
      </c>
      <c r="B4" s="17">
        <v>771274</v>
      </c>
      <c r="C4" s="5" t="s">
        <v>283</v>
      </c>
      <c r="D4" s="5"/>
      <c r="E4" s="6">
        <v>120</v>
      </c>
      <c r="F4" s="5" t="s">
        <v>142</v>
      </c>
    </row>
    <row r="5" spans="1:6" x14ac:dyDescent="0.35">
      <c r="A5" s="4">
        <v>46214</v>
      </c>
      <c r="B5" s="17">
        <v>771273</v>
      </c>
      <c r="C5" s="5" t="s">
        <v>282</v>
      </c>
      <c r="D5" s="5"/>
      <c r="E5" s="6">
        <v>12.01</v>
      </c>
      <c r="F5" s="5" t="s">
        <v>23</v>
      </c>
    </row>
    <row r="6" spans="1:6" x14ac:dyDescent="0.35">
      <c r="A6" s="4">
        <v>46214</v>
      </c>
      <c r="B6" s="17">
        <v>771272</v>
      </c>
      <c r="C6" s="5" t="s">
        <v>101</v>
      </c>
      <c r="D6" s="5"/>
      <c r="E6" s="6">
        <v>1955</v>
      </c>
      <c r="F6" s="5" t="s">
        <v>101</v>
      </c>
    </row>
    <row r="7" spans="1:6" x14ac:dyDescent="0.35">
      <c r="A7" s="4">
        <v>46214</v>
      </c>
      <c r="B7" s="17">
        <v>771271</v>
      </c>
      <c r="C7" s="5" t="s">
        <v>101</v>
      </c>
      <c r="D7" s="5"/>
      <c r="E7" s="6">
        <v>7800</v>
      </c>
      <c r="F7" s="5" t="s">
        <v>101</v>
      </c>
    </row>
    <row r="8" spans="1:6" x14ac:dyDescent="0.35">
      <c r="A8" s="4">
        <v>46214</v>
      </c>
      <c r="B8" s="17">
        <v>771270</v>
      </c>
      <c r="C8" s="5" t="s">
        <v>94</v>
      </c>
      <c r="D8" s="5"/>
      <c r="E8" s="6">
        <v>10626</v>
      </c>
      <c r="F8" s="5" t="s">
        <v>94</v>
      </c>
    </row>
    <row r="9" spans="1:6" x14ac:dyDescent="0.35">
      <c r="A9" s="4">
        <v>46212</v>
      </c>
      <c r="B9" s="17">
        <v>771269</v>
      </c>
      <c r="C9" s="5" t="s">
        <v>137</v>
      </c>
      <c r="D9" s="5"/>
      <c r="E9" s="6">
        <v>1238.9000000000001</v>
      </c>
      <c r="F9" s="5" t="s">
        <v>19</v>
      </c>
    </row>
    <row r="10" spans="1:6" x14ac:dyDescent="0.35">
      <c r="A10" s="4">
        <v>46212</v>
      </c>
      <c r="B10" s="17">
        <v>771268</v>
      </c>
      <c r="C10" s="5" t="s">
        <v>178</v>
      </c>
      <c r="D10" s="5"/>
      <c r="E10" s="6">
        <v>518</v>
      </c>
      <c r="F10" s="5" t="s">
        <v>142</v>
      </c>
    </row>
    <row r="11" spans="1:6" x14ac:dyDescent="0.35">
      <c r="A11" s="4">
        <v>46212</v>
      </c>
      <c r="B11" s="17">
        <v>771267</v>
      </c>
      <c r="C11" s="5" t="s">
        <v>225</v>
      </c>
      <c r="D11" s="5"/>
      <c r="E11" s="6">
        <v>225.62</v>
      </c>
      <c r="F11" s="5" t="s">
        <v>142</v>
      </c>
    </row>
    <row r="12" spans="1:6" x14ac:dyDescent="0.35">
      <c r="A12" s="4">
        <v>46212</v>
      </c>
      <c r="B12" s="17">
        <v>771266</v>
      </c>
      <c r="C12" s="5" t="s">
        <v>101</v>
      </c>
      <c r="D12" s="5">
        <v>735121</v>
      </c>
      <c r="E12" s="6">
        <v>5865</v>
      </c>
      <c r="F12" s="5" t="s">
        <v>101</v>
      </c>
    </row>
    <row r="13" spans="1:6" x14ac:dyDescent="0.35">
      <c r="A13" s="4">
        <v>46212</v>
      </c>
      <c r="B13" s="17">
        <v>771265</v>
      </c>
      <c r="C13" s="5" t="s">
        <v>94</v>
      </c>
      <c r="D13" s="5">
        <v>735121</v>
      </c>
      <c r="E13" s="6">
        <v>12213</v>
      </c>
      <c r="F13" s="5" t="s">
        <v>94</v>
      </c>
    </row>
    <row r="14" spans="1:6" x14ac:dyDescent="0.35">
      <c r="A14" s="4">
        <v>46212</v>
      </c>
      <c r="B14" s="17">
        <v>771264</v>
      </c>
      <c r="C14" s="5" t="s">
        <v>21</v>
      </c>
      <c r="D14" s="5">
        <v>735121</v>
      </c>
      <c r="E14" s="6">
        <v>14</v>
      </c>
      <c r="F14" s="5" t="s">
        <v>21</v>
      </c>
    </row>
    <row r="15" spans="1:6" x14ac:dyDescent="0.35">
      <c r="A15" s="4">
        <v>46212</v>
      </c>
      <c r="B15" s="17">
        <v>771263</v>
      </c>
      <c r="C15" s="5" t="s">
        <v>34</v>
      </c>
      <c r="D15" s="5">
        <v>735121</v>
      </c>
      <c r="E15" s="6">
        <v>24.01</v>
      </c>
      <c r="F15" s="5" t="s">
        <v>23</v>
      </c>
    </row>
    <row r="16" spans="1:6" x14ac:dyDescent="0.35">
      <c r="A16" s="4">
        <v>46211</v>
      </c>
      <c r="B16" s="17">
        <v>771262</v>
      </c>
      <c r="C16" s="5" t="s">
        <v>171</v>
      </c>
      <c r="D16" s="5"/>
      <c r="E16" s="6">
        <v>564.39</v>
      </c>
      <c r="F16" s="5" t="s">
        <v>142</v>
      </c>
    </row>
    <row r="17" spans="1:6" x14ac:dyDescent="0.35">
      <c r="A17" s="4">
        <v>46210</v>
      </c>
      <c r="B17" s="17">
        <v>771261</v>
      </c>
      <c r="C17" s="5" t="s">
        <v>212</v>
      </c>
      <c r="D17" s="5"/>
      <c r="E17" s="6">
        <v>296.99</v>
      </c>
      <c r="F17" s="5" t="s">
        <v>98</v>
      </c>
    </row>
    <row r="18" spans="1:6" x14ac:dyDescent="0.35">
      <c r="A18" s="4">
        <v>46210</v>
      </c>
      <c r="B18" s="17">
        <v>771259</v>
      </c>
      <c r="C18" s="5" t="s">
        <v>34</v>
      </c>
      <c r="D18" s="5">
        <v>715054</v>
      </c>
      <c r="E18" s="6">
        <v>12.01</v>
      </c>
      <c r="F18" s="5" t="s">
        <v>23</v>
      </c>
    </row>
    <row r="19" spans="1:6" x14ac:dyDescent="0.35">
      <c r="A19" s="4">
        <v>46210</v>
      </c>
      <c r="B19" s="17">
        <v>771258</v>
      </c>
      <c r="C19" s="5" t="s">
        <v>251</v>
      </c>
      <c r="D19" s="5"/>
      <c r="E19" s="6">
        <v>97.14</v>
      </c>
      <c r="F19" s="5" t="s">
        <v>142</v>
      </c>
    </row>
    <row r="20" spans="1:6" x14ac:dyDescent="0.35">
      <c r="A20" s="4">
        <v>46210</v>
      </c>
      <c r="B20" s="17">
        <v>771257</v>
      </c>
      <c r="C20" s="5" t="s">
        <v>101</v>
      </c>
      <c r="D20" s="5">
        <v>715054</v>
      </c>
      <c r="E20" s="6">
        <v>5865</v>
      </c>
      <c r="F20" s="5" t="s">
        <v>101</v>
      </c>
    </row>
    <row r="21" spans="1:6" x14ac:dyDescent="0.35">
      <c r="A21" s="4">
        <v>46210</v>
      </c>
      <c r="B21" s="17">
        <v>771256</v>
      </c>
      <c r="C21" s="5" t="s">
        <v>94</v>
      </c>
      <c r="D21" s="5">
        <v>715054</v>
      </c>
      <c r="E21" s="6">
        <v>8901</v>
      </c>
      <c r="F21" s="5" t="s">
        <v>94</v>
      </c>
    </row>
    <row r="22" spans="1:6" x14ac:dyDescent="0.35">
      <c r="A22" s="4">
        <v>46182</v>
      </c>
      <c r="B22" s="17">
        <v>756049</v>
      </c>
      <c r="C22" s="5" t="s">
        <v>260</v>
      </c>
      <c r="D22" s="5"/>
      <c r="E22" s="6">
        <v>63.1</v>
      </c>
      <c r="F22" s="5" t="s">
        <v>184</v>
      </c>
    </row>
    <row r="23" spans="1:6" x14ac:dyDescent="0.35">
      <c r="A23" s="4">
        <v>46179</v>
      </c>
      <c r="B23" s="17">
        <v>756043</v>
      </c>
      <c r="C23" s="5" t="s">
        <v>186</v>
      </c>
      <c r="D23" s="5"/>
      <c r="E23" s="6">
        <v>500.81</v>
      </c>
      <c r="F23" s="5" t="s">
        <v>142</v>
      </c>
    </row>
    <row r="24" spans="1:6" x14ac:dyDescent="0.35">
      <c r="A24" s="4">
        <v>46179</v>
      </c>
      <c r="B24" s="17">
        <v>756042</v>
      </c>
      <c r="C24" s="5" t="s">
        <v>245</v>
      </c>
      <c r="D24" s="5"/>
      <c r="E24" s="6">
        <v>129.65</v>
      </c>
      <c r="F24" s="5" t="s">
        <v>142</v>
      </c>
    </row>
    <row r="25" spans="1:6" x14ac:dyDescent="0.35">
      <c r="A25" s="4">
        <v>46179</v>
      </c>
      <c r="B25" s="17">
        <v>756041</v>
      </c>
      <c r="C25" s="5" t="s">
        <v>214</v>
      </c>
      <c r="D25" s="5"/>
      <c r="E25" s="6">
        <v>273.39</v>
      </c>
      <c r="F25" s="5" t="s">
        <v>142</v>
      </c>
    </row>
    <row r="26" spans="1:6" x14ac:dyDescent="0.35">
      <c r="A26" s="4">
        <v>46179</v>
      </c>
      <c r="B26" s="17">
        <v>756040</v>
      </c>
      <c r="C26" s="5" t="s">
        <v>249</v>
      </c>
      <c r="D26" s="5"/>
      <c r="E26" s="6">
        <v>109.39</v>
      </c>
      <c r="F26" s="5" t="s">
        <v>184</v>
      </c>
    </row>
    <row r="27" spans="1:6" x14ac:dyDescent="0.35">
      <c r="A27" s="4">
        <v>46175</v>
      </c>
      <c r="B27" s="17">
        <v>756030</v>
      </c>
      <c r="C27" s="5" t="s">
        <v>189</v>
      </c>
      <c r="D27" s="5"/>
      <c r="E27" s="6">
        <v>472.94</v>
      </c>
      <c r="F27" s="5" t="s">
        <v>142</v>
      </c>
    </row>
    <row r="28" spans="1:6" x14ac:dyDescent="0.35">
      <c r="A28" s="4">
        <v>46175</v>
      </c>
      <c r="B28" s="17">
        <v>756029</v>
      </c>
      <c r="C28" s="5" t="s">
        <v>239</v>
      </c>
      <c r="D28" s="5"/>
      <c r="E28" s="6">
        <v>146.06</v>
      </c>
      <c r="F28" s="5" t="s">
        <v>142</v>
      </c>
    </row>
    <row r="29" spans="1:6" x14ac:dyDescent="0.35">
      <c r="A29" s="4">
        <v>46175</v>
      </c>
      <c r="B29" s="17">
        <v>756028</v>
      </c>
      <c r="C29" s="5" t="s">
        <v>196</v>
      </c>
      <c r="D29" s="5"/>
      <c r="E29" s="6">
        <v>401.68</v>
      </c>
      <c r="F29" s="5" t="s">
        <v>142</v>
      </c>
    </row>
    <row r="30" spans="1:6" x14ac:dyDescent="0.35">
      <c r="A30" s="4">
        <v>46174</v>
      </c>
      <c r="B30" s="17">
        <v>756024</v>
      </c>
      <c r="C30" s="5" t="s">
        <v>146</v>
      </c>
      <c r="D30" s="5">
        <v>663473</v>
      </c>
      <c r="E30" s="6">
        <v>880.34</v>
      </c>
      <c r="F30" s="5" t="s">
        <v>147</v>
      </c>
    </row>
    <row r="31" spans="1:6" x14ac:dyDescent="0.35">
      <c r="A31" s="4">
        <v>46172</v>
      </c>
      <c r="B31" s="17">
        <v>756021</v>
      </c>
      <c r="C31" s="5" t="s">
        <v>197</v>
      </c>
      <c r="D31" s="5"/>
      <c r="E31" s="6">
        <v>384.36</v>
      </c>
      <c r="F31" s="5" t="s">
        <v>142</v>
      </c>
    </row>
    <row r="32" spans="1:6" x14ac:dyDescent="0.35">
      <c r="A32" s="4">
        <v>46172</v>
      </c>
      <c r="B32" s="17">
        <v>756019</v>
      </c>
      <c r="C32" s="5" t="s">
        <v>202</v>
      </c>
      <c r="D32" s="5"/>
      <c r="E32" s="6">
        <v>341.07</v>
      </c>
      <c r="F32" s="5" t="s">
        <v>142</v>
      </c>
    </row>
    <row r="33" spans="1:6" x14ac:dyDescent="0.35">
      <c r="A33" s="4">
        <v>46172</v>
      </c>
      <c r="B33" s="17">
        <v>756018</v>
      </c>
      <c r="C33" s="5" t="s">
        <v>218</v>
      </c>
      <c r="D33" s="5"/>
      <c r="E33" s="6">
        <v>258.06</v>
      </c>
      <c r="F33" s="5" t="s">
        <v>142</v>
      </c>
    </row>
    <row r="34" spans="1:6" x14ac:dyDescent="0.35">
      <c r="A34" s="4">
        <v>46170</v>
      </c>
      <c r="B34" s="17">
        <v>756013</v>
      </c>
      <c r="C34" s="5" t="s">
        <v>242</v>
      </c>
      <c r="D34" s="5"/>
      <c r="E34" s="6">
        <v>140.79</v>
      </c>
      <c r="F34" s="5" t="s">
        <v>142</v>
      </c>
    </row>
    <row r="35" spans="1:6" x14ac:dyDescent="0.35">
      <c r="A35" s="4">
        <v>46170</v>
      </c>
      <c r="B35" s="17">
        <v>756012</v>
      </c>
      <c r="C35" s="5" t="s">
        <v>192</v>
      </c>
      <c r="D35" s="5"/>
      <c r="E35" s="6">
        <v>427.16</v>
      </c>
      <c r="F35" s="5" t="s">
        <v>142</v>
      </c>
    </row>
    <row r="36" spans="1:6" x14ac:dyDescent="0.35">
      <c r="A36" s="4">
        <v>46168</v>
      </c>
      <c r="B36" s="17">
        <v>756004</v>
      </c>
      <c r="C36" s="5" t="s">
        <v>236</v>
      </c>
      <c r="D36" s="5">
        <v>714642</v>
      </c>
      <c r="E36" s="6">
        <v>177.68</v>
      </c>
      <c r="F36" s="5" t="s">
        <v>142</v>
      </c>
    </row>
    <row r="37" spans="1:6" x14ac:dyDescent="0.35">
      <c r="A37" s="4">
        <v>46168</v>
      </c>
      <c r="B37" s="17">
        <v>756003</v>
      </c>
      <c r="C37" s="5" t="s">
        <v>145</v>
      </c>
      <c r="D37" s="5">
        <v>714642</v>
      </c>
      <c r="E37" s="6">
        <v>886.73</v>
      </c>
      <c r="F37" s="5" t="s">
        <v>142</v>
      </c>
    </row>
    <row r="38" spans="1:6" x14ac:dyDescent="0.35">
      <c r="A38" s="4">
        <v>46205</v>
      </c>
      <c r="B38" s="17">
        <v>756000</v>
      </c>
      <c r="C38" s="5" t="s">
        <v>241</v>
      </c>
      <c r="D38" s="5"/>
      <c r="E38" s="6">
        <v>159.21</v>
      </c>
      <c r="F38" s="5" t="s">
        <v>142</v>
      </c>
    </row>
    <row r="39" spans="1:6" x14ac:dyDescent="0.35">
      <c r="A39" s="4">
        <v>46200</v>
      </c>
      <c r="B39" s="17">
        <v>755992</v>
      </c>
      <c r="C39" s="5" t="s">
        <v>200</v>
      </c>
      <c r="D39" s="5"/>
      <c r="E39" s="6">
        <v>360.38</v>
      </c>
      <c r="F39" s="5" t="s">
        <v>142</v>
      </c>
    </row>
    <row r="40" spans="1:6" x14ac:dyDescent="0.35">
      <c r="A40" s="20">
        <v>46198</v>
      </c>
      <c r="B40" s="21">
        <v>755985</v>
      </c>
      <c r="C40" s="22" t="s">
        <v>21</v>
      </c>
      <c r="D40" s="22">
        <v>663489</v>
      </c>
      <c r="E40" s="23">
        <v>41.99</v>
      </c>
      <c r="F40" s="22" t="s">
        <v>21</v>
      </c>
    </row>
    <row r="41" spans="1:6" x14ac:dyDescent="0.35">
      <c r="A41" s="4">
        <v>46196</v>
      </c>
      <c r="B41" s="17">
        <v>755978</v>
      </c>
      <c r="C41" s="5" t="s">
        <v>243</v>
      </c>
      <c r="D41" s="5"/>
      <c r="E41" s="6">
        <v>137.6</v>
      </c>
      <c r="F41" s="5" t="s">
        <v>142</v>
      </c>
    </row>
    <row r="42" spans="1:6" x14ac:dyDescent="0.35">
      <c r="A42" s="4">
        <v>46193</v>
      </c>
      <c r="B42" s="17">
        <v>755977</v>
      </c>
      <c r="C42" s="5" t="s">
        <v>180</v>
      </c>
      <c r="D42" s="5"/>
      <c r="E42" s="6">
        <v>516.52</v>
      </c>
      <c r="F42" s="5" t="s">
        <v>142</v>
      </c>
    </row>
    <row r="43" spans="1:6" x14ac:dyDescent="0.35">
      <c r="A43" s="4">
        <v>46193</v>
      </c>
      <c r="B43" s="17">
        <v>755974</v>
      </c>
      <c r="C43" s="5" t="s">
        <v>254</v>
      </c>
      <c r="D43" s="5"/>
      <c r="E43" s="6">
        <v>92.35</v>
      </c>
      <c r="F43" s="5" t="s">
        <v>142</v>
      </c>
    </row>
    <row r="44" spans="1:6" x14ac:dyDescent="0.35">
      <c r="A44" s="4">
        <v>46191</v>
      </c>
      <c r="B44" s="17">
        <v>755973</v>
      </c>
      <c r="C44" s="5" t="s">
        <v>228</v>
      </c>
      <c r="D44" s="5"/>
      <c r="E44" s="6">
        <v>213.7</v>
      </c>
      <c r="F44" s="5" t="s">
        <v>142</v>
      </c>
    </row>
    <row r="45" spans="1:6" x14ac:dyDescent="0.35">
      <c r="A45" s="4">
        <v>46191</v>
      </c>
      <c r="B45" s="17">
        <v>755972</v>
      </c>
      <c r="C45" s="5" t="s">
        <v>262</v>
      </c>
      <c r="D45" s="5"/>
      <c r="E45" s="6">
        <v>56.96</v>
      </c>
      <c r="F45" s="5" t="s">
        <v>142</v>
      </c>
    </row>
    <row r="46" spans="1:6" x14ac:dyDescent="0.35">
      <c r="A46" s="4">
        <v>46191</v>
      </c>
      <c r="B46" s="17">
        <v>755971</v>
      </c>
      <c r="C46" s="5" t="s">
        <v>230</v>
      </c>
      <c r="D46" s="5"/>
      <c r="E46" s="6">
        <v>210.29</v>
      </c>
      <c r="F46" s="5" t="s">
        <v>142</v>
      </c>
    </row>
    <row r="47" spans="1:6" x14ac:dyDescent="0.35">
      <c r="A47" s="4">
        <v>46188</v>
      </c>
      <c r="B47" s="17">
        <v>755962</v>
      </c>
      <c r="C47" s="5" t="s">
        <v>146</v>
      </c>
      <c r="D47" s="5"/>
      <c r="E47" s="6">
        <v>662.91</v>
      </c>
      <c r="F47" s="5" t="s">
        <v>159</v>
      </c>
    </row>
    <row r="48" spans="1:6" x14ac:dyDescent="0.35">
      <c r="A48" s="4">
        <v>46184</v>
      </c>
      <c r="B48" s="17">
        <v>755956</v>
      </c>
      <c r="C48" s="5" t="s">
        <v>201</v>
      </c>
      <c r="D48" s="5"/>
      <c r="E48" s="6">
        <v>345.49</v>
      </c>
      <c r="F48" s="5" t="s">
        <v>98</v>
      </c>
    </row>
    <row r="49" spans="1:6" x14ac:dyDescent="0.35">
      <c r="A49" s="4">
        <v>46184</v>
      </c>
      <c r="B49" s="17">
        <v>755955</v>
      </c>
      <c r="C49" s="5" t="s">
        <v>167</v>
      </c>
      <c r="D49" s="5"/>
      <c r="E49" s="6">
        <v>595.79</v>
      </c>
      <c r="F49" s="5" t="s">
        <v>142</v>
      </c>
    </row>
    <row r="50" spans="1:6" x14ac:dyDescent="0.35">
      <c r="A50" s="4">
        <v>46184</v>
      </c>
      <c r="B50" s="17">
        <v>755954</v>
      </c>
      <c r="C50" s="5" t="s">
        <v>229</v>
      </c>
      <c r="D50" s="5"/>
      <c r="E50" s="6">
        <v>211.11</v>
      </c>
      <c r="F50" s="5" t="s">
        <v>142</v>
      </c>
    </row>
    <row r="51" spans="1:6" x14ac:dyDescent="0.35">
      <c r="A51" s="4">
        <v>46182</v>
      </c>
      <c r="B51" s="17">
        <v>750648</v>
      </c>
      <c r="C51" s="5" t="s">
        <v>221</v>
      </c>
      <c r="D51" s="5">
        <v>707084</v>
      </c>
      <c r="E51" s="6">
        <v>249.74</v>
      </c>
      <c r="F51" s="5" t="s">
        <v>142</v>
      </c>
    </row>
    <row r="52" spans="1:6" x14ac:dyDescent="0.35">
      <c r="A52" s="4">
        <v>46163</v>
      </c>
      <c r="B52" s="17">
        <v>745646</v>
      </c>
      <c r="C52" s="5" t="s">
        <v>194</v>
      </c>
      <c r="D52" s="5"/>
      <c r="E52" s="6">
        <v>419.65</v>
      </c>
      <c r="F52" s="5" t="s">
        <v>155</v>
      </c>
    </row>
    <row r="53" spans="1:6" x14ac:dyDescent="0.35">
      <c r="A53" s="4">
        <v>46161</v>
      </c>
      <c r="B53" s="17">
        <v>745641</v>
      </c>
      <c r="C53" s="5" t="s">
        <v>156</v>
      </c>
      <c r="D53" s="5"/>
      <c r="E53" s="6">
        <v>704.79</v>
      </c>
      <c r="F53" s="5" t="s">
        <v>87</v>
      </c>
    </row>
    <row r="54" spans="1:6" x14ac:dyDescent="0.35">
      <c r="A54" s="4">
        <v>46161</v>
      </c>
      <c r="B54" s="17">
        <v>745640</v>
      </c>
      <c r="C54" s="5" t="s">
        <v>207</v>
      </c>
      <c r="D54" s="5"/>
      <c r="E54" s="6">
        <v>313.77</v>
      </c>
      <c r="F54" s="5" t="s">
        <v>142</v>
      </c>
    </row>
    <row r="55" spans="1:6" x14ac:dyDescent="0.35">
      <c r="A55" s="20">
        <v>46161</v>
      </c>
      <c r="B55" s="21">
        <v>745636</v>
      </c>
      <c r="C55" s="22" t="s">
        <v>34</v>
      </c>
      <c r="D55" s="22">
        <v>723422</v>
      </c>
      <c r="E55" s="23">
        <v>12.01</v>
      </c>
      <c r="F55" s="22" t="s">
        <v>23</v>
      </c>
    </row>
    <row r="56" spans="1:6" x14ac:dyDescent="0.35">
      <c r="A56" s="4">
        <v>46158</v>
      </c>
      <c r="B56" s="17">
        <v>745632</v>
      </c>
      <c r="C56" s="5" t="s">
        <v>90</v>
      </c>
      <c r="D56" s="5"/>
      <c r="E56" s="6">
        <v>28479.57</v>
      </c>
      <c r="F56" s="5" t="s">
        <v>91</v>
      </c>
    </row>
    <row r="57" spans="1:6" x14ac:dyDescent="0.35">
      <c r="A57" s="4">
        <v>46157</v>
      </c>
      <c r="B57" s="17">
        <v>745631</v>
      </c>
      <c r="C57" s="5" t="s">
        <v>86</v>
      </c>
      <c r="D57" s="5"/>
      <c r="E57" s="6">
        <v>71463.990000000005</v>
      </c>
      <c r="F57" s="5" t="s">
        <v>87</v>
      </c>
    </row>
    <row r="58" spans="1:6" x14ac:dyDescent="0.35">
      <c r="A58" s="4">
        <v>46149</v>
      </c>
      <c r="B58" s="17">
        <v>745618</v>
      </c>
      <c r="C58" s="5" t="s">
        <v>199</v>
      </c>
      <c r="D58" s="5">
        <v>703780</v>
      </c>
      <c r="E58" s="6">
        <v>367.22</v>
      </c>
      <c r="F58" s="5" t="s">
        <v>142</v>
      </c>
    </row>
    <row r="59" spans="1:6" x14ac:dyDescent="0.35">
      <c r="A59" s="4">
        <v>46148</v>
      </c>
      <c r="B59" s="17">
        <v>745613</v>
      </c>
      <c r="C59" s="5" t="s">
        <v>113</v>
      </c>
      <c r="D59" s="5"/>
      <c r="E59" s="6">
        <v>2965.7</v>
      </c>
      <c r="F59" s="5" t="s">
        <v>96</v>
      </c>
    </row>
    <row r="60" spans="1:6" x14ac:dyDescent="0.35">
      <c r="A60" s="4">
        <v>46148</v>
      </c>
      <c r="B60" s="17">
        <v>745612</v>
      </c>
      <c r="C60" s="5" t="s">
        <v>233</v>
      </c>
      <c r="D60" s="5"/>
      <c r="E60" s="6">
        <v>202.47</v>
      </c>
      <c r="F60" s="5" t="s">
        <v>96</v>
      </c>
    </row>
    <row r="61" spans="1:6" x14ac:dyDescent="0.35">
      <c r="A61" s="4">
        <v>46148</v>
      </c>
      <c r="B61" s="17">
        <v>745611</v>
      </c>
      <c r="C61" s="5" t="s">
        <v>120</v>
      </c>
      <c r="D61" s="5"/>
      <c r="E61" s="6">
        <v>1712.14</v>
      </c>
      <c r="F61" s="5" t="s">
        <v>121</v>
      </c>
    </row>
    <row r="62" spans="1:6" x14ac:dyDescent="0.35">
      <c r="A62" s="4">
        <v>46147</v>
      </c>
      <c r="B62" s="17">
        <v>745610</v>
      </c>
      <c r="C62" s="5" t="s">
        <v>220</v>
      </c>
      <c r="D62" s="5"/>
      <c r="E62" s="6">
        <v>250.57</v>
      </c>
      <c r="F62" s="5" t="s">
        <v>142</v>
      </c>
    </row>
    <row r="63" spans="1:6" x14ac:dyDescent="0.35">
      <c r="A63" s="4">
        <v>46147</v>
      </c>
      <c r="B63" s="17">
        <v>745609</v>
      </c>
      <c r="C63" s="5" t="s">
        <v>149</v>
      </c>
      <c r="D63" s="5"/>
      <c r="E63" s="6">
        <v>851.05</v>
      </c>
      <c r="F63" s="5" t="s">
        <v>123</v>
      </c>
    </row>
    <row r="64" spans="1:6" x14ac:dyDescent="0.35">
      <c r="A64" s="4">
        <v>46147</v>
      </c>
      <c r="B64" s="17">
        <v>745605</v>
      </c>
      <c r="C64" s="5" t="s">
        <v>166</v>
      </c>
      <c r="D64" s="5"/>
      <c r="E64" s="6">
        <v>605.39</v>
      </c>
      <c r="F64" s="5" t="s">
        <v>98</v>
      </c>
    </row>
    <row r="65" spans="1:6" x14ac:dyDescent="0.35">
      <c r="A65" s="4">
        <v>46135</v>
      </c>
      <c r="B65" s="17">
        <v>745590</v>
      </c>
      <c r="C65" s="5" t="s">
        <v>195</v>
      </c>
      <c r="D65" s="5"/>
      <c r="E65" s="6">
        <v>414.13</v>
      </c>
      <c r="F65" s="5" t="s">
        <v>98</v>
      </c>
    </row>
    <row r="66" spans="1:6" x14ac:dyDescent="0.35">
      <c r="A66" s="4">
        <v>46133</v>
      </c>
      <c r="B66" s="17">
        <v>745584</v>
      </c>
      <c r="C66" s="5" t="s">
        <v>21</v>
      </c>
      <c r="D66" s="5">
        <v>726269</v>
      </c>
      <c r="E66" s="6">
        <v>83.97</v>
      </c>
      <c r="F66" s="5" t="s">
        <v>21</v>
      </c>
    </row>
    <row r="67" spans="1:6" x14ac:dyDescent="0.35">
      <c r="A67" s="4">
        <v>46133</v>
      </c>
      <c r="B67" s="17">
        <v>745583</v>
      </c>
      <c r="C67" s="5" t="s">
        <v>13</v>
      </c>
      <c r="D67" s="5">
        <v>726269</v>
      </c>
      <c r="E67" s="6">
        <v>48.02</v>
      </c>
      <c r="F67" s="5" t="s">
        <v>23</v>
      </c>
    </row>
    <row r="68" spans="1:6" x14ac:dyDescent="0.35">
      <c r="A68" s="4">
        <v>46130</v>
      </c>
      <c r="B68" s="17">
        <v>745580</v>
      </c>
      <c r="C68" s="5" t="s">
        <v>163</v>
      </c>
      <c r="D68" s="5"/>
      <c r="E68" s="6">
        <v>624.45000000000005</v>
      </c>
      <c r="F68" s="5" t="s">
        <v>142</v>
      </c>
    </row>
    <row r="69" spans="1:6" x14ac:dyDescent="0.35">
      <c r="A69" s="4">
        <v>46128</v>
      </c>
      <c r="B69" s="17">
        <v>745576</v>
      </c>
      <c r="C69" s="5" t="s">
        <v>102</v>
      </c>
      <c r="D69" s="5"/>
      <c r="E69" s="6">
        <v>7572.06</v>
      </c>
      <c r="F69" s="5" t="s">
        <v>98</v>
      </c>
    </row>
    <row r="70" spans="1:6" x14ac:dyDescent="0.35">
      <c r="A70" s="4">
        <v>46128</v>
      </c>
      <c r="B70" s="17">
        <v>745575</v>
      </c>
      <c r="C70" s="5" t="s">
        <v>204</v>
      </c>
      <c r="D70" s="5"/>
      <c r="E70" s="6">
        <v>332.51</v>
      </c>
      <c r="F70" s="5" t="s">
        <v>184</v>
      </c>
    </row>
    <row r="71" spans="1:6" x14ac:dyDescent="0.35">
      <c r="A71" s="4">
        <v>46128</v>
      </c>
      <c r="B71" s="17">
        <v>745572</v>
      </c>
      <c r="C71" s="5" t="s">
        <v>211</v>
      </c>
      <c r="D71" s="5"/>
      <c r="E71" s="6">
        <v>299.29000000000002</v>
      </c>
      <c r="F71" s="5" t="s">
        <v>142</v>
      </c>
    </row>
    <row r="72" spans="1:6" x14ac:dyDescent="0.35">
      <c r="A72" s="4">
        <v>46127</v>
      </c>
      <c r="B72" s="17">
        <v>745568</v>
      </c>
      <c r="C72" s="5" t="s">
        <v>162</v>
      </c>
      <c r="D72" s="5"/>
      <c r="E72" s="6">
        <v>626.92999999999995</v>
      </c>
      <c r="F72" s="5" t="s">
        <v>96</v>
      </c>
    </row>
    <row r="73" spans="1:6" x14ac:dyDescent="0.35">
      <c r="A73" s="4">
        <v>46127</v>
      </c>
      <c r="B73" s="17">
        <v>745567</v>
      </c>
      <c r="C73" s="5" t="s">
        <v>109</v>
      </c>
      <c r="D73" s="5"/>
      <c r="E73" s="6">
        <v>3530.41</v>
      </c>
      <c r="F73" s="5" t="s">
        <v>96</v>
      </c>
    </row>
    <row r="74" spans="1:6" x14ac:dyDescent="0.35">
      <c r="A74" s="4">
        <v>46127</v>
      </c>
      <c r="B74" s="17">
        <v>745566</v>
      </c>
      <c r="C74" s="5" t="s">
        <v>244</v>
      </c>
      <c r="D74" s="5"/>
      <c r="E74" s="6">
        <v>135.37</v>
      </c>
      <c r="F74" s="5" t="s">
        <v>96</v>
      </c>
    </row>
    <row r="75" spans="1:6" x14ac:dyDescent="0.35">
      <c r="A75" s="4">
        <v>46127</v>
      </c>
      <c r="B75" s="17">
        <v>745565</v>
      </c>
      <c r="C75" s="5" t="s">
        <v>128</v>
      </c>
      <c r="D75" s="5"/>
      <c r="E75" s="6">
        <v>1353.7</v>
      </c>
      <c r="F75" s="5" t="s">
        <v>96</v>
      </c>
    </row>
    <row r="76" spans="1:6" x14ac:dyDescent="0.35">
      <c r="A76" s="4">
        <v>46127</v>
      </c>
      <c r="B76" s="17">
        <v>745564</v>
      </c>
      <c r="C76" s="5" t="s">
        <v>114</v>
      </c>
      <c r="D76" s="5"/>
      <c r="E76" s="6">
        <v>2507.7399999999998</v>
      </c>
      <c r="F76" s="5" t="s">
        <v>96</v>
      </c>
    </row>
    <row r="77" spans="1:6" x14ac:dyDescent="0.35">
      <c r="A77" s="4">
        <v>46127</v>
      </c>
      <c r="B77" s="17">
        <v>745563</v>
      </c>
      <c r="C77" s="5" t="s">
        <v>114</v>
      </c>
      <c r="D77" s="5"/>
      <c r="E77" s="6">
        <v>2507.7399999999998</v>
      </c>
      <c r="F77" s="5" t="s">
        <v>96</v>
      </c>
    </row>
    <row r="78" spans="1:6" x14ac:dyDescent="0.35">
      <c r="A78" s="4">
        <v>46127</v>
      </c>
      <c r="B78" s="17">
        <v>745562</v>
      </c>
      <c r="C78" s="5" t="s">
        <v>135</v>
      </c>
      <c r="D78" s="5"/>
      <c r="E78" s="6">
        <v>1289.4000000000001</v>
      </c>
      <c r="F78" s="5" t="s">
        <v>96</v>
      </c>
    </row>
    <row r="79" spans="1:6" x14ac:dyDescent="0.35">
      <c r="A79" s="4">
        <v>46127</v>
      </c>
      <c r="B79" s="17">
        <v>745561</v>
      </c>
      <c r="C79" s="5" t="s">
        <v>99</v>
      </c>
      <c r="D79" s="5"/>
      <c r="E79" s="6">
        <v>9123.0300000000007</v>
      </c>
      <c r="F79" s="5" t="s">
        <v>96</v>
      </c>
    </row>
    <row r="80" spans="1:6" x14ac:dyDescent="0.35">
      <c r="A80" s="4">
        <v>46127</v>
      </c>
      <c r="B80" s="17">
        <v>745560</v>
      </c>
      <c r="C80" s="5" t="s">
        <v>106</v>
      </c>
      <c r="D80" s="5"/>
      <c r="E80" s="6">
        <v>5650.38</v>
      </c>
      <c r="F80" s="5" t="s">
        <v>96</v>
      </c>
    </row>
    <row r="81" spans="1:6" x14ac:dyDescent="0.35">
      <c r="A81" s="4">
        <v>46123</v>
      </c>
      <c r="B81" s="17">
        <v>745556</v>
      </c>
      <c r="C81" s="5" t="s">
        <v>258</v>
      </c>
      <c r="D81" s="5"/>
      <c r="E81" s="6">
        <v>67.31</v>
      </c>
      <c r="F81" s="5" t="s">
        <v>142</v>
      </c>
    </row>
    <row r="82" spans="1:6" x14ac:dyDescent="0.35">
      <c r="A82" s="4">
        <v>46122</v>
      </c>
      <c r="B82" s="17">
        <v>745551</v>
      </c>
      <c r="C82" s="5" t="s">
        <v>112</v>
      </c>
      <c r="D82" s="5"/>
      <c r="E82" s="6">
        <v>3068.89</v>
      </c>
      <c r="F82" s="5" t="s">
        <v>98</v>
      </c>
    </row>
    <row r="83" spans="1:6" x14ac:dyDescent="0.35">
      <c r="A83" s="4">
        <v>46102</v>
      </c>
      <c r="B83" s="17">
        <v>734649</v>
      </c>
      <c r="C83" s="5" t="s">
        <v>131</v>
      </c>
      <c r="D83" s="5">
        <v>707039</v>
      </c>
      <c r="E83" s="6">
        <v>1341.8</v>
      </c>
      <c r="F83" s="5" t="s">
        <v>98</v>
      </c>
    </row>
    <row r="84" spans="1:6" x14ac:dyDescent="0.35">
      <c r="A84" s="4">
        <v>46102</v>
      </c>
      <c r="B84" s="17">
        <v>734648</v>
      </c>
      <c r="C84" s="5" t="s">
        <v>161</v>
      </c>
      <c r="D84" s="5"/>
      <c r="E84" s="6">
        <v>633.95000000000005</v>
      </c>
      <c r="F84" s="5" t="s">
        <v>123</v>
      </c>
    </row>
    <row r="85" spans="1:6" x14ac:dyDescent="0.35">
      <c r="A85" s="4">
        <v>46098</v>
      </c>
      <c r="B85" s="17">
        <v>734642</v>
      </c>
      <c r="C85" s="5" t="s">
        <v>175</v>
      </c>
      <c r="D85" s="5"/>
      <c r="E85" s="6">
        <v>523.41999999999996</v>
      </c>
      <c r="F85" s="5" t="s">
        <v>98</v>
      </c>
    </row>
    <row r="86" spans="1:6" x14ac:dyDescent="0.35">
      <c r="A86" s="4">
        <v>46097</v>
      </c>
      <c r="B86" s="17">
        <v>734636</v>
      </c>
      <c r="C86" s="5" t="s">
        <v>134</v>
      </c>
      <c r="D86" s="5"/>
      <c r="E86" s="6">
        <v>1316.01</v>
      </c>
      <c r="F86" s="5" t="s">
        <v>98</v>
      </c>
    </row>
    <row r="87" spans="1:6" x14ac:dyDescent="0.35">
      <c r="A87" s="4">
        <v>46093</v>
      </c>
      <c r="B87" s="17">
        <v>734631</v>
      </c>
      <c r="C87" s="5" t="s">
        <v>170</v>
      </c>
      <c r="D87" s="5"/>
      <c r="E87" s="6">
        <v>581.72</v>
      </c>
      <c r="F87" s="5" t="s">
        <v>127</v>
      </c>
    </row>
    <row r="88" spans="1:6" x14ac:dyDescent="0.35">
      <c r="A88" s="4">
        <v>46091</v>
      </c>
      <c r="B88" s="17">
        <v>734624</v>
      </c>
      <c r="C88" s="5" t="s">
        <v>209</v>
      </c>
      <c r="D88" s="5"/>
      <c r="E88" s="6">
        <v>301.8</v>
      </c>
      <c r="F88" s="5" t="s">
        <v>142</v>
      </c>
    </row>
    <row r="89" spans="1:6" x14ac:dyDescent="0.35">
      <c r="A89" s="4">
        <v>46088</v>
      </c>
      <c r="B89" s="17">
        <v>734619</v>
      </c>
      <c r="C89" s="5" t="s">
        <v>158</v>
      </c>
      <c r="D89" s="5"/>
      <c r="E89" s="6">
        <v>689.38</v>
      </c>
      <c r="F89" s="5" t="s">
        <v>98</v>
      </c>
    </row>
    <row r="90" spans="1:6" x14ac:dyDescent="0.35">
      <c r="A90" s="4">
        <v>46086</v>
      </c>
      <c r="B90" s="17">
        <v>734614</v>
      </c>
      <c r="C90" s="5" t="s">
        <v>191</v>
      </c>
      <c r="D90" s="5"/>
      <c r="E90" s="6">
        <v>37.58</v>
      </c>
      <c r="F90" s="5" t="s">
        <v>184</v>
      </c>
    </row>
    <row r="91" spans="1:6" x14ac:dyDescent="0.35">
      <c r="A91" s="4">
        <v>46086</v>
      </c>
      <c r="B91" s="17">
        <v>734613</v>
      </c>
      <c r="C91" s="5" t="s">
        <v>183</v>
      </c>
      <c r="D91" s="5"/>
      <c r="E91" s="6">
        <v>511.6</v>
      </c>
      <c r="F91" s="5" t="s">
        <v>184</v>
      </c>
    </row>
    <row r="92" spans="1:6" x14ac:dyDescent="0.35">
      <c r="A92" s="4">
        <v>46086</v>
      </c>
      <c r="B92" s="17">
        <v>734612</v>
      </c>
      <c r="C92" s="5" t="s">
        <v>203</v>
      </c>
      <c r="D92" s="5"/>
      <c r="E92" s="6">
        <v>339.31</v>
      </c>
      <c r="F92" s="5" t="s">
        <v>142</v>
      </c>
    </row>
    <row r="93" spans="1:6" x14ac:dyDescent="0.35">
      <c r="A93" s="4">
        <v>46084</v>
      </c>
      <c r="B93" s="17">
        <v>734607</v>
      </c>
      <c r="C93" s="5" t="s">
        <v>165</v>
      </c>
      <c r="D93" s="5"/>
      <c r="E93" s="6">
        <v>617.67999999999995</v>
      </c>
      <c r="F93" s="5" t="s">
        <v>19</v>
      </c>
    </row>
    <row r="94" spans="1:6" x14ac:dyDescent="0.35">
      <c r="A94" s="4">
        <v>46121</v>
      </c>
      <c r="B94" s="17">
        <v>734600</v>
      </c>
      <c r="C94" s="5" t="s">
        <v>268</v>
      </c>
      <c r="D94" s="5"/>
      <c r="E94" s="6">
        <v>43.33</v>
      </c>
      <c r="F94" s="5" t="s">
        <v>184</v>
      </c>
    </row>
    <row r="95" spans="1:6" x14ac:dyDescent="0.35">
      <c r="A95" s="4">
        <v>46116</v>
      </c>
      <c r="B95" s="17">
        <v>734591</v>
      </c>
      <c r="C95" s="5" t="s">
        <v>253</v>
      </c>
      <c r="D95" s="5"/>
      <c r="E95" s="6">
        <v>92.92</v>
      </c>
      <c r="F95" s="5" t="s">
        <v>142</v>
      </c>
    </row>
    <row r="96" spans="1:6" x14ac:dyDescent="0.35">
      <c r="A96" s="4">
        <v>46116</v>
      </c>
      <c r="B96" s="17">
        <v>734590</v>
      </c>
      <c r="C96" s="5" t="s">
        <v>261</v>
      </c>
      <c r="D96" s="5"/>
      <c r="E96" s="6">
        <v>58.1</v>
      </c>
      <c r="F96" s="5" t="s">
        <v>142</v>
      </c>
    </row>
    <row r="97" spans="1:6" x14ac:dyDescent="0.35">
      <c r="A97" s="4">
        <v>46114</v>
      </c>
      <c r="B97" s="17">
        <v>734586</v>
      </c>
      <c r="C97" s="5" t="s">
        <v>273</v>
      </c>
      <c r="D97" s="5"/>
      <c r="E97" s="6">
        <v>11.6</v>
      </c>
      <c r="F97" s="5" t="s">
        <v>184</v>
      </c>
    </row>
    <row r="98" spans="1:6" x14ac:dyDescent="0.35">
      <c r="A98" s="4">
        <v>46114</v>
      </c>
      <c r="B98" s="17">
        <v>734585</v>
      </c>
      <c r="C98" s="5" t="s">
        <v>259</v>
      </c>
      <c r="D98" s="5"/>
      <c r="E98" s="6">
        <v>65.209999999999994</v>
      </c>
      <c r="F98" s="5" t="s">
        <v>184</v>
      </c>
    </row>
    <row r="99" spans="1:6" x14ac:dyDescent="0.35">
      <c r="A99" s="4">
        <v>46107</v>
      </c>
      <c r="B99" s="17">
        <v>734567</v>
      </c>
      <c r="C99" s="5" t="s">
        <v>235</v>
      </c>
      <c r="D99" s="5"/>
      <c r="E99" s="6">
        <v>183.38</v>
      </c>
      <c r="F99" s="5" t="s">
        <v>19</v>
      </c>
    </row>
    <row r="100" spans="1:6" x14ac:dyDescent="0.35">
      <c r="A100" s="4">
        <v>46107</v>
      </c>
      <c r="B100" s="17">
        <v>734566</v>
      </c>
      <c r="C100" s="5" t="s">
        <v>185</v>
      </c>
      <c r="D100" s="5"/>
      <c r="E100" s="6">
        <v>503.44</v>
      </c>
      <c r="F100" s="5" t="s">
        <v>98</v>
      </c>
    </row>
    <row r="101" spans="1:6" x14ac:dyDescent="0.35">
      <c r="A101" s="4">
        <v>45011</v>
      </c>
      <c r="B101" s="17">
        <v>734565</v>
      </c>
      <c r="C101" s="5" t="s">
        <v>122</v>
      </c>
      <c r="D101" s="5"/>
      <c r="E101" s="6">
        <v>1642.76</v>
      </c>
      <c r="F101" s="5" t="s">
        <v>123</v>
      </c>
    </row>
    <row r="102" spans="1:6" x14ac:dyDescent="0.35">
      <c r="A102" s="4">
        <v>46074</v>
      </c>
      <c r="B102" s="17">
        <v>711584</v>
      </c>
      <c r="C102" s="5" t="s">
        <v>237</v>
      </c>
      <c r="D102" s="5"/>
      <c r="E102" s="6">
        <v>177.28</v>
      </c>
      <c r="F102" s="5" t="s">
        <v>123</v>
      </c>
    </row>
    <row r="103" spans="1:6" x14ac:dyDescent="0.35">
      <c r="A103" s="4">
        <v>46074</v>
      </c>
      <c r="B103" s="17">
        <v>711583</v>
      </c>
      <c r="C103" s="5" t="s">
        <v>234</v>
      </c>
      <c r="D103" s="5"/>
      <c r="E103" s="6">
        <v>184.87</v>
      </c>
      <c r="F103" s="5" t="s">
        <v>19</v>
      </c>
    </row>
    <row r="104" spans="1:6" x14ac:dyDescent="0.35">
      <c r="A104" s="4">
        <v>46074</v>
      </c>
      <c r="B104" s="17">
        <v>711580</v>
      </c>
      <c r="C104" s="5" t="s">
        <v>148</v>
      </c>
      <c r="D104" s="5"/>
      <c r="E104" s="6">
        <v>856.28</v>
      </c>
      <c r="F104" s="5" t="s">
        <v>19</v>
      </c>
    </row>
    <row r="105" spans="1:6" x14ac:dyDescent="0.35">
      <c r="A105" s="4">
        <v>46063</v>
      </c>
      <c r="B105" s="17">
        <v>711550</v>
      </c>
      <c r="C105" s="5" t="s">
        <v>210</v>
      </c>
      <c r="D105" s="5"/>
      <c r="E105" s="6">
        <v>300.33</v>
      </c>
      <c r="F105" s="5" t="s">
        <v>142</v>
      </c>
    </row>
    <row r="106" spans="1:6" x14ac:dyDescent="0.35">
      <c r="A106" s="4">
        <v>46060</v>
      </c>
      <c r="B106" s="17">
        <v>711548</v>
      </c>
      <c r="C106" s="5" t="s">
        <v>223</v>
      </c>
      <c r="D106" s="5"/>
      <c r="E106" s="6">
        <v>241.67</v>
      </c>
      <c r="F106" s="5" t="s">
        <v>98</v>
      </c>
    </row>
    <row r="107" spans="1:6" x14ac:dyDescent="0.35">
      <c r="A107" s="4">
        <v>46149</v>
      </c>
      <c r="B107" s="17">
        <v>711547</v>
      </c>
      <c r="C107" s="5" t="s">
        <v>126</v>
      </c>
      <c r="D107" s="5"/>
      <c r="E107" s="6">
        <v>1600.7</v>
      </c>
      <c r="F107" s="5" t="s">
        <v>127</v>
      </c>
    </row>
    <row r="108" spans="1:6" x14ac:dyDescent="0.35">
      <c r="A108" s="4">
        <v>46058</v>
      </c>
      <c r="B108" s="17">
        <v>711541</v>
      </c>
      <c r="C108" s="5" t="s">
        <v>151</v>
      </c>
      <c r="D108" s="5">
        <v>687368</v>
      </c>
      <c r="E108" s="6">
        <v>846.27</v>
      </c>
      <c r="F108" s="5" t="s">
        <v>142</v>
      </c>
    </row>
    <row r="109" spans="1:6" x14ac:dyDescent="0.35">
      <c r="A109" s="4">
        <v>46056</v>
      </c>
      <c r="B109" s="17">
        <v>711536</v>
      </c>
      <c r="C109" s="5" t="s">
        <v>239</v>
      </c>
      <c r="D109" s="5"/>
      <c r="E109" s="6">
        <v>170.52</v>
      </c>
      <c r="F109" s="5" t="s">
        <v>142</v>
      </c>
    </row>
    <row r="110" spans="1:6" x14ac:dyDescent="0.35">
      <c r="A110" s="4">
        <v>46056</v>
      </c>
      <c r="B110" s="17">
        <v>711535</v>
      </c>
      <c r="C110" s="5" t="s">
        <v>247</v>
      </c>
      <c r="D110" s="5"/>
      <c r="E110" s="6">
        <v>118.94</v>
      </c>
      <c r="F110" s="5" t="s">
        <v>142</v>
      </c>
    </row>
    <row r="111" spans="1:6" x14ac:dyDescent="0.35">
      <c r="A111" s="4">
        <v>46055</v>
      </c>
      <c r="B111" s="17">
        <v>711531</v>
      </c>
      <c r="C111" s="5" t="s">
        <v>152</v>
      </c>
      <c r="D111" s="5"/>
      <c r="E111" s="6">
        <v>837.01</v>
      </c>
      <c r="F111" s="5" t="s">
        <v>98</v>
      </c>
    </row>
    <row r="112" spans="1:6" x14ac:dyDescent="0.35">
      <c r="A112" s="4">
        <v>46053</v>
      </c>
      <c r="B112" s="17">
        <v>711530</v>
      </c>
      <c r="C112" s="5" t="s">
        <v>224</v>
      </c>
      <c r="D112" s="5"/>
      <c r="E112" s="6">
        <v>229.45</v>
      </c>
      <c r="F112" s="5" t="s">
        <v>142</v>
      </c>
    </row>
    <row r="113" spans="1:6" x14ac:dyDescent="0.35">
      <c r="A113" s="4">
        <v>46048</v>
      </c>
      <c r="B113" s="17">
        <v>711513</v>
      </c>
      <c r="C113" s="5" t="s">
        <v>143</v>
      </c>
      <c r="D113" s="5"/>
      <c r="E113" s="6">
        <v>901.14</v>
      </c>
      <c r="F113" s="5" t="s">
        <v>96</v>
      </c>
    </row>
    <row r="114" spans="1:6" x14ac:dyDescent="0.35">
      <c r="A114" s="4">
        <v>46048</v>
      </c>
      <c r="B114" s="17">
        <v>711512</v>
      </c>
      <c r="C114" s="5" t="s">
        <v>136</v>
      </c>
      <c r="D114" s="5"/>
      <c r="E114" s="6">
        <v>1255.46</v>
      </c>
      <c r="F114" s="5" t="s">
        <v>96</v>
      </c>
    </row>
    <row r="115" spans="1:6" x14ac:dyDescent="0.35">
      <c r="A115" s="4">
        <v>46048</v>
      </c>
      <c r="B115" s="17">
        <v>711511</v>
      </c>
      <c r="C115" s="5" t="s">
        <v>177</v>
      </c>
      <c r="D115" s="5"/>
      <c r="E115" s="6">
        <v>518.75</v>
      </c>
      <c r="F115" s="5" t="s">
        <v>96</v>
      </c>
    </row>
    <row r="116" spans="1:6" x14ac:dyDescent="0.35">
      <c r="A116" s="4">
        <v>46048</v>
      </c>
      <c r="B116" s="17">
        <v>711510</v>
      </c>
      <c r="C116" s="5" t="s">
        <v>160</v>
      </c>
      <c r="D116" s="5"/>
      <c r="E116" s="6">
        <v>658.74</v>
      </c>
      <c r="F116" s="5" t="s">
        <v>96</v>
      </c>
    </row>
    <row r="117" spans="1:6" x14ac:dyDescent="0.35">
      <c r="A117" s="4">
        <v>46048</v>
      </c>
      <c r="B117" s="17">
        <v>711506</v>
      </c>
      <c r="C117" s="5" t="s">
        <v>105</v>
      </c>
      <c r="D117" s="5"/>
      <c r="E117" s="6">
        <v>5717.8</v>
      </c>
      <c r="F117" s="5" t="s">
        <v>96</v>
      </c>
    </row>
    <row r="118" spans="1:6" x14ac:dyDescent="0.35">
      <c r="A118" s="4">
        <v>46048</v>
      </c>
      <c r="B118" s="17">
        <v>711505</v>
      </c>
      <c r="C118" s="5" t="s">
        <v>105</v>
      </c>
      <c r="D118" s="5"/>
      <c r="E118" s="6">
        <v>5717.8</v>
      </c>
      <c r="F118" s="5" t="s">
        <v>96</v>
      </c>
    </row>
    <row r="119" spans="1:6" x14ac:dyDescent="0.35">
      <c r="A119" s="4">
        <v>46048</v>
      </c>
      <c r="B119" s="17">
        <v>711504</v>
      </c>
      <c r="C119" s="5" t="s">
        <v>95</v>
      </c>
      <c r="D119" s="5"/>
      <c r="E119" s="6">
        <v>12091.49</v>
      </c>
      <c r="F119" s="5" t="s">
        <v>96</v>
      </c>
    </row>
    <row r="120" spans="1:6" x14ac:dyDescent="0.35">
      <c r="A120" s="4">
        <v>46046</v>
      </c>
      <c r="B120" s="17">
        <v>711503</v>
      </c>
      <c r="C120" s="5" t="s">
        <v>191</v>
      </c>
      <c r="D120" s="5"/>
      <c r="E120" s="6">
        <v>445.88</v>
      </c>
      <c r="F120" s="5" t="s">
        <v>142</v>
      </c>
    </row>
    <row r="121" spans="1:6" x14ac:dyDescent="0.35">
      <c r="A121" s="4">
        <v>46210</v>
      </c>
      <c r="B121" s="17">
        <v>711260</v>
      </c>
      <c r="C121" s="5" t="s">
        <v>21</v>
      </c>
      <c r="D121" s="5">
        <v>715054</v>
      </c>
      <c r="E121" s="6">
        <v>27.99</v>
      </c>
      <c r="F121" s="5" t="s">
        <v>21</v>
      </c>
    </row>
    <row r="122" spans="1:6" x14ac:dyDescent="0.35">
      <c r="A122" s="4">
        <v>46024</v>
      </c>
      <c r="B122" s="17">
        <v>695294</v>
      </c>
      <c r="C122" s="5" t="s">
        <v>219</v>
      </c>
      <c r="D122" s="5"/>
      <c r="E122" s="6">
        <v>256.52</v>
      </c>
      <c r="F122" s="5" t="s">
        <v>123</v>
      </c>
    </row>
    <row r="123" spans="1:6" x14ac:dyDescent="0.35">
      <c r="A123" s="4">
        <v>46023</v>
      </c>
      <c r="B123" s="17">
        <v>695291</v>
      </c>
      <c r="C123" s="5" t="s">
        <v>117</v>
      </c>
      <c r="D123" s="5">
        <v>696433</v>
      </c>
      <c r="E123" s="6">
        <v>2089.79</v>
      </c>
      <c r="F123" s="5" t="s">
        <v>111</v>
      </c>
    </row>
    <row r="124" spans="1:6" x14ac:dyDescent="0.35">
      <c r="A124" s="4">
        <v>46022</v>
      </c>
      <c r="B124" s="17">
        <v>695286</v>
      </c>
      <c r="C124" s="5" t="s">
        <v>110</v>
      </c>
      <c r="D124" s="5"/>
      <c r="E124" s="6">
        <v>2283.92</v>
      </c>
      <c r="F124" s="5" t="s">
        <v>111</v>
      </c>
    </row>
    <row r="125" spans="1:6" x14ac:dyDescent="0.35">
      <c r="A125" s="4">
        <v>46022</v>
      </c>
      <c r="B125" s="17">
        <v>695285</v>
      </c>
      <c r="C125" s="5" t="s">
        <v>110</v>
      </c>
      <c r="D125" s="5"/>
      <c r="E125" s="6">
        <v>3220.5</v>
      </c>
      <c r="F125" s="5" t="s">
        <v>111</v>
      </c>
    </row>
    <row r="126" spans="1:6" x14ac:dyDescent="0.35">
      <c r="A126" s="4">
        <v>46022</v>
      </c>
      <c r="B126" s="17">
        <v>695273</v>
      </c>
      <c r="C126" s="5" t="s">
        <v>116</v>
      </c>
      <c r="D126" s="5"/>
      <c r="E126" s="6">
        <v>2226.0100000000002</v>
      </c>
      <c r="F126" s="5" t="s">
        <v>111</v>
      </c>
    </row>
    <row r="127" spans="1:6" x14ac:dyDescent="0.35">
      <c r="A127" s="4">
        <v>46022</v>
      </c>
      <c r="B127" s="17">
        <v>695272</v>
      </c>
      <c r="C127" s="5" t="s">
        <v>176</v>
      </c>
      <c r="D127" s="5">
        <v>696427</v>
      </c>
      <c r="E127" s="6">
        <v>521.38</v>
      </c>
      <c r="F127" s="5" t="s">
        <v>111</v>
      </c>
    </row>
    <row r="128" spans="1:6" x14ac:dyDescent="0.35">
      <c r="A128" s="4">
        <v>46021</v>
      </c>
      <c r="B128" s="17">
        <v>695262</v>
      </c>
      <c r="C128" s="5" t="s">
        <v>129</v>
      </c>
      <c r="D128" s="5"/>
      <c r="E128" s="6">
        <v>1344.47</v>
      </c>
      <c r="F128" s="5" t="s">
        <v>130</v>
      </c>
    </row>
    <row r="129" spans="1:6" x14ac:dyDescent="0.35">
      <c r="A129" s="4">
        <v>46021</v>
      </c>
      <c r="B129" s="17">
        <v>695261</v>
      </c>
      <c r="C129" s="5" t="s">
        <v>187</v>
      </c>
      <c r="D129" s="5"/>
      <c r="E129" s="6">
        <v>485.35</v>
      </c>
      <c r="F129" s="5" t="s">
        <v>142</v>
      </c>
    </row>
    <row r="130" spans="1:6" x14ac:dyDescent="0.35">
      <c r="A130" s="4">
        <v>46020</v>
      </c>
      <c r="B130" s="17">
        <v>695256</v>
      </c>
      <c r="C130" s="5" t="s">
        <v>124</v>
      </c>
      <c r="D130" s="5"/>
      <c r="E130" s="6">
        <v>1632.77</v>
      </c>
      <c r="F130" s="5" t="s">
        <v>125</v>
      </c>
    </row>
    <row r="131" spans="1:6" x14ac:dyDescent="0.35">
      <c r="A131" s="4">
        <v>46020</v>
      </c>
      <c r="B131" s="17">
        <v>695254</v>
      </c>
      <c r="C131" s="5" t="s">
        <v>124</v>
      </c>
      <c r="D131" s="5"/>
      <c r="E131" s="6">
        <v>979.66</v>
      </c>
      <c r="F131" s="5" t="s">
        <v>125</v>
      </c>
    </row>
    <row r="132" spans="1:6" x14ac:dyDescent="0.35">
      <c r="A132" s="4">
        <v>46020</v>
      </c>
      <c r="B132" s="17">
        <v>695253</v>
      </c>
      <c r="C132" s="5" t="s">
        <v>124</v>
      </c>
      <c r="D132" s="5"/>
      <c r="E132" s="6">
        <v>1469.49</v>
      </c>
      <c r="F132" s="5" t="s">
        <v>125</v>
      </c>
    </row>
    <row r="133" spans="1:6" x14ac:dyDescent="0.35">
      <c r="A133" s="4">
        <v>46015</v>
      </c>
      <c r="B133" s="17">
        <v>691349</v>
      </c>
      <c r="C133" s="5" t="s">
        <v>193</v>
      </c>
      <c r="D133" s="5"/>
      <c r="E133" s="6">
        <v>425.1</v>
      </c>
      <c r="F133" s="5" t="s">
        <v>98</v>
      </c>
    </row>
    <row r="134" spans="1:6" x14ac:dyDescent="0.35">
      <c r="A134" s="4">
        <v>46015</v>
      </c>
      <c r="B134" s="17">
        <v>691348</v>
      </c>
      <c r="C134" s="5" t="s">
        <v>188</v>
      </c>
      <c r="D134" s="5"/>
      <c r="E134" s="6">
        <v>483.93</v>
      </c>
      <c r="F134" s="5" t="s">
        <v>98</v>
      </c>
    </row>
    <row r="135" spans="1:6" x14ac:dyDescent="0.35">
      <c r="A135" s="4">
        <v>46015</v>
      </c>
      <c r="B135" s="17">
        <v>691347</v>
      </c>
      <c r="C135" s="5" t="s">
        <v>188</v>
      </c>
      <c r="D135" s="5"/>
      <c r="E135" s="6">
        <v>483.93</v>
      </c>
      <c r="F135" s="5" t="s">
        <v>98</v>
      </c>
    </row>
    <row r="136" spans="1:6" x14ac:dyDescent="0.35">
      <c r="A136" s="4">
        <v>46015</v>
      </c>
      <c r="B136" s="17">
        <v>691346</v>
      </c>
      <c r="C136" s="5" t="s">
        <v>169</v>
      </c>
      <c r="D136" s="5"/>
      <c r="E136" s="6">
        <v>586.65</v>
      </c>
      <c r="F136" s="5" t="s">
        <v>98</v>
      </c>
    </row>
    <row r="137" spans="1:6" x14ac:dyDescent="0.35">
      <c r="A137" s="4">
        <v>46015</v>
      </c>
      <c r="B137" s="17">
        <v>691345</v>
      </c>
      <c r="C137" s="5" t="s">
        <v>118</v>
      </c>
      <c r="D137" s="5"/>
      <c r="E137" s="6">
        <v>1801.81</v>
      </c>
      <c r="F137" s="5" t="s">
        <v>98</v>
      </c>
    </row>
    <row r="138" spans="1:6" x14ac:dyDescent="0.35">
      <c r="A138" s="4">
        <v>46015</v>
      </c>
      <c r="B138" s="17">
        <v>691344</v>
      </c>
      <c r="C138" s="5" t="s">
        <v>140</v>
      </c>
      <c r="D138" s="5"/>
      <c r="E138" s="6">
        <v>964.93</v>
      </c>
      <c r="F138" s="5" t="s">
        <v>98</v>
      </c>
    </row>
    <row r="139" spans="1:6" x14ac:dyDescent="0.35">
      <c r="A139" s="4">
        <v>46015</v>
      </c>
      <c r="B139" s="17">
        <v>691343</v>
      </c>
      <c r="C139" s="5" t="s">
        <v>217</v>
      </c>
      <c r="D139" s="5"/>
      <c r="E139" s="6">
        <v>265.55</v>
      </c>
      <c r="F139" s="5" t="s">
        <v>98</v>
      </c>
    </row>
    <row r="140" spans="1:6" x14ac:dyDescent="0.35">
      <c r="A140" s="4">
        <v>46015</v>
      </c>
      <c r="B140" s="17">
        <v>691342</v>
      </c>
      <c r="C140" s="5" t="s">
        <v>217</v>
      </c>
      <c r="D140" s="5"/>
      <c r="E140" s="6">
        <v>265.55</v>
      </c>
      <c r="F140" s="5" t="s">
        <v>98</v>
      </c>
    </row>
    <row r="141" spans="1:6" x14ac:dyDescent="0.35">
      <c r="A141" s="4">
        <v>46015</v>
      </c>
      <c r="B141" s="17">
        <v>691341</v>
      </c>
      <c r="C141" s="5" t="s">
        <v>97</v>
      </c>
      <c r="D141" s="5">
        <v>687355</v>
      </c>
      <c r="E141" s="6">
        <v>9784.11</v>
      </c>
      <c r="F141" s="5" t="s">
        <v>98</v>
      </c>
    </row>
    <row r="142" spans="1:6" x14ac:dyDescent="0.35">
      <c r="A142" s="4">
        <v>46011</v>
      </c>
      <c r="B142" s="17">
        <v>691334</v>
      </c>
      <c r="C142" s="5" t="s">
        <v>255</v>
      </c>
      <c r="D142" s="5"/>
      <c r="E142" s="6">
        <v>80.09</v>
      </c>
      <c r="F142" s="5" t="s">
        <v>184</v>
      </c>
    </row>
    <row r="143" spans="1:6" x14ac:dyDescent="0.35">
      <c r="A143" s="4">
        <v>46011</v>
      </c>
      <c r="B143" s="17">
        <v>691333</v>
      </c>
      <c r="C143" s="5" t="s">
        <v>263</v>
      </c>
      <c r="D143" s="5"/>
      <c r="E143" s="6">
        <v>55.43</v>
      </c>
      <c r="F143" s="5" t="s">
        <v>184</v>
      </c>
    </row>
    <row r="144" spans="1:6" x14ac:dyDescent="0.35">
      <c r="A144" s="4">
        <v>46007</v>
      </c>
      <c r="B144" s="17">
        <v>691323</v>
      </c>
      <c r="C144" s="5" t="s">
        <v>270</v>
      </c>
      <c r="D144" s="5"/>
      <c r="E144" s="6">
        <v>38.36</v>
      </c>
      <c r="F144" s="5" t="s">
        <v>184</v>
      </c>
    </row>
    <row r="145" spans="1:6" x14ac:dyDescent="0.35">
      <c r="A145" s="4">
        <v>46007</v>
      </c>
      <c r="B145" s="17">
        <v>691322</v>
      </c>
      <c r="C145" s="5" t="s">
        <v>119</v>
      </c>
      <c r="D145" s="5"/>
      <c r="E145" s="6">
        <v>1775.87</v>
      </c>
      <c r="F145" s="5" t="s">
        <v>98</v>
      </c>
    </row>
    <row r="146" spans="1:6" x14ac:dyDescent="0.35">
      <c r="A146" s="4">
        <v>46007</v>
      </c>
      <c r="B146" s="17">
        <v>691320</v>
      </c>
      <c r="C146" s="5" t="s">
        <v>157</v>
      </c>
      <c r="D146" s="5"/>
      <c r="E146" s="6">
        <v>702.13</v>
      </c>
      <c r="F146" s="5" t="s">
        <v>142</v>
      </c>
    </row>
    <row r="147" spans="1:6" x14ac:dyDescent="0.35">
      <c r="A147" s="4">
        <v>46001</v>
      </c>
      <c r="B147" s="17">
        <v>691307</v>
      </c>
      <c r="C147" s="5" t="s">
        <v>88</v>
      </c>
      <c r="D147" s="5">
        <v>707012</v>
      </c>
      <c r="E147" s="6">
        <v>7752.4</v>
      </c>
      <c r="F147" s="5" t="s">
        <v>89</v>
      </c>
    </row>
    <row r="148" spans="1:6" x14ac:dyDescent="0.35">
      <c r="A148" s="4">
        <v>46000</v>
      </c>
      <c r="B148" s="17">
        <v>691299</v>
      </c>
      <c r="C148" s="5" t="s">
        <v>226</v>
      </c>
      <c r="D148" s="5"/>
      <c r="E148" s="6">
        <v>216.15</v>
      </c>
      <c r="F148" s="5" t="s">
        <v>184</v>
      </c>
    </row>
    <row r="149" spans="1:6" x14ac:dyDescent="0.35">
      <c r="A149" s="4">
        <v>45993</v>
      </c>
      <c r="B149" s="17">
        <v>691283</v>
      </c>
      <c r="C149" s="5" t="s">
        <v>267</v>
      </c>
      <c r="D149" s="5"/>
      <c r="E149" s="6">
        <v>43.59</v>
      </c>
      <c r="F149" s="5" t="s">
        <v>184</v>
      </c>
    </row>
    <row r="150" spans="1:6" x14ac:dyDescent="0.35">
      <c r="A150" s="4">
        <v>45992</v>
      </c>
      <c r="B150" s="17">
        <v>691279</v>
      </c>
      <c r="C150" s="5" t="s">
        <v>88</v>
      </c>
      <c r="D150" s="5">
        <v>701797</v>
      </c>
      <c r="E150" s="6">
        <v>30783.11</v>
      </c>
      <c r="F150" s="5" t="s">
        <v>89</v>
      </c>
    </row>
    <row r="151" spans="1:6" x14ac:dyDescent="0.35">
      <c r="A151" s="4">
        <v>45988</v>
      </c>
      <c r="B151" s="17">
        <v>691269</v>
      </c>
      <c r="C151" s="5" t="s">
        <v>92</v>
      </c>
      <c r="D151" s="5"/>
      <c r="E151" s="6">
        <v>16319.3</v>
      </c>
      <c r="F151" s="5" t="s">
        <v>93</v>
      </c>
    </row>
    <row r="152" spans="1:6" x14ac:dyDescent="0.35">
      <c r="A152" s="4">
        <v>45985</v>
      </c>
      <c r="B152" s="17">
        <v>691264</v>
      </c>
      <c r="C152" s="5" t="s">
        <v>250</v>
      </c>
      <c r="D152" s="5"/>
      <c r="E152" s="6">
        <v>103.64</v>
      </c>
      <c r="F152" s="5" t="s">
        <v>184</v>
      </c>
    </row>
    <row r="153" spans="1:6" x14ac:dyDescent="0.35">
      <c r="A153" s="4">
        <v>45979</v>
      </c>
      <c r="B153" s="17">
        <v>691255</v>
      </c>
      <c r="C153" s="5" t="s">
        <v>213</v>
      </c>
      <c r="D153" s="5"/>
      <c r="E153" s="6">
        <v>274.98</v>
      </c>
      <c r="F153" s="5" t="s">
        <v>182</v>
      </c>
    </row>
    <row r="154" spans="1:6" x14ac:dyDescent="0.35">
      <c r="A154" s="4">
        <v>46035</v>
      </c>
      <c r="B154" s="17">
        <v>688675</v>
      </c>
      <c r="C154" s="5" t="s">
        <v>205</v>
      </c>
      <c r="D154" s="5"/>
      <c r="E154" s="6">
        <v>326.45999999999998</v>
      </c>
      <c r="F154" s="5" t="s">
        <v>142</v>
      </c>
    </row>
    <row r="155" spans="1:6" x14ac:dyDescent="0.35">
      <c r="A155" s="4">
        <v>46035</v>
      </c>
      <c r="B155" s="17">
        <v>688674</v>
      </c>
      <c r="C155" s="5" t="s">
        <v>168</v>
      </c>
      <c r="D155" s="5"/>
      <c r="E155" s="6">
        <v>590.09</v>
      </c>
      <c r="F155" s="5" t="s">
        <v>142</v>
      </c>
    </row>
    <row r="156" spans="1:6" x14ac:dyDescent="0.35">
      <c r="A156" s="4">
        <v>46035</v>
      </c>
      <c r="B156" s="17">
        <v>688673</v>
      </c>
      <c r="C156" s="5" t="s">
        <v>215</v>
      </c>
      <c r="D156" s="5"/>
      <c r="E156" s="6">
        <v>266.27999999999997</v>
      </c>
      <c r="F156" s="5" t="s">
        <v>216</v>
      </c>
    </row>
    <row r="157" spans="1:6" x14ac:dyDescent="0.35">
      <c r="A157" s="4">
        <v>46035</v>
      </c>
      <c r="B157" s="17">
        <v>688672</v>
      </c>
      <c r="C157" s="5" t="s">
        <v>172</v>
      </c>
      <c r="D157" s="5"/>
      <c r="E157" s="6">
        <v>560.87</v>
      </c>
      <c r="F157" s="5" t="s">
        <v>216</v>
      </c>
    </row>
    <row r="158" spans="1:6" x14ac:dyDescent="0.35">
      <c r="A158" s="4">
        <v>46030</v>
      </c>
      <c r="B158" s="17">
        <v>688664</v>
      </c>
      <c r="C158" s="5" t="s">
        <v>269</v>
      </c>
      <c r="D158" s="5">
        <v>656436</v>
      </c>
      <c r="E158" s="6">
        <v>40</v>
      </c>
      <c r="F158" s="5" t="s">
        <v>184</v>
      </c>
    </row>
    <row r="159" spans="1:6" x14ac:dyDescent="0.35">
      <c r="A159" s="4">
        <v>46030</v>
      </c>
      <c r="B159" s="17">
        <v>688663</v>
      </c>
      <c r="C159" s="5" t="s">
        <v>238</v>
      </c>
      <c r="D159" s="5">
        <v>656436</v>
      </c>
      <c r="E159" s="6">
        <v>171.67</v>
      </c>
      <c r="F159" s="5" t="s">
        <v>142</v>
      </c>
    </row>
    <row r="160" spans="1:6" x14ac:dyDescent="0.35">
      <c r="A160" s="4">
        <v>45957</v>
      </c>
      <c r="B160" s="17">
        <v>663247</v>
      </c>
      <c r="C160" s="5" t="s">
        <v>164</v>
      </c>
      <c r="D160" s="5">
        <v>693748</v>
      </c>
      <c r="E160" s="6">
        <v>621.28</v>
      </c>
      <c r="F160" s="5" t="s">
        <v>98</v>
      </c>
    </row>
    <row r="161" spans="1:6" x14ac:dyDescent="0.35">
      <c r="A161" s="4">
        <v>45955</v>
      </c>
      <c r="B161" s="17">
        <v>663246</v>
      </c>
      <c r="C161" s="5" t="s">
        <v>103</v>
      </c>
      <c r="D161" s="5">
        <v>693748</v>
      </c>
      <c r="E161" s="6">
        <v>6789.51</v>
      </c>
      <c r="F161" s="5" t="s">
        <v>98</v>
      </c>
    </row>
    <row r="162" spans="1:6" x14ac:dyDescent="0.35">
      <c r="A162" s="4">
        <v>45955</v>
      </c>
      <c r="B162" s="17">
        <v>663245</v>
      </c>
      <c r="C162" s="5" t="s">
        <v>104</v>
      </c>
      <c r="D162" s="5">
        <v>693748</v>
      </c>
      <c r="E162" s="6">
        <v>6153.65</v>
      </c>
      <c r="F162" s="5" t="s">
        <v>98</v>
      </c>
    </row>
    <row r="163" spans="1:6" x14ac:dyDescent="0.35">
      <c r="A163" s="4">
        <v>45955</v>
      </c>
      <c r="B163" s="17">
        <v>663244</v>
      </c>
      <c r="C163" s="5" t="s">
        <v>144</v>
      </c>
      <c r="D163" s="5">
        <v>693748</v>
      </c>
      <c r="E163" s="6">
        <v>892.5</v>
      </c>
      <c r="F163" s="5" t="s">
        <v>98</v>
      </c>
    </row>
    <row r="164" spans="1:6" x14ac:dyDescent="0.35">
      <c r="A164" s="4">
        <v>45955</v>
      </c>
      <c r="B164" s="17">
        <v>663243</v>
      </c>
      <c r="C164" s="5" t="s">
        <v>198</v>
      </c>
      <c r="D164" s="5">
        <v>693748</v>
      </c>
      <c r="E164" s="6">
        <v>382.18</v>
      </c>
      <c r="F164" s="5" t="s">
        <v>19</v>
      </c>
    </row>
    <row r="165" spans="1:6" x14ac:dyDescent="0.35">
      <c r="A165" s="4">
        <v>45953</v>
      </c>
      <c r="B165" s="17">
        <v>663238</v>
      </c>
      <c r="C165" s="5" t="s">
        <v>138</v>
      </c>
      <c r="D165" s="5"/>
      <c r="E165" s="6">
        <v>1078.69</v>
      </c>
      <c r="F165" s="5" t="s">
        <v>142</v>
      </c>
    </row>
    <row r="166" spans="1:6" x14ac:dyDescent="0.35">
      <c r="A166" s="4">
        <v>45976</v>
      </c>
      <c r="B166" s="17">
        <v>663197</v>
      </c>
      <c r="C166" s="5" t="s">
        <v>257</v>
      </c>
      <c r="D166" s="5"/>
      <c r="E166" s="6">
        <v>70.349999999999994</v>
      </c>
      <c r="F166" s="5" t="s">
        <v>142</v>
      </c>
    </row>
    <row r="167" spans="1:6" x14ac:dyDescent="0.35">
      <c r="A167" s="4">
        <v>45967</v>
      </c>
      <c r="B167" s="17">
        <v>663180</v>
      </c>
      <c r="C167" s="5" t="s">
        <v>115</v>
      </c>
      <c r="D167" s="5">
        <v>693748</v>
      </c>
      <c r="E167" s="6">
        <v>2240.85</v>
      </c>
      <c r="F167" s="5" t="s">
        <v>98</v>
      </c>
    </row>
    <row r="168" spans="1:6" x14ac:dyDescent="0.35">
      <c r="A168" s="4">
        <v>45962</v>
      </c>
      <c r="B168" s="17">
        <v>663170</v>
      </c>
      <c r="C168" s="5" t="s">
        <v>256</v>
      </c>
      <c r="D168" s="5"/>
      <c r="E168" s="6">
        <v>74.22</v>
      </c>
      <c r="F168" s="5" t="s">
        <v>142</v>
      </c>
    </row>
    <row r="169" spans="1:6" x14ac:dyDescent="0.35">
      <c r="A169" s="4">
        <v>45962</v>
      </c>
      <c r="B169" s="17">
        <v>663169</v>
      </c>
      <c r="C169" s="5" t="s">
        <v>179</v>
      </c>
      <c r="D169" s="5"/>
      <c r="E169" s="6">
        <v>517.24</v>
      </c>
      <c r="F169" s="5" t="s">
        <v>142</v>
      </c>
    </row>
    <row r="170" spans="1:6" x14ac:dyDescent="0.35">
      <c r="A170" s="4">
        <v>45991</v>
      </c>
      <c r="B170" s="17">
        <v>663163</v>
      </c>
      <c r="C170" s="5" t="s">
        <v>222</v>
      </c>
      <c r="D170" s="5"/>
      <c r="E170" s="6">
        <v>248.09</v>
      </c>
      <c r="F170" s="5" t="s">
        <v>142</v>
      </c>
    </row>
    <row r="171" spans="1:6" x14ac:dyDescent="0.35">
      <c r="A171" s="4">
        <v>663157</v>
      </c>
      <c r="B171" s="17">
        <v>663157</v>
      </c>
      <c r="C171" s="5" t="s">
        <v>138</v>
      </c>
      <c r="D171" s="5"/>
      <c r="E171" s="6">
        <v>1078.69</v>
      </c>
      <c r="F171" s="5" t="s">
        <v>19</v>
      </c>
    </row>
    <row r="172" spans="1:6" x14ac:dyDescent="0.35">
      <c r="A172" s="4">
        <v>45958</v>
      </c>
      <c r="B172" s="17">
        <v>663156</v>
      </c>
      <c r="C172" s="5" t="s">
        <v>264</v>
      </c>
      <c r="D172" s="5"/>
      <c r="E172" s="6">
        <v>54.15</v>
      </c>
      <c r="F172" s="5" t="s">
        <v>142</v>
      </c>
    </row>
    <row r="173" spans="1:6" x14ac:dyDescent="0.35">
      <c r="A173" s="4">
        <v>45916</v>
      </c>
      <c r="B173" s="17">
        <v>644921</v>
      </c>
      <c r="C173" s="5" t="s">
        <v>265</v>
      </c>
      <c r="D173" s="5"/>
      <c r="E173" s="6">
        <v>49.15</v>
      </c>
      <c r="F173" s="5" t="s">
        <v>184</v>
      </c>
    </row>
    <row r="174" spans="1:6" x14ac:dyDescent="0.35">
      <c r="A174" s="4">
        <v>45915</v>
      </c>
      <c r="B174" s="17">
        <v>644915</v>
      </c>
      <c r="C174" s="5" t="s">
        <v>100</v>
      </c>
      <c r="D174" s="5"/>
      <c r="E174" s="6">
        <v>8728.5</v>
      </c>
      <c r="F174" s="5" t="s">
        <v>87</v>
      </c>
    </row>
    <row r="175" spans="1:6" x14ac:dyDescent="0.35">
      <c r="A175" s="4">
        <v>45913</v>
      </c>
      <c r="B175" s="17">
        <v>644911</v>
      </c>
      <c r="C175" s="5" t="s">
        <v>132</v>
      </c>
      <c r="D175" s="5"/>
      <c r="E175" s="6">
        <v>1321.97</v>
      </c>
      <c r="F175" s="5" t="s">
        <v>133</v>
      </c>
    </row>
    <row r="176" spans="1:6" x14ac:dyDescent="0.35">
      <c r="A176" s="4">
        <v>45893</v>
      </c>
      <c r="B176" s="17">
        <v>644858</v>
      </c>
      <c r="C176" s="5" t="s">
        <v>174</v>
      </c>
      <c r="D176" s="5"/>
      <c r="E176" s="6">
        <v>548.99</v>
      </c>
      <c r="F176" s="5" t="s">
        <v>19</v>
      </c>
    </row>
    <row r="177" spans="1:6" x14ac:dyDescent="0.35">
      <c r="A177" s="4">
        <v>45893</v>
      </c>
      <c r="B177" s="17">
        <v>644857</v>
      </c>
      <c r="C177" s="5" t="s">
        <v>246</v>
      </c>
      <c r="D177" s="5"/>
      <c r="E177" s="6">
        <v>122.39</v>
      </c>
      <c r="F177" s="5" t="s">
        <v>142</v>
      </c>
    </row>
    <row r="178" spans="1:6" x14ac:dyDescent="0.35">
      <c r="A178" s="4">
        <v>45890</v>
      </c>
      <c r="B178" s="17">
        <v>630499</v>
      </c>
      <c r="C178" s="5" t="s">
        <v>281</v>
      </c>
      <c r="D178" s="5"/>
      <c r="E178" s="6">
        <v>9.3699999999999992</v>
      </c>
      <c r="F178" s="5" t="s">
        <v>142</v>
      </c>
    </row>
    <row r="179" spans="1:6" x14ac:dyDescent="0.35">
      <c r="A179" s="4">
        <v>45890</v>
      </c>
      <c r="B179" s="17">
        <v>630498</v>
      </c>
      <c r="C179" s="5" t="s">
        <v>208</v>
      </c>
      <c r="D179" s="5"/>
      <c r="E179" s="6">
        <v>306.75</v>
      </c>
      <c r="F179" s="5" t="s">
        <v>142</v>
      </c>
    </row>
    <row r="180" spans="1:6" x14ac:dyDescent="0.35">
      <c r="A180" s="4">
        <v>45882</v>
      </c>
      <c r="B180" s="17">
        <v>630481</v>
      </c>
      <c r="C180" s="5" t="s">
        <v>153</v>
      </c>
      <c r="D180" s="5"/>
      <c r="E180" s="6">
        <v>824.52</v>
      </c>
      <c r="F180" s="5" t="s">
        <v>98</v>
      </c>
    </row>
    <row r="181" spans="1:6" x14ac:dyDescent="0.35">
      <c r="A181" s="4">
        <v>45849</v>
      </c>
      <c r="B181" s="17">
        <v>630407</v>
      </c>
      <c r="C181" s="5" t="s">
        <v>107</v>
      </c>
      <c r="D181" s="5"/>
      <c r="E181" s="6">
        <v>4302.5</v>
      </c>
      <c r="F181" s="5" t="s">
        <v>96</v>
      </c>
    </row>
    <row r="182" spans="1:6" x14ac:dyDescent="0.35">
      <c r="A182" s="4">
        <v>45836</v>
      </c>
      <c r="B182" s="17">
        <v>598984</v>
      </c>
      <c r="C182" s="5" t="s">
        <v>206</v>
      </c>
      <c r="D182" s="5"/>
      <c r="E182" s="6">
        <v>325.92</v>
      </c>
      <c r="F182" s="5" t="s">
        <v>142</v>
      </c>
    </row>
    <row r="183" spans="1:6" x14ac:dyDescent="0.35">
      <c r="A183" s="4">
        <v>45824</v>
      </c>
      <c r="B183" s="17">
        <v>598955</v>
      </c>
      <c r="C183" s="5" t="s">
        <v>146</v>
      </c>
      <c r="D183" s="5"/>
      <c r="E183" s="6">
        <v>330.6</v>
      </c>
      <c r="F183" s="5" t="s">
        <v>147</v>
      </c>
    </row>
    <row r="184" spans="1:6" x14ac:dyDescent="0.35">
      <c r="A184" s="4">
        <v>45824</v>
      </c>
      <c r="B184" s="17">
        <v>598954</v>
      </c>
      <c r="C184" s="5" t="s">
        <v>154</v>
      </c>
      <c r="D184" s="5"/>
      <c r="E184" s="6">
        <v>769.35</v>
      </c>
      <c r="F184" s="5" t="s">
        <v>155</v>
      </c>
    </row>
    <row r="185" spans="1:6" x14ac:dyDescent="0.35">
      <c r="A185" s="4">
        <v>45824</v>
      </c>
      <c r="B185" s="17">
        <v>598953</v>
      </c>
      <c r="C185" s="5" t="s">
        <v>248</v>
      </c>
      <c r="D185" s="5"/>
      <c r="E185" s="6">
        <v>110.08</v>
      </c>
      <c r="F185" s="5" t="s">
        <v>155</v>
      </c>
    </row>
    <row r="186" spans="1:6" x14ac:dyDescent="0.35">
      <c r="A186" s="4">
        <v>45803</v>
      </c>
      <c r="B186" s="17">
        <v>598914</v>
      </c>
      <c r="C186" s="5" t="s">
        <v>181</v>
      </c>
      <c r="D186" s="5"/>
      <c r="E186" s="6">
        <v>514.22</v>
      </c>
      <c r="F186" s="5" t="s">
        <v>182</v>
      </c>
    </row>
    <row r="187" spans="1:6" x14ac:dyDescent="0.35">
      <c r="A187" s="4">
        <v>45799</v>
      </c>
      <c r="B187" s="17">
        <v>598907</v>
      </c>
      <c r="C187" s="5" t="s">
        <v>231</v>
      </c>
      <c r="D187" s="5"/>
      <c r="E187" s="6">
        <v>202.95</v>
      </c>
      <c r="F187" s="5" t="s">
        <v>232</v>
      </c>
    </row>
    <row r="188" spans="1:6" x14ac:dyDescent="0.35">
      <c r="A188" s="4">
        <v>45764</v>
      </c>
      <c r="B188" s="17">
        <v>579176</v>
      </c>
      <c r="C188" s="5" t="s">
        <v>190</v>
      </c>
      <c r="D188" s="5"/>
      <c r="E188" s="6">
        <v>472.77</v>
      </c>
      <c r="F188" s="5" t="s">
        <v>121</v>
      </c>
    </row>
    <row r="189" spans="1:6" x14ac:dyDescent="0.35">
      <c r="A189" s="4">
        <v>45722</v>
      </c>
      <c r="B189" s="17">
        <v>551120</v>
      </c>
      <c r="C189" s="5" t="s">
        <v>21</v>
      </c>
      <c r="D189" s="5">
        <v>676321</v>
      </c>
      <c r="E189" s="6">
        <v>14</v>
      </c>
      <c r="F189" s="5" t="s">
        <v>21</v>
      </c>
    </row>
    <row r="190" spans="1:6" x14ac:dyDescent="0.35">
      <c r="A190" s="4">
        <v>45734</v>
      </c>
      <c r="B190" s="17">
        <v>551058</v>
      </c>
      <c r="C190" s="5" t="s">
        <v>274</v>
      </c>
      <c r="D190" s="5"/>
      <c r="E190" s="6">
        <v>10.81</v>
      </c>
      <c r="F190" s="5" t="s">
        <v>184</v>
      </c>
    </row>
    <row r="191" spans="1:6" x14ac:dyDescent="0.35">
      <c r="A191" s="4">
        <v>45701</v>
      </c>
      <c r="B191" s="17">
        <v>548982</v>
      </c>
      <c r="C191" s="5" t="s">
        <v>240</v>
      </c>
      <c r="D191" s="5"/>
      <c r="E191" s="6">
        <v>164.19</v>
      </c>
      <c r="F191" s="5" t="s">
        <v>142</v>
      </c>
    </row>
    <row r="192" spans="1:6" x14ac:dyDescent="0.35">
      <c r="A192" s="4"/>
      <c r="B192" s="17"/>
      <c r="C192" s="5"/>
      <c r="D192" s="5"/>
      <c r="E192" s="6"/>
      <c r="F192" s="5"/>
    </row>
    <row r="193" spans="1:6" x14ac:dyDescent="0.35">
      <c r="A193" s="4"/>
      <c r="B193" s="17"/>
      <c r="C193" s="5"/>
      <c r="D193" s="5"/>
      <c r="E193" s="6"/>
      <c r="F193" s="5"/>
    </row>
    <row r="194" spans="1:6" x14ac:dyDescent="0.35">
      <c r="A194" s="4"/>
      <c r="B194" s="17"/>
      <c r="C194" s="5"/>
      <c r="D194" s="5"/>
      <c r="E194" s="6"/>
      <c r="F194" s="5"/>
    </row>
    <row r="195" spans="1:6" x14ac:dyDescent="0.35">
      <c r="A195" s="4"/>
      <c r="B195" s="17"/>
      <c r="C195" s="5"/>
      <c r="D195" s="5"/>
      <c r="E195" s="6"/>
      <c r="F195" s="5"/>
    </row>
    <row r="196" spans="1:6" x14ac:dyDescent="0.35">
      <c r="A196" s="4"/>
      <c r="B196" s="17"/>
      <c r="C196" s="5"/>
      <c r="D196" s="5"/>
      <c r="E196" s="6"/>
      <c r="F196" s="5"/>
    </row>
    <row r="197" spans="1:6" x14ac:dyDescent="0.35">
      <c r="A197" s="4"/>
      <c r="B197" s="17"/>
      <c r="C197" s="5"/>
      <c r="D197" s="5"/>
      <c r="E197" s="6"/>
      <c r="F197" s="5"/>
    </row>
    <row r="198" spans="1:6" x14ac:dyDescent="0.35">
      <c r="A198" s="7"/>
      <c r="B198" s="17"/>
      <c r="C198" s="8"/>
      <c r="D198" s="8"/>
      <c r="E198" s="9"/>
      <c r="F198" s="8"/>
    </row>
    <row r="199" spans="1:6" x14ac:dyDescent="0.35">
      <c r="A199" s="4"/>
      <c r="B199" s="17"/>
      <c r="C199" s="5"/>
      <c r="D199" s="5"/>
      <c r="E199" s="6"/>
      <c r="F199" s="5"/>
    </row>
    <row r="200" spans="1:6" x14ac:dyDescent="0.35">
      <c r="A200" s="4"/>
      <c r="B200" s="17"/>
      <c r="C200" s="5"/>
      <c r="D200" s="5"/>
      <c r="E200" s="6"/>
      <c r="F200" s="5"/>
    </row>
    <row r="201" spans="1:6" x14ac:dyDescent="0.35">
      <c r="A201" s="4"/>
      <c r="B201" s="17"/>
      <c r="C201" s="5"/>
      <c r="D201" s="5"/>
      <c r="E201" s="6"/>
      <c r="F201" s="5"/>
    </row>
    <row r="202" spans="1:6" x14ac:dyDescent="0.35">
      <c r="A202" s="4"/>
      <c r="B202" s="17"/>
      <c r="C202" s="5"/>
      <c r="D202" s="5"/>
      <c r="E202" s="6"/>
      <c r="F202" s="5"/>
    </row>
    <row r="203" spans="1:6" x14ac:dyDescent="0.35">
      <c r="A203" s="4"/>
      <c r="B203" s="17"/>
      <c r="C203" s="5"/>
      <c r="D203" s="5"/>
      <c r="E203" s="6"/>
      <c r="F203" s="5"/>
    </row>
    <row r="204" spans="1:6" x14ac:dyDescent="0.35">
      <c r="A204" s="4"/>
      <c r="B204" s="17"/>
      <c r="C204" s="5"/>
      <c r="D204" s="5"/>
      <c r="E204" s="6"/>
      <c r="F204" s="5"/>
    </row>
    <row r="205" spans="1:6" x14ac:dyDescent="0.35">
      <c r="A205" s="4"/>
      <c r="B205" s="17"/>
      <c r="C205" s="5"/>
      <c r="D205" s="5"/>
      <c r="E205" s="6"/>
      <c r="F205" s="5"/>
    </row>
    <row r="206" spans="1:6" x14ac:dyDescent="0.35">
      <c r="A206" s="4"/>
      <c r="B206" s="17"/>
      <c r="C206" s="5"/>
      <c r="D206" s="5"/>
      <c r="E206" s="6"/>
      <c r="F206" s="5"/>
    </row>
    <row r="207" spans="1:6" x14ac:dyDescent="0.35">
      <c r="A207" s="4"/>
      <c r="B207" s="17"/>
      <c r="C207" s="5"/>
      <c r="D207" s="5"/>
      <c r="E207" s="6"/>
      <c r="F207" s="5"/>
    </row>
    <row r="208" spans="1:6" x14ac:dyDescent="0.35">
      <c r="A208" s="4"/>
      <c r="B208" s="17"/>
      <c r="C208" s="5"/>
      <c r="D208" s="5"/>
      <c r="E208" s="6"/>
      <c r="F208" s="5"/>
    </row>
    <row r="209" spans="1:6" x14ac:dyDescent="0.35">
      <c r="A209" s="4"/>
      <c r="B209" s="17"/>
      <c r="C209" s="5"/>
      <c r="D209" s="5"/>
      <c r="E209" s="6"/>
      <c r="F209" s="5"/>
    </row>
    <row r="210" spans="1:6" x14ac:dyDescent="0.35">
      <c r="A210" s="4"/>
      <c r="B210" s="17"/>
      <c r="C210" s="5"/>
      <c r="D210" s="5"/>
      <c r="E210" s="6"/>
      <c r="F210" s="5"/>
    </row>
    <row r="211" spans="1:6" x14ac:dyDescent="0.35">
      <c r="A211" s="4"/>
      <c r="B211" s="17"/>
      <c r="C211" s="5"/>
      <c r="D211" s="5"/>
      <c r="E211" s="6"/>
      <c r="F211" s="5"/>
    </row>
    <row r="212" spans="1:6" x14ac:dyDescent="0.35">
      <c r="A212" s="4"/>
      <c r="B212" s="17"/>
      <c r="C212" s="5"/>
      <c r="D212" s="5"/>
      <c r="E212" s="6"/>
      <c r="F212" s="5"/>
    </row>
    <row r="213" spans="1:6" x14ac:dyDescent="0.35">
      <c r="A213" s="4"/>
      <c r="B213" s="17"/>
      <c r="C213" s="5"/>
      <c r="D213" s="5"/>
      <c r="E213" s="6"/>
      <c r="F213" s="5"/>
    </row>
    <row r="214" spans="1:6" x14ac:dyDescent="0.35">
      <c r="A214" s="4"/>
      <c r="B214" s="17"/>
      <c r="C214" s="5"/>
      <c r="D214" s="5"/>
      <c r="E214" s="6"/>
      <c r="F214" s="5"/>
    </row>
    <row r="215" spans="1:6" x14ac:dyDescent="0.35">
      <c r="A215" s="4"/>
      <c r="B215" s="17"/>
      <c r="C215" s="5"/>
      <c r="D215" s="5"/>
      <c r="E215" s="6"/>
      <c r="F215" s="5"/>
    </row>
    <row r="216" spans="1:6" x14ac:dyDescent="0.35">
      <c r="A216" s="4"/>
      <c r="B216" s="17"/>
      <c r="C216" s="5"/>
      <c r="D216" s="5"/>
      <c r="E216" s="6"/>
      <c r="F216" s="5"/>
    </row>
    <row r="217" spans="1:6" x14ac:dyDescent="0.35">
      <c r="A217" s="4"/>
      <c r="B217" s="17"/>
      <c r="C217" s="5"/>
      <c r="D217" s="5"/>
      <c r="E217" s="6"/>
      <c r="F217" s="5"/>
    </row>
    <row r="218" spans="1:6" x14ac:dyDescent="0.35">
      <c r="A218" s="4"/>
      <c r="B218" s="17"/>
      <c r="C218" s="5"/>
      <c r="D218" s="5"/>
      <c r="E218" s="6"/>
      <c r="F218" s="5"/>
    </row>
    <row r="219" spans="1:6" x14ac:dyDescent="0.35">
      <c r="A219" s="4"/>
      <c r="B219" s="17"/>
      <c r="C219" s="5"/>
      <c r="D219" s="5"/>
      <c r="E219" s="6"/>
      <c r="F219" s="5"/>
    </row>
    <row r="220" spans="1:6" x14ac:dyDescent="0.35">
      <c r="A220" s="4"/>
      <c r="B220" s="17"/>
      <c r="C220" s="5"/>
      <c r="D220" s="5"/>
      <c r="E220" s="6"/>
      <c r="F220" s="5"/>
    </row>
    <row r="221" spans="1:6" x14ac:dyDescent="0.35">
      <c r="A221" s="4"/>
      <c r="B221" s="17"/>
      <c r="C221" s="5"/>
      <c r="D221" s="5"/>
      <c r="E221" s="6"/>
      <c r="F221" s="5"/>
    </row>
    <row r="222" spans="1:6" x14ac:dyDescent="0.35">
      <c r="A222" s="4"/>
      <c r="B222" s="17"/>
      <c r="C222" s="5"/>
      <c r="D222" s="5"/>
      <c r="E222" s="6"/>
      <c r="F222" s="5"/>
    </row>
    <row r="223" spans="1:6" x14ac:dyDescent="0.35">
      <c r="A223" s="4"/>
      <c r="B223" s="17"/>
      <c r="C223" s="5"/>
      <c r="D223" s="5"/>
      <c r="E223" s="6"/>
      <c r="F223" s="5"/>
    </row>
    <row r="224" spans="1:6" x14ac:dyDescent="0.35">
      <c r="A224" s="4"/>
      <c r="B224" s="17"/>
      <c r="C224" s="5"/>
      <c r="D224" s="5"/>
      <c r="E224" s="6"/>
      <c r="F224" s="5"/>
    </row>
    <row r="225" spans="1:6" x14ac:dyDescent="0.35">
      <c r="A225" s="4"/>
      <c r="B225" s="17"/>
      <c r="C225" s="5"/>
      <c r="D225" s="5"/>
      <c r="E225" s="6"/>
      <c r="F225" s="5"/>
    </row>
    <row r="226" spans="1:6" x14ac:dyDescent="0.35">
      <c r="A226" s="4"/>
      <c r="B226" s="17"/>
      <c r="C226" s="5"/>
      <c r="D226" s="5"/>
      <c r="E226" s="6"/>
      <c r="F226" s="5"/>
    </row>
    <row r="227" spans="1:6" x14ac:dyDescent="0.35">
      <c r="A227" s="4"/>
      <c r="B227" s="17"/>
      <c r="C227" s="5"/>
      <c r="D227" s="5"/>
      <c r="E227" s="6"/>
      <c r="F227" s="5"/>
    </row>
    <row r="228" spans="1:6" x14ac:dyDescent="0.35">
      <c r="A228" s="4"/>
      <c r="B228" s="17"/>
      <c r="C228" s="5"/>
      <c r="D228" s="5"/>
      <c r="E228" s="6"/>
      <c r="F228" s="5"/>
    </row>
    <row r="229" spans="1:6" x14ac:dyDescent="0.35">
      <c r="A229" s="4"/>
      <c r="B229" s="17"/>
      <c r="C229" s="5"/>
      <c r="D229" s="5"/>
      <c r="E229" s="6"/>
      <c r="F229" s="5"/>
    </row>
    <row r="230" spans="1:6" x14ac:dyDescent="0.35">
      <c r="A230" s="4"/>
      <c r="B230" s="17"/>
      <c r="C230" s="5"/>
      <c r="D230" s="5"/>
      <c r="E230" s="6"/>
      <c r="F230" s="5"/>
    </row>
    <row r="231" spans="1:6" x14ac:dyDescent="0.35">
      <c r="A231" s="4"/>
      <c r="B231" s="17"/>
      <c r="C231" s="5"/>
      <c r="D231" s="5"/>
      <c r="E231" s="6"/>
      <c r="F231" s="5"/>
    </row>
    <row r="232" spans="1:6" x14ac:dyDescent="0.35">
      <c r="A232" s="4"/>
      <c r="B232" s="17"/>
      <c r="C232" s="5"/>
      <c r="D232" s="5"/>
      <c r="E232" s="6"/>
      <c r="F232" s="5"/>
    </row>
    <row r="233" spans="1:6" x14ac:dyDescent="0.35">
      <c r="A233" s="4"/>
      <c r="B233" s="17"/>
      <c r="C233" s="5"/>
      <c r="D233" s="5"/>
      <c r="E233" s="6"/>
      <c r="F233" s="5"/>
    </row>
    <row r="234" spans="1:6" x14ac:dyDescent="0.35">
      <c r="A234" s="4"/>
      <c r="B234" s="17"/>
      <c r="C234" s="5"/>
      <c r="D234" s="5"/>
      <c r="E234" s="6"/>
      <c r="F234" s="5"/>
    </row>
    <row r="235" spans="1:6" x14ac:dyDescent="0.35">
      <c r="A235" s="4"/>
      <c r="B235" s="17"/>
      <c r="C235" s="5"/>
      <c r="D235" s="5"/>
      <c r="E235" s="6"/>
      <c r="F235" s="5"/>
    </row>
    <row r="236" spans="1:6" x14ac:dyDescent="0.35">
      <c r="A236" s="4"/>
      <c r="B236" s="17"/>
      <c r="C236" s="5"/>
      <c r="D236" s="5"/>
      <c r="E236" s="6"/>
      <c r="F236" s="5"/>
    </row>
    <row r="237" spans="1:6" x14ac:dyDescent="0.35">
      <c r="A237" s="4"/>
      <c r="B237" s="17"/>
      <c r="C237" s="5"/>
      <c r="D237" s="5"/>
      <c r="E237" s="6"/>
      <c r="F237" s="5"/>
    </row>
    <row r="238" spans="1:6" x14ac:dyDescent="0.35">
      <c r="A238" s="4"/>
      <c r="B238" s="17"/>
      <c r="C238" s="5"/>
      <c r="D238" s="5"/>
      <c r="E238" s="6"/>
      <c r="F238" s="5"/>
    </row>
    <row r="239" spans="1:6" x14ac:dyDescent="0.35">
      <c r="A239" s="4"/>
      <c r="B239" s="17"/>
      <c r="C239" s="5"/>
      <c r="D239" s="5"/>
      <c r="E239" s="6"/>
      <c r="F239" s="5"/>
    </row>
    <row r="240" spans="1:6" x14ac:dyDescent="0.35">
      <c r="A240" s="4"/>
      <c r="B240" s="17"/>
      <c r="C240" s="5"/>
      <c r="D240" s="5"/>
      <c r="E240" s="6"/>
      <c r="F240" s="5"/>
    </row>
    <row r="241" spans="1:6" x14ac:dyDescent="0.35">
      <c r="A241" s="4"/>
      <c r="B241" s="17"/>
      <c r="C241" s="5"/>
      <c r="D241" s="5"/>
      <c r="E241" s="6"/>
      <c r="F241" s="5"/>
    </row>
    <row r="242" spans="1:6" x14ac:dyDescent="0.35">
      <c r="A242" s="4"/>
      <c r="B242" s="17"/>
      <c r="C242" s="5"/>
      <c r="D242" s="5"/>
      <c r="E242" s="6"/>
      <c r="F242" s="5"/>
    </row>
    <row r="243" spans="1:6" x14ac:dyDescent="0.35">
      <c r="A243" s="4"/>
      <c r="B243" s="17"/>
      <c r="C243" s="5"/>
      <c r="D243" s="5"/>
      <c r="E243" s="6"/>
      <c r="F243" s="5"/>
    </row>
    <row r="244" spans="1:6" x14ac:dyDescent="0.35">
      <c r="A244" s="4"/>
      <c r="B244" s="17"/>
      <c r="C244" s="5"/>
      <c r="D244" s="5"/>
      <c r="E244" s="6"/>
      <c r="F244" s="5"/>
    </row>
    <row r="245" spans="1:6" x14ac:dyDescent="0.35">
      <c r="A245" s="4"/>
      <c r="B245" s="17"/>
      <c r="C245" s="5"/>
      <c r="D245" s="5"/>
      <c r="E245" s="6"/>
      <c r="F245" s="5"/>
    </row>
    <row r="246" spans="1:6" x14ac:dyDescent="0.35">
      <c r="A246" s="4"/>
      <c r="B246" s="17"/>
      <c r="C246" s="5"/>
      <c r="D246" s="5"/>
      <c r="E246" s="6"/>
      <c r="F246" s="5"/>
    </row>
    <row r="247" spans="1:6" x14ac:dyDescent="0.35">
      <c r="A247" s="4"/>
      <c r="B247" s="17"/>
      <c r="C247" s="5"/>
      <c r="D247" s="5"/>
      <c r="E247" s="6"/>
      <c r="F247" s="5"/>
    </row>
    <row r="248" spans="1:6" x14ac:dyDescent="0.35">
      <c r="A248" s="4"/>
      <c r="B248" s="17"/>
      <c r="C248" s="5"/>
      <c r="D248" s="5"/>
      <c r="E248" s="6"/>
      <c r="F248" s="5"/>
    </row>
    <row r="249" spans="1:6" x14ac:dyDescent="0.35">
      <c r="A249" s="4"/>
      <c r="B249" s="17"/>
      <c r="C249" s="5"/>
      <c r="D249" s="5"/>
      <c r="E249" s="6"/>
      <c r="F249" s="5"/>
    </row>
    <row r="250" spans="1:6" x14ac:dyDescent="0.35">
      <c r="A250" s="4"/>
      <c r="B250" s="17"/>
      <c r="C250" s="5"/>
      <c r="D250" s="5"/>
      <c r="E250" s="6"/>
      <c r="F250" s="5"/>
    </row>
    <row r="251" spans="1:6" x14ac:dyDescent="0.35">
      <c r="A251" s="4"/>
      <c r="B251" s="17"/>
      <c r="C251" s="5"/>
      <c r="D251" s="5"/>
      <c r="E251" s="6"/>
      <c r="F251" s="5"/>
    </row>
  </sheetData>
  <autoFilter ref="A3:F197" xr:uid="{253CD2B7-FAB6-4E5A-818A-63D3B14C9CA7}">
    <sortState xmlns:xlrd2="http://schemas.microsoft.com/office/spreadsheetml/2017/richdata2" ref="A4:F197">
      <sortCondition descending="1" ref="B3:B197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Outstanding_claims (2)</vt:lpstr>
      <vt:lpstr>Outstanding_claims</vt:lpstr>
      <vt:lpstr>Outstanding claims remaining</vt:lpstr>
      <vt:lpstr>Matched_claims</vt:lpstr>
      <vt:lpstr>Outstanding claims 2026-07-13</vt:lpstr>
      <vt:lpstr>'Outstanding claims 2026-07-13'!Print_Titles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2026-07-10T07:36:24Z</dcterms:created>
  <dcterms:modified xsi:type="dcterms:W3CDTF">2026-07-13T15:16:45Z</dcterms:modified>
</cp:coreProperties>
</file>
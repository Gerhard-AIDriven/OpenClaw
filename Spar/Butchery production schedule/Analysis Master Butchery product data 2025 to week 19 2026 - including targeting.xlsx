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"/>
    </mc:Choice>
  </mc:AlternateContent>
  <xr:revisionPtr revIDLastSave="0" documentId="13_ncr:1_{8200E7F5-0A44-4299-8A49-5F72B1DFE716}" xr6:coauthVersionLast="47" xr6:coauthVersionMax="47" xr10:uidLastSave="{00000000-0000-0000-0000-000000000000}"/>
  <bookViews>
    <workbookView xWindow="-110" yWindow="-110" windowWidth="19420" windowHeight="10300" activeTab="1" xr2:uid="{34BDD746-C9AA-4D47-8D5A-560B1C8CB3E8}"/>
  </bookViews>
  <sheets>
    <sheet name="Data" sheetId="1" r:id="rId1"/>
    <sheet name="2025 vs 2026 Analysis" sheetId="3" r:id="rId2"/>
    <sheet name="Target Setting" sheetId="9" r:id="rId3"/>
    <sheet name="Target Setting Insights" sheetId="10" r:id="rId4"/>
    <sheet name="Week Mapping" sheetId="12" r:id="rId5"/>
    <sheet name="Lookup" sheetId="2" r:id="rId6"/>
  </sheets>
  <definedNames>
    <definedName name="_xlnm._FilterDatabase" localSheetId="1" hidden="1">'2025 vs 2026 Analysis'!$A$1:$M$554</definedName>
    <definedName name="WeeksList">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5" i="9" l="1"/>
  <c r="Q168" i="9"/>
  <c r="Q158" i="9"/>
  <c r="Q123" i="9"/>
  <c r="Q120" i="9"/>
  <c r="Q117" i="9"/>
  <c r="Q114" i="9"/>
  <c r="Q111" i="9"/>
  <c r="Q80" i="9"/>
  <c r="Q75" i="9"/>
  <c r="Q62" i="9"/>
  <c r="Q43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7" i="9"/>
  <c r="Q166" i="9"/>
  <c r="Q165" i="9"/>
  <c r="Q164" i="9"/>
  <c r="Q163" i="9"/>
  <c r="Q162" i="9"/>
  <c r="Q161" i="9"/>
  <c r="Q160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2" i="9"/>
  <c r="Q119" i="9"/>
  <c r="Q116" i="9"/>
  <c r="Q113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79" i="9"/>
  <c r="Q78" i="9"/>
  <c r="Q77" i="9"/>
  <c r="Q74" i="9"/>
  <c r="Q73" i="9"/>
  <c r="Q72" i="9"/>
  <c r="Q71" i="9"/>
  <c r="Q70" i="9"/>
  <c r="Q69" i="9"/>
  <c r="Q68" i="9"/>
  <c r="Q67" i="9"/>
  <c r="Q66" i="9"/>
  <c r="Q65" i="9"/>
  <c r="Q64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0" i="9"/>
  <c r="Q9" i="9"/>
  <c r="Q8" i="9"/>
  <c r="Q11" i="9" s="1"/>
  <c r="Q187" i="9" s="1"/>
  <c r="O6" i="9"/>
  <c r="M6" i="9"/>
  <c r="K6" i="9"/>
  <c r="O187" i="9"/>
  <c r="P187" i="9"/>
  <c r="O185" i="9"/>
  <c r="P185" i="9"/>
  <c r="P170" i="9" a="1"/>
  <c r="P170" i="9" s="1"/>
  <c r="P171" i="9" a="1"/>
  <c r="P171" i="9" s="1"/>
  <c r="P172" i="9" a="1"/>
  <c r="P172" i="9" s="1"/>
  <c r="P173" i="9" a="1"/>
  <c r="P173" i="9"/>
  <c r="P174" i="9" a="1"/>
  <c r="P174" i="9" s="1"/>
  <c r="P175" i="9" a="1"/>
  <c r="P175" i="9" s="1"/>
  <c r="P176" i="9" a="1"/>
  <c r="P176" i="9" s="1"/>
  <c r="P177" i="9" a="1"/>
  <c r="P177" i="9"/>
  <c r="P178" i="9" a="1"/>
  <c r="P178" i="9" s="1"/>
  <c r="P179" i="9" a="1"/>
  <c r="P179" i="9" s="1"/>
  <c r="P180" i="9" a="1"/>
  <c r="P180" i="9" s="1"/>
  <c r="P181" i="9" a="1"/>
  <c r="P181" i="9"/>
  <c r="P182" i="9" a="1"/>
  <c r="P182" i="9" s="1"/>
  <c r="P183" i="9" a="1"/>
  <c r="P183" i="9" s="1"/>
  <c r="P184" i="9" a="1"/>
  <c r="P184" i="9" s="1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68" i="9"/>
  <c r="P168" i="9"/>
  <c r="P160" i="9" a="1"/>
  <c r="P160" i="9" s="1"/>
  <c r="P161" i="9" a="1"/>
  <c r="P161" i="9" s="1"/>
  <c r="P162" i="9" a="1"/>
  <c r="P162" i="9" s="1"/>
  <c r="P163" i="9" a="1"/>
  <c r="P163" i="9"/>
  <c r="P164" i="9" a="1"/>
  <c r="P164" i="9" s="1"/>
  <c r="P165" i="9" a="1"/>
  <c r="P165" i="9" s="1"/>
  <c r="P166" i="9" a="1"/>
  <c r="P166" i="9" s="1"/>
  <c r="P167" i="9" a="1"/>
  <c r="P167" i="9"/>
  <c r="O160" i="9"/>
  <c r="O161" i="9"/>
  <c r="O162" i="9"/>
  <c r="O163" i="9"/>
  <c r="O164" i="9"/>
  <c r="O165" i="9"/>
  <c r="O166" i="9"/>
  <c r="O167" i="9"/>
  <c r="O158" i="9"/>
  <c r="P158" i="9"/>
  <c r="P125" i="9" a="1"/>
  <c r="P125" i="9" s="1"/>
  <c r="P126" i="9" a="1"/>
  <c r="P126" i="9" s="1"/>
  <c r="P127" i="9" a="1"/>
  <c r="P127" i="9" s="1"/>
  <c r="P128" i="9" a="1"/>
  <c r="P128" i="9" s="1"/>
  <c r="P129" i="9" a="1"/>
  <c r="P129" i="9" s="1"/>
  <c r="P130" i="9" a="1"/>
  <c r="P130" i="9" s="1"/>
  <c r="P131" i="9" a="1"/>
  <c r="P131" i="9" s="1"/>
  <c r="P132" i="9" a="1"/>
  <c r="P132" i="9" s="1"/>
  <c r="P133" i="9" a="1"/>
  <c r="P133" i="9" s="1"/>
  <c r="P134" i="9" a="1"/>
  <c r="P134" i="9" s="1"/>
  <c r="P135" i="9" a="1"/>
  <c r="P135" i="9" s="1"/>
  <c r="P136" i="9" a="1"/>
  <c r="P136" i="9" s="1"/>
  <c r="P137" i="9" a="1"/>
  <c r="P137" i="9" s="1"/>
  <c r="P138" i="9" a="1"/>
  <c r="P138" i="9" s="1"/>
  <c r="P139" i="9" a="1"/>
  <c r="P139" i="9" s="1"/>
  <c r="P140" i="9" a="1"/>
  <c r="P140" i="9" s="1"/>
  <c r="P141" i="9" a="1"/>
  <c r="P141" i="9" s="1"/>
  <c r="P142" i="9" a="1"/>
  <c r="P142" i="9" s="1"/>
  <c r="P143" i="9" a="1"/>
  <c r="P143" i="9" s="1"/>
  <c r="P144" i="9" a="1"/>
  <c r="P144" i="9" s="1"/>
  <c r="P145" i="9" a="1"/>
  <c r="P145" i="9" s="1"/>
  <c r="P146" i="9" a="1"/>
  <c r="P146" i="9" s="1"/>
  <c r="P147" i="9" a="1"/>
  <c r="P147" i="9" s="1"/>
  <c r="P148" i="9" a="1"/>
  <c r="P148" i="9" s="1"/>
  <c r="P149" i="9" a="1"/>
  <c r="P149" i="9" s="1"/>
  <c r="P150" i="9" a="1"/>
  <c r="P150" i="9" s="1"/>
  <c r="P151" i="9" a="1"/>
  <c r="P151" i="9" s="1"/>
  <c r="P152" i="9" a="1"/>
  <c r="P152" i="9" s="1"/>
  <c r="P153" i="9" a="1"/>
  <c r="P153" i="9" s="1"/>
  <c r="P154" i="9" a="1"/>
  <c r="P154" i="9" s="1"/>
  <c r="P155" i="9" a="1"/>
  <c r="P155" i="9" s="1"/>
  <c r="P156" i="9" a="1"/>
  <c r="P156" i="9" s="1"/>
  <c r="P157" i="9" a="1"/>
  <c r="P157" i="9" s="1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23" i="9"/>
  <c r="P123" i="9"/>
  <c r="P122" i="9" a="1"/>
  <c r="P122" i="9" s="1"/>
  <c r="O122" i="9"/>
  <c r="O120" i="9"/>
  <c r="P120" i="9"/>
  <c r="P119" i="9" a="1"/>
  <c r="P119" i="9" s="1"/>
  <c r="O119" i="9"/>
  <c r="O117" i="9"/>
  <c r="P117" i="9"/>
  <c r="P116" i="9" a="1"/>
  <c r="P116" i="9" s="1"/>
  <c r="O116" i="9"/>
  <c r="O114" i="9"/>
  <c r="P114" i="9"/>
  <c r="P113" i="9" a="1"/>
  <c r="P113" i="9" s="1"/>
  <c r="O113" i="9"/>
  <c r="O111" i="9"/>
  <c r="P111" i="9"/>
  <c r="P82" i="9" a="1"/>
  <c r="P82" i="9" s="1"/>
  <c r="P83" i="9" a="1"/>
  <c r="P83" i="9" s="1"/>
  <c r="P84" i="9" a="1"/>
  <c r="P84" i="9" s="1"/>
  <c r="P85" i="9" a="1"/>
  <c r="P85" i="9" s="1"/>
  <c r="P86" i="9" a="1"/>
  <c r="P86" i="9" s="1"/>
  <c r="P87" i="9" a="1"/>
  <c r="P87" i="9" s="1"/>
  <c r="P88" i="9" a="1"/>
  <c r="P88" i="9" s="1"/>
  <c r="P89" i="9" a="1"/>
  <c r="P89" i="9" s="1"/>
  <c r="P90" i="9" a="1"/>
  <c r="P90" i="9" s="1"/>
  <c r="P91" i="9" a="1"/>
  <c r="P91" i="9" s="1"/>
  <c r="P92" i="9" a="1"/>
  <c r="P92" i="9" s="1"/>
  <c r="P93" i="9" a="1"/>
  <c r="P93" i="9" s="1"/>
  <c r="P94" i="9" a="1"/>
  <c r="P94" i="9" s="1"/>
  <c r="P95" i="9" a="1"/>
  <c r="P95" i="9" s="1"/>
  <c r="P96" i="9" a="1"/>
  <c r="P96" i="9" s="1"/>
  <c r="P97" i="9" a="1"/>
  <c r="P97" i="9" s="1"/>
  <c r="P98" i="9" a="1"/>
  <c r="P98" i="9" s="1"/>
  <c r="P99" i="9" a="1"/>
  <c r="P99" i="9" s="1"/>
  <c r="P100" i="9" a="1"/>
  <c r="P100" i="9" s="1"/>
  <c r="P101" i="9" a="1"/>
  <c r="P101" i="9" s="1"/>
  <c r="P102" i="9" a="1"/>
  <c r="P102" i="9" s="1"/>
  <c r="P103" i="9" a="1"/>
  <c r="P103" i="9" s="1"/>
  <c r="P104" i="9" a="1"/>
  <c r="P104" i="9" s="1"/>
  <c r="P105" i="9" a="1"/>
  <c r="P105" i="9" s="1"/>
  <c r="P106" i="9" a="1"/>
  <c r="P106" i="9" s="1"/>
  <c r="P107" i="9" a="1"/>
  <c r="P107" i="9" s="1"/>
  <c r="P108" i="9" a="1"/>
  <c r="P108" i="9" s="1"/>
  <c r="P109" i="9" a="1"/>
  <c r="P109" i="9" s="1"/>
  <c r="P110" i="9" a="1"/>
  <c r="P110" i="9" s="1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80" i="9"/>
  <c r="P80" i="9"/>
  <c r="P77" i="9" a="1"/>
  <c r="P77" i="9" s="1"/>
  <c r="P78" i="9" a="1"/>
  <c r="P78" i="9" s="1"/>
  <c r="P79" i="9" a="1"/>
  <c r="P79" i="9" s="1"/>
  <c r="O77" i="9"/>
  <c r="O78" i="9"/>
  <c r="O79" i="9"/>
  <c r="O75" i="9"/>
  <c r="P75" i="9"/>
  <c r="P64" i="9" a="1"/>
  <c r="P64" i="9" s="1"/>
  <c r="P65" i="9" a="1"/>
  <c r="P65" i="9" s="1"/>
  <c r="P66" i="9" a="1"/>
  <c r="P66" i="9" s="1"/>
  <c r="P67" i="9" a="1"/>
  <c r="P67" i="9"/>
  <c r="P68" i="9" a="1"/>
  <c r="P68" i="9" s="1"/>
  <c r="P69" i="9" a="1"/>
  <c r="P69" i="9" s="1"/>
  <c r="P70" i="9" a="1"/>
  <c r="P70" i="9" s="1"/>
  <c r="P71" i="9" a="1"/>
  <c r="P71" i="9"/>
  <c r="P72" i="9" a="1"/>
  <c r="P72" i="9" s="1"/>
  <c r="P73" i="9" a="1"/>
  <c r="P73" i="9" s="1"/>
  <c r="P74" i="9" a="1"/>
  <c r="P74" i="9" s="1"/>
  <c r="O64" i="9"/>
  <c r="O65" i="9"/>
  <c r="O66" i="9"/>
  <c r="O67" i="9"/>
  <c r="O68" i="9"/>
  <c r="O69" i="9"/>
  <c r="O70" i="9"/>
  <c r="O71" i="9"/>
  <c r="O72" i="9"/>
  <c r="O73" i="9"/>
  <c r="O74" i="9"/>
  <c r="O62" i="9"/>
  <c r="P62" i="9"/>
  <c r="P45" i="9" a="1"/>
  <c r="P45" i="9" s="1"/>
  <c r="P46" i="9" a="1"/>
  <c r="P46" i="9" s="1"/>
  <c r="P47" i="9" a="1"/>
  <c r="P47" i="9" s="1"/>
  <c r="P48" i="9" a="1"/>
  <c r="P48" i="9" s="1"/>
  <c r="P49" i="9" a="1"/>
  <c r="P49" i="9" s="1"/>
  <c r="P50" i="9" a="1"/>
  <c r="P50" i="9" s="1"/>
  <c r="P51" i="9" a="1"/>
  <c r="P51" i="9" s="1"/>
  <c r="P52" i="9" a="1"/>
  <c r="P52" i="9" s="1"/>
  <c r="P53" i="9" a="1"/>
  <c r="P53" i="9" s="1"/>
  <c r="P54" i="9" a="1"/>
  <c r="P54" i="9" s="1"/>
  <c r="P55" i="9" a="1"/>
  <c r="P55" i="9" s="1"/>
  <c r="P56" i="9" a="1"/>
  <c r="P56" i="9" s="1"/>
  <c r="P57" i="9" a="1"/>
  <c r="P57" i="9" s="1"/>
  <c r="P58" i="9" a="1"/>
  <c r="P58" i="9" s="1"/>
  <c r="P59" i="9" a="1"/>
  <c r="P59" i="9" s="1"/>
  <c r="P60" i="9" a="1"/>
  <c r="P60" i="9" s="1"/>
  <c r="P61" i="9" a="1"/>
  <c r="P61" i="9" s="1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43" i="9"/>
  <c r="P43" i="9"/>
  <c r="P13" i="9" a="1"/>
  <c r="P13" i="9" s="1"/>
  <c r="P14" i="9" a="1"/>
  <c r="P14" i="9" s="1"/>
  <c r="P15" i="9" a="1"/>
  <c r="P15" i="9" s="1"/>
  <c r="P16" i="9" a="1"/>
  <c r="P16" i="9" s="1"/>
  <c r="P17" i="9" a="1"/>
  <c r="P17" i="9" s="1"/>
  <c r="P18" i="9" a="1"/>
  <c r="P18" i="9" s="1"/>
  <c r="P19" i="9" a="1"/>
  <c r="P19" i="9" s="1"/>
  <c r="P20" i="9" a="1"/>
  <c r="P20" i="9" s="1"/>
  <c r="P21" i="9" a="1"/>
  <c r="P21" i="9" s="1"/>
  <c r="P22" i="9" a="1"/>
  <c r="P22" i="9" s="1"/>
  <c r="P23" i="9" a="1"/>
  <c r="P23" i="9" s="1"/>
  <c r="P24" i="9" a="1"/>
  <c r="P24" i="9" s="1"/>
  <c r="P25" i="9" a="1"/>
  <c r="P25" i="9" s="1"/>
  <c r="P26" i="9" a="1"/>
  <c r="P26" i="9" s="1"/>
  <c r="P27" i="9" a="1"/>
  <c r="P27" i="9" s="1"/>
  <c r="P28" i="9" a="1"/>
  <c r="P28" i="9" s="1"/>
  <c r="P29" i="9" a="1"/>
  <c r="P29" i="9" s="1"/>
  <c r="P30" i="9" a="1"/>
  <c r="P30" i="9" s="1"/>
  <c r="P31" i="9" a="1"/>
  <c r="P31" i="9" s="1"/>
  <c r="P32" i="9" a="1"/>
  <c r="P32" i="9" s="1"/>
  <c r="P33" i="9" a="1"/>
  <c r="P33" i="9" s="1"/>
  <c r="P34" i="9" a="1"/>
  <c r="P34" i="9" s="1"/>
  <c r="P35" i="9" a="1"/>
  <c r="P35" i="9" s="1"/>
  <c r="P36" i="9" a="1"/>
  <c r="P36" i="9" s="1"/>
  <c r="P37" i="9" a="1"/>
  <c r="P37" i="9" s="1"/>
  <c r="P38" i="9" a="1"/>
  <c r="P38" i="9" s="1"/>
  <c r="P39" i="9" a="1"/>
  <c r="P39" i="9" s="1"/>
  <c r="P40" i="9" a="1"/>
  <c r="P40" i="9" s="1"/>
  <c r="P41" i="9" a="1"/>
  <c r="P41" i="9" s="1"/>
  <c r="P42" i="9" a="1"/>
  <c r="P42" i="9" s="1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11" i="9"/>
  <c r="P11" i="9"/>
  <c r="P8" i="9" a="1"/>
  <c r="P8" i="9" s="1"/>
  <c r="P9" i="9" a="1"/>
  <c r="P9" i="9" s="1"/>
  <c r="P10" i="9" a="1"/>
  <c r="P10" i="9" s="1"/>
  <c r="O8" i="9"/>
  <c r="O9" i="9"/>
  <c r="O10" i="9"/>
  <c r="M5" i="9"/>
  <c r="I3" i="3"/>
  <c r="J3" i="3"/>
  <c r="I4" i="3"/>
  <c r="J4" i="3"/>
  <c r="I5" i="3"/>
  <c r="J5" i="3"/>
  <c r="I6" i="3"/>
  <c r="J6" i="3"/>
  <c r="L6" i="3" s="1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L22" i="3" s="1"/>
  <c r="I23" i="3"/>
  <c r="J23" i="3"/>
  <c r="I24" i="3"/>
  <c r="J24" i="3"/>
  <c r="I25" i="3"/>
  <c r="J25" i="3"/>
  <c r="I26" i="3"/>
  <c r="J26" i="3"/>
  <c r="L26" i="3" s="1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K50" i="3" s="1"/>
  <c r="I51" i="3"/>
  <c r="J51" i="3"/>
  <c r="I52" i="3"/>
  <c r="J52" i="3"/>
  <c r="I53" i="3"/>
  <c r="J53" i="3"/>
  <c r="I54" i="3"/>
  <c r="J54" i="3"/>
  <c r="L54" i="3" s="1"/>
  <c r="I55" i="3"/>
  <c r="J55" i="3"/>
  <c r="I56" i="3"/>
  <c r="J56" i="3"/>
  <c r="I57" i="3"/>
  <c r="J57" i="3"/>
  <c r="I58" i="3"/>
  <c r="J58" i="3"/>
  <c r="K58" i="3" s="1"/>
  <c r="I59" i="3"/>
  <c r="J59" i="3"/>
  <c r="I60" i="3"/>
  <c r="J60" i="3"/>
  <c r="I61" i="3"/>
  <c r="J61" i="3"/>
  <c r="I62" i="3"/>
  <c r="J62" i="3"/>
  <c r="K62" i="3" s="1"/>
  <c r="I63" i="3"/>
  <c r="J63" i="3"/>
  <c r="I64" i="3"/>
  <c r="J64" i="3"/>
  <c r="I65" i="3"/>
  <c r="J65" i="3"/>
  <c r="I66" i="3"/>
  <c r="J66" i="3"/>
  <c r="L66" i="3" s="1"/>
  <c r="I67" i="3"/>
  <c r="J67" i="3"/>
  <c r="I68" i="3"/>
  <c r="J68" i="3"/>
  <c r="I69" i="3"/>
  <c r="J69" i="3"/>
  <c r="I70" i="3"/>
  <c r="J70" i="3"/>
  <c r="K70" i="3" s="1"/>
  <c r="I71" i="3"/>
  <c r="J71" i="3"/>
  <c r="I72" i="3"/>
  <c r="J72" i="3"/>
  <c r="I73" i="3"/>
  <c r="J73" i="3"/>
  <c r="I74" i="3"/>
  <c r="J74" i="3"/>
  <c r="L74" i="3" s="1"/>
  <c r="I75" i="3"/>
  <c r="J75" i="3"/>
  <c r="I76" i="3"/>
  <c r="J76" i="3"/>
  <c r="I77" i="3"/>
  <c r="J77" i="3"/>
  <c r="I78" i="3"/>
  <c r="J78" i="3"/>
  <c r="L78" i="3" s="1"/>
  <c r="I79" i="3"/>
  <c r="J79" i="3"/>
  <c r="I80" i="3"/>
  <c r="J80" i="3"/>
  <c r="I81" i="3"/>
  <c r="J81" i="3"/>
  <c r="I82" i="3"/>
  <c r="J82" i="3"/>
  <c r="L82" i="3" s="1"/>
  <c r="I83" i="3"/>
  <c r="J83" i="3"/>
  <c r="I84" i="3"/>
  <c r="J84" i="3"/>
  <c r="I85" i="3"/>
  <c r="J85" i="3"/>
  <c r="I86" i="3"/>
  <c r="J86" i="3"/>
  <c r="K86" i="3" s="1"/>
  <c r="I87" i="3"/>
  <c r="J87" i="3"/>
  <c r="I88" i="3"/>
  <c r="J88" i="3"/>
  <c r="I89" i="3"/>
  <c r="J89" i="3"/>
  <c r="I90" i="3"/>
  <c r="J90" i="3"/>
  <c r="K90" i="3" s="1"/>
  <c r="I91" i="3"/>
  <c r="J91" i="3"/>
  <c r="I92" i="3"/>
  <c r="J92" i="3"/>
  <c r="I93" i="3"/>
  <c r="J93" i="3"/>
  <c r="I94" i="3"/>
  <c r="J94" i="3"/>
  <c r="K94" i="3" s="1"/>
  <c r="I95" i="3"/>
  <c r="J95" i="3"/>
  <c r="I96" i="3"/>
  <c r="J96" i="3"/>
  <c r="I97" i="3"/>
  <c r="J97" i="3"/>
  <c r="I98" i="3"/>
  <c r="J98" i="3"/>
  <c r="K98" i="3" s="1"/>
  <c r="I99" i="3"/>
  <c r="J99" i="3"/>
  <c r="I100" i="3"/>
  <c r="J100" i="3"/>
  <c r="I101" i="3"/>
  <c r="J101" i="3"/>
  <c r="I102" i="3"/>
  <c r="J102" i="3"/>
  <c r="L102" i="3" s="1"/>
  <c r="I103" i="3"/>
  <c r="J103" i="3"/>
  <c r="I104" i="3"/>
  <c r="J104" i="3"/>
  <c r="I105" i="3"/>
  <c r="J105" i="3"/>
  <c r="I106" i="3"/>
  <c r="J106" i="3"/>
  <c r="L106" i="3" s="1"/>
  <c r="I107" i="3"/>
  <c r="J107" i="3"/>
  <c r="I108" i="3"/>
  <c r="J108" i="3"/>
  <c r="I109" i="3"/>
  <c r="J109" i="3"/>
  <c r="I110" i="3"/>
  <c r="J110" i="3"/>
  <c r="L110" i="3" s="1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L118" i="3" s="1"/>
  <c r="I119" i="3"/>
  <c r="J119" i="3"/>
  <c r="I120" i="3"/>
  <c r="J120" i="3"/>
  <c r="I121" i="3"/>
  <c r="J121" i="3"/>
  <c r="I122" i="3"/>
  <c r="J122" i="3"/>
  <c r="L122" i="3" s="1"/>
  <c r="I123" i="3"/>
  <c r="J123" i="3"/>
  <c r="I124" i="3"/>
  <c r="J124" i="3"/>
  <c r="I125" i="3"/>
  <c r="J125" i="3"/>
  <c r="I126" i="3"/>
  <c r="J126" i="3"/>
  <c r="L126" i="3" s="1"/>
  <c r="I127" i="3"/>
  <c r="J127" i="3"/>
  <c r="I128" i="3"/>
  <c r="J128" i="3"/>
  <c r="I129" i="3"/>
  <c r="J129" i="3"/>
  <c r="I130" i="3"/>
  <c r="J130" i="3"/>
  <c r="L130" i="3" s="1"/>
  <c r="I131" i="3"/>
  <c r="J131" i="3"/>
  <c r="I132" i="3"/>
  <c r="J132" i="3"/>
  <c r="I133" i="3"/>
  <c r="J133" i="3"/>
  <c r="I134" i="3"/>
  <c r="J134" i="3"/>
  <c r="L134" i="3" s="1"/>
  <c r="I135" i="3"/>
  <c r="J135" i="3"/>
  <c r="I136" i="3"/>
  <c r="J136" i="3"/>
  <c r="I137" i="3"/>
  <c r="J137" i="3"/>
  <c r="I138" i="3"/>
  <c r="J138" i="3"/>
  <c r="L138" i="3" s="1"/>
  <c r="I139" i="3"/>
  <c r="J139" i="3"/>
  <c r="I140" i="3"/>
  <c r="J140" i="3"/>
  <c r="I141" i="3"/>
  <c r="J141" i="3"/>
  <c r="I142" i="3"/>
  <c r="J142" i="3"/>
  <c r="L142" i="3" s="1"/>
  <c r="I143" i="3"/>
  <c r="J143" i="3"/>
  <c r="I144" i="3"/>
  <c r="J144" i="3"/>
  <c r="I145" i="3"/>
  <c r="J145" i="3"/>
  <c r="I146" i="3"/>
  <c r="J146" i="3"/>
  <c r="L146" i="3" s="1"/>
  <c r="I147" i="3"/>
  <c r="J147" i="3"/>
  <c r="I148" i="3"/>
  <c r="J148" i="3"/>
  <c r="I149" i="3"/>
  <c r="J149" i="3"/>
  <c r="I150" i="3"/>
  <c r="J150" i="3"/>
  <c r="L150" i="3" s="1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L158" i="3" s="1"/>
  <c r="I159" i="3"/>
  <c r="J159" i="3"/>
  <c r="I160" i="3"/>
  <c r="J160" i="3"/>
  <c r="I161" i="3"/>
  <c r="J161" i="3"/>
  <c r="I162" i="3"/>
  <c r="J162" i="3"/>
  <c r="L162" i="3" s="1"/>
  <c r="I163" i="3"/>
  <c r="J163" i="3"/>
  <c r="I164" i="3"/>
  <c r="J164" i="3"/>
  <c r="I165" i="3"/>
  <c r="J165" i="3"/>
  <c r="I166" i="3"/>
  <c r="J166" i="3"/>
  <c r="L166" i="3" s="1"/>
  <c r="I167" i="3"/>
  <c r="J167" i="3"/>
  <c r="I168" i="3"/>
  <c r="J168" i="3"/>
  <c r="I169" i="3"/>
  <c r="J169" i="3"/>
  <c r="I170" i="3"/>
  <c r="J170" i="3"/>
  <c r="L170" i="3" s="1"/>
  <c r="I171" i="3"/>
  <c r="J171" i="3"/>
  <c r="I172" i="3"/>
  <c r="J172" i="3"/>
  <c r="I173" i="3"/>
  <c r="J173" i="3"/>
  <c r="I174" i="3"/>
  <c r="J174" i="3"/>
  <c r="L174" i="3" s="1"/>
  <c r="I175" i="3"/>
  <c r="J175" i="3"/>
  <c r="I176" i="3"/>
  <c r="J176" i="3"/>
  <c r="I177" i="3"/>
  <c r="J177" i="3"/>
  <c r="I178" i="3"/>
  <c r="J178" i="3"/>
  <c r="L178" i="3" s="1"/>
  <c r="I179" i="3"/>
  <c r="J179" i="3"/>
  <c r="I180" i="3"/>
  <c r="J180" i="3"/>
  <c r="I181" i="3"/>
  <c r="J181" i="3"/>
  <c r="I182" i="3"/>
  <c r="J182" i="3"/>
  <c r="L182" i="3" s="1"/>
  <c r="I183" i="3"/>
  <c r="J183" i="3"/>
  <c r="I184" i="3"/>
  <c r="J184" i="3"/>
  <c r="I185" i="3"/>
  <c r="J185" i="3"/>
  <c r="I186" i="3"/>
  <c r="J186" i="3"/>
  <c r="L186" i="3" s="1"/>
  <c r="I187" i="3"/>
  <c r="J187" i="3"/>
  <c r="I188" i="3"/>
  <c r="J188" i="3"/>
  <c r="I189" i="3"/>
  <c r="J189" i="3"/>
  <c r="I190" i="3"/>
  <c r="J190" i="3"/>
  <c r="L190" i="3" s="1"/>
  <c r="I191" i="3"/>
  <c r="J191" i="3"/>
  <c r="I192" i="3"/>
  <c r="J192" i="3"/>
  <c r="I193" i="3"/>
  <c r="J193" i="3"/>
  <c r="I194" i="3"/>
  <c r="J194" i="3"/>
  <c r="L194" i="3" s="1"/>
  <c r="I195" i="3"/>
  <c r="J195" i="3"/>
  <c r="I196" i="3"/>
  <c r="J196" i="3"/>
  <c r="I197" i="3"/>
  <c r="J197" i="3"/>
  <c r="I198" i="3"/>
  <c r="J198" i="3"/>
  <c r="K198" i="3" s="1"/>
  <c r="I199" i="3"/>
  <c r="J199" i="3"/>
  <c r="I200" i="3"/>
  <c r="J200" i="3"/>
  <c r="I201" i="3"/>
  <c r="J201" i="3"/>
  <c r="I202" i="3"/>
  <c r="J202" i="3"/>
  <c r="L202" i="3" s="1"/>
  <c r="I203" i="3"/>
  <c r="J203" i="3"/>
  <c r="I204" i="3"/>
  <c r="J204" i="3"/>
  <c r="I205" i="3"/>
  <c r="J205" i="3"/>
  <c r="I206" i="3"/>
  <c r="J206" i="3"/>
  <c r="L206" i="3" s="1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L214" i="3" s="1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L222" i="3" s="1"/>
  <c r="I223" i="3"/>
  <c r="J223" i="3"/>
  <c r="I224" i="3"/>
  <c r="J224" i="3"/>
  <c r="I225" i="3"/>
  <c r="J225" i="3"/>
  <c r="I226" i="3"/>
  <c r="J226" i="3"/>
  <c r="L226" i="3" s="1"/>
  <c r="I227" i="3"/>
  <c r="J227" i="3"/>
  <c r="I228" i="3"/>
  <c r="J228" i="3"/>
  <c r="I229" i="3"/>
  <c r="J229" i="3"/>
  <c r="I230" i="3"/>
  <c r="J230" i="3"/>
  <c r="L230" i="3" s="1"/>
  <c r="I231" i="3"/>
  <c r="J231" i="3"/>
  <c r="I232" i="3"/>
  <c r="J232" i="3"/>
  <c r="I233" i="3"/>
  <c r="J233" i="3"/>
  <c r="I234" i="3"/>
  <c r="J234" i="3"/>
  <c r="L234" i="3" s="1"/>
  <c r="I235" i="3"/>
  <c r="J235" i="3"/>
  <c r="I236" i="3"/>
  <c r="J236" i="3"/>
  <c r="I237" i="3"/>
  <c r="J237" i="3"/>
  <c r="I238" i="3"/>
  <c r="J238" i="3"/>
  <c r="L238" i="3" s="1"/>
  <c r="I239" i="3"/>
  <c r="J239" i="3"/>
  <c r="I240" i="3"/>
  <c r="J240" i="3"/>
  <c r="I241" i="3"/>
  <c r="J241" i="3"/>
  <c r="I242" i="3"/>
  <c r="J242" i="3"/>
  <c r="L242" i="3" s="1"/>
  <c r="I243" i="3"/>
  <c r="J243" i="3"/>
  <c r="I244" i="3"/>
  <c r="J244" i="3"/>
  <c r="I245" i="3"/>
  <c r="J245" i="3"/>
  <c r="I246" i="3"/>
  <c r="J246" i="3"/>
  <c r="L246" i="3" s="1"/>
  <c r="I247" i="3"/>
  <c r="J247" i="3"/>
  <c r="I248" i="3"/>
  <c r="J248" i="3"/>
  <c r="I249" i="3"/>
  <c r="J249" i="3"/>
  <c r="I250" i="3"/>
  <c r="J250" i="3"/>
  <c r="L250" i="3" s="1"/>
  <c r="I251" i="3"/>
  <c r="J251" i="3"/>
  <c r="I252" i="3"/>
  <c r="J252" i="3"/>
  <c r="I253" i="3"/>
  <c r="J253" i="3"/>
  <c r="I254" i="3"/>
  <c r="J254" i="3"/>
  <c r="L254" i="3" s="1"/>
  <c r="I255" i="3"/>
  <c r="J255" i="3"/>
  <c r="I256" i="3"/>
  <c r="J256" i="3"/>
  <c r="I257" i="3"/>
  <c r="J257" i="3"/>
  <c r="I258" i="3"/>
  <c r="J258" i="3"/>
  <c r="I259" i="3"/>
  <c r="J259" i="3"/>
  <c r="I260" i="3"/>
  <c r="J260" i="3"/>
  <c r="I261" i="3"/>
  <c r="J261" i="3"/>
  <c r="I262" i="3"/>
  <c r="J262" i="3"/>
  <c r="I263" i="3"/>
  <c r="J263" i="3"/>
  <c r="I264" i="3"/>
  <c r="J264" i="3"/>
  <c r="I265" i="3"/>
  <c r="J265" i="3"/>
  <c r="I266" i="3"/>
  <c r="J266" i="3"/>
  <c r="L266" i="3" s="1"/>
  <c r="I267" i="3"/>
  <c r="J267" i="3"/>
  <c r="I268" i="3"/>
  <c r="J268" i="3"/>
  <c r="I269" i="3"/>
  <c r="J269" i="3"/>
  <c r="I270" i="3"/>
  <c r="J270" i="3"/>
  <c r="L270" i="3" s="1"/>
  <c r="I271" i="3"/>
  <c r="J271" i="3"/>
  <c r="I272" i="3"/>
  <c r="J272" i="3"/>
  <c r="I273" i="3"/>
  <c r="J273" i="3"/>
  <c r="I274" i="3"/>
  <c r="J274" i="3"/>
  <c r="K274" i="3" s="1"/>
  <c r="I275" i="3"/>
  <c r="J275" i="3"/>
  <c r="I276" i="3"/>
  <c r="J276" i="3"/>
  <c r="I277" i="3"/>
  <c r="J277" i="3"/>
  <c r="I278" i="3"/>
  <c r="J278" i="3"/>
  <c r="L278" i="3" s="1"/>
  <c r="I279" i="3"/>
  <c r="J279" i="3"/>
  <c r="I280" i="3"/>
  <c r="J280" i="3"/>
  <c r="I281" i="3"/>
  <c r="J281" i="3"/>
  <c r="I282" i="3"/>
  <c r="J282" i="3"/>
  <c r="K282" i="3" s="1"/>
  <c r="I283" i="3"/>
  <c r="J283" i="3"/>
  <c r="I284" i="3"/>
  <c r="J284" i="3"/>
  <c r="I285" i="3"/>
  <c r="J285" i="3"/>
  <c r="I286" i="3"/>
  <c r="J286" i="3"/>
  <c r="L286" i="3" s="1"/>
  <c r="I287" i="3"/>
  <c r="J287" i="3"/>
  <c r="I288" i="3"/>
  <c r="J288" i="3"/>
  <c r="I289" i="3"/>
  <c r="J289" i="3"/>
  <c r="I290" i="3"/>
  <c r="J290" i="3"/>
  <c r="L290" i="3" s="1"/>
  <c r="I291" i="3"/>
  <c r="J291" i="3"/>
  <c r="I292" i="3"/>
  <c r="J292" i="3"/>
  <c r="I293" i="3"/>
  <c r="J293" i="3"/>
  <c r="I294" i="3"/>
  <c r="J294" i="3"/>
  <c r="L294" i="3" s="1"/>
  <c r="I295" i="3"/>
  <c r="J295" i="3"/>
  <c r="I296" i="3"/>
  <c r="J296" i="3"/>
  <c r="I297" i="3"/>
  <c r="J297" i="3"/>
  <c r="I298" i="3"/>
  <c r="J298" i="3"/>
  <c r="L298" i="3" s="1"/>
  <c r="I299" i="3"/>
  <c r="J299" i="3"/>
  <c r="I300" i="3"/>
  <c r="J300" i="3"/>
  <c r="I301" i="3"/>
  <c r="J301" i="3"/>
  <c r="I302" i="3"/>
  <c r="J302" i="3"/>
  <c r="L302" i="3" s="1"/>
  <c r="I303" i="3"/>
  <c r="J303" i="3"/>
  <c r="I304" i="3"/>
  <c r="J304" i="3"/>
  <c r="I305" i="3"/>
  <c r="J305" i="3"/>
  <c r="I306" i="3"/>
  <c r="J306" i="3"/>
  <c r="L306" i="3" s="1"/>
  <c r="I307" i="3"/>
  <c r="J307" i="3"/>
  <c r="I308" i="3"/>
  <c r="J308" i="3"/>
  <c r="I309" i="3"/>
  <c r="J309" i="3"/>
  <c r="I310" i="3"/>
  <c r="J310" i="3"/>
  <c r="L310" i="3" s="1"/>
  <c r="I311" i="3"/>
  <c r="J311" i="3"/>
  <c r="I312" i="3"/>
  <c r="J312" i="3"/>
  <c r="I313" i="3"/>
  <c r="J313" i="3"/>
  <c r="I314" i="3"/>
  <c r="J314" i="3"/>
  <c r="L314" i="3" s="1"/>
  <c r="I315" i="3"/>
  <c r="J315" i="3"/>
  <c r="I316" i="3"/>
  <c r="J316" i="3"/>
  <c r="I317" i="3"/>
  <c r="J317" i="3"/>
  <c r="I318" i="3"/>
  <c r="J318" i="3"/>
  <c r="L318" i="3" s="1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J328" i="3"/>
  <c r="I329" i="3"/>
  <c r="J329" i="3"/>
  <c r="I330" i="3"/>
  <c r="J330" i="3"/>
  <c r="I331" i="3"/>
  <c r="J331" i="3"/>
  <c r="I332" i="3"/>
  <c r="J332" i="3"/>
  <c r="I333" i="3"/>
  <c r="J333" i="3"/>
  <c r="I334" i="3"/>
  <c r="J334" i="3"/>
  <c r="I335" i="3"/>
  <c r="J335" i="3"/>
  <c r="I336" i="3"/>
  <c r="J336" i="3"/>
  <c r="I337" i="3"/>
  <c r="J337" i="3"/>
  <c r="I338" i="3"/>
  <c r="J338" i="3"/>
  <c r="I339" i="3"/>
  <c r="J339" i="3"/>
  <c r="I340" i="3"/>
  <c r="J340" i="3"/>
  <c r="I341" i="3"/>
  <c r="J341" i="3"/>
  <c r="I342" i="3"/>
  <c r="J342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L358" i="3" s="1"/>
  <c r="I359" i="3"/>
  <c r="J359" i="3"/>
  <c r="I360" i="3"/>
  <c r="J360" i="3"/>
  <c r="I361" i="3"/>
  <c r="J361" i="3"/>
  <c r="I362" i="3"/>
  <c r="J362" i="3"/>
  <c r="K362" i="3" s="1"/>
  <c r="I363" i="3"/>
  <c r="J363" i="3"/>
  <c r="I364" i="3"/>
  <c r="J364" i="3"/>
  <c r="I365" i="3"/>
  <c r="J365" i="3"/>
  <c r="I366" i="3"/>
  <c r="J366" i="3"/>
  <c r="L366" i="3" s="1"/>
  <c r="I367" i="3"/>
  <c r="J367" i="3"/>
  <c r="I368" i="3"/>
  <c r="J368" i="3"/>
  <c r="I369" i="3"/>
  <c r="J369" i="3"/>
  <c r="I370" i="3"/>
  <c r="J370" i="3"/>
  <c r="L370" i="3" s="1"/>
  <c r="I371" i="3"/>
  <c r="J371" i="3"/>
  <c r="I372" i="3"/>
  <c r="J372" i="3"/>
  <c r="I373" i="3"/>
  <c r="J373" i="3"/>
  <c r="I374" i="3"/>
  <c r="J374" i="3"/>
  <c r="L374" i="3" s="1"/>
  <c r="I375" i="3"/>
  <c r="J375" i="3"/>
  <c r="I376" i="3"/>
  <c r="J376" i="3"/>
  <c r="I377" i="3"/>
  <c r="J377" i="3"/>
  <c r="I378" i="3"/>
  <c r="J378" i="3"/>
  <c r="K378" i="3" s="1"/>
  <c r="I379" i="3"/>
  <c r="J379" i="3"/>
  <c r="I380" i="3"/>
  <c r="J380" i="3"/>
  <c r="I381" i="3"/>
  <c r="J381" i="3"/>
  <c r="I382" i="3"/>
  <c r="J382" i="3"/>
  <c r="L382" i="3" s="1"/>
  <c r="I383" i="3"/>
  <c r="J383" i="3"/>
  <c r="I384" i="3"/>
  <c r="J384" i="3"/>
  <c r="I385" i="3"/>
  <c r="J385" i="3"/>
  <c r="I386" i="3"/>
  <c r="J386" i="3"/>
  <c r="L386" i="3" s="1"/>
  <c r="I387" i="3"/>
  <c r="J387" i="3"/>
  <c r="I388" i="3"/>
  <c r="J388" i="3"/>
  <c r="I389" i="3"/>
  <c r="J389" i="3"/>
  <c r="I390" i="3"/>
  <c r="J390" i="3"/>
  <c r="L390" i="3" s="1"/>
  <c r="I391" i="3"/>
  <c r="J391" i="3"/>
  <c r="I392" i="3"/>
  <c r="J392" i="3"/>
  <c r="I393" i="3"/>
  <c r="J393" i="3"/>
  <c r="I394" i="3"/>
  <c r="J394" i="3"/>
  <c r="L394" i="3" s="1"/>
  <c r="I395" i="3"/>
  <c r="J395" i="3"/>
  <c r="I396" i="3"/>
  <c r="J396" i="3"/>
  <c r="I397" i="3"/>
  <c r="J397" i="3"/>
  <c r="I398" i="3"/>
  <c r="J398" i="3"/>
  <c r="L398" i="3" s="1"/>
  <c r="I399" i="3"/>
  <c r="J399" i="3"/>
  <c r="I400" i="3"/>
  <c r="J400" i="3"/>
  <c r="I401" i="3"/>
  <c r="J401" i="3"/>
  <c r="I402" i="3"/>
  <c r="J402" i="3"/>
  <c r="L402" i="3" s="1"/>
  <c r="I403" i="3"/>
  <c r="J403" i="3"/>
  <c r="I404" i="3"/>
  <c r="J404" i="3"/>
  <c r="I405" i="3"/>
  <c r="J405" i="3"/>
  <c r="I406" i="3"/>
  <c r="J406" i="3"/>
  <c r="L406" i="3" s="1"/>
  <c r="I407" i="3"/>
  <c r="J407" i="3"/>
  <c r="I408" i="3"/>
  <c r="J408" i="3"/>
  <c r="I409" i="3"/>
  <c r="J409" i="3"/>
  <c r="I410" i="3"/>
  <c r="J410" i="3"/>
  <c r="K410" i="3" s="1"/>
  <c r="I411" i="3"/>
  <c r="J411" i="3"/>
  <c r="I412" i="3"/>
  <c r="J412" i="3"/>
  <c r="I413" i="3"/>
  <c r="J413" i="3"/>
  <c r="I414" i="3"/>
  <c r="J414" i="3"/>
  <c r="L414" i="3" s="1"/>
  <c r="I415" i="3"/>
  <c r="J415" i="3"/>
  <c r="I416" i="3"/>
  <c r="J416" i="3"/>
  <c r="I417" i="3"/>
  <c r="J417" i="3"/>
  <c r="I418" i="3"/>
  <c r="J418" i="3"/>
  <c r="L418" i="3" s="1"/>
  <c r="I419" i="3"/>
  <c r="J419" i="3"/>
  <c r="I420" i="3"/>
  <c r="J420" i="3"/>
  <c r="I421" i="3"/>
  <c r="J421" i="3"/>
  <c r="I422" i="3"/>
  <c r="J422" i="3"/>
  <c r="L422" i="3" s="1"/>
  <c r="I423" i="3"/>
  <c r="J423" i="3"/>
  <c r="I424" i="3"/>
  <c r="J424" i="3"/>
  <c r="I425" i="3"/>
  <c r="J425" i="3"/>
  <c r="I426" i="3"/>
  <c r="J426" i="3"/>
  <c r="L426" i="3" s="1"/>
  <c r="I427" i="3"/>
  <c r="J427" i="3"/>
  <c r="I428" i="3"/>
  <c r="J428" i="3"/>
  <c r="I429" i="3"/>
  <c r="J429" i="3"/>
  <c r="I430" i="3"/>
  <c r="J430" i="3"/>
  <c r="L430" i="3" s="1"/>
  <c r="I431" i="3"/>
  <c r="J431" i="3"/>
  <c r="I432" i="3"/>
  <c r="J432" i="3"/>
  <c r="I433" i="3"/>
  <c r="J433" i="3"/>
  <c r="I434" i="3"/>
  <c r="J434" i="3"/>
  <c r="L434" i="3" s="1"/>
  <c r="I435" i="3"/>
  <c r="J435" i="3"/>
  <c r="I436" i="3"/>
  <c r="J436" i="3"/>
  <c r="I437" i="3"/>
  <c r="J437" i="3"/>
  <c r="I438" i="3"/>
  <c r="J438" i="3"/>
  <c r="L438" i="3" s="1"/>
  <c r="I439" i="3"/>
  <c r="J439" i="3"/>
  <c r="I440" i="3"/>
  <c r="J440" i="3"/>
  <c r="I441" i="3"/>
  <c r="J441" i="3"/>
  <c r="I442" i="3"/>
  <c r="J442" i="3"/>
  <c r="L442" i="3" s="1"/>
  <c r="I443" i="3"/>
  <c r="J443" i="3"/>
  <c r="I444" i="3"/>
  <c r="J444" i="3"/>
  <c r="I445" i="3"/>
  <c r="J445" i="3"/>
  <c r="I446" i="3"/>
  <c r="J446" i="3"/>
  <c r="L446" i="3" s="1"/>
  <c r="I447" i="3"/>
  <c r="J447" i="3"/>
  <c r="I448" i="3"/>
  <c r="J448" i="3"/>
  <c r="I449" i="3"/>
  <c r="J449" i="3"/>
  <c r="I450" i="3"/>
  <c r="J450" i="3"/>
  <c r="L450" i="3" s="1"/>
  <c r="I451" i="3"/>
  <c r="J451" i="3"/>
  <c r="I452" i="3"/>
  <c r="J452" i="3"/>
  <c r="I453" i="3"/>
  <c r="J453" i="3"/>
  <c r="I454" i="3"/>
  <c r="J454" i="3"/>
  <c r="L454" i="3" s="1"/>
  <c r="I455" i="3"/>
  <c r="J455" i="3"/>
  <c r="I456" i="3"/>
  <c r="J456" i="3"/>
  <c r="I457" i="3"/>
  <c r="J457" i="3"/>
  <c r="I458" i="3"/>
  <c r="J458" i="3"/>
  <c r="L458" i="3" s="1"/>
  <c r="I459" i="3"/>
  <c r="J459" i="3"/>
  <c r="I460" i="3"/>
  <c r="J460" i="3"/>
  <c r="I461" i="3"/>
  <c r="J461" i="3"/>
  <c r="I462" i="3"/>
  <c r="J462" i="3"/>
  <c r="L462" i="3" s="1"/>
  <c r="I463" i="3"/>
  <c r="J463" i="3"/>
  <c r="I464" i="3"/>
  <c r="J464" i="3"/>
  <c r="I465" i="3"/>
  <c r="J465" i="3"/>
  <c r="I466" i="3"/>
  <c r="J466" i="3"/>
  <c r="L466" i="3" s="1"/>
  <c r="I467" i="3"/>
  <c r="J467" i="3"/>
  <c r="I468" i="3"/>
  <c r="J468" i="3"/>
  <c r="I469" i="3"/>
  <c r="J469" i="3"/>
  <c r="I470" i="3"/>
  <c r="J470" i="3"/>
  <c r="K470" i="3" s="1"/>
  <c r="I471" i="3"/>
  <c r="J471" i="3"/>
  <c r="I472" i="3"/>
  <c r="J472" i="3"/>
  <c r="I473" i="3"/>
  <c r="J473" i="3"/>
  <c r="I474" i="3"/>
  <c r="J474" i="3"/>
  <c r="L474" i="3" s="1"/>
  <c r="I475" i="3"/>
  <c r="J475" i="3"/>
  <c r="I476" i="3"/>
  <c r="J476" i="3"/>
  <c r="I477" i="3"/>
  <c r="J477" i="3"/>
  <c r="I478" i="3"/>
  <c r="J478" i="3"/>
  <c r="K478" i="3" s="1"/>
  <c r="I479" i="3"/>
  <c r="J479" i="3"/>
  <c r="I480" i="3"/>
  <c r="J480" i="3"/>
  <c r="I481" i="3"/>
  <c r="J481" i="3"/>
  <c r="I482" i="3"/>
  <c r="J482" i="3"/>
  <c r="L482" i="3" s="1"/>
  <c r="I483" i="3"/>
  <c r="J483" i="3"/>
  <c r="I484" i="3"/>
  <c r="J484" i="3"/>
  <c r="I485" i="3"/>
  <c r="J485" i="3"/>
  <c r="I486" i="3"/>
  <c r="J486" i="3"/>
  <c r="K486" i="3" s="1"/>
  <c r="I487" i="3"/>
  <c r="J487" i="3"/>
  <c r="I488" i="3"/>
  <c r="J488" i="3"/>
  <c r="I489" i="3"/>
  <c r="J489" i="3"/>
  <c r="I490" i="3"/>
  <c r="J490" i="3"/>
  <c r="K490" i="3" s="1"/>
  <c r="I491" i="3"/>
  <c r="J491" i="3"/>
  <c r="I492" i="3"/>
  <c r="J492" i="3"/>
  <c r="I493" i="3"/>
  <c r="J493" i="3"/>
  <c r="I494" i="3"/>
  <c r="J494" i="3"/>
  <c r="L494" i="3" s="1"/>
  <c r="I495" i="3"/>
  <c r="J495" i="3"/>
  <c r="I496" i="3"/>
  <c r="J496" i="3"/>
  <c r="I497" i="3"/>
  <c r="J497" i="3"/>
  <c r="I498" i="3"/>
  <c r="J498" i="3"/>
  <c r="K498" i="3" s="1"/>
  <c r="I499" i="3"/>
  <c r="J499" i="3"/>
  <c r="I500" i="3"/>
  <c r="J500" i="3"/>
  <c r="I501" i="3"/>
  <c r="J501" i="3"/>
  <c r="I502" i="3"/>
  <c r="J502" i="3"/>
  <c r="L502" i="3" s="1"/>
  <c r="I503" i="3"/>
  <c r="J503" i="3"/>
  <c r="I504" i="3"/>
  <c r="J504" i="3"/>
  <c r="I505" i="3"/>
  <c r="J505" i="3"/>
  <c r="I506" i="3"/>
  <c r="J506" i="3"/>
  <c r="L506" i="3" s="1"/>
  <c r="I507" i="3"/>
  <c r="J507" i="3"/>
  <c r="L507" i="3" s="1"/>
  <c r="I508" i="3"/>
  <c r="J508" i="3"/>
  <c r="L508" i="3" s="1"/>
  <c r="I509" i="3"/>
  <c r="J509" i="3"/>
  <c r="I510" i="3"/>
  <c r="J510" i="3"/>
  <c r="L510" i="3" s="1"/>
  <c r="I511" i="3"/>
  <c r="J511" i="3"/>
  <c r="K511" i="3" s="1"/>
  <c r="I512" i="3"/>
  <c r="J512" i="3"/>
  <c r="K512" i="3" s="1"/>
  <c r="I513" i="3"/>
  <c r="J513" i="3"/>
  <c r="I514" i="3"/>
  <c r="J514" i="3"/>
  <c r="L514" i="3" s="1"/>
  <c r="I515" i="3"/>
  <c r="J515" i="3"/>
  <c r="I516" i="3"/>
  <c r="J516" i="3"/>
  <c r="I517" i="3"/>
  <c r="J517" i="3"/>
  <c r="I518" i="3"/>
  <c r="J518" i="3"/>
  <c r="K518" i="3" s="1"/>
  <c r="I519" i="3"/>
  <c r="J519" i="3"/>
  <c r="I520" i="3"/>
  <c r="J520" i="3"/>
  <c r="I521" i="3"/>
  <c r="J521" i="3"/>
  <c r="I522" i="3"/>
  <c r="J522" i="3"/>
  <c r="L522" i="3" s="1"/>
  <c r="I523" i="3"/>
  <c r="J523" i="3"/>
  <c r="K523" i="3" s="1"/>
  <c r="I524" i="3"/>
  <c r="J524" i="3"/>
  <c r="K524" i="3" s="1"/>
  <c r="I525" i="3"/>
  <c r="J525" i="3"/>
  <c r="I526" i="3"/>
  <c r="J526" i="3"/>
  <c r="L526" i="3" s="1"/>
  <c r="I527" i="3"/>
  <c r="J527" i="3"/>
  <c r="L527" i="3" s="1"/>
  <c r="I528" i="3"/>
  <c r="J528" i="3"/>
  <c r="K528" i="3" s="1"/>
  <c r="I529" i="3"/>
  <c r="J529" i="3"/>
  <c r="L529" i="3" s="1"/>
  <c r="I530" i="3"/>
  <c r="J530" i="3"/>
  <c r="L530" i="3" s="1"/>
  <c r="I531" i="3"/>
  <c r="J531" i="3"/>
  <c r="K531" i="3" s="1"/>
  <c r="I532" i="3"/>
  <c r="J532" i="3"/>
  <c r="K532" i="3" s="1"/>
  <c r="I533" i="3"/>
  <c r="J533" i="3"/>
  <c r="I534" i="3"/>
  <c r="J534" i="3"/>
  <c r="L534" i="3" s="1"/>
  <c r="I535" i="3"/>
  <c r="L535" i="3" s="1"/>
  <c r="J535" i="3"/>
  <c r="I536" i="3"/>
  <c r="J536" i="3"/>
  <c r="L536" i="3" s="1"/>
  <c r="I537" i="3"/>
  <c r="J537" i="3"/>
  <c r="L537" i="3" s="1"/>
  <c r="I538" i="3"/>
  <c r="J538" i="3"/>
  <c r="L538" i="3" s="1"/>
  <c r="I539" i="3"/>
  <c r="L539" i="3" s="1"/>
  <c r="J539" i="3"/>
  <c r="I540" i="3"/>
  <c r="J540" i="3"/>
  <c r="K540" i="3" s="1"/>
  <c r="I541" i="3"/>
  <c r="J541" i="3"/>
  <c r="I542" i="3"/>
  <c r="J542" i="3"/>
  <c r="L542" i="3" s="1"/>
  <c r="I543" i="3"/>
  <c r="J543" i="3"/>
  <c r="I544" i="3"/>
  <c r="J544" i="3"/>
  <c r="I545" i="3"/>
  <c r="J545" i="3"/>
  <c r="I546" i="3"/>
  <c r="J546" i="3"/>
  <c r="L546" i="3" s="1"/>
  <c r="I547" i="3"/>
  <c r="L547" i="3" s="1"/>
  <c r="J547" i="3"/>
  <c r="I548" i="3"/>
  <c r="J548" i="3"/>
  <c r="L548" i="3" s="1"/>
  <c r="I549" i="3"/>
  <c r="J549" i="3"/>
  <c r="L549" i="3" s="1"/>
  <c r="I550" i="3"/>
  <c r="J550" i="3"/>
  <c r="L550" i="3" s="1"/>
  <c r="I551" i="3"/>
  <c r="L551" i="3" s="1"/>
  <c r="J551" i="3"/>
  <c r="I552" i="3"/>
  <c r="J552" i="3"/>
  <c r="L552" i="3" s="1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394" i="3"/>
  <c r="F394" i="3"/>
  <c r="E395" i="3"/>
  <c r="F395" i="3"/>
  <c r="E396" i="3"/>
  <c r="F396" i="3"/>
  <c r="E397" i="3"/>
  <c r="F397" i="3"/>
  <c r="E398" i="3"/>
  <c r="F398" i="3"/>
  <c r="E399" i="3"/>
  <c r="F399" i="3"/>
  <c r="E400" i="3"/>
  <c r="F400" i="3"/>
  <c r="E401" i="3"/>
  <c r="F401" i="3"/>
  <c r="E402" i="3"/>
  <c r="F402" i="3"/>
  <c r="E403" i="3"/>
  <c r="F403" i="3"/>
  <c r="E404" i="3"/>
  <c r="F404" i="3"/>
  <c r="E405" i="3"/>
  <c r="F405" i="3"/>
  <c r="E406" i="3"/>
  <c r="F406" i="3"/>
  <c r="E407" i="3"/>
  <c r="F407" i="3"/>
  <c r="E408" i="3"/>
  <c r="F408" i="3"/>
  <c r="E409" i="3"/>
  <c r="F409" i="3"/>
  <c r="E410" i="3"/>
  <c r="F410" i="3"/>
  <c r="E411" i="3"/>
  <c r="F411" i="3"/>
  <c r="E412" i="3"/>
  <c r="F412" i="3"/>
  <c r="E413" i="3"/>
  <c r="F413" i="3"/>
  <c r="E414" i="3"/>
  <c r="F414" i="3"/>
  <c r="E415" i="3"/>
  <c r="F415" i="3"/>
  <c r="E416" i="3"/>
  <c r="F416" i="3"/>
  <c r="E417" i="3"/>
  <c r="F417" i="3"/>
  <c r="E418" i="3"/>
  <c r="F418" i="3"/>
  <c r="E419" i="3"/>
  <c r="F419" i="3"/>
  <c r="E420" i="3"/>
  <c r="F420" i="3"/>
  <c r="E421" i="3"/>
  <c r="F421" i="3"/>
  <c r="E422" i="3"/>
  <c r="F422" i="3"/>
  <c r="E423" i="3"/>
  <c r="F423" i="3"/>
  <c r="E424" i="3"/>
  <c r="F424" i="3"/>
  <c r="E425" i="3"/>
  <c r="F425" i="3"/>
  <c r="E426" i="3"/>
  <c r="F426" i="3"/>
  <c r="E427" i="3"/>
  <c r="F427" i="3"/>
  <c r="E428" i="3"/>
  <c r="F428" i="3"/>
  <c r="E429" i="3"/>
  <c r="F429" i="3"/>
  <c r="E430" i="3"/>
  <c r="F430" i="3"/>
  <c r="E431" i="3"/>
  <c r="F431" i="3"/>
  <c r="E432" i="3"/>
  <c r="F432" i="3"/>
  <c r="E433" i="3"/>
  <c r="F433" i="3"/>
  <c r="E434" i="3"/>
  <c r="F434" i="3"/>
  <c r="E435" i="3"/>
  <c r="F435" i="3"/>
  <c r="E436" i="3"/>
  <c r="F436" i="3"/>
  <c r="E437" i="3"/>
  <c r="F437" i="3"/>
  <c r="E438" i="3"/>
  <c r="F438" i="3"/>
  <c r="E439" i="3"/>
  <c r="F439" i="3"/>
  <c r="E440" i="3"/>
  <c r="F440" i="3"/>
  <c r="E441" i="3"/>
  <c r="F441" i="3"/>
  <c r="E442" i="3"/>
  <c r="F442" i="3"/>
  <c r="E443" i="3"/>
  <c r="F443" i="3"/>
  <c r="E444" i="3"/>
  <c r="F444" i="3"/>
  <c r="E445" i="3"/>
  <c r="F445" i="3"/>
  <c r="E446" i="3"/>
  <c r="F446" i="3"/>
  <c r="E447" i="3"/>
  <c r="F447" i="3"/>
  <c r="E448" i="3"/>
  <c r="F448" i="3"/>
  <c r="E449" i="3"/>
  <c r="F449" i="3"/>
  <c r="E450" i="3"/>
  <c r="F450" i="3"/>
  <c r="E451" i="3"/>
  <c r="F451" i="3"/>
  <c r="E452" i="3"/>
  <c r="F452" i="3"/>
  <c r="E453" i="3"/>
  <c r="F453" i="3"/>
  <c r="E454" i="3"/>
  <c r="F454" i="3"/>
  <c r="E455" i="3"/>
  <c r="F455" i="3"/>
  <c r="E456" i="3"/>
  <c r="F456" i="3"/>
  <c r="E457" i="3"/>
  <c r="F457" i="3"/>
  <c r="E458" i="3"/>
  <c r="F458" i="3"/>
  <c r="E459" i="3"/>
  <c r="F459" i="3"/>
  <c r="E460" i="3"/>
  <c r="F460" i="3"/>
  <c r="E461" i="3"/>
  <c r="F461" i="3"/>
  <c r="E462" i="3"/>
  <c r="F462" i="3"/>
  <c r="E463" i="3"/>
  <c r="F463" i="3"/>
  <c r="E464" i="3"/>
  <c r="F464" i="3"/>
  <c r="E465" i="3"/>
  <c r="F465" i="3"/>
  <c r="E466" i="3"/>
  <c r="F466" i="3"/>
  <c r="E467" i="3"/>
  <c r="F467" i="3"/>
  <c r="E468" i="3"/>
  <c r="F468" i="3"/>
  <c r="E469" i="3"/>
  <c r="F469" i="3"/>
  <c r="E470" i="3"/>
  <c r="F470" i="3"/>
  <c r="E471" i="3"/>
  <c r="F471" i="3"/>
  <c r="E472" i="3"/>
  <c r="F472" i="3"/>
  <c r="E473" i="3"/>
  <c r="F473" i="3"/>
  <c r="E474" i="3"/>
  <c r="F474" i="3"/>
  <c r="E475" i="3"/>
  <c r="F475" i="3"/>
  <c r="E476" i="3"/>
  <c r="F476" i="3"/>
  <c r="E477" i="3"/>
  <c r="F477" i="3"/>
  <c r="E478" i="3"/>
  <c r="F478" i="3"/>
  <c r="E479" i="3"/>
  <c r="F479" i="3"/>
  <c r="E480" i="3"/>
  <c r="F480" i="3"/>
  <c r="E481" i="3"/>
  <c r="F481" i="3"/>
  <c r="E482" i="3"/>
  <c r="F482" i="3"/>
  <c r="E483" i="3"/>
  <c r="F483" i="3"/>
  <c r="E484" i="3"/>
  <c r="F484" i="3"/>
  <c r="E485" i="3"/>
  <c r="F485" i="3"/>
  <c r="E486" i="3"/>
  <c r="F486" i="3"/>
  <c r="E487" i="3"/>
  <c r="F487" i="3"/>
  <c r="E488" i="3"/>
  <c r="F488" i="3"/>
  <c r="E489" i="3"/>
  <c r="F489" i="3"/>
  <c r="E490" i="3"/>
  <c r="F490" i="3"/>
  <c r="E491" i="3"/>
  <c r="F491" i="3"/>
  <c r="E492" i="3"/>
  <c r="F492" i="3"/>
  <c r="E493" i="3"/>
  <c r="F493" i="3"/>
  <c r="E494" i="3"/>
  <c r="F494" i="3"/>
  <c r="E495" i="3"/>
  <c r="F495" i="3"/>
  <c r="E496" i="3"/>
  <c r="F496" i="3"/>
  <c r="E497" i="3"/>
  <c r="F497" i="3"/>
  <c r="E498" i="3"/>
  <c r="F498" i="3"/>
  <c r="E499" i="3"/>
  <c r="F499" i="3"/>
  <c r="E500" i="3"/>
  <c r="F500" i="3"/>
  <c r="E501" i="3"/>
  <c r="F501" i="3"/>
  <c r="E502" i="3"/>
  <c r="F502" i="3"/>
  <c r="E503" i="3"/>
  <c r="F503" i="3"/>
  <c r="E504" i="3"/>
  <c r="F504" i="3"/>
  <c r="E505" i="3"/>
  <c r="H505" i="3" s="1"/>
  <c r="F505" i="3"/>
  <c r="E506" i="3"/>
  <c r="F506" i="3"/>
  <c r="E507" i="3"/>
  <c r="F507" i="3"/>
  <c r="E508" i="3"/>
  <c r="F508" i="3"/>
  <c r="E509" i="3"/>
  <c r="H509" i="3" s="1"/>
  <c r="F509" i="3"/>
  <c r="E510" i="3"/>
  <c r="F510" i="3"/>
  <c r="E511" i="3"/>
  <c r="F511" i="3"/>
  <c r="E512" i="3"/>
  <c r="F512" i="3"/>
  <c r="E513" i="3"/>
  <c r="H513" i="3" s="1"/>
  <c r="F513" i="3"/>
  <c r="E514" i="3"/>
  <c r="F514" i="3"/>
  <c r="E515" i="3"/>
  <c r="F515" i="3"/>
  <c r="E516" i="3"/>
  <c r="F516" i="3"/>
  <c r="E517" i="3"/>
  <c r="H517" i="3" s="1"/>
  <c r="F517" i="3"/>
  <c r="E518" i="3"/>
  <c r="F518" i="3"/>
  <c r="E519" i="3"/>
  <c r="F519" i="3"/>
  <c r="E520" i="3"/>
  <c r="F520" i="3"/>
  <c r="E521" i="3"/>
  <c r="H521" i="3" s="1"/>
  <c r="F521" i="3"/>
  <c r="E522" i="3"/>
  <c r="F522" i="3"/>
  <c r="E523" i="3"/>
  <c r="F523" i="3"/>
  <c r="E524" i="3"/>
  <c r="F524" i="3"/>
  <c r="E525" i="3"/>
  <c r="F525" i="3"/>
  <c r="E526" i="3"/>
  <c r="F526" i="3"/>
  <c r="E527" i="3"/>
  <c r="F527" i="3"/>
  <c r="E528" i="3"/>
  <c r="F528" i="3"/>
  <c r="E529" i="3"/>
  <c r="F529" i="3"/>
  <c r="E530" i="3"/>
  <c r="F530" i="3"/>
  <c r="E531" i="3"/>
  <c r="F531" i="3"/>
  <c r="E532" i="3"/>
  <c r="F532" i="3"/>
  <c r="E533" i="3"/>
  <c r="H533" i="3" s="1"/>
  <c r="M533" i="3" s="1"/>
  <c r="F533" i="3"/>
  <c r="E534" i="3"/>
  <c r="F534" i="3"/>
  <c r="E535" i="3"/>
  <c r="F535" i="3"/>
  <c r="E536" i="3"/>
  <c r="F536" i="3"/>
  <c r="E537" i="3"/>
  <c r="H537" i="3" s="1"/>
  <c r="F537" i="3"/>
  <c r="E538" i="3"/>
  <c r="F538" i="3"/>
  <c r="E539" i="3"/>
  <c r="F539" i="3"/>
  <c r="P8" i="3" s="1"/>
  <c r="B5" i="10" s="1"/>
  <c r="E540" i="3"/>
  <c r="F540" i="3"/>
  <c r="E541" i="3"/>
  <c r="G541" i="3" s="1"/>
  <c r="F541" i="3"/>
  <c r="E542" i="3"/>
  <c r="F542" i="3"/>
  <c r="E543" i="3"/>
  <c r="F543" i="3"/>
  <c r="E544" i="3"/>
  <c r="F544" i="3"/>
  <c r="E545" i="3"/>
  <c r="M545" i="3" s="1"/>
  <c r="F545" i="3"/>
  <c r="E546" i="3"/>
  <c r="F546" i="3"/>
  <c r="E547" i="3"/>
  <c r="F547" i="3"/>
  <c r="E548" i="3"/>
  <c r="F548" i="3"/>
  <c r="E549" i="3"/>
  <c r="F549" i="3"/>
  <c r="E550" i="3"/>
  <c r="F550" i="3"/>
  <c r="E551" i="3"/>
  <c r="F551" i="3"/>
  <c r="E552" i="3"/>
  <c r="F552" i="3"/>
  <c r="J2" i="3"/>
  <c r="I2" i="3"/>
  <c r="F2" i="3"/>
  <c r="E2" i="3"/>
  <c r="P2" i="3"/>
  <c r="P7" i="3"/>
  <c r="A5" i="10" s="1"/>
  <c r="A502" i="3"/>
  <c r="B502" i="3"/>
  <c r="C502" i="3"/>
  <c r="H502" i="3"/>
  <c r="M502" i="3" s="1"/>
  <c r="G502" i="3"/>
  <c r="A503" i="3"/>
  <c r="B503" i="3"/>
  <c r="C503" i="3"/>
  <c r="H503" i="3"/>
  <c r="G503" i="3"/>
  <c r="L503" i="3"/>
  <c r="K503" i="3"/>
  <c r="M503" i="3"/>
  <c r="A504" i="3"/>
  <c r="B504" i="3"/>
  <c r="C504" i="3"/>
  <c r="H504" i="3"/>
  <c r="G504" i="3"/>
  <c r="L504" i="3"/>
  <c r="K504" i="3"/>
  <c r="M504" i="3"/>
  <c r="A505" i="3"/>
  <c r="B505" i="3"/>
  <c r="C505" i="3"/>
  <c r="G505" i="3"/>
  <c r="L505" i="3"/>
  <c r="K505" i="3"/>
  <c r="M505" i="3"/>
  <c r="A506" i="3"/>
  <c r="B506" i="3"/>
  <c r="C506" i="3"/>
  <c r="H506" i="3"/>
  <c r="G506" i="3"/>
  <c r="M506" i="3"/>
  <c r="A507" i="3"/>
  <c r="B507" i="3"/>
  <c r="C507" i="3"/>
  <c r="H507" i="3"/>
  <c r="G507" i="3"/>
  <c r="K507" i="3"/>
  <c r="M507" i="3"/>
  <c r="A508" i="3"/>
  <c r="B508" i="3"/>
  <c r="C508" i="3"/>
  <c r="H508" i="3"/>
  <c r="G508" i="3"/>
  <c r="K508" i="3"/>
  <c r="M508" i="3"/>
  <c r="A509" i="3"/>
  <c r="B509" i="3"/>
  <c r="C509" i="3"/>
  <c r="G509" i="3"/>
  <c r="L509" i="3"/>
  <c r="K509" i="3"/>
  <c r="M509" i="3"/>
  <c r="A510" i="3"/>
  <c r="B510" i="3"/>
  <c r="C510" i="3"/>
  <c r="H510" i="3"/>
  <c r="G510" i="3"/>
  <c r="M510" i="3"/>
  <c r="A511" i="3"/>
  <c r="B511" i="3"/>
  <c r="C511" i="3"/>
  <c r="H511" i="3"/>
  <c r="G511" i="3"/>
  <c r="L511" i="3"/>
  <c r="M511" i="3"/>
  <c r="A512" i="3"/>
  <c r="B512" i="3"/>
  <c r="C512" i="3"/>
  <c r="H512" i="3"/>
  <c r="G512" i="3"/>
  <c r="L512" i="3"/>
  <c r="M512" i="3"/>
  <c r="A513" i="3"/>
  <c r="B513" i="3"/>
  <c r="C513" i="3"/>
  <c r="G513" i="3"/>
  <c r="L513" i="3"/>
  <c r="K513" i="3"/>
  <c r="M513" i="3"/>
  <c r="A514" i="3"/>
  <c r="B514" i="3"/>
  <c r="C514" i="3"/>
  <c r="H514" i="3"/>
  <c r="G514" i="3"/>
  <c r="M514" i="3"/>
  <c r="A515" i="3"/>
  <c r="B515" i="3"/>
  <c r="C515" i="3"/>
  <c r="H515" i="3"/>
  <c r="G515" i="3"/>
  <c r="L515" i="3"/>
  <c r="K515" i="3"/>
  <c r="M515" i="3"/>
  <c r="A516" i="3"/>
  <c r="B516" i="3"/>
  <c r="C516" i="3"/>
  <c r="H516" i="3"/>
  <c r="G516" i="3"/>
  <c r="L516" i="3"/>
  <c r="K516" i="3"/>
  <c r="M516" i="3"/>
  <c r="A517" i="3"/>
  <c r="B517" i="3"/>
  <c r="C517" i="3"/>
  <c r="G517" i="3"/>
  <c r="L517" i="3"/>
  <c r="K517" i="3"/>
  <c r="M517" i="3"/>
  <c r="A518" i="3"/>
  <c r="B518" i="3"/>
  <c r="C518" i="3"/>
  <c r="H518" i="3"/>
  <c r="G518" i="3"/>
  <c r="L518" i="3"/>
  <c r="M518" i="3"/>
  <c r="A519" i="3"/>
  <c r="B519" i="3"/>
  <c r="C519" i="3"/>
  <c r="H519" i="3"/>
  <c r="G519" i="3"/>
  <c r="L519" i="3"/>
  <c r="K519" i="3"/>
  <c r="M519" i="3"/>
  <c r="A520" i="3"/>
  <c r="B520" i="3"/>
  <c r="C520" i="3"/>
  <c r="H520" i="3"/>
  <c r="G520" i="3"/>
  <c r="L520" i="3"/>
  <c r="K520" i="3"/>
  <c r="M520" i="3"/>
  <c r="A521" i="3"/>
  <c r="B521" i="3"/>
  <c r="C521" i="3"/>
  <c r="G521" i="3"/>
  <c r="L521" i="3"/>
  <c r="K521" i="3"/>
  <c r="M521" i="3"/>
  <c r="A522" i="3"/>
  <c r="B522" i="3"/>
  <c r="C522" i="3"/>
  <c r="H522" i="3"/>
  <c r="M522" i="3" s="1"/>
  <c r="G522" i="3"/>
  <c r="K522" i="3"/>
  <c r="A523" i="3"/>
  <c r="B523" i="3"/>
  <c r="C523" i="3"/>
  <c r="H523" i="3"/>
  <c r="G523" i="3"/>
  <c r="L523" i="3"/>
  <c r="M523" i="3"/>
  <c r="A524" i="3"/>
  <c r="B524" i="3"/>
  <c r="C524" i="3"/>
  <c r="H524" i="3"/>
  <c r="M524" i="3" s="1"/>
  <c r="G524" i="3"/>
  <c r="L524" i="3"/>
  <c r="A525" i="3"/>
  <c r="B525" i="3"/>
  <c r="C525" i="3"/>
  <c r="H525" i="3"/>
  <c r="G525" i="3"/>
  <c r="L525" i="3"/>
  <c r="K525" i="3"/>
  <c r="M525" i="3"/>
  <c r="A526" i="3"/>
  <c r="B526" i="3"/>
  <c r="C526" i="3"/>
  <c r="H526" i="3"/>
  <c r="G526" i="3"/>
  <c r="M526" i="3"/>
  <c r="A527" i="3"/>
  <c r="B527" i="3"/>
  <c r="C527" i="3"/>
  <c r="H527" i="3"/>
  <c r="M527" i="3" s="1"/>
  <c r="G527" i="3"/>
  <c r="K527" i="3"/>
  <c r="A528" i="3"/>
  <c r="B528" i="3"/>
  <c r="C528" i="3"/>
  <c r="H528" i="3"/>
  <c r="M528" i="3" s="1"/>
  <c r="G528" i="3"/>
  <c r="L528" i="3"/>
  <c r="A529" i="3"/>
  <c r="B529" i="3"/>
  <c r="C529" i="3"/>
  <c r="H529" i="3"/>
  <c r="G529" i="3"/>
  <c r="K529" i="3"/>
  <c r="A530" i="3"/>
  <c r="B530" i="3"/>
  <c r="C530" i="3"/>
  <c r="H530" i="3"/>
  <c r="G530" i="3"/>
  <c r="M530" i="3"/>
  <c r="A531" i="3"/>
  <c r="B531" i="3"/>
  <c r="C531" i="3"/>
  <c r="H531" i="3"/>
  <c r="G531" i="3"/>
  <c r="L531" i="3"/>
  <c r="M531" i="3"/>
  <c r="A532" i="3"/>
  <c r="B532" i="3"/>
  <c r="C532" i="3"/>
  <c r="H532" i="3"/>
  <c r="M532" i="3" s="1"/>
  <c r="G532" i="3"/>
  <c r="L532" i="3"/>
  <c r="A533" i="3"/>
  <c r="B533" i="3"/>
  <c r="C533" i="3"/>
  <c r="G533" i="3"/>
  <c r="L533" i="3"/>
  <c r="K533" i="3"/>
  <c r="A534" i="3"/>
  <c r="B534" i="3"/>
  <c r="C534" i="3"/>
  <c r="H534" i="3"/>
  <c r="G534" i="3"/>
  <c r="K534" i="3"/>
  <c r="M534" i="3"/>
  <c r="A535" i="3"/>
  <c r="B535" i="3"/>
  <c r="C535" i="3"/>
  <c r="H535" i="3"/>
  <c r="G535" i="3"/>
  <c r="K535" i="3"/>
  <c r="M535" i="3"/>
  <c r="A536" i="3"/>
  <c r="B536" i="3"/>
  <c r="C536" i="3"/>
  <c r="H536" i="3"/>
  <c r="M536" i="3" s="1"/>
  <c r="G536" i="3"/>
  <c r="K536" i="3"/>
  <c r="A537" i="3"/>
  <c r="B537" i="3"/>
  <c r="C537" i="3"/>
  <c r="G537" i="3"/>
  <c r="K537" i="3"/>
  <c r="A538" i="3"/>
  <c r="B538" i="3"/>
  <c r="C538" i="3"/>
  <c r="H538" i="3"/>
  <c r="M538" i="3" s="1"/>
  <c r="G538" i="3"/>
  <c r="A539" i="3"/>
  <c r="B539" i="3"/>
  <c r="C539" i="3"/>
  <c r="H539" i="3"/>
  <c r="G539" i="3"/>
  <c r="K539" i="3"/>
  <c r="A540" i="3"/>
  <c r="B540" i="3"/>
  <c r="C540" i="3"/>
  <c r="H540" i="3"/>
  <c r="G540" i="3"/>
  <c r="L540" i="3"/>
  <c r="M540" i="3"/>
  <c r="A541" i="3"/>
  <c r="B541" i="3"/>
  <c r="C541" i="3"/>
  <c r="H541" i="3"/>
  <c r="L541" i="3"/>
  <c r="K541" i="3"/>
  <c r="M541" i="3"/>
  <c r="A542" i="3"/>
  <c r="B542" i="3"/>
  <c r="C542" i="3"/>
  <c r="H542" i="3"/>
  <c r="G542" i="3"/>
  <c r="M542" i="3"/>
  <c r="A543" i="3"/>
  <c r="B543" i="3"/>
  <c r="C543" i="3"/>
  <c r="H543" i="3"/>
  <c r="G543" i="3"/>
  <c r="L543" i="3"/>
  <c r="K543" i="3"/>
  <c r="M543" i="3"/>
  <c r="A544" i="3"/>
  <c r="B544" i="3"/>
  <c r="C544" i="3"/>
  <c r="H544" i="3"/>
  <c r="M544" i="3" s="1"/>
  <c r="G544" i="3"/>
  <c r="L544" i="3"/>
  <c r="K544" i="3"/>
  <c r="A545" i="3"/>
  <c r="B545" i="3"/>
  <c r="C545" i="3"/>
  <c r="H545" i="3"/>
  <c r="G545" i="3"/>
  <c r="L545" i="3"/>
  <c r="K545" i="3"/>
  <c r="A546" i="3"/>
  <c r="B546" i="3"/>
  <c r="C546" i="3"/>
  <c r="H546" i="3"/>
  <c r="G546" i="3"/>
  <c r="K546" i="3"/>
  <c r="M546" i="3"/>
  <c r="A547" i="3"/>
  <c r="B547" i="3"/>
  <c r="C547" i="3"/>
  <c r="H547" i="3"/>
  <c r="G547" i="3"/>
  <c r="K547" i="3"/>
  <c r="M547" i="3"/>
  <c r="A548" i="3"/>
  <c r="B548" i="3"/>
  <c r="C548" i="3"/>
  <c r="H548" i="3"/>
  <c r="G548" i="3"/>
  <c r="K548" i="3"/>
  <c r="M548" i="3"/>
  <c r="A549" i="3"/>
  <c r="B549" i="3"/>
  <c r="C549" i="3"/>
  <c r="H549" i="3"/>
  <c r="G549" i="3"/>
  <c r="K549" i="3"/>
  <c r="M549" i="3"/>
  <c r="A550" i="3"/>
  <c r="B550" i="3"/>
  <c r="C550" i="3"/>
  <c r="H550" i="3"/>
  <c r="G550" i="3"/>
  <c r="K550" i="3"/>
  <c r="M550" i="3"/>
  <c r="A551" i="3"/>
  <c r="B551" i="3"/>
  <c r="C551" i="3"/>
  <c r="H551" i="3"/>
  <c r="G551" i="3"/>
  <c r="K551" i="3"/>
  <c r="M551" i="3"/>
  <c r="A552" i="3"/>
  <c r="B552" i="3"/>
  <c r="C552" i="3"/>
  <c r="H552" i="3"/>
  <c r="G552" i="3"/>
  <c r="K552" i="3"/>
  <c r="M552" i="3"/>
  <c r="E553" i="3"/>
  <c r="F553" i="3"/>
  <c r="G553" i="3" s="1"/>
  <c r="H553" i="3"/>
  <c r="I553" i="3"/>
  <c r="J553" i="3"/>
  <c r="K553" i="3" s="1"/>
  <c r="L553" i="3"/>
  <c r="M553" i="3"/>
  <c r="A554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A402" i="3"/>
  <c r="B402" i="3"/>
  <c r="C402" i="3"/>
  <c r="H402" i="3"/>
  <c r="M402" i="3"/>
  <c r="A403" i="3"/>
  <c r="B403" i="3"/>
  <c r="C403" i="3"/>
  <c r="H403" i="3"/>
  <c r="L403" i="3"/>
  <c r="K403" i="3"/>
  <c r="M403" i="3"/>
  <c r="A404" i="3"/>
  <c r="B404" i="3"/>
  <c r="C404" i="3"/>
  <c r="H404" i="3"/>
  <c r="M404" i="3"/>
  <c r="L404" i="3"/>
  <c r="A405" i="3"/>
  <c r="B405" i="3"/>
  <c r="C405" i="3"/>
  <c r="H405" i="3"/>
  <c r="G405" i="3"/>
  <c r="L405" i="3"/>
  <c r="K405" i="3"/>
  <c r="M405" i="3"/>
  <c r="A406" i="3"/>
  <c r="B406" i="3"/>
  <c r="C406" i="3"/>
  <c r="H406" i="3"/>
  <c r="M406" i="3" s="1"/>
  <c r="A407" i="3"/>
  <c r="B407" i="3"/>
  <c r="C407" i="3"/>
  <c r="H407" i="3"/>
  <c r="G407" i="3"/>
  <c r="L407" i="3"/>
  <c r="K407" i="3"/>
  <c r="M407" i="3"/>
  <c r="A408" i="3"/>
  <c r="B408" i="3"/>
  <c r="C408" i="3"/>
  <c r="H408" i="3"/>
  <c r="M408" i="3"/>
  <c r="L408" i="3"/>
  <c r="A409" i="3"/>
  <c r="B409" i="3"/>
  <c r="C409" i="3"/>
  <c r="H409" i="3"/>
  <c r="L409" i="3"/>
  <c r="K409" i="3"/>
  <c r="M409" i="3"/>
  <c r="A410" i="3"/>
  <c r="B410" i="3"/>
  <c r="C410" i="3"/>
  <c r="H410" i="3"/>
  <c r="L410" i="3"/>
  <c r="A411" i="3"/>
  <c r="B411" i="3"/>
  <c r="C411" i="3"/>
  <c r="H411" i="3"/>
  <c r="G411" i="3"/>
  <c r="L411" i="3"/>
  <c r="K411" i="3"/>
  <c r="M411" i="3"/>
  <c r="A412" i="3"/>
  <c r="B412" i="3"/>
  <c r="C412" i="3"/>
  <c r="H412" i="3"/>
  <c r="G412" i="3"/>
  <c r="L412" i="3"/>
  <c r="K412" i="3"/>
  <c r="M412" i="3"/>
  <c r="A413" i="3"/>
  <c r="B413" i="3"/>
  <c r="C413" i="3"/>
  <c r="H413" i="3"/>
  <c r="G413" i="3"/>
  <c r="K413" i="3"/>
  <c r="M413" i="3"/>
  <c r="A414" i="3"/>
  <c r="B414" i="3"/>
  <c r="C414" i="3"/>
  <c r="G414" i="3"/>
  <c r="M414" i="3"/>
  <c r="A415" i="3"/>
  <c r="B415" i="3"/>
  <c r="C415" i="3"/>
  <c r="H415" i="3"/>
  <c r="G415" i="3"/>
  <c r="K415" i="3"/>
  <c r="M415" i="3"/>
  <c r="A416" i="3"/>
  <c r="B416" i="3"/>
  <c r="C416" i="3"/>
  <c r="G416" i="3"/>
  <c r="L416" i="3"/>
  <c r="A417" i="3"/>
  <c r="B417" i="3"/>
  <c r="C417" i="3"/>
  <c r="G417" i="3"/>
  <c r="L417" i="3"/>
  <c r="A418" i="3"/>
  <c r="B418" i="3"/>
  <c r="C418" i="3"/>
  <c r="G418" i="3"/>
  <c r="A419" i="3"/>
  <c r="B419" i="3"/>
  <c r="C419" i="3"/>
  <c r="G419" i="3"/>
  <c r="L419" i="3"/>
  <c r="A420" i="3"/>
  <c r="B420" i="3"/>
  <c r="C420" i="3"/>
  <c r="G420" i="3"/>
  <c r="L420" i="3"/>
  <c r="A421" i="3"/>
  <c r="B421" i="3"/>
  <c r="C421" i="3"/>
  <c r="G421" i="3"/>
  <c r="L421" i="3"/>
  <c r="A422" i="3"/>
  <c r="B422" i="3"/>
  <c r="C422" i="3"/>
  <c r="G422" i="3"/>
  <c r="A423" i="3"/>
  <c r="B423" i="3"/>
  <c r="C423" i="3"/>
  <c r="G423" i="3"/>
  <c r="L423" i="3"/>
  <c r="A424" i="3"/>
  <c r="B424" i="3"/>
  <c r="C424" i="3"/>
  <c r="G424" i="3"/>
  <c r="L424" i="3"/>
  <c r="A425" i="3"/>
  <c r="B425" i="3"/>
  <c r="C425" i="3"/>
  <c r="G425" i="3"/>
  <c r="L425" i="3"/>
  <c r="A426" i="3"/>
  <c r="B426" i="3"/>
  <c r="C426" i="3"/>
  <c r="G426" i="3"/>
  <c r="A427" i="3"/>
  <c r="B427" i="3"/>
  <c r="C427" i="3"/>
  <c r="G427" i="3"/>
  <c r="L427" i="3"/>
  <c r="A428" i="3"/>
  <c r="B428" i="3"/>
  <c r="C428" i="3"/>
  <c r="G428" i="3"/>
  <c r="L428" i="3"/>
  <c r="A429" i="3"/>
  <c r="B429" i="3"/>
  <c r="C429" i="3"/>
  <c r="G429" i="3"/>
  <c r="L429" i="3"/>
  <c r="A430" i="3"/>
  <c r="B430" i="3"/>
  <c r="C430" i="3"/>
  <c r="G430" i="3"/>
  <c r="A431" i="3"/>
  <c r="B431" i="3"/>
  <c r="C431" i="3"/>
  <c r="G431" i="3"/>
  <c r="L431" i="3"/>
  <c r="A432" i="3"/>
  <c r="B432" i="3"/>
  <c r="C432" i="3"/>
  <c r="G432" i="3"/>
  <c r="L432" i="3"/>
  <c r="A433" i="3"/>
  <c r="B433" i="3"/>
  <c r="C433" i="3"/>
  <c r="G433" i="3"/>
  <c r="L433" i="3"/>
  <c r="A434" i="3"/>
  <c r="B434" i="3"/>
  <c r="C434" i="3"/>
  <c r="G434" i="3"/>
  <c r="A435" i="3"/>
  <c r="B435" i="3"/>
  <c r="C435" i="3"/>
  <c r="G435" i="3"/>
  <c r="L435" i="3"/>
  <c r="A436" i="3"/>
  <c r="B436" i="3"/>
  <c r="C436" i="3"/>
  <c r="G436" i="3"/>
  <c r="L436" i="3"/>
  <c r="A437" i="3"/>
  <c r="B437" i="3"/>
  <c r="C437" i="3"/>
  <c r="G437" i="3"/>
  <c r="L437" i="3"/>
  <c r="A438" i="3"/>
  <c r="B438" i="3"/>
  <c r="C438" i="3"/>
  <c r="G438" i="3"/>
  <c r="A439" i="3"/>
  <c r="B439" i="3"/>
  <c r="C439" i="3"/>
  <c r="G439" i="3"/>
  <c r="L439" i="3"/>
  <c r="A440" i="3"/>
  <c r="B440" i="3"/>
  <c r="C440" i="3"/>
  <c r="G440" i="3"/>
  <c r="L440" i="3"/>
  <c r="A441" i="3"/>
  <c r="B441" i="3"/>
  <c r="C441" i="3"/>
  <c r="G441" i="3"/>
  <c r="L441" i="3"/>
  <c r="A442" i="3"/>
  <c r="B442" i="3"/>
  <c r="C442" i="3"/>
  <c r="G442" i="3"/>
  <c r="A443" i="3"/>
  <c r="B443" i="3"/>
  <c r="C443" i="3"/>
  <c r="G443" i="3"/>
  <c r="L443" i="3"/>
  <c r="A444" i="3"/>
  <c r="B444" i="3"/>
  <c r="C444" i="3"/>
  <c r="G444" i="3"/>
  <c r="L444" i="3"/>
  <c r="A445" i="3"/>
  <c r="B445" i="3"/>
  <c r="C445" i="3"/>
  <c r="G445" i="3"/>
  <c r="L445" i="3"/>
  <c r="A446" i="3"/>
  <c r="B446" i="3"/>
  <c r="C446" i="3"/>
  <c r="G446" i="3"/>
  <c r="A447" i="3"/>
  <c r="B447" i="3"/>
  <c r="C447" i="3"/>
  <c r="G447" i="3"/>
  <c r="L447" i="3"/>
  <c r="A448" i="3"/>
  <c r="B448" i="3"/>
  <c r="C448" i="3"/>
  <c r="G448" i="3"/>
  <c r="L448" i="3"/>
  <c r="A449" i="3"/>
  <c r="B449" i="3"/>
  <c r="C449" i="3"/>
  <c r="G449" i="3"/>
  <c r="L449" i="3"/>
  <c r="A450" i="3"/>
  <c r="B450" i="3"/>
  <c r="C450" i="3"/>
  <c r="G450" i="3"/>
  <c r="A451" i="3"/>
  <c r="B451" i="3"/>
  <c r="C451" i="3"/>
  <c r="G451" i="3"/>
  <c r="L451" i="3"/>
  <c r="A452" i="3"/>
  <c r="B452" i="3"/>
  <c r="C452" i="3"/>
  <c r="G452" i="3"/>
  <c r="L452" i="3"/>
  <c r="A453" i="3"/>
  <c r="B453" i="3"/>
  <c r="C453" i="3"/>
  <c r="H453" i="3"/>
  <c r="M453" i="3"/>
  <c r="L453" i="3"/>
  <c r="K453" i="3"/>
  <c r="A454" i="3"/>
  <c r="B454" i="3"/>
  <c r="C454" i="3"/>
  <c r="H454" i="3"/>
  <c r="G454" i="3"/>
  <c r="A455" i="3"/>
  <c r="B455" i="3"/>
  <c r="C455" i="3"/>
  <c r="H455" i="3"/>
  <c r="L455" i="3"/>
  <c r="K455" i="3"/>
  <c r="M455" i="3"/>
  <c r="A456" i="3"/>
  <c r="B456" i="3"/>
  <c r="C456" i="3"/>
  <c r="H456" i="3"/>
  <c r="G456" i="3"/>
  <c r="K456" i="3"/>
  <c r="M456" i="3"/>
  <c r="A457" i="3"/>
  <c r="B457" i="3"/>
  <c r="C457" i="3"/>
  <c r="H457" i="3"/>
  <c r="K457" i="3"/>
  <c r="M457" i="3"/>
  <c r="A458" i="3"/>
  <c r="B458" i="3"/>
  <c r="C458" i="3"/>
  <c r="H458" i="3"/>
  <c r="G458" i="3"/>
  <c r="M458" i="3"/>
  <c r="A459" i="3"/>
  <c r="B459" i="3"/>
  <c r="C459" i="3"/>
  <c r="G459" i="3"/>
  <c r="L459" i="3"/>
  <c r="K459" i="3"/>
  <c r="A460" i="3"/>
  <c r="B460" i="3"/>
  <c r="C460" i="3"/>
  <c r="G460" i="3"/>
  <c r="L460" i="3"/>
  <c r="A461" i="3"/>
  <c r="B461" i="3"/>
  <c r="C461" i="3"/>
  <c r="H461" i="3"/>
  <c r="M461" i="3"/>
  <c r="L461" i="3"/>
  <c r="K461" i="3"/>
  <c r="A462" i="3"/>
  <c r="B462" i="3"/>
  <c r="C462" i="3"/>
  <c r="H462" i="3"/>
  <c r="G462" i="3"/>
  <c r="A463" i="3"/>
  <c r="B463" i="3"/>
  <c r="C463" i="3"/>
  <c r="H463" i="3"/>
  <c r="L463" i="3"/>
  <c r="K463" i="3"/>
  <c r="M463" i="3"/>
  <c r="A464" i="3"/>
  <c r="B464" i="3"/>
  <c r="C464" i="3"/>
  <c r="H464" i="3"/>
  <c r="G464" i="3"/>
  <c r="K464" i="3"/>
  <c r="M464" i="3"/>
  <c r="A465" i="3"/>
  <c r="B465" i="3"/>
  <c r="C465" i="3"/>
  <c r="H465" i="3"/>
  <c r="K465" i="3"/>
  <c r="M465" i="3"/>
  <c r="A466" i="3"/>
  <c r="B466" i="3"/>
  <c r="C466" i="3"/>
  <c r="H466" i="3"/>
  <c r="G466" i="3"/>
  <c r="M466" i="3"/>
  <c r="A467" i="3"/>
  <c r="B467" i="3"/>
  <c r="C467" i="3"/>
  <c r="H467" i="3"/>
  <c r="G467" i="3"/>
  <c r="L467" i="3"/>
  <c r="K467" i="3"/>
  <c r="A468" i="3"/>
  <c r="B468" i="3"/>
  <c r="C468" i="3"/>
  <c r="H468" i="3"/>
  <c r="G468" i="3"/>
  <c r="L468" i="3"/>
  <c r="K468" i="3"/>
  <c r="M468" i="3"/>
  <c r="A469" i="3"/>
  <c r="B469" i="3"/>
  <c r="C469" i="3"/>
  <c r="H469" i="3"/>
  <c r="G469" i="3"/>
  <c r="L469" i="3"/>
  <c r="K469" i="3"/>
  <c r="A470" i="3"/>
  <c r="B470" i="3"/>
  <c r="C470" i="3"/>
  <c r="H470" i="3"/>
  <c r="G470" i="3"/>
  <c r="L470" i="3"/>
  <c r="M470" i="3"/>
  <c r="A471" i="3"/>
  <c r="B471" i="3"/>
  <c r="C471" i="3"/>
  <c r="G471" i="3"/>
  <c r="H471" i="3"/>
  <c r="L471" i="3"/>
  <c r="K471" i="3"/>
  <c r="M471" i="3"/>
  <c r="A472" i="3"/>
  <c r="B472" i="3"/>
  <c r="C472" i="3"/>
  <c r="G472" i="3"/>
  <c r="L472" i="3"/>
  <c r="K472" i="3"/>
  <c r="A473" i="3"/>
  <c r="B473" i="3"/>
  <c r="C473" i="3"/>
  <c r="H473" i="3"/>
  <c r="G473" i="3"/>
  <c r="K473" i="3"/>
  <c r="M473" i="3"/>
  <c r="A474" i="3"/>
  <c r="B474" i="3"/>
  <c r="C474" i="3"/>
  <c r="G474" i="3"/>
  <c r="M474" i="3"/>
  <c r="A475" i="3"/>
  <c r="B475" i="3"/>
  <c r="C475" i="3"/>
  <c r="H475" i="3"/>
  <c r="G475" i="3"/>
  <c r="L475" i="3"/>
  <c r="K475" i="3"/>
  <c r="A476" i="3"/>
  <c r="B476" i="3"/>
  <c r="C476" i="3"/>
  <c r="H476" i="3"/>
  <c r="G476" i="3"/>
  <c r="L476" i="3"/>
  <c r="K476" i="3"/>
  <c r="M476" i="3"/>
  <c r="A477" i="3"/>
  <c r="B477" i="3"/>
  <c r="C477" i="3"/>
  <c r="H477" i="3"/>
  <c r="G477" i="3"/>
  <c r="L477" i="3"/>
  <c r="K477" i="3"/>
  <c r="A478" i="3"/>
  <c r="B478" i="3"/>
  <c r="C478" i="3"/>
  <c r="H478" i="3"/>
  <c r="G478" i="3"/>
  <c r="M478" i="3"/>
  <c r="A479" i="3"/>
  <c r="B479" i="3"/>
  <c r="C479" i="3"/>
  <c r="M479" i="3"/>
  <c r="G479" i="3"/>
  <c r="H479" i="3"/>
  <c r="L479" i="3"/>
  <c r="K479" i="3"/>
  <c r="A480" i="3"/>
  <c r="B480" i="3"/>
  <c r="C480" i="3"/>
  <c r="G480" i="3"/>
  <c r="L480" i="3"/>
  <c r="K480" i="3"/>
  <c r="A481" i="3"/>
  <c r="B481" i="3"/>
  <c r="C481" i="3"/>
  <c r="H481" i="3"/>
  <c r="G481" i="3"/>
  <c r="K481" i="3"/>
  <c r="M481" i="3"/>
  <c r="A482" i="3"/>
  <c r="B482" i="3"/>
  <c r="C482" i="3"/>
  <c r="G482" i="3"/>
  <c r="M482" i="3"/>
  <c r="A483" i="3"/>
  <c r="B483" i="3"/>
  <c r="C483" i="3"/>
  <c r="H483" i="3"/>
  <c r="G483" i="3"/>
  <c r="L483" i="3"/>
  <c r="K483" i="3"/>
  <c r="A484" i="3"/>
  <c r="B484" i="3"/>
  <c r="C484" i="3"/>
  <c r="G484" i="3"/>
  <c r="L484" i="3"/>
  <c r="K484" i="3"/>
  <c r="A485" i="3"/>
  <c r="B485" i="3"/>
  <c r="C485" i="3"/>
  <c r="H485" i="3"/>
  <c r="G485" i="3"/>
  <c r="L485" i="3"/>
  <c r="K485" i="3"/>
  <c r="A486" i="3"/>
  <c r="B486" i="3"/>
  <c r="C486" i="3"/>
  <c r="H486" i="3"/>
  <c r="G486" i="3"/>
  <c r="M486" i="3"/>
  <c r="A487" i="3"/>
  <c r="B487" i="3"/>
  <c r="C487" i="3"/>
  <c r="G487" i="3"/>
  <c r="H487" i="3"/>
  <c r="L487" i="3"/>
  <c r="K487" i="3"/>
  <c r="M487" i="3"/>
  <c r="A488" i="3"/>
  <c r="B488" i="3"/>
  <c r="C488" i="3"/>
  <c r="H488" i="3"/>
  <c r="G488" i="3"/>
  <c r="K488" i="3"/>
  <c r="L488" i="3"/>
  <c r="M488" i="3"/>
  <c r="A489" i="3"/>
  <c r="B489" i="3"/>
  <c r="C489" i="3"/>
  <c r="G489" i="3"/>
  <c r="H489" i="3"/>
  <c r="L489" i="3"/>
  <c r="K489" i="3"/>
  <c r="M489" i="3"/>
  <c r="A490" i="3"/>
  <c r="B490" i="3"/>
  <c r="C490" i="3"/>
  <c r="H490" i="3"/>
  <c r="G490" i="3"/>
  <c r="M490" i="3"/>
  <c r="A491" i="3"/>
  <c r="B491" i="3"/>
  <c r="C491" i="3"/>
  <c r="G491" i="3"/>
  <c r="H491" i="3"/>
  <c r="L491" i="3"/>
  <c r="K491" i="3"/>
  <c r="M491" i="3"/>
  <c r="A492" i="3"/>
  <c r="B492" i="3"/>
  <c r="C492" i="3"/>
  <c r="H492" i="3"/>
  <c r="M492" i="3" s="1"/>
  <c r="G492" i="3"/>
  <c r="K492" i="3"/>
  <c r="L492" i="3"/>
  <c r="A493" i="3"/>
  <c r="B493" i="3"/>
  <c r="C493" i="3"/>
  <c r="G493" i="3"/>
  <c r="H493" i="3"/>
  <c r="L493" i="3"/>
  <c r="K493" i="3"/>
  <c r="M493" i="3"/>
  <c r="A494" i="3"/>
  <c r="B494" i="3"/>
  <c r="C494" i="3"/>
  <c r="H494" i="3"/>
  <c r="G494" i="3"/>
  <c r="K494" i="3"/>
  <c r="M494" i="3"/>
  <c r="A495" i="3"/>
  <c r="B495" i="3"/>
  <c r="C495" i="3"/>
  <c r="G495" i="3"/>
  <c r="H495" i="3"/>
  <c r="M495" i="3" s="1"/>
  <c r="L495" i="3"/>
  <c r="K495" i="3"/>
  <c r="A496" i="3"/>
  <c r="B496" i="3"/>
  <c r="C496" i="3"/>
  <c r="H496" i="3"/>
  <c r="M496" i="3" s="1"/>
  <c r="G496" i="3"/>
  <c r="K496" i="3"/>
  <c r="L496" i="3"/>
  <c r="A497" i="3"/>
  <c r="B497" i="3"/>
  <c r="C497" i="3"/>
  <c r="G497" i="3"/>
  <c r="H497" i="3"/>
  <c r="L497" i="3"/>
  <c r="K497" i="3"/>
  <c r="M497" i="3"/>
  <c r="A498" i="3"/>
  <c r="B498" i="3"/>
  <c r="C498" i="3"/>
  <c r="H498" i="3"/>
  <c r="G498" i="3"/>
  <c r="M498" i="3"/>
  <c r="A499" i="3"/>
  <c r="B499" i="3"/>
  <c r="C499" i="3"/>
  <c r="G499" i="3"/>
  <c r="H499" i="3"/>
  <c r="L499" i="3"/>
  <c r="K499" i="3"/>
  <c r="M499" i="3"/>
  <c r="A500" i="3"/>
  <c r="B500" i="3"/>
  <c r="C500" i="3"/>
  <c r="H500" i="3"/>
  <c r="G500" i="3"/>
  <c r="K500" i="3"/>
  <c r="L500" i="3"/>
  <c r="M500" i="3"/>
  <c r="A501" i="3"/>
  <c r="B501" i="3"/>
  <c r="C501" i="3"/>
  <c r="G501" i="3"/>
  <c r="H501" i="3"/>
  <c r="L501" i="3"/>
  <c r="K501" i="3"/>
  <c r="M501" i="3"/>
  <c r="A302" i="3"/>
  <c r="B302" i="3"/>
  <c r="C302" i="3"/>
  <c r="H302" i="3"/>
  <c r="G302" i="3"/>
  <c r="M302" i="3"/>
  <c r="A303" i="3"/>
  <c r="B303" i="3"/>
  <c r="C303" i="3"/>
  <c r="H303" i="3"/>
  <c r="G303" i="3"/>
  <c r="L303" i="3"/>
  <c r="K303" i="3"/>
  <c r="M303" i="3"/>
  <c r="A304" i="3"/>
  <c r="B304" i="3"/>
  <c r="C304" i="3"/>
  <c r="H304" i="3"/>
  <c r="G304" i="3"/>
  <c r="L304" i="3"/>
  <c r="M304" i="3"/>
  <c r="A305" i="3"/>
  <c r="B305" i="3"/>
  <c r="C305" i="3"/>
  <c r="H305" i="3"/>
  <c r="L305" i="3"/>
  <c r="K305" i="3"/>
  <c r="M305" i="3"/>
  <c r="A306" i="3"/>
  <c r="B306" i="3"/>
  <c r="C306" i="3"/>
  <c r="H306" i="3"/>
  <c r="G306" i="3"/>
  <c r="M306" i="3"/>
  <c r="A307" i="3"/>
  <c r="B307" i="3"/>
  <c r="C307" i="3"/>
  <c r="H307" i="3"/>
  <c r="L307" i="3"/>
  <c r="K307" i="3"/>
  <c r="M307" i="3"/>
  <c r="A308" i="3"/>
  <c r="B308" i="3"/>
  <c r="C308" i="3"/>
  <c r="H308" i="3"/>
  <c r="G308" i="3"/>
  <c r="L308" i="3"/>
  <c r="M308" i="3"/>
  <c r="A309" i="3"/>
  <c r="B309" i="3"/>
  <c r="C309" i="3"/>
  <c r="H309" i="3"/>
  <c r="L309" i="3"/>
  <c r="K309" i="3"/>
  <c r="M309" i="3"/>
  <c r="A310" i="3"/>
  <c r="B310" i="3"/>
  <c r="C310" i="3"/>
  <c r="H310" i="3"/>
  <c r="G310" i="3"/>
  <c r="M310" i="3"/>
  <c r="A311" i="3"/>
  <c r="B311" i="3"/>
  <c r="C311" i="3"/>
  <c r="H311" i="3"/>
  <c r="L311" i="3"/>
  <c r="M311" i="3"/>
  <c r="A312" i="3"/>
  <c r="B312" i="3"/>
  <c r="C312" i="3"/>
  <c r="H312" i="3"/>
  <c r="L312" i="3"/>
  <c r="M312" i="3"/>
  <c r="A313" i="3"/>
  <c r="B313" i="3"/>
  <c r="C313" i="3"/>
  <c r="H313" i="3"/>
  <c r="L313" i="3"/>
  <c r="M313" i="3"/>
  <c r="A314" i="3"/>
  <c r="B314" i="3"/>
  <c r="C314" i="3"/>
  <c r="H314" i="3"/>
  <c r="M314" i="3"/>
  <c r="A315" i="3"/>
  <c r="B315" i="3"/>
  <c r="C315" i="3"/>
  <c r="H315" i="3"/>
  <c r="L315" i="3"/>
  <c r="M315" i="3"/>
  <c r="A316" i="3"/>
  <c r="B316" i="3"/>
  <c r="C316" i="3"/>
  <c r="H316" i="3"/>
  <c r="L316" i="3"/>
  <c r="M316" i="3"/>
  <c r="A317" i="3"/>
  <c r="B317" i="3"/>
  <c r="C317" i="3"/>
  <c r="H317" i="3"/>
  <c r="L317" i="3"/>
  <c r="M317" i="3"/>
  <c r="A318" i="3"/>
  <c r="B318" i="3"/>
  <c r="C318" i="3"/>
  <c r="H318" i="3"/>
  <c r="M318" i="3"/>
  <c r="A319" i="3"/>
  <c r="B319" i="3"/>
  <c r="C319" i="3"/>
  <c r="H319" i="3"/>
  <c r="L319" i="3"/>
  <c r="M319" i="3"/>
  <c r="A320" i="3"/>
  <c r="B320" i="3"/>
  <c r="C320" i="3"/>
  <c r="H320" i="3"/>
  <c r="M320" i="3"/>
  <c r="L320" i="3"/>
  <c r="A321" i="3"/>
  <c r="B321" i="3"/>
  <c r="C321" i="3"/>
  <c r="H321" i="3"/>
  <c r="M321" i="3"/>
  <c r="L321" i="3"/>
  <c r="A322" i="3"/>
  <c r="B322" i="3"/>
  <c r="C322" i="3"/>
  <c r="H322" i="3"/>
  <c r="M322" i="3"/>
  <c r="L322" i="3"/>
  <c r="A323" i="3"/>
  <c r="B323" i="3"/>
  <c r="C323" i="3"/>
  <c r="H323" i="3"/>
  <c r="M323" i="3"/>
  <c r="L323" i="3"/>
  <c r="A324" i="3"/>
  <c r="B324" i="3"/>
  <c r="C324" i="3"/>
  <c r="H324" i="3"/>
  <c r="M324" i="3"/>
  <c r="L324" i="3"/>
  <c r="A325" i="3"/>
  <c r="B325" i="3"/>
  <c r="C325" i="3"/>
  <c r="H325" i="3"/>
  <c r="M325" i="3"/>
  <c r="L325" i="3"/>
  <c r="A326" i="3"/>
  <c r="B326" i="3"/>
  <c r="C326" i="3"/>
  <c r="H326" i="3"/>
  <c r="M326" i="3"/>
  <c r="L326" i="3"/>
  <c r="A327" i="3"/>
  <c r="B327" i="3"/>
  <c r="C327" i="3"/>
  <c r="H327" i="3"/>
  <c r="M327" i="3"/>
  <c r="L327" i="3"/>
  <c r="A328" i="3"/>
  <c r="B328" i="3"/>
  <c r="C328" i="3"/>
  <c r="H328" i="3"/>
  <c r="M328" i="3"/>
  <c r="L328" i="3"/>
  <c r="A329" i="3"/>
  <c r="B329" i="3"/>
  <c r="C329" i="3"/>
  <c r="H329" i="3"/>
  <c r="M329" i="3"/>
  <c r="L329" i="3"/>
  <c r="A330" i="3"/>
  <c r="B330" i="3"/>
  <c r="C330" i="3"/>
  <c r="H330" i="3"/>
  <c r="M330" i="3"/>
  <c r="L330" i="3"/>
  <c r="A331" i="3"/>
  <c r="B331" i="3"/>
  <c r="C331" i="3"/>
  <c r="H331" i="3"/>
  <c r="M331" i="3"/>
  <c r="L331" i="3"/>
  <c r="A332" i="3"/>
  <c r="B332" i="3"/>
  <c r="C332" i="3"/>
  <c r="H332" i="3"/>
  <c r="M332" i="3"/>
  <c r="L332" i="3"/>
  <c r="A333" i="3"/>
  <c r="B333" i="3"/>
  <c r="C333" i="3"/>
  <c r="H333" i="3"/>
  <c r="M333" i="3"/>
  <c r="L333" i="3"/>
  <c r="A334" i="3"/>
  <c r="B334" i="3"/>
  <c r="C334" i="3"/>
  <c r="H334" i="3"/>
  <c r="M334" i="3"/>
  <c r="L334" i="3"/>
  <c r="A335" i="3"/>
  <c r="B335" i="3"/>
  <c r="C335" i="3"/>
  <c r="H335" i="3"/>
  <c r="M335" i="3"/>
  <c r="L335" i="3"/>
  <c r="A336" i="3"/>
  <c r="B336" i="3"/>
  <c r="C336" i="3"/>
  <c r="H336" i="3"/>
  <c r="M336" i="3"/>
  <c r="L336" i="3"/>
  <c r="A337" i="3"/>
  <c r="B337" i="3"/>
  <c r="C337" i="3"/>
  <c r="H337" i="3"/>
  <c r="M337" i="3"/>
  <c r="L337" i="3"/>
  <c r="A338" i="3"/>
  <c r="B338" i="3"/>
  <c r="C338" i="3"/>
  <c r="H338" i="3"/>
  <c r="M338" i="3"/>
  <c r="L338" i="3"/>
  <c r="A339" i="3"/>
  <c r="B339" i="3"/>
  <c r="C339" i="3"/>
  <c r="H339" i="3"/>
  <c r="M339" i="3"/>
  <c r="L339" i="3"/>
  <c r="A340" i="3"/>
  <c r="B340" i="3"/>
  <c r="C340" i="3"/>
  <c r="H340" i="3"/>
  <c r="M340" i="3"/>
  <c r="L340" i="3"/>
  <c r="A341" i="3"/>
  <c r="B341" i="3"/>
  <c r="C341" i="3"/>
  <c r="H341" i="3"/>
  <c r="M341" i="3"/>
  <c r="L341" i="3"/>
  <c r="A342" i="3"/>
  <c r="B342" i="3"/>
  <c r="C342" i="3"/>
  <c r="H342" i="3"/>
  <c r="M342" i="3"/>
  <c r="L342" i="3"/>
  <c r="A343" i="3"/>
  <c r="B343" i="3"/>
  <c r="C343" i="3"/>
  <c r="H343" i="3"/>
  <c r="M343" i="3"/>
  <c r="L343" i="3"/>
  <c r="A344" i="3"/>
  <c r="B344" i="3"/>
  <c r="C344" i="3"/>
  <c r="H344" i="3"/>
  <c r="M344" i="3"/>
  <c r="L344" i="3"/>
  <c r="A345" i="3"/>
  <c r="B345" i="3"/>
  <c r="C345" i="3"/>
  <c r="H345" i="3"/>
  <c r="M345" i="3"/>
  <c r="L345" i="3"/>
  <c r="A346" i="3"/>
  <c r="B346" i="3"/>
  <c r="C346" i="3"/>
  <c r="H346" i="3"/>
  <c r="M346" i="3"/>
  <c r="L346" i="3"/>
  <c r="A347" i="3"/>
  <c r="B347" i="3"/>
  <c r="C347" i="3"/>
  <c r="H347" i="3"/>
  <c r="M347" i="3"/>
  <c r="L347" i="3"/>
  <c r="A348" i="3"/>
  <c r="B348" i="3"/>
  <c r="C348" i="3"/>
  <c r="H348" i="3"/>
  <c r="M348" i="3"/>
  <c r="L348" i="3"/>
  <c r="A349" i="3"/>
  <c r="B349" i="3"/>
  <c r="C349" i="3"/>
  <c r="H349" i="3"/>
  <c r="M349" i="3"/>
  <c r="L349" i="3"/>
  <c r="A350" i="3"/>
  <c r="B350" i="3"/>
  <c r="C350" i="3"/>
  <c r="H350" i="3"/>
  <c r="M350" i="3"/>
  <c r="L350" i="3"/>
  <c r="A351" i="3"/>
  <c r="B351" i="3"/>
  <c r="C351" i="3"/>
  <c r="H351" i="3"/>
  <c r="M351" i="3"/>
  <c r="L351" i="3"/>
  <c r="A352" i="3"/>
  <c r="B352" i="3"/>
  <c r="C352" i="3"/>
  <c r="H352" i="3"/>
  <c r="M352" i="3"/>
  <c r="L352" i="3"/>
  <c r="A353" i="3"/>
  <c r="B353" i="3"/>
  <c r="C353" i="3"/>
  <c r="H353" i="3"/>
  <c r="M353" i="3"/>
  <c r="L353" i="3"/>
  <c r="A354" i="3"/>
  <c r="B354" i="3"/>
  <c r="C354" i="3"/>
  <c r="H354" i="3"/>
  <c r="M354" i="3"/>
  <c r="L354" i="3"/>
  <c r="A355" i="3"/>
  <c r="B355" i="3"/>
  <c r="C355" i="3"/>
  <c r="H355" i="3"/>
  <c r="M355" i="3"/>
  <c r="L355" i="3"/>
  <c r="A356" i="3"/>
  <c r="B356" i="3"/>
  <c r="C356" i="3"/>
  <c r="H356" i="3"/>
  <c r="M356" i="3"/>
  <c r="G356" i="3"/>
  <c r="L356" i="3"/>
  <c r="A357" i="3"/>
  <c r="B357" i="3"/>
  <c r="C357" i="3"/>
  <c r="G357" i="3"/>
  <c r="L357" i="3"/>
  <c r="K357" i="3"/>
  <c r="A358" i="3"/>
  <c r="B358" i="3"/>
  <c r="C358" i="3"/>
  <c r="H358" i="3"/>
  <c r="M358" i="3"/>
  <c r="A359" i="3"/>
  <c r="B359" i="3"/>
  <c r="C359" i="3"/>
  <c r="H359" i="3"/>
  <c r="L359" i="3"/>
  <c r="K359" i="3"/>
  <c r="M359" i="3"/>
  <c r="A360" i="3"/>
  <c r="B360" i="3"/>
  <c r="C360" i="3"/>
  <c r="H360" i="3"/>
  <c r="G360" i="3"/>
  <c r="K360" i="3"/>
  <c r="M360" i="3"/>
  <c r="A361" i="3"/>
  <c r="B361" i="3"/>
  <c r="C361" i="3"/>
  <c r="H361" i="3"/>
  <c r="K361" i="3"/>
  <c r="M361" i="3"/>
  <c r="A362" i="3"/>
  <c r="B362" i="3"/>
  <c r="C362" i="3"/>
  <c r="G362" i="3"/>
  <c r="M362" i="3"/>
  <c r="A363" i="3"/>
  <c r="B363" i="3"/>
  <c r="C363" i="3"/>
  <c r="G363" i="3"/>
  <c r="K363" i="3"/>
  <c r="A364" i="3"/>
  <c r="B364" i="3"/>
  <c r="C364" i="3"/>
  <c r="H364" i="3"/>
  <c r="M364" i="3"/>
  <c r="G364" i="3"/>
  <c r="L364" i="3"/>
  <c r="A365" i="3"/>
  <c r="B365" i="3"/>
  <c r="C365" i="3"/>
  <c r="G365" i="3"/>
  <c r="L365" i="3"/>
  <c r="K365" i="3"/>
  <c r="A366" i="3"/>
  <c r="B366" i="3"/>
  <c r="C366" i="3"/>
  <c r="H366" i="3"/>
  <c r="M366" i="3"/>
  <c r="A367" i="3"/>
  <c r="B367" i="3"/>
  <c r="C367" i="3"/>
  <c r="H367" i="3"/>
  <c r="L367" i="3"/>
  <c r="K367" i="3"/>
  <c r="M367" i="3"/>
  <c r="A368" i="3"/>
  <c r="B368" i="3"/>
  <c r="C368" i="3"/>
  <c r="H368" i="3"/>
  <c r="G368" i="3"/>
  <c r="K368" i="3"/>
  <c r="M368" i="3"/>
  <c r="A369" i="3"/>
  <c r="B369" i="3"/>
  <c r="C369" i="3"/>
  <c r="M369" i="3"/>
  <c r="G369" i="3"/>
  <c r="H369" i="3"/>
  <c r="L369" i="3"/>
  <c r="K369" i="3"/>
  <c r="A370" i="3"/>
  <c r="B370" i="3"/>
  <c r="C370" i="3"/>
  <c r="G370" i="3"/>
  <c r="M370" i="3"/>
  <c r="A371" i="3"/>
  <c r="B371" i="3"/>
  <c r="C371" i="3"/>
  <c r="H371" i="3"/>
  <c r="G371" i="3"/>
  <c r="K371" i="3"/>
  <c r="M371" i="3"/>
  <c r="A372" i="3"/>
  <c r="B372" i="3"/>
  <c r="C372" i="3"/>
  <c r="M372" i="3"/>
  <c r="L372" i="3"/>
  <c r="K372" i="3"/>
  <c r="A373" i="3"/>
  <c r="B373" i="3"/>
  <c r="C373" i="3"/>
  <c r="H373" i="3"/>
  <c r="G373" i="3"/>
  <c r="K373" i="3"/>
  <c r="M373" i="3"/>
  <c r="A374" i="3"/>
  <c r="B374" i="3"/>
  <c r="C374" i="3"/>
  <c r="H374" i="3"/>
  <c r="G374" i="3"/>
  <c r="M374" i="3"/>
  <c r="A375" i="3"/>
  <c r="B375" i="3"/>
  <c r="C375" i="3"/>
  <c r="H375" i="3"/>
  <c r="M375" i="3"/>
  <c r="G375" i="3"/>
  <c r="L375" i="3"/>
  <c r="K375" i="3"/>
  <c r="A376" i="3"/>
  <c r="B376" i="3"/>
  <c r="C376" i="3"/>
  <c r="H376" i="3"/>
  <c r="G376" i="3"/>
  <c r="K376" i="3"/>
  <c r="L376" i="3"/>
  <c r="M376" i="3"/>
  <c r="A377" i="3"/>
  <c r="B377" i="3"/>
  <c r="C377" i="3"/>
  <c r="M377" i="3"/>
  <c r="G377" i="3"/>
  <c r="H377" i="3"/>
  <c r="L377" i="3"/>
  <c r="K377" i="3"/>
  <c r="A378" i="3"/>
  <c r="B378" i="3"/>
  <c r="C378" i="3"/>
  <c r="L378" i="3"/>
  <c r="A379" i="3"/>
  <c r="B379" i="3"/>
  <c r="C379" i="3"/>
  <c r="H379" i="3"/>
  <c r="G379" i="3"/>
  <c r="L379" i="3"/>
  <c r="K379" i="3"/>
  <c r="M379" i="3"/>
  <c r="A380" i="3"/>
  <c r="B380" i="3"/>
  <c r="C380" i="3"/>
  <c r="M380" i="3"/>
  <c r="L380" i="3"/>
  <c r="K380" i="3"/>
  <c r="A381" i="3"/>
  <c r="B381" i="3"/>
  <c r="C381" i="3"/>
  <c r="H381" i="3"/>
  <c r="G381" i="3"/>
  <c r="K381" i="3"/>
  <c r="M381" i="3"/>
  <c r="A382" i="3"/>
  <c r="B382" i="3"/>
  <c r="C382" i="3"/>
  <c r="H382" i="3"/>
  <c r="G382" i="3"/>
  <c r="M382" i="3"/>
  <c r="A383" i="3"/>
  <c r="B383" i="3"/>
  <c r="C383" i="3"/>
  <c r="H383" i="3"/>
  <c r="M383" i="3"/>
  <c r="G383" i="3"/>
  <c r="L383" i="3"/>
  <c r="K383" i="3"/>
  <c r="A384" i="3"/>
  <c r="B384" i="3"/>
  <c r="C384" i="3"/>
  <c r="H384" i="3"/>
  <c r="G384" i="3"/>
  <c r="K384" i="3"/>
  <c r="L384" i="3"/>
  <c r="M384" i="3"/>
  <c r="A385" i="3"/>
  <c r="B385" i="3"/>
  <c r="C385" i="3"/>
  <c r="M385" i="3"/>
  <c r="G385" i="3"/>
  <c r="H385" i="3"/>
  <c r="L385" i="3"/>
  <c r="K385" i="3"/>
  <c r="A386" i="3"/>
  <c r="B386" i="3"/>
  <c r="C386" i="3"/>
  <c r="M386" i="3"/>
  <c r="A387" i="3"/>
  <c r="B387" i="3"/>
  <c r="C387" i="3"/>
  <c r="H387" i="3"/>
  <c r="G387" i="3"/>
  <c r="L387" i="3"/>
  <c r="K387" i="3"/>
  <c r="M387" i="3"/>
  <c r="A388" i="3"/>
  <c r="B388" i="3"/>
  <c r="C388" i="3"/>
  <c r="H388" i="3"/>
  <c r="G388" i="3"/>
  <c r="L388" i="3"/>
  <c r="K388" i="3"/>
  <c r="M388" i="3"/>
  <c r="A389" i="3"/>
  <c r="B389" i="3"/>
  <c r="C389" i="3"/>
  <c r="H389" i="3"/>
  <c r="M389" i="3" s="1"/>
  <c r="G389" i="3"/>
  <c r="L389" i="3"/>
  <c r="K389" i="3"/>
  <c r="A390" i="3"/>
  <c r="B390" i="3"/>
  <c r="C390" i="3"/>
  <c r="H390" i="3"/>
  <c r="G390" i="3"/>
  <c r="M390" i="3"/>
  <c r="A391" i="3"/>
  <c r="B391" i="3"/>
  <c r="C391" i="3"/>
  <c r="H391" i="3"/>
  <c r="G391" i="3"/>
  <c r="L391" i="3"/>
  <c r="K391" i="3"/>
  <c r="M391" i="3"/>
  <c r="A392" i="3"/>
  <c r="B392" i="3"/>
  <c r="C392" i="3"/>
  <c r="H392" i="3"/>
  <c r="M392" i="3" s="1"/>
  <c r="G392" i="3"/>
  <c r="L392" i="3"/>
  <c r="K392" i="3"/>
  <c r="A393" i="3"/>
  <c r="B393" i="3"/>
  <c r="C393" i="3"/>
  <c r="H393" i="3"/>
  <c r="M393" i="3" s="1"/>
  <c r="G393" i="3"/>
  <c r="L393" i="3"/>
  <c r="K393" i="3"/>
  <c r="A394" i="3"/>
  <c r="B394" i="3"/>
  <c r="C394" i="3"/>
  <c r="H394" i="3"/>
  <c r="M394" i="3" s="1"/>
  <c r="G394" i="3"/>
  <c r="K394" i="3"/>
  <c r="A395" i="3"/>
  <c r="B395" i="3"/>
  <c r="C395" i="3"/>
  <c r="H395" i="3"/>
  <c r="M395" i="3" s="1"/>
  <c r="G395" i="3"/>
  <c r="L395" i="3"/>
  <c r="K395" i="3"/>
  <c r="A396" i="3"/>
  <c r="B396" i="3"/>
  <c r="C396" i="3"/>
  <c r="H396" i="3"/>
  <c r="M396" i="3" s="1"/>
  <c r="G396" i="3"/>
  <c r="L396" i="3"/>
  <c r="K396" i="3"/>
  <c r="A397" i="3"/>
  <c r="B397" i="3"/>
  <c r="C397" i="3"/>
  <c r="H397" i="3"/>
  <c r="G397" i="3"/>
  <c r="L397" i="3"/>
  <c r="K397" i="3"/>
  <c r="M397" i="3"/>
  <c r="A398" i="3"/>
  <c r="B398" i="3"/>
  <c r="C398" i="3"/>
  <c r="H398" i="3"/>
  <c r="M398" i="3" s="1"/>
  <c r="A399" i="3"/>
  <c r="B399" i="3"/>
  <c r="C399" i="3"/>
  <c r="H399" i="3"/>
  <c r="M399" i="3" s="1"/>
  <c r="G399" i="3"/>
  <c r="L399" i="3"/>
  <c r="K399" i="3"/>
  <c r="A400" i="3"/>
  <c r="B400" i="3"/>
  <c r="C400" i="3"/>
  <c r="H400" i="3"/>
  <c r="M400" i="3" s="1"/>
  <c r="L400" i="3"/>
  <c r="K400" i="3"/>
  <c r="A401" i="3"/>
  <c r="B401" i="3"/>
  <c r="C401" i="3"/>
  <c r="H401" i="3"/>
  <c r="M401" i="3" s="1"/>
  <c r="G401" i="3"/>
  <c r="L401" i="3"/>
  <c r="K401" i="3"/>
  <c r="A202" i="3"/>
  <c r="B202" i="3"/>
  <c r="C202" i="3"/>
  <c r="H202" i="3"/>
  <c r="M202" i="3" s="1"/>
  <c r="G202" i="3"/>
  <c r="A203" i="3"/>
  <c r="B203" i="3"/>
  <c r="C203" i="3"/>
  <c r="H203" i="3"/>
  <c r="G203" i="3"/>
  <c r="L203" i="3"/>
  <c r="K203" i="3"/>
  <c r="M203" i="3"/>
  <c r="A204" i="3"/>
  <c r="B204" i="3"/>
  <c r="C204" i="3"/>
  <c r="H204" i="3"/>
  <c r="G204" i="3"/>
  <c r="L204" i="3"/>
  <c r="K204" i="3"/>
  <c r="M204" i="3"/>
  <c r="A205" i="3"/>
  <c r="B205" i="3"/>
  <c r="C205" i="3"/>
  <c r="H205" i="3"/>
  <c r="L205" i="3"/>
  <c r="K205" i="3"/>
  <c r="M205" i="3"/>
  <c r="A206" i="3"/>
  <c r="B206" i="3"/>
  <c r="C206" i="3"/>
  <c r="H206" i="3"/>
  <c r="M206" i="3" s="1"/>
  <c r="G206" i="3"/>
  <c r="A207" i="3"/>
  <c r="B207" i="3"/>
  <c r="C207" i="3"/>
  <c r="H207" i="3"/>
  <c r="G207" i="3"/>
  <c r="L207" i="3"/>
  <c r="K207" i="3"/>
  <c r="M207" i="3"/>
  <c r="A208" i="3"/>
  <c r="B208" i="3"/>
  <c r="C208" i="3"/>
  <c r="H208" i="3"/>
  <c r="M208" i="3" s="1"/>
  <c r="G208" i="3"/>
  <c r="L208" i="3"/>
  <c r="K208" i="3"/>
  <c r="A209" i="3"/>
  <c r="B209" i="3"/>
  <c r="C209" i="3"/>
  <c r="H209" i="3"/>
  <c r="G209" i="3"/>
  <c r="L209" i="3"/>
  <c r="K209" i="3"/>
  <c r="M209" i="3"/>
  <c r="A210" i="3"/>
  <c r="B210" i="3"/>
  <c r="C210" i="3"/>
  <c r="H210" i="3"/>
  <c r="G210" i="3"/>
  <c r="L210" i="3"/>
  <c r="M210" i="3"/>
  <c r="A211" i="3"/>
  <c r="B211" i="3"/>
  <c r="C211" i="3"/>
  <c r="H211" i="3"/>
  <c r="G211" i="3"/>
  <c r="L211" i="3"/>
  <c r="M211" i="3"/>
  <c r="A212" i="3"/>
  <c r="B212" i="3"/>
  <c r="C212" i="3"/>
  <c r="H212" i="3"/>
  <c r="L212" i="3"/>
  <c r="M212" i="3"/>
  <c r="A213" i="3"/>
  <c r="B213" i="3"/>
  <c r="C213" i="3"/>
  <c r="H213" i="3"/>
  <c r="L213" i="3"/>
  <c r="M213" i="3"/>
  <c r="A214" i="3"/>
  <c r="B214" i="3"/>
  <c r="C214" i="3"/>
  <c r="H214" i="3"/>
  <c r="M214" i="3" s="1"/>
  <c r="A215" i="3"/>
  <c r="B215" i="3"/>
  <c r="C215" i="3"/>
  <c r="H215" i="3"/>
  <c r="L215" i="3"/>
  <c r="M215" i="3"/>
  <c r="A216" i="3"/>
  <c r="B216" i="3"/>
  <c r="C216" i="3"/>
  <c r="H216" i="3"/>
  <c r="L216" i="3"/>
  <c r="M216" i="3"/>
  <c r="A217" i="3"/>
  <c r="B217" i="3"/>
  <c r="C217" i="3"/>
  <c r="H217" i="3"/>
  <c r="L217" i="3"/>
  <c r="M217" i="3"/>
  <c r="A218" i="3"/>
  <c r="B218" i="3"/>
  <c r="C218" i="3"/>
  <c r="H218" i="3"/>
  <c r="L218" i="3"/>
  <c r="M218" i="3"/>
  <c r="A219" i="3"/>
  <c r="B219" i="3"/>
  <c r="C219" i="3"/>
  <c r="H219" i="3"/>
  <c r="L219" i="3"/>
  <c r="M219" i="3"/>
  <c r="A220" i="3"/>
  <c r="B220" i="3"/>
  <c r="C220" i="3"/>
  <c r="H220" i="3"/>
  <c r="M220" i="3" s="1"/>
  <c r="L220" i="3"/>
  <c r="A221" i="3"/>
  <c r="B221" i="3"/>
  <c r="C221" i="3"/>
  <c r="H221" i="3"/>
  <c r="L221" i="3"/>
  <c r="M221" i="3"/>
  <c r="A222" i="3"/>
  <c r="B222" i="3"/>
  <c r="C222" i="3"/>
  <c r="H222" i="3"/>
  <c r="M222" i="3"/>
  <c r="A223" i="3"/>
  <c r="B223" i="3"/>
  <c r="C223" i="3"/>
  <c r="H223" i="3"/>
  <c r="L223" i="3"/>
  <c r="M223" i="3"/>
  <c r="A224" i="3"/>
  <c r="B224" i="3"/>
  <c r="C224" i="3"/>
  <c r="H224" i="3"/>
  <c r="L224" i="3"/>
  <c r="M224" i="3"/>
  <c r="A225" i="3"/>
  <c r="B225" i="3"/>
  <c r="C225" i="3"/>
  <c r="H225" i="3"/>
  <c r="L225" i="3"/>
  <c r="M225" i="3"/>
  <c r="A226" i="3"/>
  <c r="B226" i="3"/>
  <c r="C226" i="3"/>
  <c r="H226" i="3"/>
  <c r="M226" i="3"/>
  <c r="A227" i="3"/>
  <c r="B227" i="3"/>
  <c r="C227" i="3"/>
  <c r="H227" i="3"/>
  <c r="M227" i="3"/>
  <c r="L227" i="3"/>
  <c r="A228" i="3"/>
  <c r="B228" i="3"/>
  <c r="C228" i="3"/>
  <c r="H228" i="3"/>
  <c r="M228" i="3"/>
  <c r="L228" i="3"/>
  <c r="A229" i="3"/>
  <c r="B229" i="3"/>
  <c r="C229" i="3"/>
  <c r="H229" i="3"/>
  <c r="M229" i="3"/>
  <c r="L229" i="3"/>
  <c r="A230" i="3"/>
  <c r="B230" i="3"/>
  <c r="C230" i="3"/>
  <c r="H230" i="3"/>
  <c r="M230" i="3" s="1"/>
  <c r="A231" i="3"/>
  <c r="B231" i="3"/>
  <c r="C231" i="3"/>
  <c r="H231" i="3"/>
  <c r="M231" i="3"/>
  <c r="L231" i="3"/>
  <c r="A232" i="3"/>
  <c r="B232" i="3"/>
  <c r="C232" i="3"/>
  <c r="H232" i="3"/>
  <c r="M232" i="3"/>
  <c r="L232" i="3"/>
  <c r="A233" i="3"/>
  <c r="B233" i="3"/>
  <c r="C233" i="3"/>
  <c r="H233" i="3"/>
  <c r="M233" i="3"/>
  <c r="L233" i="3"/>
  <c r="A234" i="3"/>
  <c r="B234" i="3"/>
  <c r="C234" i="3"/>
  <c r="H234" i="3"/>
  <c r="M234" i="3"/>
  <c r="A235" i="3"/>
  <c r="B235" i="3"/>
  <c r="C235" i="3"/>
  <c r="H235" i="3"/>
  <c r="M235" i="3"/>
  <c r="L235" i="3"/>
  <c r="A236" i="3"/>
  <c r="B236" i="3"/>
  <c r="C236" i="3"/>
  <c r="H236" i="3"/>
  <c r="M236" i="3"/>
  <c r="L236" i="3"/>
  <c r="A237" i="3"/>
  <c r="B237" i="3"/>
  <c r="C237" i="3"/>
  <c r="H237" i="3"/>
  <c r="M237" i="3"/>
  <c r="L237" i="3"/>
  <c r="A238" i="3"/>
  <c r="B238" i="3"/>
  <c r="C238" i="3"/>
  <c r="H238" i="3"/>
  <c r="M238" i="3"/>
  <c r="A239" i="3"/>
  <c r="B239" i="3"/>
  <c r="C239" i="3"/>
  <c r="H239" i="3"/>
  <c r="M239" i="3"/>
  <c r="L239" i="3"/>
  <c r="A240" i="3"/>
  <c r="B240" i="3"/>
  <c r="C240" i="3"/>
  <c r="H240" i="3"/>
  <c r="M240" i="3"/>
  <c r="L240" i="3"/>
  <c r="A241" i="3"/>
  <c r="B241" i="3"/>
  <c r="C241" i="3"/>
  <c r="H241" i="3"/>
  <c r="M241" i="3"/>
  <c r="L241" i="3"/>
  <c r="A242" i="3"/>
  <c r="B242" i="3"/>
  <c r="C242" i="3"/>
  <c r="H242" i="3"/>
  <c r="M242" i="3"/>
  <c r="A243" i="3"/>
  <c r="B243" i="3"/>
  <c r="C243" i="3"/>
  <c r="H243" i="3"/>
  <c r="M243" i="3"/>
  <c r="L243" i="3"/>
  <c r="A244" i="3"/>
  <c r="B244" i="3"/>
  <c r="C244" i="3"/>
  <c r="H244" i="3"/>
  <c r="M244" i="3" s="1"/>
  <c r="L244" i="3"/>
  <c r="A245" i="3"/>
  <c r="B245" i="3"/>
  <c r="C245" i="3"/>
  <c r="H245" i="3"/>
  <c r="M245" i="3"/>
  <c r="L245" i="3"/>
  <c r="A246" i="3"/>
  <c r="B246" i="3"/>
  <c r="C246" i="3"/>
  <c r="H246" i="3"/>
  <c r="M246" i="3"/>
  <c r="A247" i="3"/>
  <c r="B247" i="3"/>
  <c r="C247" i="3"/>
  <c r="H247" i="3"/>
  <c r="M247" i="3"/>
  <c r="L247" i="3"/>
  <c r="A248" i="3"/>
  <c r="B248" i="3"/>
  <c r="C248" i="3"/>
  <c r="H248" i="3"/>
  <c r="M248" i="3"/>
  <c r="L248" i="3"/>
  <c r="A249" i="3"/>
  <c r="B249" i="3"/>
  <c r="C249" i="3"/>
  <c r="H249" i="3"/>
  <c r="M249" i="3"/>
  <c r="L249" i="3"/>
  <c r="A250" i="3"/>
  <c r="B250" i="3"/>
  <c r="C250" i="3"/>
  <c r="H250" i="3"/>
  <c r="M250" i="3"/>
  <c r="A251" i="3"/>
  <c r="B251" i="3"/>
  <c r="C251" i="3"/>
  <c r="H251" i="3"/>
  <c r="M251" i="3"/>
  <c r="L251" i="3"/>
  <c r="A252" i="3"/>
  <c r="B252" i="3"/>
  <c r="C252" i="3"/>
  <c r="H252" i="3"/>
  <c r="M252" i="3"/>
  <c r="L252" i="3"/>
  <c r="A253" i="3"/>
  <c r="B253" i="3"/>
  <c r="C253" i="3"/>
  <c r="H253" i="3"/>
  <c r="M253" i="3"/>
  <c r="L253" i="3"/>
  <c r="K253" i="3"/>
  <c r="A254" i="3"/>
  <c r="B254" i="3"/>
  <c r="C254" i="3"/>
  <c r="G254" i="3"/>
  <c r="A255" i="3"/>
  <c r="B255" i="3"/>
  <c r="C255" i="3"/>
  <c r="H255" i="3"/>
  <c r="M255" i="3"/>
  <c r="L255" i="3"/>
  <c r="K255" i="3"/>
  <c r="A256" i="3"/>
  <c r="B256" i="3"/>
  <c r="C256" i="3"/>
  <c r="H256" i="3"/>
  <c r="G256" i="3"/>
  <c r="K256" i="3"/>
  <c r="M256" i="3"/>
  <c r="A257" i="3"/>
  <c r="B257" i="3"/>
  <c r="C257" i="3"/>
  <c r="H257" i="3"/>
  <c r="K257" i="3"/>
  <c r="M257" i="3"/>
  <c r="A258" i="3"/>
  <c r="B258" i="3"/>
  <c r="C258" i="3"/>
  <c r="H258" i="3"/>
  <c r="G258" i="3"/>
  <c r="L258" i="3"/>
  <c r="M258" i="3"/>
  <c r="A259" i="3"/>
  <c r="B259" i="3"/>
  <c r="C259" i="3"/>
  <c r="G259" i="3"/>
  <c r="L259" i="3"/>
  <c r="K259" i="3"/>
  <c r="A260" i="3"/>
  <c r="B260" i="3"/>
  <c r="C260" i="3"/>
  <c r="G260" i="3"/>
  <c r="L260" i="3"/>
  <c r="A261" i="3"/>
  <c r="B261" i="3"/>
  <c r="C261" i="3"/>
  <c r="H261" i="3"/>
  <c r="M261" i="3"/>
  <c r="L261" i="3"/>
  <c r="K261" i="3"/>
  <c r="A262" i="3"/>
  <c r="B262" i="3"/>
  <c r="C262" i="3"/>
  <c r="G262" i="3"/>
  <c r="L262" i="3"/>
  <c r="A263" i="3"/>
  <c r="B263" i="3"/>
  <c r="C263" i="3"/>
  <c r="H263" i="3"/>
  <c r="M263" i="3"/>
  <c r="L263" i="3"/>
  <c r="K263" i="3"/>
  <c r="A264" i="3"/>
  <c r="B264" i="3"/>
  <c r="C264" i="3"/>
  <c r="H264" i="3"/>
  <c r="G264" i="3"/>
  <c r="K264" i="3"/>
  <c r="A265" i="3"/>
  <c r="B265" i="3"/>
  <c r="C265" i="3"/>
  <c r="H265" i="3"/>
  <c r="K265" i="3"/>
  <c r="M265" i="3"/>
  <c r="A266" i="3"/>
  <c r="B266" i="3"/>
  <c r="C266" i="3"/>
  <c r="H266" i="3"/>
  <c r="G266" i="3"/>
  <c r="M266" i="3"/>
  <c r="A267" i="3"/>
  <c r="B267" i="3"/>
  <c r="C267" i="3"/>
  <c r="G267" i="3"/>
  <c r="K267" i="3"/>
  <c r="A268" i="3"/>
  <c r="B268" i="3"/>
  <c r="C268" i="3"/>
  <c r="H268" i="3"/>
  <c r="M268" i="3"/>
  <c r="G268" i="3"/>
  <c r="L268" i="3"/>
  <c r="K268" i="3"/>
  <c r="A269" i="3"/>
  <c r="B269" i="3"/>
  <c r="C269" i="3"/>
  <c r="H269" i="3"/>
  <c r="M269" i="3" s="1"/>
  <c r="G269" i="3"/>
  <c r="K269" i="3"/>
  <c r="A270" i="3"/>
  <c r="B270" i="3"/>
  <c r="C270" i="3"/>
  <c r="G270" i="3"/>
  <c r="A271" i="3"/>
  <c r="B271" i="3"/>
  <c r="C271" i="3"/>
  <c r="H271" i="3"/>
  <c r="M271" i="3"/>
  <c r="L271" i="3"/>
  <c r="K271" i="3"/>
  <c r="A272" i="3"/>
  <c r="B272" i="3"/>
  <c r="C272" i="3"/>
  <c r="H272" i="3"/>
  <c r="G272" i="3"/>
  <c r="K272" i="3"/>
  <c r="L272" i="3"/>
  <c r="M272" i="3"/>
  <c r="A273" i="3"/>
  <c r="B273" i="3"/>
  <c r="C273" i="3"/>
  <c r="G273" i="3"/>
  <c r="H273" i="3"/>
  <c r="L273" i="3"/>
  <c r="K273" i="3"/>
  <c r="A274" i="3"/>
  <c r="B274" i="3"/>
  <c r="C274" i="3"/>
  <c r="H274" i="3"/>
  <c r="M274" i="3"/>
  <c r="L274" i="3"/>
  <c r="A275" i="3"/>
  <c r="B275" i="3"/>
  <c r="C275" i="3"/>
  <c r="G275" i="3"/>
  <c r="H275" i="3"/>
  <c r="K275" i="3"/>
  <c r="M275" i="3"/>
  <c r="A276" i="3"/>
  <c r="B276" i="3"/>
  <c r="C276" i="3"/>
  <c r="H276" i="3"/>
  <c r="M276" i="3"/>
  <c r="G276" i="3"/>
  <c r="L276" i="3"/>
  <c r="K276" i="3"/>
  <c r="A277" i="3"/>
  <c r="B277" i="3"/>
  <c r="C277" i="3"/>
  <c r="H277" i="3"/>
  <c r="G277" i="3"/>
  <c r="K277" i="3"/>
  <c r="M277" i="3"/>
  <c r="A278" i="3"/>
  <c r="B278" i="3"/>
  <c r="C278" i="3"/>
  <c r="M278" i="3"/>
  <c r="G278" i="3"/>
  <c r="A279" i="3"/>
  <c r="B279" i="3"/>
  <c r="C279" i="3"/>
  <c r="H279" i="3"/>
  <c r="M279" i="3"/>
  <c r="L279" i="3"/>
  <c r="K279" i="3"/>
  <c r="A280" i="3"/>
  <c r="B280" i="3"/>
  <c r="C280" i="3"/>
  <c r="H280" i="3"/>
  <c r="G280" i="3"/>
  <c r="K280" i="3"/>
  <c r="L280" i="3"/>
  <c r="M280" i="3"/>
  <c r="A281" i="3"/>
  <c r="B281" i="3"/>
  <c r="C281" i="3"/>
  <c r="G281" i="3"/>
  <c r="H281" i="3"/>
  <c r="L281" i="3"/>
  <c r="K281" i="3"/>
  <c r="A282" i="3"/>
  <c r="B282" i="3"/>
  <c r="C282" i="3"/>
  <c r="H282" i="3"/>
  <c r="M282" i="3"/>
  <c r="A283" i="3"/>
  <c r="B283" i="3"/>
  <c r="C283" i="3"/>
  <c r="G283" i="3"/>
  <c r="H283" i="3"/>
  <c r="K283" i="3"/>
  <c r="M283" i="3"/>
  <c r="A284" i="3"/>
  <c r="B284" i="3"/>
  <c r="C284" i="3"/>
  <c r="H284" i="3"/>
  <c r="M284" i="3"/>
  <c r="G284" i="3"/>
  <c r="L284" i="3"/>
  <c r="K284" i="3"/>
  <c r="A285" i="3"/>
  <c r="B285" i="3"/>
  <c r="C285" i="3"/>
  <c r="H285" i="3"/>
  <c r="G285" i="3"/>
  <c r="K285" i="3"/>
  <c r="M285" i="3"/>
  <c r="A286" i="3"/>
  <c r="B286" i="3"/>
  <c r="C286" i="3"/>
  <c r="M286" i="3"/>
  <c r="G286" i="3"/>
  <c r="A287" i="3"/>
  <c r="B287" i="3"/>
  <c r="C287" i="3"/>
  <c r="H287" i="3"/>
  <c r="M287" i="3"/>
  <c r="K287" i="3"/>
  <c r="L287" i="3"/>
  <c r="A288" i="3"/>
  <c r="B288" i="3"/>
  <c r="C288" i="3"/>
  <c r="G288" i="3"/>
  <c r="H288" i="3"/>
  <c r="L288" i="3"/>
  <c r="K288" i="3"/>
  <c r="M288" i="3"/>
  <c r="A289" i="3"/>
  <c r="B289" i="3"/>
  <c r="C289" i="3"/>
  <c r="H289" i="3"/>
  <c r="M289" i="3"/>
  <c r="K289" i="3"/>
  <c r="L289" i="3"/>
  <c r="A290" i="3"/>
  <c r="B290" i="3"/>
  <c r="C290" i="3"/>
  <c r="G290" i="3"/>
  <c r="H290" i="3"/>
  <c r="M290" i="3"/>
  <c r="A291" i="3"/>
  <c r="B291" i="3"/>
  <c r="C291" i="3"/>
  <c r="H291" i="3"/>
  <c r="M291" i="3"/>
  <c r="K291" i="3"/>
  <c r="L291" i="3"/>
  <c r="A292" i="3"/>
  <c r="B292" i="3"/>
  <c r="C292" i="3"/>
  <c r="G292" i="3"/>
  <c r="H292" i="3"/>
  <c r="L292" i="3"/>
  <c r="K292" i="3"/>
  <c r="M292" i="3"/>
  <c r="A293" i="3"/>
  <c r="B293" i="3"/>
  <c r="C293" i="3"/>
  <c r="H293" i="3"/>
  <c r="M293" i="3"/>
  <c r="K293" i="3"/>
  <c r="L293" i="3"/>
  <c r="A294" i="3"/>
  <c r="B294" i="3"/>
  <c r="C294" i="3"/>
  <c r="G294" i="3"/>
  <c r="H294" i="3"/>
  <c r="M294" i="3"/>
  <c r="A295" i="3"/>
  <c r="B295" i="3"/>
  <c r="C295" i="3"/>
  <c r="H295" i="3"/>
  <c r="M295" i="3"/>
  <c r="K295" i="3"/>
  <c r="L295" i="3"/>
  <c r="A296" i="3"/>
  <c r="B296" i="3"/>
  <c r="C296" i="3"/>
  <c r="G296" i="3"/>
  <c r="H296" i="3"/>
  <c r="L296" i="3"/>
  <c r="K296" i="3"/>
  <c r="M296" i="3"/>
  <c r="A297" i="3"/>
  <c r="B297" i="3"/>
  <c r="C297" i="3"/>
  <c r="H297" i="3"/>
  <c r="M297" i="3"/>
  <c r="K297" i="3"/>
  <c r="L297" i="3"/>
  <c r="A298" i="3"/>
  <c r="B298" i="3"/>
  <c r="C298" i="3"/>
  <c r="G298" i="3"/>
  <c r="H298" i="3"/>
  <c r="K298" i="3"/>
  <c r="M298" i="3"/>
  <c r="A299" i="3"/>
  <c r="B299" i="3"/>
  <c r="C299" i="3"/>
  <c r="H299" i="3"/>
  <c r="M299" i="3"/>
  <c r="K299" i="3"/>
  <c r="L299" i="3"/>
  <c r="A300" i="3"/>
  <c r="B300" i="3"/>
  <c r="C300" i="3"/>
  <c r="G300" i="3"/>
  <c r="H300" i="3"/>
  <c r="L300" i="3"/>
  <c r="K300" i="3"/>
  <c r="M300" i="3"/>
  <c r="A301" i="3"/>
  <c r="B301" i="3"/>
  <c r="C301" i="3"/>
  <c r="H301" i="3"/>
  <c r="M301" i="3"/>
  <c r="K301" i="3"/>
  <c r="L301" i="3"/>
  <c r="A102" i="3"/>
  <c r="B102" i="3"/>
  <c r="C102" i="3"/>
  <c r="H102" i="3"/>
  <c r="M102" i="3" s="1"/>
  <c r="G102" i="3"/>
  <c r="A103" i="3"/>
  <c r="B103" i="3"/>
  <c r="C103" i="3"/>
  <c r="H103" i="3"/>
  <c r="G103" i="3"/>
  <c r="L103" i="3"/>
  <c r="K103" i="3"/>
  <c r="M103" i="3"/>
  <c r="A104" i="3"/>
  <c r="B104" i="3"/>
  <c r="C104" i="3"/>
  <c r="H104" i="3"/>
  <c r="G104" i="3"/>
  <c r="L104" i="3"/>
  <c r="K104" i="3"/>
  <c r="M104" i="3"/>
  <c r="A105" i="3"/>
  <c r="B105" i="3"/>
  <c r="C105" i="3"/>
  <c r="H105" i="3"/>
  <c r="L105" i="3"/>
  <c r="K105" i="3"/>
  <c r="A106" i="3"/>
  <c r="B106" i="3"/>
  <c r="C106" i="3"/>
  <c r="H106" i="3"/>
  <c r="G106" i="3"/>
  <c r="M106" i="3"/>
  <c r="A107" i="3"/>
  <c r="B107" i="3"/>
  <c r="C107" i="3"/>
  <c r="H107" i="3"/>
  <c r="L107" i="3"/>
  <c r="K107" i="3"/>
  <c r="A108" i="3"/>
  <c r="B108" i="3"/>
  <c r="C108" i="3"/>
  <c r="H108" i="3"/>
  <c r="G108" i="3"/>
  <c r="L108" i="3"/>
  <c r="M108" i="3"/>
  <c r="A109" i="3"/>
  <c r="B109" i="3"/>
  <c r="C109" i="3"/>
  <c r="H109" i="3"/>
  <c r="L109" i="3"/>
  <c r="A110" i="3"/>
  <c r="B110" i="3"/>
  <c r="C110" i="3"/>
  <c r="H110" i="3"/>
  <c r="A111" i="3"/>
  <c r="B111" i="3"/>
  <c r="C111" i="3"/>
  <c r="H111" i="3"/>
  <c r="L111" i="3"/>
  <c r="M111" i="3"/>
  <c r="A112" i="3"/>
  <c r="B112" i="3"/>
  <c r="C112" i="3"/>
  <c r="H112" i="3"/>
  <c r="L112" i="3"/>
  <c r="M112" i="3"/>
  <c r="A113" i="3"/>
  <c r="B113" i="3"/>
  <c r="C113" i="3"/>
  <c r="H113" i="3"/>
  <c r="L113" i="3"/>
  <c r="M113" i="3"/>
  <c r="A114" i="3"/>
  <c r="B114" i="3"/>
  <c r="C114" i="3"/>
  <c r="H114" i="3"/>
  <c r="M114" i="3" s="1"/>
  <c r="L114" i="3"/>
  <c r="A115" i="3"/>
  <c r="B115" i="3"/>
  <c r="C115" i="3"/>
  <c r="H115" i="3"/>
  <c r="L115" i="3"/>
  <c r="A116" i="3"/>
  <c r="B116" i="3"/>
  <c r="C116" i="3"/>
  <c r="H116" i="3"/>
  <c r="M116" i="3"/>
  <c r="L116" i="3"/>
  <c r="A117" i="3"/>
  <c r="B117" i="3"/>
  <c r="C117" i="3"/>
  <c r="H117" i="3"/>
  <c r="L117" i="3"/>
  <c r="M117" i="3"/>
  <c r="A118" i="3"/>
  <c r="B118" i="3"/>
  <c r="C118" i="3"/>
  <c r="H118" i="3"/>
  <c r="M118" i="3"/>
  <c r="A119" i="3"/>
  <c r="B119" i="3"/>
  <c r="C119" i="3"/>
  <c r="H119" i="3"/>
  <c r="M119" i="3" s="1"/>
  <c r="L119" i="3"/>
  <c r="A120" i="3"/>
  <c r="B120" i="3"/>
  <c r="C120" i="3"/>
  <c r="H120" i="3"/>
  <c r="M120" i="3"/>
  <c r="L120" i="3"/>
  <c r="A121" i="3"/>
  <c r="B121" i="3"/>
  <c r="C121" i="3"/>
  <c r="H121" i="3"/>
  <c r="M121" i="3"/>
  <c r="L121" i="3"/>
  <c r="A122" i="3"/>
  <c r="B122" i="3"/>
  <c r="C122" i="3"/>
  <c r="H122" i="3"/>
  <c r="M122" i="3"/>
  <c r="A123" i="3"/>
  <c r="B123" i="3"/>
  <c r="C123" i="3"/>
  <c r="H123" i="3"/>
  <c r="M123" i="3"/>
  <c r="L123" i="3"/>
  <c r="A124" i="3"/>
  <c r="B124" i="3"/>
  <c r="C124" i="3"/>
  <c r="H124" i="3"/>
  <c r="M124" i="3"/>
  <c r="L124" i="3"/>
  <c r="A125" i="3"/>
  <c r="B125" i="3"/>
  <c r="C125" i="3"/>
  <c r="H125" i="3"/>
  <c r="M125" i="3"/>
  <c r="L125" i="3"/>
  <c r="A126" i="3"/>
  <c r="B126" i="3"/>
  <c r="C126" i="3"/>
  <c r="H126" i="3"/>
  <c r="M126" i="3"/>
  <c r="A127" i="3"/>
  <c r="B127" i="3"/>
  <c r="C127" i="3"/>
  <c r="H127" i="3"/>
  <c r="M127" i="3"/>
  <c r="L127" i="3"/>
  <c r="A128" i="3"/>
  <c r="B128" i="3"/>
  <c r="C128" i="3"/>
  <c r="H128" i="3"/>
  <c r="M128" i="3"/>
  <c r="L128" i="3"/>
  <c r="A129" i="3"/>
  <c r="B129" i="3"/>
  <c r="C129" i="3"/>
  <c r="H129" i="3"/>
  <c r="M129" i="3"/>
  <c r="L129" i="3"/>
  <c r="A130" i="3"/>
  <c r="B130" i="3"/>
  <c r="C130" i="3"/>
  <c r="H130" i="3"/>
  <c r="M130" i="3"/>
  <c r="A131" i="3"/>
  <c r="B131" i="3"/>
  <c r="C131" i="3"/>
  <c r="H131" i="3"/>
  <c r="M131" i="3"/>
  <c r="L131" i="3"/>
  <c r="A132" i="3"/>
  <c r="B132" i="3"/>
  <c r="C132" i="3"/>
  <c r="H132" i="3"/>
  <c r="M132" i="3"/>
  <c r="L132" i="3"/>
  <c r="A133" i="3"/>
  <c r="B133" i="3"/>
  <c r="C133" i="3"/>
  <c r="H133" i="3"/>
  <c r="M133" i="3"/>
  <c r="L133" i="3"/>
  <c r="A134" i="3"/>
  <c r="B134" i="3"/>
  <c r="C134" i="3"/>
  <c r="H134" i="3"/>
  <c r="M134" i="3"/>
  <c r="A135" i="3"/>
  <c r="B135" i="3"/>
  <c r="C135" i="3"/>
  <c r="H135" i="3"/>
  <c r="M135" i="3"/>
  <c r="L135" i="3"/>
  <c r="A136" i="3"/>
  <c r="B136" i="3"/>
  <c r="C136" i="3"/>
  <c r="H136" i="3"/>
  <c r="M136" i="3"/>
  <c r="L136" i="3"/>
  <c r="A137" i="3"/>
  <c r="B137" i="3"/>
  <c r="C137" i="3"/>
  <c r="H137" i="3"/>
  <c r="M137" i="3"/>
  <c r="L137" i="3"/>
  <c r="A138" i="3"/>
  <c r="B138" i="3"/>
  <c r="C138" i="3"/>
  <c r="H138" i="3"/>
  <c r="M138" i="3"/>
  <c r="A139" i="3"/>
  <c r="B139" i="3"/>
  <c r="C139" i="3"/>
  <c r="H139" i="3"/>
  <c r="M139" i="3"/>
  <c r="L139" i="3"/>
  <c r="A140" i="3"/>
  <c r="B140" i="3"/>
  <c r="C140" i="3"/>
  <c r="H140" i="3"/>
  <c r="M140" i="3"/>
  <c r="L140" i="3"/>
  <c r="A141" i="3"/>
  <c r="B141" i="3"/>
  <c r="C141" i="3"/>
  <c r="H141" i="3"/>
  <c r="M141" i="3"/>
  <c r="L141" i="3"/>
  <c r="A142" i="3"/>
  <c r="B142" i="3"/>
  <c r="C142" i="3"/>
  <c r="H142" i="3"/>
  <c r="M142" i="3"/>
  <c r="A143" i="3"/>
  <c r="B143" i="3"/>
  <c r="C143" i="3"/>
  <c r="H143" i="3"/>
  <c r="M143" i="3"/>
  <c r="L143" i="3"/>
  <c r="A144" i="3"/>
  <c r="B144" i="3"/>
  <c r="C144" i="3"/>
  <c r="H144" i="3"/>
  <c r="M144" i="3"/>
  <c r="L144" i="3"/>
  <c r="A145" i="3"/>
  <c r="B145" i="3"/>
  <c r="C145" i="3"/>
  <c r="H145" i="3"/>
  <c r="M145" i="3" s="1"/>
  <c r="L145" i="3"/>
  <c r="A146" i="3"/>
  <c r="B146" i="3"/>
  <c r="C146" i="3"/>
  <c r="H146" i="3"/>
  <c r="M146" i="3"/>
  <c r="A147" i="3"/>
  <c r="B147" i="3"/>
  <c r="C147" i="3"/>
  <c r="H147" i="3"/>
  <c r="M147" i="3" s="1"/>
  <c r="L147" i="3"/>
  <c r="A148" i="3"/>
  <c r="B148" i="3"/>
  <c r="C148" i="3"/>
  <c r="H148" i="3"/>
  <c r="M148" i="3"/>
  <c r="L148" i="3"/>
  <c r="A149" i="3"/>
  <c r="B149" i="3"/>
  <c r="C149" i="3"/>
  <c r="H149" i="3"/>
  <c r="M149" i="3"/>
  <c r="L149" i="3"/>
  <c r="A150" i="3"/>
  <c r="B150" i="3"/>
  <c r="C150" i="3"/>
  <c r="H150" i="3"/>
  <c r="M150" i="3"/>
  <c r="A151" i="3"/>
  <c r="B151" i="3"/>
  <c r="C151" i="3"/>
  <c r="H151" i="3"/>
  <c r="M151" i="3" s="1"/>
  <c r="L151" i="3"/>
  <c r="K151" i="3"/>
  <c r="A152" i="3"/>
  <c r="B152" i="3"/>
  <c r="C152" i="3"/>
  <c r="K152" i="3"/>
  <c r="A153" i="3"/>
  <c r="B153" i="3"/>
  <c r="C153" i="3"/>
  <c r="H153" i="3"/>
  <c r="K153" i="3"/>
  <c r="A154" i="3"/>
  <c r="B154" i="3"/>
  <c r="C154" i="3"/>
  <c r="H154" i="3"/>
  <c r="M154" i="3" s="1"/>
  <c r="K154" i="3"/>
  <c r="A155" i="3"/>
  <c r="B155" i="3"/>
  <c r="C155" i="3"/>
  <c r="G155" i="3"/>
  <c r="K155" i="3"/>
  <c r="M155" i="3"/>
  <c r="A156" i="3"/>
  <c r="B156" i="3"/>
  <c r="C156" i="3"/>
  <c r="H156" i="3"/>
  <c r="L156" i="3"/>
  <c r="M156" i="3"/>
  <c r="A157" i="3"/>
  <c r="B157" i="3"/>
  <c r="C157" i="3"/>
  <c r="H157" i="3"/>
  <c r="G157" i="3"/>
  <c r="L157" i="3"/>
  <c r="K157" i="3"/>
  <c r="M157" i="3"/>
  <c r="A158" i="3"/>
  <c r="B158" i="3"/>
  <c r="C158" i="3"/>
  <c r="G158" i="3"/>
  <c r="A159" i="3"/>
  <c r="B159" i="3"/>
  <c r="C159" i="3"/>
  <c r="H159" i="3"/>
  <c r="M159" i="3"/>
  <c r="L159" i="3"/>
  <c r="K159" i="3"/>
  <c r="A160" i="3"/>
  <c r="B160" i="3"/>
  <c r="C160" i="3"/>
  <c r="M160" i="3"/>
  <c r="K160" i="3"/>
  <c r="A161" i="3"/>
  <c r="B161" i="3"/>
  <c r="C161" i="3"/>
  <c r="H161" i="3"/>
  <c r="K161" i="3"/>
  <c r="A162" i="3"/>
  <c r="B162" i="3"/>
  <c r="C162" i="3"/>
  <c r="H162" i="3"/>
  <c r="M162" i="3" s="1"/>
  <c r="K162" i="3"/>
  <c r="A163" i="3"/>
  <c r="B163" i="3"/>
  <c r="C163" i="3"/>
  <c r="G163" i="3"/>
  <c r="L163" i="3"/>
  <c r="K163" i="3"/>
  <c r="M163" i="3"/>
  <c r="A164" i="3"/>
  <c r="B164" i="3"/>
  <c r="C164" i="3"/>
  <c r="H164" i="3"/>
  <c r="G164" i="3"/>
  <c r="L164" i="3"/>
  <c r="M164" i="3"/>
  <c r="A165" i="3"/>
  <c r="B165" i="3"/>
  <c r="C165" i="3"/>
  <c r="H165" i="3"/>
  <c r="L165" i="3"/>
  <c r="K165" i="3"/>
  <c r="M165" i="3"/>
  <c r="A166" i="3"/>
  <c r="B166" i="3"/>
  <c r="C166" i="3"/>
  <c r="G166" i="3"/>
  <c r="A167" i="3"/>
  <c r="B167" i="3"/>
  <c r="C167" i="3"/>
  <c r="H167" i="3"/>
  <c r="M167" i="3"/>
  <c r="L167" i="3"/>
  <c r="K167" i="3"/>
  <c r="A168" i="3"/>
  <c r="B168" i="3"/>
  <c r="C168" i="3"/>
  <c r="M168" i="3"/>
  <c r="K168" i="3"/>
  <c r="A169" i="3"/>
  <c r="B169" i="3"/>
  <c r="C169" i="3"/>
  <c r="H169" i="3"/>
  <c r="L169" i="3"/>
  <c r="K169" i="3"/>
  <c r="M169" i="3"/>
  <c r="A170" i="3"/>
  <c r="B170" i="3"/>
  <c r="C170" i="3"/>
  <c r="H170" i="3"/>
  <c r="G170" i="3"/>
  <c r="A171" i="3"/>
  <c r="B171" i="3"/>
  <c r="C171" i="3"/>
  <c r="H171" i="3"/>
  <c r="M171" i="3"/>
  <c r="G171" i="3"/>
  <c r="K171" i="3"/>
  <c r="A172" i="3"/>
  <c r="B172" i="3"/>
  <c r="C172" i="3"/>
  <c r="H172" i="3"/>
  <c r="M172" i="3" s="1"/>
  <c r="K172" i="3"/>
  <c r="L172" i="3"/>
  <c r="A173" i="3"/>
  <c r="B173" i="3"/>
  <c r="C173" i="3"/>
  <c r="G173" i="3"/>
  <c r="H173" i="3"/>
  <c r="M173" i="3" s="1"/>
  <c r="L173" i="3"/>
  <c r="K173" i="3"/>
  <c r="A174" i="3"/>
  <c r="B174" i="3"/>
  <c r="C174" i="3"/>
  <c r="A175" i="3"/>
  <c r="B175" i="3"/>
  <c r="C175" i="3"/>
  <c r="H175" i="3"/>
  <c r="M175" i="3" s="1"/>
  <c r="G175" i="3"/>
  <c r="L175" i="3"/>
  <c r="K175" i="3"/>
  <c r="A176" i="3"/>
  <c r="B176" i="3"/>
  <c r="C176" i="3"/>
  <c r="M176" i="3"/>
  <c r="L176" i="3"/>
  <c r="K176" i="3"/>
  <c r="A177" i="3"/>
  <c r="B177" i="3"/>
  <c r="C177" i="3"/>
  <c r="H177" i="3"/>
  <c r="M177" i="3"/>
  <c r="L177" i="3"/>
  <c r="K177" i="3"/>
  <c r="A178" i="3"/>
  <c r="B178" i="3"/>
  <c r="C178" i="3"/>
  <c r="H178" i="3"/>
  <c r="G178" i="3"/>
  <c r="K178" i="3"/>
  <c r="A179" i="3"/>
  <c r="B179" i="3"/>
  <c r="C179" i="3"/>
  <c r="H179" i="3"/>
  <c r="M179" i="3"/>
  <c r="G179" i="3"/>
  <c r="K179" i="3"/>
  <c r="A180" i="3"/>
  <c r="B180" i="3"/>
  <c r="C180" i="3"/>
  <c r="H180" i="3"/>
  <c r="K180" i="3"/>
  <c r="L180" i="3"/>
  <c r="M180" i="3"/>
  <c r="A181" i="3"/>
  <c r="B181" i="3"/>
  <c r="C181" i="3"/>
  <c r="G181" i="3"/>
  <c r="H181" i="3"/>
  <c r="L181" i="3"/>
  <c r="K181" i="3"/>
  <c r="M181" i="3"/>
  <c r="A182" i="3"/>
  <c r="B182" i="3"/>
  <c r="C182" i="3"/>
  <c r="A183" i="3"/>
  <c r="B183" i="3"/>
  <c r="C183" i="3"/>
  <c r="H183" i="3"/>
  <c r="M183" i="3" s="1"/>
  <c r="G183" i="3"/>
  <c r="L183" i="3"/>
  <c r="K183" i="3"/>
  <c r="A184" i="3"/>
  <c r="B184" i="3"/>
  <c r="C184" i="3"/>
  <c r="M184" i="3"/>
  <c r="L184" i="3"/>
  <c r="K184" i="3"/>
  <c r="A185" i="3"/>
  <c r="B185" i="3"/>
  <c r="C185" i="3"/>
  <c r="H185" i="3"/>
  <c r="M185" i="3"/>
  <c r="L185" i="3"/>
  <c r="K185" i="3"/>
  <c r="A186" i="3"/>
  <c r="B186" i="3"/>
  <c r="C186" i="3"/>
  <c r="H186" i="3"/>
  <c r="G186" i="3"/>
  <c r="M186" i="3"/>
  <c r="A187" i="3"/>
  <c r="B187" i="3"/>
  <c r="C187" i="3"/>
  <c r="H187" i="3"/>
  <c r="G187" i="3"/>
  <c r="L187" i="3"/>
  <c r="K187" i="3"/>
  <c r="M187" i="3"/>
  <c r="A188" i="3"/>
  <c r="B188" i="3"/>
  <c r="C188" i="3"/>
  <c r="H188" i="3"/>
  <c r="G188" i="3"/>
  <c r="L188" i="3"/>
  <c r="K188" i="3"/>
  <c r="A189" i="3"/>
  <c r="B189" i="3"/>
  <c r="C189" i="3"/>
  <c r="H189" i="3"/>
  <c r="M189" i="3" s="1"/>
  <c r="G189" i="3"/>
  <c r="L189" i="3"/>
  <c r="K189" i="3"/>
  <c r="A190" i="3"/>
  <c r="B190" i="3"/>
  <c r="C190" i="3"/>
  <c r="H190" i="3"/>
  <c r="G190" i="3"/>
  <c r="A191" i="3"/>
  <c r="B191" i="3"/>
  <c r="C191" i="3"/>
  <c r="G191" i="3"/>
  <c r="L191" i="3"/>
  <c r="K191" i="3"/>
  <c r="M191" i="3"/>
  <c r="A192" i="3"/>
  <c r="B192" i="3"/>
  <c r="C192" i="3"/>
  <c r="H192" i="3"/>
  <c r="G192" i="3"/>
  <c r="L192" i="3"/>
  <c r="K192" i="3"/>
  <c r="A193" i="3"/>
  <c r="B193" i="3"/>
  <c r="C193" i="3"/>
  <c r="G193" i="3"/>
  <c r="L193" i="3"/>
  <c r="K193" i="3"/>
  <c r="A194" i="3"/>
  <c r="B194" i="3"/>
  <c r="C194" i="3"/>
  <c r="H194" i="3"/>
  <c r="G194" i="3"/>
  <c r="A195" i="3"/>
  <c r="B195" i="3"/>
  <c r="C195" i="3"/>
  <c r="H195" i="3"/>
  <c r="G195" i="3"/>
  <c r="L195" i="3"/>
  <c r="K195" i="3"/>
  <c r="M195" i="3"/>
  <c r="A196" i="3"/>
  <c r="B196" i="3"/>
  <c r="C196" i="3"/>
  <c r="H196" i="3"/>
  <c r="G196" i="3"/>
  <c r="L196" i="3"/>
  <c r="K196" i="3"/>
  <c r="A197" i="3"/>
  <c r="B197" i="3"/>
  <c r="C197" i="3"/>
  <c r="H197" i="3"/>
  <c r="G197" i="3"/>
  <c r="L197" i="3"/>
  <c r="K197" i="3"/>
  <c r="M197" i="3"/>
  <c r="A198" i="3"/>
  <c r="B198" i="3"/>
  <c r="C198" i="3"/>
  <c r="H198" i="3"/>
  <c r="G198" i="3"/>
  <c r="A199" i="3"/>
  <c r="B199" i="3"/>
  <c r="C199" i="3"/>
  <c r="H199" i="3"/>
  <c r="G199" i="3"/>
  <c r="L199" i="3"/>
  <c r="K199" i="3"/>
  <c r="M199" i="3"/>
  <c r="A200" i="3"/>
  <c r="B200" i="3"/>
  <c r="C200" i="3"/>
  <c r="H200" i="3"/>
  <c r="G200" i="3"/>
  <c r="K200" i="3"/>
  <c r="A201" i="3"/>
  <c r="B201" i="3"/>
  <c r="C201" i="3"/>
  <c r="H201" i="3"/>
  <c r="G201" i="3"/>
  <c r="L201" i="3"/>
  <c r="K201" i="3"/>
  <c r="M201" i="3"/>
  <c r="A2" i="3"/>
  <c r="B2" i="3"/>
  <c r="C2" i="3"/>
  <c r="H2" i="3"/>
  <c r="M2" i="3"/>
  <c r="L2" i="3"/>
  <c r="A3" i="3"/>
  <c r="B3" i="3"/>
  <c r="C3" i="3"/>
  <c r="H3" i="3"/>
  <c r="L3" i="3"/>
  <c r="K3" i="3"/>
  <c r="M3" i="3"/>
  <c r="A4" i="3"/>
  <c r="B4" i="3"/>
  <c r="C4" i="3"/>
  <c r="H4" i="3"/>
  <c r="M4" i="3"/>
  <c r="L4" i="3"/>
  <c r="A5" i="3"/>
  <c r="B5" i="3"/>
  <c r="C5" i="3"/>
  <c r="H5" i="3"/>
  <c r="G5" i="3"/>
  <c r="L5" i="3"/>
  <c r="K5" i="3"/>
  <c r="M5" i="3"/>
  <c r="A6" i="3"/>
  <c r="B6" i="3"/>
  <c r="C6" i="3"/>
  <c r="H6" i="3"/>
  <c r="M6" i="3"/>
  <c r="A7" i="3"/>
  <c r="B7" i="3"/>
  <c r="C7" i="3"/>
  <c r="H7" i="3"/>
  <c r="G7" i="3"/>
  <c r="L7" i="3"/>
  <c r="K7" i="3"/>
  <c r="M7" i="3"/>
  <c r="A8" i="3"/>
  <c r="B8" i="3"/>
  <c r="C8" i="3"/>
  <c r="H8" i="3"/>
  <c r="G8" i="3"/>
  <c r="L8" i="3"/>
  <c r="M8" i="3"/>
  <c r="A9" i="3"/>
  <c r="B9" i="3"/>
  <c r="C9" i="3"/>
  <c r="H9" i="3"/>
  <c r="L9" i="3"/>
  <c r="K9" i="3"/>
  <c r="M9" i="3"/>
  <c r="A10" i="3"/>
  <c r="B10" i="3"/>
  <c r="C10" i="3"/>
  <c r="H10" i="3"/>
  <c r="G10" i="3"/>
  <c r="L10" i="3"/>
  <c r="M10" i="3"/>
  <c r="A11" i="3"/>
  <c r="B11" i="3"/>
  <c r="C11" i="3"/>
  <c r="H11" i="3"/>
  <c r="L11" i="3"/>
  <c r="M11" i="3"/>
  <c r="A12" i="3"/>
  <c r="B12" i="3"/>
  <c r="C12" i="3"/>
  <c r="H12" i="3"/>
  <c r="L12" i="3"/>
  <c r="M12" i="3"/>
  <c r="A13" i="3"/>
  <c r="B13" i="3"/>
  <c r="C13" i="3"/>
  <c r="H13" i="3"/>
  <c r="L13" i="3"/>
  <c r="M13" i="3"/>
  <c r="A14" i="3"/>
  <c r="B14" i="3"/>
  <c r="C14" i="3"/>
  <c r="H14" i="3"/>
  <c r="L14" i="3"/>
  <c r="M14" i="3"/>
  <c r="A15" i="3"/>
  <c r="B15" i="3"/>
  <c r="C15" i="3"/>
  <c r="H15" i="3"/>
  <c r="L15" i="3"/>
  <c r="M15" i="3"/>
  <c r="A16" i="3"/>
  <c r="B16" i="3"/>
  <c r="C16" i="3"/>
  <c r="H16" i="3"/>
  <c r="L16" i="3"/>
  <c r="M16" i="3"/>
  <c r="A17" i="3"/>
  <c r="B17" i="3"/>
  <c r="C17" i="3"/>
  <c r="H17" i="3"/>
  <c r="L17" i="3"/>
  <c r="M17" i="3"/>
  <c r="A18" i="3"/>
  <c r="B18" i="3"/>
  <c r="C18" i="3"/>
  <c r="H18" i="3"/>
  <c r="L18" i="3"/>
  <c r="M18" i="3"/>
  <c r="A19" i="3"/>
  <c r="B19" i="3"/>
  <c r="C19" i="3"/>
  <c r="H19" i="3"/>
  <c r="L19" i="3"/>
  <c r="A20" i="3"/>
  <c r="B20" i="3"/>
  <c r="C20" i="3"/>
  <c r="H20" i="3"/>
  <c r="L20" i="3"/>
  <c r="M20" i="3"/>
  <c r="A21" i="3"/>
  <c r="B21" i="3"/>
  <c r="C21" i="3"/>
  <c r="H21" i="3"/>
  <c r="L21" i="3"/>
  <c r="M21" i="3"/>
  <c r="A22" i="3"/>
  <c r="B22" i="3"/>
  <c r="C22" i="3"/>
  <c r="H22" i="3"/>
  <c r="M22" i="3"/>
  <c r="A23" i="3"/>
  <c r="B23" i="3"/>
  <c r="C23" i="3"/>
  <c r="H23" i="3"/>
  <c r="L23" i="3"/>
  <c r="M23" i="3"/>
  <c r="A24" i="3"/>
  <c r="B24" i="3"/>
  <c r="C24" i="3"/>
  <c r="H24" i="3"/>
  <c r="L24" i="3"/>
  <c r="M24" i="3"/>
  <c r="A25" i="3"/>
  <c r="B25" i="3"/>
  <c r="C25" i="3"/>
  <c r="H25" i="3"/>
  <c r="L25" i="3"/>
  <c r="M25" i="3"/>
  <c r="A26" i="3"/>
  <c r="B26" i="3"/>
  <c r="C26" i="3"/>
  <c r="H26" i="3"/>
  <c r="M26" i="3"/>
  <c r="A27" i="3"/>
  <c r="B27" i="3"/>
  <c r="C27" i="3"/>
  <c r="H27" i="3"/>
  <c r="M27" i="3"/>
  <c r="L27" i="3"/>
  <c r="A28" i="3"/>
  <c r="B28" i="3"/>
  <c r="C28" i="3"/>
  <c r="H28" i="3"/>
  <c r="M28" i="3"/>
  <c r="L28" i="3"/>
  <c r="A29" i="3"/>
  <c r="B29" i="3"/>
  <c r="C29" i="3"/>
  <c r="H29" i="3"/>
  <c r="M29" i="3"/>
  <c r="L29" i="3"/>
  <c r="A30" i="3"/>
  <c r="B30" i="3"/>
  <c r="C30" i="3"/>
  <c r="H30" i="3"/>
  <c r="M30" i="3"/>
  <c r="L30" i="3"/>
  <c r="A31" i="3"/>
  <c r="B31" i="3"/>
  <c r="C31" i="3"/>
  <c r="H31" i="3"/>
  <c r="M31" i="3"/>
  <c r="L31" i="3"/>
  <c r="A32" i="3"/>
  <c r="B32" i="3"/>
  <c r="C32" i="3"/>
  <c r="H32" i="3"/>
  <c r="M32" i="3"/>
  <c r="L32" i="3"/>
  <c r="A33" i="3"/>
  <c r="B33" i="3"/>
  <c r="C33" i="3"/>
  <c r="H33" i="3"/>
  <c r="M33" i="3"/>
  <c r="L33" i="3"/>
  <c r="A34" i="3"/>
  <c r="B34" i="3"/>
  <c r="C34" i="3"/>
  <c r="H34" i="3"/>
  <c r="M34" i="3"/>
  <c r="L34" i="3"/>
  <c r="A35" i="3"/>
  <c r="B35" i="3"/>
  <c r="C35" i="3"/>
  <c r="H35" i="3"/>
  <c r="M35" i="3"/>
  <c r="L35" i="3"/>
  <c r="A36" i="3"/>
  <c r="B36" i="3"/>
  <c r="C36" i="3"/>
  <c r="H36" i="3"/>
  <c r="M36" i="3"/>
  <c r="L36" i="3"/>
  <c r="A37" i="3"/>
  <c r="B37" i="3"/>
  <c r="C37" i="3"/>
  <c r="H37" i="3"/>
  <c r="M37" i="3"/>
  <c r="L37" i="3"/>
  <c r="A38" i="3"/>
  <c r="B38" i="3"/>
  <c r="C38" i="3"/>
  <c r="H38" i="3"/>
  <c r="M38" i="3"/>
  <c r="L38" i="3"/>
  <c r="A39" i="3"/>
  <c r="B39" i="3"/>
  <c r="C39" i="3"/>
  <c r="H39" i="3"/>
  <c r="M39" i="3"/>
  <c r="L39" i="3"/>
  <c r="A40" i="3"/>
  <c r="B40" i="3"/>
  <c r="C40" i="3"/>
  <c r="H40" i="3"/>
  <c r="M40" i="3"/>
  <c r="L40" i="3"/>
  <c r="A41" i="3"/>
  <c r="B41" i="3"/>
  <c r="C41" i="3"/>
  <c r="H41" i="3"/>
  <c r="M41" i="3"/>
  <c r="L41" i="3"/>
  <c r="A42" i="3"/>
  <c r="B42" i="3"/>
  <c r="C42" i="3"/>
  <c r="H42" i="3"/>
  <c r="M42" i="3"/>
  <c r="L42" i="3"/>
  <c r="A43" i="3"/>
  <c r="B43" i="3"/>
  <c r="C43" i="3"/>
  <c r="H43" i="3"/>
  <c r="M43" i="3"/>
  <c r="L43" i="3"/>
  <c r="A44" i="3"/>
  <c r="B44" i="3"/>
  <c r="C44" i="3"/>
  <c r="H44" i="3"/>
  <c r="M44" i="3"/>
  <c r="L44" i="3"/>
  <c r="A45" i="3"/>
  <c r="B45" i="3"/>
  <c r="C45" i="3"/>
  <c r="H45" i="3"/>
  <c r="M45" i="3"/>
  <c r="L45" i="3"/>
  <c r="A46" i="3"/>
  <c r="B46" i="3"/>
  <c r="C46" i="3"/>
  <c r="H46" i="3"/>
  <c r="M46" i="3"/>
  <c r="L46" i="3"/>
  <c r="A47" i="3"/>
  <c r="B47" i="3"/>
  <c r="C47" i="3"/>
  <c r="H47" i="3"/>
  <c r="M47" i="3"/>
  <c r="L47" i="3"/>
  <c r="K47" i="3"/>
  <c r="A48" i="3"/>
  <c r="B48" i="3"/>
  <c r="C48" i="3"/>
  <c r="G48" i="3"/>
  <c r="L48" i="3"/>
  <c r="A49" i="3"/>
  <c r="B49" i="3"/>
  <c r="C49" i="3"/>
  <c r="H49" i="3"/>
  <c r="M49" i="3"/>
  <c r="L49" i="3"/>
  <c r="K49" i="3"/>
  <c r="A50" i="3"/>
  <c r="B50" i="3"/>
  <c r="C50" i="3"/>
  <c r="H50" i="3"/>
  <c r="G50" i="3"/>
  <c r="M50" i="3"/>
  <c r="A51" i="3"/>
  <c r="B51" i="3"/>
  <c r="C51" i="3"/>
  <c r="H51" i="3"/>
  <c r="K51" i="3"/>
  <c r="M51" i="3"/>
  <c r="A52" i="3"/>
  <c r="B52" i="3"/>
  <c r="C52" i="3"/>
  <c r="H52" i="3"/>
  <c r="G52" i="3"/>
  <c r="L52" i="3"/>
  <c r="M52" i="3"/>
  <c r="A53" i="3"/>
  <c r="B53" i="3"/>
  <c r="C53" i="3"/>
  <c r="G53" i="3"/>
  <c r="L53" i="3"/>
  <c r="K53" i="3"/>
  <c r="M53" i="3"/>
  <c r="A54" i="3"/>
  <c r="B54" i="3"/>
  <c r="C54" i="3"/>
  <c r="G54" i="3"/>
  <c r="A55" i="3"/>
  <c r="B55" i="3"/>
  <c r="C55" i="3"/>
  <c r="H55" i="3"/>
  <c r="M55" i="3"/>
  <c r="L55" i="3"/>
  <c r="K55" i="3"/>
  <c r="A56" i="3"/>
  <c r="B56" i="3"/>
  <c r="C56" i="3"/>
  <c r="G56" i="3"/>
  <c r="L56" i="3"/>
  <c r="A57" i="3"/>
  <c r="B57" i="3"/>
  <c r="C57" i="3"/>
  <c r="H57" i="3"/>
  <c r="M57" i="3"/>
  <c r="L57" i="3"/>
  <c r="K57" i="3"/>
  <c r="A58" i="3"/>
  <c r="B58" i="3"/>
  <c r="C58" i="3"/>
  <c r="H58" i="3"/>
  <c r="G58" i="3"/>
  <c r="M58" i="3"/>
  <c r="A59" i="3"/>
  <c r="B59" i="3"/>
  <c r="C59" i="3"/>
  <c r="H59" i="3"/>
  <c r="K59" i="3"/>
  <c r="M59" i="3"/>
  <c r="A60" i="3"/>
  <c r="B60" i="3"/>
  <c r="C60" i="3"/>
  <c r="H60" i="3"/>
  <c r="G60" i="3"/>
  <c r="L60" i="3"/>
  <c r="M60" i="3"/>
  <c r="A61" i="3"/>
  <c r="B61" i="3"/>
  <c r="C61" i="3"/>
  <c r="G61" i="3"/>
  <c r="H61" i="3"/>
  <c r="L61" i="3"/>
  <c r="K61" i="3"/>
  <c r="A62" i="3"/>
  <c r="B62" i="3"/>
  <c r="C62" i="3"/>
  <c r="H62" i="3"/>
  <c r="M62" i="3"/>
  <c r="L62" i="3"/>
  <c r="A63" i="3"/>
  <c r="B63" i="3"/>
  <c r="C63" i="3"/>
  <c r="G63" i="3"/>
  <c r="H63" i="3"/>
  <c r="M63" i="3" s="1"/>
  <c r="K63" i="3"/>
  <c r="A64" i="3"/>
  <c r="B64" i="3"/>
  <c r="C64" i="3"/>
  <c r="H64" i="3"/>
  <c r="M64" i="3"/>
  <c r="G64" i="3"/>
  <c r="L64" i="3"/>
  <c r="K64" i="3"/>
  <c r="A65" i="3"/>
  <c r="B65" i="3"/>
  <c r="C65" i="3"/>
  <c r="H65" i="3"/>
  <c r="M65" i="3" s="1"/>
  <c r="G65" i="3"/>
  <c r="K65" i="3"/>
  <c r="A66" i="3"/>
  <c r="B66" i="3"/>
  <c r="C66" i="3"/>
  <c r="M66" i="3"/>
  <c r="G66" i="3"/>
  <c r="A67" i="3"/>
  <c r="B67" i="3"/>
  <c r="C67" i="3"/>
  <c r="H67" i="3"/>
  <c r="M67" i="3"/>
  <c r="L67" i="3"/>
  <c r="K67" i="3"/>
  <c r="A68" i="3"/>
  <c r="B68" i="3"/>
  <c r="C68" i="3"/>
  <c r="H68" i="3"/>
  <c r="M68" i="3" s="1"/>
  <c r="G68" i="3"/>
  <c r="K68" i="3"/>
  <c r="L68" i="3"/>
  <c r="A69" i="3"/>
  <c r="B69" i="3"/>
  <c r="C69" i="3"/>
  <c r="G69" i="3"/>
  <c r="H69" i="3"/>
  <c r="L69" i="3"/>
  <c r="K69" i="3"/>
  <c r="A70" i="3"/>
  <c r="B70" i="3"/>
  <c r="C70" i="3"/>
  <c r="H70" i="3"/>
  <c r="M70" i="3"/>
  <c r="A71" i="3"/>
  <c r="B71" i="3"/>
  <c r="C71" i="3"/>
  <c r="G71" i="3"/>
  <c r="H71" i="3"/>
  <c r="K71" i="3"/>
  <c r="M71" i="3"/>
  <c r="A72" i="3"/>
  <c r="B72" i="3"/>
  <c r="C72" i="3"/>
  <c r="H72" i="3"/>
  <c r="M72" i="3"/>
  <c r="G72" i="3"/>
  <c r="L72" i="3"/>
  <c r="K72" i="3"/>
  <c r="A73" i="3"/>
  <c r="B73" i="3"/>
  <c r="C73" i="3"/>
  <c r="H73" i="3"/>
  <c r="G73" i="3"/>
  <c r="K73" i="3"/>
  <c r="M73" i="3"/>
  <c r="A74" i="3"/>
  <c r="B74" i="3"/>
  <c r="C74" i="3"/>
  <c r="M74" i="3"/>
  <c r="G74" i="3"/>
  <c r="A75" i="3"/>
  <c r="B75" i="3"/>
  <c r="C75" i="3"/>
  <c r="H75" i="3"/>
  <c r="M75" i="3"/>
  <c r="L75" i="3"/>
  <c r="K75" i="3"/>
  <c r="A76" i="3"/>
  <c r="B76" i="3"/>
  <c r="C76" i="3"/>
  <c r="H76" i="3"/>
  <c r="G76" i="3"/>
  <c r="K76" i="3"/>
  <c r="L76" i="3"/>
  <c r="M76" i="3"/>
  <c r="A77" i="3"/>
  <c r="B77" i="3"/>
  <c r="C77" i="3"/>
  <c r="G77" i="3"/>
  <c r="H77" i="3"/>
  <c r="L77" i="3"/>
  <c r="K77" i="3"/>
  <c r="A78" i="3"/>
  <c r="B78" i="3"/>
  <c r="C78" i="3"/>
  <c r="H78" i="3"/>
  <c r="M78" i="3"/>
  <c r="K78" i="3"/>
  <c r="A79" i="3"/>
  <c r="B79" i="3"/>
  <c r="C79" i="3"/>
  <c r="G79" i="3"/>
  <c r="H79" i="3"/>
  <c r="K79" i="3"/>
  <c r="M79" i="3"/>
  <c r="A80" i="3"/>
  <c r="B80" i="3"/>
  <c r="C80" i="3"/>
  <c r="H80" i="3"/>
  <c r="M80" i="3"/>
  <c r="G80" i="3"/>
  <c r="L80" i="3"/>
  <c r="K80" i="3"/>
  <c r="A81" i="3"/>
  <c r="B81" i="3"/>
  <c r="C81" i="3"/>
  <c r="H81" i="3"/>
  <c r="G81" i="3"/>
  <c r="K81" i="3"/>
  <c r="M81" i="3"/>
  <c r="A82" i="3"/>
  <c r="B82" i="3"/>
  <c r="C82" i="3"/>
  <c r="G82" i="3"/>
  <c r="A83" i="3"/>
  <c r="B83" i="3"/>
  <c r="C83" i="3"/>
  <c r="H83" i="3"/>
  <c r="M83" i="3"/>
  <c r="L83" i="3"/>
  <c r="K83" i="3"/>
  <c r="A84" i="3"/>
  <c r="B84" i="3"/>
  <c r="C84" i="3"/>
  <c r="H84" i="3"/>
  <c r="G84" i="3"/>
  <c r="K84" i="3"/>
  <c r="L84" i="3"/>
  <c r="M84" i="3"/>
  <c r="A85" i="3"/>
  <c r="B85" i="3"/>
  <c r="C85" i="3"/>
  <c r="G85" i="3"/>
  <c r="H85" i="3"/>
  <c r="L85" i="3"/>
  <c r="K85" i="3"/>
  <c r="A86" i="3"/>
  <c r="B86" i="3"/>
  <c r="C86" i="3"/>
  <c r="H86" i="3"/>
  <c r="M86" i="3"/>
  <c r="A87" i="3"/>
  <c r="B87" i="3"/>
  <c r="C87" i="3"/>
  <c r="G87" i="3"/>
  <c r="H87" i="3"/>
  <c r="L87" i="3"/>
  <c r="K87" i="3"/>
  <c r="M87" i="3"/>
  <c r="A88" i="3"/>
  <c r="B88" i="3"/>
  <c r="C88" i="3"/>
  <c r="H88" i="3"/>
  <c r="M88" i="3"/>
  <c r="K88" i="3"/>
  <c r="L88" i="3"/>
  <c r="A89" i="3"/>
  <c r="B89" i="3"/>
  <c r="C89" i="3"/>
  <c r="G89" i="3"/>
  <c r="H89" i="3"/>
  <c r="L89" i="3"/>
  <c r="K89" i="3"/>
  <c r="M89" i="3"/>
  <c r="A90" i="3"/>
  <c r="B90" i="3"/>
  <c r="C90" i="3"/>
  <c r="H90" i="3"/>
  <c r="M90" i="3"/>
  <c r="L90" i="3"/>
  <c r="A91" i="3"/>
  <c r="B91" i="3"/>
  <c r="C91" i="3"/>
  <c r="G91" i="3"/>
  <c r="H91" i="3"/>
  <c r="L91" i="3"/>
  <c r="K91" i="3"/>
  <c r="M91" i="3"/>
  <c r="A92" i="3"/>
  <c r="B92" i="3"/>
  <c r="C92" i="3"/>
  <c r="H92" i="3"/>
  <c r="M92" i="3"/>
  <c r="K92" i="3"/>
  <c r="L92" i="3"/>
  <c r="A93" i="3"/>
  <c r="B93" i="3"/>
  <c r="C93" i="3"/>
  <c r="G93" i="3"/>
  <c r="H93" i="3"/>
  <c r="M93" i="3" s="1"/>
  <c r="L93" i="3"/>
  <c r="K93" i="3"/>
  <c r="A94" i="3"/>
  <c r="B94" i="3"/>
  <c r="C94" i="3"/>
  <c r="H94" i="3"/>
  <c r="M94" i="3"/>
  <c r="A95" i="3"/>
  <c r="B95" i="3"/>
  <c r="C95" i="3"/>
  <c r="G95" i="3"/>
  <c r="H95" i="3"/>
  <c r="L95" i="3"/>
  <c r="K95" i="3"/>
  <c r="M95" i="3"/>
  <c r="A96" i="3"/>
  <c r="B96" i="3"/>
  <c r="C96" i="3"/>
  <c r="H96" i="3"/>
  <c r="K96" i="3"/>
  <c r="L96" i="3"/>
  <c r="A97" i="3"/>
  <c r="B97" i="3"/>
  <c r="C97" i="3"/>
  <c r="G97" i="3"/>
  <c r="H97" i="3"/>
  <c r="L97" i="3"/>
  <c r="K97" i="3"/>
  <c r="M97" i="3"/>
  <c r="A98" i="3"/>
  <c r="B98" i="3"/>
  <c r="C98" i="3"/>
  <c r="H98" i="3"/>
  <c r="M98" i="3"/>
  <c r="A99" i="3"/>
  <c r="B99" i="3"/>
  <c r="C99" i="3"/>
  <c r="G99" i="3"/>
  <c r="H99" i="3"/>
  <c r="L99" i="3"/>
  <c r="K99" i="3"/>
  <c r="M99" i="3"/>
  <c r="A100" i="3"/>
  <c r="B100" i="3"/>
  <c r="C100" i="3"/>
  <c r="H100" i="3"/>
  <c r="M100" i="3"/>
  <c r="K100" i="3"/>
  <c r="L100" i="3"/>
  <c r="A101" i="3"/>
  <c r="B101" i="3"/>
  <c r="C101" i="3"/>
  <c r="G101" i="3"/>
  <c r="H101" i="3"/>
  <c r="L101" i="3"/>
  <c r="K101" i="3"/>
  <c r="M101" i="3"/>
  <c r="L184" i="9"/>
  <c r="K184" i="9"/>
  <c r="L183" i="9"/>
  <c r="K183" i="9"/>
  <c r="L182" i="9"/>
  <c r="K182" i="9"/>
  <c r="L181" i="9"/>
  <c r="K181" i="9"/>
  <c r="L180" i="9"/>
  <c r="K180" i="9"/>
  <c r="L179" i="9"/>
  <c r="K179" i="9"/>
  <c r="L178" i="9"/>
  <c r="K178" i="9"/>
  <c r="L177" i="9"/>
  <c r="K177" i="9"/>
  <c r="L176" i="9"/>
  <c r="K176" i="9"/>
  <c r="L175" i="9"/>
  <c r="K175" i="9"/>
  <c r="L174" i="9"/>
  <c r="K174" i="9"/>
  <c r="L173" i="9"/>
  <c r="K173" i="9"/>
  <c r="L172" i="9"/>
  <c r="K172" i="9"/>
  <c r="L171" i="9"/>
  <c r="K171" i="9"/>
  <c r="L170" i="9"/>
  <c r="K170" i="9"/>
  <c r="L167" i="9"/>
  <c r="K167" i="9"/>
  <c r="L166" i="9"/>
  <c r="K166" i="9"/>
  <c r="L165" i="9"/>
  <c r="K165" i="9"/>
  <c r="L164" i="9"/>
  <c r="K164" i="9"/>
  <c r="L163" i="9"/>
  <c r="K163" i="9"/>
  <c r="L162" i="9"/>
  <c r="K162" i="9"/>
  <c r="L161" i="9"/>
  <c r="K161" i="9"/>
  <c r="L160" i="9"/>
  <c r="K160" i="9"/>
  <c r="L157" i="9"/>
  <c r="K157" i="9"/>
  <c r="L156" i="9"/>
  <c r="K156" i="9"/>
  <c r="L155" i="9"/>
  <c r="K155" i="9"/>
  <c r="L154" i="9"/>
  <c r="K154" i="9"/>
  <c r="L153" i="9"/>
  <c r="K153" i="9"/>
  <c r="L152" i="9"/>
  <c r="K152" i="9"/>
  <c r="L151" i="9"/>
  <c r="K151" i="9"/>
  <c r="L150" i="9"/>
  <c r="K150" i="9"/>
  <c r="L149" i="9"/>
  <c r="K149" i="9"/>
  <c r="L148" i="9"/>
  <c r="K148" i="9"/>
  <c r="L147" i="9"/>
  <c r="K147" i="9"/>
  <c r="L146" i="9"/>
  <c r="K146" i="9"/>
  <c r="L145" i="9"/>
  <c r="K145" i="9"/>
  <c r="L144" i="9"/>
  <c r="K144" i="9"/>
  <c r="L143" i="9"/>
  <c r="K143" i="9"/>
  <c r="L142" i="9"/>
  <c r="K142" i="9"/>
  <c r="L141" i="9"/>
  <c r="K141" i="9"/>
  <c r="L140" i="9"/>
  <c r="K140" i="9"/>
  <c r="L139" i="9"/>
  <c r="K139" i="9"/>
  <c r="L138" i="9"/>
  <c r="K138" i="9"/>
  <c r="L137" i="9"/>
  <c r="K137" i="9"/>
  <c r="L136" i="9"/>
  <c r="K136" i="9"/>
  <c r="L135" i="9"/>
  <c r="K135" i="9"/>
  <c r="L134" i="9"/>
  <c r="K134" i="9"/>
  <c r="L133" i="9"/>
  <c r="K133" i="9"/>
  <c r="L132" i="9"/>
  <c r="K132" i="9"/>
  <c r="L131" i="9"/>
  <c r="K131" i="9"/>
  <c r="L130" i="9"/>
  <c r="K130" i="9"/>
  <c r="L129" i="9"/>
  <c r="K129" i="9"/>
  <c r="L128" i="9"/>
  <c r="K128" i="9"/>
  <c r="L127" i="9"/>
  <c r="K127" i="9"/>
  <c r="L126" i="9"/>
  <c r="K126" i="9"/>
  <c r="L125" i="9"/>
  <c r="K125" i="9"/>
  <c r="L122" i="9"/>
  <c r="K122" i="9"/>
  <c r="L119" i="9"/>
  <c r="K119" i="9"/>
  <c r="L116" i="9"/>
  <c r="K116" i="9"/>
  <c r="L113" i="9"/>
  <c r="K113" i="9"/>
  <c r="L110" i="9"/>
  <c r="K110" i="9"/>
  <c r="L109" i="9"/>
  <c r="K109" i="9"/>
  <c r="L108" i="9"/>
  <c r="K108" i="9"/>
  <c r="L107" i="9"/>
  <c r="K107" i="9"/>
  <c r="L106" i="9"/>
  <c r="K106" i="9"/>
  <c r="L105" i="9"/>
  <c r="K105" i="9"/>
  <c r="L104" i="9"/>
  <c r="K104" i="9"/>
  <c r="L103" i="9"/>
  <c r="K103" i="9"/>
  <c r="L102" i="9"/>
  <c r="K102" i="9"/>
  <c r="L101" i="9"/>
  <c r="K101" i="9"/>
  <c r="L100" i="9"/>
  <c r="K100" i="9"/>
  <c r="L99" i="9"/>
  <c r="K99" i="9"/>
  <c r="L98" i="9"/>
  <c r="K98" i="9"/>
  <c r="L97" i="9"/>
  <c r="K97" i="9"/>
  <c r="L96" i="9"/>
  <c r="K96" i="9"/>
  <c r="L95" i="9"/>
  <c r="K95" i="9"/>
  <c r="L94" i="9"/>
  <c r="K94" i="9"/>
  <c r="L93" i="9"/>
  <c r="K93" i="9"/>
  <c r="L92" i="9"/>
  <c r="K92" i="9"/>
  <c r="L91" i="9"/>
  <c r="K91" i="9"/>
  <c r="L90" i="9"/>
  <c r="K90" i="9"/>
  <c r="L89" i="9"/>
  <c r="K89" i="9"/>
  <c r="L88" i="9"/>
  <c r="K88" i="9"/>
  <c r="L87" i="9"/>
  <c r="K87" i="9"/>
  <c r="L86" i="9"/>
  <c r="K86" i="9"/>
  <c r="L85" i="9"/>
  <c r="K85" i="9"/>
  <c r="L84" i="9"/>
  <c r="K84" i="9"/>
  <c r="L83" i="9"/>
  <c r="K83" i="9"/>
  <c r="L82" i="9"/>
  <c r="K82" i="9"/>
  <c r="L79" i="9"/>
  <c r="K79" i="9"/>
  <c r="L78" i="9"/>
  <c r="K78" i="9"/>
  <c r="L77" i="9"/>
  <c r="K77" i="9"/>
  <c r="L74" i="9"/>
  <c r="K74" i="9"/>
  <c r="L73" i="9"/>
  <c r="K73" i="9"/>
  <c r="L72" i="9"/>
  <c r="K72" i="9"/>
  <c r="L71" i="9"/>
  <c r="K71" i="9"/>
  <c r="L70" i="9"/>
  <c r="K70" i="9"/>
  <c r="L69" i="9"/>
  <c r="K69" i="9"/>
  <c r="L68" i="9"/>
  <c r="K68" i="9"/>
  <c r="L67" i="9"/>
  <c r="K67" i="9"/>
  <c r="L66" i="9"/>
  <c r="K66" i="9"/>
  <c r="L65" i="9"/>
  <c r="K65" i="9"/>
  <c r="L64" i="9"/>
  <c r="K64" i="9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0" i="9"/>
  <c r="K10" i="9"/>
  <c r="L9" i="9"/>
  <c r="K9" i="9"/>
  <c r="L8" i="9"/>
  <c r="K8" i="9"/>
  <c r="H184" i="9"/>
  <c r="J184" i="9" s="1"/>
  <c r="G184" i="9"/>
  <c r="I184" i="9" s="1"/>
  <c r="H183" i="9"/>
  <c r="J183" i="9" s="1"/>
  <c r="G183" i="9"/>
  <c r="I183" i="9" s="1"/>
  <c r="H182" i="9"/>
  <c r="J182" i="9" s="1"/>
  <c r="G182" i="9"/>
  <c r="I182" i="9" s="1"/>
  <c r="H181" i="9"/>
  <c r="J181" i="9" s="1"/>
  <c r="G181" i="9"/>
  <c r="I181" i="9" s="1"/>
  <c r="H180" i="9"/>
  <c r="J180" i="9" s="1"/>
  <c r="G180" i="9"/>
  <c r="I180" i="9" s="1"/>
  <c r="H179" i="9"/>
  <c r="J179" i="9" s="1"/>
  <c r="G179" i="9"/>
  <c r="I179" i="9" s="1"/>
  <c r="H178" i="9"/>
  <c r="J178" i="9" s="1"/>
  <c r="G178" i="9"/>
  <c r="I178" i="9" s="1"/>
  <c r="H177" i="9"/>
  <c r="J177" i="9" s="1"/>
  <c r="G177" i="9"/>
  <c r="I177" i="9" s="1"/>
  <c r="H176" i="9"/>
  <c r="J176" i="9" s="1"/>
  <c r="G176" i="9"/>
  <c r="I176" i="9" s="1"/>
  <c r="H175" i="9"/>
  <c r="J175" i="9" s="1"/>
  <c r="G175" i="9"/>
  <c r="I175" i="9" s="1"/>
  <c r="H174" i="9"/>
  <c r="J174" i="9" s="1"/>
  <c r="G174" i="9"/>
  <c r="I174" i="9" s="1"/>
  <c r="H173" i="9"/>
  <c r="J173" i="9" s="1"/>
  <c r="G173" i="9"/>
  <c r="I173" i="9" s="1"/>
  <c r="H172" i="9"/>
  <c r="J172" i="9" s="1"/>
  <c r="G172" i="9"/>
  <c r="I172" i="9" s="1"/>
  <c r="H171" i="9"/>
  <c r="J171" i="9" s="1"/>
  <c r="G171" i="9"/>
  <c r="I171" i="9" s="1"/>
  <c r="H170" i="9"/>
  <c r="J170" i="9" s="1"/>
  <c r="J185" i="9" s="1"/>
  <c r="G170" i="9"/>
  <c r="I170" i="9" s="1"/>
  <c r="I185" i="9" s="1"/>
  <c r="H167" i="9"/>
  <c r="J167" i="9" s="1"/>
  <c r="G167" i="9"/>
  <c r="I167" i="9" s="1"/>
  <c r="H166" i="9"/>
  <c r="J166" i="9" s="1"/>
  <c r="G166" i="9"/>
  <c r="I166" i="9" s="1"/>
  <c r="H165" i="9"/>
  <c r="J165" i="9" s="1"/>
  <c r="G165" i="9"/>
  <c r="I165" i="9" s="1"/>
  <c r="H164" i="9"/>
  <c r="J164" i="9" s="1"/>
  <c r="G164" i="9"/>
  <c r="I164" i="9" s="1"/>
  <c r="H163" i="9"/>
  <c r="J163" i="9" s="1"/>
  <c r="G163" i="9"/>
  <c r="I163" i="9" s="1"/>
  <c r="H162" i="9"/>
  <c r="J162" i="9" s="1"/>
  <c r="G162" i="9"/>
  <c r="I162" i="9" s="1"/>
  <c r="H161" i="9"/>
  <c r="J161" i="9" s="1"/>
  <c r="G161" i="9"/>
  <c r="I161" i="9" s="1"/>
  <c r="H160" i="9"/>
  <c r="J160" i="9" s="1"/>
  <c r="J168" i="9" s="1"/>
  <c r="G160" i="9"/>
  <c r="I160" i="9" s="1"/>
  <c r="I168" i="9" s="1"/>
  <c r="H157" i="9"/>
  <c r="J157" i="9" s="1"/>
  <c r="G157" i="9"/>
  <c r="I157" i="9" s="1"/>
  <c r="H156" i="9"/>
  <c r="J156" i="9" s="1"/>
  <c r="G156" i="9"/>
  <c r="I156" i="9" s="1"/>
  <c r="H155" i="9"/>
  <c r="J155" i="9" s="1"/>
  <c r="G155" i="9"/>
  <c r="I155" i="9" s="1"/>
  <c r="H154" i="9"/>
  <c r="J154" i="9" s="1"/>
  <c r="G154" i="9"/>
  <c r="I154" i="9" s="1"/>
  <c r="H153" i="9"/>
  <c r="J153" i="9" s="1"/>
  <c r="G153" i="9"/>
  <c r="I153" i="9" s="1"/>
  <c r="H152" i="9"/>
  <c r="J152" i="9" s="1"/>
  <c r="G152" i="9"/>
  <c r="I152" i="9" s="1"/>
  <c r="H151" i="9"/>
  <c r="J151" i="9" s="1"/>
  <c r="G151" i="9"/>
  <c r="I151" i="9" s="1"/>
  <c r="H150" i="9"/>
  <c r="J150" i="9" s="1"/>
  <c r="G150" i="9"/>
  <c r="I150" i="9" s="1"/>
  <c r="H149" i="9"/>
  <c r="J149" i="9" s="1"/>
  <c r="G149" i="9"/>
  <c r="I149" i="9" s="1"/>
  <c r="H148" i="9"/>
  <c r="J148" i="9" s="1"/>
  <c r="G148" i="9"/>
  <c r="I148" i="9" s="1"/>
  <c r="H147" i="9"/>
  <c r="J147" i="9" s="1"/>
  <c r="G147" i="9"/>
  <c r="I147" i="9" s="1"/>
  <c r="H146" i="9"/>
  <c r="J146" i="9" s="1"/>
  <c r="G146" i="9"/>
  <c r="I146" i="9" s="1"/>
  <c r="H145" i="9"/>
  <c r="J145" i="9" s="1"/>
  <c r="G145" i="9"/>
  <c r="I145" i="9" s="1"/>
  <c r="H144" i="9"/>
  <c r="J144" i="9" s="1"/>
  <c r="G144" i="9"/>
  <c r="I144" i="9" s="1"/>
  <c r="H143" i="9"/>
  <c r="J143" i="9" s="1"/>
  <c r="G143" i="9"/>
  <c r="I143" i="9" s="1"/>
  <c r="H142" i="9"/>
  <c r="J142" i="9" s="1"/>
  <c r="G142" i="9"/>
  <c r="I142" i="9" s="1"/>
  <c r="H141" i="9"/>
  <c r="J141" i="9" s="1"/>
  <c r="G141" i="9"/>
  <c r="I141" i="9" s="1"/>
  <c r="H140" i="9"/>
  <c r="J140" i="9" s="1"/>
  <c r="G140" i="9"/>
  <c r="I140" i="9" s="1"/>
  <c r="H139" i="9"/>
  <c r="J139" i="9" s="1"/>
  <c r="G139" i="9"/>
  <c r="I139" i="9" s="1"/>
  <c r="H138" i="9"/>
  <c r="J138" i="9" s="1"/>
  <c r="G138" i="9"/>
  <c r="I138" i="9" s="1"/>
  <c r="H137" i="9"/>
  <c r="J137" i="9" s="1"/>
  <c r="G137" i="9"/>
  <c r="I137" i="9" s="1"/>
  <c r="H136" i="9"/>
  <c r="J136" i="9" s="1"/>
  <c r="G136" i="9"/>
  <c r="I136" i="9" s="1"/>
  <c r="H135" i="9"/>
  <c r="J135" i="9" s="1"/>
  <c r="G135" i="9"/>
  <c r="I135" i="9" s="1"/>
  <c r="H134" i="9"/>
  <c r="J134" i="9" s="1"/>
  <c r="G134" i="9"/>
  <c r="I134" i="9" s="1"/>
  <c r="H133" i="9"/>
  <c r="J133" i="9" s="1"/>
  <c r="G133" i="9"/>
  <c r="I133" i="9" s="1"/>
  <c r="H132" i="9"/>
  <c r="J132" i="9" s="1"/>
  <c r="G132" i="9"/>
  <c r="I132" i="9" s="1"/>
  <c r="H131" i="9"/>
  <c r="J131" i="9" s="1"/>
  <c r="G131" i="9"/>
  <c r="I131" i="9" s="1"/>
  <c r="H130" i="9"/>
  <c r="J130" i="9" s="1"/>
  <c r="G130" i="9"/>
  <c r="I130" i="9" s="1"/>
  <c r="H129" i="9"/>
  <c r="J129" i="9" s="1"/>
  <c r="G129" i="9"/>
  <c r="I129" i="9" s="1"/>
  <c r="H128" i="9"/>
  <c r="J128" i="9" s="1"/>
  <c r="G128" i="9"/>
  <c r="I128" i="9" s="1"/>
  <c r="H127" i="9"/>
  <c r="J127" i="9" s="1"/>
  <c r="G127" i="9"/>
  <c r="I127" i="9" s="1"/>
  <c r="H126" i="9"/>
  <c r="J126" i="9" s="1"/>
  <c r="G126" i="9"/>
  <c r="I126" i="9" s="1"/>
  <c r="H125" i="9"/>
  <c r="J125" i="9" s="1"/>
  <c r="G125" i="9"/>
  <c r="I125" i="9" s="1"/>
  <c r="H122" i="9"/>
  <c r="J122" i="9" s="1"/>
  <c r="J123" i="9" s="1"/>
  <c r="G122" i="9"/>
  <c r="I122" i="9" s="1"/>
  <c r="I123" i="9" s="1"/>
  <c r="H119" i="9"/>
  <c r="J119" i="9" s="1"/>
  <c r="J120" i="9" s="1"/>
  <c r="G119" i="9"/>
  <c r="I119" i="9" s="1"/>
  <c r="I120" i="9" s="1"/>
  <c r="H116" i="9"/>
  <c r="J116" i="9" s="1"/>
  <c r="J117" i="9" s="1"/>
  <c r="G116" i="9"/>
  <c r="I116" i="9" s="1"/>
  <c r="I117" i="9" s="1"/>
  <c r="H113" i="9"/>
  <c r="J113" i="9" s="1"/>
  <c r="J114" i="9" s="1"/>
  <c r="G113" i="9"/>
  <c r="I113" i="9" s="1"/>
  <c r="I114" i="9" s="1"/>
  <c r="H110" i="9"/>
  <c r="J110" i="9" s="1"/>
  <c r="G110" i="9"/>
  <c r="I110" i="9" s="1"/>
  <c r="H109" i="9"/>
  <c r="J109" i="9" s="1"/>
  <c r="G109" i="9"/>
  <c r="I109" i="9" s="1"/>
  <c r="H108" i="9"/>
  <c r="J108" i="9" s="1"/>
  <c r="G108" i="9"/>
  <c r="I108" i="9" s="1"/>
  <c r="H107" i="9"/>
  <c r="J107" i="9" s="1"/>
  <c r="G107" i="9"/>
  <c r="I107" i="9" s="1"/>
  <c r="H106" i="9"/>
  <c r="J106" i="9" s="1"/>
  <c r="G106" i="9"/>
  <c r="I106" i="9" s="1"/>
  <c r="H105" i="9"/>
  <c r="J105" i="9" s="1"/>
  <c r="G105" i="9"/>
  <c r="I105" i="9" s="1"/>
  <c r="H104" i="9"/>
  <c r="J104" i="9" s="1"/>
  <c r="G104" i="9"/>
  <c r="I104" i="9" s="1"/>
  <c r="H103" i="9"/>
  <c r="J103" i="9" s="1"/>
  <c r="G103" i="9"/>
  <c r="I103" i="9" s="1"/>
  <c r="H102" i="9"/>
  <c r="J102" i="9" s="1"/>
  <c r="G102" i="9"/>
  <c r="I102" i="9" s="1"/>
  <c r="H101" i="9"/>
  <c r="J101" i="9" s="1"/>
  <c r="G101" i="9"/>
  <c r="I101" i="9" s="1"/>
  <c r="H100" i="9"/>
  <c r="J100" i="9" s="1"/>
  <c r="G100" i="9"/>
  <c r="I100" i="9" s="1"/>
  <c r="H99" i="9"/>
  <c r="J99" i="9" s="1"/>
  <c r="G99" i="9"/>
  <c r="I99" i="9" s="1"/>
  <c r="H98" i="9"/>
  <c r="J98" i="9" s="1"/>
  <c r="G98" i="9"/>
  <c r="I98" i="9" s="1"/>
  <c r="H97" i="9"/>
  <c r="J97" i="9" s="1"/>
  <c r="G97" i="9"/>
  <c r="I97" i="9" s="1"/>
  <c r="H96" i="9"/>
  <c r="J96" i="9" s="1"/>
  <c r="G96" i="9"/>
  <c r="I96" i="9" s="1"/>
  <c r="H95" i="9"/>
  <c r="J95" i="9" s="1"/>
  <c r="G95" i="9"/>
  <c r="I95" i="9" s="1"/>
  <c r="H94" i="9"/>
  <c r="J94" i="9" s="1"/>
  <c r="G94" i="9"/>
  <c r="I94" i="9" s="1"/>
  <c r="H93" i="9"/>
  <c r="J93" i="9" s="1"/>
  <c r="G93" i="9"/>
  <c r="I93" i="9" s="1"/>
  <c r="H92" i="9"/>
  <c r="J92" i="9" s="1"/>
  <c r="G92" i="9"/>
  <c r="I92" i="9" s="1"/>
  <c r="H91" i="9"/>
  <c r="J91" i="9" s="1"/>
  <c r="G91" i="9"/>
  <c r="I91" i="9" s="1"/>
  <c r="H90" i="9"/>
  <c r="J90" i="9" s="1"/>
  <c r="G90" i="9"/>
  <c r="I90" i="9" s="1"/>
  <c r="H89" i="9"/>
  <c r="J89" i="9" s="1"/>
  <c r="G89" i="9"/>
  <c r="I89" i="9" s="1"/>
  <c r="H88" i="9"/>
  <c r="J88" i="9" s="1"/>
  <c r="G88" i="9"/>
  <c r="I88" i="9" s="1"/>
  <c r="H87" i="9"/>
  <c r="J87" i="9" s="1"/>
  <c r="G87" i="9"/>
  <c r="I87" i="9" s="1"/>
  <c r="H86" i="9"/>
  <c r="J86" i="9" s="1"/>
  <c r="G86" i="9"/>
  <c r="I86" i="9" s="1"/>
  <c r="H85" i="9"/>
  <c r="J85" i="9" s="1"/>
  <c r="G85" i="9"/>
  <c r="I85" i="9" s="1"/>
  <c r="H84" i="9"/>
  <c r="J84" i="9" s="1"/>
  <c r="G84" i="9"/>
  <c r="I84" i="9" s="1"/>
  <c r="H83" i="9"/>
  <c r="J83" i="9" s="1"/>
  <c r="G83" i="9"/>
  <c r="I83" i="9" s="1"/>
  <c r="H82" i="9"/>
  <c r="J82" i="9" s="1"/>
  <c r="G82" i="9"/>
  <c r="I82" i="9" s="1"/>
  <c r="H79" i="9"/>
  <c r="J79" i="9" s="1"/>
  <c r="G79" i="9"/>
  <c r="I79" i="9" s="1"/>
  <c r="H78" i="9"/>
  <c r="J78" i="9" s="1"/>
  <c r="G78" i="9"/>
  <c r="I78" i="9" s="1"/>
  <c r="H77" i="9"/>
  <c r="J77" i="9" s="1"/>
  <c r="G77" i="9"/>
  <c r="I77" i="9" s="1"/>
  <c r="I80" i="9" s="1"/>
  <c r="H74" i="9"/>
  <c r="J74" i="9" s="1"/>
  <c r="G74" i="9"/>
  <c r="I74" i="9" s="1"/>
  <c r="H73" i="9"/>
  <c r="J73" i="9" s="1"/>
  <c r="G73" i="9"/>
  <c r="I73" i="9" s="1"/>
  <c r="H72" i="9"/>
  <c r="J72" i="9" s="1"/>
  <c r="G72" i="9"/>
  <c r="I72" i="9" s="1"/>
  <c r="H71" i="9"/>
  <c r="J71" i="9" s="1"/>
  <c r="G71" i="9"/>
  <c r="I71" i="9" s="1"/>
  <c r="H70" i="9"/>
  <c r="J70" i="9" s="1"/>
  <c r="G70" i="9"/>
  <c r="I70" i="9" s="1"/>
  <c r="H69" i="9"/>
  <c r="J69" i="9" s="1"/>
  <c r="G69" i="9"/>
  <c r="I69" i="9" s="1"/>
  <c r="H68" i="9"/>
  <c r="J68" i="9" s="1"/>
  <c r="G68" i="9"/>
  <c r="I68" i="9" s="1"/>
  <c r="H67" i="9"/>
  <c r="J67" i="9" s="1"/>
  <c r="G67" i="9"/>
  <c r="I67" i="9" s="1"/>
  <c r="H66" i="9"/>
  <c r="J66" i="9" s="1"/>
  <c r="G66" i="9"/>
  <c r="I66" i="9" s="1"/>
  <c r="H65" i="9"/>
  <c r="J65" i="9" s="1"/>
  <c r="G65" i="9"/>
  <c r="I65" i="9" s="1"/>
  <c r="H64" i="9"/>
  <c r="J64" i="9" s="1"/>
  <c r="G64" i="9"/>
  <c r="I64" i="9" s="1"/>
  <c r="H61" i="9"/>
  <c r="J61" i="9" s="1"/>
  <c r="G61" i="9"/>
  <c r="I61" i="9" s="1"/>
  <c r="H60" i="9"/>
  <c r="J60" i="9" s="1"/>
  <c r="G60" i="9"/>
  <c r="I60" i="9" s="1"/>
  <c r="H59" i="9"/>
  <c r="J59" i="9" s="1"/>
  <c r="G59" i="9"/>
  <c r="I59" i="9" s="1"/>
  <c r="H58" i="9"/>
  <c r="J58" i="9" s="1"/>
  <c r="G58" i="9"/>
  <c r="I58" i="9" s="1"/>
  <c r="H57" i="9"/>
  <c r="J57" i="9" s="1"/>
  <c r="G57" i="9"/>
  <c r="I57" i="9" s="1"/>
  <c r="H56" i="9"/>
  <c r="J56" i="9" s="1"/>
  <c r="G56" i="9"/>
  <c r="I56" i="9" s="1"/>
  <c r="H55" i="9"/>
  <c r="J55" i="9" s="1"/>
  <c r="G55" i="9"/>
  <c r="I55" i="9" s="1"/>
  <c r="H54" i="9"/>
  <c r="J54" i="9" s="1"/>
  <c r="G54" i="9"/>
  <c r="I54" i="9" s="1"/>
  <c r="H53" i="9"/>
  <c r="J53" i="9" s="1"/>
  <c r="G53" i="9"/>
  <c r="I53" i="9" s="1"/>
  <c r="H52" i="9"/>
  <c r="J52" i="9" s="1"/>
  <c r="G52" i="9"/>
  <c r="I52" i="9" s="1"/>
  <c r="H51" i="9"/>
  <c r="J51" i="9" s="1"/>
  <c r="G51" i="9"/>
  <c r="I51" i="9" s="1"/>
  <c r="H50" i="9"/>
  <c r="J50" i="9" s="1"/>
  <c r="G50" i="9"/>
  <c r="I50" i="9" s="1"/>
  <c r="H49" i="9"/>
  <c r="J49" i="9" s="1"/>
  <c r="G49" i="9"/>
  <c r="I49" i="9" s="1"/>
  <c r="H48" i="9"/>
  <c r="J48" i="9" s="1"/>
  <c r="G48" i="9"/>
  <c r="I48" i="9" s="1"/>
  <c r="H47" i="9"/>
  <c r="J47" i="9" s="1"/>
  <c r="G47" i="9"/>
  <c r="I47" i="9" s="1"/>
  <c r="H46" i="9"/>
  <c r="J46" i="9" s="1"/>
  <c r="G46" i="9"/>
  <c r="I46" i="9" s="1"/>
  <c r="H45" i="9"/>
  <c r="J45" i="9" s="1"/>
  <c r="J62" i="9" s="1"/>
  <c r="G45" i="9"/>
  <c r="I45" i="9" s="1"/>
  <c r="I62" i="9" s="1"/>
  <c r="H42" i="9"/>
  <c r="J42" i="9" s="1"/>
  <c r="G42" i="9"/>
  <c r="I42" i="9" s="1"/>
  <c r="H41" i="9"/>
  <c r="J41" i="9" s="1"/>
  <c r="G41" i="9"/>
  <c r="I41" i="9" s="1"/>
  <c r="H40" i="9"/>
  <c r="J40" i="9" s="1"/>
  <c r="G40" i="9"/>
  <c r="I40" i="9" s="1"/>
  <c r="H39" i="9"/>
  <c r="J39" i="9" s="1"/>
  <c r="G39" i="9"/>
  <c r="I39" i="9" s="1"/>
  <c r="H38" i="9"/>
  <c r="J38" i="9" s="1"/>
  <c r="G38" i="9"/>
  <c r="I38" i="9" s="1"/>
  <c r="H37" i="9"/>
  <c r="J37" i="9" s="1"/>
  <c r="G37" i="9"/>
  <c r="I37" i="9" s="1"/>
  <c r="H36" i="9"/>
  <c r="J36" i="9" s="1"/>
  <c r="G36" i="9"/>
  <c r="I36" i="9" s="1"/>
  <c r="H35" i="9"/>
  <c r="J35" i="9" s="1"/>
  <c r="G35" i="9"/>
  <c r="I35" i="9" s="1"/>
  <c r="H34" i="9"/>
  <c r="J34" i="9" s="1"/>
  <c r="G34" i="9"/>
  <c r="I34" i="9" s="1"/>
  <c r="H33" i="9"/>
  <c r="J33" i="9" s="1"/>
  <c r="G33" i="9"/>
  <c r="I33" i="9" s="1"/>
  <c r="H32" i="9"/>
  <c r="J32" i="9" s="1"/>
  <c r="G32" i="9"/>
  <c r="I32" i="9" s="1"/>
  <c r="H31" i="9"/>
  <c r="J31" i="9" s="1"/>
  <c r="G31" i="9"/>
  <c r="I31" i="9" s="1"/>
  <c r="H30" i="9"/>
  <c r="J30" i="9" s="1"/>
  <c r="G30" i="9"/>
  <c r="I30" i="9" s="1"/>
  <c r="H29" i="9"/>
  <c r="J29" i="9" s="1"/>
  <c r="G29" i="9"/>
  <c r="I29" i="9" s="1"/>
  <c r="H28" i="9"/>
  <c r="J28" i="9" s="1"/>
  <c r="G28" i="9"/>
  <c r="I28" i="9" s="1"/>
  <c r="H27" i="9"/>
  <c r="J27" i="9" s="1"/>
  <c r="G27" i="9"/>
  <c r="I27" i="9" s="1"/>
  <c r="H26" i="9"/>
  <c r="J26" i="9" s="1"/>
  <c r="G26" i="9"/>
  <c r="I26" i="9" s="1"/>
  <c r="H25" i="9"/>
  <c r="J25" i="9" s="1"/>
  <c r="G25" i="9"/>
  <c r="I25" i="9" s="1"/>
  <c r="H24" i="9"/>
  <c r="J24" i="9" s="1"/>
  <c r="G24" i="9"/>
  <c r="I24" i="9" s="1"/>
  <c r="H23" i="9"/>
  <c r="J23" i="9" s="1"/>
  <c r="G23" i="9"/>
  <c r="I23" i="9" s="1"/>
  <c r="H22" i="9"/>
  <c r="J22" i="9" s="1"/>
  <c r="G22" i="9"/>
  <c r="I22" i="9" s="1"/>
  <c r="H21" i="9"/>
  <c r="J21" i="9" s="1"/>
  <c r="G21" i="9"/>
  <c r="I21" i="9" s="1"/>
  <c r="H20" i="9"/>
  <c r="J20" i="9" s="1"/>
  <c r="G20" i="9"/>
  <c r="I20" i="9" s="1"/>
  <c r="H19" i="9"/>
  <c r="J19" i="9" s="1"/>
  <c r="G19" i="9"/>
  <c r="I19" i="9" s="1"/>
  <c r="H18" i="9"/>
  <c r="J18" i="9" s="1"/>
  <c r="G18" i="9"/>
  <c r="I18" i="9" s="1"/>
  <c r="H17" i="9"/>
  <c r="J17" i="9" s="1"/>
  <c r="G17" i="9"/>
  <c r="I17" i="9" s="1"/>
  <c r="H16" i="9"/>
  <c r="J16" i="9" s="1"/>
  <c r="G16" i="9"/>
  <c r="I16" i="9" s="1"/>
  <c r="H15" i="9"/>
  <c r="J15" i="9" s="1"/>
  <c r="G15" i="9"/>
  <c r="I15" i="9" s="1"/>
  <c r="H14" i="9"/>
  <c r="J14" i="9" s="1"/>
  <c r="G14" i="9"/>
  <c r="I14" i="9" s="1"/>
  <c r="H13" i="9"/>
  <c r="J13" i="9" s="1"/>
  <c r="G13" i="9"/>
  <c r="I13" i="9" s="1"/>
  <c r="H10" i="9"/>
  <c r="J10" i="9" s="1"/>
  <c r="G10" i="9"/>
  <c r="I10" i="9" s="1"/>
  <c r="H9" i="9"/>
  <c r="J9" i="9" s="1"/>
  <c r="G9" i="9"/>
  <c r="I9" i="9" s="1"/>
  <c r="H8" i="9"/>
  <c r="J8" i="9" s="1"/>
  <c r="G8" i="9"/>
  <c r="I8" i="9" s="1"/>
  <c r="N184" i="9" a="1"/>
  <c r="N184" i="9" s="1"/>
  <c r="M184" i="9"/>
  <c r="N183" i="9" a="1"/>
  <c r="N183" i="9" s="1"/>
  <c r="M183" i="9"/>
  <c r="N182" i="9" a="1"/>
  <c r="N182" i="9" s="1"/>
  <c r="M182" i="9"/>
  <c r="N181" i="9" a="1"/>
  <c r="N181" i="9" s="1"/>
  <c r="M181" i="9"/>
  <c r="N180" i="9" a="1"/>
  <c r="N180" i="9" s="1"/>
  <c r="M180" i="9"/>
  <c r="N179" i="9" a="1"/>
  <c r="N179" i="9" s="1"/>
  <c r="M179" i="9"/>
  <c r="N178" i="9" a="1"/>
  <c r="N178" i="9" s="1"/>
  <c r="M178" i="9"/>
  <c r="N177" i="9" a="1"/>
  <c r="N177" i="9" s="1"/>
  <c r="M177" i="9"/>
  <c r="N176" i="9" a="1"/>
  <c r="N176" i="9" s="1"/>
  <c r="M176" i="9"/>
  <c r="N175" i="9" a="1"/>
  <c r="N175" i="9" s="1"/>
  <c r="M175" i="9"/>
  <c r="N174" i="9" a="1"/>
  <c r="N174" i="9" s="1"/>
  <c r="M174" i="9"/>
  <c r="N173" i="9" a="1"/>
  <c r="N173" i="9" s="1"/>
  <c r="M173" i="9"/>
  <c r="N172" i="9" a="1"/>
  <c r="N172" i="9" s="1"/>
  <c r="M172" i="9"/>
  <c r="N171" i="9" a="1"/>
  <c r="N171" i="9" s="1"/>
  <c r="M171" i="9"/>
  <c r="N170" i="9" a="1"/>
  <c r="N170" i="9" s="1"/>
  <c r="M170" i="9"/>
  <c r="N167" i="9" a="1"/>
  <c r="N167" i="9" s="1"/>
  <c r="M167" i="9"/>
  <c r="N166" i="9" a="1"/>
  <c r="N166" i="9" s="1"/>
  <c r="M166" i="9"/>
  <c r="N165" i="9" a="1"/>
  <c r="N165" i="9" s="1"/>
  <c r="M165" i="9"/>
  <c r="N164" i="9" a="1"/>
  <c r="N164" i="9" s="1"/>
  <c r="M164" i="9"/>
  <c r="N163" i="9" a="1"/>
  <c r="N163" i="9" s="1"/>
  <c r="M163" i="9"/>
  <c r="N162" i="9" a="1"/>
  <c r="N162" i="9" s="1"/>
  <c r="M162" i="9"/>
  <c r="N161" i="9" a="1"/>
  <c r="N161" i="9" s="1"/>
  <c r="M161" i="9"/>
  <c r="N160" i="9" a="1"/>
  <c r="N160" i="9" s="1"/>
  <c r="M160" i="9"/>
  <c r="N157" i="9" a="1"/>
  <c r="N157" i="9" s="1"/>
  <c r="M157" i="9"/>
  <c r="N156" i="9" a="1"/>
  <c r="N156" i="9" s="1"/>
  <c r="M156" i="9"/>
  <c r="N155" i="9" a="1"/>
  <c r="N155" i="9" s="1"/>
  <c r="M155" i="9"/>
  <c r="N154" i="9" a="1"/>
  <c r="N154" i="9" s="1"/>
  <c r="M154" i="9"/>
  <c r="N153" i="9" a="1"/>
  <c r="N153" i="9" s="1"/>
  <c r="M153" i="9"/>
  <c r="N152" i="9" a="1"/>
  <c r="N152" i="9" s="1"/>
  <c r="M152" i="9"/>
  <c r="N151" i="9" a="1"/>
  <c r="N151" i="9" s="1"/>
  <c r="M151" i="9"/>
  <c r="N150" i="9" a="1"/>
  <c r="N150" i="9" s="1"/>
  <c r="M150" i="9"/>
  <c r="N149" i="9" a="1"/>
  <c r="N149" i="9" s="1"/>
  <c r="M149" i="9"/>
  <c r="N148" i="9" a="1"/>
  <c r="N148" i="9" s="1"/>
  <c r="M148" i="9"/>
  <c r="N147" i="9" a="1"/>
  <c r="N147" i="9" s="1"/>
  <c r="M147" i="9"/>
  <c r="N146" i="9" a="1"/>
  <c r="N146" i="9" s="1"/>
  <c r="M146" i="9"/>
  <c r="N145" i="9" a="1"/>
  <c r="N145" i="9" s="1"/>
  <c r="M145" i="9"/>
  <c r="N144" i="9" a="1"/>
  <c r="N144" i="9" s="1"/>
  <c r="M144" i="9"/>
  <c r="N143" i="9" a="1"/>
  <c r="N143" i="9" s="1"/>
  <c r="M143" i="9"/>
  <c r="N142" i="9" a="1"/>
  <c r="N142" i="9" s="1"/>
  <c r="M142" i="9"/>
  <c r="N141" i="9" a="1"/>
  <c r="N141" i="9" s="1"/>
  <c r="M141" i="9"/>
  <c r="N140" i="9" a="1"/>
  <c r="N140" i="9" s="1"/>
  <c r="M140" i="9"/>
  <c r="N139" i="9" a="1"/>
  <c r="N139" i="9" s="1"/>
  <c r="M139" i="9"/>
  <c r="N138" i="9" a="1"/>
  <c r="N138" i="9" s="1"/>
  <c r="M138" i="9"/>
  <c r="N137" i="9" a="1"/>
  <c r="N137" i="9" s="1"/>
  <c r="M137" i="9"/>
  <c r="N136" i="9" a="1"/>
  <c r="N136" i="9" s="1"/>
  <c r="M136" i="9"/>
  <c r="N135" i="9" a="1"/>
  <c r="N135" i="9" s="1"/>
  <c r="M135" i="9"/>
  <c r="N134" i="9" a="1"/>
  <c r="N134" i="9" s="1"/>
  <c r="M134" i="9"/>
  <c r="N133" i="9" a="1"/>
  <c r="N133" i="9" s="1"/>
  <c r="M133" i="9"/>
  <c r="N132" i="9" a="1"/>
  <c r="N132" i="9" s="1"/>
  <c r="M132" i="9"/>
  <c r="N131" i="9" a="1"/>
  <c r="N131" i="9" s="1"/>
  <c r="M131" i="9"/>
  <c r="N130" i="9" a="1"/>
  <c r="N130" i="9" s="1"/>
  <c r="M130" i="9"/>
  <c r="N129" i="9" a="1"/>
  <c r="N129" i="9" s="1"/>
  <c r="M129" i="9"/>
  <c r="N128" i="9" a="1"/>
  <c r="N128" i="9" s="1"/>
  <c r="M128" i="9"/>
  <c r="N127" i="9" a="1"/>
  <c r="N127" i="9" s="1"/>
  <c r="M127" i="9"/>
  <c r="N126" i="9" a="1"/>
  <c r="N126" i="9" s="1"/>
  <c r="M126" i="9"/>
  <c r="N125" i="9" a="1"/>
  <c r="N125" i="9" s="1"/>
  <c r="M125" i="9"/>
  <c r="N122" i="9" a="1"/>
  <c r="N122" i="9" s="1"/>
  <c r="N123" i="9" s="1"/>
  <c r="M122" i="9"/>
  <c r="M123" i="9" s="1"/>
  <c r="N119" i="9" a="1"/>
  <c r="N119" i="9" s="1"/>
  <c r="N120" i="9" s="1"/>
  <c r="M119" i="9"/>
  <c r="M120" i="9" s="1"/>
  <c r="N116" i="9" a="1"/>
  <c r="N116" i="9" s="1"/>
  <c r="N117" i="9" s="1"/>
  <c r="M116" i="9"/>
  <c r="M117" i="9" s="1"/>
  <c r="N113" i="9" a="1"/>
  <c r="N113" i="9" s="1"/>
  <c r="N114" i="9" s="1"/>
  <c r="M113" i="9"/>
  <c r="M114" i="9" s="1"/>
  <c r="N110" i="9" a="1"/>
  <c r="N110" i="9" s="1"/>
  <c r="M110" i="9"/>
  <c r="N109" i="9" a="1"/>
  <c r="N109" i="9" s="1"/>
  <c r="M109" i="9"/>
  <c r="N108" i="9" a="1"/>
  <c r="N108" i="9" s="1"/>
  <c r="M108" i="9"/>
  <c r="N107" i="9" a="1"/>
  <c r="N107" i="9" s="1"/>
  <c r="M107" i="9"/>
  <c r="N106" i="9" a="1"/>
  <c r="N106" i="9" s="1"/>
  <c r="M106" i="9"/>
  <c r="N105" i="9" a="1"/>
  <c r="N105" i="9" s="1"/>
  <c r="M105" i="9"/>
  <c r="N104" i="9" a="1"/>
  <c r="N104" i="9" s="1"/>
  <c r="M104" i="9"/>
  <c r="N103" i="9" a="1"/>
  <c r="N103" i="9" s="1"/>
  <c r="M103" i="9"/>
  <c r="N102" i="9" a="1"/>
  <c r="N102" i="9" s="1"/>
  <c r="M102" i="9"/>
  <c r="N101" i="9" a="1"/>
  <c r="N101" i="9" s="1"/>
  <c r="M101" i="9"/>
  <c r="N100" i="9" a="1"/>
  <c r="N100" i="9" s="1"/>
  <c r="M100" i="9"/>
  <c r="N99" i="9" a="1"/>
  <c r="N99" i="9" s="1"/>
  <c r="M99" i="9"/>
  <c r="N98" i="9" a="1"/>
  <c r="N98" i="9" s="1"/>
  <c r="M98" i="9"/>
  <c r="N97" i="9" a="1"/>
  <c r="N97" i="9" s="1"/>
  <c r="M97" i="9"/>
  <c r="N96" i="9" a="1"/>
  <c r="N96" i="9" s="1"/>
  <c r="M96" i="9"/>
  <c r="N95" i="9" a="1"/>
  <c r="N95" i="9" s="1"/>
  <c r="M95" i="9"/>
  <c r="N94" i="9" a="1"/>
  <c r="N94" i="9" s="1"/>
  <c r="M94" i="9"/>
  <c r="N93" i="9" a="1"/>
  <c r="N93" i="9" s="1"/>
  <c r="M93" i="9"/>
  <c r="N92" i="9" a="1"/>
  <c r="N92" i="9" s="1"/>
  <c r="M92" i="9"/>
  <c r="N91" i="9" a="1"/>
  <c r="N91" i="9" s="1"/>
  <c r="M91" i="9"/>
  <c r="N90" i="9" a="1"/>
  <c r="N90" i="9" s="1"/>
  <c r="M90" i="9"/>
  <c r="N89" i="9" a="1"/>
  <c r="N89" i="9" s="1"/>
  <c r="M89" i="9"/>
  <c r="N88" i="9" a="1"/>
  <c r="N88" i="9" s="1"/>
  <c r="M88" i="9"/>
  <c r="N87" i="9" a="1"/>
  <c r="N87" i="9" s="1"/>
  <c r="M87" i="9"/>
  <c r="N86" i="9" a="1"/>
  <c r="N86" i="9" s="1"/>
  <c r="M86" i="9"/>
  <c r="N85" i="9" a="1"/>
  <c r="N85" i="9" s="1"/>
  <c r="M85" i="9"/>
  <c r="N84" i="9" a="1"/>
  <c r="N84" i="9" s="1"/>
  <c r="M84" i="9"/>
  <c r="N83" i="9" a="1"/>
  <c r="N83" i="9" s="1"/>
  <c r="M83" i="9"/>
  <c r="N82" i="9" a="1"/>
  <c r="N82" i="9" s="1"/>
  <c r="M82" i="9"/>
  <c r="N79" i="9" a="1"/>
  <c r="N79" i="9" s="1"/>
  <c r="M79" i="9"/>
  <c r="N78" i="9" a="1"/>
  <c r="N78" i="9" s="1"/>
  <c r="M78" i="9"/>
  <c r="N77" i="9" a="1"/>
  <c r="N77" i="9" s="1"/>
  <c r="M77" i="9"/>
  <c r="N74" i="9" a="1"/>
  <c r="N74" i="9" s="1"/>
  <c r="M74" i="9"/>
  <c r="N73" i="9" a="1"/>
  <c r="N73" i="9" s="1"/>
  <c r="M73" i="9"/>
  <c r="N72" i="9" a="1"/>
  <c r="N72" i="9" s="1"/>
  <c r="M72" i="9"/>
  <c r="N71" i="9" a="1"/>
  <c r="N71" i="9" s="1"/>
  <c r="M71" i="9"/>
  <c r="N70" i="9" a="1"/>
  <c r="N70" i="9" s="1"/>
  <c r="M70" i="9"/>
  <c r="N69" i="9" a="1"/>
  <c r="N69" i="9" s="1"/>
  <c r="M69" i="9"/>
  <c r="N68" i="9" a="1"/>
  <c r="N68" i="9" s="1"/>
  <c r="M68" i="9"/>
  <c r="N67" i="9" a="1"/>
  <c r="N67" i="9" s="1"/>
  <c r="M67" i="9"/>
  <c r="N66" i="9" a="1"/>
  <c r="N66" i="9" s="1"/>
  <c r="M66" i="9"/>
  <c r="N65" i="9" a="1"/>
  <c r="N65" i="9" s="1"/>
  <c r="M65" i="9"/>
  <c r="N64" i="9" a="1"/>
  <c r="N64" i="9" s="1"/>
  <c r="M64" i="9"/>
  <c r="N61" i="9" a="1"/>
  <c r="N61" i="9" s="1"/>
  <c r="M61" i="9"/>
  <c r="N60" i="9" a="1"/>
  <c r="N60" i="9" s="1"/>
  <c r="M60" i="9"/>
  <c r="N59" i="9" a="1"/>
  <c r="N59" i="9" s="1"/>
  <c r="M59" i="9"/>
  <c r="N58" i="9" a="1"/>
  <c r="N58" i="9" s="1"/>
  <c r="M58" i="9"/>
  <c r="N57" i="9" a="1"/>
  <c r="N57" i="9" s="1"/>
  <c r="M57" i="9"/>
  <c r="N56" i="9" a="1"/>
  <c r="N56" i="9" s="1"/>
  <c r="M56" i="9"/>
  <c r="N55" i="9" a="1"/>
  <c r="N55" i="9" s="1"/>
  <c r="M55" i="9"/>
  <c r="N54" i="9" a="1"/>
  <c r="N54" i="9" s="1"/>
  <c r="M54" i="9"/>
  <c r="N53" i="9" a="1"/>
  <c r="N53" i="9" s="1"/>
  <c r="M53" i="9"/>
  <c r="N52" i="9" a="1"/>
  <c r="N52" i="9" s="1"/>
  <c r="M52" i="9"/>
  <c r="N51" i="9" a="1"/>
  <c r="N51" i="9" s="1"/>
  <c r="M51" i="9"/>
  <c r="N50" i="9" a="1"/>
  <c r="N50" i="9" s="1"/>
  <c r="M50" i="9"/>
  <c r="N49" i="9" a="1"/>
  <c r="N49" i="9" s="1"/>
  <c r="M49" i="9"/>
  <c r="N48" i="9" a="1"/>
  <c r="N48" i="9" s="1"/>
  <c r="M48" i="9"/>
  <c r="N47" i="9" a="1"/>
  <c r="N47" i="9" s="1"/>
  <c r="M47" i="9"/>
  <c r="N46" i="9" a="1"/>
  <c r="N46" i="9" s="1"/>
  <c r="M46" i="9"/>
  <c r="N45" i="9" a="1"/>
  <c r="N45" i="9" s="1"/>
  <c r="M45" i="9"/>
  <c r="N42" i="9" a="1"/>
  <c r="N42" i="9" s="1"/>
  <c r="M42" i="9"/>
  <c r="N41" i="9" a="1"/>
  <c r="N41" i="9" s="1"/>
  <c r="M41" i="9"/>
  <c r="N40" i="9" a="1"/>
  <c r="N40" i="9" s="1"/>
  <c r="M40" i="9"/>
  <c r="N39" i="9" a="1"/>
  <c r="N39" i="9" s="1"/>
  <c r="M39" i="9"/>
  <c r="N38" i="9" a="1"/>
  <c r="N38" i="9" s="1"/>
  <c r="M38" i="9"/>
  <c r="N37" i="9" a="1"/>
  <c r="N37" i="9" s="1"/>
  <c r="M37" i="9"/>
  <c r="N36" i="9" a="1"/>
  <c r="N36" i="9" s="1"/>
  <c r="M36" i="9"/>
  <c r="N35" i="9" a="1"/>
  <c r="N35" i="9" s="1"/>
  <c r="M35" i="9"/>
  <c r="N34" i="9" a="1"/>
  <c r="N34" i="9" s="1"/>
  <c r="M34" i="9"/>
  <c r="N33" i="9" a="1"/>
  <c r="N33" i="9" s="1"/>
  <c r="M33" i="9"/>
  <c r="N32" i="9" a="1"/>
  <c r="N32" i="9" s="1"/>
  <c r="M32" i="9"/>
  <c r="N31" i="9" a="1"/>
  <c r="N31" i="9" s="1"/>
  <c r="M31" i="9"/>
  <c r="N30" i="9" a="1"/>
  <c r="N30" i="9" s="1"/>
  <c r="M30" i="9"/>
  <c r="N29" i="9" a="1"/>
  <c r="N29" i="9" s="1"/>
  <c r="M29" i="9"/>
  <c r="N28" i="9" a="1"/>
  <c r="N28" i="9" s="1"/>
  <c r="M28" i="9"/>
  <c r="N27" i="9" a="1"/>
  <c r="N27" i="9" s="1"/>
  <c r="M27" i="9"/>
  <c r="N26" i="9" a="1"/>
  <c r="N26" i="9" s="1"/>
  <c r="M26" i="9"/>
  <c r="N25" i="9" a="1"/>
  <c r="N25" i="9" s="1"/>
  <c r="M25" i="9"/>
  <c r="N24" i="9" a="1"/>
  <c r="N24" i="9" s="1"/>
  <c r="M24" i="9"/>
  <c r="N23" i="9" a="1"/>
  <c r="N23" i="9" s="1"/>
  <c r="M23" i="9"/>
  <c r="N22" i="9" a="1"/>
  <c r="N22" i="9" s="1"/>
  <c r="M22" i="9"/>
  <c r="N21" i="9" a="1"/>
  <c r="N21" i="9" s="1"/>
  <c r="M21" i="9"/>
  <c r="N20" i="9" a="1"/>
  <c r="N20" i="9" s="1"/>
  <c r="M20" i="9"/>
  <c r="N19" i="9" a="1"/>
  <c r="N19" i="9" s="1"/>
  <c r="M19" i="9"/>
  <c r="N18" i="9" a="1"/>
  <c r="N18" i="9" s="1"/>
  <c r="M18" i="9"/>
  <c r="N17" i="9" a="1"/>
  <c r="N17" i="9" s="1"/>
  <c r="M17" i="9"/>
  <c r="N16" i="9" a="1"/>
  <c r="N16" i="9" s="1"/>
  <c r="M16" i="9"/>
  <c r="N15" i="9" a="1"/>
  <c r="N15" i="9" s="1"/>
  <c r="M15" i="9"/>
  <c r="N14" i="9" a="1"/>
  <c r="N14" i="9" s="1"/>
  <c r="M14" i="9"/>
  <c r="N13" i="9" a="1"/>
  <c r="N13" i="9" s="1"/>
  <c r="M13" i="9"/>
  <c r="N10" i="9" a="1"/>
  <c r="N10" i="9" s="1"/>
  <c r="M10" i="9"/>
  <c r="N9" i="9" a="1"/>
  <c r="N9" i="9" s="1"/>
  <c r="M9" i="9"/>
  <c r="N8" i="9" a="1"/>
  <c r="N8" i="9" s="1"/>
  <c r="M8" i="9"/>
  <c r="L123" i="9"/>
  <c r="K123" i="9"/>
  <c r="L120" i="9"/>
  <c r="K120" i="9"/>
  <c r="L117" i="9"/>
  <c r="K117" i="9"/>
  <c r="L114" i="9"/>
  <c r="K114" i="9"/>
  <c r="F4" i="9"/>
  <c r="F187" i="9"/>
  <c r="E187" i="9"/>
  <c r="R185" i="9"/>
  <c r="F185" i="9"/>
  <c r="E185" i="9"/>
  <c r="R168" i="9"/>
  <c r="F168" i="9"/>
  <c r="E168" i="9"/>
  <c r="R158" i="9"/>
  <c r="F158" i="9"/>
  <c r="E158" i="9"/>
  <c r="R123" i="9"/>
  <c r="F123" i="9"/>
  <c r="E123" i="9"/>
  <c r="R120" i="9"/>
  <c r="F120" i="9"/>
  <c r="E120" i="9"/>
  <c r="R117" i="9"/>
  <c r="F117" i="9"/>
  <c r="E117" i="9"/>
  <c r="R114" i="9"/>
  <c r="F114" i="9"/>
  <c r="E114" i="9"/>
  <c r="R111" i="9"/>
  <c r="F111" i="9"/>
  <c r="E111" i="9"/>
  <c r="R80" i="9"/>
  <c r="F80" i="9"/>
  <c r="E80" i="9"/>
  <c r="R75" i="9"/>
  <c r="F75" i="9"/>
  <c r="E75" i="9"/>
  <c r="R62" i="9"/>
  <c r="F62" i="9"/>
  <c r="E62" i="9"/>
  <c r="R43" i="9"/>
  <c r="F43" i="9"/>
  <c r="E43" i="9"/>
  <c r="R11" i="9"/>
  <c r="R187" i="9" s="1"/>
  <c r="F11" i="9"/>
  <c r="E11" i="9"/>
  <c r="P4" i="9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" i="1"/>
  <c r="B3" i="1"/>
  <c r="I158" i="9" l="1"/>
  <c r="J80" i="9"/>
  <c r="J158" i="9"/>
  <c r="I75" i="9"/>
  <c r="I43" i="9"/>
  <c r="J43" i="9"/>
  <c r="I187" i="9"/>
  <c r="L4" i="9" s="1"/>
  <c r="I11" i="9"/>
  <c r="I111" i="9"/>
  <c r="J11" i="9"/>
  <c r="J111" i="9"/>
  <c r="L70" i="3"/>
  <c r="K194" i="3"/>
  <c r="K286" i="3"/>
  <c r="K370" i="3"/>
  <c r="L498" i="3"/>
  <c r="P13" i="3"/>
  <c r="K186" i="3"/>
  <c r="K482" i="3"/>
  <c r="K414" i="3"/>
  <c r="K406" i="3"/>
  <c r="K526" i="3"/>
  <c r="K502" i="3"/>
  <c r="P12" i="3"/>
  <c r="P14" i="3" s="1"/>
  <c r="P15" i="3" s="1"/>
  <c r="D5" i="10" s="1"/>
  <c r="L94" i="3"/>
  <c r="K82" i="3"/>
  <c r="K174" i="3"/>
  <c r="K278" i="3"/>
  <c r="K382" i="3"/>
  <c r="K538" i="3"/>
  <c r="K74" i="3"/>
  <c r="K6" i="3"/>
  <c r="K190" i="3"/>
  <c r="K170" i="3"/>
  <c r="K290" i="3"/>
  <c r="K398" i="3"/>
  <c r="K386" i="3"/>
  <c r="K474" i="3"/>
  <c r="K506" i="3"/>
  <c r="K66" i="3"/>
  <c r="K182" i="3"/>
  <c r="K270" i="3"/>
  <c r="K374" i="3"/>
  <c r="K530" i="3"/>
  <c r="K510" i="3"/>
  <c r="L98" i="3"/>
  <c r="L86" i="3"/>
  <c r="K294" i="3"/>
  <c r="L282" i="3"/>
  <c r="K390" i="3"/>
  <c r="L490" i="3"/>
  <c r="L486" i="3"/>
  <c r="L478" i="3"/>
  <c r="K466" i="3"/>
  <c r="K542" i="3"/>
  <c r="K514" i="3"/>
  <c r="M19" i="3"/>
  <c r="P9" i="3"/>
  <c r="P10" i="3"/>
  <c r="C5" i="10" s="1"/>
  <c r="M539" i="3"/>
  <c r="M537" i="3"/>
  <c r="M529" i="3"/>
  <c r="M483" i="3"/>
  <c r="H480" i="3"/>
  <c r="M475" i="3"/>
  <c r="H472" i="3"/>
  <c r="M472" i="3" s="1"/>
  <c r="M467" i="3"/>
  <c r="H460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M440" i="3" s="1"/>
  <c r="H439" i="3"/>
  <c r="H438" i="3"/>
  <c r="M438" i="3" s="1"/>
  <c r="H437" i="3"/>
  <c r="H436" i="3"/>
  <c r="M436" i="3" s="1"/>
  <c r="H435" i="3"/>
  <c r="H434" i="3"/>
  <c r="H433" i="3"/>
  <c r="H432" i="3"/>
  <c r="H431" i="3"/>
  <c r="M431" i="3" s="1"/>
  <c r="H430" i="3"/>
  <c r="M430" i="3" s="1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4" i="3"/>
  <c r="K402" i="3"/>
  <c r="L481" i="3"/>
  <c r="M480" i="3"/>
  <c r="L473" i="3"/>
  <c r="L465" i="3"/>
  <c r="L464" i="3"/>
  <c r="M462" i="3"/>
  <c r="H459" i="3"/>
  <c r="L457" i="3"/>
  <c r="L456" i="3"/>
  <c r="M454" i="3"/>
  <c r="K404" i="3"/>
  <c r="M485" i="3"/>
  <c r="H482" i="3"/>
  <c r="M477" i="3"/>
  <c r="H474" i="3"/>
  <c r="M469" i="3"/>
  <c r="G465" i="3"/>
  <c r="K462" i="3"/>
  <c r="G457" i="3"/>
  <c r="K454" i="3"/>
  <c r="M460" i="3"/>
  <c r="M452" i="3"/>
  <c r="K408" i="3"/>
  <c r="G403" i="3"/>
  <c r="H484" i="3"/>
  <c r="M484" i="3" s="1"/>
  <c r="G463" i="3"/>
  <c r="K460" i="3"/>
  <c r="M459" i="3"/>
  <c r="G455" i="3"/>
  <c r="K452" i="3"/>
  <c r="M451" i="3"/>
  <c r="M450" i="3"/>
  <c r="M449" i="3"/>
  <c r="M448" i="3"/>
  <c r="M447" i="3"/>
  <c r="M446" i="3"/>
  <c r="M445" i="3"/>
  <c r="M444" i="3"/>
  <c r="M443" i="3"/>
  <c r="M442" i="3"/>
  <c r="M441" i="3"/>
  <c r="M439" i="3"/>
  <c r="M437" i="3"/>
  <c r="M435" i="3"/>
  <c r="M434" i="3"/>
  <c r="M433" i="3"/>
  <c r="M432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G461" i="3"/>
  <c r="K458" i="3"/>
  <c r="G453" i="3"/>
  <c r="L415" i="3"/>
  <c r="L413" i="3"/>
  <c r="M410" i="3"/>
  <c r="G409" i="3"/>
  <c r="G410" i="3"/>
  <c r="G408" i="3"/>
  <c r="G406" i="3"/>
  <c r="G404" i="3"/>
  <c r="G402" i="3"/>
  <c r="G367" i="3"/>
  <c r="G366" i="3"/>
  <c r="K364" i="3"/>
  <c r="M363" i="3"/>
  <c r="G359" i="3"/>
  <c r="G358" i="3"/>
  <c r="K356" i="3"/>
  <c r="G386" i="3"/>
  <c r="G378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8" i="3"/>
  <c r="K306" i="3"/>
  <c r="K304" i="3"/>
  <c r="K302" i="3"/>
  <c r="G400" i="3"/>
  <c r="G398" i="3"/>
  <c r="H386" i="3"/>
  <c r="G380" i="3"/>
  <c r="H378" i="3"/>
  <c r="M378" i="3" s="1"/>
  <c r="G372" i="3"/>
  <c r="H370" i="3"/>
  <c r="H365" i="3"/>
  <c r="L363" i="3"/>
  <c r="L362" i="3"/>
  <c r="H357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09" i="3"/>
  <c r="G307" i="3"/>
  <c r="G305" i="3"/>
  <c r="L371" i="3"/>
  <c r="H380" i="3"/>
  <c r="H372" i="3"/>
  <c r="L368" i="3"/>
  <c r="H363" i="3"/>
  <c r="L361" i="3"/>
  <c r="L360" i="3"/>
  <c r="L381" i="3"/>
  <c r="L373" i="3"/>
  <c r="K366" i="3"/>
  <c r="M365" i="3"/>
  <c r="H362" i="3"/>
  <c r="G361" i="3"/>
  <c r="K358" i="3"/>
  <c r="M357" i="3"/>
  <c r="L285" i="3"/>
  <c r="L277" i="3"/>
  <c r="L269" i="3"/>
  <c r="H260" i="3"/>
  <c r="H286" i="3"/>
  <c r="M281" i="3"/>
  <c r="H278" i="3"/>
  <c r="M273" i="3"/>
  <c r="H270" i="3"/>
  <c r="M270" i="3" s="1"/>
  <c r="H267" i="3"/>
  <c r="M267" i="3" s="1"/>
  <c r="L265" i="3"/>
  <c r="L264" i="3"/>
  <c r="M262" i="3"/>
  <c r="H259" i="3"/>
  <c r="M259" i="3" s="1"/>
  <c r="L257" i="3"/>
  <c r="L256" i="3"/>
  <c r="M254" i="3"/>
  <c r="K202" i="3"/>
  <c r="G265" i="3"/>
  <c r="K262" i="3"/>
  <c r="G257" i="3"/>
  <c r="K254" i="3"/>
  <c r="K206" i="3"/>
  <c r="G282" i="3"/>
  <c r="G274" i="3"/>
  <c r="M260" i="3"/>
  <c r="G301" i="3"/>
  <c r="G299" i="3"/>
  <c r="G297" i="3"/>
  <c r="G295" i="3"/>
  <c r="G293" i="3"/>
  <c r="G291" i="3"/>
  <c r="G289" i="3"/>
  <c r="G287" i="3"/>
  <c r="G279" i="3"/>
  <c r="G271" i="3"/>
  <c r="G263" i="3"/>
  <c r="K260" i="3"/>
  <c r="G255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G205" i="3"/>
  <c r="L283" i="3"/>
  <c r="L275" i="3"/>
  <c r="L267" i="3"/>
  <c r="K266" i="3"/>
  <c r="H262" i="3"/>
  <c r="G261" i="3"/>
  <c r="K258" i="3"/>
  <c r="H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M264" i="3"/>
  <c r="M193" i="3"/>
  <c r="G180" i="3"/>
  <c r="G172" i="3"/>
  <c r="G169" i="3"/>
  <c r="G162" i="3"/>
  <c r="G154" i="3"/>
  <c r="M200" i="3"/>
  <c r="M198" i="3"/>
  <c r="M196" i="3"/>
  <c r="M194" i="3"/>
  <c r="M192" i="3"/>
  <c r="M190" i="3"/>
  <c r="M188" i="3"/>
  <c r="G185" i="3"/>
  <c r="L179" i="3"/>
  <c r="M178" i="3"/>
  <c r="G177" i="3"/>
  <c r="L171" i="3"/>
  <c r="M170" i="3"/>
  <c r="L168" i="3"/>
  <c r="M166" i="3"/>
  <c r="H163" i="3"/>
  <c r="L161" i="3"/>
  <c r="L160" i="3"/>
  <c r="H155" i="3"/>
  <c r="L153" i="3"/>
  <c r="L152" i="3"/>
  <c r="M115" i="3"/>
  <c r="M110" i="3"/>
  <c r="M109" i="3"/>
  <c r="M107" i="3"/>
  <c r="M105" i="3"/>
  <c r="K102" i="3"/>
  <c r="L200" i="3"/>
  <c r="L198" i="3"/>
  <c r="H193" i="3"/>
  <c r="H191" i="3"/>
  <c r="G182" i="3"/>
  <c r="G174" i="3"/>
  <c r="G168" i="3"/>
  <c r="K166" i="3"/>
  <c r="G161" i="3"/>
  <c r="G160" i="3"/>
  <c r="K158" i="3"/>
  <c r="G153" i="3"/>
  <c r="G152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6" i="3"/>
  <c r="G184" i="3"/>
  <c r="H182" i="3"/>
  <c r="M182" i="3" s="1"/>
  <c r="G176" i="3"/>
  <c r="H174" i="3"/>
  <c r="M174" i="3" s="1"/>
  <c r="H168" i="3"/>
  <c r="G167" i="3"/>
  <c r="K164" i="3"/>
  <c r="H160" i="3"/>
  <c r="G159" i="3"/>
  <c r="K156" i="3"/>
  <c r="H152" i="3"/>
  <c r="M152" i="3" s="1"/>
  <c r="P23" i="3" s="1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7" i="3"/>
  <c r="G105" i="3"/>
  <c r="H184" i="3"/>
  <c r="H176" i="3"/>
  <c r="H166" i="3"/>
  <c r="G165" i="3"/>
  <c r="M161" i="3"/>
  <c r="H158" i="3"/>
  <c r="M158" i="3" s="1"/>
  <c r="G156" i="3"/>
  <c r="M153" i="3"/>
  <c r="L155" i="3"/>
  <c r="L154" i="3"/>
  <c r="M96" i="3"/>
  <c r="L81" i="3"/>
  <c r="L73" i="3"/>
  <c r="L65" i="3"/>
  <c r="H54" i="3"/>
  <c r="M85" i="3"/>
  <c r="H82" i="3"/>
  <c r="M82" i="3" s="1"/>
  <c r="M77" i="3"/>
  <c r="H74" i="3"/>
  <c r="M69" i="3"/>
  <c r="H66" i="3"/>
  <c r="M61" i="3"/>
  <c r="L59" i="3"/>
  <c r="L58" i="3"/>
  <c r="H53" i="3"/>
  <c r="L51" i="3"/>
  <c r="L50" i="3"/>
  <c r="M48" i="3"/>
  <c r="P21" i="3" s="1"/>
  <c r="K2" i="3"/>
  <c r="G59" i="3"/>
  <c r="K56" i="3"/>
  <c r="G51" i="3"/>
  <c r="K48" i="3"/>
  <c r="K4" i="3"/>
  <c r="G86" i="3"/>
  <c r="G78" i="3"/>
  <c r="G70" i="3"/>
  <c r="G62" i="3"/>
  <c r="M54" i="3"/>
  <c r="G100" i="3"/>
  <c r="G98" i="3"/>
  <c r="G96" i="3"/>
  <c r="G94" i="3"/>
  <c r="G92" i="3"/>
  <c r="G90" i="3"/>
  <c r="G88" i="3"/>
  <c r="G83" i="3"/>
  <c r="G75" i="3"/>
  <c r="G67" i="3"/>
  <c r="G57" i="3"/>
  <c r="K54" i="3"/>
  <c r="G49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8" i="3"/>
  <c r="G3" i="3"/>
  <c r="L79" i="3"/>
  <c r="L71" i="3"/>
  <c r="L63" i="3"/>
  <c r="K60" i="3"/>
  <c r="H56" i="3"/>
  <c r="M56" i="3" s="1"/>
  <c r="P22" i="3" s="1"/>
  <c r="G55" i="3"/>
  <c r="K52" i="3"/>
  <c r="H48" i="3"/>
  <c r="P5" i="3" s="1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9" i="3"/>
  <c r="G6" i="3"/>
  <c r="G4" i="3"/>
  <c r="G2" i="3"/>
  <c r="J75" i="9"/>
  <c r="J187" i="9"/>
  <c r="N4" i="9" s="1"/>
  <c r="L168" i="9"/>
  <c r="L185" i="9"/>
  <c r="M185" i="9"/>
  <c r="N185" i="9"/>
  <c r="N168" i="9"/>
  <c r="M168" i="9"/>
  <c r="N158" i="9"/>
  <c r="M158" i="9"/>
  <c r="N111" i="9"/>
  <c r="M111" i="9"/>
  <c r="N80" i="9"/>
  <c r="M80" i="9"/>
  <c r="N75" i="9"/>
  <c r="M75" i="9"/>
  <c r="M62" i="9"/>
  <c r="N62" i="9"/>
  <c r="N43" i="9"/>
  <c r="M43" i="9"/>
  <c r="N11" i="9"/>
  <c r="M11" i="9"/>
  <c r="L80" i="9"/>
  <c r="K158" i="9"/>
  <c r="K43" i="9"/>
  <c r="K80" i="9"/>
  <c r="K11" i="9"/>
  <c r="L158" i="9"/>
  <c r="L11" i="9"/>
  <c r="L75" i="9"/>
  <c r="K168" i="9"/>
  <c r="K185" i="9"/>
  <c r="K62" i="9"/>
  <c r="L62" i="9"/>
  <c r="K75" i="9"/>
  <c r="K111" i="9"/>
  <c r="L111" i="9"/>
  <c r="L43" i="9"/>
  <c r="U42" i="9" a="1"/>
  <c r="U42" i="9" s="1"/>
  <c r="U40" i="9" a="1"/>
  <c r="U40" i="9" s="1"/>
  <c r="U41" i="9" a="1"/>
  <c r="U41" i="9" s="1"/>
  <c r="P4" i="3" l="1"/>
  <c r="P19" i="3"/>
  <c r="P20" i="3"/>
  <c r="P18" i="3"/>
  <c r="P3" i="3"/>
  <c r="N187" i="9"/>
  <c r="M187" i="9"/>
  <c r="L187" i="9"/>
  <c r="K187" i="9"/>
  <c r="T48" i="9"/>
  <c r="T47" i="9"/>
  <c r="T46" i="9"/>
  <c r="R4" i="9"/>
  <c r="T45" i="9"/>
  <c r="G11" i="9"/>
  <c r="H11" i="9"/>
  <c r="G43" i="9"/>
  <c r="H43" i="9"/>
  <c r="G62" i="9"/>
  <c r="G187" i="9" s="1"/>
  <c r="H4" i="9" s="1"/>
  <c r="J4" i="9" s="1"/>
  <c r="H62" i="9"/>
  <c r="G75" i="9"/>
  <c r="H75" i="9"/>
  <c r="G80" i="9"/>
  <c r="H80" i="9"/>
  <c r="G111" i="9"/>
  <c r="H111" i="9"/>
  <c r="G114" i="9"/>
  <c r="H114" i="9"/>
  <c r="G117" i="9"/>
  <c r="H117" i="9"/>
  <c r="G120" i="9"/>
  <c r="H120" i="9"/>
  <c r="G123" i="9"/>
  <c r="H123" i="9"/>
  <c r="G158" i="9"/>
  <c r="H158" i="9"/>
  <c r="G168" i="9"/>
  <c r="H168" i="9"/>
  <c r="G185" i="9"/>
  <c r="H185" i="9"/>
  <c r="H187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<sst xmlns="http://schemas.openxmlformats.org/spreadsheetml/2006/main" count="2296" uniqueCount="1414">
  <si>
    <t>Average</t>
  </si>
  <si>
    <t xml:space="preserve"> </t>
  </si>
  <si>
    <t>Totals</t>
  </si>
  <si>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</si>
  <si>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</si>
  <si>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</si>
  <si>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</si>
  <si>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</si>
  <si>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</si>
  <si>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</si>
  <si>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</si>
  <si>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</si>
  <si>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</si>
  <si>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</si>
  <si>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</si>
  <si>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</si>
  <si>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</si>
  <si>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</si>
  <si>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</si>
  <si>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</si>
  <si>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</si>
  <si>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</si>
  <si>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</si>
  <si>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</si>
  <si>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</si>
  <si>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</si>
  <si>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</si>
  <si>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</si>
  <si>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</si>
  <si>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</si>
  <si>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</si>
  <si>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</si>
  <si>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</si>
  <si>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</si>
  <si>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</si>
  <si>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</si>
  <si>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</si>
  <si>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</si>
  <si>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</si>
  <si>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</si>
  <si>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</si>
  <si>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</si>
  <si>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</si>
  <si>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</si>
  <si>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</si>
  <si>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</si>
  <si>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</si>
  <si>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</si>
  <si>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</si>
  <si>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</si>
  <si>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</si>
  <si>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</si>
  <si>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</si>
  <si>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</si>
  <si>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</si>
  <si>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</si>
  <si>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</si>
  <si>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</si>
  <si>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</si>
  <si>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</si>
  <si>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</si>
  <si>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</si>
  <si>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</si>
  <si>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</si>
  <si>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</si>
  <si>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</si>
  <si>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</si>
  <si>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</si>
  <si>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</si>
  <si>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</si>
  <si>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</si>
  <si>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</si>
  <si>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</si>
  <si>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</si>
  <si>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</si>
  <si>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</si>
  <si>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</si>
  <si>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</si>
  <si>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</si>
  <si>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</si>
  <si>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</si>
  <si>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</si>
  <si>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</si>
  <si>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</si>
  <si>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</si>
  <si>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</si>
  <si>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</si>
  <si>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</si>
  <si>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</si>
  <si>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</si>
  <si>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</si>
  <si>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</si>
  <si>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</si>
  <si>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</si>
  <si>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</si>
  <si>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</si>
  <si>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</si>
  <si>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</si>
  <si>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</si>
  <si>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</si>
  <si>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</si>
  <si>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</si>
  <si>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</si>
  <si>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</si>
  <si>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</si>
  <si>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</si>
  <si>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</si>
  <si>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</si>
  <si>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</si>
  <si>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</si>
  <si>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</si>
  <si>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</si>
  <si>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</si>
  <si>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</si>
  <si>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</si>
  <si>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</si>
  <si>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</si>
  <si>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</si>
  <si>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</si>
  <si>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</si>
  <si>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</si>
  <si>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</si>
  <si>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</si>
  <si>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</si>
  <si>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</si>
  <si>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</si>
  <si>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</si>
  <si>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</si>
  <si>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</si>
  <si>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</si>
  <si>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</si>
  <si>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</si>
  <si>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</si>
  <si>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</si>
  <si>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</si>
  <si>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</si>
  <si>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</si>
  <si>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</si>
  <si>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</si>
  <si>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</si>
  <si>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</si>
  <si>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</si>
  <si>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</si>
  <si>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</si>
  <si>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</si>
  <si>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</si>
  <si>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</si>
  <si>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</si>
  <si>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</si>
  <si>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</si>
  <si>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</si>
  <si>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</si>
  <si>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</si>
  <si>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</si>
  <si>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</si>
  <si>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</si>
  <si>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</si>
  <si>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</si>
  <si>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</si>
  <si>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</si>
  <si>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</si>
  <si>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</si>
  <si>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</si>
  <si>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</si>
  <si>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</si>
  <si>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</si>
  <si>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</si>
  <si>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</si>
  <si>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</si>
  <si>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</si>
  <si>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</si>
  <si>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</si>
  <si>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</si>
  <si>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</si>
  <si>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</si>
  <si>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</si>
  <si>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</si>
  <si>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</si>
  <si>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</si>
  <si>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</si>
  <si>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</si>
  <si>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</si>
  <si>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</si>
  <si>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</si>
  <si>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</si>
  <si>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</si>
  <si>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</si>
  <si>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</si>
  <si>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</si>
  <si>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</si>
  <si>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</si>
  <si>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</si>
  <si>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</si>
  <si>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</si>
  <si>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</si>
  <si>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</si>
  <si>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</si>
  <si>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</si>
  <si>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</si>
  <si>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</si>
  <si>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</si>
  <si>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</si>
  <si>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</si>
  <si>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</si>
  <si>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</si>
  <si>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</si>
  <si>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</si>
  <si>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</si>
  <si>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</si>
  <si>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</si>
  <si>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</si>
  <si>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</si>
  <si>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</si>
  <si>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</si>
  <si>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</si>
  <si>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</si>
  <si>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</si>
  <si>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</si>
  <si>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</si>
  <si>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</si>
  <si>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</si>
  <si>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</si>
  <si>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</si>
  <si>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</si>
  <si>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</si>
  <si>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</si>
  <si>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</si>
  <si>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</si>
  <si>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</si>
  <si>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</si>
  <si>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</si>
  <si>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</si>
  <si>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</si>
  <si>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</si>
  <si>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</si>
  <si>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</si>
  <si>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</si>
  <si>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</si>
  <si>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</si>
  <si>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</si>
  <si>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</si>
  <si>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</si>
  <si>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</si>
  <si>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</si>
  <si>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</si>
  <si>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</si>
  <si>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</si>
  <si>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</si>
  <si>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</si>
  <si>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</si>
  <si>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</si>
  <si>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</si>
  <si>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</si>
  <si>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</si>
  <si>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</si>
  <si>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</si>
  <si>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</si>
  <si>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</si>
  <si>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</si>
  <si>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</si>
  <si>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</si>
  <si>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</si>
  <si>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</si>
  <si>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</si>
  <si>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</si>
  <si>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</si>
  <si>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</si>
  <si>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</si>
  <si>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</si>
  <si>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</si>
  <si>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</si>
  <si>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</si>
  <si>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</si>
  <si>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</si>
  <si>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</si>
  <si>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</si>
  <si>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</si>
  <si>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</si>
  <si>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</si>
  <si>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</si>
  <si>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</si>
  <si>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</si>
  <si>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</si>
  <si>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</si>
  <si>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</si>
  <si>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</si>
  <si>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</si>
  <si>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</si>
  <si>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</si>
  <si>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</si>
  <si>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</si>
  <si>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</si>
  <si>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</si>
  <si>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</si>
  <si>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</si>
  <si>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</si>
  <si>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</si>
  <si>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</si>
  <si>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</si>
  <si>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</si>
  <si>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</si>
  <si>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</si>
  <si>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</si>
  <si>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</si>
  <si>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</si>
  <si>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</si>
  <si>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</si>
  <si>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</si>
  <si>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</si>
  <si>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</si>
  <si>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</si>
  <si>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</si>
  <si>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</si>
  <si>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</si>
  <si>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</si>
  <si>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</si>
  <si>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</si>
  <si>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</si>
  <si>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</si>
  <si>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</si>
  <si>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</si>
  <si>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</si>
  <si>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</si>
  <si>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</si>
  <si>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</si>
  <si>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</si>
  <si>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</si>
  <si>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</si>
  <si>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</si>
  <si>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</si>
  <si>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</si>
  <si>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</si>
  <si>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</si>
  <si>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</si>
  <si>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</si>
  <si>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</si>
  <si>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</si>
  <si>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</si>
  <si>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</si>
  <si>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</si>
  <si>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</si>
  <si>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</si>
  <si>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</si>
  <si>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</si>
  <si>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</si>
  <si>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</si>
  <si>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</si>
  <si>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</si>
  <si>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</si>
  <si>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</si>
  <si>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</si>
  <si>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</si>
  <si>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</si>
  <si>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</si>
  <si>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</si>
  <si>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</si>
  <si>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</si>
  <si>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</si>
  <si>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</si>
  <si>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</si>
  <si>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</si>
  <si>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</si>
  <si>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</si>
  <si>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</si>
  <si>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</si>
  <si>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</si>
  <si>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</si>
  <si>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</si>
  <si>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</si>
  <si>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</si>
  <si>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</si>
  <si>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</si>
  <si>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</si>
  <si>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</si>
  <si>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</si>
  <si>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</si>
  <si>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</si>
  <si>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</si>
  <si>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</si>
  <si>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</si>
  <si>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</si>
  <si>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</si>
  <si>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</si>
  <si>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</si>
  <si>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</si>
  <si>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</si>
  <si>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</si>
  <si>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</si>
  <si>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</si>
  <si>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</si>
  <si>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</si>
  <si>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</si>
  <si>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</si>
  <si>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</si>
  <si>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</si>
  <si>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</si>
  <si>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</si>
  <si>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</si>
  <si>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</si>
  <si>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</si>
  <si>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</si>
  <si>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</si>
  <si>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</si>
  <si>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</si>
  <si>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</si>
  <si>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</si>
  <si>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</si>
  <si>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</si>
  <si>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</si>
  <si>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</si>
  <si>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</si>
  <si>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</si>
  <si>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</si>
  <si>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</si>
  <si>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</si>
  <si>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</si>
  <si>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</si>
  <si>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</si>
  <si>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</si>
  <si>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</si>
  <si>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</si>
  <si>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</si>
  <si>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</si>
  <si>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</si>
  <si>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</si>
  <si>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</si>
  <si>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</si>
  <si>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</si>
  <si>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</si>
  <si>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</si>
  <si>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</si>
  <si>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</si>
  <si>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</si>
  <si>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</si>
  <si>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</si>
  <si>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</si>
  <si>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</si>
  <si>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</si>
  <si>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</si>
  <si>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</si>
  <si>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</si>
  <si>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</si>
  <si>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</si>
  <si>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</si>
  <si>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</si>
  <si>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</si>
  <si>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</si>
  <si>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</si>
  <si>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</si>
  <si>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</si>
  <si>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</si>
  <si>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</si>
  <si>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</si>
  <si>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</si>
  <si>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</si>
  <si>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</si>
  <si>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</si>
  <si>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</si>
  <si>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</si>
  <si>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</si>
  <si>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</si>
  <si>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</si>
  <si>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</si>
  <si>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</si>
  <si>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</si>
  <si>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</si>
  <si>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</si>
  <si>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</si>
  <si>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</si>
  <si>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</si>
  <si>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</si>
  <si>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</si>
  <si>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</si>
  <si>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</si>
  <si>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</si>
  <si>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</si>
  <si>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LEMON&amp;HERB Q MIX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</si>
  <si>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</si>
  <si>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</si>
  <si>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</si>
  <si>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</si>
  <si>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</si>
  <si>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</si>
  <si>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</si>
  <si>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</si>
  <si>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</si>
  <si>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</si>
  <si>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</si>
  <si>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</si>
  <si>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</si>
  <si>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</si>
  <si>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</si>
  <si>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</si>
  <si>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</si>
  <si>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</si>
  <si>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</si>
  <si>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</si>
  <si>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</si>
  <si>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</si>
  <si>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</si>
  <si>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</si>
  <si>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</si>
  <si>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</si>
  <si>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</si>
  <si>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</si>
  <si>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</si>
  <si>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</si>
  <si>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</si>
  <si>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</si>
  <si>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</si>
  <si>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</si>
  <si>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</si>
  <si>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</si>
  <si>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</si>
  <si>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</si>
  <si>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</si>
  <si>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</si>
  <si>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</si>
  <si>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</si>
  <si>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</si>
  <si>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</si>
  <si>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</si>
  <si>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</si>
  <si>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</si>
  <si>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</si>
  <si>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</si>
  <si>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</si>
  <si>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Sub-Dep</t>
  </si>
  <si>
    <t>Description</t>
  </si>
  <si>
    <t>BUTCHERY</t>
  </si>
  <si>
    <t>BEEF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</si>
  <si>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</si>
  <si>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</si>
  <si>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</si>
  <si>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</si>
  <si>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</si>
  <si>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</si>
  <si>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</si>
  <si>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</si>
  <si>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</si>
  <si>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</si>
  <si>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</si>
  <si>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</si>
  <si>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</si>
  <si>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</si>
  <si>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</si>
  <si>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</si>
  <si>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</si>
  <si>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</si>
  <si>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</si>
  <si>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</si>
  <si>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</si>
  <si>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</si>
  <si>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</si>
  <si>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</si>
  <si>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</si>
  <si>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</si>
  <si>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Data</t>
  </si>
  <si>
    <t>Sub-Dept Code</t>
  </si>
  <si>
    <t>Sub-Department</t>
  </si>
  <si>
    <t>2025 Sales (Wk1-19)</t>
  </si>
  <si>
    <t>2026 Sales (Wk1-19)</t>
  </si>
  <si>
    <t>Sales Change</t>
  </si>
  <si>
    <t>Sales % Change</t>
  </si>
  <si>
    <t>2025 Qty (Wk1-19)</t>
  </si>
  <si>
    <t>2026 Qty (Wk1-19)</t>
  </si>
  <si>
    <t>Qty Change</t>
  </si>
  <si>
    <t>Qty % Change</t>
  </si>
  <si>
    <t>Trend Indicator</t>
  </si>
  <si>
    <t>Summary Metric</t>
  </si>
  <si>
    <t>Value</t>
  </si>
  <si>
    <t>Trend Category</t>
  </si>
  <si>
    <t>Count</t>
  </si>
  <si>
    <t>↑ Strong Growth (&gt;10%)</t>
  </si>
  <si>
    <t>↗ Growth (0-10%)</t>
  </si>
  <si>
    <t>↘ Decline (0 to -10%)</t>
  </si>
  <si>
    <t>↓ Strong Decline (&gt;-10%)</t>
  </si>
  <si>
    <t>Top 10 Growing Products (by Sales)</t>
  </si>
  <si>
    <t>Product</t>
  </si>
  <si>
    <t>2025 Sales</t>
  </si>
  <si>
    <t>2026 Sales</t>
  </si>
  <si>
    <t>% Change</t>
  </si>
  <si>
    <t>Top 10 Declining Products (by Sales)</t>
  </si>
  <si>
    <t>→ Stable</t>
  </si>
  <si>
    <t>New Products</t>
  </si>
  <si>
    <t>2025 Sales Col</t>
  </si>
  <si>
    <t>DS</t>
  </si>
  <si>
    <t>DT</t>
  </si>
  <si>
    <t>DQ</t>
  </si>
  <si>
    <t>DR</t>
  </si>
  <si>
    <t>DI</t>
  </si>
  <si>
    <t>DJ</t>
  </si>
  <si>
    <t>S</t>
  </si>
  <si>
    <t>T</t>
  </si>
  <si>
    <t>DU</t>
  </si>
  <si>
    <t>DV</t>
  </si>
  <si>
    <t>DK</t>
  </si>
  <si>
    <t>DL</t>
  </si>
  <si>
    <t>DW</t>
  </si>
  <si>
    <t>DX</t>
  </si>
  <si>
    <t>DM</t>
  </si>
  <si>
    <t>DN</t>
  </si>
  <si>
    <t>W</t>
  </si>
  <si>
    <t>X</t>
  </si>
  <si>
    <t>DY</t>
  </si>
  <si>
    <t>DZ</t>
  </si>
  <si>
    <t>DO</t>
  </si>
  <si>
    <t>DP</t>
  </si>
  <si>
    <t>Y</t>
  </si>
  <si>
    <t>Z</t>
  </si>
  <si>
    <t>EA</t>
  </si>
  <si>
    <t>EB</t>
  </si>
  <si>
    <t>AA</t>
  </si>
  <si>
    <t>AB</t>
  </si>
  <si>
    <t>EC</t>
  </si>
  <si>
    <t>ED</t>
  </si>
  <si>
    <t>EE</t>
  </si>
  <si>
    <t>EF</t>
  </si>
  <si>
    <t>AE</t>
  </si>
  <si>
    <t>AF</t>
  </si>
  <si>
    <t>Products with 2026 Sales</t>
  </si>
  <si>
    <t xml:space="preserve">  ↳ with Sales Growth</t>
  </si>
  <si>
    <t xml:space="preserve">  ↳ with Sales Decline</t>
  </si>
  <si>
    <t xml:space="preserve">  ↳ New in 2026</t>
  </si>
  <si>
    <t>BA</t>
  </si>
  <si>
    <t>BB</t>
  </si>
  <si>
    <t>🎯 Weekly Target Setting Tool</t>
  </si>
  <si>
    <t>Select a future week (Monday date) to set sales and quantity targets by sub-department and product.</t>
  </si>
  <si>
    <t>Select Target Week:</t>
  </si>
  <si>
    <t>Sales Col</t>
  </si>
  <si>
    <t>Qty Col</t>
  </si>
  <si>
    <t>Last Actual Week</t>
  </si>
  <si>
    <t>CA</t>
  </si>
  <si>
    <t>CB</t>
  </si>
  <si>
    <t>DA</t>
  </si>
  <si>
    <t>DB</t>
  </si>
  <si>
    <t>CS</t>
  </si>
  <si>
    <t>CT</t>
  </si>
  <si>
    <t>BS</t>
  </si>
  <si>
    <t>BT</t>
  </si>
  <si>
    <t>AS</t>
  </si>
  <si>
    <t>AT</t>
  </si>
  <si>
    <t>K</t>
  </si>
  <si>
    <t>L</t>
  </si>
  <si>
    <t>CK</t>
  </si>
  <si>
    <t>CL</t>
  </si>
  <si>
    <t>AK</t>
  </si>
  <si>
    <t>AL</t>
  </si>
  <si>
    <t>BK</t>
  </si>
  <si>
    <t>BL</t>
  </si>
  <si>
    <t>CC</t>
  </si>
  <si>
    <t>CD</t>
  </si>
  <si>
    <t>DC</t>
  </si>
  <si>
    <t>DD</t>
  </si>
  <si>
    <t>BC</t>
  </si>
  <si>
    <t>BD</t>
  </si>
  <si>
    <t>U</t>
  </si>
  <si>
    <t>V</t>
  </si>
  <si>
    <t>AC</t>
  </si>
  <si>
    <t>AD</t>
  </si>
  <si>
    <t>CU</t>
  </si>
  <si>
    <t>CV</t>
  </si>
  <si>
    <t>BU</t>
  </si>
  <si>
    <t>BV</t>
  </si>
  <si>
    <t>AU</t>
  </si>
  <si>
    <t>AV</t>
  </si>
  <si>
    <t>EK</t>
  </si>
  <si>
    <t>EL</t>
  </si>
  <si>
    <t>ES</t>
  </si>
  <si>
    <t>ET</t>
  </si>
  <si>
    <t>Last Actual Week:</t>
  </si>
  <si>
    <t>2025 YTD Sales</t>
  </si>
  <si>
    <t>2026 YTD Sales</t>
  </si>
  <si>
    <t>Same Week Last Month</t>
  </si>
  <si>
    <t>Same Week Last Year</t>
  </si>
  <si>
    <t>Target Qty</t>
  </si>
  <si>
    <t>2025 YTD Total:</t>
  </si>
  <si>
    <t>2026 YTD Total:</t>
  </si>
  <si>
    <t>YoY Growth:</t>
  </si>
  <si>
    <t>TARGET INPUT</t>
  </si>
  <si>
    <t>Avg Sales/Wk</t>
  </si>
  <si>
    <t>Avg Qty/Wk</t>
  </si>
  <si>
    <t>Avg Sales/Wk:</t>
  </si>
  <si>
    <t>Avg Qty/Wk:</t>
  </si>
  <si>
    <t>Products:</t>
  </si>
  <si>
    <t>BUTCHERY Subtotal</t>
  </si>
  <si>
    <t>BEEF Subtotal</t>
  </si>
  <si>
    <t>LAMB Subtotal</t>
  </si>
  <si>
    <t>MUTTON Subtotal</t>
  </si>
  <si>
    <t>PET MINCE/DROEWORS Subtotal</t>
  </si>
  <si>
    <t>PORK Subtotal</t>
  </si>
  <si>
    <t>INGREDIENTS Subtotal</t>
  </si>
  <si>
    <t>BILT&amp;DROEWORS OWN Subtotal</t>
  </si>
  <si>
    <t>BUTCHERY OSTRICH Subtotal</t>
  </si>
  <si>
    <t>BUTCHERY SNOEK Subtotal</t>
  </si>
  <si>
    <t>BUTCH  WORS/MINCE/PAT Subtotal</t>
  </si>
  <si>
    <t>BUTCHERY SPICE Subtotal</t>
  </si>
  <si>
    <t>BILT&amp; DROEWORS BUY IN Subtotal</t>
  </si>
  <si>
    <t>GRAND TOTAL</t>
  </si>
  <si>
    <t>📅 SASSA Payment Dates 2026</t>
  </si>
  <si>
    <t>Month</t>
  </si>
  <si>
    <t>Date</t>
  </si>
  <si>
    <t>Grant Type</t>
  </si>
  <si>
    <t>January</t>
  </si>
  <si>
    <t>Old Age/Pension</t>
  </si>
  <si>
    <t>Disability</t>
  </si>
  <si>
    <t>Children &amp; Others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</si>
  <si>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</si>
  <si>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</si>
  <si>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</si>
  <si>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</si>
  <si>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</si>
  <si>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</si>
  <si>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</si>
  <si>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</si>
  <si>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</si>
  <si>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</si>
  <si>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</si>
  <si>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SASSA Count in Week:</t>
  </si>
  <si>
    <t>Grant Types:</t>
  </si>
  <si>
    <t>Payment Dates:</t>
  </si>
  <si>
    <t>SASSA Week:</t>
  </si>
  <si>
    <t>⚠️ SASSA WEEK ALERT</t>
  </si>
  <si>
    <t>Target Week Start:</t>
  </si>
  <si>
    <t>Source: SASSA Official Payment Schedule 2026</t>
  </si>
  <si>
    <t>📊 Target Setting Worksheet Insights</t>
  </si>
  <si>
    <t>YoY Sales Growth</t>
  </si>
  <si>
    <t>YoY Qty Growth</t>
  </si>
  <si>
    <t>New in 2026</t>
  </si>
  <si>
    <t>Selected Target Week</t>
  </si>
  <si>
    <t>SASSA Status</t>
  </si>
  <si>
    <t>SASSA Week: None</t>
  </si>
  <si>
    <t>A quick-read view of what the Target Setting worksheet contains, how 2026 is tracking versus 2025, and which sub-departments and products stand out.</t>
  </si>
  <si>
    <t>Products in Worksheet</t>
  </si>
  <si>
    <t>🧠 Initial Insights &amp; Takeaways</t>
  </si>
  <si>
    <t>• The worksheet is a weekly target-setting tool. It combines YTD sales/quantity comparisons, recent-week reference points, and blank target input fields in columns Q:R for future planning.</t>
  </si>
  <si>
    <t>• Quantity is also ahead by 22.6%, suggesting growth is supported by volume and not only price/mix.</t>
  </si>
  <si>
    <t>• BUTCH  WORS/MINCE/PAT is currently the biggest 2026 sales contributor at R 663,321.66, or 32.6% of total 2026 YTD sales.</t>
  </si>
  <si>
    <t>• PORK is the strongest established sub-department YoY at 370.5%, while BILT&amp;DROEWORS OWN is lagging at -97.6%.</t>
  </si>
  <si>
    <t>• 54 products have 2026 YTD sales but no sales in the latest actual week, which may deserve review for availability, seasonality, or ranging decisions.</t>
  </si>
  <si>
    <t>Top 10 Products by 2026 YTD Sales</t>
  </si>
  <si>
    <t>Top 10 Product Gainers</t>
  </si>
  <si>
    <t>Prior Week Sales</t>
  </si>
  <si>
    <t>Prior Week Qty</t>
  </si>
  <si>
    <t>2026 Avg/Wk (19 wks)</t>
  </si>
  <si>
    <t>Week Number Mapping for Year-over-Year Analysis</t>
  </si>
  <si>
    <t>Week Start Date</t>
  </si>
  <si>
    <t>I</t>
  </si>
  <si>
    <t>M</t>
  </si>
  <si>
    <t>O</t>
  </si>
  <si>
    <t>Q</t>
  </si>
  <si>
    <t>AG</t>
  </si>
  <si>
    <t>AI</t>
  </si>
  <si>
    <t>AM</t>
  </si>
  <si>
    <t>AO</t>
  </si>
  <si>
    <t>AQ</t>
  </si>
  <si>
    <t>AW</t>
  </si>
  <si>
    <t>AY</t>
  </si>
  <si>
    <t>BE</t>
  </si>
  <si>
    <t>BG</t>
  </si>
  <si>
    <t>BI</t>
  </si>
  <si>
    <t>BM</t>
  </si>
  <si>
    <t>BO</t>
  </si>
  <si>
    <t>BQ</t>
  </si>
  <si>
    <t>BW</t>
  </si>
  <si>
    <t>BY</t>
  </si>
  <si>
    <t>CE</t>
  </si>
  <si>
    <t>CG</t>
  </si>
  <si>
    <t>CI</t>
  </si>
  <si>
    <t>CM</t>
  </si>
  <si>
    <t>CO</t>
  </si>
  <si>
    <t>CQ</t>
  </si>
  <si>
    <t>CW</t>
  </si>
  <si>
    <t>CY</t>
  </si>
  <si>
    <t>DE</t>
  </si>
  <si>
    <t>DG</t>
  </si>
  <si>
    <t>EG</t>
  </si>
  <si>
    <t>EI</t>
  </si>
  <si>
    <t>EM</t>
  </si>
  <si>
    <t>EO</t>
  </si>
  <si>
    <t>EQ</t>
  </si>
  <si>
    <t>2025 Week</t>
  </si>
  <si>
    <t>2026 Week</t>
  </si>
  <si>
    <t>=Data!D3</t>
  </si>
  <si>
    <t>=Data!D4</t>
  </si>
  <si>
    <t>=Data!D5</t>
  </si>
  <si>
    <t>=Data!D6</t>
  </si>
  <si>
    <t>=Data!D7</t>
  </si>
  <si>
    <t>=Data!D8</t>
  </si>
  <si>
    <t>=Data!D9</t>
  </si>
  <si>
    <t>=Data!D10</t>
  </si>
  <si>
    <t>=Data!D11</t>
  </si>
  <si>
    <t>=Data!D12</t>
  </si>
  <si>
    <t>=Data!D13</t>
  </si>
  <si>
    <t>=Data!D14</t>
  </si>
  <si>
    <t>=Data!D15</t>
  </si>
  <si>
    <t>=Data!D16</t>
  </si>
  <si>
    <t>=Data!D17</t>
  </si>
  <si>
    <t>=Data!D18</t>
  </si>
  <si>
    <t>=Data!D19</t>
  </si>
  <si>
    <t>=Data!D20</t>
  </si>
  <si>
    <t>=Data!D21</t>
  </si>
  <si>
    <t>=Data!D22</t>
  </si>
  <si>
    <t>=Data!D23</t>
  </si>
  <si>
    <t>=Data!D24</t>
  </si>
  <si>
    <t>=Data!D25</t>
  </si>
  <si>
    <t>=Data!D26</t>
  </si>
  <si>
    <t>=Data!D27</t>
  </si>
  <si>
    <t>=Data!D28</t>
  </si>
  <si>
    <t>=Data!D29</t>
  </si>
  <si>
    <t>=Data!D30</t>
  </si>
  <si>
    <t>=Data!D31</t>
  </si>
  <si>
    <t>=Data!D32</t>
  </si>
  <si>
    <t>=Data!D33</t>
  </si>
  <si>
    <t>=Data!D34</t>
  </si>
  <si>
    <t>=Data!D35</t>
  </si>
  <si>
    <t>=Data!D36</t>
  </si>
  <si>
    <t>=Data!D37</t>
  </si>
  <si>
    <t>=Data!D38</t>
  </si>
  <si>
    <t>=Data!D39</t>
  </si>
  <si>
    <t>=Data!D40</t>
  </si>
  <si>
    <t>=Data!D41</t>
  </si>
  <si>
    <t>=Data!D42</t>
  </si>
  <si>
    <t>=Data!D43</t>
  </si>
  <si>
    <t>=Data!D44</t>
  </si>
  <si>
    <t>=Data!D45</t>
  </si>
  <si>
    <t>=Data!D46</t>
  </si>
  <si>
    <t>=Data!D47</t>
  </si>
  <si>
    <t>=Data!D48</t>
  </si>
  <si>
    <t>=Data!D49</t>
  </si>
  <si>
    <t>=Data!D50</t>
  </si>
  <si>
    <t>=Data!D51</t>
  </si>
  <si>
    <t>=Data!D52</t>
  </si>
  <si>
    <t>=Data!D53</t>
  </si>
  <si>
    <t>=Data!D54</t>
  </si>
  <si>
    <t>=Data!D55</t>
  </si>
  <si>
    <t>=Data!D56</t>
  </si>
  <si>
    <t>=Data!D57</t>
  </si>
  <si>
    <t>=Data!D58</t>
  </si>
  <si>
    <t>=Data!D59</t>
  </si>
  <si>
    <t>=Data!D60</t>
  </si>
  <si>
    <t>=Data!D61</t>
  </si>
  <si>
    <t>=Data!D62</t>
  </si>
  <si>
    <t>=Data!D63</t>
  </si>
  <si>
    <t>=Data!D64</t>
  </si>
  <si>
    <t>=Data!D65</t>
  </si>
  <si>
    <t>=Data!D66</t>
  </si>
  <si>
    <t>=Data!D67</t>
  </si>
  <si>
    <t>=Data!D68</t>
  </si>
  <si>
    <t>=Data!D69</t>
  </si>
  <si>
    <t>=Data!D70</t>
  </si>
  <si>
    <t>=Data!D71</t>
  </si>
  <si>
    <t>=Data!D72</t>
  </si>
  <si>
    <t>=Data!D73</t>
  </si>
  <si>
    <t>=Data!D74</t>
  </si>
  <si>
    <t>=Data!D75</t>
  </si>
  <si>
    <t>=Data!D76</t>
  </si>
  <si>
    <t>=Data!D77</t>
  </si>
  <si>
    <t>=Data!D78</t>
  </si>
  <si>
    <t>=Data!D79</t>
  </si>
  <si>
    <t>=Data!D80</t>
  </si>
  <si>
    <t>=Data!D81</t>
  </si>
  <si>
    <t>=Data!D82</t>
  </si>
  <si>
    <t>=Data!D83</t>
  </si>
  <si>
    <t>=Data!D84</t>
  </si>
  <si>
    <t>=Data!D85</t>
  </si>
  <si>
    <t>=Data!D86</t>
  </si>
  <si>
    <t>=Data!D87</t>
  </si>
  <si>
    <t>=Data!D88</t>
  </si>
  <si>
    <t>=Data!D89</t>
  </si>
  <si>
    <t>=Data!D90</t>
  </si>
  <si>
    <t>=Data!D91</t>
  </si>
  <si>
    <t>=Data!D92</t>
  </si>
  <si>
    <t>=Data!D93</t>
  </si>
  <si>
    <t>=Data!D94</t>
  </si>
  <si>
    <t>=Data!D95</t>
  </si>
  <si>
    <t>=Data!D96</t>
  </si>
  <si>
    <t>=Data!D97</t>
  </si>
  <si>
    <t>=Data!D98</t>
  </si>
  <si>
    <t>=Data!D99</t>
  </si>
  <si>
    <t>=Data!D100</t>
  </si>
  <si>
    <t>=Data!D101</t>
  </si>
  <si>
    <t>=Data!D102</t>
  </si>
  <si>
    <t>=Data!D103</t>
  </si>
  <si>
    <t>=Data!D104</t>
  </si>
  <si>
    <t>=Data!D105</t>
  </si>
  <si>
    <t>=Data!D106</t>
  </si>
  <si>
    <t>=Data!D107</t>
  </si>
  <si>
    <t>=Data!D108</t>
  </si>
  <si>
    <t>=Data!D109</t>
  </si>
  <si>
    <t>=Data!D110</t>
  </si>
  <si>
    <t>=Data!D111</t>
  </si>
  <si>
    <t>=Data!D112</t>
  </si>
  <si>
    <t>=Data!D113</t>
  </si>
  <si>
    <t>=Data!D114</t>
  </si>
  <si>
    <t>=Data!D115</t>
  </si>
  <si>
    <t>=Data!D116</t>
  </si>
  <si>
    <t>=Data!D117</t>
  </si>
  <si>
    <t>=Data!D118</t>
  </si>
  <si>
    <t>=Data!D119</t>
  </si>
  <si>
    <t>=Data!D120</t>
  </si>
  <si>
    <t>=Data!D121</t>
  </si>
  <si>
    <t>=Data!D122</t>
  </si>
  <si>
    <t>=Data!D123</t>
  </si>
  <si>
    <t>=Data!D124</t>
  </si>
  <si>
    <t>=Data!D125</t>
  </si>
  <si>
    <t>=Data!D126</t>
  </si>
  <si>
    <t>=Data!D127</t>
  </si>
  <si>
    <t>=Data!D128</t>
  </si>
  <si>
    <t>=Data!D129</t>
  </si>
  <si>
    <t>=Data!D130</t>
  </si>
  <si>
    <t>=Data!D131</t>
  </si>
  <si>
    <t>=Data!D132</t>
  </si>
  <si>
    <t>=Data!D133</t>
  </si>
  <si>
    <t>=Data!D134</t>
  </si>
  <si>
    <t>=Data!D135</t>
  </si>
  <si>
    <t>=Data!D136</t>
  </si>
  <si>
    <t>=Data!D137</t>
  </si>
  <si>
    <t>=Data!D138</t>
  </si>
  <si>
    <t>=Data!D139</t>
  </si>
  <si>
    <t>=Data!D140</t>
  </si>
  <si>
    <t>=Data!D141</t>
  </si>
  <si>
    <t>=Data!D142</t>
  </si>
  <si>
    <t>=Data!D143</t>
  </si>
  <si>
    <t>=Data!D144</t>
  </si>
  <si>
    <t>=Data!D145</t>
  </si>
  <si>
    <t>=Data!D146</t>
  </si>
  <si>
    <t>=Data!D147</t>
  </si>
  <si>
    <t>=Data!D148</t>
  </si>
  <si>
    <t>=Data!D149</t>
  </si>
  <si>
    <t>=Data!D150</t>
  </si>
  <si>
    <t>=Data!D151</t>
  </si>
  <si>
    <t>=Data!D152</t>
  </si>
  <si>
    <t>=Data!D153</t>
  </si>
  <si>
    <t>=Data!D154</t>
  </si>
  <si>
    <t>=Data!D155</t>
  </si>
  <si>
    <t>=Data!D156</t>
  </si>
  <si>
    <t>=Data!D157</t>
  </si>
  <si>
    <t>=Data!D158</t>
  </si>
  <si>
    <t>=Data!D159</t>
  </si>
  <si>
    <t>=Data!D160</t>
  </si>
  <si>
    <t>=Data!D161</t>
  </si>
  <si>
    <t>=Data!D162</t>
  </si>
  <si>
    <t>=Data!D163</t>
  </si>
  <si>
    <t>=Data!D164</t>
  </si>
  <si>
    <t>=Data!D165</t>
  </si>
  <si>
    <t>=Data!D166</t>
  </si>
  <si>
    <t>=Data!D167</t>
  </si>
  <si>
    <t>=Data!D168</t>
  </si>
  <si>
    <t>=Data!D169</t>
  </si>
  <si>
    <t>=Data!D170</t>
  </si>
  <si>
    <t>=Data!D171</t>
  </si>
  <si>
    <t>=Data!D172</t>
  </si>
  <si>
    <t>=Data!D173</t>
  </si>
  <si>
    <t>=Data!D174</t>
  </si>
  <si>
    <t>=Data!D175</t>
  </si>
  <si>
    <t>=Data!D176</t>
  </si>
  <si>
    <t>=Data!D177</t>
  </si>
  <si>
    <t>=Data!D178</t>
  </si>
  <si>
    <t>=Data!D179</t>
  </si>
  <si>
    <t>=Data!D180</t>
  </si>
  <si>
    <t>=Data!D181</t>
  </si>
  <si>
    <t>=Data!D182</t>
  </si>
  <si>
    <t>=Data!D183</t>
  </si>
  <si>
    <t>=Data!D184</t>
  </si>
  <si>
    <t>=Data!D185</t>
  </si>
  <si>
    <t>=Data!D186</t>
  </si>
  <si>
    <t>=Data!D187</t>
  </si>
  <si>
    <t>=Data!D188</t>
  </si>
  <si>
    <t>=Data!D189</t>
  </si>
  <si>
    <t>=Data!D190</t>
  </si>
  <si>
    <t>=Data!D191</t>
  </si>
  <si>
    <t>=Data!D192</t>
  </si>
  <si>
    <t>=Data!D193</t>
  </si>
  <si>
    <t>=Data!D194</t>
  </si>
  <si>
    <t>=Data!D195</t>
  </si>
  <si>
    <t>=Data!D196</t>
  </si>
  <si>
    <t>=Data!D197</t>
  </si>
  <si>
    <t>=Data!D198</t>
  </si>
  <si>
    <t>=Data!D199</t>
  </si>
  <si>
    <t>=Data!D200</t>
  </si>
  <si>
    <t>=Data!D201</t>
  </si>
  <si>
    <t>=Data!D202</t>
  </si>
  <si>
    <t>=Data!D203</t>
  </si>
  <si>
    <t>=Data!D204</t>
  </si>
  <si>
    <t>=Data!D205</t>
  </si>
  <si>
    <t>=Data!D206</t>
  </si>
  <si>
    <t>=Data!D207</t>
  </si>
  <si>
    <t>=Data!D208</t>
  </si>
  <si>
    <t>=Data!D209</t>
  </si>
  <si>
    <t>=Data!D210</t>
  </si>
  <si>
    <t>=Data!D211</t>
  </si>
  <si>
    <t>=Data!D212</t>
  </si>
  <si>
    <t>=Data!D213</t>
  </si>
  <si>
    <t>=Data!D214</t>
  </si>
  <si>
    <t>=Data!D215</t>
  </si>
  <si>
    <t>=Data!D216</t>
  </si>
  <si>
    <t>=Data!D217</t>
  </si>
  <si>
    <t>=Data!D218</t>
  </si>
  <si>
    <t>=Data!D219</t>
  </si>
  <si>
    <t>=Data!D220</t>
  </si>
  <si>
    <t>=Data!D221</t>
  </si>
  <si>
    <t>=Data!D222</t>
  </si>
  <si>
    <t>=Data!D223</t>
  </si>
  <si>
    <t>=Data!D224</t>
  </si>
  <si>
    <t>=Data!D225</t>
  </si>
  <si>
    <t>=Data!D226</t>
  </si>
  <si>
    <t>=Data!D227</t>
  </si>
  <si>
    <t>=Data!D228</t>
  </si>
  <si>
    <t>=Data!D229</t>
  </si>
  <si>
    <t>=Data!D230</t>
  </si>
  <si>
    <t>=Data!D231</t>
  </si>
  <si>
    <t>=Data!D232</t>
  </si>
  <si>
    <t>=Data!D233</t>
  </si>
  <si>
    <t>=Data!D234</t>
  </si>
  <si>
    <t>=Data!D235</t>
  </si>
  <si>
    <t>=Data!D236</t>
  </si>
  <si>
    <t>=Data!D237</t>
  </si>
  <si>
    <t>=Data!D238</t>
  </si>
  <si>
    <t>=Data!D239</t>
  </si>
  <si>
    <t>=Data!D240</t>
  </si>
  <si>
    <t>=Data!D241</t>
  </si>
  <si>
    <t>=Data!D242</t>
  </si>
  <si>
    <t>=Data!D243</t>
  </si>
  <si>
    <t>=Data!D244</t>
  </si>
  <si>
    <t>=Data!D245</t>
  </si>
  <si>
    <t>=Data!D246</t>
  </si>
  <si>
    <t>=Data!D247</t>
  </si>
  <si>
    <t>=Data!D248</t>
  </si>
  <si>
    <t>=Data!D249</t>
  </si>
  <si>
    <t>=Data!D250</t>
  </si>
  <si>
    <t>=Data!D251</t>
  </si>
  <si>
    <t>=Data!D252</t>
  </si>
  <si>
    <t>=Data!D253</t>
  </si>
  <si>
    <t>=Data!D254</t>
  </si>
  <si>
    <t>=Data!D255</t>
  </si>
  <si>
    <t>=Data!D256</t>
  </si>
  <si>
    <t>=Data!D257</t>
  </si>
  <si>
    <t>=Data!D258</t>
  </si>
  <si>
    <t>=Data!D259</t>
  </si>
  <si>
    <t>=Data!D260</t>
  </si>
  <si>
    <t>=Data!D261</t>
  </si>
  <si>
    <t>=Data!D262</t>
  </si>
  <si>
    <t>=Data!D263</t>
  </si>
  <si>
    <t>=Data!D264</t>
  </si>
  <si>
    <t>=Data!D265</t>
  </si>
  <si>
    <t>=Data!D266</t>
  </si>
  <si>
    <t>=Data!D267</t>
  </si>
  <si>
    <t>=Data!D268</t>
  </si>
  <si>
    <t>=Data!D269</t>
  </si>
  <si>
    <t>=Data!D270</t>
  </si>
  <si>
    <t>=Data!D271</t>
  </si>
  <si>
    <t>=Data!D272</t>
  </si>
  <si>
    <t>=Data!D273</t>
  </si>
  <si>
    <t>=Data!D274</t>
  </si>
  <si>
    <t>=Data!D275</t>
  </si>
  <si>
    <t>=Data!D276</t>
  </si>
  <si>
    <t>=Data!D277</t>
  </si>
  <si>
    <t>=Data!D278</t>
  </si>
  <si>
    <t>=Data!D279</t>
  </si>
  <si>
    <t>=Data!D280</t>
  </si>
  <si>
    <t>=Data!D281</t>
  </si>
  <si>
    <t>=Data!D282</t>
  </si>
  <si>
    <t>=Data!D283</t>
  </si>
  <si>
    <t>=Data!D284</t>
  </si>
  <si>
    <t>=Data!D285</t>
  </si>
  <si>
    <t>=Data!D286</t>
  </si>
  <si>
    <t>=Data!D287</t>
  </si>
  <si>
    <t>=Data!D288</t>
  </si>
  <si>
    <t>=Data!D289</t>
  </si>
  <si>
    <t>=Data!D290</t>
  </si>
  <si>
    <t>=Data!D291</t>
  </si>
  <si>
    <t>=Data!D292</t>
  </si>
  <si>
    <t>=Data!D293</t>
  </si>
  <si>
    <t>=Data!D294</t>
  </si>
  <si>
    <t>=Data!D295</t>
  </si>
  <si>
    <t>=Data!D296</t>
  </si>
  <si>
    <t>=Data!D297</t>
  </si>
  <si>
    <t>=Data!D298</t>
  </si>
  <si>
    <t>=Data!D299</t>
  </si>
  <si>
    <t>=Data!D300</t>
  </si>
  <si>
    <t>=Data!D301</t>
  </si>
  <si>
    <t>=Data!D302</t>
  </si>
  <si>
    <t>=Data!D303</t>
  </si>
  <si>
    <t>=Data!D304</t>
  </si>
  <si>
    <t>=Data!D305</t>
  </si>
  <si>
    <t>=Data!D306</t>
  </si>
  <si>
    <t>=Data!D307</t>
  </si>
  <si>
    <t>=Data!D308</t>
  </si>
  <si>
    <t>=Data!D309</t>
  </si>
  <si>
    <t>=Data!D310</t>
  </si>
  <si>
    <t>=Data!D311</t>
  </si>
  <si>
    <t>=Data!D312</t>
  </si>
  <si>
    <t>=Data!D313</t>
  </si>
  <si>
    <t>=Data!D314</t>
  </si>
  <si>
    <t>=Data!D315</t>
  </si>
  <si>
    <t>=Data!D316</t>
  </si>
  <si>
    <t>=Data!D317</t>
  </si>
  <si>
    <t>=Data!D318</t>
  </si>
  <si>
    <t>=Data!D319</t>
  </si>
  <si>
    <t>=Data!D320</t>
  </si>
  <si>
    <t>=Data!D321</t>
  </si>
  <si>
    <t>=Data!D322</t>
  </si>
  <si>
    <t>=Data!D323</t>
  </si>
  <si>
    <t>=Data!D324</t>
  </si>
  <si>
    <t>=Data!D325</t>
  </si>
  <si>
    <t>=Data!D326</t>
  </si>
  <si>
    <t>=Data!D327</t>
  </si>
  <si>
    <t>=Data!D328</t>
  </si>
  <si>
    <t>=Data!D329</t>
  </si>
  <si>
    <t>=Data!D330</t>
  </si>
  <si>
    <t>=Data!D331</t>
  </si>
  <si>
    <t>=Data!D332</t>
  </si>
  <si>
    <t>=Data!D333</t>
  </si>
  <si>
    <t>=Data!D334</t>
  </si>
  <si>
    <t>=Data!D335</t>
  </si>
  <si>
    <t>=Data!D336</t>
  </si>
  <si>
    <t>=Data!D337</t>
  </si>
  <si>
    <t>=Data!D338</t>
  </si>
  <si>
    <t>=Data!D339</t>
  </si>
  <si>
    <t>=Data!D340</t>
  </si>
  <si>
    <t>=Data!D341</t>
  </si>
  <si>
    <t>=Data!D342</t>
  </si>
  <si>
    <t>=Data!D343</t>
  </si>
  <si>
    <t>=Data!D344</t>
  </si>
  <si>
    <t>=Data!D345</t>
  </si>
  <si>
    <t>=Data!D346</t>
  </si>
  <si>
    <t>=Data!D347</t>
  </si>
  <si>
    <t>=Data!D348</t>
  </si>
  <si>
    <t>=Data!D349</t>
  </si>
  <si>
    <t>=Data!D350</t>
  </si>
  <si>
    <t>=Data!D351</t>
  </si>
  <si>
    <t>=Data!D352</t>
  </si>
  <si>
    <t>=Data!D353</t>
  </si>
  <si>
    <t>=Data!D354</t>
  </si>
  <si>
    <t>=Data!D355</t>
  </si>
  <si>
    <t>=Data!D356</t>
  </si>
  <si>
    <t>=Data!D357</t>
  </si>
  <si>
    <t>=Data!D358</t>
  </si>
  <si>
    <t>=Data!D359</t>
  </si>
  <si>
    <t>=Data!D360</t>
  </si>
  <si>
    <t>=Data!D361</t>
  </si>
  <si>
    <t>=Data!D362</t>
  </si>
  <si>
    <t>=Data!D363</t>
  </si>
  <si>
    <t>=Data!D364</t>
  </si>
  <si>
    <t>=Data!D365</t>
  </si>
  <si>
    <t>=Data!D366</t>
  </si>
  <si>
    <t>=Data!D367</t>
  </si>
  <si>
    <t>=Data!D368</t>
  </si>
  <si>
    <t>=Data!D369</t>
  </si>
  <si>
    <t>=Data!D370</t>
  </si>
  <si>
    <t>=Data!D371</t>
  </si>
  <si>
    <t>=Data!D372</t>
  </si>
  <si>
    <t>=Data!D373</t>
  </si>
  <si>
    <t>=Data!D374</t>
  </si>
  <si>
    <t>=Data!D375</t>
  </si>
  <si>
    <t>=Data!D376</t>
  </si>
  <si>
    <t>=Data!D377</t>
  </si>
  <si>
    <t>=Data!D378</t>
  </si>
  <si>
    <t>=Data!D379</t>
  </si>
  <si>
    <t>=Data!D380</t>
  </si>
  <si>
    <t>=Data!D381</t>
  </si>
  <si>
    <t>=Data!D382</t>
  </si>
  <si>
    <t>=Data!D383</t>
  </si>
  <si>
    <t>=Data!D384</t>
  </si>
  <si>
    <t>=Data!D385</t>
  </si>
  <si>
    <t>=Data!D386</t>
  </si>
  <si>
    <t>=Data!D387</t>
  </si>
  <si>
    <t>=Data!D388</t>
  </si>
  <si>
    <t>=Data!D389</t>
  </si>
  <si>
    <t>=Data!D390</t>
  </si>
  <si>
    <t>=Data!D391</t>
  </si>
  <si>
    <t>=Data!D392</t>
  </si>
  <si>
    <t>=Data!D393</t>
  </si>
  <si>
    <t>=Data!D394</t>
  </si>
  <si>
    <t>=Data!D395</t>
  </si>
  <si>
    <t>=Data!D396</t>
  </si>
  <si>
    <t>=Data!D397</t>
  </si>
  <si>
    <t>=Data!D398</t>
  </si>
  <si>
    <t>=Data!D399</t>
  </si>
  <si>
    <t>=Data!D400</t>
  </si>
  <si>
    <t>=Data!D401</t>
  </si>
  <si>
    <t>=Data!D402</t>
  </si>
  <si>
    <t>=Data!D403</t>
  </si>
  <si>
    <t>=Data!D404</t>
  </si>
  <si>
    <t>=Data!D405</t>
  </si>
  <si>
    <t>=Data!D406</t>
  </si>
  <si>
    <t>=Data!D407</t>
  </si>
  <si>
    <t>=Data!D408</t>
  </si>
  <si>
    <t>=Data!D409</t>
  </si>
  <si>
    <t>=Data!D410</t>
  </si>
  <si>
    <t>=Data!D411</t>
  </si>
  <si>
    <t>=Data!D412</t>
  </si>
  <si>
    <t>=Data!D413</t>
  </si>
  <si>
    <t>=Data!D414</t>
  </si>
  <si>
    <t>=Data!D415</t>
  </si>
  <si>
    <t>=Data!D416</t>
  </si>
  <si>
    <t>=Data!D417</t>
  </si>
  <si>
    <t>=Data!D418</t>
  </si>
  <si>
    <t>=Data!D419</t>
  </si>
  <si>
    <t>=Data!D420</t>
  </si>
  <si>
    <t>=Data!D421</t>
  </si>
  <si>
    <t>=Data!D422</t>
  </si>
  <si>
    <t>=Data!D423</t>
  </si>
  <si>
    <t>=Data!D424</t>
  </si>
  <si>
    <t>=Data!D425</t>
  </si>
  <si>
    <t>=Data!D426</t>
  </si>
  <si>
    <t>=Data!D427</t>
  </si>
  <si>
    <t>=Data!D428</t>
  </si>
  <si>
    <t>=Data!D429</t>
  </si>
  <si>
    <t>=Data!D430</t>
  </si>
  <si>
    <t>=Data!D431</t>
  </si>
  <si>
    <t>=Data!D432</t>
  </si>
  <si>
    <t>=Data!D433</t>
  </si>
  <si>
    <t>=Data!D434</t>
  </si>
  <si>
    <t>=Data!D435</t>
  </si>
  <si>
    <t>=Data!D436</t>
  </si>
  <si>
    <t>=Data!D437</t>
  </si>
  <si>
    <t>=Data!D438</t>
  </si>
  <si>
    <t>=Data!D439</t>
  </si>
  <si>
    <t>=Data!D440</t>
  </si>
  <si>
    <t>=Data!D441</t>
  </si>
  <si>
    <t>=Data!D442</t>
  </si>
  <si>
    <t>=Data!D443</t>
  </si>
  <si>
    <t>=Data!D444</t>
  </si>
  <si>
    <t>=Data!D445</t>
  </si>
  <si>
    <t>=Data!D446</t>
  </si>
  <si>
    <t>=Data!D447</t>
  </si>
  <si>
    <t>=Data!D448</t>
  </si>
  <si>
    <t>=Data!D449</t>
  </si>
  <si>
    <t>=Data!D450</t>
  </si>
  <si>
    <t>=Data!D451</t>
  </si>
  <si>
    <t>=Data!D452</t>
  </si>
  <si>
    <t>=Data!D453</t>
  </si>
  <si>
    <t>=Data!D454</t>
  </si>
  <si>
    <t>=Data!D455</t>
  </si>
  <si>
    <t>=Data!D456</t>
  </si>
  <si>
    <t>=Data!D457</t>
  </si>
  <si>
    <t>=Data!D458</t>
  </si>
  <si>
    <t>=Data!D459</t>
  </si>
  <si>
    <t>=Data!D460</t>
  </si>
  <si>
    <t>=Data!D461</t>
  </si>
  <si>
    <t>=Data!D462</t>
  </si>
  <si>
    <t>=Data!D463</t>
  </si>
  <si>
    <t>=Data!D464</t>
  </si>
  <si>
    <t>=Data!D465</t>
  </si>
  <si>
    <t>=Data!D466</t>
  </si>
  <si>
    <t>=Data!D467</t>
  </si>
  <si>
    <t>=Data!D468</t>
  </si>
  <si>
    <t>=Data!D469</t>
  </si>
  <si>
    <t>=Data!D470</t>
  </si>
  <si>
    <t>=Data!D471</t>
  </si>
  <si>
    <t>=Data!D472</t>
  </si>
  <si>
    <t>=Data!D473</t>
  </si>
  <si>
    <t>=Data!D474</t>
  </si>
  <si>
    <t>=Data!D475</t>
  </si>
  <si>
    <t>=Data!D476</t>
  </si>
  <si>
    <t>=Data!D477</t>
  </si>
  <si>
    <t>=Data!D478</t>
  </si>
  <si>
    <t>=Data!D479</t>
  </si>
  <si>
    <t>=Data!D480</t>
  </si>
  <si>
    <t>=Data!D481</t>
  </si>
  <si>
    <t>=Data!D482</t>
  </si>
  <si>
    <t>=Data!D483</t>
  </si>
  <si>
    <t>=Data!D484</t>
  </si>
  <si>
    <t>=Data!D485</t>
  </si>
  <si>
    <t>=Data!D486</t>
  </si>
  <si>
    <t>=Data!D487</t>
  </si>
  <si>
    <t>=Data!D488</t>
  </si>
  <si>
    <t>=Data!D489</t>
  </si>
  <si>
    <t>=Data!D490</t>
  </si>
  <si>
    <t>=Data!D491</t>
  </si>
  <si>
    <t>=Data!D492</t>
  </si>
  <si>
    <t>=Data!D493</t>
  </si>
  <si>
    <t>=Data!D494</t>
  </si>
  <si>
    <t>=Data!D495</t>
  </si>
  <si>
    <t>=Data!D496</t>
  </si>
  <si>
    <t>=Data!D497</t>
  </si>
  <si>
    <t>=Data!D498</t>
  </si>
  <si>
    <t>=Data!D499</t>
  </si>
  <si>
    <t>=Data!D500</t>
  </si>
  <si>
    <t>=Data!D501</t>
  </si>
  <si>
    <t>=Data!D502</t>
  </si>
  <si>
    <t>=Data!D503</t>
  </si>
  <si>
    <t>=Data!D504</t>
  </si>
  <si>
    <t>=Data!D505</t>
  </si>
  <si>
    <t>=Data!D506</t>
  </si>
  <si>
    <t>=Data!D507</t>
  </si>
  <si>
    <t>=Data!D508</t>
  </si>
  <si>
    <t>=Data!D509</t>
  </si>
  <si>
    <t>=Data!D510</t>
  </si>
  <si>
    <t>=Data!D511</t>
  </si>
  <si>
    <t>=Data!D512</t>
  </si>
  <si>
    <t>=Data!D513</t>
  </si>
  <si>
    <t>=Data!D514</t>
  </si>
  <si>
    <t>=Data!D515</t>
  </si>
  <si>
    <t>=Data!D516</t>
  </si>
  <si>
    <t>=Data!D517</t>
  </si>
  <si>
    <t>=Data!D518</t>
  </si>
  <si>
    <t>=Data!D519</t>
  </si>
  <si>
    <t>=Data!D520</t>
  </si>
  <si>
    <t>=Data!D521</t>
  </si>
  <si>
    <t>=Data!D522</t>
  </si>
  <si>
    <t>=Data!D523</t>
  </si>
  <si>
    <t>=Data!D524</t>
  </si>
  <si>
    <t>=Data!D525</t>
  </si>
  <si>
    <t>=Data!D526</t>
  </si>
  <si>
    <t>=Data!D527</t>
  </si>
  <si>
    <t>=Data!D528</t>
  </si>
  <si>
    <t>=Data!D529</t>
  </si>
  <si>
    <t>=Data!D530</t>
  </si>
  <si>
    <t>=Data!D531</t>
  </si>
  <si>
    <t>=Data!D532</t>
  </si>
  <si>
    <t>=Data!D533</t>
  </si>
  <si>
    <t>=Data!D534</t>
  </si>
  <si>
    <t>=Data!D535</t>
  </si>
  <si>
    <t>=Data!D536</t>
  </si>
  <si>
    <t>=Data!D537</t>
  </si>
  <si>
    <t>=Data!D538</t>
  </si>
  <si>
    <t>=Data!D539</t>
  </si>
  <si>
    <t>=Data!D540</t>
  </si>
  <si>
    <t>=Data!D541</t>
  </si>
  <si>
    <t>=Data!D542</t>
  </si>
  <si>
    <t>=Data!D543</t>
  </si>
  <si>
    <t>=Data!D544</t>
  </si>
  <si>
    <t>=Data!D545</t>
  </si>
  <si>
    <t>=Data!D546</t>
  </si>
  <si>
    <t>=Data!D547</t>
  </si>
  <si>
    <t>=Data!D548</t>
  </si>
  <si>
    <t>=Data!D549</t>
  </si>
  <si>
    <t>=Data!D550</t>
  </si>
  <si>
    <t>=Data!D551</t>
  </si>
  <si>
    <t>=Data!D552</t>
  </si>
  <si>
    <t>=Data!D553</t>
  </si>
  <si>
    <t>=Data!A554</t>
  </si>
  <si>
    <t>=Data!B554</t>
  </si>
  <si>
    <t>=Data!C554</t>
  </si>
  <si>
    <t>=Data!D554</t>
  </si>
  <si>
    <t>• Overall 2026 YTD sales (weeks 2-19) are 41.3% ahead vs same weeks in 2025, comparing R 1,349,090 to R 1,906,266 (week-aligned comparison).</t>
  </si>
  <si>
    <t>2025 Week 1 = 30/12/2024 (Col I) | 2026 Week 1 = 29/12/2025 (Col DI)</t>
  </si>
  <si>
    <t>Week #</t>
  </si>
  <si>
    <t>2026 Sales Col</t>
  </si>
  <si>
    <t>Match</t>
  </si>
  <si>
    <t>SUMMARY</t>
  </si>
  <si>
    <t>J</t>
  </si>
  <si>
    <t>N</t>
  </si>
  <si>
    <t>P</t>
  </si>
  <si>
    <t>R</t>
  </si>
  <si>
    <t>AH</t>
  </si>
  <si>
    <t>AJ</t>
  </si>
  <si>
    <t>AN</t>
  </si>
  <si>
    <t>AP</t>
  </si>
  <si>
    <t>AR</t>
  </si>
  <si>
    <t>AX</t>
  </si>
  <si>
    <t>AZ</t>
  </si>
  <si>
    <t>BF</t>
  </si>
  <si>
    <t>BH</t>
  </si>
  <si>
    <t>BJ</t>
  </si>
  <si>
    <t>BN</t>
  </si>
  <si>
    <t>BP</t>
  </si>
  <si>
    <t>BR</t>
  </si>
  <si>
    <t>BX</t>
  </si>
  <si>
    <t>BZ</t>
  </si>
  <si>
    <t>CF</t>
  </si>
  <si>
    <t>CH</t>
  </si>
  <si>
    <t>CJ</t>
  </si>
  <si>
    <t>CN</t>
  </si>
  <si>
    <t>CP</t>
  </si>
  <si>
    <t>CR</t>
  </si>
  <si>
    <t>CX</t>
  </si>
  <si>
    <t>CZ</t>
  </si>
  <si>
    <t>DF</t>
  </si>
  <si>
    <t>DH</t>
  </si>
  <si>
    <t>EH</t>
  </si>
  <si>
    <t>EJ</t>
  </si>
  <si>
    <t>EN</t>
  </si>
  <si>
    <t>EP</t>
  </si>
  <si>
    <t>ER</t>
  </si>
  <si>
    <t>✓ Match</t>
  </si>
  <si>
    <t>2025 Only</t>
  </si>
  <si>
    <t>2025 Total Weeks:</t>
  </si>
  <si>
    <t>2026 Weeks Available:</t>
  </si>
  <si>
    <t>Matching Weeks:</t>
  </si>
  <si>
    <t>2025 Week 1 Start:</t>
  </si>
  <si>
    <t>2026 Week 1 Start:</t>
  </si>
  <si>
    <t>Week Format:</t>
  </si>
  <si>
    <t>Mon-Sun</t>
  </si>
  <si>
    <t>HOW TO USE THIS MAPPING</t>
  </si>
  <si>
    <t>For YoY comparisons, match by Week #, NOT by date</t>
  </si>
  <si>
    <t>Example: 2025 Week 5 (Col Q) vs 2026 Week 5 (Col DQ)</t>
  </si>
  <si>
    <t>Key Dates:</t>
  </si>
  <si>
    <t>2025 Week 1: 30/12/2024 (Mon)</t>
  </si>
  <si>
    <t>2025 Week 52: 22/12/2025 (Mon)</t>
  </si>
  <si>
    <t>2026 Week 1: 29/12/2025 (Mon)</t>
  </si>
  <si>
    <t>Note: 2026 currently has 19 weeks of data</t>
  </si>
  <si>
    <t>Weeks 1-19 can be compared YoY</t>
  </si>
  <si>
    <t>2025 Sales (Wk1-19, products w/ 2026 sales)</t>
  </si>
  <si>
    <t>2026 Sales (Wk1-19, all)</t>
  </si>
  <si>
    <t>2025 Qty (Wk1-19, products w/ 2026 sales)</t>
  </si>
  <si>
    <t>2026 Qty (Wk1-19, all)</t>
  </si>
  <si>
    <t>2025 YTD Sales (Wk1-19)</t>
  </si>
  <si>
    <t>2026 YTD Sales (Wk1-19)</t>
  </si>
  <si>
    <t>💡 TIP: Use the dropdown in B5 to select the target week. YTD data covers weeks 1-19 (matching weeks for YoY comparison). 2026 Week 1 starts 29/12/2025; 2025 Week 1 starts 30/12/2024.</t>
  </si>
  <si>
    <t>2026 Week 19 Start:</t>
  </si>
  <si>
    <t>25/05/2026</t>
  </si>
  <si>
    <t>Prior Year:</t>
  </si>
  <si>
    <t>Prior Month:</t>
  </si>
  <si>
    <t>Prior Year Sales</t>
  </si>
  <si>
    <t>Prior Year Qty</t>
  </si>
  <si>
    <t>Prior Month Sales</t>
  </si>
  <si>
    <t>Prior Month Qty</t>
  </si>
  <si>
    <t>Target Sales (Auto)</t>
  </si>
  <si>
    <t>2025 YTD Qty (Wk1-19)</t>
  </si>
  <si>
    <t>2026 YTD Qty (Wk1-19)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</si>
</sst>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\-###0"/>
    <numFmt numFmtId="165" formatCode="#,##0.000"/>
    <numFmt numFmtId="166" formatCode="\R\ #,##0.00"/>
    <numFmt numFmtId="167" formatCode="0.0%"/>
    <numFmt numFmtId="168" formatCode="dd/mm/yyyy"/>
    <numFmt numFmtId="171" formatCode="\R\ #,##0"/>
    <numFmt numFmtId="174" formatCode="#\ ##0.00"/>
    <numFmt numFmtId="175" formatCode="yyyy\/mm\/dd"/>
  </numFmts>
  <fonts count="21" x14ac:knownFonts="1">
    <font>
      <sz val="9"/>
      <name val="MS Sans Serif"/>
    </font>
    <font>
      <sz val="9"/>
      <color indexed="10"/>
      <name val="MS Sans Serif"/>
    </font>
    <font>
      <b/>
      <sz val="9"/>
      <name val="MS Sans Serif"/>
    </font>
    <font>
      <b/>
      <sz val="9"/>
      <color rgb="FFFFFFFF"/>
      <name val="MS Sans Serif"/>
    </font>
    <font>
      <i/>
      <sz val="9"/>
      <name val="MS Sans Serif"/>
    </font>
    <font>
      <b/>
      <sz val="16"/>
      <color rgb="FFFFFFFF"/>
      <name val="MS Sans Serif"/>
    </font>
    <font>
      <sz val="9"/>
      <color rgb="FF666666"/>
      <name val="MS Sans Serif"/>
    </font>
    <font>
      <b/>
      <sz val="9"/>
      <color theme="0"/>
      <name val="MS Sans Serif"/>
    </font>
    <font>
      <sz val="9"/>
      <color theme="0"/>
      <name val="MS Sans Serif"/>
    </font>
    <font>
      <b/>
      <sz val="11"/>
      <name val="MS Sans Serif"/>
    </font>
    <font>
      <b/>
      <sz val="11"/>
      <color rgb="FFC00000"/>
      <name val="MS Sans Serif"/>
    </font>
    <font>
      <i/>
      <sz val="9"/>
      <color rgb="FF7F7F7F"/>
      <name val="MS Sans Serif"/>
    </font>
    <font>
      <b/>
      <sz val="18"/>
      <color rgb="FFFFFFFF"/>
      <name val="Calibri"/>
      <family val="2"/>
    </font>
    <font>
      <sz val="9"/>
      <color rgb="FFFFFFFF"/>
      <name val="Calibri"/>
      <family val="2"/>
    </font>
    <font>
      <sz val="9"/>
      <name val="Calibri"/>
      <family val="2"/>
    </font>
    <font>
      <i/>
      <sz val="9"/>
      <color rgb="FF1F1F1F"/>
      <name val="Calibri"/>
      <family val="2"/>
    </font>
    <font>
      <sz val="9"/>
      <color rgb="FF1F1F1F"/>
      <name val="Calibri"/>
      <family val="2"/>
    </font>
    <font>
      <b/>
      <sz val="9"/>
      <color rgb="FF1F1F1F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14"/>
      <name val="MS Sans Serif"/>
    </font>
  </fonts>
  <fills count="2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3F9E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36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0" fontId="2" fillId="0" borderId="0" xfId="0" applyFont="1" applyAlignment="1">
      <alignment vertical="top"/>
      <protection locked="0"/>
    </xf>
    <xf numFmtId="0" fontId="3" fillId="4" borderId="0" xfId="0" applyFont="1" applyFill="1" applyAlignment="1">
      <alignment vertical="top"/>
      <protection locked="0"/>
    </xf>
    <xf numFmtId="1" fontId="0" fillId="0" borderId="0" xfId="0" applyNumberFormat="1" applyAlignment="1">
      <alignment vertical="top"/>
      <protection locked="0"/>
    </xf>
    <xf numFmtId="49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vertical="top"/>
      <protection locked="0"/>
    </xf>
    <xf numFmtId="165" fontId="0" fillId="0" borderId="0" xfId="0" applyNumberFormat="1" applyAlignment="1">
      <alignment vertical="top"/>
      <protection locked="0"/>
    </xf>
    <xf numFmtId="10" fontId="0" fillId="0" borderId="0" xfId="0" applyNumberFormat="1" applyAlignment="1">
      <alignment vertical="top"/>
      <protection locked="0"/>
    </xf>
    <xf numFmtId="0" fontId="3" fillId="5" borderId="0" xfId="0" applyFont="1" applyFill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0" fontId="0" fillId="9" borderId="1" xfId="0" applyFill="1" applyBorder="1" applyAlignment="1">
      <alignment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0" fontId="3" fillId="6" borderId="0" xfId="0" applyFont="1" applyFill="1" applyAlignment="1">
      <alignment vertical="top"/>
      <protection locked="0"/>
    </xf>
    <xf numFmtId="0" fontId="3" fillId="7" borderId="0" xfId="0" applyFont="1" applyFill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0" fillId="0" borderId="0" xfId="0" applyAlignment="1">
      <alignment vertical="top"/>
      <protection locked="0"/>
    </xf>
    <xf numFmtId="0" fontId="5" fillId="15" borderId="0" xfId="0" applyFont="1" applyFill="1" applyAlignment="1">
      <alignment vertical="top"/>
      <protection locked="0"/>
    </xf>
    <xf numFmtId="0" fontId="2" fillId="8" borderId="0" xfId="0" applyFont="1" applyFill="1" applyAlignment="1">
      <alignment vertical="top"/>
      <protection locked="0"/>
    </xf>
    <xf numFmtId="0" fontId="6" fillId="0" borderId="0" xfId="0" applyFont="1" applyAlignment="1">
      <alignment vertical="top"/>
      <protection locked="0"/>
    </xf>
    <xf numFmtId="0" fontId="0" fillId="0" borderId="0" xfId="0" applyFont="1" applyAlignment="1">
      <alignment horizontal="center" vertical="top"/>
      <protection locked="0"/>
    </xf>
    <xf numFmtId="0" fontId="2" fillId="18" borderId="3" xfId="0" applyFont="1" applyFill="1" applyBorder="1" applyAlignment="1">
      <alignment horizontal="center" vertical="top"/>
      <protection locked="0"/>
    </xf>
    <xf numFmtId="0" fontId="0" fillId="19" borderId="0" xfId="0" applyFill="1" applyAlignment="1">
      <alignment vertical="top"/>
      <protection locked="0"/>
    </xf>
    <xf numFmtId="166" fontId="0" fillId="19" borderId="0" xfId="0" applyNumberFormat="1" applyFill="1" applyAlignment="1">
      <alignment vertical="top"/>
      <protection locked="0"/>
    </xf>
    <xf numFmtId="4" fontId="0" fillId="19" borderId="0" xfId="0" applyNumberFormat="1" applyFill="1" applyAlignment="1">
      <alignment vertical="top"/>
      <protection locked="0"/>
    </xf>
    <xf numFmtId="0" fontId="0" fillId="14" borderId="0" xfId="0" applyFill="1" applyAlignment="1">
      <alignment vertical="top"/>
      <protection locked="0"/>
    </xf>
    <xf numFmtId="166" fontId="0" fillId="14" borderId="0" xfId="0" applyNumberFormat="1" applyFill="1" applyAlignment="1">
      <alignment vertical="top"/>
      <protection locked="0"/>
    </xf>
    <xf numFmtId="4" fontId="0" fillId="14" borderId="0" xfId="0" applyNumberFormat="1" applyFill="1" applyAlignment="1">
      <alignment vertical="top"/>
      <protection locked="0"/>
    </xf>
    <xf numFmtId="0" fontId="3" fillId="4" borderId="12" xfId="0" applyFont="1" applyFill="1" applyBorder="1" applyAlignment="1">
      <alignment horizontal="center" vertical="top" wrapText="1"/>
      <protection locked="0"/>
    </xf>
    <xf numFmtId="0" fontId="3" fillId="4" borderId="11" xfId="0" applyFont="1" applyFill="1" applyBorder="1" applyAlignment="1">
      <alignment horizontal="center" vertical="top" wrapText="1"/>
      <protection locked="0"/>
    </xf>
    <xf numFmtId="0" fontId="3" fillId="17" borderId="11" xfId="0" applyFont="1" applyFill="1" applyBorder="1" applyAlignment="1">
      <alignment horizontal="center" vertical="top" wrapText="1"/>
      <protection locked="0"/>
    </xf>
    <xf numFmtId="0" fontId="0" fillId="0" borderId="0" xfId="0" applyAlignment="1">
      <alignment vertical="top" wrapText="1"/>
      <protection locked="0"/>
    </xf>
    <xf numFmtId="0" fontId="2" fillId="0" borderId="0" xfId="0" applyFont="1" applyAlignment="1">
      <alignment horizontal="right" vertical="top" wrapText="1"/>
      <protection locked="0"/>
    </xf>
    <xf numFmtId="171" fontId="2" fillId="0" borderId="0" xfId="0" applyNumberFormat="1" applyFont="1" applyAlignment="1">
      <alignment vertical="top" wrapText="1"/>
      <protection locked="0"/>
    </xf>
    <xf numFmtId="171" fontId="2" fillId="0" borderId="0" xfId="0" applyNumberFormat="1" applyFont="1" applyAlignment="1">
      <alignment horizontal="right" vertical="top" wrapText="1"/>
      <protection locked="0"/>
    </xf>
    <xf numFmtId="167" fontId="2" fillId="0" borderId="0" xfId="0" applyNumberFormat="1" applyFont="1" applyAlignment="1">
      <alignment vertical="top" wrapText="1"/>
      <protection locked="0"/>
    </xf>
    <xf numFmtId="4" fontId="2" fillId="0" borderId="0" xfId="0" applyNumberFormat="1" applyFont="1" applyAlignment="1">
      <alignment vertical="top" wrapText="1"/>
      <protection locked="0"/>
    </xf>
    <xf numFmtId="0" fontId="2" fillId="0" borderId="0" xfId="0" applyFont="1" applyAlignment="1">
      <alignment vertical="top" wrapText="1"/>
      <protection locked="0"/>
    </xf>
    <xf numFmtId="14" fontId="0" fillId="0" borderId="0" xfId="0" applyNumberFormat="1" applyAlignment="1">
      <alignment vertical="top" wrapText="1"/>
      <protection locked="0"/>
    </xf>
    <xf numFmtId="0" fontId="7" fillId="20" borderId="0" xfId="0" applyFont="1" applyFill="1" applyAlignment="1">
      <alignment horizontal="center" vertical="top"/>
      <protection locked="0"/>
    </xf>
    <xf numFmtId="0" fontId="8" fillId="20" borderId="0" xfId="0" applyFont="1" applyFill="1" applyAlignment="1">
      <alignment horizontal="center" vertical="top"/>
      <protection locked="0"/>
    </xf>
    <xf numFmtId="0" fontId="7" fillId="20" borderId="11" xfId="0" applyFont="1" applyFill="1" applyBorder="1" applyAlignment="1">
      <alignment horizontal="center" vertical="top" wrapText="1"/>
      <protection locked="0"/>
    </xf>
    <xf numFmtId="166" fontId="8" fillId="20" borderId="0" xfId="0" applyNumberFormat="1" applyFont="1" applyFill="1" applyAlignment="1">
      <alignment vertical="top"/>
      <protection locked="0"/>
    </xf>
    <xf numFmtId="4" fontId="8" fillId="20" borderId="0" xfId="0" applyNumberFormat="1" applyFont="1" applyFill="1" applyAlignment="1">
      <alignment vertical="top"/>
      <protection locked="0"/>
    </xf>
    <xf numFmtId="0" fontId="3" fillId="21" borderId="11" xfId="0" applyFont="1" applyFill="1" applyBorder="1" applyAlignment="1">
      <alignment horizontal="center" vertical="top" wrapText="1"/>
      <protection locked="0"/>
    </xf>
    <xf numFmtId="0" fontId="3" fillId="22" borderId="11" xfId="0" applyFont="1" applyFill="1" applyBorder="1" applyAlignment="1">
      <alignment horizontal="center" vertical="top" wrapText="1"/>
      <protection locked="0"/>
    </xf>
    <xf numFmtId="0" fontId="3" fillId="23" borderId="11" xfId="0" applyFont="1" applyFill="1" applyBorder="1" applyAlignment="1">
      <alignment horizontal="center" vertical="top" wrapText="1"/>
      <protection locked="0"/>
    </xf>
    <xf numFmtId="0" fontId="2" fillId="17" borderId="13" xfId="0" applyFont="1" applyFill="1" applyBorder="1" applyAlignment="1">
      <alignment horizontal="right" vertical="top"/>
      <protection locked="0"/>
    </xf>
    <xf numFmtId="166" fontId="2" fillId="17" borderId="13" xfId="0" applyNumberFormat="1" applyFont="1" applyFill="1" applyBorder="1" applyAlignment="1">
      <alignment vertical="top"/>
      <protection locked="0"/>
    </xf>
    <xf numFmtId="4" fontId="2" fillId="17" borderId="13" xfId="0" applyNumberFormat="1" applyFont="1" applyFill="1" applyBorder="1" applyAlignment="1">
      <alignment vertical="top"/>
      <protection locked="0"/>
    </xf>
    <xf numFmtId="166" fontId="7" fillId="17" borderId="13" xfId="0" applyNumberFormat="1" applyFont="1" applyFill="1" applyBorder="1" applyAlignment="1">
      <alignment vertical="top"/>
      <protection locked="0"/>
    </xf>
    <xf numFmtId="4" fontId="7" fillId="17" borderId="13" xfId="0" applyNumberFormat="1" applyFont="1" applyFill="1" applyBorder="1" applyAlignment="1">
      <alignment vertical="top"/>
      <protection locked="0"/>
    </xf>
    <xf numFmtId="0" fontId="9" fillId="16" borderId="0" xfId="0" applyFont="1" applyFill="1" applyAlignment="1">
      <alignment vertical="top"/>
      <protection locked="0"/>
    </xf>
    <xf numFmtId="0" fontId="2" fillId="9" borderId="0" xfId="0" applyFont="1" applyFill="1" applyAlignment="1">
      <alignment vertical="top"/>
      <protection locked="0"/>
    </xf>
    <xf numFmtId="0" fontId="2" fillId="10" borderId="0" xfId="0" applyFont="1" applyFill="1" applyAlignment="1">
      <alignment vertical="top" wrapText="1"/>
      <protection locked="0"/>
    </xf>
    <xf numFmtId="0" fontId="10" fillId="16" borderId="4" xfId="0" applyFont="1" applyFill="1" applyBorder="1" applyAlignment="1">
      <alignment vertical="top"/>
      <protection locked="0"/>
    </xf>
    <xf numFmtId="0" fontId="0" fillId="16" borderId="2" xfId="0" applyFill="1" applyBorder="1" applyAlignment="1">
      <alignment vertical="top"/>
      <protection locked="0"/>
    </xf>
    <xf numFmtId="0" fontId="0" fillId="16" borderId="7" xfId="0" applyFill="1" applyBorder="1" applyAlignment="1">
      <alignment vertical="top"/>
      <protection locked="0"/>
    </xf>
    <xf numFmtId="0" fontId="0" fillId="16" borderId="5" xfId="0" applyFill="1" applyBorder="1" applyAlignment="1">
      <alignment vertical="top"/>
      <protection locked="0"/>
    </xf>
    <xf numFmtId="0" fontId="0" fillId="16" borderId="0" xfId="0" applyFill="1" applyBorder="1" applyAlignment="1">
      <alignment vertical="top"/>
      <protection locked="0"/>
    </xf>
    <xf numFmtId="0" fontId="0" fillId="16" borderId="8" xfId="0" applyFill="1" applyBorder="1" applyAlignment="1">
      <alignment vertical="top"/>
      <protection locked="0"/>
    </xf>
    <xf numFmtId="0" fontId="4" fillId="16" borderId="6" xfId="0" applyFont="1" applyFill="1" applyBorder="1" applyAlignment="1">
      <alignment vertical="top"/>
      <protection locked="0"/>
    </xf>
    <xf numFmtId="0" fontId="11" fillId="0" borderId="0" xfId="0" applyFont="1" applyAlignment="1">
      <alignment vertical="top"/>
      <protection locked="0"/>
    </xf>
    <xf numFmtId="0" fontId="4" fillId="16" borderId="3" xfId="0" applyFont="1" applyFill="1" applyBorder="1" applyAlignment="1">
      <alignment vertical="top"/>
      <protection locked="0"/>
    </xf>
    <xf numFmtId="0" fontId="4" fillId="16" borderId="9" xfId="0" applyFont="1" applyFill="1" applyBorder="1" applyAlignment="1">
      <alignment vertical="top"/>
      <protection locked="0"/>
    </xf>
    <xf numFmtId="0" fontId="12" fillId="11" borderId="0" xfId="0" applyFont="1" applyFill="1" applyAlignment="1">
      <alignment vertical="center"/>
      <protection locked="0"/>
    </xf>
    <xf numFmtId="0" fontId="13" fillId="11" borderId="0" xfId="0" applyFont="1" applyFill="1" applyAlignment="1">
      <alignment vertical="center"/>
      <protection locked="0"/>
    </xf>
    <xf numFmtId="0" fontId="14" fillId="0" borderId="0" xfId="0" applyFont="1" applyAlignment="1">
      <alignment vertical="center"/>
      <protection locked="0"/>
    </xf>
    <xf numFmtId="0" fontId="15" fillId="12" borderId="0" xfId="0" applyFont="1" applyFill="1" applyAlignment="1">
      <alignment vertical="center"/>
      <protection locked="0"/>
    </xf>
    <xf numFmtId="0" fontId="16" fillId="12" borderId="0" xfId="0" applyFont="1" applyFill="1" applyAlignment="1">
      <alignment vertical="center"/>
      <protection locked="0"/>
    </xf>
    <xf numFmtId="0" fontId="17" fillId="17" borderId="16" xfId="0" applyFont="1" applyFill="1" applyBorder="1" applyAlignment="1">
      <alignment horizontal="center" vertical="center"/>
      <protection locked="0"/>
    </xf>
    <xf numFmtId="0" fontId="17" fillId="17" borderId="14" xfId="0" applyFont="1" applyFill="1" applyBorder="1" applyAlignment="1">
      <alignment horizontal="center" vertical="center"/>
      <protection locked="0"/>
    </xf>
    <xf numFmtId="0" fontId="17" fillId="17" borderId="18" xfId="0" applyFont="1" applyFill="1" applyBorder="1" applyAlignment="1">
      <alignment horizontal="center" vertical="center"/>
      <protection locked="0"/>
    </xf>
    <xf numFmtId="0" fontId="18" fillId="5" borderId="0" xfId="0" applyFont="1" applyFill="1" applyAlignment="1">
      <alignment vertical="center"/>
      <protection locked="0"/>
    </xf>
    <xf numFmtId="0" fontId="13" fillId="5" borderId="0" xfId="0" applyFont="1" applyFill="1" applyAlignment="1">
      <alignment vertical="center"/>
      <protection locked="0"/>
    </xf>
    <xf numFmtId="166" fontId="19" fillId="24" borderId="17" xfId="0" applyNumberFormat="1" applyFont="1" applyFill="1" applyBorder="1" applyAlignment="1">
      <alignment horizontal="center" vertical="center"/>
      <protection locked="0"/>
    </xf>
    <xf numFmtId="166" fontId="19" fillId="24" borderId="15" xfId="0" applyNumberFormat="1" applyFont="1" applyFill="1" applyBorder="1" applyAlignment="1">
      <alignment horizontal="center" vertical="center"/>
      <protection locked="0"/>
    </xf>
    <xf numFmtId="167" fontId="19" fillId="24" borderId="15" xfId="0" applyNumberFormat="1" applyFont="1" applyFill="1" applyBorder="1" applyAlignment="1">
      <alignment horizontal="center" vertical="center"/>
      <protection locked="0"/>
    </xf>
    <xf numFmtId="167" fontId="19" fillId="24" borderId="19" xfId="0" applyNumberFormat="1" applyFont="1" applyFill="1" applyBorder="1" applyAlignment="1">
      <alignment horizontal="center" vertical="center"/>
      <protection locked="0"/>
    </xf>
    <xf numFmtId="0" fontId="16" fillId="25" borderId="0" xfId="0" applyFont="1" applyFill="1" applyAlignment="1">
      <alignment vertical="center"/>
      <protection locked="0"/>
    </xf>
    <xf numFmtId="1" fontId="19" fillId="24" borderId="17" xfId="0" applyNumberFormat="1" applyFont="1" applyFill="1" applyBorder="1" applyAlignment="1">
      <alignment horizontal="center" vertical="center"/>
      <protection locked="0"/>
    </xf>
    <xf numFmtId="1" fontId="19" fillId="24" borderId="15" xfId="0" applyNumberFormat="1" applyFont="1" applyFill="1" applyBorder="1" applyAlignment="1">
      <alignment horizontal="center" vertical="center"/>
      <protection locked="0"/>
    </xf>
    <xf numFmtId="0" fontId="19" fillId="24" borderId="19" xfId="0" applyFont="1" applyFill="1" applyBorder="1" applyAlignment="1">
      <alignment horizontal="center" vertical="center"/>
      <protection locked="0"/>
    </xf>
    <xf numFmtId="0" fontId="14" fillId="0" borderId="20" xfId="0" applyFont="1" applyBorder="1" applyAlignment="1">
      <alignment vertical="center"/>
      <protection locked="0"/>
    </xf>
    <xf numFmtId="166" fontId="14" fillId="0" borderId="0" xfId="0" applyNumberFormat="1" applyFont="1" applyBorder="1" applyAlignment="1">
      <alignment vertical="center"/>
      <protection locked="0"/>
    </xf>
    <xf numFmtId="167" fontId="14" fillId="0" borderId="21" xfId="0" applyNumberFormat="1" applyFont="1" applyBorder="1" applyAlignment="1">
      <alignment vertical="center"/>
      <protection locked="0"/>
    </xf>
    <xf numFmtId="166" fontId="14" fillId="0" borderId="21" xfId="0" applyNumberFormat="1" applyFont="1" applyBorder="1" applyAlignment="1">
      <alignment vertical="center"/>
      <protection locked="0"/>
    </xf>
    <xf numFmtId="0" fontId="14" fillId="0" borderId="17" xfId="0" applyFont="1" applyBorder="1" applyAlignment="1">
      <alignment vertical="center"/>
      <protection locked="0"/>
    </xf>
    <xf numFmtId="166" fontId="14" fillId="0" borderId="15" xfId="0" applyNumberFormat="1" applyFont="1" applyBorder="1" applyAlignment="1">
      <alignment vertical="center"/>
      <protection locked="0"/>
    </xf>
    <xf numFmtId="167" fontId="14" fillId="0" borderId="19" xfId="0" applyNumberFormat="1" applyFont="1" applyBorder="1" applyAlignment="1">
      <alignment vertical="center"/>
      <protection locked="0"/>
    </xf>
    <xf numFmtId="166" fontId="14" fillId="0" borderId="19" xfId="0" applyNumberFormat="1" applyFont="1" applyBorder="1" applyAlignment="1">
      <alignment vertical="center"/>
      <protection locked="0"/>
    </xf>
    <xf numFmtId="166" fontId="14" fillId="0" borderId="0" xfId="0" applyNumberFormat="1" applyFont="1" applyAlignment="1">
      <alignment vertical="center"/>
      <protection locked="0"/>
    </xf>
    <xf numFmtId="167" fontId="14" fillId="0" borderId="0" xfId="0" applyNumberFormat="1" applyFont="1" applyAlignment="1">
      <alignment vertical="center"/>
      <protection locked="0"/>
    </xf>
    <xf numFmtId="0" fontId="14" fillId="0" borderId="19" xfId="0" applyFont="1" applyBorder="1" applyAlignment="1">
      <alignment vertical="center"/>
      <protection locked="0"/>
    </xf>
    <xf numFmtId="0" fontId="14" fillId="0" borderId="0" xfId="0" applyFont="1" applyAlignment="1">
      <alignment horizontal="center" vertical="center"/>
      <protection locked="0"/>
    </xf>
    <xf numFmtId="0" fontId="17" fillId="17" borderId="16" xfId="0" applyFont="1" applyFill="1" applyBorder="1" applyAlignment="1">
      <alignment horizontal="left" vertical="center"/>
      <protection locked="0"/>
    </xf>
    <xf numFmtId="0" fontId="17" fillId="17" borderId="14" xfId="0" applyFont="1" applyFill="1" applyBorder="1" applyAlignment="1">
      <alignment horizontal="left" vertical="center"/>
      <protection locked="0"/>
    </xf>
    <xf numFmtId="0" fontId="17" fillId="17" borderId="18" xfId="0" applyFont="1" applyFill="1" applyBorder="1" applyAlignment="1">
      <alignment horizontal="left" vertical="center"/>
      <protection locked="0"/>
    </xf>
    <xf numFmtId="0" fontId="14" fillId="0" borderId="0" xfId="0" applyFont="1" applyAlignment="1">
      <alignment horizontal="left" vertical="center"/>
      <protection locked="0"/>
    </xf>
    <xf numFmtId="0" fontId="14" fillId="26" borderId="20" xfId="0" applyFont="1" applyFill="1" applyBorder="1" applyAlignment="1">
      <alignment horizontal="left" vertical="center"/>
      <protection locked="0"/>
    </xf>
    <xf numFmtId="166" fontId="14" fillId="26" borderId="0" xfId="0" applyNumberFormat="1" applyFont="1" applyFill="1" applyBorder="1" applyAlignment="1">
      <alignment horizontal="left" vertical="center"/>
      <protection locked="0"/>
    </xf>
    <xf numFmtId="167" fontId="14" fillId="26" borderId="21" xfId="0" applyNumberFormat="1" applyFont="1" applyFill="1" applyBorder="1" applyAlignment="1">
      <alignment horizontal="left" vertical="center"/>
      <protection locked="0"/>
    </xf>
    <xf numFmtId="0" fontId="14" fillId="26" borderId="17" xfId="0" applyFont="1" applyFill="1" applyBorder="1" applyAlignment="1">
      <alignment horizontal="left" vertical="center"/>
      <protection locked="0"/>
    </xf>
    <xf numFmtId="166" fontId="14" fillId="26" borderId="15" xfId="0" applyNumberFormat="1" applyFont="1" applyFill="1" applyBorder="1" applyAlignment="1">
      <alignment horizontal="left" vertical="center"/>
      <protection locked="0"/>
    </xf>
    <xf numFmtId="167" fontId="14" fillId="26" borderId="19" xfId="0" applyNumberFormat="1" applyFont="1" applyFill="1" applyBorder="1" applyAlignment="1">
      <alignment horizontal="left" vertical="center"/>
      <protection locked="0"/>
    </xf>
    <xf numFmtId="0" fontId="14" fillId="26" borderId="0" xfId="0" applyFont="1" applyFill="1" applyBorder="1" applyAlignment="1">
      <alignment horizontal="left" vertical="center"/>
      <protection locked="0"/>
    </xf>
    <xf numFmtId="166" fontId="14" fillId="26" borderId="21" xfId="0" applyNumberFormat="1" applyFont="1" applyFill="1" applyBorder="1" applyAlignment="1">
      <alignment horizontal="left" vertical="center"/>
      <protection locked="0"/>
    </xf>
    <xf numFmtId="0" fontId="14" fillId="26" borderId="15" xfId="0" applyFont="1" applyFill="1" applyBorder="1" applyAlignment="1">
      <alignment horizontal="left" vertical="center"/>
      <protection locked="0"/>
    </xf>
    <xf numFmtId="166" fontId="14" fillId="26" borderId="19" xfId="0" applyNumberFormat="1" applyFont="1" applyFill="1" applyBorder="1" applyAlignment="1">
      <alignment horizontal="left" vertical="center"/>
      <protection locked="0"/>
    </xf>
    <xf numFmtId="168" fontId="0" fillId="0" borderId="0" xfId="0" applyNumberFormat="1" applyAlignment="1">
      <alignment vertical="top" wrapText="1"/>
      <protection locked="0"/>
    </xf>
    <xf numFmtId="0" fontId="0" fillId="0" borderId="0" xfId="0" applyNumberFormat="1" applyAlignment="1">
      <alignment horizontal="left" vertical="top"/>
      <protection locked="0"/>
    </xf>
    <xf numFmtId="174" fontId="0" fillId="2" borderId="0" xfId="0" applyNumberFormat="1" applyFill="1" applyAlignment="1">
      <alignment horizontal="left" vertical="top" wrapText="1"/>
      <protection locked="0"/>
    </xf>
    <xf numFmtId="174" fontId="0" fillId="0" borderId="0" xfId="0" applyNumberFormat="1" applyAlignment="1">
      <alignment horizontal="right" vertical="top"/>
      <protection locked="0"/>
    </xf>
    <xf numFmtId="0" fontId="20" fillId="0" borderId="0" xfId="0" applyFont="1" applyAlignment="1">
      <alignment vertical="top"/>
      <protection locked="0"/>
    </xf>
    <xf numFmtId="0" fontId="2" fillId="13" borderId="0" xfId="0" applyFont="1" applyFill="1" applyAlignment="1">
      <alignment vertical="top"/>
      <protection locked="0"/>
    </xf>
    <xf numFmtId="0" fontId="2" fillId="16" borderId="0" xfId="0" applyFont="1" applyFill="1" applyAlignment="1">
      <alignment vertical="top"/>
      <protection locked="0"/>
    </xf>
    <xf numFmtId="175" fontId="0" fillId="2" borderId="0" xfId="0" applyNumberFormat="1" applyFill="1" applyAlignment="1">
      <alignment horizontal="left" vertical="top"/>
      <protection locked="0"/>
    </xf>
    <xf numFmtId="175" fontId="0" fillId="16" borderId="10" xfId="0" applyNumberFormat="1" applyFill="1" applyBorder="1" applyAlignment="1">
      <alignment vertical="top" wrapText="1"/>
      <protection locked="0"/>
    </xf>
    <xf numFmtId="175" fontId="0" fillId="0" borderId="0" xfId="0" applyNumberFormat="1" applyAlignment="1">
      <alignment vertical="top" wrapText="1"/>
      <protection locked="0"/>
    </xf>
    <xf numFmtId="175" fontId="0" fillId="0" borderId="0" xfId="0" applyNumberFormat="1" applyAlignment="1">
      <alignment vertical="top"/>
      <protection locked="0"/>
    </xf>
    <xf numFmtId="175" fontId="19" fillId="24" borderId="19" xfId="0" applyNumberFormat="1" applyFont="1" applyFill="1" applyBorder="1" applyAlignment="1">
      <alignment horizontal="center" vertical="center"/>
      <protection locked="0"/>
    </xf>
    <xf numFmtId="175" fontId="19" fillId="24" borderId="17" xfId="0" applyNumberFormat="1" applyFont="1" applyFill="1" applyBorder="1" applyAlignment="1">
      <alignment horizontal="center" vertical="center"/>
      <protection locked="0"/>
    </xf>
    <xf numFmtId="175" fontId="19" fillId="24" borderId="15" xfId="0" applyNumberFormat="1" applyFont="1" applyFill="1" applyBorder="1" applyAlignment="1">
      <alignment horizontal="center" vertical="center"/>
      <protection locked="0"/>
    </xf>
    <xf numFmtId="0" fontId="2" fillId="27" borderId="13" xfId="0" applyFont="1" applyFill="1" applyBorder="1" applyAlignment="1">
      <alignment horizontal="right" vertical="top"/>
      <protection locked="0"/>
    </xf>
    <xf numFmtId="166" fontId="2" fillId="27" borderId="13" xfId="0" applyNumberFormat="1" applyFont="1" applyFill="1" applyBorder="1" applyAlignment="1">
      <alignment vertical="top"/>
      <protection locked="0"/>
    </xf>
    <xf numFmtId="4" fontId="2" fillId="27" borderId="13" xfId="0" applyNumberFormat="1" applyFont="1" applyFill="1" applyBorder="1" applyAlignment="1">
      <alignment vertical="top"/>
      <protection locked="0"/>
    </xf>
    <xf numFmtId="166" fontId="7" fillId="27" borderId="13" xfId="0" applyNumberFormat="1" applyFont="1" applyFill="1" applyBorder="1" applyAlignment="1">
      <alignment vertical="top"/>
      <protection locked="0"/>
    </xf>
    <xf numFmtId="4" fontId="7" fillId="27" borderId="13" xfId="0" applyNumberFormat="1" applyFont="1" applyFill="1" applyBorder="1" applyAlignment="1">
      <alignment vertical="top"/>
      <protection locked="0"/>
    </xf>
    <xf numFmtId="0" fontId="0" fillId="27" borderId="0" xfId="0" applyFill="1" applyAlignment="1">
      <alignment vertical="top"/>
      <protection locked="0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Sub-Departments by 2026 YTD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775354505557266E-2"/>
          <c:y val="0.14995726495726497"/>
          <c:w val="0.89194041159362847"/>
          <c:h val="0.644942795612087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'Target Setting Insights'!$B$28</c:f>
              <c:strCache>
                <c:ptCount val="1"/>
                <c:pt idx="0">
                  <c:v>2026 YTD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'Target Setting Insights'!$A$29:$A$34</c:f>
              <c:strCache>
                <c:ptCount val="6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</c:strCache>
            </c:strRef>
          </c:cat>
          <c:val>
            <c:numRef>
              <c:f>'Target Setting Insights'!$B$29:$B$34</c:f>
              <c:numCache>
                <c:formatCode>\R\ #\ ##0.00</c:formatCode>
                <c:ptCount val="6"/>
                <c:pt idx="0">
                  <c:v>663321.66086956498</c:v>
                </c:pt>
                <c:pt idx="1">
                  <c:v>516900.26086956501</c:v>
                </c:pt>
                <c:pt idx="2">
                  <c:v>366502.42608695698</c:v>
                </c:pt>
                <c:pt idx="3">
                  <c:v>194471.67826086999</c:v>
                </c:pt>
                <c:pt idx="4">
                  <c:v>131686.05217391299</c:v>
                </c:pt>
                <c:pt idx="5">
                  <c:v>74272.243478260905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C-4A19-B74F-D4B17D2A81E2}"/>
            </c:ext>
          </c:extLst>
        </c:ser>
        <c:ser>
          <c:idx val="1"/>
          <c:order val="1"/>
          <c:tx>
            <c:strRef>
              <c:f>'Target Setting Insights'!$C$28</c:f>
              <c:strCache>
                <c:ptCount val="1"/>
                <c:pt idx="0">
                  <c:v>2025 YTD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'Target Setting Insights'!$A$29:$A$34</c:f>
              <c:strCache>
                <c:ptCount val="6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</c:strCache>
            </c:strRef>
          </c:cat>
          <c:val>
            <c:numRef>
              <c:f>'Target Setting Insights'!$C$29:$C$34</c:f>
              <c:numCache>
                <c:formatCode>\R\ #\ ##0.00</c:formatCode>
                <c:ptCount val="6"/>
                <c:pt idx="0">
                  <c:v>542772.39130434801</c:v>
                </c:pt>
                <c:pt idx="1">
                  <c:v>109867.313043478</c:v>
                </c:pt>
                <c:pt idx="2">
                  <c:v>255127.60869565199</c:v>
                </c:pt>
                <c:pt idx="3">
                  <c:v>134093.26956521699</c:v>
                </c:pt>
                <c:pt idx="4">
                  <c:v>104330.81739130399</c:v>
                </c:pt>
                <c:pt idx="5">
                  <c:v>94731.3652173913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C-4A19-B74F-D4B17D2A8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706399"/>
        <c:axId val="1155583247"/>
      </c:barChart>
      <c:catAx>
        <c:axId val="130970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83247"/>
        <c:crosses val="autoZero"/>
        <c:auto val="1"/>
        <c:lblAlgn val="ctr"/>
        <c:lblOffset val="100"/>
        <c:noMultiLvlLbl val="0"/>
      </c:catAx>
      <c:valAx>
        <c:axId val="11555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0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Sub-Department YoY Sales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'Target Setting Insights'!$F$28</c:f>
              <c:strCache>
                <c:ptCount val="1"/>
                <c:pt idx="0">
                  <c:v>Sales 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'Target Setting Insights'!$E$29:$E$39</c:f>
              <c:strCache>
                <c:ptCount val="11"/>
                <c:pt idx="0">
                  <c:v>BUTCHERY</c:v>
                </c:pt>
                <c:pt idx="1">
                  <c:v>BEEF</c:v>
                </c:pt>
                <c:pt idx="2">
                  <c:v>LAMB</c:v>
                </c:pt>
                <c:pt idx="3">
                  <c:v>MUTTON</c:v>
                </c:pt>
                <c:pt idx="4">
                  <c:v>PET MINCE/DROEWORS</c:v>
                </c:pt>
                <c:pt idx="5">
                  <c:v>PORK</c:v>
                </c:pt>
                <c:pt idx="6">
                  <c:v>BILT&amp;DROEWORS OWN</c:v>
                </c:pt>
                <c:pt idx="7">
                  <c:v>BUTCHERY SNOEK</c:v>
                </c:pt>
                <c:pt idx="8">
                  <c:v>BUTCH  WORS/MINCE/PAT</c:v>
                </c:pt>
                <c:pt idx="9">
                  <c:v>BUTCHERY SPICE</c:v>
                </c:pt>
                <c:pt idx="10">
                  <c:v>BILT&amp; DROEWORS BUY IN</c:v>
                </c:pt>
              </c:strCache>
            </c:strRef>
          </c:cat>
          <c:val>
            <c:numRef>
              <c:f>'Target Setting Insights'!$F$29:$F$39</c:f>
              <c:numCache>
                <c:formatCode>0.0%</c:formatCode>
                <c:ptCount val="11"/>
                <c:pt idx="0">
                  <c:v>-0.7500921742654405</c:v>
                </c:pt>
                <c:pt idx="1">
                  <c:v>0.43654553092357307</c:v>
                </c:pt>
                <c:pt idx="2">
                  <c:v>0.4502717316940924</c:v>
                </c:pt>
                <c:pt idx="3">
                  <c:v>-0.21596988169842607</c:v>
                </c:pt>
                <c:pt idx="4">
                  <c:v>0.29861826526846574</c:v>
                </c:pt>
                <c:pt idx="5">
                  <c:v>3.70476838425102</c:v>
                </c:pt>
                <c:pt idx="6">
                  <c:v>-0.97624434389140269</c:v>
                </c:pt>
                <c:pt idx="7">
                  <c:v>0.15210734769158771</c:v>
                </c:pt>
                <c:pt idx="8">
                  <c:v>0.22209911833489249</c:v>
                </c:pt>
                <c:pt idx="9">
                  <c:v>0.41276255032038989</c:v>
                </c:pt>
                <c:pt idx="10">
                  <c:v>0.26219707145598442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B-4CED-9933-E5C97F586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711967"/>
        <c:axId val="1155602927"/>
      </c:barChart>
      <c:catAx>
        <c:axId val="130971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602927"/>
        <c:crosses val="autoZero"/>
        <c:auto val="1"/>
        <c:lblAlgn val="ctr"/>
        <c:lblOffset val="100"/>
        <c:noMultiLvlLbl val="0"/>
      </c:catAx>
      <c:valAx>
        <c:axId val="115560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1196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Mix of Leading Sub-Departments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'Target Setting Insights'!$I$28</c:f>
              <c:strCache>
                <c:ptCount val="1"/>
                <c:pt idx="0">
                  <c:v>2026 YTD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'Target Setting Insights'!$H$29:$H$34</c:f>
              <c:strCache>
                <c:ptCount val="6"/>
                <c:pt idx="0">
                  <c:v>BUTCH  WORS/MINCE/PAT</c:v>
                </c:pt>
                <c:pt idx="1">
                  <c:v>PORK</c:v>
                </c:pt>
                <c:pt idx="2">
                  <c:v>BEEF</c:v>
                </c:pt>
                <c:pt idx="3">
                  <c:v>LAMB</c:v>
                </c:pt>
                <c:pt idx="4">
                  <c:v>BILT&amp; DROEWORS BUY IN</c:v>
                </c:pt>
                <c:pt idx="5">
                  <c:v>MUTTON</c:v>
                </c:pt>
              </c:strCache>
            </c:strRef>
          </c:cat>
          <c:val>
            <c:numRef>
              <c:f>'Target Setting Insights'!$I$29:$I$34</c:f>
              <c:numCache>
                <c:formatCode>\R\ #\ ##0.00</c:formatCode>
                <c:ptCount val="6"/>
                <c:pt idx="0">
                  <c:v>663321.66086956498</c:v>
                </c:pt>
                <c:pt idx="1">
                  <c:v>516900.26086956501</c:v>
                </c:pt>
                <c:pt idx="2">
                  <c:v>366502.42608695698</c:v>
                </c:pt>
                <c:pt idx="3">
                  <c:v>194471.67826086999</c:v>
                </c:pt>
                <c:pt idx="4">
                  <c:v>131686.05217391299</c:v>
                </c:pt>
                <c:pt idx="5">
                  <c:v>74272.243478260905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1-4003-B4BE-E2F7E599F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2026 YTD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'Target Setting Insights'!$L$28</c:f>
              <c:strCache>
                <c:ptCount val="1"/>
                <c:pt idx="0">
                  <c:v>2026 YTD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'Target Setting Insights'!$K$29:$K$38</c:f>
              <c:strCache>
                <c:ptCount val="10"/>
                <c:pt idx="0">
                  <c:v> PORK SHOULDER BRAAI CHOPS</c:v>
                </c:pt>
                <c:pt idx="1">
                  <c:v>PORK RIB/LOIN CHOPS</c:v>
                </c:pt>
                <c:pt idx="2">
                  <c:v>BULK LEAN BEEF MINCE</c:v>
                </c:pt>
                <c:pt idx="3">
                  <c:v>BULK BEEF SIRLOIN</c:v>
                </c:pt>
                <c:pt idx="4">
                  <c:v>BEEF LEAN MINCE</c:v>
                </c:pt>
                <c:pt idx="5">
                  <c:v>STEAK PACK</c:v>
                </c:pt>
                <c:pt idx="6">
                  <c:v>BULK PORK NECK STEAK</c:v>
                </c:pt>
                <c:pt idx="7">
                  <c:v> BEEF SIRLOIN</c:v>
                </c:pt>
                <c:pt idx="8">
                  <c:v>GRABOUW BOEREWORS</c:v>
                </c:pt>
                <c:pt idx="9">
                  <c:v>BULK GRABOUW BOEREWORS</c:v>
                </c:pt>
              </c:strCache>
            </c:strRef>
          </c:cat>
          <c:val>
            <c:numRef>
              <c:f>'Target Setting Insights'!$L$29:$L$38</c:f>
              <c:numCache>
                <c:formatCode>\R\ #\ ##0.00</c:formatCode>
                <c:ptCount val="10"/>
                <c:pt idx="0">
                  <c:v>131575</c:v>
                </c:pt>
                <c:pt idx="1">
                  <c:v>102842.52173913</c:v>
                </c:pt>
                <c:pt idx="2">
                  <c:v>93679.626086956501</c:v>
                </c:pt>
                <c:pt idx="3">
                  <c:v>69638.582608695593</c:v>
                </c:pt>
                <c:pt idx="4">
                  <c:v>59159.373913043499</c:v>
                </c:pt>
                <c:pt idx="5">
                  <c:v>59131.834782608697</c:v>
                </c:pt>
                <c:pt idx="6">
                  <c:v>56354.104347826098</c:v>
                </c:pt>
                <c:pt idx="7">
                  <c:v>49283.269565217401</c:v>
                </c:pt>
                <c:pt idx="8">
                  <c:v>41047.826086956498</c:v>
                </c:pt>
                <c:pt idx="9">
                  <c:v>38837.130434782601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B-498F-B36A-4F15AE49B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9736559"/>
        <c:axId val="1155567407"/>
      </c:barChart>
      <c:catAx>
        <c:axId val="130973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567407"/>
        <c:crosses val="autoZero"/>
        <c:auto val="1"/>
        <c:lblAlgn val="ctr"/>
        <c:lblOffset val="100"/>
        <c:noMultiLvlLbl val="0"/>
      </c:catAx>
      <c:valAx>
        <c:axId val="115556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3655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2" name="TopSubDepartments">
          <a:extLst>
            <a:ext uri="{FF2B5EF4-FFF2-40B4-BE49-F238E27FC236}">
              <a16:creationId xmlns:a16="http://schemas.microsoft.com/office/drawing/2014/main" id="{C245C3A4-9BF5-B6F6-6B4B-BD5EDDC0A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58</xdr:row>
      <xdr:rowOff>0</xdr:rowOff>
    </xdr:to>
    <xdr:graphicFrame macro="">
      <xdr:nvGraphicFramePr>
        <xdr:cNvPr id="3" name="SubDeptGrowth">
          <a:extLst>
            <a:ext uri="{FF2B5EF4-FFF2-40B4-BE49-F238E27FC236}">
              <a16:creationId xmlns:a16="http://schemas.microsoft.com/office/drawing/2014/main" id="{A036D8A9-2C18-DB6B-FD37-5520773C4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4" name="SalesMix">
          <a:extLst>
            <a:ext uri="{FF2B5EF4-FFF2-40B4-BE49-F238E27FC236}">
              <a16:creationId xmlns:a16="http://schemas.microsoft.com/office/drawing/2014/main" id="{8829885D-38B5-9F90-CB58-049D24D7E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8</xdr:col>
      <xdr:colOff>0</xdr:colOff>
      <xdr:row>80</xdr:row>
      <xdr:rowOff>0</xdr:rowOff>
    </xdr:to>
    <xdr:graphicFrame macro="">
      <xdr:nvGraphicFramePr>
        <xdr:cNvPr id="5" name="TopProducts">
          <a:extLst>
            <a:ext uri="{FF2B5EF4-FFF2-40B4-BE49-F238E27FC236}">
              <a16:creationId xmlns:a16="http://schemas.microsoft.com/office/drawing/2014/main" id="{447F1678-F8D4-F525-1980-B1ACB7884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2CA3-DAA5-4D5D-9E2C-8A872F18F4E1}">
  <dimension ref="A1:ET553"/>
  <sheetViews>
    <sheetView topLeftCell="A66" workbookViewId="0">
      <pane xSplit="4" topLeftCell="DH1" activePane="topRight" state="frozenSplit"/>
      <selection pane="topRight" activeCell="EZ8" sqref="EZ8"/>
    </sheetView>
  </sheetViews>
  <sheetFormatPr defaultColWidth="10.69921875" defaultRowHeight="16.5" customHeight="1" x14ac:dyDescent="0.35"/>
  <cols>
    <col min="1" max="1" width="6.796875" style="1" customWidth="1"/>
    <col min="2" max="2" width="27.296875" style="1" bestFit="1" customWidth="1"/>
    <col min="3" max="3" width="9.796875" style="1" customWidth="1"/>
    <col min="4" max="4" width="28.19921875" style="1" customWidth="1"/>
    <col min="5" max="148" width="12.69921875" style="1" customWidth="1"/>
    <col min="149" max="150" width="12.69921875" style="117" customWidth="1"/>
    <col min="151" max="16384" width="10.69921875" style="1"/>
  </cols>
  <sheetData>
    <row r="1" spans="1:150" ht="16.5" customHeight="1" x14ac:dyDescent="0.35">
      <c r="A1" s="2" t="s">
        <v>557</v>
      </c>
      <c r="B1" s="2"/>
      <c r="C1" s="2"/>
      <c r="D1" s="2"/>
      <c r="E1" s="2" t="s">
        <v>0</v>
      </c>
      <c r="F1" s="2" t="s">
        <v>1</v>
      </c>
      <c r="G1" s="2" t="s">
        <v>2</v>
      </c>
      <c r="H1" s="2" t="s">
        <v>1</v>
      </c>
      <c r="I1" s="123">
        <v>45656</v>
      </c>
      <c r="J1" s="123" t="s">
        <v>1</v>
      </c>
      <c r="K1" s="123">
        <v>45809</v>
      </c>
      <c r="L1" s="123" t="s">
        <v>1</v>
      </c>
      <c r="M1" s="123">
        <v>45670</v>
      </c>
      <c r="N1" s="123" t="s">
        <v>1</v>
      </c>
      <c r="O1" s="123">
        <v>45677</v>
      </c>
      <c r="P1" s="123" t="s">
        <v>1</v>
      </c>
      <c r="Q1" s="123">
        <v>45684</v>
      </c>
      <c r="R1" s="123" t="s">
        <v>1</v>
      </c>
      <c r="S1" s="123">
        <v>45718</v>
      </c>
      <c r="T1" s="123" t="s">
        <v>1</v>
      </c>
      <c r="U1" s="123">
        <v>45932</v>
      </c>
      <c r="V1" s="123" t="s">
        <v>1</v>
      </c>
      <c r="W1" s="123">
        <v>45705</v>
      </c>
      <c r="X1" s="123" t="s">
        <v>1</v>
      </c>
      <c r="Y1" s="123">
        <v>45712</v>
      </c>
      <c r="Z1" s="123" t="s">
        <v>1</v>
      </c>
      <c r="AA1" s="123">
        <v>45719</v>
      </c>
      <c r="AB1" s="123" t="s">
        <v>1</v>
      </c>
      <c r="AC1" s="123">
        <v>45933</v>
      </c>
      <c r="AD1" s="123" t="s">
        <v>1</v>
      </c>
      <c r="AE1" s="123">
        <v>45733</v>
      </c>
      <c r="AF1" s="123" t="s">
        <v>1</v>
      </c>
      <c r="AG1" s="123">
        <v>45740</v>
      </c>
      <c r="AH1" s="123" t="s">
        <v>1</v>
      </c>
      <c r="AI1" s="123">
        <v>45747</v>
      </c>
      <c r="AJ1" s="123" t="s">
        <v>1</v>
      </c>
      <c r="AK1" s="123">
        <v>45842</v>
      </c>
      <c r="AL1" s="123" t="s">
        <v>1</v>
      </c>
      <c r="AM1" s="123">
        <v>45761</v>
      </c>
      <c r="AN1" s="123" t="s">
        <v>1</v>
      </c>
      <c r="AO1" s="123">
        <v>45768</v>
      </c>
      <c r="AP1" s="123" t="s">
        <v>1</v>
      </c>
      <c r="AQ1" s="123">
        <v>45775</v>
      </c>
      <c r="AR1" s="123" t="s">
        <v>1</v>
      </c>
      <c r="AS1" s="123">
        <v>45782</v>
      </c>
      <c r="AT1" s="123" t="s">
        <v>1</v>
      </c>
      <c r="AU1" s="123">
        <v>45996</v>
      </c>
      <c r="AV1" s="123" t="s">
        <v>1</v>
      </c>
      <c r="AW1" s="123">
        <v>45796</v>
      </c>
      <c r="AX1" s="123" t="s">
        <v>1</v>
      </c>
      <c r="AY1" s="123">
        <v>45803</v>
      </c>
      <c r="AZ1" s="123" t="s">
        <v>1</v>
      </c>
      <c r="BA1" s="123">
        <v>45694</v>
      </c>
      <c r="BB1" s="123" t="s">
        <v>1</v>
      </c>
      <c r="BC1" s="123">
        <v>45906</v>
      </c>
      <c r="BD1" s="123" t="s">
        <v>1</v>
      </c>
      <c r="BE1" s="123">
        <v>45824</v>
      </c>
      <c r="BF1" s="123" t="s">
        <v>1</v>
      </c>
      <c r="BG1" s="123">
        <v>45831</v>
      </c>
      <c r="BH1" s="123" t="s">
        <v>1</v>
      </c>
      <c r="BI1" s="123">
        <v>45838</v>
      </c>
      <c r="BJ1" s="123" t="s">
        <v>1</v>
      </c>
      <c r="BK1" s="123">
        <v>45845</v>
      </c>
      <c r="BL1" s="123" t="s">
        <v>1</v>
      </c>
      <c r="BM1" s="123">
        <v>45852</v>
      </c>
      <c r="BN1" s="123" t="s">
        <v>1</v>
      </c>
      <c r="BO1" s="123">
        <v>45859</v>
      </c>
      <c r="BP1" s="123" t="s">
        <v>1</v>
      </c>
      <c r="BQ1" s="123">
        <v>45866</v>
      </c>
      <c r="BR1" s="123" t="s">
        <v>1</v>
      </c>
      <c r="BS1" s="123">
        <v>45755</v>
      </c>
      <c r="BT1" s="123" t="s">
        <v>1</v>
      </c>
      <c r="BU1" s="123">
        <v>45969</v>
      </c>
      <c r="BV1" s="123" t="s">
        <v>1</v>
      </c>
      <c r="BW1" s="123">
        <v>45887</v>
      </c>
      <c r="BX1" s="123" t="s">
        <v>1</v>
      </c>
      <c r="BY1" s="123">
        <v>45894</v>
      </c>
      <c r="BZ1" s="123" t="s">
        <v>1</v>
      </c>
      <c r="CA1" s="123">
        <v>45666</v>
      </c>
      <c r="CB1" s="123" t="s">
        <v>1</v>
      </c>
      <c r="CC1" s="123">
        <v>45878</v>
      </c>
      <c r="CD1" s="123" t="s">
        <v>1</v>
      </c>
      <c r="CE1" s="123">
        <v>45915</v>
      </c>
      <c r="CF1" s="123" t="s">
        <v>1</v>
      </c>
      <c r="CG1" s="123">
        <v>45922</v>
      </c>
      <c r="CH1" s="123" t="s">
        <v>1</v>
      </c>
      <c r="CI1" s="123">
        <v>45929</v>
      </c>
      <c r="CJ1" s="123" t="s">
        <v>1</v>
      </c>
      <c r="CK1" s="123">
        <v>45818</v>
      </c>
      <c r="CL1" s="123" t="s">
        <v>1</v>
      </c>
      <c r="CM1" s="123">
        <v>45943</v>
      </c>
      <c r="CN1" s="123" t="s">
        <v>1</v>
      </c>
      <c r="CO1" s="123">
        <v>45950</v>
      </c>
      <c r="CP1" s="123" t="s">
        <v>1</v>
      </c>
      <c r="CQ1" s="123">
        <v>45957</v>
      </c>
      <c r="CR1" s="123" t="s">
        <v>1</v>
      </c>
      <c r="CS1" s="123">
        <v>45727</v>
      </c>
      <c r="CT1" s="123" t="s">
        <v>1</v>
      </c>
      <c r="CU1" s="123">
        <v>45941</v>
      </c>
      <c r="CV1" s="123" t="s">
        <v>1</v>
      </c>
      <c r="CW1" s="123">
        <v>45978</v>
      </c>
      <c r="CX1" s="123" t="s">
        <v>1</v>
      </c>
      <c r="CY1" s="123">
        <v>45985</v>
      </c>
      <c r="CZ1" s="123" t="s">
        <v>1</v>
      </c>
      <c r="DA1" s="123">
        <v>45669</v>
      </c>
      <c r="DB1" s="123" t="s">
        <v>1</v>
      </c>
      <c r="DC1" s="123">
        <v>45881</v>
      </c>
      <c r="DD1" s="123" t="s">
        <v>1</v>
      </c>
      <c r="DE1" s="123">
        <v>46006</v>
      </c>
      <c r="DF1" s="123" t="s">
        <v>1</v>
      </c>
      <c r="DG1" s="123">
        <v>46013</v>
      </c>
      <c r="DH1" s="123" t="s">
        <v>1</v>
      </c>
      <c r="DI1" s="123">
        <v>46020</v>
      </c>
      <c r="DJ1" s="123" t="s">
        <v>1</v>
      </c>
      <c r="DK1" s="123">
        <v>46027</v>
      </c>
      <c r="DL1" s="123" t="s">
        <v>1</v>
      </c>
      <c r="DM1" s="123">
        <v>46034</v>
      </c>
      <c r="DN1" s="123" t="s">
        <v>1</v>
      </c>
      <c r="DO1" s="123">
        <v>46041</v>
      </c>
      <c r="DP1" s="123" t="s">
        <v>1</v>
      </c>
      <c r="DQ1" s="123">
        <v>46048</v>
      </c>
      <c r="DR1" s="123" t="s">
        <v>1</v>
      </c>
      <c r="DS1" s="123">
        <v>46055</v>
      </c>
      <c r="DT1" s="123" t="s">
        <v>1</v>
      </c>
      <c r="DU1" s="123">
        <v>46062</v>
      </c>
      <c r="DV1" s="123" t="s">
        <v>1</v>
      </c>
      <c r="DW1" s="123">
        <v>46069</v>
      </c>
      <c r="DX1" s="123" t="s">
        <v>1</v>
      </c>
      <c r="DY1" s="123">
        <v>46076</v>
      </c>
      <c r="DZ1" s="123" t="s">
        <v>1</v>
      </c>
      <c r="EA1" s="123">
        <v>46083</v>
      </c>
      <c r="EB1" s="123" t="s">
        <v>1</v>
      </c>
      <c r="EC1" s="123">
        <v>46090</v>
      </c>
      <c r="ED1" s="123" t="s">
        <v>1</v>
      </c>
      <c r="EE1" s="123">
        <v>46097</v>
      </c>
      <c r="EF1" s="123" t="s">
        <v>1</v>
      </c>
      <c r="EG1" s="123">
        <v>46104</v>
      </c>
      <c r="EH1" s="123" t="s">
        <v>1</v>
      </c>
      <c r="EI1" s="123">
        <v>46111</v>
      </c>
      <c r="EJ1" s="123" t="s">
        <v>1</v>
      </c>
      <c r="EK1" s="123">
        <v>46118</v>
      </c>
      <c r="EL1" s="123" t="s">
        <v>1</v>
      </c>
      <c r="EM1" s="123">
        <v>46125</v>
      </c>
      <c r="EN1" s="123" t="s">
        <v>1</v>
      </c>
      <c r="EO1" s="123">
        <v>46132</v>
      </c>
      <c r="EP1" s="123" t="s">
        <v>1</v>
      </c>
      <c r="EQ1" s="123">
        <v>46139</v>
      </c>
      <c r="ER1" s="123" t="s">
        <v>1</v>
      </c>
      <c r="ES1" s="123">
        <v>46146</v>
      </c>
      <c r="ET1" s="123"/>
    </row>
    <row r="2" spans="1:150" ht="33" customHeight="1" x14ac:dyDescent="0.35">
      <c r="A2" s="3" t="s">
        <v>3</v>
      </c>
      <c r="B2" s="3"/>
      <c r="C2" s="3" t="s">
        <v>4</v>
      </c>
      <c r="D2" s="3" t="s">
        <v>5</v>
      </c>
      <c r="E2" s="3" t="s">
        <v>6</v>
      </c>
      <c r="F2" s="3" t="s">
        <v>7</v>
      </c>
      <c r="G2" s="3" t="s">
        <v>6</v>
      </c>
      <c r="H2" s="3" t="s">
        <v>7</v>
      </c>
      <c r="I2" s="3" t="s">
        <v>6</v>
      </c>
      <c r="J2" s="3" t="s">
        <v>7</v>
      </c>
      <c r="K2" s="3" t="s">
        <v>6</v>
      </c>
      <c r="L2" s="3" t="s">
        <v>7</v>
      </c>
      <c r="M2" s="3" t="s">
        <v>6</v>
      </c>
      <c r="N2" s="3" t="s">
        <v>7</v>
      </c>
      <c r="O2" s="3" t="s">
        <v>6</v>
      </c>
      <c r="P2" s="3" t="s">
        <v>7</v>
      </c>
      <c r="Q2" s="3" t="s">
        <v>6</v>
      </c>
      <c r="R2" s="3" t="s">
        <v>7</v>
      </c>
      <c r="S2" s="3" t="s">
        <v>6</v>
      </c>
      <c r="T2" s="3" t="s">
        <v>7</v>
      </c>
      <c r="U2" s="3" t="s">
        <v>6</v>
      </c>
      <c r="V2" s="3" t="s">
        <v>7</v>
      </c>
      <c r="W2" s="3" t="s">
        <v>6</v>
      </c>
      <c r="X2" s="3" t="s">
        <v>7</v>
      </c>
      <c r="Y2" s="3" t="s">
        <v>6</v>
      </c>
      <c r="Z2" s="3" t="s">
        <v>7</v>
      </c>
      <c r="AA2" s="3" t="s">
        <v>6</v>
      </c>
      <c r="AB2" s="3" t="s">
        <v>7</v>
      </c>
      <c r="AC2" s="3" t="s">
        <v>6</v>
      </c>
      <c r="AD2" s="3" t="s">
        <v>7</v>
      </c>
      <c r="AE2" s="3" t="s">
        <v>6</v>
      </c>
      <c r="AF2" s="3" t="s">
        <v>7</v>
      </c>
      <c r="AG2" s="3" t="s">
        <v>6</v>
      </c>
      <c r="AH2" s="3" t="s">
        <v>7</v>
      </c>
      <c r="AI2" s="3" t="s">
        <v>6</v>
      </c>
      <c r="AJ2" s="3" t="s">
        <v>7</v>
      </c>
      <c r="AK2" s="3" t="s">
        <v>6</v>
      </c>
      <c r="AL2" s="3" t="s">
        <v>7</v>
      </c>
      <c r="AM2" s="3" t="s">
        <v>6</v>
      </c>
      <c r="AN2" s="3" t="s">
        <v>7</v>
      </c>
      <c r="AO2" s="3" t="s">
        <v>6</v>
      </c>
      <c r="AP2" s="3" t="s">
        <v>7</v>
      </c>
      <c r="AQ2" s="3" t="s">
        <v>6</v>
      </c>
      <c r="AR2" s="3" t="s">
        <v>7</v>
      </c>
      <c r="AS2" s="3" t="s">
        <v>6</v>
      </c>
      <c r="AT2" s="3" t="s">
        <v>7</v>
      </c>
      <c r="AU2" s="3" t="s">
        <v>6</v>
      </c>
      <c r="AV2" s="3" t="s">
        <v>7</v>
      </c>
      <c r="AW2" s="3" t="s">
        <v>6</v>
      </c>
      <c r="AX2" s="3" t="s">
        <v>7</v>
      </c>
      <c r="AY2" s="3" t="s">
        <v>6</v>
      </c>
      <c r="AZ2" s="3" t="s">
        <v>7</v>
      </c>
      <c r="BA2" s="3" t="s">
        <v>6</v>
      </c>
      <c r="BB2" s="3" t="s">
        <v>7</v>
      </c>
      <c r="BC2" s="3" t="s">
        <v>6</v>
      </c>
      <c r="BD2" s="3" t="s">
        <v>7</v>
      </c>
      <c r="BE2" s="3" t="s">
        <v>6</v>
      </c>
      <c r="BF2" s="3" t="s">
        <v>7</v>
      </c>
      <c r="BG2" s="3" t="s">
        <v>6</v>
      </c>
      <c r="BH2" s="3" t="s">
        <v>7</v>
      </c>
      <c r="BI2" s="3" t="s">
        <v>6</v>
      </c>
      <c r="BJ2" s="3" t="s">
        <v>7</v>
      </c>
      <c r="BK2" s="3" t="s">
        <v>6</v>
      </c>
      <c r="BL2" s="3" t="s">
        <v>7</v>
      </c>
      <c r="BM2" s="3" t="s">
        <v>6</v>
      </c>
      <c r="BN2" s="3" t="s">
        <v>7</v>
      </c>
      <c r="BO2" s="3" t="s">
        <v>6</v>
      </c>
      <c r="BP2" s="3" t="s">
        <v>7</v>
      </c>
      <c r="BQ2" s="3" t="s">
        <v>6</v>
      </c>
      <c r="BR2" s="3" t="s">
        <v>7</v>
      </c>
      <c r="BS2" s="3" t="s">
        <v>6</v>
      </c>
      <c r="BT2" s="3" t="s">
        <v>7</v>
      </c>
      <c r="BU2" s="3" t="s">
        <v>6</v>
      </c>
      <c r="BV2" s="3" t="s">
        <v>7</v>
      </c>
      <c r="BW2" s="3" t="s">
        <v>6</v>
      </c>
      <c r="BX2" s="3" t="s">
        <v>7</v>
      </c>
      <c r="BY2" s="3" t="s">
        <v>6</v>
      </c>
      <c r="BZ2" s="3" t="s">
        <v>7</v>
      </c>
      <c r="CA2" s="3" t="s">
        <v>6</v>
      </c>
      <c r="CB2" s="3" t="s">
        <v>7</v>
      </c>
      <c r="CC2" s="3" t="s">
        <v>6</v>
      </c>
      <c r="CD2" s="3" t="s">
        <v>7</v>
      </c>
      <c r="CE2" s="3" t="s">
        <v>6</v>
      </c>
      <c r="CF2" s="3" t="s">
        <v>7</v>
      </c>
      <c r="CG2" s="3" t="s">
        <v>6</v>
      </c>
      <c r="CH2" s="3" t="s">
        <v>7</v>
      </c>
      <c r="CI2" s="3" t="s">
        <v>6</v>
      </c>
      <c r="CJ2" s="3" t="s">
        <v>7</v>
      </c>
      <c r="CK2" s="3" t="s">
        <v>6</v>
      </c>
      <c r="CL2" s="3" t="s">
        <v>7</v>
      </c>
      <c r="CM2" s="3" t="s">
        <v>6</v>
      </c>
      <c r="CN2" s="3" t="s">
        <v>7</v>
      </c>
      <c r="CO2" s="3" t="s">
        <v>6</v>
      </c>
      <c r="CP2" s="3" t="s">
        <v>7</v>
      </c>
      <c r="CQ2" s="3" t="s">
        <v>6</v>
      </c>
      <c r="CR2" s="3" t="s">
        <v>7</v>
      </c>
      <c r="CS2" s="3" t="s">
        <v>6</v>
      </c>
      <c r="CT2" s="3" t="s">
        <v>7</v>
      </c>
      <c r="CU2" s="3" t="s">
        <v>6</v>
      </c>
      <c r="CV2" s="3" t="s">
        <v>7</v>
      </c>
      <c r="CW2" s="3" t="s">
        <v>6</v>
      </c>
      <c r="CX2" s="3" t="s">
        <v>7</v>
      </c>
      <c r="CY2" s="3" t="s">
        <v>6</v>
      </c>
      <c r="CZ2" s="3" t="s">
        <v>7</v>
      </c>
      <c r="DA2" s="3" t="s">
        <v>6</v>
      </c>
      <c r="DB2" s="3" t="s">
        <v>7</v>
      </c>
      <c r="DC2" s="3" t="s">
        <v>6</v>
      </c>
      <c r="DD2" s="3" t="s">
        <v>7</v>
      </c>
      <c r="DE2" s="3" t="s">
        <v>6</v>
      </c>
      <c r="DF2" s="3" t="s">
        <v>7</v>
      </c>
      <c r="DG2" s="3" t="s">
        <v>6</v>
      </c>
      <c r="DH2" s="3" t="s">
        <v>7</v>
      </c>
      <c r="DI2" s="3" t="s">
        <v>6</v>
      </c>
      <c r="DJ2" s="3" t="s">
        <v>7</v>
      </c>
      <c r="DK2" s="3" t="s">
        <v>6</v>
      </c>
      <c r="DL2" s="3" t="s">
        <v>7</v>
      </c>
      <c r="DM2" s="3" t="s">
        <v>6</v>
      </c>
      <c r="DN2" s="3" t="s">
        <v>7</v>
      </c>
      <c r="DO2" s="3" t="s">
        <v>6</v>
      </c>
      <c r="DP2" s="3" t="s">
        <v>7</v>
      </c>
      <c r="DQ2" s="3" t="s">
        <v>6</v>
      </c>
      <c r="DR2" s="3" t="s">
        <v>7</v>
      </c>
      <c r="DS2" s="3" t="s">
        <v>6</v>
      </c>
      <c r="DT2" s="3" t="s">
        <v>7</v>
      </c>
      <c r="DU2" s="3" t="s">
        <v>6</v>
      </c>
      <c r="DV2" s="3" t="s">
        <v>7</v>
      </c>
      <c r="DW2" s="3" t="s">
        <v>6</v>
      </c>
      <c r="DX2" s="3" t="s">
        <v>7</v>
      </c>
      <c r="DY2" s="3" t="s">
        <v>6</v>
      </c>
      <c r="DZ2" s="3" t="s">
        <v>7</v>
      </c>
      <c r="EA2" s="3" t="s">
        <v>6</v>
      </c>
      <c r="EB2" s="3" t="s">
        <v>7</v>
      </c>
      <c r="EC2" s="3" t="s">
        <v>6</v>
      </c>
      <c r="ED2" s="3" t="s">
        <v>7</v>
      </c>
      <c r="EE2" s="3" t="s">
        <v>6</v>
      </c>
      <c r="EF2" s="3" t="s">
        <v>7</v>
      </c>
      <c r="EG2" s="3" t="s">
        <v>6</v>
      </c>
      <c r="EH2" s="3" t="s">
        <v>7</v>
      </c>
      <c r="EI2" s="3" t="s">
        <v>6</v>
      </c>
      <c r="EJ2" s="3" t="s">
        <v>7</v>
      </c>
      <c r="EK2" s="3" t="s">
        <v>6</v>
      </c>
      <c r="EL2" s="3" t="s">
        <v>7</v>
      </c>
      <c r="EM2" s="3" t="s">
        <v>6</v>
      </c>
      <c r="EN2" s="3" t="s">
        <v>7</v>
      </c>
      <c r="EO2" s="3" t="s">
        <v>6</v>
      </c>
      <c r="EP2" s="3" t="s">
        <v>7</v>
      </c>
      <c r="EQ2" s="3" t="s">
        <v>6</v>
      </c>
      <c r="ER2" s="3" t="s">
        <v>7</v>
      </c>
      <c r="ES2" s="118" t="s">
        <v>6</v>
      </c>
      <c r="ET2" s="118" t="s">
        <v>7</v>
      </c>
    </row>
    <row r="3" spans="1:150" ht="16.5" customHeight="1" x14ac:dyDescent="0.35">
      <c r="A3" s="4">
        <v>201</v>
      </c>
      <c r="B3" s="4" t="str">
        <f>LOOKUP(A3,Lookup!$A$1:$A$34,Lookup!$B$1:$B$34)</f>
        <v>BUTCHERY</v>
      </c>
      <c r="C3" s="5">
        <v>11141</v>
      </c>
      <c r="D3" s="6" t="s">
        <v>8</v>
      </c>
      <c r="E3" s="18">
        <v>0</v>
      </c>
      <c r="F3" s="18">
        <v>0</v>
      </c>
      <c r="G3" s="18">
        <v>0</v>
      </c>
      <c r="H3" s="18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0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0</v>
      </c>
      <c r="BM3" s="19">
        <v>0</v>
      </c>
      <c r="BN3" s="19">
        <v>0</v>
      </c>
      <c r="BO3" s="19">
        <v>0</v>
      </c>
      <c r="BP3" s="19">
        <v>0</v>
      </c>
      <c r="BQ3" s="19">
        <v>0</v>
      </c>
      <c r="BR3" s="19">
        <v>0</v>
      </c>
      <c r="BS3" s="19">
        <v>0</v>
      </c>
      <c r="BT3" s="19">
        <v>0</v>
      </c>
      <c r="BU3" s="19">
        <v>0</v>
      </c>
      <c r="BV3" s="19">
        <v>0</v>
      </c>
      <c r="BW3" s="19">
        <v>0</v>
      </c>
      <c r="BX3" s="19">
        <v>0</v>
      </c>
      <c r="BY3" s="19">
        <v>0</v>
      </c>
      <c r="BZ3" s="19">
        <v>0</v>
      </c>
      <c r="CA3" s="19">
        <v>0</v>
      </c>
      <c r="CB3" s="19">
        <v>0</v>
      </c>
      <c r="CC3" s="19">
        <v>0</v>
      </c>
      <c r="CD3" s="19">
        <v>0</v>
      </c>
      <c r="CE3" s="19">
        <v>0</v>
      </c>
      <c r="CF3" s="19">
        <v>0</v>
      </c>
      <c r="CG3" s="19">
        <v>0</v>
      </c>
      <c r="CH3" s="19">
        <v>0</v>
      </c>
      <c r="CI3" s="19">
        <v>0</v>
      </c>
      <c r="CJ3" s="19">
        <v>0</v>
      </c>
      <c r="CK3" s="19">
        <v>0</v>
      </c>
      <c r="CL3" s="19">
        <v>0</v>
      </c>
      <c r="CM3" s="19">
        <v>0</v>
      </c>
      <c r="CN3" s="19">
        <v>0</v>
      </c>
      <c r="CO3" s="19">
        <v>0</v>
      </c>
      <c r="CP3" s="19">
        <v>0</v>
      </c>
      <c r="CQ3" s="19">
        <v>0</v>
      </c>
      <c r="CR3" s="19">
        <v>0</v>
      </c>
      <c r="CS3" s="19">
        <v>0</v>
      </c>
      <c r="CT3" s="19">
        <v>0</v>
      </c>
      <c r="CU3" s="19">
        <v>0</v>
      </c>
      <c r="CV3" s="19">
        <v>0</v>
      </c>
      <c r="CW3" s="19">
        <v>0</v>
      </c>
      <c r="CX3" s="19">
        <v>0</v>
      </c>
      <c r="CY3" s="19">
        <v>0</v>
      </c>
      <c r="CZ3" s="19">
        <v>0</v>
      </c>
      <c r="DA3" s="19">
        <v>0</v>
      </c>
      <c r="DB3" s="19">
        <v>0</v>
      </c>
      <c r="DC3" s="19">
        <v>0</v>
      </c>
      <c r="DD3" s="19">
        <v>0</v>
      </c>
      <c r="DE3" s="19">
        <v>0</v>
      </c>
      <c r="DF3" s="19">
        <v>0</v>
      </c>
      <c r="DG3" s="19">
        <v>0</v>
      </c>
      <c r="DH3" s="19">
        <v>0</v>
      </c>
      <c r="DI3" s="19">
        <v>0</v>
      </c>
      <c r="DJ3" s="19">
        <v>0</v>
      </c>
      <c r="DK3" s="19">
        <v>0</v>
      </c>
      <c r="DL3" s="19">
        <v>0</v>
      </c>
      <c r="DM3" s="19">
        <v>0</v>
      </c>
      <c r="DN3" s="19">
        <v>0</v>
      </c>
      <c r="DO3" s="19">
        <v>0</v>
      </c>
      <c r="DP3" s="19">
        <v>0</v>
      </c>
      <c r="DQ3" s="19">
        <v>0</v>
      </c>
      <c r="DR3" s="19">
        <v>0</v>
      </c>
      <c r="DS3" s="19">
        <v>0</v>
      </c>
      <c r="DT3" s="19">
        <v>0</v>
      </c>
      <c r="DU3" s="19">
        <v>0</v>
      </c>
      <c r="DV3" s="19">
        <v>0</v>
      </c>
      <c r="DW3" s="19">
        <v>0</v>
      </c>
      <c r="DX3" s="19">
        <v>0</v>
      </c>
      <c r="DY3" s="19">
        <v>0</v>
      </c>
      <c r="DZ3" s="19">
        <v>0</v>
      </c>
      <c r="EA3" s="19">
        <v>0</v>
      </c>
      <c r="EB3" s="19">
        <v>0</v>
      </c>
      <c r="EC3" s="19">
        <v>0</v>
      </c>
      <c r="ED3" s="19">
        <v>0</v>
      </c>
      <c r="EE3" s="19">
        <v>0</v>
      </c>
      <c r="EF3" s="19">
        <v>0</v>
      </c>
      <c r="EG3" s="19">
        <v>0</v>
      </c>
      <c r="EH3" s="19">
        <v>0</v>
      </c>
      <c r="EI3" s="19">
        <v>0</v>
      </c>
      <c r="EJ3" s="19">
        <v>0</v>
      </c>
      <c r="EK3" s="19">
        <v>0</v>
      </c>
      <c r="EL3" s="19">
        <v>0</v>
      </c>
      <c r="EM3" s="19">
        <v>0</v>
      </c>
      <c r="EN3" s="19">
        <v>0</v>
      </c>
      <c r="EO3" s="19">
        <v>0</v>
      </c>
      <c r="EP3" s="19">
        <v>0</v>
      </c>
      <c r="EQ3" s="19">
        <v>0</v>
      </c>
      <c r="ER3" s="19">
        <v>0</v>
      </c>
      <c r="ES3" s="119">
        <v>0</v>
      </c>
      <c r="ET3" s="119">
        <v>0</v>
      </c>
    </row>
    <row r="4" spans="1:150" ht="16.5" customHeight="1" x14ac:dyDescent="0.35">
      <c r="A4" s="4">
        <v>201</v>
      </c>
      <c r="B4" s="4" t="str">
        <f>LOOKUP(A4,Lookup!$A$1:$A$34,Lookup!$B$1:$B$34)</f>
        <v>BUTCHERY</v>
      </c>
      <c r="C4" s="5">
        <v>11385</v>
      </c>
      <c r="D4" s="6" t="s">
        <v>9</v>
      </c>
      <c r="E4" s="18">
        <v>0</v>
      </c>
      <c r="F4" s="18">
        <v>0</v>
      </c>
      <c r="G4" s="18">
        <v>0</v>
      </c>
      <c r="H4" s="18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19">
        <v>0</v>
      </c>
      <c r="EA4" s="19">
        <v>0</v>
      </c>
      <c r="EB4" s="19">
        <v>0</v>
      </c>
      <c r="EC4" s="19">
        <v>0</v>
      </c>
      <c r="ED4" s="19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19">
        <v>0</v>
      </c>
      <c r="EK4" s="19">
        <v>0</v>
      </c>
      <c r="EL4" s="19">
        <v>0</v>
      </c>
      <c r="EM4" s="19">
        <v>0</v>
      </c>
      <c r="EN4" s="19">
        <v>0</v>
      </c>
      <c r="EO4" s="19">
        <v>0</v>
      </c>
      <c r="EP4" s="19">
        <v>0</v>
      </c>
      <c r="EQ4" s="19">
        <v>0</v>
      </c>
      <c r="ER4" s="19">
        <v>0</v>
      </c>
      <c r="ES4" s="119">
        <v>0</v>
      </c>
      <c r="ET4" s="119">
        <v>0</v>
      </c>
    </row>
    <row r="5" spans="1:150" ht="16.5" customHeight="1" x14ac:dyDescent="0.35">
      <c r="A5" s="4">
        <v>201</v>
      </c>
      <c r="B5" s="4" t="str">
        <f>LOOKUP(A5,Lookup!$A$1:$A$34,Lookup!$B$1:$B$34)</f>
        <v>BUTCHERY</v>
      </c>
      <c r="C5" s="5">
        <v>11388</v>
      </c>
      <c r="D5" s="6" t="s">
        <v>10</v>
      </c>
      <c r="E5" s="18">
        <v>0</v>
      </c>
      <c r="F5" s="18">
        <v>0</v>
      </c>
      <c r="G5" s="18">
        <v>0</v>
      </c>
      <c r="H5" s="18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19">
        <v>0</v>
      </c>
      <c r="EA5" s="19">
        <v>0</v>
      </c>
      <c r="EB5" s="19">
        <v>0</v>
      </c>
      <c r="EC5" s="19">
        <v>0</v>
      </c>
      <c r="ED5" s="19">
        <v>0</v>
      </c>
      <c r="EE5" s="19">
        <v>0</v>
      </c>
      <c r="EF5" s="19">
        <v>0</v>
      </c>
      <c r="EG5" s="19">
        <v>0</v>
      </c>
      <c r="EH5" s="19">
        <v>0</v>
      </c>
      <c r="EI5" s="19">
        <v>0</v>
      </c>
      <c r="EJ5" s="19">
        <v>0</v>
      </c>
      <c r="EK5" s="19">
        <v>0</v>
      </c>
      <c r="EL5" s="19">
        <v>0</v>
      </c>
      <c r="EM5" s="19">
        <v>0</v>
      </c>
      <c r="EN5" s="19">
        <v>0</v>
      </c>
      <c r="EO5" s="19">
        <v>0</v>
      </c>
      <c r="EP5" s="19">
        <v>0</v>
      </c>
      <c r="EQ5" s="19">
        <v>0</v>
      </c>
      <c r="ER5" s="19">
        <v>0</v>
      </c>
      <c r="ES5" s="119">
        <v>0</v>
      </c>
      <c r="ET5" s="119">
        <v>0</v>
      </c>
    </row>
    <row r="6" spans="1:150" ht="16.5" customHeight="1" x14ac:dyDescent="0.35">
      <c r="A6" s="4">
        <v>201</v>
      </c>
      <c r="B6" s="4" t="str">
        <f>LOOKUP(A6,Lookup!$A$1:$A$34,Lookup!$B$1:$B$34)</f>
        <v>BUTCHERY</v>
      </c>
      <c r="C6" s="5">
        <v>12151</v>
      </c>
      <c r="D6" s="6" t="s">
        <v>11</v>
      </c>
      <c r="E6" s="18">
        <v>0</v>
      </c>
      <c r="F6" s="18">
        <v>0</v>
      </c>
      <c r="G6" s="18">
        <v>0</v>
      </c>
      <c r="H6" s="18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>
        <v>0</v>
      </c>
      <c r="EB6" s="19">
        <v>0</v>
      </c>
      <c r="EC6" s="19">
        <v>0</v>
      </c>
      <c r="ED6" s="19">
        <v>0</v>
      </c>
      <c r="EE6" s="19">
        <v>0</v>
      </c>
      <c r="EF6" s="19">
        <v>0</v>
      </c>
      <c r="EG6" s="19">
        <v>0</v>
      </c>
      <c r="EH6" s="19">
        <v>0</v>
      </c>
      <c r="EI6" s="19">
        <v>0</v>
      </c>
      <c r="EJ6" s="19">
        <v>0</v>
      </c>
      <c r="EK6" s="19">
        <v>0</v>
      </c>
      <c r="EL6" s="19">
        <v>0</v>
      </c>
      <c r="EM6" s="19">
        <v>0</v>
      </c>
      <c r="EN6" s="19">
        <v>0</v>
      </c>
      <c r="EO6" s="19">
        <v>0</v>
      </c>
      <c r="EP6" s="19">
        <v>0</v>
      </c>
      <c r="EQ6" s="19">
        <v>0</v>
      </c>
      <c r="ER6" s="19">
        <v>0</v>
      </c>
      <c r="ES6" s="119">
        <v>0</v>
      </c>
      <c r="ET6" s="119">
        <v>0</v>
      </c>
    </row>
    <row r="7" spans="1:150" ht="16.5" customHeight="1" x14ac:dyDescent="0.35">
      <c r="A7" s="4">
        <v>201</v>
      </c>
      <c r="B7" s="4" t="str">
        <f>LOOKUP(A7,Lookup!$A$1:$A$34,Lookup!$B$1:$B$34)</f>
        <v>BUTCHERY</v>
      </c>
      <c r="C7" s="5">
        <v>12194</v>
      </c>
      <c r="D7" s="6" t="s">
        <v>12</v>
      </c>
      <c r="E7" s="18">
        <v>6.8259644825474597</v>
      </c>
      <c r="F7" s="18">
        <v>6.3E-2</v>
      </c>
      <c r="G7" s="18">
        <v>484.64347826086998</v>
      </c>
      <c r="H7" s="18">
        <v>4.4589999999999996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484.64347826086998</v>
      </c>
      <c r="DB7" s="19">
        <v>4.4589999999999996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  <c r="EE7" s="19">
        <v>0</v>
      </c>
      <c r="EF7" s="19">
        <v>0</v>
      </c>
      <c r="EG7" s="19">
        <v>0</v>
      </c>
      <c r="EH7" s="19">
        <v>0</v>
      </c>
      <c r="EI7" s="19">
        <v>0</v>
      </c>
      <c r="EJ7" s="19">
        <v>0</v>
      </c>
      <c r="EK7" s="19">
        <v>0</v>
      </c>
      <c r="EL7" s="19">
        <v>0</v>
      </c>
      <c r="EM7" s="19">
        <v>0</v>
      </c>
      <c r="EN7" s="19">
        <v>0</v>
      </c>
      <c r="EO7" s="19">
        <v>0</v>
      </c>
      <c r="EP7" s="19">
        <v>0</v>
      </c>
      <c r="EQ7" s="19">
        <v>0</v>
      </c>
      <c r="ER7" s="19">
        <v>0</v>
      </c>
      <c r="ES7" s="119">
        <v>0</v>
      </c>
      <c r="ET7" s="119">
        <v>0</v>
      </c>
    </row>
    <row r="8" spans="1:150" ht="16.5" customHeight="1" x14ac:dyDescent="0.35">
      <c r="A8" s="4">
        <v>201</v>
      </c>
      <c r="B8" s="4" t="str">
        <f>LOOKUP(A8,Lookup!$A$1:$A$34,Lookup!$B$1:$B$34)</f>
        <v>BUTCHERY</v>
      </c>
      <c r="C8" s="5">
        <v>12314</v>
      </c>
      <c r="D8" s="6" t="s">
        <v>13</v>
      </c>
      <c r="E8" s="18">
        <v>0</v>
      </c>
      <c r="F8" s="18">
        <v>0</v>
      </c>
      <c r="G8" s="18">
        <v>0</v>
      </c>
      <c r="H8" s="18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0</v>
      </c>
      <c r="ED8" s="19">
        <v>0</v>
      </c>
      <c r="EE8" s="19">
        <v>0</v>
      </c>
      <c r="EF8" s="19">
        <v>0</v>
      </c>
      <c r="EG8" s="19">
        <v>0</v>
      </c>
      <c r="EH8" s="19">
        <v>0</v>
      </c>
      <c r="EI8" s="19">
        <v>0</v>
      </c>
      <c r="EJ8" s="19">
        <v>0</v>
      </c>
      <c r="EK8" s="19">
        <v>0</v>
      </c>
      <c r="EL8" s="19">
        <v>0</v>
      </c>
      <c r="EM8" s="19">
        <v>0</v>
      </c>
      <c r="EN8" s="19">
        <v>0</v>
      </c>
      <c r="EO8" s="19">
        <v>0</v>
      </c>
      <c r="EP8" s="19">
        <v>0</v>
      </c>
      <c r="EQ8" s="19">
        <v>0</v>
      </c>
      <c r="ER8" s="19">
        <v>0</v>
      </c>
      <c r="ES8" s="119">
        <v>0</v>
      </c>
      <c r="ET8" s="119">
        <v>0</v>
      </c>
    </row>
    <row r="9" spans="1:150" ht="16.5" customHeight="1" x14ac:dyDescent="0.35">
      <c r="A9" s="4">
        <v>201</v>
      </c>
      <c r="B9" s="4" t="str">
        <f>LOOKUP(A9,Lookup!$A$1:$A$34,Lookup!$B$1:$B$34)</f>
        <v>BUTCHERY</v>
      </c>
      <c r="C9" s="5">
        <v>15219</v>
      </c>
      <c r="D9" s="6" t="s">
        <v>14</v>
      </c>
      <c r="E9" s="18">
        <v>0</v>
      </c>
      <c r="F9" s="18">
        <v>0</v>
      </c>
      <c r="G9" s="18">
        <v>0</v>
      </c>
      <c r="H9" s="18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19">
        <v>0</v>
      </c>
      <c r="ET9" s="119">
        <v>0</v>
      </c>
    </row>
    <row r="10" spans="1:150" ht="16.5" customHeight="1" x14ac:dyDescent="0.35">
      <c r="A10" s="4">
        <v>201</v>
      </c>
      <c r="B10" s="4" t="str">
        <f>LOOKUP(A10,Lookup!$A$1:$A$34,Lookup!$B$1:$B$34)</f>
        <v>BUTCHERY</v>
      </c>
      <c r="C10" s="5">
        <v>15227</v>
      </c>
      <c r="D10" s="6" t="s">
        <v>15</v>
      </c>
      <c r="E10" s="18">
        <v>0</v>
      </c>
      <c r="F10" s="18">
        <v>0</v>
      </c>
      <c r="G10" s="18">
        <v>0</v>
      </c>
      <c r="H10" s="18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19">
        <v>0</v>
      </c>
      <c r="ET10" s="119">
        <v>0</v>
      </c>
    </row>
    <row r="11" spans="1:150" ht="16.5" customHeight="1" x14ac:dyDescent="0.35">
      <c r="A11" s="4">
        <v>201</v>
      </c>
      <c r="B11" s="4" t="str">
        <f>LOOKUP(A11,Lookup!$A$1:$A$34,Lookup!$B$1:$B$34)</f>
        <v>BUTCHERY</v>
      </c>
      <c r="C11" s="5">
        <v>34176</v>
      </c>
      <c r="D11" s="6" t="s">
        <v>16</v>
      </c>
      <c r="E11" s="18">
        <v>0</v>
      </c>
      <c r="F11" s="18">
        <v>0</v>
      </c>
      <c r="G11" s="18">
        <v>0</v>
      </c>
      <c r="H11" s="18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19">
        <v>0</v>
      </c>
      <c r="ET11" s="119">
        <v>0</v>
      </c>
    </row>
    <row r="12" spans="1:150" ht="16.5" customHeight="1" x14ac:dyDescent="0.35">
      <c r="A12" s="4">
        <v>201</v>
      </c>
      <c r="B12" s="4" t="str">
        <f>LOOKUP(A12,Lookup!$A$1:$A$34,Lookup!$B$1:$B$34)</f>
        <v>BUTCHERY</v>
      </c>
      <c r="C12" s="5">
        <v>34233</v>
      </c>
      <c r="D12" s="6" t="s">
        <v>17</v>
      </c>
      <c r="E12" s="18">
        <v>0</v>
      </c>
      <c r="F12" s="18">
        <v>0</v>
      </c>
      <c r="G12" s="18">
        <v>0</v>
      </c>
      <c r="H12" s="18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19">
        <v>0</v>
      </c>
      <c r="ET12" s="119">
        <v>0</v>
      </c>
    </row>
    <row r="13" spans="1:150" ht="16.5" customHeight="1" x14ac:dyDescent="0.35">
      <c r="A13" s="4">
        <v>201</v>
      </c>
      <c r="B13" s="4" t="str">
        <f>LOOKUP(A13,Lookup!$A$1:$A$34,Lookup!$B$1:$B$34)</f>
        <v>BUTCHERY</v>
      </c>
      <c r="C13" s="5">
        <v>34234</v>
      </c>
      <c r="D13" s="6" t="s">
        <v>18</v>
      </c>
      <c r="E13" s="18">
        <v>0</v>
      </c>
      <c r="F13" s="18">
        <v>0</v>
      </c>
      <c r="G13" s="18">
        <v>0</v>
      </c>
      <c r="H13" s="18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19">
        <v>0</v>
      </c>
      <c r="ET13" s="119">
        <v>0</v>
      </c>
    </row>
    <row r="14" spans="1:150" ht="16.5" customHeight="1" x14ac:dyDescent="0.35">
      <c r="A14" s="4">
        <v>201</v>
      </c>
      <c r="B14" s="4" t="str">
        <f>LOOKUP(A14,Lookup!$A$1:$A$34,Lookup!$B$1:$B$34)</f>
        <v>BUTCHERY</v>
      </c>
      <c r="C14" s="5">
        <v>34306</v>
      </c>
      <c r="D14" s="6" t="s">
        <v>19</v>
      </c>
      <c r="E14" s="18">
        <v>0</v>
      </c>
      <c r="F14" s="18">
        <v>0</v>
      </c>
      <c r="G14" s="18">
        <v>0</v>
      </c>
      <c r="H14" s="18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19">
        <v>0</v>
      </c>
      <c r="ET14" s="119">
        <v>0</v>
      </c>
    </row>
    <row r="15" spans="1:150" ht="16.5" customHeight="1" x14ac:dyDescent="0.35">
      <c r="A15" s="4">
        <v>201</v>
      </c>
      <c r="B15" s="4" t="str">
        <f>LOOKUP(A15,Lookup!$A$1:$A$34,Lookup!$B$1:$B$34)</f>
        <v>BUTCHERY</v>
      </c>
      <c r="C15" s="5">
        <v>41246</v>
      </c>
      <c r="D15" s="6" t="s">
        <v>20</v>
      </c>
      <c r="E15" s="18">
        <v>11.9516227801592</v>
      </c>
      <c r="F15" s="18">
        <v>6.2E-2</v>
      </c>
      <c r="G15" s="18">
        <v>848.56521739130403</v>
      </c>
      <c r="H15" s="18">
        <v>4.4359999999999999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109.03478260869601</v>
      </c>
      <c r="DD15" s="19">
        <v>0.56999999999999995</v>
      </c>
      <c r="DE15" s="19">
        <v>296.878260869565</v>
      </c>
      <c r="DF15" s="19">
        <v>1.552</v>
      </c>
      <c r="DG15" s="19">
        <v>442.65217391304299</v>
      </c>
      <c r="DH15" s="19">
        <v>2.3140000000000001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19">
        <v>0</v>
      </c>
      <c r="EO15" s="19">
        <v>0</v>
      </c>
      <c r="EP15" s="19">
        <v>0</v>
      </c>
      <c r="EQ15" s="19">
        <v>0</v>
      </c>
      <c r="ER15" s="19">
        <v>0</v>
      </c>
      <c r="ES15" s="119">
        <v>0</v>
      </c>
      <c r="ET15" s="119">
        <v>0</v>
      </c>
    </row>
    <row r="16" spans="1:150" ht="16.5" customHeight="1" x14ac:dyDescent="0.35">
      <c r="A16" s="4">
        <v>201</v>
      </c>
      <c r="B16" s="4" t="str">
        <f>LOOKUP(A16,Lookup!$A$1:$A$34,Lookup!$B$1:$B$34)</f>
        <v>BUTCHERY</v>
      </c>
      <c r="C16" s="5">
        <v>49848</v>
      </c>
      <c r="D16" s="6" t="s">
        <v>21</v>
      </c>
      <c r="E16" s="18">
        <v>0</v>
      </c>
      <c r="F16" s="18">
        <v>0</v>
      </c>
      <c r="G16" s="18">
        <v>0</v>
      </c>
      <c r="H16" s="18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0</v>
      </c>
      <c r="EG16" s="19">
        <v>0</v>
      </c>
      <c r="EH16" s="19">
        <v>0</v>
      </c>
      <c r="EI16" s="19">
        <v>0</v>
      </c>
      <c r="EJ16" s="19">
        <v>0</v>
      </c>
      <c r="EK16" s="19">
        <v>0</v>
      </c>
      <c r="EL16" s="19">
        <v>0</v>
      </c>
      <c r="EM16" s="19">
        <v>0</v>
      </c>
      <c r="EN16" s="19">
        <v>0</v>
      </c>
      <c r="EO16" s="19">
        <v>0</v>
      </c>
      <c r="EP16" s="19">
        <v>0</v>
      </c>
      <c r="EQ16" s="19">
        <v>0</v>
      </c>
      <c r="ER16" s="19">
        <v>0</v>
      </c>
      <c r="ES16" s="119">
        <v>0</v>
      </c>
      <c r="ET16" s="119">
        <v>0</v>
      </c>
    </row>
    <row r="17" spans="1:150" ht="16.5" customHeight="1" x14ac:dyDescent="0.35">
      <c r="A17" s="4">
        <v>201</v>
      </c>
      <c r="B17" s="4" t="str">
        <f>LOOKUP(A17,Lookup!$A$1:$A$34,Lookup!$B$1:$B$34)</f>
        <v>BUTCHERY</v>
      </c>
      <c r="C17" s="5">
        <v>52212</v>
      </c>
      <c r="D17" s="6" t="s">
        <v>22</v>
      </c>
      <c r="E17" s="18">
        <v>0</v>
      </c>
      <c r="F17" s="18">
        <v>0</v>
      </c>
      <c r="G17" s="18">
        <v>0</v>
      </c>
      <c r="H17" s="18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19">
        <v>0</v>
      </c>
      <c r="ET17" s="119">
        <v>0</v>
      </c>
    </row>
    <row r="18" spans="1:150" ht="16.5" customHeight="1" x14ac:dyDescent="0.35">
      <c r="A18" s="4">
        <v>201</v>
      </c>
      <c r="B18" s="4" t="str">
        <f>LOOKUP(A18,Lookup!$A$1:$A$34,Lookup!$B$1:$B$34)</f>
        <v>BUTCHERY</v>
      </c>
      <c r="C18" s="5">
        <v>53975</v>
      </c>
      <c r="D18" s="6" t="s">
        <v>23</v>
      </c>
      <c r="E18" s="18">
        <v>0</v>
      </c>
      <c r="F18" s="18">
        <v>0</v>
      </c>
      <c r="G18" s="18">
        <v>0</v>
      </c>
      <c r="H18" s="18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0</v>
      </c>
      <c r="EK18" s="19">
        <v>0</v>
      </c>
      <c r="EL18" s="19">
        <v>0</v>
      </c>
      <c r="EM18" s="19">
        <v>0</v>
      </c>
      <c r="EN18" s="19">
        <v>0</v>
      </c>
      <c r="EO18" s="19">
        <v>0</v>
      </c>
      <c r="EP18" s="19">
        <v>0</v>
      </c>
      <c r="EQ18" s="19">
        <v>0</v>
      </c>
      <c r="ER18" s="19">
        <v>0</v>
      </c>
      <c r="ES18" s="119">
        <v>0</v>
      </c>
      <c r="ET18" s="119">
        <v>0</v>
      </c>
    </row>
    <row r="19" spans="1:150" ht="16.5" customHeight="1" x14ac:dyDescent="0.35">
      <c r="A19" s="4">
        <v>201</v>
      </c>
      <c r="B19" s="4" t="str">
        <f>LOOKUP(A19,Lookup!$A$1:$A$34,Lookup!$B$1:$B$34)</f>
        <v>BUTCHERY</v>
      </c>
      <c r="C19" s="5">
        <v>55974</v>
      </c>
      <c r="D19" s="6" t="s">
        <v>24</v>
      </c>
      <c r="E19" s="18">
        <v>0</v>
      </c>
      <c r="F19" s="18">
        <v>0</v>
      </c>
      <c r="G19" s="18">
        <v>0</v>
      </c>
      <c r="H19" s="18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0</v>
      </c>
      <c r="EP19" s="19">
        <v>0</v>
      </c>
      <c r="EQ19" s="19">
        <v>0</v>
      </c>
      <c r="ER19" s="19">
        <v>0</v>
      </c>
      <c r="ES19" s="119">
        <v>0</v>
      </c>
      <c r="ET19" s="119">
        <v>0</v>
      </c>
    </row>
    <row r="20" spans="1:150" ht="16.5" customHeight="1" x14ac:dyDescent="0.35">
      <c r="A20" s="4">
        <v>201</v>
      </c>
      <c r="B20" s="4" t="str">
        <f>LOOKUP(A20,Lookup!$A$1:$A$34,Lookup!$B$1:$B$34)</f>
        <v>BUTCHERY</v>
      </c>
      <c r="C20" s="5">
        <v>56247</v>
      </c>
      <c r="D20" s="6" t="s">
        <v>25</v>
      </c>
      <c r="E20" s="18">
        <v>1786.72253521127</v>
      </c>
      <c r="F20" s="18">
        <v>104.831</v>
      </c>
      <c r="G20" s="18">
        <v>126857.3</v>
      </c>
      <c r="H20" s="18">
        <v>7443</v>
      </c>
      <c r="I20" s="19">
        <v>3920.1</v>
      </c>
      <c r="J20" s="19">
        <v>219</v>
      </c>
      <c r="K20" s="19">
        <v>1682.6</v>
      </c>
      <c r="L20" s="19">
        <v>94</v>
      </c>
      <c r="M20" s="19">
        <v>2362.8000000000002</v>
      </c>
      <c r="N20" s="19">
        <v>132</v>
      </c>
      <c r="O20" s="19">
        <v>984.5</v>
      </c>
      <c r="P20" s="19">
        <v>55</v>
      </c>
      <c r="Q20" s="19">
        <v>4242.3</v>
      </c>
      <c r="R20" s="19">
        <v>237</v>
      </c>
      <c r="S20" s="19">
        <v>1557.3</v>
      </c>
      <c r="T20" s="19">
        <v>87</v>
      </c>
      <c r="U20" s="19">
        <v>5173.1000000000004</v>
      </c>
      <c r="V20" s="19">
        <v>353</v>
      </c>
      <c r="W20" s="19">
        <v>0</v>
      </c>
      <c r="X20" s="19">
        <v>0</v>
      </c>
      <c r="Y20" s="19">
        <v>7124.2</v>
      </c>
      <c r="Z20" s="19">
        <v>398</v>
      </c>
      <c r="AA20" s="19">
        <v>2577.6</v>
      </c>
      <c r="AB20" s="19">
        <v>144</v>
      </c>
      <c r="AC20" s="19">
        <v>4439.2</v>
      </c>
      <c r="AD20" s="19">
        <v>248</v>
      </c>
      <c r="AE20" s="19">
        <v>1485.7</v>
      </c>
      <c r="AF20" s="19">
        <v>83</v>
      </c>
      <c r="AG20" s="19">
        <v>2470.1999999999998</v>
      </c>
      <c r="AH20" s="19">
        <v>138</v>
      </c>
      <c r="AI20" s="19">
        <v>2398.6</v>
      </c>
      <c r="AJ20" s="19">
        <v>134</v>
      </c>
      <c r="AK20" s="19">
        <v>2291.1999999999998</v>
      </c>
      <c r="AL20" s="19">
        <v>128</v>
      </c>
      <c r="AM20" s="19">
        <v>3508.4</v>
      </c>
      <c r="AN20" s="19">
        <v>196</v>
      </c>
      <c r="AO20" s="19">
        <v>2881.9</v>
      </c>
      <c r="AP20" s="19">
        <v>161</v>
      </c>
      <c r="AQ20" s="19">
        <v>2667.1</v>
      </c>
      <c r="AR20" s="19">
        <v>149</v>
      </c>
      <c r="AS20" s="19">
        <v>4152.8</v>
      </c>
      <c r="AT20" s="19">
        <v>232</v>
      </c>
      <c r="AU20" s="19">
        <v>2416.5</v>
      </c>
      <c r="AV20" s="19">
        <v>135</v>
      </c>
      <c r="AW20" s="19">
        <v>2864</v>
      </c>
      <c r="AX20" s="19">
        <v>160</v>
      </c>
      <c r="AY20" s="19">
        <v>2434.4</v>
      </c>
      <c r="AZ20" s="19">
        <v>136</v>
      </c>
      <c r="BA20" s="19">
        <v>4278.1000000000004</v>
      </c>
      <c r="BB20" s="19">
        <v>239</v>
      </c>
      <c r="BC20" s="19">
        <v>2523.9</v>
      </c>
      <c r="BD20" s="19">
        <v>191</v>
      </c>
      <c r="BE20" s="19">
        <v>1521.5</v>
      </c>
      <c r="BF20" s="19">
        <v>85</v>
      </c>
      <c r="BG20" s="19">
        <v>1020.3</v>
      </c>
      <c r="BH20" s="19">
        <v>57</v>
      </c>
      <c r="BI20" s="19">
        <v>6032.3</v>
      </c>
      <c r="BJ20" s="19">
        <v>337</v>
      </c>
      <c r="BK20" s="19">
        <v>1253</v>
      </c>
      <c r="BL20" s="19">
        <v>70</v>
      </c>
      <c r="BM20" s="19">
        <v>3687.4</v>
      </c>
      <c r="BN20" s="19">
        <v>206</v>
      </c>
      <c r="BO20" s="19">
        <v>2309.1</v>
      </c>
      <c r="BP20" s="19">
        <v>233</v>
      </c>
      <c r="BQ20" s="19">
        <v>2148</v>
      </c>
      <c r="BR20" s="19">
        <v>120</v>
      </c>
      <c r="BS20" s="19">
        <v>2416.5</v>
      </c>
      <c r="BT20" s="19">
        <v>135</v>
      </c>
      <c r="BU20" s="19">
        <v>1145.5999999999999</v>
      </c>
      <c r="BV20" s="19">
        <v>64</v>
      </c>
      <c r="BW20" s="19">
        <v>1432</v>
      </c>
      <c r="BX20" s="19">
        <v>80</v>
      </c>
      <c r="BY20" s="19">
        <v>3257.8</v>
      </c>
      <c r="BZ20" s="19">
        <v>182</v>
      </c>
      <c r="CA20" s="19">
        <v>2846.1</v>
      </c>
      <c r="CB20" s="19">
        <v>297</v>
      </c>
      <c r="CC20" s="19">
        <v>1807.9</v>
      </c>
      <c r="CD20" s="19">
        <v>101</v>
      </c>
      <c r="CE20" s="19">
        <v>912.9</v>
      </c>
      <c r="CF20" s="19">
        <v>51</v>
      </c>
      <c r="CG20" s="19">
        <v>1270.9000000000001</v>
      </c>
      <c r="CH20" s="19">
        <v>71</v>
      </c>
      <c r="CI20" s="19">
        <v>1897.4</v>
      </c>
      <c r="CJ20" s="19">
        <v>106</v>
      </c>
      <c r="CK20" s="19">
        <v>1754.2</v>
      </c>
      <c r="CL20" s="19">
        <v>98</v>
      </c>
      <c r="CM20" s="19">
        <v>1306.7</v>
      </c>
      <c r="CN20" s="19">
        <v>73</v>
      </c>
      <c r="CO20" s="19">
        <v>572.79999999999995</v>
      </c>
      <c r="CP20" s="19">
        <v>32</v>
      </c>
      <c r="CQ20" s="19">
        <v>984.5</v>
      </c>
      <c r="CR20" s="19">
        <v>55</v>
      </c>
      <c r="CS20" s="19">
        <v>2058.5</v>
      </c>
      <c r="CT20" s="19">
        <v>115</v>
      </c>
      <c r="CU20" s="19">
        <v>429.6</v>
      </c>
      <c r="CV20" s="19">
        <v>24</v>
      </c>
      <c r="CW20" s="19">
        <v>698.1</v>
      </c>
      <c r="CX20" s="19">
        <v>39</v>
      </c>
      <c r="CY20" s="19">
        <v>823.4</v>
      </c>
      <c r="CZ20" s="19">
        <v>46</v>
      </c>
      <c r="DA20" s="19">
        <v>2667.1</v>
      </c>
      <c r="DB20" s="19">
        <v>149</v>
      </c>
      <c r="DC20" s="19">
        <v>1342.5</v>
      </c>
      <c r="DD20" s="19">
        <v>75</v>
      </c>
      <c r="DE20" s="19">
        <v>912.9</v>
      </c>
      <c r="DF20" s="19">
        <v>51</v>
      </c>
      <c r="DG20" s="19">
        <v>1074</v>
      </c>
      <c r="DH20" s="19">
        <v>60</v>
      </c>
      <c r="DI20" s="19">
        <v>1217.2</v>
      </c>
      <c r="DJ20" s="19">
        <v>68</v>
      </c>
      <c r="DK20" s="19">
        <v>751.8</v>
      </c>
      <c r="DL20" s="19">
        <v>42</v>
      </c>
      <c r="DM20" s="19">
        <v>537</v>
      </c>
      <c r="DN20" s="19">
        <v>30</v>
      </c>
      <c r="DO20" s="19">
        <v>572.79999999999995</v>
      </c>
      <c r="DP20" s="19">
        <v>32</v>
      </c>
      <c r="DQ20" s="19">
        <v>662.3</v>
      </c>
      <c r="DR20" s="19">
        <v>37</v>
      </c>
      <c r="DS20" s="19">
        <v>930.8</v>
      </c>
      <c r="DT20" s="19">
        <v>52</v>
      </c>
      <c r="DU20" s="19">
        <v>572.79999999999995</v>
      </c>
      <c r="DV20" s="19">
        <v>32</v>
      </c>
      <c r="DW20" s="19">
        <v>590.70000000000005</v>
      </c>
      <c r="DX20" s="19">
        <v>33</v>
      </c>
      <c r="DY20" s="19">
        <v>411.7</v>
      </c>
      <c r="DZ20" s="19">
        <v>23</v>
      </c>
      <c r="EA20" s="19">
        <v>590.70000000000005</v>
      </c>
      <c r="EB20" s="19">
        <v>33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19">
        <v>0</v>
      </c>
      <c r="ET20" s="119">
        <v>0</v>
      </c>
    </row>
    <row r="21" spans="1:150" ht="16.5" customHeight="1" x14ac:dyDescent="0.35">
      <c r="A21" s="4">
        <v>201</v>
      </c>
      <c r="B21" s="4" t="str">
        <f>LOOKUP(A21,Lookup!$A$1:$A$34,Lookup!$B$1:$B$34)</f>
        <v>BUTCHERY</v>
      </c>
      <c r="C21" s="5">
        <v>58663</v>
      </c>
      <c r="D21" s="6" t="s">
        <v>26</v>
      </c>
      <c r="E21" s="18">
        <v>0</v>
      </c>
      <c r="F21" s="18">
        <v>0</v>
      </c>
      <c r="G21" s="18">
        <v>0</v>
      </c>
      <c r="H21" s="18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19">
        <v>0</v>
      </c>
      <c r="ET21" s="119">
        <v>0</v>
      </c>
    </row>
    <row r="22" spans="1:150" ht="16.5" customHeight="1" x14ac:dyDescent="0.35">
      <c r="A22" s="4">
        <v>201</v>
      </c>
      <c r="B22" s="4" t="str">
        <f>LOOKUP(A22,Lookup!$A$1:$A$34,Lookup!$B$1:$B$34)</f>
        <v>BUTCHERY</v>
      </c>
      <c r="C22" s="5">
        <v>61370</v>
      </c>
      <c r="D22" s="6" t="s">
        <v>27</v>
      </c>
      <c r="E22" s="18">
        <v>4.9590876692801098</v>
      </c>
      <c r="F22" s="18">
        <v>0.19700000000000001</v>
      </c>
      <c r="G22" s="18">
        <v>302.50434782608698</v>
      </c>
      <c r="H22" s="18">
        <v>12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100.834782608696</v>
      </c>
      <c r="DZ22" s="19">
        <v>4</v>
      </c>
      <c r="EA22" s="19">
        <v>151.25217391304301</v>
      </c>
      <c r="EB22" s="19">
        <v>6</v>
      </c>
      <c r="EC22" s="19">
        <v>0</v>
      </c>
      <c r="ED22" s="19">
        <v>0</v>
      </c>
      <c r="EE22" s="19">
        <v>0</v>
      </c>
      <c r="EF22" s="19">
        <v>0</v>
      </c>
      <c r="EG22" s="19">
        <v>50.417391304347802</v>
      </c>
      <c r="EH22" s="19">
        <v>2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19">
        <v>0</v>
      </c>
      <c r="ET22" s="119">
        <v>0</v>
      </c>
    </row>
    <row r="23" spans="1:150" ht="16.5" customHeight="1" x14ac:dyDescent="0.35">
      <c r="A23" s="4">
        <v>201</v>
      </c>
      <c r="B23" s="4" t="str">
        <f>LOOKUP(A23,Lookup!$A$1:$A$34,Lookup!$B$1:$B$34)</f>
        <v>BUTCHERY</v>
      </c>
      <c r="C23" s="5">
        <v>64127</v>
      </c>
      <c r="D23" s="6" t="s">
        <v>28</v>
      </c>
      <c r="E23" s="18">
        <v>0</v>
      </c>
      <c r="F23" s="18">
        <v>0</v>
      </c>
      <c r="G23" s="18">
        <v>0</v>
      </c>
      <c r="H23" s="18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19">
        <v>0</v>
      </c>
      <c r="ET23" s="119">
        <v>0</v>
      </c>
    </row>
    <row r="24" spans="1:150" ht="16.5" customHeight="1" x14ac:dyDescent="0.35">
      <c r="A24" s="4">
        <v>201</v>
      </c>
      <c r="B24" s="4" t="str">
        <f>LOOKUP(A24,Lookup!$A$1:$A$34,Lookup!$B$1:$B$34)</f>
        <v>BUTCHERY</v>
      </c>
      <c r="C24" s="5">
        <v>64128</v>
      </c>
      <c r="D24" s="6" t="s">
        <v>29</v>
      </c>
      <c r="E24" s="18">
        <v>0</v>
      </c>
      <c r="F24" s="18">
        <v>0</v>
      </c>
      <c r="G24" s="18">
        <v>0</v>
      </c>
      <c r="H24" s="18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19">
        <v>0</v>
      </c>
      <c r="ET24" s="119">
        <v>0</v>
      </c>
    </row>
    <row r="25" spans="1:150" ht="16.5" customHeight="1" x14ac:dyDescent="0.35">
      <c r="A25" s="4">
        <v>201</v>
      </c>
      <c r="B25" s="4" t="str">
        <f>LOOKUP(A25,Lookup!$A$1:$A$34,Lookup!$B$1:$B$34)</f>
        <v>BUTCHERY</v>
      </c>
      <c r="C25" s="5">
        <v>64129</v>
      </c>
      <c r="D25" s="6" t="s">
        <v>30</v>
      </c>
      <c r="E25" s="18">
        <v>0</v>
      </c>
      <c r="F25" s="18">
        <v>0</v>
      </c>
      <c r="G25" s="18">
        <v>0</v>
      </c>
      <c r="H25" s="18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19">
        <v>0</v>
      </c>
      <c r="ET25" s="119">
        <v>0</v>
      </c>
    </row>
    <row r="26" spans="1:150" ht="16.5" customHeight="1" x14ac:dyDescent="0.35">
      <c r="A26" s="4">
        <v>201</v>
      </c>
      <c r="B26" s="4" t="str">
        <f>LOOKUP(A26,Lookup!$A$1:$A$34,Lookup!$B$1:$B$34)</f>
        <v>BUTCHERY</v>
      </c>
      <c r="C26" s="5">
        <v>64130</v>
      </c>
      <c r="D26" s="6" t="s">
        <v>31</v>
      </c>
      <c r="E26" s="18">
        <v>0</v>
      </c>
      <c r="F26" s="18">
        <v>0</v>
      </c>
      <c r="G26" s="18">
        <v>0</v>
      </c>
      <c r="H26" s="18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19">
        <v>0</v>
      </c>
      <c r="ET26" s="119">
        <v>0</v>
      </c>
    </row>
    <row r="27" spans="1:150" ht="16.5" customHeight="1" x14ac:dyDescent="0.35">
      <c r="A27" s="4">
        <v>201</v>
      </c>
      <c r="B27" s="4" t="str">
        <f>LOOKUP(A27,Lookup!$A$1:$A$34,Lookup!$B$1:$B$34)</f>
        <v>BUTCHERY</v>
      </c>
      <c r="C27" s="5">
        <v>64131</v>
      </c>
      <c r="D27" s="6" t="s">
        <v>32</v>
      </c>
      <c r="E27" s="18">
        <v>0</v>
      </c>
      <c r="F27" s="18">
        <v>0</v>
      </c>
      <c r="G27" s="18">
        <v>0</v>
      </c>
      <c r="H27" s="18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19">
        <v>0</v>
      </c>
      <c r="ET27" s="119">
        <v>0</v>
      </c>
    </row>
    <row r="28" spans="1:150" ht="16.5" customHeight="1" x14ac:dyDescent="0.35">
      <c r="A28" s="4">
        <v>201</v>
      </c>
      <c r="B28" s="4" t="str">
        <f>LOOKUP(A28,Lookup!$A$1:$A$34,Lookup!$B$1:$B$34)</f>
        <v>BUTCHERY</v>
      </c>
      <c r="C28" s="5">
        <v>64132</v>
      </c>
      <c r="D28" s="6" t="s">
        <v>33</v>
      </c>
      <c r="E28" s="18">
        <v>0</v>
      </c>
      <c r="F28" s="18">
        <v>0</v>
      </c>
      <c r="G28" s="18">
        <v>0</v>
      </c>
      <c r="H28" s="18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19">
        <v>0</v>
      </c>
      <c r="ET28" s="119">
        <v>0</v>
      </c>
    </row>
    <row r="29" spans="1:150" ht="16.5" customHeight="1" x14ac:dyDescent="0.35">
      <c r="A29" s="4">
        <v>201</v>
      </c>
      <c r="B29" s="4" t="str">
        <f>LOOKUP(A29,Lookup!$A$1:$A$34,Lookup!$B$1:$B$34)</f>
        <v>BUTCHERY</v>
      </c>
      <c r="C29" s="5">
        <v>64487</v>
      </c>
      <c r="D29" s="6" t="s">
        <v>25</v>
      </c>
      <c r="E29" s="18">
        <v>0</v>
      </c>
      <c r="F29" s="18">
        <v>0</v>
      </c>
      <c r="G29" s="18">
        <v>0</v>
      </c>
      <c r="H29" s="18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19">
        <v>0</v>
      </c>
      <c r="ET29" s="119">
        <v>0</v>
      </c>
    </row>
    <row r="30" spans="1:150" ht="16.5" customHeight="1" x14ac:dyDescent="0.35">
      <c r="A30" s="4">
        <v>201</v>
      </c>
      <c r="B30" s="4" t="str">
        <f>LOOKUP(A30,Lookup!$A$1:$A$34,Lookup!$B$1:$B$34)</f>
        <v>BUTCHERY</v>
      </c>
      <c r="C30" s="5">
        <v>64922</v>
      </c>
      <c r="D30" s="6" t="s">
        <v>34</v>
      </c>
      <c r="E30" s="18">
        <v>0</v>
      </c>
      <c r="F30" s="18">
        <v>0</v>
      </c>
      <c r="G30" s="18">
        <v>0</v>
      </c>
      <c r="H30" s="18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19">
        <v>0</v>
      </c>
      <c r="ET30" s="119">
        <v>0</v>
      </c>
    </row>
    <row r="31" spans="1:150" ht="16.5" customHeight="1" x14ac:dyDescent="0.35">
      <c r="A31" s="4">
        <v>201</v>
      </c>
      <c r="B31" s="4" t="str">
        <f>LOOKUP(A31,Lookup!$A$1:$A$34,Lookup!$B$1:$B$34)</f>
        <v>BUTCHERY</v>
      </c>
      <c r="C31" s="5">
        <v>64923</v>
      </c>
      <c r="D31" s="6" t="s">
        <v>35</v>
      </c>
      <c r="E31" s="18">
        <v>0</v>
      </c>
      <c r="F31" s="18">
        <v>0</v>
      </c>
      <c r="G31" s="18">
        <v>0</v>
      </c>
      <c r="H31" s="18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19">
        <v>0</v>
      </c>
      <c r="ET31" s="119">
        <v>0</v>
      </c>
    </row>
    <row r="32" spans="1:150" ht="16.5" customHeight="1" x14ac:dyDescent="0.35">
      <c r="A32" s="4">
        <v>201</v>
      </c>
      <c r="B32" s="4" t="str">
        <f>LOOKUP(A32,Lookup!$A$1:$A$34,Lookup!$B$1:$B$34)</f>
        <v>BUTCHERY</v>
      </c>
      <c r="C32" s="5">
        <v>64924</v>
      </c>
      <c r="D32" s="6" t="s">
        <v>36</v>
      </c>
      <c r="E32" s="18">
        <v>0</v>
      </c>
      <c r="F32" s="18">
        <v>0</v>
      </c>
      <c r="G32" s="18">
        <v>0</v>
      </c>
      <c r="H32" s="18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19">
        <v>0</v>
      </c>
      <c r="ET32" s="119">
        <v>0</v>
      </c>
    </row>
    <row r="33" spans="1:150" ht="16.5" customHeight="1" x14ac:dyDescent="0.35">
      <c r="A33" s="4">
        <v>201</v>
      </c>
      <c r="B33" s="4" t="str">
        <f>LOOKUP(A33,Lookup!$A$1:$A$34,Lookup!$B$1:$B$34)</f>
        <v>BUTCHERY</v>
      </c>
      <c r="C33" s="5">
        <v>64928</v>
      </c>
      <c r="D33" s="6" t="s">
        <v>37</v>
      </c>
      <c r="E33" s="18">
        <v>0</v>
      </c>
      <c r="F33" s="18">
        <v>0</v>
      </c>
      <c r="G33" s="18">
        <v>0</v>
      </c>
      <c r="H33" s="18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19">
        <v>0</v>
      </c>
      <c r="DY33" s="19">
        <v>0</v>
      </c>
      <c r="DZ33" s="19">
        <v>0</v>
      </c>
      <c r="EA33" s="19">
        <v>0</v>
      </c>
      <c r="EB33" s="19">
        <v>0</v>
      </c>
      <c r="EC33" s="19">
        <v>0</v>
      </c>
      <c r="ED33" s="19">
        <v>0</v>
      </c>
      <c r="EE33" s="19">
        <v>0</v>
      </c>
      <c r="EF33" s="19">
        <v>0</v>
      </c>
      <c r="EG33" s="19">
        <v>0</v>
      </c>
      <c r="EH33" s="19">
        <v>0</v>
      </c>
      <c r="EI33" s="19">
        <v>0</v>
      </c>
      <c r="EJ33" s="19">
        <v>0</v>
      </c>
      <c r="EK33" s="19">
        <v>0</v>
      </c>
      <c r="EL33" s="19">
        <v>0</v>
      </c>
      <c r="EM33" s="19">
        <v>0</v>
      </c>
      <c r="EN33" s="19">
        <v>0</v>
      </c>
      <c r="EO33" s="19">
        <v>0</v>
      </c>
      <c r="EP33" s="19">
        <v>0</v>
      </c>
      <c r="EQ33" s="19">
        <v>0</v>
      </c>
      <c r="ER33" s="19">
        <v>0</v>
      </c>
      <c r="ES33" s="119">
        <v>0</v>
      </c>
      <c r="ET33" s="119">
        <v>0</v>
      </c>
    </row>
    <row r="34" spans="1:150" ht="16.5" customHeight="1" x14ac:dyDescent="0.35">
      <c r="A34" s="4">
        <v>201</v>
      </c>
      <c r="B34" s="4" t="str">
        <f>LOOKUP(A34,Lookup!$A$1:$A$34,Lookup!$B$1:$B$34)</f>
        <v>BUTCHERY</v>
      </c>
      <c r="C34" s="5">
        <v>64929</v>
      </c>
      <c r="D34" s="6" t="s">
        <v>38</v>
      </c>
      <c r="E34" s="18">
        <v>0</v>
      </c>
      <c r="F34" s="18">
        <v>0</v>
      </c>
      <c r="G34" s="18">
        <v>0</v>
      </c>
      <c r="H34" s="18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  <c r="DZ34" s="19">
        <v>0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0</v>
      </c>
      <c r="EI34" s="19">
        <v>0</v>
      </c>
      <c r="EJ34" s="19">
        <v>0</v>
      </c>
      <c r="EK34" s="19">
        <v>0</v>
      </c>
      <c r="EL34" s="19">
        <v>0</v>
      </c>
      <c r="EM34" s="19">
        <v>0</v>
      </c>
      <c r="EN34" s="19">
        <v>0</v>
      </c>
      <c r="EO34" s="19">
        <v>0</v>
      </c>
      <c r="EP34" s="19">
        <v>0</v>
      </c>
      <c r="EQ34" s="19">
        <v>0</v>
      </c>
      <c r="ER34" s="19">
        <v>0</v>
      </c>
      <c r="ES34" s="119">
        <v>0</v>
      </c>
      <c r="ET34" s="119">
        <v>0</v>
      </c>
    </row>
    <row r="35" spans="1:150" ht="16.5" customHeight="1" x14ac:dyDescent="0.35">
      <c r="A35" s="4">
        <v>201</v>
      </c>
      <c r="B35" s="4" t="str">
        <f>LOOKUP(A35,Lookup!$A$1:$A$34,Lookup!$B$1:$B$34)</f>
        <v>BUTCHERY</v>
      </c>
      <c r="C35" s="5">
        <v>64930</v>
      </c>
      <c r="D35" s="6" t="s">
        <v>39</v>
      </c>
      <c r="E35" s="18">
        <v>0</v>
      </c>
      <c r="F35" s="18">
        <v>0</v>
      </c>
      <c r="G35" s="18">
        <v>0</v>
      </c>
      <c r="H35" s="18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19">
        <v>0</v>
      </c>
      <c r="ET35" s="119">
        <v>0</v>
      </c>
    </row>
    <row r="36" spans="1:150" ht="16.5" customHeight="1" x14ac:dyDescent="0.35">
      <c r="A36" s="4">
        <v>201</v>
      </c>
      <c r="B36" s="4" t="str">
        <f>LOOKUP(A36,Lookup!$A$1:$A$34,Lookup!$B$1:$B$34)</f>
        <v>BUTCHERY</v>
      </c>
      <c r="C36" s="5">
        <v>64933</v>
      </c>
      <c r="D36" s="6" t="s">
        <v>40</v>
      </c>
      <c r="E36" s="18">
        <v>0</v>
      </c>
      <c r="F36" s="18">
        <v>0</v>
      </c>
      <c r="G36" s="18">
        <v>0</v>
      </c>
      <c r="H36" s="18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0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19">
        <v>0</v>
      </c>
      <c r="EP36" s="19">
        <v>0</v>
      </c>
      <c r="EQ36" s="19">
        <v>0</v>
      </c>
      <c r="ER36" s="19">
        <v>0</v>
      </c>
      <c r="ES36" s="119">
        <v>0</v>
      </c>
      <c r="ET36" s="119">
        <v>0</v>
      </c>
    </row>
    <row r="37" spans="1:150" ht="16.5" customHeight="1" x14ac:dyDescent="0.35">
      <c r="A37" s="4">
        <v>201</v>
      </c>
      <c r="B37" s="4" t="str">
        <f>LOOKUP(A37,Lookup!$A$1:$A$34,Lookup!$B$1:$B$34)</f>
        <v>BUTCHERY</v>
      </c>
      <c r="C37" s="5">
        <v>64934</v>
      </c>
      <c r="D37" s="6" t="s">
        <v>41</v>
      </c>
      <c r="E37" s="18">
        <v>0</v>
      </c>
      <c r="F37" s="18">
        <v>0</v>
      </c>
      <c r="G37" s="18">
        <v>0</v>
      </c>
      <c r="H37" s="18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  <c r="DW37" s="19">
        <v>0</v>
      </c>
      <c r="DX37" s="19">
        <v>0</v>
      </c>
      <c r="DY37" s="19">
        <v>0</v>
      </c>
      <c r="DZ37" s="19">
        <v>0</v>
      </c>
      <c r="EA37" s="19">
        <v>0</v>
      </c>
      <c r="EB37" s="19">
        <v>0</v>
      </c>
      <c r="EC37" s="19">
        <v>0</v>
      </c>
      <c r="ED37" s="19">
        <v>0</v>
      </c>
      <c r="EE37" s="19">
        <v>0</v>
      </c>
      <c r="EF37" s="19">
        <v>0</v>
      </c>
      <c r="EG37" s="19">
        <v>0</v>
      </c>
      <c r="EH37" s="19">
        <v>0</v>
      </c>
      <c r="EI37" s="19">
        <v>0</v>
      </c>
      <c r="EJ37" s="19">
        <v>0</v>
      </c>
      <c r="EK37" s="19">
        <v>0</v>
      </c>
      <c r="EL37" s="19">
        <v>0</v>
      </c>
      <c r="EM37" s="19">
        <v>0</v>
      </c>
      <c r="EN37" s="19">
        <v>0</v>
      </c>
      <c r="EO37" s="19">
        <v>0</v>
      </c>
      <c r="EP37" s="19">
        <v>0</v>
      </c>
      <c r="EQ37" s="19">
        <v>0</v>
      </c>
      <c r="ER37" s="19">
        <v>0</v>
      </c>
      <c r="ES37" s="119">
        <v>0</v>
      </c>
      <c r="ET37" s="119">
        <v>0</v>
      </c>
    </row>
    <row r="38" spans="1:150" ht="16.5" customHeight="1" x14ac:dyDescent="0.35">
      <c r="A38" s="4">
        <v>201</v>
      </c>
      <c r="B38" s="4" t="str">
        <f>LOOKUP(A38,Lookup!$A$1:$A$34,Lookup!$B$1:$B$34)</f>
        <v>BUTCHERY</v>
      </c>
      <c r="C38" s="5">
        <v>65132</v>
      </c>
      <c r="D38" s="6" t="s">
        <v>42</v>
      </c>
      <c r="E38" s="18">
        <v>0</v>
      </c>
      <c r="F38" s="18">
        <v>0</v>
      </c>
      <c r="G38" s="18">
        <v>0</v>
      </c>
      <c r="H38" s="18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9">
        <v>0</v>
      </c>
      <c r="EP38" s="19">
        <v>0</v>
      </c>
      <c r="EQ38" s="19">
        <v>0</v>
      </c>
      <c r="ER38" s="19">
        <v>0</v>
      </c>
      <c r="ES38" s="119">
        <v>0</v>
      </c>
      <c r="ET38" s="119">
        <v>0</v>
      </c>
    </row>
    <row r="39" spans="1:150" ht="16.5" customHeight="1" x14ac:dyDescent="0.35">
      <c r="A39" s="4">
        <v>201</v>
      </c>
      <c r="B39" s="4" t="str">
        <f>LOOKUP(A39,Lookup!$A$1:$A$34,Lookup!$B$1:$B$34)</f>
        <v>BUTCHERY</v>
      </c>
      <c r="C39" s="5">
        <v>65133</v>
      </c>
      <c r="D39" s="6" t="s">
        <v>43</v>
      </c>
      <c r="E39" s="18">
        <v>0</v>
      </c>
      <c r="F39" s="18">
        <v>0</v>
      </c>
      <c r="G39" s="18">
        <v>0</v>
      </c>
      <c r="H39" s="18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</v>
      </c>
      <c r="EG39" s="19">
        <v>0</v>
      </c>
      <c r="EH39" s="19">
        <v>0</v>
      </c>
      <c r="EI39" s="19">
        <v>0</v>
      </c>
      <c r="EJ39" s="19">
        <v>0</v>
      </c>
      <c r="EK39" s="19">
        <v>0</v>
      </c>
      <c r="EL39" s="19">
        <v>0</v>
      </c>
      <c r="EM39" s="19">
        <v>0</v>
      </c>
      <c r="EN39" s="19">
        <v>0</v>
      </c>
      <c r="EO39" s="19">
        <v>0</v>
      </c>
      <c r="EP39" s="19">
        <v>0</v>
      </c>
      <c r="EQ39" s="19">
        <v>0</v>
      </c>
      <c r="ER39" s="19">
        <v>0</v>
      </c>
      <c r="ES39" s="119">
        <v>0</v>
      </c>
      <c r="ET39" s="119">
        <v>0</v>
      </c>
    </row>
    <row r="40" spans="1:150" ht="16.5" customHeight="1" x14ac:dyDescent="0.35">
      <c r="A40" s="4">
        <v>201</v>
      </c>
      <c r="B40" s="4" t="str">
        <f>LOOKUP(A40,Lookup!$A$1:$A$34,Lookup!$B$1:$B$34)</f>
        <v>BUTCHERY</v>
      </c>
      <c r="C40" s="5">
        <v>65134</v>
      </c>
      <c r="D40" s="6" t="s">
        <v>44</v>
      </c>
      <c r="E40" s="18">
        <v>0</v>
      </c>
      <c r="F40" s="18">
        <v>0</v>
      </c>
      <c r="G40" s="18">
        <v>0</v>
      </c>
      <c r="H40" s="18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</v>
      </c>
      <c r="EJ40" s="19">
        <v>0</v>
      </c>
      <c r="EK40" s="19">
        <v>0</v>
      </c>
      <c r="EL40" s="19">
        <v>0</v>
      </c>
      <c r="EM40" s="19">
        <v>0</v>
      </c>
      <c r="EN40" s="19">
        <v>0</v>
      </c>
      <c r="EO40" s="19">
        <v>0</v>
      </c>
      <c r="EP40" s="19">
        <v>0</v>
      </c>
      <c r="EQ40" s="19">
        <v>0</v>
      </c>
      <c r="ER40" s="19">
        <v>0</v>
      </c>
      <c r="ES40" s="119">
        <v>0</v>
      </c>
      <c r="ET40" s="119">
        <v>0</v>
      </c>
    </row>
    <row r="41" spans="1:150" ht="16.5" customHeight="1" x14ac:dyDescent="0.35">
      <c r="A41" s="4">
        <v>201</v>
      </c>
      <c r="B41" s="4" t="str">
        <f>LOOKUP(A41,Lookup!$A$1:$A$34,Lookup!$B$1:$B$34)</f>
        <v>BUTCHERY</v>
      </c>
      <c r="C41" s="5">
        <v>65135</v>
      </c>
      <c r="D41" s="6" t="s">
        <v>45</v>
      </c>
      <c r="E41" s="18">
        <v>0</v>
      </c>
      <c r="F41" s="18">
        <v>0</v>
      </c>
      <c r="G41" s="18">
        <v>0</v>
      </c>
      <c r="H41" s="18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</v>
      </c>
      <c r="EK41" s="19">
        <v>0</v>
      </c>
      <c r="EL41" s="19">
        <v>0</v>
      </c>
      <c r="EM41" s="19">
        <v>0</v>
      </c>
      <c r="EN41" s="19">
        <v>0</v>
      </c>
      <c r="EO41" s="19">
        <v>0</v>
      </c>
      <c r="EP41" s="19">
        <v>0</v>
      </c>
      <c r="EQ41" s="19">
        <v>0</v>
      </c>
      <c r="ER41" s="19">
        <v>0</v>
      </c>
      <c r="ES41" s="119">
        <v>0</v>
      </c>
      <c r="ET41" s="119">
        <v>0</v>
      </c>
    </row>
    <row r="42" spans="1:150" ht="16.5" customHeight="1" x14ac:dyDescent="0.35">
      <c r="A42" s="4">
        <v>201</v>
      </c>
      <c r="B42" s="4" t="str">
        <f>LOOKUP(A42,Lookup!$A$1:$A$34,Lookup!$B$1:$B$34)</f>
        <v>BUTCHERY</v>
      </c>
      <c r="C42" s="5">
        <v>65241</v>
      </c>
      <c r="D42" s="6" t="s">
        <v>46</v>
      </c>
      <c r="E42" s="18">
        <v>0</v>
      </c>
      <c r="F42" s="18">
        <v>0</v>
      </c>
      <c r="G42" s="18">
        <v>0</v>
      </c>
      <c r="H42" s="18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</v>
      </c>
      <c r="EP42" s="19">
        <v>0</v>
      </c>
      <c r="EQ42" s="19">
        <v>0</v>
      </c>
      <c r="ER42" s="19">
        <v>0</v>
      </c>
      <c r="ES42" s="119">
        <v>0</v>
      </c>
      <c r="ET42" s="119">
        <v>0</v>
      </c>
    </row>
    <row r="43" spans="1:150" ht="16.5" customHeight="1" x14ac:dyDescent="0.35">
      <c r="A43" s="4">
        <v>201</v>
      </c>
      <c r="B43" s="4" t="str">
        <f>LOOKUP(A43,Lookup!$A$1:$A$34,Lookup!$B$1:$B$34)</f>
        <v>BUTCHERY</v>
      </c>
      <c r="C43" s="5">
        <v>65242</v>
      </c>
      <c r="D43" s="6" t="s">
        <v>47</v>
      </c>
      <c r="E43" s="18">
        <v>0</v>
      </c>
      <c r="F43" s="18">
        <v>0</v>
      </c>
      <c r="G43" s="18">
        <v>0</v>
      </c>
      <c r="H43" s="18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</v>
      </c>
      <c r="EQ43" s="19">
        <v>0</v>
      </c>
      <c r="ER43" s="19">
        <v>0</v>
      </c>
      <c r="ES43" s="119">
        <v>0</v>
      </c>
      <c r="ET43" s="119">
        <v>0</v>
      </c>
    </row>
    <row r="44" spans="1:150" ht="16.5" customHeight="1" x14ac:dyDescent="0.35">
      <c r="A44" s="4">
        <v>201</v>
      </c>
      <c r="B44" s="4" t="str">
        <f>LOOKUP(A44,Lookup!$A$1:$A$34,Lookup!$B$1:$B$34)</f>
        <v>BUTCHERY</v>
      </c>
      <c r="C44" s="5">
        <v>65711</v>
      </c>
      <c r="D44" s="6" t="s">
        <v>48</v>
      </c>
      <c r="E44" s="18">
        <v>0</v>
      </c>
      <c r="F44" s="18">
        <v>0</v>
      </c>
      <c r="G44" s="18">
        <v>0</v>
      </c>
      <c r="H44" s="18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</v>
      </c>
      <c r="ES44" s="119">
        <v>0</v>
      </c>
      <c r="ET44" s="119">
        <v>0</v>
      </c>
    </row>
    <row r="45" spans="1:150" ht="16.5" customHeight="1" x14ac:dyDescent="0.35">
      <c r="A45" s="4">
        <v>201</v>
      </c>
      <c r="B45" s="4" t="str">
        <f>LOOKUP(A45,Lookup!$A$1:$A$34,Lookup!$B$1:$B$34)</f>
        <v>BUTCHERY</v>
      </c>
      <c r="C45" s="5">
        <v>65712</v>
      </c>
      <c r="D45" s="6" t="s">
        <v>49</v>
      </c>
      <c r="E45" s="18">
        <v>0</v>
      </c>
      <c r="F45" s="18">
        <v>0</v>
      </c>
      <c r="G45" s="18">
        <v>0</v>
      </c>
      <c r="H45" s="18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19">
        <v>0</v>
      </c>
      <c r="DK45" s="19">
        <v>0</v>
      </c>
      <c r="DL45" s="19">
        <v>0</v>
      </c>
      <c r="DM45" s="19">
        <v>0</v>
      </c>
      <c r="DN45" s="19">
        <v>0</v>
      </c>
      <c r="DO45" s="19">
        <v>0</v>
      </c>
      <c r="DP45" s="19">
        <v>0</v>
      </c>
      <c r="DQ45" s="19">
        <v>0</v>
      </c>
      <c r="DR45" s="19">
        <v>0</v>
      </c>
      <c r="DS45" s="19">
        <v>0</v>
      </c>
      <c r="DT45" s="19">
        <v>0</v>
      </c>
      <c r="DU45" s="19">
        <v>0</v>
      </c>
      <c r="DV45" s="19">
        <v>0</v>
      </c>
      <c r="DW45" s="19">
        <v>0</v>
      </c>
      <c r="DX45" s="19">
        <v>0</v>
      </c>
      <c r="DY45" s="19">
        <v>0</v>
      </c>
      <c r="DZ45" s="19">
        <v>0</v>
      </c>
      <c r="EA45" s="19">
        <v>0</v>
      </c>
      <c r="EB45" s="19">
        <v>0</v>
      </c>
      <c r="EC45" s="19">
        <v>0</v>
      </c>
      <c r="ED45" s="19">
        <v>0</v>
      </c>
      <c r="EE45" s="19">
        <v>0</v>
      </c>
      <c r="EF45" s="19">
        <v>0</v>
      </c>
      <c r="EG45" s="19">
        <v>0</v>
      </c>
      <c r="EH45" s="19">
        <v>0</v>
      </c>
      <c r="EI45" s="19">
        <v>0</v>
      </c>
      <c r="EJ45" s="19">
        <v>0</v>
      </c>
      <c r="EK45" s="19">
        <v>0</v>
      </c>
      <c r="EL45" s="19">
        <v>0</v>
      </c>
      <c r="EM45" s="19">
        <v>0</v>
      </c>
      <c r="EN45" s="19">
        <v>0</v>
      </c>
      <c r="EO45" s="19">
        <v>0</v>
      </c>
      <c r="EP45" s="19">
        <v>0</v>
      </c>
      <c r="EQ45" s="19">
        <v>0</v>
      </c>
      <c r="ER45" s="19">
        <v>0</v>
      </c>
      <c r="ES45" s="119">
        <v>0</v>
      </c>
      <c r="ET45" s="119">
        <v>0</v>
      </c>
    </row>
    <row r="46" spans="1:150" ht="16.5" customHeight="1" x14ac:dyDescent="0.35">
      <c r="A46" s="4">
        <v>201</v>
      </c>
      <c r="B46" s="4" t="str">
        <f>LOOKUP(A46,Lookup!$A$1:$A$34,Lookup!$B$1:$B$34)</f>
        <v>BUTCHERY</v>
      </c>
      <c r="C46" s="5">
        <v>65713</v>
      </c>
      <c r="D46" s="6" t="s">
        <v>50</v>
      </c>
      <c r="E46" s="18">
        <v>0</v>
      </c>
      <c r="F46" s="18">
        <v>0</v>
      </c>
      <c r="G46" s="18">
        <v>0</v>
      </c>
      <c r="H46" s="18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19">
        <v>0</v>
      </c>
      <c r="ET46" s="119">
        <v>0</v>
      </c>
    </row>
    <row r="47" spans="1:150" ht="16.5" customHeight="1" x14ac:dyDescent="0.35">
      <c r="A47" s="4">
        <v>201</v>
      </c>
      <c r="B47" s="4" t="str">
        <f>LOOKUP(A47,Lookup!$A$1:$A$34,Lookup!$B$1:$B$34)</f>
        <v>BUTCHERY</v>
      </c>
      <c r="C47" s="5">
        <v>65714</v>
      </c>
      <c r="D47" s="6" t="s">
        <v>51</v>
      </c>
      <c r="E47" s="18">
        <v>0</v>
      </c>
      <c r="F47" s="18">
        <v>0</v>
      </c>
      <c r="G47" s="18">
        <v>0</v>
      </c>
      <c r="H47" s="18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19">
        <v>0</v>
      </c>
      <c r="ET47" s="119">
        <v>0</v>
      </c>
    </row>
    <row r="48" spans="1:150" ht="16.5" customHeight="1" x14ac:dyDescent="0.35">
      <c r="A48" s="4">
        <v>201</v>
      </c>
      <c r="B48" s="4" t="str">
        <f>LOOKUP(A48,Lookup!$A$1:$A$34,Lookup!$B$1:$B$34)</f>
        <v>BUTCHERY</v>
      </c>
      <c r="C48" s="5">
        <v>66122</v>
      </c>
      <c r="D48" s="6" t="s">
        <v>52</v>
      </c>
      <c r="E48" s="18">
        <v>0</v>
      </c>
      <c r="F48" s="18">
        <v>0</v>
      </c>
      <c r="G48" s="18">
        <v>0</v>
      </c>
      <c r="H48" s="18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19">
        <v>0</v>
      </c>
      <c r="ET48" s="119">
        <v>0</v>
      </c>
    </row>
    <row r="49" spans="1:150" ht="16.5" customHeight="1" x14ac:dyDescent="0.35">
      <c r="A49" s="4">
        <v>201</v>
      </c>
      <c r="B49" s="4" t="str">
        <f>LOOKUP(A49,Lookup!$A$1:$A$34,Lookup!$B$1:$B$34)</f>
        <v>BUTCHERY</v>
      </c>
      <c r="C49" s="5">
        <v>66123</v>
      </c>
      <c r="D49" s="6" t="s">
        <v>53</v>
      </c>
      <c r="E49" s="18">
        <v>0</v>
      </c>
      <c r="F49" s="18">
        <v>0</v>
      </c>
      <c r="G49" s="18">
        <v>0</v>
      </c>
      <c r="H49" s="18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19">
        <v>0</v>
      </c>
      <c r="ET49" s="119">
        <v>0</v>
      </c>
    </row>
    <row r="50" spans="1:150" ht="16.5" customHeight="1" x14ac:dyDescent="0.35">
      <c r="A50" s="4">
        <v>201</v>
      </c>
      <c r="B50" s="4" t="str">
        <f>LOOKUP(A50,Lookup!$A$1:$A$34,Lookup!$B$1:$B$34)</f>
        <v>BUTCHERY</v>
      </c>
      <c r="C50" s="5">
        <v>66709</v>
      </c>
      <c r="D50" s="6" t="s">
        <v>54</v>
      </c>
      <c r="E50" s="18">
        <v>0</v>
      </c>
      <c r="F50" s="18">
        <v>0</v>
      </c>
      <c r="G50" s="18">
        <v>0</v>
      </c>
      <c r="H50" s="18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19">
        <v>0</v>
      </c>
      <c r="ET50" s="119">
        <v>0</v>
      </c>
    </row>
    <row r="51" spans="1:150" ht="16.5" customHeight="1" x14ac:dyDescent="0.35">
      <c r="A51" s="4">
        <v>201</v>
      </c>
      <c r="B51" s="4" t="str">
        <f>LOOKUP(A51,Lookup!$A$1:$A$34,Lookup!$B$1:$B$34)</f>
        <v>BUTCHERY</v>
      </c>
      <c r="C51" s="5">
        <v>66710</v>
      </c>
      <c r="D51" s="6" t="s">
        <v>55</v>
      </c>
      <c r="E51" s="18">
        <v>0</v>
      </c>
      <c r="F51" s="18">
        <v>0</v>
      </c>
      <c r="G51" s="18">
        <v>0</v>
      </c>
      <c r="H51" s="18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  <c r="DK51" s="19">
        <v>0</v>
      </c>
      <c r="DL51" s="19">
        <v>0</v>
      </c>
      <c r="DM51" s="19">
        <v>0</v>
      </c>
      <c r="DN51" s="19">
        <v>0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0</v>
      </c>
      <c r="DX51" s="19">
        <v>0</v>
      </c>
      <c r="DY51" s="19">
        <v>0</v>
      </c>
      <c r="DZ51" s="19">
        <v>0</v>
      </c>
      <c r="EA51" s="19">
        <v>0</v>
      </c>
      <c r="EB51" s="19">
        <v>0</v>
      </c>
      <c r="EC51" s="19">
        <v>0</v>
      </c>
      <c r="ED51" s="19">
        <v>0</v>
      </c>
      <c r="EE51" s="19">
        <v>0</v>
      </c>
      <c r="EF51" s="19">
        <v>0</v>
      </c>
      <c r="EG51" s="19">
        <v>0</v>
      </c>
      <c r="EH51" s="19">
        <v>0</v>
      </c>
      <c r="EI51" s="19">
        <v>0</v>
      </c>
      <c r="EJ51" s="19">
        <v>0</v>
      </c>
      <c r="EK51" s="19">
        <v>0</v>
      </c>
      <c r="EL51" s="19">
        <v>0</v>
      </c>
      <c r="EM51" s="19">
        <v>0</v>
      </c>
      <c r="EN51" s="19">
        <v>0</v>
      </c>
      <c r="EO51" s="19">
        <v>0</v>
      </c>
      <c r="EP51" s="19">
        <v>0</v>
      </c>
      <c r="EQ51" s="19">
        <v>0</v>
      </c>
      <c r="ER51" s="19">
        <v>0</v>
      </c>
      <c r="ES51" s="119">
        <v>0</v>
      </c>
      <c r="ET51" s="119">
        <v>0</v>
      </c>
    </row>
    <row r="52" spans="1:150" ht="16.5" customHeight="1" x14ac:dyDescent="0.35">
      <c r="A52" s="4">
        <v>201</v>
      </c>
      <c r="B52" s="4" t="str">
        <f>LOOKUP(A52,Lookup!$A$1:$A$34,Lookup!$B$1:$B$34)</f>
        <v>BUTCHERY</v>
      </c>
      <c r="C52" s="5">
        <v>66711</v>
      </c>
      <c r="D52" s="6" t="s">
        <v>56</v>
      </c>
      <c r="E52" s="18">
        <v>0</v>
      </c>
      <c r="F52" s="18">
        <v>0</v>
      </c>
      <c r="G52" s="18">
        <v>0</v>
      </c>
      <c r="H52" s="18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19">
        <v>0</v>
      </c>
      <c r="DU52" s="19">
        <v>0</v>
      </c>
      <c r="DV52" s="19">
        <v>0</v>
      </c>
      <c r="DW52" s="19">
        <v>0</v>
      </c>
      <c r="DX52" s="19">
        <v>0</v>
      </c>
      <c r="DY52" s="19">
        <v>0</v>
      </c>
      <c r="DZ52" s="19">
        <v>0</v>
      </c>
      <c r="EA52" s="19">
        <v>0</v>
      </c>
      <c r="EB52" s="19">
        <v>0</v>
      </c>
      <c r="EC52" s="19">
        <v>0</v>
      </c>
      <c r="ED52" s="19">
        <v>0</v>
      </c>
      <c r="EE52" s="19">
        <v>0</v>
      </c>
      <c r="EF52" s="19">
        <v>0</v>
      </c>
      <c r="EG52" s="19">
        <v>0</v>
      </c>
      <c r="EH52" s="19">
        <v>0</v>
      </c>
      <c r="EI52" s="19">
        <v>0</v>
      </c>
      <c r="EJ52" s="19">
        <v>0</v>
      </c>
      <c r="EK52" s="19">
        <v>0</v>
      </c>
      <c r="EL52" s="19">
        <v>0</v>
      </c>
      <c r="EM52" s="19">
        <v>0</v>
      </c>
      <c r="EN52" s="19">
        <v>0</v>
      </c>
      <c r="EO52" s="19">
        <v>0</v>
      </c>
      <c r="EP52" s="19">
        <v>0</v>
      </c>
      <c r="EQ52" s="19">
        <v>0</v>
      </c>
      <c r="ER52" s="19">
        <v>0</v>
      </c>
      <c r="ES52" s="119">
        <v>0</v>
      </c>
      <c r="ET52" s="119">
        <v>0</v>
      </c>
    </row>
    <row r="53" spans="1:150" ht="16.5" customHeight="1" x14ac:dyDescent="0.35">
      <c r="A53" s="4">
        <v>201</v>
      </c>
      <c r="B53" s="4" t="str">
        <f>LOOKUP(A53,Lookup!$A$1:$A$34,Lookup!$B$1:$B$34)</f>
        <v>BUTCHERY</v>
      </c>
      <c r="C53" s="5">
        <v>66712</v>
      </c>
      <c r="D53" s="6" t="s">
        <v>57</v>
      </c>
      <c r="E53" s="18">
        <v>0</v>
      </c>
      <c r="F53" s="18">
        <v>0</v>
      </c>
      <c r="G53" s="18">
        <v>0</v>
      </c>
      <c r="H53" s="18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v>0</v>
      </c>
      <c r="DU53" s="19">
        <v>0</v>
      </c>
      <c r="DV53" s="19">
        <v>0</v>
      </c>
      <c r="DW53" s="19">
        <v>0</v>
      </c>
      <c r="DX53" s="19">
        <v>0</v>
      </c>
      <c r="DY53" s="19">
        <v>0</v>
      </c>
      <c r="DZ53" s="19">
        <v>0</v>
      </c>
      <c r="EA53" s="19">
        <v>0</v>
      </c>
      <c r="EB53" s="19">
        <v>0</v>
      </c>
      <c r="EC53" s="19">
        <v>0</v>
      </c>
      <c r="ED53" s="19">
        <v>0</v>
      </c>
      <c r="EE53" s="19">
        <v>0</v>
      </c>
      <c r="EF53" s="19">
        <v>0</v>
      </c>
      <c r="EG53" s="19">
        <v>0</v>
      </c>
      <c r="EH53" s="19">
        <v>0</v>
      </c>
      <c r="EI53" s="19">
        <v>0</v>
      </c>
      <c r="EJ53" s="19">
        <v>0</v>
      </c>
      <c r="EK53" s="19">
        <v>0</v>
      </c>
      <c r="EL53" s="19">
        <v>0</v>
      </c>
      <c r="EM53" s="19">
        <v>0</v>
      </c>
      <c r="EN53" s="19">
        <v>0</v>
      </c>
      <c r="EO53" s="19">
        <v>0</v>
      </c>
      <c r="EP53" s="19">
        <v>0</v>
      </c>
      <c r="EQ53" s="19">
        <v>0</v>
      </c>
      <c r="ER53" s="19">
        <v>0</v>
      </c>
      <c r="ES53" s="119">
        <v>0</v>
      </c>
      <c r="ET53" s="119">
        <v>0</v>
      </c>
    </row>
    <row r="54" spans="1:150" ht="16.5" customHeight="1" x14ac:dyDescent="0.35">
      <c r="A54" s="4">
        <v>201</v>
      </c>
      <c r="B54" s="4" t="str">
        <f>LOOKUP(A54,Lookup!$A$1:$A$34,Lookup!$B$1:$B$34)</f>
        <v>BUTCHERY</v>
      </c>
      <c r="C54" s="5">
        <v>66713</v>
      </c>
      <c r="D54" s="6" t="s">
        <v>58</v>
      </c>
      <c r="E54" s="18">
        <v>0</v>
      </c>
      <c r="F54" s="18">
        <v>0</v>
      </c>
      <c r="G54" s="18">
        <v>0</v>
      </c>
      <c r="H54" s="18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19">
        <v>0</v>
      </c>
      <c r="DK54" s="19">
        <v>0</v>
      </c>
      <c r="DL54" s="19">
        <v>0</v>
      </c>
      <c r="DM54" s="19">
        <v>0</v>
      </c>
      <c r="DN54" s="19">
        <v>0</v>
      </c>
      <c r="DO54" s="19">
        <v>0</v>
      </c>
      <c r="DP54" s="19">
        <v>0</v>
      </c>
      <c r="DQ54" s="19">
        <v>0</v>
      </c>
      <c r="DR54" s="19">
        <v>0</v>
      </c>
      <c r="DS54" s="19">
        <v>0</v>
      </c>
      <c r="DT54" s="19">
        <v>0</v>
      </c>
      <c r="DU54" s="19">
        <v>0</v>
      </c>
      <c r="DV54" s="19">
        <v>0</v>
      </c>
      <c r="DW54" s="19">
        <v>0</v>
      </c>
      <c r="DX54" s="19">
        <v>0</v>
      </c>
      <c r="DY54" s="19">
        <v>0</v>
      </c>
      <c r="DZ54" s="19">
        <v>0</v>
      </c>
      <c r="EA54" s="19">
        <v>0</v>
      </c>
      <c r="EB54" s="19">
        <v>0</v>
      </c>
      <c r="EC54" s="19">
        <v>0</v>
      </c>
      <c r="ED54" s="19">
        <v>0</v>
      </c>
      <c r="EE54" s="19">
        <v>0</v>
      </c>
      <c r="EF54" s="19">
        <v>0</v>
      </c>
      <c r="EG54" s="19">
        <v>0</v>
      </c>
      <c r="EH54" s="19">
        <v>0</v>
      </c>
      <c r="EI54" s="19">
        <v>0</v>
      </c>
      <c r="EJ54" s="19">
        <v>0</v>
      </c>
      <c r="EK54" s="19">
        <v>0</v>
      </c>
      <c r="EL54" s="19">
        <v>0</v>
      </c>
      <c r="EM54" s="19">
        <v>0</v>
      </c>
      <c r="EN54" s="19">
        <v>0</v>
      </c>
      <c r="EO54" s="19">
        <v>0</v>
      </c>
      <c r="EP54" s="19">
        <v>0</v>
      </c>
      <c r="EQ54" s="19">
        <v>0</v>
      </c>
      <c r="ER54" s="19">
        <v>0</v>
      </c>
      <c r="ES54" s="119">
        <v>0</v>
      </c>
      <c r="ET54" s="119">
        <v>0</v>
      </c>
    </row>
    <row r="55" spans="1:150" ht="16.5" customHeight="1" x14ac:dyDescent="0.35">
      <c r="A55" s="4">
        <v>201</v>
      </c>
      <c r="B55" s="4" t="str">
        <f>LOOKUP(A55,Lookup!$A$1:$A$34,Lookup!$B$1:$B$34)</f>
        <v>BUTCHERY</v>
      </c>
      <c r="C55" s="5">
        <v>66714</v>
      </c>
      <c r="D55" s="6" t="s">
        <v>59</v>
      </c>
      <c r="E55" s="18">
        <v>0</v>
      </c>
      <c r="F55" s="18">
        <v>0</v>
      </c>
      <c r="G55" s="18">
        <v>0</v>
      </c>
      <c r="H55" s="18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>
        <v>0</v>
      </c>
      <c r="EC55" s="19">
        <v>0</v>
      </c>
      <c r="ED55" s="19">
        <v>0</v>
      </c>
      <c r="EE55" s="19">
        <v>0</v>
      </c>
      <c r="EF55" s="19">
        <v>0</v>
      </c>
      <c r="EG55" s="19">
        <v>0</v>
      </c>
      <c r="EH55" s="19">
        <v>0</v>
      </c>
      <c r="EI55" s="19">
        <v>0</v>
      </c>
      <c r="EJ55" s="19">
        <v>0</v>
      </c>
      <c r="EK55" s="19">
        <v>0</v>
      </c>
      <c r="EL55" s="19">
        <v>0</v>
      </c>
      <c r="EM55" s="19">
        <v>0</v>
      </c>
      <c r="EN55" s="19">
        <v>0</v>
      </c>
      <c r="EO55" s="19">
        <v>0</v>
      </c>
      <c r="EP55" s="19">
        <v>0</v>
      </c>
      <c r="EQ55" s="19">
        <v>0</v>
      </c>
      <c r="ER55" s="19">
        <v>0</v>
      </c>
      <c r="ES55" s="119">
        <v>0</v>
      </c>
      <c r="ET55" s="119">
        <v>0</v>
      </c>
    </row>
    <row r="56" spans="1:150" ht="16.5" customHeight="1" x14ac:dyDescent="0.35">
      <c r="A56" s="4">
        <v>201</v>
      </c>
      <c r="B56" s="4" t="str">
        <f>LOOKUP(A56,Lookup!$A$1:$A$34,Lookup!$B$1:$B$34)</f>
        <v>BUTCHERY</v>
      </c>
      <c r="C56" s="5">
        <v>66715</v>
      </c>
      <c r="D56" s="6" t="s">
        <v>60</v>
      </c>
      <c r="E56" s="18">
        <v>0</v>
      </c>
      <c r="F56" s="18">
        <v>0</v>
      </c>
      <c r="G56" s="18">
        <v>0</v>
      </c>
      <c r="H56" s="18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19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19">
        <v>0</v>
      </c>
      <c r="DQ56" s="19">
        <v>0</v>
      </c>
      <c r="DR56" s="19">
        <v>0</v>
      </c>
      <c r="DS56" s="19">
        <v>0</v>
      </c>
      <c r="DT56" s="19">
        <v>0</v>
      </c>
      <c r="DU56" s="19">
        <v>0</v>
      </c>
      <c r="DV56" s="19">
        <v>0</v>
      </c>
      <c r="DW56" s="19">
        <v>0</v>
      </c>
      <c r="DX56" s="19">
        <v>0</v>
      </c>
      <c r="DY56" s="19">
        <v>0</v>
      </c>
      <c r="DZ56" s="19">
        <v>0</v>
      </c>
      <c r="EA56" s="19">
        <v>0</v>
      </c>
      <c r="EB56" s="19">
        <v>0</v>
      </c>
      <c r="EC56" s="19">
        <v>0</v>
      </c>
      <c r="ED56" s="19">
        <v>0</v>
      </c>
      <c r="EE56" s="19">
        <v>0</v>
      </c>
      <c r="EF56" s="19">
        <v>0</v>
      </c>
      <c r="EG56" s="19">
        <v>0</v>
      </c>
      <c r="EH56" s="19">
        <v>0</v>
      </c>
      <c r="EI56" s="19">
        <v>0</v>
      </c>
      <c r="EJ56" s="19">
        <v>0</v>
      </c>
      <c r="EK56" s="19">
        <v>0</v>
      </c>
      <c r="EL56" s="19">
        <v>0</v>
      </c>
      <c r="EM56" s="19">
        <v>0</v>
      </c>
      <c r="EN56" s="19">
        <v>0</v>
      </c>
      <c r="EO56" s="19">
        <v>0</v>
      </c>
      <c r="EP56" s="19">
        <v>0</v>
      </c>
      <c r="EQ56" s="19">
        <v>0</v>
      </c>
      <c r="ER56" s="19">
        <v>0</v>
      </c>
      <c r="ES56" s="119">
        <v>0</v>
      </c>
      <c r="ET56" s="119">
        <v>0</v>
      </c>
    </row>
    <row r="57" spans="1:150" ht="16.5" customHeight="1" x14ac:dyDescent="0.35">
      <c r="A57" s="4">
        <v>201</v>
      </c>
      <c r="B57" s="4" t="str">
        <f>LOOKUP(A57,Lookup!$A$1:$A$34,Lookup!$B$1:$B$34)</f>
        <v>BUTCHERY</v>
      </c>
      <c r="C57" s="5">
        <v>99990201</v>
      </c>
      <c r="D57" s="6" t="s">
        <v>61</v>
      </c>
      <c r="E57" s="18">
        <v>1073.40628762542</v>
      </c>
      <c r="F57" s="18">
        <v>19.785</v>
      </c>
      <c r="G57" s="18">
        <v>69771.408695652193</v>
      </c>
      <c r="H57" s="18">
        <v>1286</v>
      </c>
      <c r="I57" s="19">
        <v>-148.89565217391299</v>
      </c>
      <c r="J57" s="19">
        <v>-5</v>
      </c>
      <c r="K57" s="19">
        <v>667.49565217391296</v>
      </c>
      <c r="L57" s="19">
        <v>6</v>
      </c>
      <c r="M57" s="19">
        <v>0</v>
      </c>
      <c r="N57" s="19">
        <v>0</v>
      </c>
      <c r="O57" s="19">
        <v>0</v>
      </c>
      <c r="P57" s="19">
        <v>0</v>
      </c>
      <c r="Q57" s="19">
        <v>39.747826086956501</v>
      </c>
      <c r="R57" s="19">
        <v>1</v>
      </c>
      <c r="S57" s="19">
        <v>821.49565217391296</v>
      </c>
      <c r="T57" s="19">
        <v>20</v>
      </c>
      <c r="U57" s="19">
        <v>6166.9130434782601</v>
      </c>
      <c r="V57" s="19">
        <v>463</v>
      </c>
      <c r="W57" s="19">
        <v>1956.9652173913</v>
      </c>
      <c r="X57" s="19">
        <v>35</v>
      </c>
      <c r="Y57" s="19">
        <v>435.269565217391</v>
      </c>
      <c r="Z57" s="19">
        <v>98</v>
      </c>
      <c r="AA57" s="19">
        <v>2136.3826086956501</v>
      </c>
      <c r="AB57" s="19">
        <v>5</v>
      </c>
      <c r="AC57" s="19">
        <v>98.565217391304301</v>
      </c>
      <c r="AD57" s="19">
        <v>3</v>
      </c>
      <c r="AE57" s="19">
        <v>1935.99130434783</v>
      </c>
      <c r="AF57" s="19">
        <v>26</v>
      </c>
      <c r="AG57" s="19">
        <v>172.09565217391301</v>
      </c>
      <c r="AH57" s="19">
        <v>2</v>
      </c>
      <c r="AI57" s="19">
        <v>2369.9652173913</v>
      </c>
      <c r="AJ57" s="19">
        <v>3</v>
      </c>
      <c r="AK57" s="19">
        <v>-6.4</v>
      </c>
      <c r="AL57" s="19">
        <v>-1</v>
      </c>
      <c r="AM57" s="19">
        <v>38.895652173913</v>
      </c>
      <c r="AN57" s="19">
        <v>1</v>
      </c>
      <c r="AO57" s="19">
        <v>765.86086956521694</v>
      </c>
      <c r="AP57" s="19">
        <v>14</v>
      </c>
      <c r="AQ57" s="19">
        <v>947.67826086956495</v>
      </c>
      <c r="AR57" s="19">
        <v>2</v>
      </c>
      <c r="AS57" s="19">
        <v>2280.9652173913</v>
      </c>
      <c r="AT57" s="19">
        <v>9</v>
      </c>
      <c r="AU57" s="19">
        <v>380.165217391304</v>
      </c>
      <c r="AV57" s="19">
        <v>9</v>
      </c>
      <c r="AW57" s="19">
        <v>0</v>
      </c>
      <c r="AX57" s="19">
        <v>0</v>
      </c>
      <c r="AY57" s="19">
        <v>99.721739130434798</v>
      </c>
      <c r="AZ57" s="19">
        <v>4</v>
      </c>
      <c r="BA57" s="19">
        <v>0</v>
      </c>
      <c r="BB57" s="19">
        <v>0</v>
      </c>
      <c r="BC57" s="19">
        <v>97.017391304347797</v>
      </c>
      <c r="BD57" s="19">
        <v>3</v>
      </c>
      <c r="BE57" s="19">
        <v>524.84347826087003</v>
      </c>
      <c r="BF57" s="19">
        <v>3</v>
      </c>
      <c r="BG57" s="19">
        <v>1836.3826086956501</v>
      </c>
      <c r="BH57" s="19">
        <v>5</v>
      </c>
      <c r="BI57" s="19">
        <v>0</v>
      </c>
      <c r="BJ57" s="19">
        <v>0</v>
      </c>
      <c r="BK57" s="19">
        <v>749.07826086956504</v>
      </c>
      <c r="BL57" s="19">
        <v>14</v>
      </c>
      <c r="BM57" s="19">
        <v>3838.9652173913</v>
      </c>
      <c r="BN57" s="19">
        <v>5</v>
      </c>
      <c r="BO57" s="19">
        <v>94.226086956521698</v>
      </c>
      <c r="BP57" s="19">
        <v>2</v>
      </c>
      <c r="BQ57" s="19">
        <v>-88.295652173913098</v>
      </c>
      <c r="BR57" s="19">
        <v>1</v>
      </c>
      <c r="BS57" s="19">
        <v>233.173913043478</v>
      </c>
      <c r="BT57" s="19">
        <v>4</v>
      </c>
      <c r="BU57" s="19">
        <v>1603.71304347826</v>
      </c>
      <c r="BV57" s="19">
        <v>14</v>
      </c>
      <c r="BW57" s="19">
        <v>75</v>
      </c>
      <c r="BX57" s="19">
        <v>2</v>
      </c>
      <c r="BY57" s="19">
        <v>233.417391304348</v>
      </c>
      <c r="BZ57" s="19">
        <v>18</v>
      </c>
      <c r="CA57" s="19">
        <v>1754.2</v>
      </c>
      <c r="CB57" s="19">
        <v>7</v>
      </c>
      <c r="CC57" s="19">
        <v>0</v>
      </c>
      <c r="CD57" s="19">
        <v>0</v>
      </c>
      <c r="CE57" s="19">
        <v>373.35652173913002</v>
      </c>
      <c r="CF57" s="19">
        <v>3</v>
      </c>
      <c r="CG57" s="19">
        <v>44.043478260869598</v>
      </c>
      <c r="CH57" s="19">
        <v>3</v>
      </c>
      <c r="CI57" s="19">
        <v>1018.02608695652</v>
      </c>
      <c r="CJ57" s="19">
        <v>11</v>
      </c>
      <c r="CK57" s="19">
        <v>187.008695652174</v>
      </c>
      <c r="CL57" s="19">
        <v>3</v>
      </c>
      <c r="CM57" s="19">
        <v>228.55652173913001</v>
      </c>
      <c r="CN57" s="19">
        <v>2</v>
      </c>
      <c r="CO57" s="19">
        <v>477.39130434782601</v>
      </c>
      <c r="CP57" s="19">
        <v>2</v>
      </c>
      <c r="CQ57" s="19">
        <v>244.09565217391301</v>
      </c>
      <c r="CR57" s="19">
        <v>3</v>
      </c>
      <c r="CS57" s="19">
        <v>1616.6521739130401</v>
      </c>
      <c r="CT57" s="19">
        <v>7</v>
      </c>
      <c r="CU57" s="19">
        <v>0</v>
      </c>
      <c r="CV57" s="19">
        <v>0</v>
      </c>
      <c r="CW57" s="19">
        <v>0</v>
      </c>
      <c r="CX57" s="19">
        <v>0</v>
      </c>
      <c r="CY57" s="19">
        <v>279.93913043478301</v>
      </c>
      <c r="CZ57" s="19">
        <v>9</v>
      </c>
      <c r="DA57" s="19">
        <v>2842.5826086956499</v>
      </c>
      <c r="DB57" s="19">
        <v>163</v>
      </c>
      <c r="DC57" s="19">
        <v>458.60869565217399</v>
      </c>
      <c r="DD57" s="19">
        <v>5</v>
      </c>
      <c r="DE57" s="19">
        <v>12770.4782608696</v>
      </c>
      <c r="DF57" s="19">
        <v>78</v>
      </c>
      <c r="DG57" s="19">
        <v>2590.7043478260898</v>
      </c>
      <c r="DH57" s="19">
        <v>27</v>
      </c>
      <c r="DI57" s="19">
        <v>0</v>
      </c>
      <c r="DJ57" s="19">
        <v>0</v>
      </c>
      <c r="DK57" s="19">
        <v>180.78260869565199</v>
      </c>
      <c r="DL57" s="19">
        <v>11</v>
      </c>
      <c r="DM57" s="19">
        <v>56.9652173913043</v>
      </c>
      <c r="DN57" s="19">
        <v>1</v>
      </c>
      <c r="DO57" s="19">
        <v>0</v>
      </c>
      <c r="DP57" s="19">
        <v>0</v>
      </c>
      <c r="DQ57" s="19">
        <v>583.13043478260897</v>
      </c>
      <c r="DR57" s="19">
        <v>28</v>
      </c>
      <c r="DS57" s="19">
        <v>2628.0608695652199</v>
      </c>
      <c r="DT57" s="19">
        <v>6</v>
      </c>
      <c r="DU57" s="19">
        <v>266.86956521739103</v>
      </c>
      <c r="DV57" s="19">
        <v>7</v>
      </c>
      <c r="DW57" s="19">
        <v>75.313043478260894</v>
      </c>
      <c r="DX57" s="19">
        <v>4</v>
      </c>
      <c r="DY57" s="19">
        <v>475.31304347826102</v>
      </c>
      <c r="DZ57" s="19">
        <v>3</v>
      </c>
      <c r="EA57" s="19">
        <v>100</v>
      </c>
      <c r="EB57" s="19">
        <v>1</v>
      </c>
      <c r="EC57" s="19">
        <v>29.460869565217401</v>
      </c>
      <c r="ED57" s="19">
        <v>1</v>
      </c>
      <c r="EE57" s="19">
        <v>342.81739130434801</v>
      </c>
      <c r="EF57" s="19">
        <v>5</v>
      </c>
      <c r="EG57" s="19">
        <v>381.695652173913</v>
      </c>
      <c r="EH57" s="19">
        <v>7</v>
      </c>
      <c r="EI57" s="19">
        <v>1394.2347826087</v>
      </c>
      <c r="EJ57" s="19">
        <v>20</v>
      </c>
      <c r="EK57" s="19">
        <v>164.165217391304</v>
      </c>
      <c r="EL57" s="19">
        <v>3</v>
      </c>
      <c r="EM57" s="19">
        <v>-272.33913043478299</v>
      </c>
      <c r="EN57" s="19">
        <v>-2</v>
      </c>
      <c r="EO57" s="19">
        <v>1393.8260869565199</v>
      </c>
      <c r="EP57" s="19">
        <v>41</v>
      </c>
      <c r="EQ57" s="19">
        <v>2594.1391304347799</v>
      </c>
      <c r="ER57" s="19">
        <v>51</v>
      </c>
      <c r="ES57" s="119">
        <v>4007.2434782608698</v>
      </c>
      <c r="ET57" s="119">
        <v>9</v>
      </c>
    </row>
    <row r="58" spans="1:150" ht="16.5" customHeight="1" x14ac:dyDescent="0.35">
      <c r="A58" s="4">
        <v>202</v>
      </c>
      <c r="B58" s="4" t="str">
        <f>LOOKUP(A58,Lookup!$A$1:$A$34,Lookup!$B$1:$B$34)</f>
        <v>BEEF</v>
      </c>
      <c r="C58" s="5">
        <v>2748</v>
      </c>
      <c r="D58" s="6" t="s">
        <v>62</v>
      </c>
      <c r="E58" s="18">
        <v>0</v>
      </c>
      <c r="F58" s="18">
        <v>0</v>
      </c>
      <c r="G58" s="18">
        <v>0</v>
      </c>
      <c r="H58" s="18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0</v>
      </c>
      <c r="BM58" s="19">
        <v>0</v>
      </c>
      <c r="BN58" s="19">
        <v>0</v>
      </c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>
        <v>0</v>
      </c>
      <c r="BW58" s="19">
        <v>0</v>
      </c>
      <c r="BX58" s="19">
        <v>0</v>
      </c>
      <c r="BY58" s="19">
        <v>0</v>
      </c>
      <c r="BZ58" s="19">
        <v>0</v>
      </c>
      <c r="CA58" s="19">
        <v>0</v>
      </c>
      <c r="CB58" s="19">
        <v>0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</v>
      </c>
      <c r="DU58" s="19">
        <v>0</v>
      </c>
      <c r="DV58" s="19">
        <v>0</v>
      </c>
      <c r="DW58" s="19">
        <v>0</v>
      </c>
      <c r="DX58" s="19">
        <v>0</v>
      </c>
      <c r="DY58" s="19">
        <v>0</v>
      </c>
      <c r="DZ58" s="19">
        <v>0</v>
      </c>
      <c r="EA58" s="19">
        <v>0</v>
      </c>
      <c r="EB58" s="19">
        <v>0</v>
      </c>
      <c r="EC58" s="19">
        <v>0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>
        <v>0</v>
      </c>
      <c r="EJ58" s="19">
        <v>0</v>
      </c>
      <c r="EK58" s="19">
        <v>0</v>
      </c>
      <c r="EL58" s="19">
        <v>0</v>
      </c>
      <c r="EM58" s="19">
        <v>0</v>
      </c>
      <c r="EN58" s="19">
        <v>0</v>
      </c>
      <c r="EO58" s="19">
        <v>0</v>
      </c>
      <c r="EP58" s="19">
        <v>0</v>
      </c>
      <c r="EQ58" s="19">
        <v>0</v>
      </c>
      <c r="ER58" s="19">
        <v>0</v>
      </c>
      <c r="ES58" s="119">
        <v>0</v>
      </c>
      <c r="ET58" s="119">
        <v>0</v>
      </c>
    </row>
    <row r="59" spans="1:150" ht="16.5" customHeight="1" x14ac:dyDescent="0.35">
      <c r="A59" s="4">
        <v>202</v>
      </c>
      <c r="B59" s="4" t="str">
        <f>LOOKUP(A59,Lookup!$A$1:$A$34,Lookup!$B$1:$B$34)</f>
        <v>BEEF</v>
      </c>
      <c r="C59" s="5">
        <v>12112</v>
      </c>
      <c r="D59" s="6" t="s">
        <v>63</v>
      </c>
      <c r="E59" s="18">
        <v>45.8520514390692</v>
      </c>
      <c r="F59" s="18">
        <v>0.442</v>
      </c>
      <c r="G59" s="18">
        <v>3255.49565217391</v>
      </c>
      <c r="H59" s="18">
        <v>31.393999999999998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0</v>
      </c>
      <c r="BM59" s="19">
        <v>0</v>
      </c>
      <c r="BN59" s="19">
        <v>0</v>
      </c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>
        <v>0</v>
      </c>
      <c r="BW59" s="19">
        <v>0</v>
      </c>
      <c r="BX59" s="19">
        <v>0</v>
      </c>
      <c r="BY59" s="19">
        <v>0</v>
      </c>
      <c r="BZ59" s="19">
        <v>0</v>
      </c>
      <c r="CA59" s="19">
        <v>0</v>
      </c>
      <c r="CB59" s="19">
        <v>0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888.86956521739103</v>
      </c>
      <c r="CZ59" s="19">
        <v>8.6259999999999994</v>
      </c>
      <c r="DA59" s="19">
        <v>425.07826086956499</v>
      </c>
      <c r="DB59" s="19">
        <v>4.0739999999999998</v>
      </c>
      <c r="DC59" s="19">
        <v>248.573913043478</v>
      </c>
      <c r="DD59" s="19">
        <v>2.4260000000000002</v>
      </c>
      <c r="DE59" s="19">
        <v>937.76521739130396</v>
      </c>
      <c r="DF59" s="19">
        <v>9.0299999999999994</v>
      </c>
      <c r="DG59" s="19">
        <v>755.20869565217401</v>
      </c>
      <c r="DH59" s="19">
        <v>7.2380000000000004</v>
      </c>
      <c r="DI59" s="19">
        <v>0</v>
      </c>
      <c r="DJ59" s="19">
        <v>0</v>
      </c>
      <c r="DK59" s="19">
        <v>0</v>
      </c>
      <c r="DL59" s="19">
        <v>0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  <c r="DZ59" s="19">
        <v>0</v>
      </c>
      <c r="EA59" s="19">
        <v>0</v>
      </c>
      <c r="EB59" s="19">
        <v>0</v>
      </c>
      <c r="EC59" s="19">
        <v>0</v>
      </c>
      <c r="ED59" s="19">
        <v>0</v>
      </c>
      <c r="EE59" s="19">
        <v>0</v>
      </c>
      <c r="EF59" s="19">
        <v>0</v>
      </c>
      <c r="EG59" s="19">
        <v>0</v>
      </c>
      <c r="EH59" s="19">
        <v>0</v>
      </c>
      <c r="EI59" s="19">
        <v>0</v>
      </c>
      <c r="EJ59" s="19">
        <v>0</v>
      </c>
      <c r="EK59" s="19">
        <v>0</v>
      </c>
      <c r="EL59" s="19">
        <v>0</v>
      </c>
      <c r="EM59" s="19">
        <v>0</v>
      </c>
      <c r="EN59" s="19">
        <v>0</v>
      </c>
      <c r="EO59" s="19">
        <v>0</v>
      </c>
      <c r="EP59" s="19">
        <v>0</v>
      </c>
      <c r="EQ59" s="19">
        <v>0</v>
      </c>
      <c r="ER59" s="19">
        <v>0</v>
      </c>
      <c r="ES59" s="119">
        <v>0</v>
      </c>
      <c r="ET59" s="119">
        <v>0</v>
      </c>
    </row>
    <row r="60" spans="1:150" ht="16.5" customHeight="1" x14ac:dyDescent="0.35">
      <c r="A60" s="4">
        <v>202</v>
      </c>
      <c r="B60" s="4" t="str">
        <f>LOOKUP(A60,Lookup!$A$1:$A$34,Lookup!$B$1:$B$34)</f>
        <v>BEEF</v>
      </c>
      <c r="C60" s="5">
        <v>12113</v>
      </c>
      <c r="D60" s="6" t="s">
        <v>64</v>
      </c>
      <c r="E60" s="18">
        <v>53.113043478260899</v>
      </c>
      <c r="F60" s="18">
        <v>0.40799999999999997</v>
      </c>
      <c r="G60" s="18">
        <v>3771.02608695652</v>
      </c>
      <c r="H60" s="18">
        <v>28.962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155.76521739130399</v>
      </c>
      <c r="R60" s="19">
        <v>1.1200000000000001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0</v>
      </c>
      <c r="BM60" s="19">
        <v>0</v>
      </c>
      <c r="BN60" s="19">
        <v>0</v>
      </c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>
        <v>0</v>
      </c>
      <c r="BW60" s="19">
        <v>0</v>
      </c>
      <c r="BX60" s="19">
        <v>0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473.48695652173899</v>
      </c>
      <c r="CZ60" s="19">
        <v>3.7</v>
      </c>
      <c r="DA60" s="19">
        <v>279.37391304347801</v>
      </c>
      <c r="DB60" s="19">
        <v>2.1419999999999999</v>
      </c>
      <c r="DC60" s="19">
        <v>139.03478260869599</v>
      </c>
      <c r="DD60" s="19">
        <v>1.0660000000000001</v>
      </c>
      <c r="DE60" s="19">
        <v>1600.0782608695699</v>
      </c>
      <c r="DF60" s="19">
        <v>12.268000000000001</v>
      </c>
      <c r="DG60" s="19">
        <v>1123.28695652174</v>
      </c>
      <c r="DH60" s="19">
        <v>8.6660000000000004</v>
      </c>
      <c r="DI60" s="19">
        <v>0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v>0</v>
      </c>
      <c r="DU60" s="19">
        <v>0</v>
      </c>
      <c r="DV60" s="19">
        <v>0</v>
      </c>
      <c r="DW60" s="19">
        <v>0</v>
      </c>
      <c r="DX60" s="19">
        <v>0</v>
      </c>
      <c r="DY60" s="19">
        <v>0</v>
      </c>
      <c r="DZ60" s="19">
        <v>0</v>
      </c>
      <c r="EA60" s="19">
        <v>0</v>
      </c>
      <c r="EB60" s="19">
        <v>0</v>
      </c>
      <c r="EC60" s="19">
        <v>0</v>
      </c>
      <c r="ED60" s="19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19">
        <v>0</v>
      </c>
      <c r="EK60" s="19">
        <v>0</v>
      </c>
      <c r="EL60" s="19">
        <v>0</v>
      </c>
      <c r="EM60" s="19">
        <v>0</v>
      </c>
      <c r="EN60" s="19">
        <v>0</v>
      </c>
      <c r="EO60" s="19">
        <v>0</v>
      </c>
      <c r="EP60" s="19">
        <v>0</v>
      </c>
      <c r="EQ60" s="19">
        <v>0</v>
      </c>
      <c r="ER60" s="19">
        <v>0</v>
      </c>
      <c r="ES60" s="119">
        <v>0</v>
      </c>
      <c r="ET60" s="119">
        <v>0</v>
      </c>
    </row>
    <row r="61" spans="1:150" ht="16.5" customHeight="1" x14ac:dyDescent="0.35">
      <c r="A61" s="4">
        <v>202</v>
      </c>
      <c r="B61" s="4" t="str">
        <f>LOOKUP(A61,Lookup!$A$1:$A$34,Lookup!$B$1:$B$34)</f>
        <v>BEEF</v>
      </c>
      <c r="C61" s="5">
        <v>12118</v>
      </c>
      <c r="D61" s="6" t="s">
        <v>65</v>
      </c>
      <c r="E61" s="18">
        <v>148.846417636252</v>
      </c>
      <c r="F61" s="18">
        <v>1.1379999999999999</v>
      </c>
      <c r="G61" s="18">
        <v>10568.095652173901</v>
      </c>
      <c r="H61" s="18">
        <v>80.816000000000003</v>
      </c>
      <c r="I61" s="19">
        <v>1031.8956521739101</v>
      </c>
      <c r="J61" s="19">
        <v>7.9119999999999999</v>
      </c>
      <c r="K61" s="19">
        <v>0</v>
      </c>
      <c r="L61" s="19">
        <v>0</v>
      </c>
      <c r="M61" s="19">
        <v>918.17391304347802</v>
      </c>
      <c r="N61" s="19">
        <v>7.04</v>
      </c>
      <c r="O61" s="19">
        <v>208.93913043478301</v>
      </c>
      <c r="P61" s="19">
        <v>1.6020000000000001</v>
      </c>
      <c r="Q61" s="19">
        <v>0</v>
      </c>
      <c r="R61" s="19">
        <v>0</v>
      </c>
      <c r="S61" s="19">
        <v>0</v>
      </c>
      <c r="T61" s="19">
        <v>0</v>
      </c>
      <c r="U61" s="19">
        <v>349.286956521739</v>
      </c>
      <c r="V61" s="19">
        <v>2.6779999999999999</v>
      </c>
      <c r="W61" s="19">
        <v>567.86086956521694</v>
      </c>
      <c r="X61" s="19">
        <v>5.024</v>
      </c>
      <c r="Y61" s="19">
        <v>427.93913043478301</v>
      </c>
      <c r="Z61" s="19">
        <v>3.786</v>
      </c>
      <c r="AA61" s="19">
        <v>0</v>
      </c>
      <c r="AB61" s="19">
        <v>0</v>
      </c>
      <c r="AC61" s="19">
        <v>849.573913043478</v>
      </c>
      <c r="AD61" s="19">
        <v>6.5140000000000002</v>
      </c>
      <c r="AE61" s="19">
        <v>181.80869565217401</v>
      </c>
      <c r="AF61" s="19">
        <v>1.3939999999999999</v>
      </c>
      <c r="AG61" s="19">
        <v>675.852173913044</v>
      </c>
      <c r="AH61" s="19">
        <v>5.1820000000000004</v>
      </c>
      <c r="AI61" s="19">
        <v>673.25217391304398</v>
      </c>
      <c r="AJ61" s="19">
        <v>5.1619999999999999</v>
      </c>
      <c r="AK61" s="19">
        <v>349.8</v>
      </c>
      <c r="AL61" s="19">
        <v>2.6819999999999999</v>
      </c>
      <c r="AM61" s="19">
        <v>0</v>
      </c>
      <c r="AN61" s="19">
        <v>0</v>
      </c>
      <c r="AO61" s="19">
        <v>0</v>
      </c>
      <c r="AP61" s="19">
        <v>0</v>
      </c>
      <c r="AQ61" s="19">
        <v>432.591304347826</v>
      </c>
      <c r="AR61" s="19">
        <v>2.7639999999999998</v>
      </c>
      <c r="AS61" s="19">
        <v>791.31304347826097</v>
      </c>
      <c r="AT61" s="19">
        <v>5.056</v>
      </c>
      <c r="AU61" s="19">
        <v>566.25217391304398</v>
      </c>
      <c r="AV61" s="19">
        <v>3.6179999999999999</v>
      </c>
      <c r="AW61" s="19">
        <v>757.50434782608704</v>
      </c>
      <c r="AX61" s="19">
        <v>4.84</v>
      </c>
      <c r="AY61" s="19">
        <v>440.39130434782601</v>
      </c>
      <c r="AZ61" s="19">
        <v>3.8959999999999999</v>
      </c>
      <c r="BA61" s="19">
        <v>180.63478260869601</v>
      </c>
      <c r="BB61" s="19">
        <v>1.5980000000000001</v>
      </c>
      <c r="BC61" s="19">
        <v>713.89565217391305</v>
      </c>
      <c r="BD61" s="19">
        <v>6.3159999999999998</v>
      </c>
      <c r="BE61" s="19">
        <v>451.13043478260897</v>
      </c>
      <c r="BF61" s="19">
        <v>3.7519999999999998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0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>
        <v>0</v>
      </c>
      <c r="CA61" s="19">
        <v>0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0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0</v>
      </c>
      <c r="DR61" s="19">
        <v>0</v>
      </c>
      <c r="DS61" s="19">
        <v>0</v>
      </c>
      <c r="DT61" s="19">
        <v>0</v>
      </c>
      <c r="DU61" s="19">
        <v>0</v>
      </c>
      <c r="DV61" s="19">
        <v>0</v>
      </c>
      <c r="DW61" s="19">
        <v>0</v>
      </c>
      <c r="DX61" s="19">
        <v>0</v>
      </c>
      <c r="DY61" s="19">
        <v>0</v>
      </c>
      <c r="DZ61" s="19">
        <v>0</v>
      </c>
      <c r="EA61" s="19">
        <v>0</v>
      </c>
      <c r="EB61" s="19">
        <v>0</v>
      </c>
      <c r="EC61" s="19">
        <v>0</v>
      </c>
      <c r="ED61" s="19">
        <v>0</v>
      </c>
      <c r="EE61" s="19">
        <v>0</v>
      </c>
      <c r="EF61" s="19">
        <v>0</v>
      </c>
      <c r="EG61" s="19">
        <v>0</v>
      </c>
      <c r="EH61" s="19">
        <v>0</v>
      </c>
      <c r="EI61" s="19">
        <v>0</v>
      </c>
      <c r="EJ61" s="19">
        <v>0</v>
      </c>
      <c r="EK61" s="19">
        <v>0</v>
      </c>
      <c r="EL61" s="19">
        <v>0</v>
      </c>
      <c r="EM61" s="19">
        <v>0</v>
      </c>
      <c r="EN61" s="19">
        <v>0</v>
      </c>
      <c r="EO61" s="19">
        <v>0</v>
      </c>
      <c r="EP61" s="19">
        <v>0</v>
      </c>
      <c r="EQ61" s="19">
        <v>0</v>
      </c>
      <c r="ER61" s="19">
        <v>0</v>
      </c>
      <c r="ES61" s="119">
        <v>0</v>
      </c>
      <c r="ET61" s="119">
        <v>0</v>
      </c>
    </row>
    <row r="62" spans="1:150" ht="16.5" customHeight="1" x14ac:dyDescent="0.35">
      <c r="A62" s="4">
        <v>202</v>
      </c>
      <c r="B62" s="4" t="str">
        <f>LOOKUP(A62,Lookup!$A$1:$A$34,Lookup!$B$1:$B$34)</f>
        <v>BEEF</v>
      </c>
      <c r="C62" s="5">
        <v>12119</v>
      </c>
      <c r="D62" s="6" t="s">
        <v>66</v>
      </c>
      <c r="E62" s="18">
        <v>0</v>
      </c>
      <c r="F62" s="18">
        <v>0</v>
      </c>
      <c r="G62" s="18">
        <v>0</v>
      </c>
      <c r="H62" s="18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0</v>
      </c>
      <c r="BM62" s="19">
        <v>0</v>
      </c>
      <c r="BN62" s="19">
        <v>0</v>
      </c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>
        <v>0</v>
      </c>
      <c r="BW62" s="19">
        <v>0</v>
      </c>
      <c r="BX62" s="19">
        <v>0</v>
      </c>
      <c r="BY62" s="19">
        <v>0</v>
      </c>
      <c r="BZ62" s="19">
        <v>0</v>
      </c>
      <c r="CA62" s="19">
        <v>0</v>
      </c>
      <c r="CB62" s="19">
        <v>0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9">
        <v>0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9">
        <v>0</v>
      </c>
      <c r="EP62" s="19">
        <v>0</v>
      </c>
      <c r="EQ62" s="19">
        <v>0</v>
      </c>
      <c r="ER62" s="19">
        <v>0</v>
      </c>
      <c r="ES62" s="119">
        <v>0</v>
      </c>
      <c r="ET62" s="119">
        <v>0</v>
      </c>
    </row>
    <row r="63" spans="1:150" ht="16.5" customHeight="1" x14ac:dyDescent="0.35">
      <c r="A63" s="4">
        <v>202</v>
      </c>
      <c r="B63" s="4" t="str">
        <f>LOOKUP(A63,Lookup!$A$1:$A$34,Lookup!$B$1:$B$34)</f>
        <v>BEEF</v>
      </c>
      <c r="C63" s="5">
        <v>12130</v>
      </c>
      <c r="D63" s="6" t="s">
        <v>67</v>
      </c>
      <c r="E63" s="18">
        <v>301.08622167789298</v>
      </c>
      <c r="F63" s="18">
        <v>3.371</v>
      </c>
      <c r="G63" s="18">
        <v>21377.121739130402</v>
      </c>
      <c r="H63" s="18">
        <v>239.37100000000001</v>
      </c>
      <c r="I63" s="19">
        <v>0</v>
      </c>
      <c r="J63" s="19">
        <v>0</v>
      </c>
      <c r="K63" s="19">
        <v>65.313043478260894</v>
      </c>
      <c r="L63" s="19">
        <v>0.626</v>
      </c>
      <c r="M63" s="19">
        <v>218.269565217391</v>
      </c>
      <c r="N63" s="19">
        <v>2.0920000000000001</v>
      </c>
      <c r="O63" s="19">
        <v>290.88695652173902</v>
      </c>
      <c r="P63" s="19">
        <v>2.7879999999999998</v>
      </c>
      <c r="Q63" s="19">
        <v>648.75652173912999</v>
      </c>
      <c r="R63" s="19">
        <v>6.218</v>
      </c>
      <c r="S63" s="19">
        <v>0</v>
      </c>
      <c r="T63" s="19">
        <v>0</v>
      </c>
      <c r="U63" s="19">
        <v>716.38260869565204</v>
      </c>
      <c r="V63" s="19">
        <v>6.8659999999999997</v>
      </c>
      <c r="W63" s="19">
        <v>1464.21739130435</v>
      </c>
      <c r="X63" s="19">
        <v>16.128</v>
      </c>
      <c r="Y63" s="19">
        <v>522.09565217391298</v>
      </c>
      <c r="Z63" s="19">
        <v>5.0039999999999996</v>
      </c>
      <c r="AA63" s="19">
        <v>970.547826086957</v>
      </c>
      <c r="AB63" s="19">
        <v>9.3019999999999996</v>
      </c>
      <c r="AC63" s="19">
        <v>945.09565217391298</v>
      </c>
      <c r="AD63" s="19">
        <v>9.0579999999999998</v>
      </c>
      <c r="AE63" s="19">
        <v>1172.26956521739</v>
      </c>
      <c r="AF63" s="19">
        <v>12.922000000000001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42.373913043478296</v>
      </c>
      <c r="AN63" s="19">
        <v>0.48399999999999999</v>
      </c>
      <c r="AO63" s="19">
        <v>378.56521739130397</v>
      </c>
      <c r="AP63" s="19">
        <v>4.3979999999999997</v>
      </c>
      <c r="AQ63" s="19">
        <v>2691.53913043478</v>
      </c>
      <c r="AR63" s="19">
        <v>34.500999999999998</v>
      </c>
      <c r="AS63" s="19">
        <v>282.10434782608701</v>
      </c>
      <c r="AT63" s="19">
        <v>3.09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3447.1565217391299</v>
      </c>
      <c r="BD63" s="19">
        <v>44.052999999999997</v>
      </c>
      <c r="BE63" s="19">
        <v>3788.5652173912999</v>
      </c>
      <c r="BF63" s="19">
        <v>48.521000000000001</v>
      </c>
      <c r="BG63" s="19">
        <v>959.53913043478303</v>
      </c>
      <c r="BH63" s="19">
        <v>9.766</v>
      </c>
      <c r="BI63" s="19">
        <v>0</v>
      </c>
      <c r="BJ63" s="19">
        <v>0</v>
      </c>
      <c r="BK63" s="19">
        <v>0</v>
      </c>
      <c r="BL63" s="19">
        <v>0</v>
      </c>
      <c r="BM63" s="19">
        <v>1040.74782608696</v>
      </c>
      <c r="BN63" s="19">
        <v>8.8160000000000007</v>
      </c>
      <c r="BO63" s="19">
        <v>0</v>
      </c>
      <c r="BP63" s="19">
        <v>0</v>
      </c>
      <c r="BQ63" s="19">
        <v>756.56521739130403</v>
      </c>
      <c r="BR63" s="19">
        <v>6.3979999999999997</v>
      </c>
      <c r="BS63" s="19">
        <v>871.35652173913002</v>
      </c>
      <c r="BT63" s="19">
        <v>7.4539999999999997</v>
      </c>
      <c r="BU63" s="19">
        <v>104.773913043478</v>
      </c>
      <c r="BV63" s="19">
        <v>0.88600000000000001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0</v>
      </c>
      <c r="ED63" s="19">
        <v>0</v>
      </c>
      <c r="EE63" s="19">
        <v>0</v>
      </c>
      <c r="EF63" s="19">
        <v>0</v>
      </c>
      <c r="EG63" s="19">
        <v>0</v>
      </c>
      <c r="EH63" s="19">
        <v>0</v>
      </c>
      <c r="EI63" s="19">
        <v>0</v>
      </c>
      <c r="EJ63" s="19">
        <v>0</v>
      </c>
      <c r="EK63" s="19">
        <v>0</v>
      </c>
      <c r="EL63" s="19">
        <v>0</v>
      </c>
      <c r="EM63" s="19">
        <v>0</v>
      </c>
      <c r="EN63" s="19">
        <v>0</v>
      </c>
      <c r="EO63" s="19">
        <v>0</v>
      </c>
      <c r="EP63" s="19">
        <v>0</v>
      </c>
      <c r="EQ63" s="19">
        <v>0</v>
      </c>
      <c r="ER63" s="19">
        <v>0</v>
      </c>
      <c r="ES63" s="119">
        <v>0</v>
      </c>
      <c r="ET63" s="119">
        <v>0</v>
      </c>
    </row>
    <row r="64" spans="1:150" ht="16.5" customHeight="1" x14ac:dyDescent="0.35">
      <c r="A64" s="4">
        <v>202</v>
      </c>
      <c r="B64" s="4" t="str">
        <f>LOOKUP(A64,Lookup!$A$1:$A$34,Lookup!$B$1:$B$34)</f>
        <v>BEEF</v>
      </c>
      <c r="C64" s="5">
        <v>12141</v>
      </c>
      <c r="D64" s="6" t="s">
        <v>68</v>
      </c>
      <c r="E64" s="18">
        <v>2190.6437232088201</v>
      </c>
      <c r="F64" s="18">
        <v>12.573</v>
      </c>
      <c r="G64" s="18">
        <v>155535.70434782599</v>
      </c>
      <c r="H64" s="18">
        <v>892.66099999999994</v>
      </c>
      <c r="I64" s="19">
        <v>3237.7391304347798</v>
      </c>
      <c r="J64" s="19">
        <v>18.617999999999999</v>
      </c>
      <c r="K64" s="19">
        <v>3672.8173913043502</v>
      </c>
      <c r="L64" s="19">
        <v>21.12</v>
      </c>
      <c r="M64" s="19">
        <v>1254.26956521739</v>
      </c>
      <c r="N64" s="19">
        <v>7.5919999999999996</v>
      </c>
      <c r="O64" s="19">
        <v>2590.1130434782599</v>
      </c>
      <c r="P64" s="19">
        <v>15.678000000000001</v>
      </c>
      <c r="Q64" s="19">
        <v>2176.7391304347798</v>
      </c>
      <c r="R64" s="19">
        <v>13.154999999999999</v>
      </c>
      <c r="S64" s="19">
        <v>1577.05217391304</v>
      </c>
      <c r="T64" s="19">
        <v>9.5459999999999994</v>
      </c>
      <c r="U64" s="19">
        <v>2340.98260869565</v>
      </c>
      <c r="V64" s="19">
        <v>14.17</v>
      </c>
      <c r="W64" s="19">
        <v>1448.6173913043499</v>
      </c>
      <c r="X64" s="19">
        <v>9.1340000000000003</v>
      </c>
      <c r="Y64" s="19">
        <v>1678.4434782608701</v>
      </c>
      <c r="Z64" s="19">
        <v>10.724</v>
      </c>
      <c r="AA64" s="19">
        <v>2116.9043478260901</v>
      </c>
      <c r="AB64" s="19">
        <v>12.887</v>
      </c>
      <c r="AC64" s="19">
        <v>1117.45217391304</v>
      </c>
      <c r="AD64" s="19">
        <v>6.7640000000000002</v>
      </c>
      <c r="AE64" s="19">
        <v>1916.0695652173899</v>
      </c>
      <c r="AF64" s="19">
        <v>11.598000000000001</v>
      </c>
      <c r="AG64" s="19">
        <v>1867.1826086956501</v>
      </c>
      <c r="AH64" s="19">
        <v>11.302</v>
      </c>
      <c r="AI64" s="19">
        <v>2014.6173913043499</v>
      </c>
      <c r="AJ64" s="19">
        <v>11.657999999999999</v>
      </c>
      <c r="AK64" s="19">
        <v>3879.7565217391302</v>
      </c>
      <c r="AL64" s="19">
        <v>27.257000000000001</v>
      </c>
      <c r="AM64" s="19">
        <v>3232.6086956521699</v>
      </c>
      <c r="AN64" s="19">
        <v>23.236000000000001</v>
      </c>
      <c r="AO64" s="19">
        <v>2016.8434782608699</v>
      </c>
      <c r="AP64" s="19">
        <v>11.782</v>
      </c>
      <c r="AQ64" s="19">
        <v>1812.0608695652199</v>
      </c>
      <c r="AR64" s="19">
        <v>10.42</v>
      </c>
      <c r="AS64" s="19">
        <v>1171.6521739130401</v>
      </c>
      <c r="AT64" s="19">
        <v>6.1859999999999999</v>
      </c>
      <c r="AU64" s="19">
        <v>2072.8695652173901</v>
      </c>
      <c r="AV64" s="19">
        <v>10.836</v>
      </c>
      <c r="AW64" s="19">
        <v>1913.70434782609</v>
      </c>
      <c r="AX64" s="19">
        <v>10.004</v>
      </c>
      <c r="AY64" s="19">
        <v>1374.25217391304</v>
      </c>
      <c r="AZ64" s="19">
        <v>7.1840000000000002</v>
      </c>
      <c r="BA64" s="19">
        <v>0</v>
      </c>
      <c r="BB64" s="19">
        <v>0</v>
      </c>
      <c r="BC64" s="19">
        <v>817.52173913043498</v>
      </c>
      <c r="BD64" s="19">
        <v>3.97</v>
      </c>
      <c r="BE64" s="19">
        <v>356.65217391304299</v>
      </c>
      <c r="BF64" s="19">
        <v>1.738</v>
      </c>
      <c r="BG64" s="19">
        <v>942.73913043478296</v>
      </c>
      <c r="BH64" s="19">
        <v>4.2960000000000003</v>
      </c>
      <c r="BI64" s="19">
        <v>494.17391304347802</v>
      </c>
      <c r="BJ64" s="19">
        <v>2.4710000000000001</v>
      </c>
      <c r="BK64" s="19">
        <v>1310.3217391304299</v>
      </c>
      <c r="BL64" s="19">
        <v>6.5519999999999996</v>
      </c>
      <c r="BM64" s="19">
        <v>1275.0608695652199</v>
      </c>
      <c r="BN64" s="19">
        <v>6.9020000000000001</v>
      </c>
      <c r="BO64" s="19">
        <v>1786.9391304347801</v>
      </c>
      <c r="BP64" s="19">
        <v>9.3409999999999993</v>
      </c>
      <c r="BQ64" s="19">
        <v>2872.8434782608701</v>
      </c>
      <c r="BR64" s="19">
        <v>15.018000000000001</v>
      </c>
      <c r="BS64" s="19">
        <v>1257.94782608696</v>
      </c>
      <c r="BT64" s="19">
        <v>6.5759999999999996</v>
      </c>
      <c r="BU64" s="19">
        <v>2327.48695652174</v>
      </c>
      <c r="BV64" s="19">
        <v>13.384</v>
      </c>
      <c r="BW64" s="19">
        <v>1410.00869565217</v>
      </c>
      <c r="BX64" s="19">
        <v>8.1080000000000005</v>
      </c>
      <c r="BY64" s="19">
        <v>670.92173913043496</v>
      </c>
      <c r="BZ64" s="19">
        <v>3.8580000000000001</v>
      </c>
      <c r="CA64" s="19">
        <v>946.68695652173903</v>
      </c>
      <c r="CB64" s="19">
        <v>5.0640000000000001</v>
      </c>
      <c r="CC64" s="19">
        <v>1120.0956521739099</v>
      </c>
      <c r="CD64" s="19">
        <v>5.601</v>
      </c>
      <c r="CE64" s="19">
        <v>2234.3043478260902</v>
      </c>
      <c r="CF64" s="19">
        <v>11.172000000000001</v>
      </c>
      <c r="CG64" s="19">
        <v>4510.6695652173903</v>
      </c>
      <c r="CH64" s="19">
        <v>25.488</v>
      </c>
      <c r="CI64" s="19">
        <v>3865.8695652173901</v>
      </c>
      <c r="CJ64" s="19">
        <v>22.23</v>
      </c>
      <c r="CK64" s="19">
        <v>2260.50434782609</v>
      </c>
      <c r="CL64" s="19">
        <v>10.705</v>
      </c>
      <c r="CM64" s="19">
        <v>3283.0608695652199</v>
      </c>
      <c r="CN64" s="19">
        <v>16.527999999999999</v>
      </c>
      <c r="CO64" s="19">
        <v>1715.1304347826101</v>
      </c>
      <c r="CP64" s="19">
        <v>8.0180000000000007</v>
      </c>
      <c r="CQ64" s="19">
        <v>3606.4260869565201</v>
      </c>
      <c r="CR64" s="19">
        <v>16.86</v>
      </c>
      <c r="CS64" s="19">
        <v>2360.6434782608699</v>
      </c>
      <c r="CT64" s="19">
        <v>11.036</v>
      </c>
      <c r="CU64" s="19">
        <v>2328.5565217391299</v>
      </c>
      <c r="CV64" s="19">
        <v>10.76</v>
      </c>
      <c r="CW64" s="19">
        <v>1732.8347826086999</v>
      </c>
      <c r="CX64" s="19">
        <v>7.7089999999999996</v>
      </c>
      <c r="CY64" s="19">
        <v>1953.8521739130399</v>
      </c>
      <c r="CZ64" s="19">
        <v>9.1069999999999993</v>
      </c>
      <c r="DA64" s="19">
        <v>2252.1739130434798</v>
      </c>
      <c r="DB64" s="19">
        <v>10.792</v>
      </c>
      <c r="DC64" s="19">
        <v>3695.46086956522</v>
      </c>
      <c r="DD64" s="19">
        <v>20.85</v>
      </c>
      <c r="DE64" s="19">
        <v>3181.7478260869598</v>
      </c>
      <c r="DF64" s="19">
        <v>15.023</v>
      </c>
      <c r="DG64" s="19">
        <v>1985.5652173912999</v>
      </c>
      <c r="DH64" s="19">
        <v>9.1340000000000003</v>
      </c>
      <c r="DI64" s="19">
        <v>2911.5826086956499</v>
      </c>
      <c r="DJ64" s="19">
        <v>16.852</v>
      </c>
      <c r="DK64" s="19">
        <v>1512.9304347826101</v>
      </c>
      <c r="DL64" s="19">
        <v>7.8680000000000003</v>
      </c>
      <c r="DM64" s="19">
        <v>1843.69565217391</v>
      </c>
      <c r="DN64" s="19">
        <v>10.634</v>
      </c>
      <c r="DO64" s="19">
        <v>2548.2434782608698</v>
      </c>
      <c r="DP64" s="19">
        <v>14.682</v>
      </c>
      <c r="DQ64" s="19">
        <v>4334.6695652173903</v>
      </c>
      <c r="DR64" s="19">
        <v>28.108000000000001</v>
      </c>
      <c r="DS64" s="19">
        <v>1927.1391304347801</v>
      </c>
      <c r="DT64" s="19">
        <v>9.4719999999999995</v>
      </c>
      <c r="DU64" s="19">
        <v>6659.7217391304303</v>
      </c>
      <c r="DV64" s="19">
        <v>51.218000000000004</v>
      </c>
      <c r="DW64" s="19">
        <v>5681.3043478260897</v>
      </c>
      <c r="DX64" s="19">
        <v>43.597999999999999</v>
      </c>
      <c r="DY64" s="19">
        <v>2179.1652173912998</v>
      </c>
      <c r="DZ64" s="19">
        <v>14.327999999999999</v>
      </c>
      <c r="EA64" s="19">
        <v>1749.6869565217401</v>
      </c>
      <c r="EB64" s="19">
        <v>11.379</v>
      </c>
      <c r="EC64" s="19">
        <v>137.730434782609</v>
      </c>
      <c r="ED64" s="19">
        <v>0.66</v>
      </c>
      <c r="EE64" s="19">
        <v>674.82608695652198</v>
      </c>
      <c r="EF64" s="19">
        <v>3.3250000000000002</v>
      </c>
      <c r="EG64" s="19">
        <v>4750.3304347826097</v>
      </c>
      <c r="EH64" s="19">
        <v>27.315999999999999</v>
      </c>
      <c r="EI64" s="19">
        <v>2731.3565217391301</v>
      </c>
      <c r="EJ64" s="19">
        <v>15.85</v>
      </c>
      <c r="EK64" s="19">
        <v>1950.6086956521699</v>
      </c>
      <c r="EL64" s="19">
        <v>10.102</v>
      </c>
      <c r="EM64" s="19">
        <v>2229.2434782608698</v>
      </c>
      <c r="EN64" s="19">
        <v>11.147</v>
      </c>
      <c r="EO64" s="19">
        <v>1680.70434782609</v>
      </c>
      <c r="EP64" s="19">
        <v>8.4039999999999999</v>
      </c>
      <c r="EQ64" s="19">
        <v>3780.3304347826102</v>
      </c>
      <c r="ER64" s="19">
        <v>21.597999999999999</v>
      </c>
      <c r="ES64" s="119">
        <v>1999.8608695652199</v>
      </c>
      <c r="ET64" s="119">
        <v>11.5</v>
      </c>
    </row>
    <row r="65" spans="1:150" ht="16.5" customHeight="1" x14ac:dyDescent="0.35">
      <c r="A65" s="4">
        <v>202</v>
      </c>
      <c r="B65" s="4" t="str">
        <f>LOOKUP(A65,Lookup!$A$1:$A$34,Lookup!$B$1:$B$34)</f>
        <v>BEEF</v>
      </c>
      <c r="C65" s="5">
        <v>12142</v>
      </c>
      <c r="D65" s="6" t="s">
        <v>69</v>
      </c>
      <c r="E65" s="18">
        <v>498.21469687691399</v>
      </c>
      <c r="F65" s="18">
        <v>4.0990000000000002</v>
      </c>
      <c r="G65" s="18">
        <v>35373.243478260898</v>
      </c>
      <c r="H65" s="18">
        <v>291.05700000000002</v>
      </c>
      <c r="I65" s="19">
        <v>1048.73043478261</v>
      </c>
      <c r="J65" s="19">
        <v>9.2780000000000005</v>
      </c>
      <c r="K65" s="19">
        <v>1015.04347826087</v>
      </c>
      <c r="L65" s="19">
        <v>8.98</v>
      </c>
      <c r="M65" s="19">
        <v>845.04347826086996</v>
      </c>
      <c r="N65" s="19">
        <v>7.476</v>
      </c>
      <c r="O65" s="19">
        <v>1574.3739130434799</v>
      </c>
      <c r="P65" s="19">
        <v>18.108000000000001</v>
      </c>
      <c r="Q65" s="19">
        <v>324.18260869565199</v>
      </c>
      <c r="R65" s="19">
        <v>2.8679999999999999</v>
      </c>
      <c r="S65" s="19">
        <v>1215.6434782608701</v>
      </c>
      <c r="T65" s="19">
        <v>12.45</v>
      </c>
      <c r="U65" s="19">
        <v>1868.8608695652199</v>
      </c>
      <c r="V65" s="19">
        <v>16.533000000000001</v>
      </c>
      <c r="W65" s="19">
        <v>312.41739130434797</v>
      </c>
      <c r="X65" s="19">
        <v>2.7639999999999998</v>
      </c>
      <c r="Y65" s="19">
        <v>1366.3391304347799</v>
      </c>
      <c r="Z65" s="19">
        <v>12.087999999999999</v>
      </c>
      <c r="AA65" s="19">
        <v>1111.3304347826099</v>
      </c>
      <c r="AB65" s="19">
        <v>9.8320000000000007</v>
      </c>
      <c r="AC65" s="19">
        <v>1110.6695652173901</v>
      </c>
      <c r="AD65" s="19">
        <v>10.645</v>
      </c>
      <c r="AE65" s="19">
        <v>1229.52173913043</v>
      </c>
      <c r="AF65" s="19">
        <v>11.784000000000001</v>
      </c>
      <c r="AG65" s="19">
        <v>2539.7304347826098</v>
      </c>
      <c r="AH65" s="19">
        <v>24.341999999999999</v>
      </c>
      <c r="AI65" s="19">
        <v>1845.1130434782599</v>
      </c>
      <c r="AJ65" s="19">
        <v>17.684000000000001</v>
      </c>
      <c r="AK65" s="19">
        <v>1568.02608695652</v>
      </c>
      <c r="AL65" s="19">
        <v>12.632</v>
      </c>
      <c r="AM65" s="19">
        <v>913.17391304347802</v>
      </c>
      <c r="AN65" s="19">
        <v>6.4429999999999996</v>
      </c>
      <c r="AO65" s="19">
        <v>1107.4347826087001</v>
      </c>
      <c r="AP65" s="19">
        <v>7.492</v>
      </c>
      <c r="AQ65" s="19">
        <v>561.4</v>
      </c>
      <c r="AR65" s="19">
        <v>3.798</v>
      </c>
      <c r="AS65" s="19">
        <v>932.121739130435</v>
      </c>
      <c r="AT65" s="19">
        <v>6.306</v>
      </c>
      <c r="AU65" s="19">
        <v>1330.9130434782601</v>
      </c>
      <c r="AV65" s="19">
        <v>9.0039999999999996</v>
      </c>
      <c r="AW65" s="19">
        <v>776.91304347826099</v>
      </c>
      <c r="AX65" s="19">
        <v>5.2560000000000002</v>
      </c>
      <c r="AY65" s="19">
        <v>2322.2086956521698</v>
      </c>
      <c r="AZ65" s="19">
        <v>16.692</v>
      </c>
      <c r="BA65" s="19">
        <v>433.452173913043</v>
      </c>
      <c r="BB65" s="19">
        <v>3.4860000000000002</v>
      </c>
      <c r="BC65" s="19">
        <v>647.15652173913099</v>
      </c>
      <c r="BD65" s="19">
        <v>4.3780000000000001</v>
      </c>
      <c r="BE65" s="19">
        <v>834.13913043478306</v>
      </c>
      <c r="BF65" s="19">
        <v>5.1029999999999998</v>
      </c>
      <c r="BG65" s="19">
        <v>889.02608695652202</v>
      </c>
      <c r="BH65" s="19">
        <v>5.68</v>
      </c>
      <c r="BI65" s="19">
        <v>635.44347826087005</v>
      </c>
      <c r="BJ65" s="19">
        <v>4.2389999999999999</v>
      </c>
      <c r="BK65" s="19">
        <v>898.426086956522</v>
      </c>
      <c r="BL65" s="19">
        <v>6.0780000000000003</v>
      </c>
      <c r="BM65" s="19">
        <v>268.44347826086999</v>
      </c>
      <c r="BN65" s="19">
        <v>1.8979999999999999</v>
      </c>
      <c r="BO65" s="19">
        <v>1008.35652173913</v>
      </c>
      <c r="BP65" s="19">
        <v>7.2279999999999998</v>
      </c>
      <c r="BQ65" s="19">
        <v>1130.53043478261</v>
      </c>
      <c r="BR65" s="19">
        <v>8.1519999999999992</v>
      </c>
      <c r="BS65" s="19">
        <v>884.46956521739105</v>
      </c>
      <c r="BT65" s="19">
        <v>6.3780000000000001</v>
      </c>
      <c r="BU65" s="19">
        <v>712.75652173912999</v>
      </c>
      <c r="BV65" s="19">
        <v>5.1779999999999999</v>
      </c>
      <c r="BW65" s="19">
        <v>111.852173913043</v>
      </c>
      <c r="BX65" s="19">
        <v>0.80400000000000005</v>
      </c>
      <c r="BY65" s="19">
        <v>0</v>
      </c>
      <c r="BZ65" s="19">
        <v>0</v>
      </c>
      <c r="CA65" s="19">
        <v>0</v>
      </c>
      <c r="CB65" s="19">
        <v>0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19">
        <v>0</v>
      </c>
      <c r="DU65" s="19">
        <v>0</v>
      </c>
      <c r="DV65" s="19">
        <v>0</v>
      </c>
      <c r="DW65" s="19">
        <v>0</v>
      </c>
      <c r="DX65" s="19">
        <v>0</v>
      </c>
      <c r="DY65" s="19">
        <v>0</v>
      </c>
      <c r="DZ65" s="19">
        <v>0</v>
      </c>
      <c r="EA65" s="19">
        <v>0</v>
      </c>
      <c r="EB65" s="19">
        <v>0</v>
      </c>
      <c r="EC65" s="19">
        <v>0</v>
      </c>
      <c r="ED65" s="19">
        <v>0</v>
      </c>
      <c r="EE65" s="19">
        <v>0</v>
      </c>
      <c r="EF65" s="19">
        <v>0</v>
      </c>
      <c r="EG65" s="19">
        <v>0</v>
      </c>
      <c r="EH65" s="19">
        <v>0</v>
      </c>
      <c r="EI65" s="19">
        <v>0</v>
      </c>
      <c r="EJ65" s="19">
        <v>0</v>
      </c>
      <c r="EK65" s="19">
        <v>0</v>
      </c>
      <c r="EL65" s="19">
        <v>0</v>
      </c>
      <c r="EM65" s="19">
        <v>0</v>
      </c>
      <c r="EN65" s="19">
        <v>0</v>
      </c>
      <c r="EO65" s="19">
        <v>0</v>
      </c>
      <c r="EP65" s="19">
        <v>0</v>
      </c>
      <c r="EQ65" s="19">
        <v>0</v>
      </c>
      <c r="ER65" s="19">
        <v>0</v>
      </c>
      <c r="ES65" s="119">
        <v>0</v>
      </c>
      <c r="ET65" s="119">
        <v>0</v>
      </c>
    </row>
    <row r="66" spans="1:150" ht="16.5" customHeight="1" x14ac:dyDescent="0.35">
      <c r="A66" s="4">
        <v>202</v>
      </c>
      <c r="B66" s="4" t="str">
        <f>LOOKUP(A66,Lookup!$A$1:$A$34,Lookup!$B$1:$B$34)</f>
        <v>BEEF</v>
      </c>
      <c r="C66" s="5">
        <v>12144</v>
      </c>
      <c r="D66" s="6" t="s">
        <v>70</v>
      </c>
      <c r="E66" s="18">
        <v>401.30263319044701</v>
      </c>
      <c r="F66" s="18">
        <v>2.9950000000000001</v>
      </c>
      <c r="G66" s="18">
        <v>28492.486956521701</v>
      </c>
      <c r="H66" s="18">
        <v>212.643</v>
      </c>
      <c r="I66" s="19">
        <v>366.713043478261</v>
      </c>
      <c r="J66" s="19">
        <v>3.2440000000000002</v>
      </c>
      <c r="K66" s="19">
        <v>300.695652173913</v>
      </c>
      <c r="L66" s="19">
        <v>2.633</v>
      </c>
      <c r="M66" s="19">
        <v>431.15652173913003</v>
      </c>
      <c r="N66" s="19">
        <v>3.7749999999999999</v>
      </c>
      <c r="O66" s="19">
        <v>684.46956521739105</v>
      </c>
      <c r="P66" s="19">
        <v>6.0389999999999997</v>
      </c>
      <c r="Q66" s="19">
        <v>126.226086956522</v>
      </c>
      <c r="R66" s="19">
        <v>1.1299999999999999</v>
      </c>
      <c r="S66" s="19">
        <v>320.573913043478</v>
      </c>
      <c r="T66" s="19">
        <v>2.855</v>
      </c>
      <c r="U66" s="19">
        <v>449</v>
      </c>
      <c r="V66" s="19">
        <v>4.0250000000000004</v>
      </c>
      <c r="W66" s="19">
        <v>493.81739130434801</v>
      </c>
      <c r="X66" s="19">
        <v>4.3860000000000001</v>
      </c>
      <c r="Y66" s="19">
        <v>357.695652173913</v>
      </c>
      <c r="Z66" s="19">
        <v>3.1819999999999999</v>
      </c>
      <c r="AA66" s="19">
        <v>427.24347826087001</v>
      </c>
      <c r="AB66" s="19">
        <v>3.7040000000000002</v>
      </c>
      <c r="AC66" s="19">
        <v>350.730434782609</v>
      </c>
      <c r="AD66" s="19">
        <v>3.3319999999999999</v>
      </c>
      <c r="AE66" s="19">
        <v>277.56521739130397</v>
      </c>
      <c r="AF66" s="19">
        <v>2.6379999999999999</v>
      </c>
      <c r="AG66" s="19">
        <v>555.49565217391296</v>
      </c>
      <c r="AH66" s="19">
        <v>4.9139999999999997</v>
      </c>
      <c r="AI66" s="19">
        <v>322.91304347826099</v>
      </c>
      <c r="AJ66" s="19">
        <v>3.03</v>
      </c>
      <c r="AK66" s="19">
        <v>673.46086956521697</v>
      </c>
      <c r="AL66" s="19">
        <v>5.2220000000000004</v>
      </c>
      <c r="AM66" s="19">
        <v>159.76521739130399</v>
      </c>
      <c r="AN66" s="19">
        <v>1.1619999999999999</v>
      </c>
      <c r="AO66" s="19">
        <v>586.32173913043505</v>
      </c>
      <c r="AP66" s="19">
        <v>3.9780000000000002</v>
      </c>
      <c r="AQ66" s="19">
        <v>150.94782608695701</v>
      </c>
      <c r="AR66" s="19">
        <v>1.038</v>
      </c>
      <c r="AS66" s="19">
        <v>406.21739130434798</v>
      </c>
      <c r="AT66" s="19">
        <v>2.7480000000000002</v>
      </c>
      <c r="AU66" s="19">
        <v>242.139130434783</v>
      </c>
      <c r="AV66" s="19">
        <v>1.6379999999999999</v>
      </c>
      <c r="AW66" s="19">
        <v>519.46086956521697</v>
      </c>
      <c r="AX66" s="19">
        <v>3.5139999999999998</v>
      </c>
      <c r="AY66" s="19">
        <v>561.44347826086903</v>
      </c>
      <c r="AZ66" s="19">
        <v>3.798</v>
      </c>
      <c r="BA66" s="19">
        <v>277.02608695652202</v>
      </c>
      <c r="BB66" s="19">
        <v>1.8740000000000001</v>
      </c>
      <c r="BC66" s="19">
        <v>424.38260869565198</v>
      </c>
      <c r="BD66" s="19">
        <v>2.758</v>
      </c>
      <c r="BE66" s="19">
        <v>257.33043478260902</v>
      </c>
      <c r="BF66" s="19">
        <v>1.63</v>
      </c>
      <c r="BG66" s="19">
        <v>297.121739130435</v>
      </c>
      <c r="BH66" s="19">
        <v>1.9159999999999999</v>
      </c>
      <c r="BI66" s="19">
        <v>432.62608695652199</v>
      </c>
      <c r="BJ66" s="19">
        <v>2.8690000000000002</v>
      </c>
      <c r="BK66" s="19">
        <v>274.82608695652198</v>
      </c>
      <c r="BL66" s="19">
        <v>1.87</v>
      </c>
      <c r="BM66" s="19">
        <v>379.93043478260898</v>
      </c>
      <c r="BN66" s="19">
        <v>2.681</v>
      </c>
      <c r="BO66" s="19">
        <v>453.84347826086997</v>
      </c>
      <c r="BP66" s="19">
        <v>3.262</v>
      </c>
      <c r="BQ66" s="19">
        <v>216.76521739130399</v>
      </c>
      <c r="BR66" s="19">
        <v>1.5580000000000001</v>
      </c>
      <c r="BS66" s="19">
        <v>291.89565217391299</v>
      </c>
      <c r="BT66" s="19">
        <v>2.0979999999999999</v>
      </c>
      <c r="BU66" s="19">
        <v>227.06086956521699</v>
      </c>
      <c r="BV66" s="19">
        <v>1.6319999999999999</v>
      </c>
      <c r="BW66" s="19">
        <v>39.791304347826099</v>
      </c>
      <c r="BX66" s="19">
        <v>0.28599999999999998</v>
      </c>
      <c r="BY66" s="19">
        <v>521.4</v>
      </c>
      <c r="BZ66" s="19">
        <v>3.621</v>
      </c>
      <c r="CA66" s="19">
        <v>699.58260869565197</v>
      </c>
      <c r="CB66" s="19">
        <v>4.4980000000000002</v>
      </c>
      <c r="CC66" s="19">
        <v>552.20000000000005</v>
      </c>
      <c r="CD66" s="19">
        <v>3.528</v>
      </c>
      <c r="CE66" s="19">
        <v>258.573913043478</v>
      </c>
      <c r="CF66" s="19">
        <v>1.6519999999999999</v>
      </c>
      <c r="CG66" s="19">
        <v>559.72173913043503</v>
      </c>
      <c r="CH66" s="19">
        <v>3.5760000000000001</v>
      </c>
      <c r="CI66" s="19">
        <v>355.18260869565199</v>
      </c>
      <c r="CJ66" s="19">
        <v>2.286</v>
      </c>
      <c r="CK66" s="19">
        <v>689.00869565217397</v>
      </c>
      <c r="CL66" s="19">
        <v>4.4020000000000001</v>
      </c>
      <c r="CM66" s="19">
        <v>321.38260869565198</v>
      </c>
      <c r="CN66" s="19">
        <v>2.0680000000000001</v>
      </c>
      <c r="CO66" s="19">
        <v>270.15652173913003</v>
      </c>
      <c r="CP66" s="19">
        <v>1.726</v>
      </c>
      <c r="CQ66" s="19">
        <v>930.34782608695696</v>
      </c>
      <c r="CR66" s="19">
        <v>5.944</v>
      </c>
      <c r="CS66" s="19">
        <v>578.40869565217395</v>
      </c>
      <c r="CT66" s="19">
        <v>3.609</v>
      </c>
      <c r="CU66" s="19">
        <v>464.49565217391302</v>
      </c>
      <c r="CV66" s="19">
        <v>2.8719999999999999</v>
      </c>
      <c r="CW66" s="19">
        <v>154.286956521739</v>
      </c>
      <c r="CX66" s="19">
        <v>0.95399999999999996</v>
      </c>
      <c r="CY66" s="19">
        <v>533.70434782608697</v>
      </c>
      <c r="CZ66" s="19">
        <v>3.351</v>
      </c>
      <c r="DA66" s="19">
        <v>428.165217391304</v>
      </c>
      <c r="DB66" s="19">
        <v>2.7360000000000002</v>
      </c>
      <c r="DC66" s="19">
        <v>473.00869565217403</v>
      </c>
      <c r="DD66" s="19">
        <v>3.0219999999999998</v>
      </c>
      <c r="DE66" s="19">
        <v>492.730434782609</v>
      </c>
      <c r="DF66" s="19">
        <v>3.1480000000000001</v>
      </c>
      <c r="DG66" s="19">
        <v>97.043478260869605</v>
      </c>
      <c r="DH66" s="19">
        <v>0.62</v>
      </c>
      <c r="DI66" s="19">
        <v>150.88695652173899</v>
      </c>
      <c r="DJ66" s="19">
        <v>0.96399999999999997</v>
      </c>
      <c r="DK66" s="19">
        <v>1189.3304347826099</v>
      </c>
      <c r="DL66" s="19">
        <v>8.5489999999999995</v>
      </c>
      <c r="DM66" s="19">
        <v>288.834782608696</v>
      </c>
      <c r="DN66" s="19">
        <v>2.0760000000000001</v>
      </c>
      <c r="DO66" s="19">
        <v>612.32173913043505</v>
      </c>
      <c r="DP66" s="19">
        <v>4.4279999999999999</v>
      </c>
      <c r="DQ66" s="19">
        <v>344.76521739130402</v>
      </c>
      <c r="DR66" s="19">
        <v>2.4780000000000002</v>
      </c>
      <c r="DS66" s="19">
        <v>494.22608695652201</v>
      </c>
      <c r="DT66" s="19">
        <v>3.6739999999999999</v>
      </c>
      <c r="DU66" s="19">
        <v>463.56521739130397</v>
      </c>
      <c r="DV66" s="19">
        <v>3.5539999999999998</v>
      </c>
      <c r="DW66" s="19">
        <v>134.21739130434801</v>
      </c>
      <c r="DX66" s="19">
        <v>1.1020000000000001</v>
      </c>
      <c r="DY66" s="19">
        <v>1128.4000000000001</v>
      </c>
      <c r="DZ66" s="19">
        <v>9.9819999999999993</v>
      </c>
      <c r="EA66" s="19">
        <v>536.730434782609</v>
      </c>
      <c r="EB66" s="19">
        <v>4.7480000000000002</v>
      </c>
      <c r="EC66" s="19">
        <v>159.65217391304299</v>
      </c>
      <c r="ED66" s="19">
        <v>1.3109999999999999</v>
      </c>
      <c r="EE66" s="19">
        <v>627.20000000000005</v>
      </c>
      <c r="EF66" s="19">
        <v>5.1520000000000001</v>
      </c>
      <c r="EG66" s="19">
        <v>153.878260869565</v>
      </c>
      <c r="EH66" s="19">
        <v>1.298</v>
      </c>
      <c r="EI66" s="19">
        <v>0</v>
      </c>
      <c r="EJ66" s="19">
        <v>0</v>
      </c>
      <c r="EK66" s="19">
        <v>330.4</v>
      </c>
      <c r="EL66" s="19">
        <v>2.9990000000000001</v>
      </c>
      <c r="EM66" s="19">
        <v>351.79130434782599</v>
      </c>
      <c r="EN66" s="19">
        <v>3.1120000000000001</v>
      </c>
      <c r="EO66" s="19">
        <v>410.573913043478</v>
      </c>
      <c r="EP66" s="19">
        <v>3.6320000000000001</v>
      </c>
      <c r="EQ66" s="19">
        <v>367.78260869565202</v>
      </c>
      <c r="ER66" s="19">
        <v>3.27</v>
      </c>
      <c r="ES66" s="119">
        <v>109.878260869565</v>
      </c>
      <c r="ET66" s="119">
        <v>0.97199999999999998</v>
      </c>
    </row>
    <row r="67" spans="1:150" ht="16.5" customHeight="1" x14ac:dyDescent="0.35">
      <c r="A67" s="4">
        <v>202</v>
      </c>
      <c r="B67" s="4" t="str">
        <f>LOOKUP(A67,Lookup!$A$1:$A$34,Lookup!$B$1:$B$34)</f>
        <v>BEEF</v>
      </c>
      <c r="C67" s="5">
        <v>12145</v>
      </c>
      <c r="D67" s="6" t="s">
        <v>71</v>
      </c>
      <c r="E67" s="18">
        <v>124.018126148194</v>
      </c>
      <c r="F67" s="18">
        <v>0.94199999999999995</v>
      </c>
      <c r="G67" s="18">
        <v>8805.2869565217406</v>
      </c>
      <c r="H67" s="18">
        <v>66.912999999999997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1202.9043478260901</v>
      </c>
      <c r="AL67" s="19">
        <v>10.641999999999999</v>
      </c>
      <c r="AM67" s="19">
        <v>766.83478260869595</v>
      </c>
      <c r="AN67" s="19">
        <v>6.7839999999999998</v>
      </c>
      <c r="AO67" s="19">
        <v>978.878260869565</v>
      </c>
      <c r="AP67" s="19">
        <v>8.66</v>
      </c>
      <c r="AQ67" s="19">
        <v>1163.1304347826101</v>
      </c>
      <c r="AR67" s="19">
        <v>9.157</v>
      </c>
      <c r="AS67" s="19">
        <v>319.43478260869603</v>
      </c>
      <c r="AT67" s="19">
        <v>2.4489999999999998</v>
      </c>
      <c r="AU67" s="19">
        <v>125.017391304348</v>
      </c>
      <c r="AV67" s="19">
        <v>0.95899999999999996</v>
      </c>
      <c r="AW67" s="19">
        <v>262.92173913043501</v>
      </c>
      <c r="AX67" s="19">
        <v>2.0150000000000001</v>
      </c>
      <c r="AY67" s="19">
        <v>0</v>
      </c>
      <c r="AZ67" s="19">
        <v>0</v>
      </c>
      <c r="BA67" s="19">
        <v>299.76521739130402</v>
      </c>
      <c r="BB67" s="19">
        <v>2.028</v>
      </c>
      <c r="BC67" s="19">
        <v>747.85217391304298</v>
      </c>
      <c r="BD67" s="19">
        <v>5.0590000000000002</v>
      </c>
      <c r="BE67" s="19">
        <v>669.60869565217399</v>
      </c>
      <c r="BF67" s="19">
        <v>4.0529999999999999</v>
      </c>
      <c r="BG67" s="19">
        <v>221.434782608696</v>
      </c>
      <c r="BH67" s="19">
        <v>1.415</v>
      </c>
      <c r="BI67" s="19">
        <v>628.46086956521697</v>
      </c>
      <c r="BJ67" s="19">
        <v>3.8039999999999998</v>
      </c>
      <c r="BK67" s="19">
        <v>679.46956521739105</v>
      </c>
      <c r="BL67" s="19">
        <v>4.8840000000000003</v>
      </c>
      <c r="BM67" s="19">
        <v>739.573913043478</v>
      </c>
      <c r="BN67" s="19">
        <v>5.0039999999999996</v>
      </c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>
        <v>0</v>
      </c>
      <c r="BW67" s="19">
        <v>0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  <c r="DK67" s="19">
        <v>0</v>
      </c>
      <c r="DL67" s="19">
        <v>0</v>
      </c>
      <c r="DM67" s="19">
        <v>0</v>
      </c>
      <c r="DN67" s="19">
        <v>0</v>
      </c>
      <c r="DO67" s="19">
        <v>0</v>
      </c>
      <c r="DP67" s="19">
        <v>0</v>
      </c>
      <c r="DQ67" s="19">
        <v>0</v>
      </c>
      <c r="DR67" s="19">
        <v>0</v>
      </c>
      <c r="DS67" s="19">
        <v>0</v>
      </c>
      <c r="DT67" s="19">
        <v>0</v>
      </c>
      <c r="DU67" s="19">
        <v>0</v>
      </c>
      <c r="DV67" s="19">
        <v>0</v>
      </c>
      <c r="DW67" s="19">
        <v>0</v>
      </c>
      <c r="DX67" s="19">
        <v>0</v>
      </c>
      <c r="DY67" s="19">
        <v>0</v>
      </c>
      <c r="DZ67" s="19">
        <v>0</v>
      </c>
      <c r="EA67" s="19">
        <v>0</v>
      </c>
      <c r="EB67" s="19">
        <v>0</v>
      </c>
      <c r="EC67" s="19">
        <v>0</v>
      </c>
      <c r="ED67" s="19">
        <v>0</v>
      </c>
      <c r="EE67" s="19">
        <v>0</v>
      </c>
      <c r="EF67" s="19">
        <v>0</v>
      </c>
      <c r="EG67" s="19">
        <v>0</v>
      </c>
      <c r="EH67" s="19">
        <v>0</v>
      </c>
      <c r="EI67" s="19">
        <v>0</v>
      </c>
      <c r="EJ67" s="19">
        <v>0</v>
      </c>
      <c r="EK67" s="19">
        <v>0</v>
      </c>
      <c r="EL67" s="19">
        <v>0</v>
      </c>
      <c r="EM67" s="19">
        <v>0</v>
      </c>
      <c r="EN67" s="19">
        <v>0</v>
      </c>
      <c r="EO67" s="19">
        <v>0</v>
      </c>
      <c r="EP67" s="19">
        <v>0</v>
      </c>
      <c r="EQ67" s="19">
        <v>0</v>
      </c>
      <c r="ER67" s="19">
        <v>0</v>
      </c>
      <c r="ES67" s="119">
        <v>0</v>
      </c>
      <c r="ET67" s="119">
        <v>0</v>
      </c>
    </row>
    <row r="68" spans="1:150" ht="16.5" customHeight="1" x14ac:dyDescent="0.35">
      <c r="A68" s="4">
        <v>202</v>
      </c>
      <c r="B68" s="4" t="str">
        <f>LOOKUP(A68,Lookup!$A$1:$A$34,Lookup!$B$1:$B$34)</f>
        <v>BEEF</v>
      </c>
      <c r="C68" s="5">
        <v>12146</v>
      </c>
      <c r="D68" s="6" t="s">
        <v>72</v>
      </c>
      <c r="E68" s="18">
        <v>16.802816901408502</v>
      </c>
      <c r="F68" s="18">
        <v>0.108</v>
      </c>
      <c r="G68" s="18">
        <v>1193</v>
      </c>
      <c r="H68" s="18">
        <v>7.6539999999999999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299.55652173913001</v>
      </c>
      <c r="BH68" s="19">
        <v>1.9139999999999999</v>
      </c>
      <c r="BI68" s="19">
        <v>306.75652173912999</v>
      </c>
      <c r="BJ68" s="19">
        <v>1.96</v>
      </c>
      <c r="BK68" s="19">
        <v>195.10434782608701</v>
      </c>
      <c r="BL68" s="19">
        <v>1.278</v>
      </c>
      <c r="BM68" s="19">
        <v>391.58260869565203</v>
      </c>
      <c r="BN68" s="19">
        <v>2.5019999999999998</v>
      </c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v>0</v>
      </c>
      <c r="DU68" s="19">
        <v>0</v>
      </c>
      <c r="DV68" s="19">
        <v>0</v>
      </c>
      <c r="DW68" s="19">
        <v>0</v>
      </c>
      <c r="DX68" s="19">
        <v>0</v>
      </c>
      <c r="DY68" s="19">
        <v>0</v>
      </c>
      <c r="DZ68" s="19">
        <v>0</v>
      </c>
      <c r="EA68" s="19">
        <v>0</v>
      </c>
      <c r="EB68" s="19">
        <v>0</v>
      </c>
      <c r="EC68" s="19">
        <v>0</v>
      </c>
      <c r="ED68" s="19">
        <v>0</v>
      </c>
      <c r="EE68" s="19">
        <v>0</v>
      </c>
      <c r="EF68" s="19">
        <v>0</v>
      </c>
      <c r="EG68" s="19">
        <v>0</v>
      </c>
      <c r="EH68" s="19">
        <v>0</v>
      </c>
      <c r="EI68" s="19">
        <v>0</v>
      </c>
      <c r="EJ68" s="19">
        <v>0</v>
      </c>
      <c r="EK68" s="19">
        <v>0</v>
      </c>
      <c r="EL68" s="19">
        <v>0</v>
      </c>
      <c r="EM68" s="19">
        <v>0</v>
      </c>
      <c r="EN68" s="19">
        <v>0</v>
      </c>
      <c r="EO68" s="19">
        <v>0</v>
      </c>
      <c r="EP68" s="19">
        <v>0</v>
      </c>
      <c r="EQ68" s="19">
        <v>0</v>
      </c>
      <c r="ER68" s="19">
        <v>0</v>
      </c>
      <c r="ES68" s="119">
        <v>0</v>
      </c>
      <c r="ET68" s="119">
        <v>0</v>
      </c>
    </row>
    <row r="69" spans="1:150" ht="16.5" customHeight="1" x14ac:dyDescent="0.35">
      <c r="A69" s="4">
        <v>202</v>
      </c>
      <c r="B69" s="4" t="str">
        <f>LOOKUP(A69,Lookup!$A$1:$A$34,Lookup!$B$1:$B$34)</f>
        <v>BEEF</v>
      </c>
      <c r="C69" s="5">
        <v>12147</v>
      </c>
      <c r="D69" s="6" t="s">
        <v>73</v>
      </c>
      <c r="E69" s="18">
        <v>34.9393753827312</v>
      </c>
      <c r="F69" s="18">
        <v>0.19900000000000001</v>
      </c>
      <c r="G69" s="18">
        <v>2480.6956521739098</v>
      </c>
      <c r="H69" s="18">
        <v>14.121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88.113043478260906</v>
      </c>
      <c r="AH69" s="19">
        <v>0.47799999999999998</v>
      </c>
      <c r="AI69" s="19">
        <v>175.121739130435</v>
      </c>
      <c r="AJ69" s="19">
        <v>0.95</v>
      </c>
      <c r="AK69" s="19">
        <v>0</v>
      </c>
      <c r="AL69" s="19">
        <v>0</v>
      </c>
      <c r="AM69" s="19">
        <v>84.026086956521695</v>
      </c>
      <c r="AN69" s="19">
        <v>0.45800000000000002</v>
      </c>
      <c r="AO69" s="19">
        <v>0</v>
      </c>
      <c r="AP69" s="19">
        <v>0</v>
      </c>
      <c r="AQ69" s="19">
        <v>80.3565217391304</v>
      </c>
      <c r="AR69" s="19">
        <v>0.40500000000000003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318.26086956521698</v>
      </c>
      <c r="DD69" s="19">
        <v>1.83</v>
      </c>
      <c r="DE69" s="19">
        <v>849.99130434782603</v>
      </c>
      <c r="DF69" s="19">
        <v>4.9119999999999999</v>
      </c>
      <c r="DG69" s="19">
        <v>428.50434782608698</v>
      </c>
      <c r="DH69" s="19">
        <v>2.464</v>
      </c>
      <c r="DI69" s="19">
        <v>456.32173913043499</v>
      </c>
      <c r="DJ69" s="19">
        <v>2.6240000000000001</v>
      </c>
      <c r="DK69" s="19">
        <v>0</v>
      </c>
      <c r="DL69" s="19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v>0</v>
      </c>
      <c r="DU69" s="19">
        <v>0</v>
      </c>
      <c r="DV69" s="19">
        <v>0</v>
      </c>
      <c r="DW69" s="19">
        <v>0</v>
      </c>
      <c r="DX69" s="19">
        <v>0</v>
      </c>
      <c r="DY69" s="19">
        <v>0</v>
      </c>
      <c r="DZ69" s="19">
        <v>0</v>
      </c>
      <c r="EA69" s="19">
        <v>0</v>
      </c>
      <c r="EB69" s="19">
        <v>0</v>
      </c>
      <c r="EC69" s="19">
        <v>0</v>
      </c>
      <c r="ED69" s="19">
        <v>0</v>
      </c>
      <c r="EE69" s="19">
        <v>0</v>
      </c>
      <c r="EF69" s="19">
        <v>0</v>
      </c>
      <c r="EG69" s="19">
        <v>0</v>
      </c>
      <c r="EH69" s="19">
        <v>0</v>
      </c>
      <c r="EI69" s="19">
        <v>0</v>
      </c>
      <c r="EJ69" s="19">
        <v>0</v>
      </c>
      <c r="EK69" s="19">
        <v>0</v>
      </c>
      <c r="EL69" s="19">
        <v>0</v>
      </c>
      <c r="EM69" s="19">
        <v>0</v>
      </c>
      <c r="EN69" s="19">
        <v>0</v>
      </c>
      <c r="EO69" s="19">
        <v>0</v>
      </c>
      <c r="EP69" s="19">
        <v>0</v>
      </c>
      <c r="EQ69" s="19">
        <v>0</v>
      </c>
      <c r="ER69" s="19">
        <v>0</v>
      </c>
      <c r="ES69" s="119">
        <v>0</v>
      </c>
      <c r="ET69" s="119">
        <v>0</v>
      </c>
    </row>
    <row r="70" spans="1:150" ht="16.5" customHeight="1" x14ac:dyDescent="0.35">
      <c r="A70" s="4">
        <v>202</v>
      </c>
      <c r="B70" s="4" t="str">
        <f>LOOKUP(A70,Lookup!$A$1:$A$34,Lookup!$B$1:$B$34)</f>
        <v>BEEF</v>
      </c>
      <c r="C70" s="5">
        <v>12150</v>
      </c>
      <c r="D70" s="6" t="s">
        <v>74</v>
      </c>
      <c r="E70" s="18">
        <v>1020.42633190447</v>
      </c>
      <c r="F70" s="18">
        <v>6.0970000000000004</v>
      </c>
      <c r="G70" s="18">
        <v>72450.269565217401</v>
      </c>
      <c r="H70" s="18">
        <v>432.90499999999997</v>
      </c>
      <c r="I70" s="19">
        <v>968.79130434782599</v>
      </c>
      <c r="J70" s="19">
        <v>6.19</v>
      </c>
      <c r="K70" s="19">
        <v>1338.46956521739</v>
      </c>
      <c r="L70" s="19">
        <v>8.5519999999999996</v>
      </c>
      <c r="M70" s="19">
        <v>1269.6086956521699</v>
      </c>
      <c r="N70" s="19">
        <v>8.1120000000000001</v>
      </c>
      <c r="O70" s="19">
        <v>1031.72173913043</v>
      </c>
      <c r="P70" s="19">
        <v>6.5919999999999996</v>
      </c>
      <c r="Q70" s="19">
        <v>768.77391304347805</v>
      </c>
      <c r="R70" s="19">
        <v>4.9119999999999999</v>
      </c>
      <c r="S70" s="19">
        <v>755.63478260869601</v>
      </c>
      <c r="T70" s="19">
        <v>4.8280000000000003</v>
      </c>
      <c r="U70" s="19">
        <v>1641.8086956521699</v>
      </c>
      <c r="V70" s="19">
        <v>10.49</v>
      </c>
      <c r="W70" s="19">
        <v>1494.05217391304</v>
      </c>
      <c r="X70" s="19">
        <v>9.5459999999999994</v>
      </c>
      <c r="Y70" s="19">
        <v>1582.6347826087001</v>
      </c>
      <c r="Z70" s="19">
        <v>10.112</v>
      </c>
      <c r="AA70" s="19">
        <v>640.43478260869597</v>
      </c>
      <c r="AB70" s="19">
        <v>4.4279999999999999</v>
      </c>
      <c r="AC70" s="19">
        <v>257.304347826087</v>
      </c>
      <c r="AD70" s="19">
        <v>1.6439999999999999</v>
      </c>
      <c r="AE70" s="19">
        <v>493.00869565217403</v>
      </c>
      <c r="AF70" s="19">
        <v>3.15</v>
      </c>
      <c r="AG70" s="19">
        <v>1046.73913043478</v>
      </c>
      <c r="AH70" s="19">
        <v>6.6879999999999997</v>
      </c>
      <c r="AI70" s="19">
        <v>0</v>
      </c>
      <c r="AJ70" s="19">
        <v>0</v>
      </c>
      <c r="AK70" s="19">
        <v>1571.49565217391</v>
      </c>
      <c r="AL70" s="19">
        <v>11.295999999999999</v>
      </c>
      <c r="AM70" s="19">
        <v>2953.2434782608698</v>
      </c>
      <c r="AN70" s="19">
        <v>21.228000000000002</v>
      </c>
      <c r="AO70" s="19">
        <v>1052.22608695652</v>
      </c>
      <c r="AP70" s="19">
        <v>6.3689999999999998</v>
      </c>
      <c r="AQ70" s="19">
        <v>1299.1739130434801</v>
      </c>
      <c r="AR70" s="19">
        <v>6.984</v>
      </c>
      <c r="AS70" s="19">
        <v>727.45217391304402</v>
      </c>
      <c r="AT70" s="19">
        <v>3.8029999999999999</v>
      </c>
      <c r="AU70" s="19">
        <v>348.017391304348</v>
      </c>
      <c r="AV70" s="19">
        <v>2.46</v>
      </c>
      <c r="AW70" s="19">
        <v>846.66086956521701</v>
      </c>
      <c r="AX70" s="19">
        <v>4.6059999999999999</v>
      </c>
      <c r="AY70" s="19">
        <v>254.05217391304299</v>
      </c>
      <c r="AZ70" s="19">
        <v>1.3280000000000001</v>
      </c>
      <c r="BA70" s="19">
        <v>682.93043478260904</v>
      </c>
      <c r="BB70" s="19">
        <v>3.492</v>
      </c>
      <c r="BC70" s="19">
        <v>739.26086956521704</v>
      </c>
      <c r="BD70" s="19">
        <v>3.609</v>
      </c>
      <c r="BE70" s="19">
        <v>247.89565217391299</v>
      </c>
      <c r="BF70" s="19">
        <v>1.208</v>
      </c>
      <c r="BG70" s="19">
        <v>369.78260869565202</v>
      </c>
      <c r="BH70" s="19">
        <v>1.73</v>
      </c>
      <c r="BI70" s="19">
        <v>356.93913043478301</v>
      </c>
      <c r="BJ70" s="19">
        <v>1.7509999999999999</v>
      </c>
      <c r="BK70" s="19">
        <v>351.73913043478302</v>
      </c>
      <c r="BL70" s="19">
        <v>1.7589999999999999</v>
      </c>
      <c r="BM70" s="19">
        <v>459.86956521739103</v>
      </c>
      <c r="BN70" s="19">
        <v>2.2989999999999999</v>
      </c>
      <c r="BO70" s="19">
        <v>1292.3217391304299</v>
      </c>
      <c r="BP70" s="19">
        <v>6.4619999999999997</v>
      </c>
      <c r="BQ70" s="19">
        <v>484.37391304347801</v>
      </c>
      <c r="BR70" s="19">
        <v>2.4220000000000002</v>
      </c>
      <c r="BS70" s="19">
        <v>861.452173913043</v>
      </c>
      <c r="BT70" s="19">
        <v>4.3380000000000001</v>
      </c>
      <c r="BU70" s="19">
        <v>447.269565217391</v>
      </c>
      <c r="BV70" s="19">
        <v>2.5720000000000001</v>
      </c>
      <c r="BW70" s="19">
        <v>720.304347826087</v>
      </c>
      <c r="BX70" s="19">
        <v>4.1420000000000003</v>
      </c>
      <c r="BY70" s="19">
        <v>569.21739130434798</v>
      </c>
      <c r="BZ70" s="19">
        <v>3.1419999999999999</v>
      </c>
      <c r="CA70" s="19">
        <v>835.26086956521704</v>
      </c>
      <c r="CB70" s="19">
        <v>4.468</v>
      </c>
      <c r="CC70" s="19">
        <v>1114.1217391304299</v>
      </c>
      <c r="CD70" s="19">
        <v>5.5709999999999997</v>
      </c>
      <c r="CE70" s="19">
        <v>2234.2521739130402</v>
      </c>
      <c r="CF70" s="19">
        <v>11.170999999999999</v>
      </c>
      <c r="CG70" s="19">
        <v>738.39130434782601</v>
      </c>
      <c r="CH70" s="19">
        <v>4.2460000000000004</v>
      </c>
      <c r="CI70" s="19">
        <v>815.60869565217399</v>
      </c>
      <c r="CJ70" s="19">
        <v>4.6900000000000004</v>
      </c>
      <c r="CK70" s="19">
        <v>1674.99130434783</v>
      </c>
      <c r="CL70" s="19">
        <v>8.7059999999999995</v>
      </c>
      <c r="CM70" s="19">
        <v>1748.53043478261</v>
      </c>
      <c r="CN70" s="19">
        <v>9.3940000000000001</v>
      </c>
      <c r="CO70" s="19">
        <v>1235.75652173913</v>
      </c>
      <c r="CP70" s="19">
        <v>6.0679999999999996</v>
      </c>
      <c r="CQ70" s="19">
        <v>914.82608695652198</v>
      </c>
      <c r="CR70" s="19">
        <v>4.3559999999999999</v>
      </c>
      <c r="CS70" s="19">
        <v>612.86086956521694</v>
      </c>
      <c r="CT70" s="19">
        <v>3.028</v>
      </c>
      <c r="CU70" s="19">
        <v>861.05217391304404</v>
      </c>
      <c r="CV70" s="19">
        <v>4.3049999999999997</v>
      </c>
      <c r="CW70" s="19">
        <v>942.52173913043498</v>
      </c>
      <c r="CX70" s="19">
        <v>5.3819999999999997</v>
      </c>
      <c r="CY70" s="19">
        <v>845.15652173912997</v>
      </c>
      <c r="CZ70" s="19">
        <v>4.0970000000000004</v>
      </c>
      <c r="DA70" s="19">
        <v>1668.8869565217401</v>
      </c>
      <c r="DB70" s="19">
        <v>8.1329999999999991</v>
      </c>
      <c r="DC70" s="19">
        <v>1649.99130434783</v>
      </c>
      <c r="DD70" s="19">
        <v>9.4879999999999995</v>
      </c>
      <c r="DE70" s="19">
        <v>689.91304347826099</v>
      </c>
      <c r="DF70" s="19">
        <v>3.3620000000000001</v>
      </c>
      <c r="DG70" s="19">
        <v>694.83478260869595</v>
      </c>
      <c r="DH70" s="19">
        <v>3.766</v>
      </c>
      <c r="DI70" s="19">
        <v>1517.46086956522</v>
      </c>
      <c r="DJ70" s="19">
        <v>8.7260000000000009</v>
      </c>
      <c r="DK70" s="19">
        <v>1396.29565217391</v>
      </c>
      <c r="DL70" s="19">
        <v>8.7100000000000009</v>
      </c>
      <c r="DM70" s="19">
        <v>1685.45217391304</v>
      </c>
      <c r="DN70" s="19">
        <v>9.6920000000000002</v>
      </c>
      <c r="DO70" s="19">
        <v>880.98260869565195</v>
      </c>
      <c r="DP70" s="19">
        <v>4.9390000000000001</v>
      </c>
      <c r="DQ70" s="19">
        <v>1027.72173913043</v>
      </c>
      <c r="DR70" s="19">
        <v>6.734</v>
      </c>
      <c r="DS70" s="19">
        <v>963.89565217391305</v>
      </c>
      <c r="DT70" s="19">
        <v>4.7060000000000004</v>
      </c>
      <c r="DU70" s="19">
        <v>1379.6173913043499</v>
      </c>
      <c r="DV70" s="19">
        <v>11.012</v>
      </c>
      <c r="DW70" s="19">
        <v>3520.6608695652199</v>
      </c>
      <c r="DX70" s="19">
        <v>26.994</v>
      </c>
      <c r="DY70" s="19">
        <v>1446.46956521739</v>
      </c>
      <c r="DZ70" s="19">
        <v>11.118</v>
      </c>
      <c r="EA70" s="19">
        <v>981.06956521739096</v>
      </c>
      <c r="EB70" s="19">
        <v>6.7069999999999999</v>
      </c>
      <c r="EC70" s="19">
        <v>1719.4347826087001</v>
      </c>
      <c r="ED70" s="19">
        <v>10.986000000000001</v>
      </c>
      <c r="EE70" s="19">
        <v>980.07826086956504</v>
      </c>
      <c r="EF70" s="19">
        <v>5.6050000000000004</v>
      </c>
      <c r="EG70" s="19">
        <v>1244.0956521739099</v>
      </c>
      <c r="EH70" s="19">
        <v>7.51</v>
      </c>
      <c r="EI70" s="19">
        <v>1686.8521739130399</v>
      </c>
      <c r="EJ70" s="19">
        <v>9.6999999999999993</v>
      </c>
      <c r="EK70" s="19">
        <v>742.93043478260904</v>
      </c>
      <c r="EL70" s="19">
        <v>4.4390000000000001</v>
      </c>
      <c r="EM70" s="19">
        <v>838.452173913043</v>
      </c>
      <c r="EN70" s="19">
        <v>4.4409999999999998</v>
      </c>
      <c r="EO70" s="19">
        <v>700.01739130434805</v>
      </c>
      <c r="EP70" s="19">
        <v>5.2409999999999997</v>
      </c>
      <c r="EQ70" s="19">
        <v>101.991304347826</v>
      </c>
      <c r="ER70" s="19">
        <v>0.51</v>
      </c>
      <c r="ES70" s="119">
        <v>435.17391304347802</v>
      </c>
      <c r="ET70" s="119">
        <v>2.66</v>
      </c>
    </row>
    <row r="71" spans="1:150" ht="16.5" customHeight="1" x14ac:dyDescent="0.35">
      <c r="A71" s="4">
        <v>202</v>
      </c>
      <c r="B71" s="4" t="str">
        <f>LOOKUP(A71,Lookup!$A$1:$A$34,Lookup!$B$1:$B$34)</f>
        <v>BEEF</v>
      </c>
      <c r="C71" s="5">
        <v>12157</v>
      </c>
      <c r="D71" s="6" t="s">
        <v>75</v>
      </c>
      <c r="E71" s="18">
        <v>0</v>
      </c>
      <c r="F71" s="18">
        <v>0</v>
      </c>
      <c r="G71" s="18">
        <v>0</v>
      </c>
      <c r="H71" s="18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0</v>
      </c>
      <c r="DX71" s="19">
        <v>0</v>
      </c>
      <c r="DY71" s="19">
        <v>0</v>
      </c>
      <c r="DZ71" s="19">
        <v>0</v>
      </c>
      <c r="EA71" s="19">
        <v>0</v>
      </c>
      <c r="EB71" s="19">
        <v>0</v>
      </c>
      <c r="EC71" s="19">
        <v>0</v>
      </c>
      <c r="ED71" s="19">
        <v>0</v>
      </c>
      <c r="EE71" s="19">
        <v>0</v>
      </c>
      <c r="EF71" s="19">
        <v>0</v>
      </c>
      <c r="EG71" s="19">
        <v>0</v>
      </c>
      <c r="EH71" s="19">
        <v>0</v>
      </c>
      <c r="EI71" s="19">
        <v>0</v>
      </c>
      <c r="EJ71" s="19">
        <v>0</v>
      </c>
      <c r="EK71" s="19">
        <v>0</v>
      </c>
      <c r="EL71" s="19">
        <v>0</v>
      </c>
      <c r="EM71" s="19">
        <v>0</v>
      </c>
      <c r="EN71" s="19">
        <v>0</v>
      </c>
      <c r="EO71" s="19">
        <v>0</v>
      </c>
      <c r="EP71" s="19">
        <v>0</v>
      </c>
      <c r="EQ71" s="19">
        <v>0</v>
      </c>
      <c r="ER71" s="19">
        <v>0</v>
      </c>
      <c r="ES71" s="119">
        <v>0</v>
      </c>
      <c r="ET71" s="119">
        <v>0</v>
      </c>
    </row>
    <row r="72" spans="1:150" ht="16.5" customHeight="1" x14ac:dyDescent="0.35">
      <c r="A72" s="4">
        <v>202</v>
      </c>
      <c r="B72" s="4" t="str">
        <f>LOOKUP(A72,Lookup!$A$1:$A$34,Lookup!$B$1:$B$34)</f>
        <v>BEEF</v>
      </c>
      <c r="C72" s="5">
        <v>12160</v>
      </c>
      <c r="D72" s="6" t="s">
        <v>76</v>
      </c>
      <c r="E72" s="18">
        <v>97.6203306797305</v>
      </c>
      <c r="F72" s="18">
        <v>0.624</v>
      </c>
      <c r="G72" s="18">
        <v>6931.04347826087</v>
      </c>
      <c r="H72" s="18">
        <v>44.283999999999999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927.50434782608704</v>
      </c>
      <c r="BH72" s="19">
        <v>5.9260000000000002</v>
      </c>
      <c r="BI72" s="19">
        <v>1850.30434782609</v>
      </c>
      <c r="BJ72" s="19">
        <v>11.821999999999999</v>
      </c>
      <c r="BK72" s="19">
        <v>636.06956521739096</v>
      </c>
      <c r="BL72" s="19">
        <v>4.0640000000000001</v>
      </c>
      <c r="BM72" s="19">
        <v>825.452173913043</v>
      </c>
      <c r="BN72" s="19">
        <v>5.274</v>
      </c>
      <c r="BO72" s="19">
        <v>0</v>
      </c>
      <c r="BP72" s="19">
        <v>0</v>
      </c>
      <c r="BQ72" s="19">
        <v>1707.24347826087</v>
      </c>
      <c r="BR72" s="19">
        <v>10.907999999999999</v>
      </c>
      <c r="BS72" s="19">
        <v>357.47826086956502</v>
      </c>
      <c r="BT72" s="19">
        <v>2.2839999999999998</v>
      </c>
      <c r="BU72" s="19">
        <v>333.37391304347801</v>
      </c>
      <c r="BV72" s="19">
        <v>2.13</v>
      </c>
      <c r="BW72" s="19">
        <v>293.61739130434802</v>
      </c>
      <c r="BX72" s="19">
        <v>1.8759999999999999</v>
      </c>
      <c r="BY72" s="19">
        <v>0</v>
      </c>
      <c r="BZ72" s="19">
        <v>0</v>
      </c>
      <c r="CA72" s="19">
        <v>0</v>
      </c>
      <c r="CB72" s="19">
        <v>0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  <c r="DK72" s="19">
        <v>0</v>
      </c>
      <c r="DL72" s="19">
        <v>0</v>
      </c>
      <c r="DM72" s="19">
        <v>0</v>
      </c>
      <c r="DN72" s="19">
        <v>0</v>
      </c>
      <c r="DO72" s="19">
        <v>0</v>
      </c>
      <c r="DP72" s="19">
        <v>0</v>
      </c>
      <c r="DQ72" s="19">
        <v>0</v>
      </c>
      <c r="DR72" s="19">
        <v>0</v>
      </c>
      <c r="DS72" s="19">
        <v>0</v>
      </c>
      <c r="DT72" s="19">
        <v>0</v>
      </c>
      <c r="DU72" s="19">
        <v>0</v>
      </c>
      <c r="DV72" s="19">
        <v>0</v>
      </c>
      <c r="DW72" s="19">
        <v>0</v>
      </c>
      <c r="DX72" s="19">
        <v>0</v>
      </c>
      <c r="DY72" s="19">
        <v>0</v>
      </c>
      <c r="DZ72" s="19">
        <v>0</v>
      </c>
      <c r="EA72" s="19">
        <v>0</v>
      </c>
      <c r="EB72" s="19">
        <v>0</v>
      </c>
      <c r="EC72" s="19">
        <v>0</v>
      </c>
      <c r="ED72" s="19">
        <v>0</v>
      </c>
      <c r="EE72" s="19">
        <v>0</v>
      </c>
      <c r="EF72" s="19">
        <v>0</v>
      </c>
      <c r="EG72" s="19">
        <v>0</v>
      </c>
      <c r="EH72" s="19">
        <v>0</v>
      </c>
      <c r="EI72" s="19">
        <v>0</v>
      </c>
      <c r="EJ72" s="19">
        <v>0</v>
      </c>
      <c r="EK72" s="19">
        <v>0</v>
      </c>
      <c r="EL72" s="19">
        <v>0</v>
      </c>
      <c r="EM72" s="19">
        <v>0</v>
      </c>
      <c r="EN72" s="19">
        <v>0</v>
      </c>
      <c r="EO72" s="19">
        <v>0</v>
      </c>
      <c r="EP72" s="19">
        <v>0</v>
      </c>
      <c r="EQ72" s="19">
        <v>0</v>
      </c>
      <c r="ER72" s="19">
        <v>0</v>
      </c>
      <c r="ES72" s="119">
        <v>0</v>
      </c>
      <c r="ET72" s="119">
        <v>0</v>
      </c>
    </row>
    <row r="73" spans="1:150" ht="16.5" customHeight="1" x14ac:dyDescent="0.35">
      <c r="A73" s="4">
        <v>202</v>
      </c>
      <c r="B73" s="4" t="str">
        <f>LOOKUP(A73,Lookup!$A$1:$A$34,Lookup!$B$1:$B$34)</f>
        <v>BEEF</v>
      </c>
      <c r="C73" s="5">
        <v>12169</v>
      </c>
      <c r="D73" s="6" t="s">
        <v>77</v>
      </c>
      <c r="E73" s="18">
        <v>26.409675443968201</v>
      </c>
      <c r="F73" s="18">
        <v>0.157</v>
      </c>
      <c r="G73" s="18">
        <v>1875.0869565217399</v>
      </c>
      <c r="H73" s="18">
        <v>11.16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>
        <v>0</v>
      </c>
      <c r="BW73" s="19">
        <v>0</v>
      </c>
      <c r="BX73" s="19">
        <v>0</v>
      </c>
      <c r="BY73" s="19">
        <v>0</v>
      </c>
      <c r="BZ73" s="19">
        <v>0</v>
      </c>
      <c r="CA73" s="19">
        <v>0</v>
      </c>
      <c r="CB73" s="19">
        <v>0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19">
        <v>0</v>
      </c>
      <c r="DK73" s="19">
        <v>0</v>
      </c>
      <c r="DL73" s="19">
        <v>0</v>
      </c>
      <c r="DM73" s="19">
        <v>0</v>
      </c>
      <c r="DN73" s="19">
        <v>0</v>
      </c>
      <c r="DO73" s="19">
        <v>0</v>
      </c>
      <c r="DP73" s="19">
        <v>0</v>
      </c>
      <c r="DQ73" s="19">
        <v>0</v>
      </c>
      <c r="DR73" s="19">
        <v>0</v>
      </c>
      <c r="DS73" s="19">
        <v>0</v>
      </c>
      <c r="DT73" s="19">
        <v>0</v>
      </c>
      <c r="DU73" s="19">
        <v>0</v>
      </c>
      <c r="DV73" s="19">
        <v>0</v>
      </c>
      <c r="DW73" s="19">
        <v>0</v>
      </c>
      <c r="DX73" s="19">
        <v>0</v>
      </c>
      <c r="DY73" s="19">
        <v>0</v>
      </c>
      <c r="DZ73" s="19">
        <v>0</v>
      </c>
      <c r="EA73" s="19">
        <v>0</v>
      </c>
      <c r="EB73" s="19">
        <v>0</v>
      </c>
      <c r="EC73" s="19">
        <v>0</v>
      </c>
      <c r="ED73" s="19">
        <v>0</v>
      </c>
      <c r="EE73" s="19">
        <v>0</v>
      </c>
      <c r="EF73" s="19">
        <v>0</v>
      </c>
      <c r="EG73" s="19">
        <v>623.147826086956</v>
      </c>
      <c r="EH73" s="19">
        <v>3.7719999999999998</v>
      </c>
      <c r="EI73" s="19">
        <v>671.71304347826106</v>
      </c>
      <c r="EJ73" s="19">
        <v>4.0659999999999998</v>
      </c>
      <c r="EK73" s="19">
        <v>90.530434782608694</v>
      </c>
      <c r="EL73" s="19">
        <v>0.54800000000000004</v>
      </c>
      <c r="EM73" s="19">
        <v>187.80869565217401</v>
      </c>
      <c r="EN73" s="19">
        <v>1.08</v>
      </c>
      <c r="EO73" s="19">
        <v>203.11304347826101</v>
      </c>
      <c r="EP73" s="19">
        <v>1.1679999999999999</v>
      </c>
      <c r="EQ73" s="19">
        <v>98.773913043478302</v>
      </c>
      <c r="ER73" s="19">
        <v>0.52600000000000002</v>
      </c>
      <c r="ES73" s="119">
        <v>0</v>
      </c>
      <c r="ET73" s="119">
        <v>0</v>
      </c>
    </row>
    <row r="74" spans="1:150" ht="16.5" customHeight="1" x14ac:dyDescent="0.35">
      <c r="A74" s="4">
        <v>202</v>
      </c>
      <c r="B74" s="4" t="str">
        <f>LOOKUP(A74,Lookup!$A$1:$A$34,Lookup!$B$1:$B$34)</f>
        <v>BEEF</v>
      </c>
      <c r="C74" s="5">
        <v>12172</v>
      </c>
      <c r="D74" s="6" t="s">
        <v>78</v>
      </c>
      <c r="E74" s="18">
        <v>101.748315982854</v>
      </c>
      <c r="F74" s="18">
        <v>0.29299999999999998</v>
      </c>
      <c r="G74" s="18">
        <v>7224.1304347826099</v>
      </c>
      <c r="H74" s="18">
        <v>20.798999999999999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>
        <v>0</v>
      </c>
      <c r="BW74" s="19">
        <v>0</v>
      </c>
      <c r="BX74" s="19">
        <v>0</v>
      </c>
      <c r="BY74" s="19">
        <v>0</v>
      </c>
      <c r="BZ74" s="19">
        <v>0</v>
      </c>
      <c r="CA74" s="19">
        <v>0</v>
      </c>
      <c r="CB74" s="19">
        <v>0</v>
      </c>
      <c r="CC74" s="19">
        <v>0</v>
      </c>
      <c r="CD74" s="19">
        <v>0</v>
      </c>
      <c r="CE74" s="19">
        <v>0</v>
      </c>
      <c r="CF74" s="19">
        <v>0</v>
      </c>
      <c r="CG74" s="19">
        <v>563.46086956521697</v>
      </c>
      <c r="CH74" s="19">
        <v>1.62</v>
      </c>
      <c r="CI74" s="19">
        <v>550.24347826087001</v>
      </c>
      <c r="CJ74" s="19">
        <v>1.5820000000000001</v>
      </c>
      <c r="CK74" s="19">
        <v>331.121739130435</v>
      </c>
      <c r="CL74" s="19">
        <v>0.95199999999999996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19">
        <v>0</v>
      </c>
      <c r="DK74" s="19">
        <v>0</v>
      </c>
      <c r="DL74" s="19">
        <v>0</v>
      </c>
      <c r="DM74" s="19">
        <v>0</v>
      </c>
      <c r="DN74" s="19">
        <v>0</v>
      </c>
      <c r="DO74" s="19">
        <v>0</v>
      </c>
      <c r="DP74" s="19">
        <v>0</v>
      </c>
      <c r="DQ74" s="19">
        <v>0</v>
      </c>
      <c r="DR74" s="19">
        <v>0</v>
      </c>
      <c r="DS74" s="19">
        <v>0</v>
      </c>
      <c r="DT74" s="19">
        <v>0</v>
      </c>
      <c r="DU74" s="19">
        <v>0</v>
      </c>
      <c r="DV74" s="19">
        <v>0</v>
      </c>
      <c r="DW74" s="19">
        <v>0</v>
      </c>
      <c r="DX74" s="19">
        <v>0</v>
      </c>
      <c r="DY74" s="19">
        <v>0</v>
      </c>
      <c r="DZ74" s="19">
        <v>0</v>
      </c>
      <c r="EA74" s="19">
        <v>0</v>
      </c>
      <c r="EB74" s="19">
        <v>0</v>
      </c>
      <c r="EC74" s="19">
        <v>0</v>
      </c>
      <c r="ED74" s="19">
        <v>0</v>
      </c>
      <c r="EE74" s="19">
        <v>0</v>
      </c>
      <c r="EF74" s="19">
        <v>0</v>
      </c>
      <c r="EG74" s="19">
        <v>1106.77391304348</v>
      </c>
      <c r="EH74" s="19">
        <v>3.2120000000000002</v>
      </c>
      <c r="EI74" s="19">
        <v>985.00869565217397</v>
      </c>
      <c r="EJ74" s="19">
        <v>2.8319999999999999</v>
      </c>
      <c r="EK74" s="19">
        <v>1483.77391304348</v>
      </c>
      <c r="EL74" s="19">
        <v>4.266</v>
      </c>
      <c r="EM74" s="19">
        <v>428.81739130434801</v>
      </c>
      <c r="EN74" s="19">
        <v>1.2330000000000001</v>
      </c>
      <c r="EO74" s="19">
        <v>0</v>
      </c>
      <c r="EP74" s="19">
        <v>0</v>
      </c>
      <c r="EQ74" s="19">
        <v>1115.1652173913001</v>
      </c>
      <c r="ER74" s="19">
        <v>3.206</v>
      </c>
      <c r="ES74" s="119">
        <v>659.76521739130396</v>
      </c>
      <c r="ET74" s="119">
        <v>1.8959999999999999</v>
      </c>
    </row>
    <row r="75" spans="1:150" ht="16.5" customHeight="1" x14ac:dyDescent="0.35">
      <c r="A75" s="4">
        <v>202</v>
      </c>
      <c r="B75" s="4" t="str">
        <f>LOOKUP(A75,Lookup!$A$1:$A$34,Lookup!$B$1:$B$34)</f>
        <v>BEEF</v>
      </c>
      <c r="C75" s="5">
        <v>12174</v>
      </c>
      <c r="D75" s="6" t="s">
        <v>79</v>
      </c>
      <c r="E75" s="18">
        <v>509.14317207593399</v>
      </c>
      <c r="F75" s="18">
        <v>2.5739999999999998</v>
      </c>
      <c r="G75" s="18">
        <v>36149.165217391303</v>
      </c>
      <c r="H75" s="18">
        <v>182.76400000000001</v>
      </c>
      <c r="I75" s="19">
        <v>1654.6869565217401</v>
      </c>
      <c r="J75" s="19">
        <v>9.0619999999999994</v>
      </c>
      <c r="K75" s="19">
        <v>770.74782608695602</v>
      </c>
      <c r="L75" s="19">
        <v>4.2210000000000001</v>
      </c>
      <c r="M75" s="19">
        <v>511.426086956522</v>
      </c>
      <c r="N75" s="19">
        <v>2.8010000000000002</v>
      </c>
      <c r="O75" s="19">
        <v>972.8</v>
      </c>
      <c r="P75" s="19">
        <v>5.5940000000000003</v>
      </c>
      <c r="Q75" s="19">
        <v>1393.6260869565201</v>
      </c>
      <c r="R75" s="19">
        <v>8.0139999999999993</v>
      </c>
      <c r="S75" s="19">
        <v>1067.3913043478301</v>
      </c>
      <c r="T75" s="19">
        <v>6.1379999999999999</v>
      </c>
      <c r="U75" s="19">
        <v>1087.9304347826101</v>
      </c>
      <c r="V75" s="19">
        <v>6.2560000000000002</v>
      </c>
      <c r="W75" s="19">
        <v>1128.9652173913</v>
      </c>
      <c r="X75" s="19">
        <v>6.492</v>
      </c>
      <c r="Y75" s="19">
        <v>1438.8434782608699</v>
      </c>
      <c r="Z75" s="19">
        <v>8.2739999999999991</v>
      </c>
      <c r="AA75" s="19">
        <v>1401.6260869565201</v>
      </c>
      <c r="AB75" s="19">
        <v>8.06</v>
      </c>
      <c r="AC75" s="19">
        <v>716.41739130434803</v>
      </c>
      <c r="AD75" s="19">
        <v>3.7589999999999999</v>
      </c>
      <c r="AE75" s="19">
        <v>873.59130434782605</v>
      </c>
      <c r="AF75" s="19">
        <v>4.3680000000000003</v>
      </c>
      <c r="AG75" s="19">
        <v>1040.73043478261</v>
      </c>
      <c r="AH75" s="19">
        <v>5.2039999999999997</v>
      </c>
      <c r="AI75" s="19">
        <v>663.95652173913004</v>
      </c>
      <c r="AJ75" s="19">
        <v>3.32</v>
      </c>
      <c r="AK75" s="19">
        <v>837.40869565217395</v>
      </c>
      <c r="AL75" s="19">
        <v>4.0119999999999996</v>
      </c>
      <c r="AM75" s="19">
        <v>1315.53043478261</v>
      </c>
      <c r="AN75" s="19">
        <v>6.3040000000000003</v>
      </c>
      <c r="AO75" s="19">
        <v>914.86956521739103</v>
      </c>
      <c r="AP75" s="19">
        <v>4.3840000000000003</v>
      </c>
      <c r="AQ75" s="19">
        <v>881.89565217391305</v>
      </c>
      <c r="AR75" s="19">
        <v>4.226</v>
      </c>
      <c r="AS75" s="19">
        <v>958.28695652173894</v>
      </c>
      <c r="AT75" s="19">
        <v>4.2380000000000004</v>
      </c>
      <c r="AU75" s="19">
        <v>1499.25217391304</v>
      </c>
      <c r="AV75" s="19">
        <v>6.6319999999999997</v>
      </c>
      <c r="AW75" s="19">
        <v>693.59130434782605</v>
      </c>
      <c r="AX75" s="19">
        <v>3.0680000000000001</v>
      </c>
      <c r="AY75" s="19">
        <v>1190.95652173913</v>
      </c>
      <c r="AZ75" s="19">
        <v>5.2679999999999998</v>
      </c>
      <c r="BA75" s="19">
        <v>2228.6521739130399</v>
      </c>
      <c r="BB75" s="19">
        <v>9.8580000000000005</v>
      </c>
      <c r="BC75" s="19">
        <v>992.00869565217397</v>
      </c>
      <c r="BD75" s="19">
        <v>4.3879999999999999</v>
      </c>
      <c r="BE75" s="19">
        <v>714.86086956521694</v>
      </c>
      <c r="BF75" s="19">
        <v>3.5049999999999999</v>
      </c>
      <c r="BG75" s="19">
        <v>955.38260869565204</v>
      </c>
      <c r="BH75" s="19">
        <v>5.2309999999999999</v>
      </c>
      <c r="BI75" s="19">
        <v>1307.3826086956501</v>
      </c>
      <c r="BJ75" s="19">
        <v>7.16</v>
      </c>
      <c r="BK75" s="19">
        <v>1502.78260869565</v>
      </c>
      <c r="BL75" s="19">
        <v>6.6470000000000002</v>
      </c>
      <c r="BM75" s="19">
        <v>1101.8434782608699</v>
      </c>
      <c r="BN75" s="19">
        <v>4.9000000000000004</v>
      </c>
      <c r="BO75" s="19">
        <v>485.15652173913003</v>
      </c>
      <c r="BP75" s="19">
        <v>2.1459999999999999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>
        <v>0</v>
      </c>
      <c r="BW75" s="19">
        <v>0</v>
      </c>
      <c r="BX75" s="19">
        <v>0</v>
      </c>
      <c r="BY75" s="19">
        <v>1974.69565217391</v>
      </c>
      <c r="BZ75" s="19">
        <v>9.8740000000000006</v>
      </c>
      <c r="CA75" s="19">
        <v>1019.93043478261</v>
      </c>
      <c r="CB75" s="19">
        <v>5.0999999999999996</v>
      </c>
      <c r="CC75" s="19">
        <v>703.547826086957</v>
      </c>
      <c r="CD75" s="19">
        <v>3.5179999999999998</v>
      </c>
      <c r="CE75" s="19">
        <v>148.39130434782601</v>
      </c>
      <c r="CF75" s="19">
        <v>0.74199999999999999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19">
        <v>0</v>
      </c>
      <c r="ET75" s="119">
        <v>0</v>
      </c>
    </row>
    <row r="76" spans="1:150" ht="16.5" customHeight="1" x14ac:dyDescent="0.35">
      <c r="A76" s="4">
        <v>202</v>
      </c>
      <c r="B76" s="4" t="str">
        <f>LOOKUP(A76,Lookup!$A$1:$A$34,Lookup!$B$1:$B$34)</f>
        <v>BEEF</v>
      </c>
      <c r="C76" s="5">
        <v>12175</v>
      </c>
      <c r="D76" s="6" t="s">
        <v>80</v>
      </c>
      <c r="E76" s="18">
        <v>28.405878750765499</v>
      </c>
      <c r="F76" s="18">
        <v>0.14299999999999999</v>
      </c>
      <c r="G76" s="18">
        <v>2016.8173913043499</v>
      </c>
      <c r="H76" s="18">
        <v>10.118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0</v>
      </c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979.28695652173894</v>
      </c>
      <c r="BZ76" s="19">
        <v>4.93</v>
      </c>
      <c r="CA76" s="19">
        <v>511.56521739130397</v>
      </c>
      <c r="CB76" s="19">
        <v>2.5579999999999998</v>
      </c>
      <c r="CC76" s="19">
        <v>395.17391304347802</v>
      </c>
      <c r="CD76" s="19">
        <v>1.976</v>
      </c>
      <c r="CE76" s="19">
        <v>130.79130434782601</v>
      </c>
      <c r="CF76" s="19">
        <v>0.65400000000000003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9">
        <v>0</v>
      </c>
      <c r="EP76" s="19">
        <v>0</v>
      </c>
      <c r="EQ76" s="19">
        <v>0</v>
      </c>
      <c r="ER76" s="19">
        <v>0</v>
      </c>
      <c r="ES76" s="119">
        <v>0</v>
      </c>
      <c r="ET76" s="119">
        <v>0</v>
      </c>
    </row>
    <row r="77" spans="1:150" ht="16.5" customHeight="1" x14ac:dyDescent="0.35">
      <c r="A77" s="4">
        <v>202</v>
      </c>
      <c r="B77" s="4" t="str">
        <f>LOOKUP(A77,Lookup!$A$1:$A$34,Lookup!$B$1:$B$34)</f>
        <v>BEEF</v>
      </c>
      <c r="C77" s="5">
        <v>12180</v>
      </c>
      <c r="D77" s="6" t="s">
        <v>81</v>
      </c>
      <c r="E77" s="18">
        <v>19.298714023270101</v>
      </c>
      <c r="F77" s="18">
        <v>0.112</v>
      </c>
      <c r="G77" s="18">
        <v>1370.20869565217</v>
      </c>
      <c r="H77" s="18">
        <v>7.9489999999999998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>
        <v>0</v>
      </c>
      <c r="BW77" s="19">
        <v>0</v>
      </c>
      <c r="BX77" s="19">
        <v>0</v>
      </c>
      <c r="BY77" s="19">
        <v>0</v>
      </c>
      <c r="BZ77" s="19">
        <v>0</v>
      </c>
      <c r="CA77" s="19">
        <v>0</v>
      </c>
      <c r="CB77" s="19">
        <v>0</v>
      </c>
      <c r="CC77" s="19">
        <v>0</v>
      </c>
      <c r="CD77" s="19">
        <v>0</v>
      </c>
      <c r="CE77" s="19">
        <v>0</v>
      </c>
      <c r="CF77" s="19">
        <v>0</v>
      </c>
      <c r="CG77" s="19">
        <v>670.4</v>
      </c>
      <c r="CH77" s="19">
        <v>4.0579999999999998</v>
      </c>
      <c r="CI77" s="19">
        <v>331.730434782609</v>
      </c>
      <c r="CJ77" s="19">
        <v>2.008</v>
      </c>
      <c r="CK77" s="19">
        <v>368.07826086956499</v>
      </c>
      <c r="CL77" s="19">
        <v>1.883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19">
        <v>0</v>
      </c>
      <c r="DK77" s="19">
        <v>0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>
        <v>0</v>
      </c>
      <c r="DR77" s="19">
        <v>0</v>
      </c>
      <c r="DS77" s="19">
        <v>0</v>
      </c>
      <c r="DT77" s="19">
        <v>0</v>
      </c>
      <c r="DU77" s="19">
        <v>0</v>
      </c>
      <c r="DV77" s="19">
        <v>0</v>
      </c>
      <c r="DW77" s="19">
        <v>0</v>
      </c>
      <c r="DX77" s="19">
        <v>0</v>
      </c>
      <c r="DY77" s="19">
        <v>0</v>
      </c>
      <c r="DZ77" s="19">
        <v>0</v>
      </c>
      <c r="EA77" s="19">
        <v>0</v>
      </c>
      <c r="EB77" s="19">
        <v>0</v>
      </c>
      <c r="EC77" s="19">
        <v>0</v>
      </c>
      <c r="ED77" s="19">
        <v>0</v>
      </c>
      <c r="EE77" s="19">
        <v>0</v>
      </c>
      <c r="EF77" s="19">
        <v>0</v>
      </c>
      <c r="EG77" s="19">
        <v>0</v>
      </c>
      <c r="EH77" s="19">
        <v>0</v>
      </c>
      <c r="EI77" s="19">
        <v>0</v>
      </c>
      <c r="EJ77" s="19">
        <v>0</v>
      </c>
      <c r="EK77" s="19">
        <v>0</v>
      </c>
      <c r="EL77" s="19">
        <v>0</v>
      </c>
      <c r="EM77" s="19">
        <v>0</v>
      </c>
      <c r="EN77" s="19">
        <v>0</v>
      </c>
      <c r="EO77" s="19">
        <v>0</v>
      </c>
      <c r="EP77" s="19">
        <v>0</v>
      </c>
      <c r="EQ77" s="19">
        <v>0</v>
      </c>
      <c r="ER77" s="19">
        <v>0</v>
      </c>
      <c r="ES77" s="119">
        <v>0</v>
      </c>
      <c r="ET77" s="119">
        <v>0</v>
      </c>
    </row>
    <row r="78" spans="1:150" ht="16.5" customHeight="1" x14ac:dyDescent="0.35">
      <c r="A78" s="4">
        <v>202</v>
      </c>
      <c r="B78" s="4" t="str">
        <f>LOOKUP(A78,Lookup!$A$1:$A$34,Lookup!$B$1:$B$34)</f>
        <v>BEEF</v>
      </c>
      <c r="C78" s="5">
        <v>12199</v>
      </c>
      <c r="D78" s="6" t="s">
        <v>82</v>
      </c>
      <c r="E78" s="18">
        <v>0</v>
      </c>
      <c r="F78" s="18">
        <v>0</v>
      </c>
      <c r="G78" s="18">
        <v>0</v>
      </c>
      <c r="H78" s="18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>
        <v>0</v>
      </c>
      <c r="BW78" s="19">
        <v>0</v>
      </c>
      <c r="BX78" s="19">
        <v>0</v>
      </c>
      <c r="BY78" s="19">
        <v>0</v>
      </c>
      <c r="BZ78" s="19">
        <v>0</v>
      </c>
      <c r="CA78" s="19">
        <v>0</v>
      </c>
      <c r="CB78" s="19">
        <v>0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0</v>
      </c>
      <c r="DZ78" s="19">
        <v>0</v>
      </c>
      <c r="EA78" s="19">
        <v>0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0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0</v>
      </c>
      <c r="EN78" s="19">
        <v>0</v>
      </c>
      <c r="EO78" s="19">
        <v>0</v>
      </c>
      <c r="EP78" s="19">
        <v>0</v>
      </c>
      <c r="EQ78" s="19">
        <v>0</v>
      </c>
      <c r="ER78" s="19">
        <v>0</v>
      </c>
      <c r="ES78" s="119">
        <v>0</v>
      </c>
      <c r="ET78" s="119">
        <v>0</v>
      </c>
    </row>
    <row r="79" spans="1:150" ht="16.5" customHeight="1" x14ac:dyDescent="0.35">
      <c r="A79" s="4">
        <v>202</v>
      </c>
      <c r="B79" s="4" t="str">
        <f>LOOKUP(A79,Lookup!$A$1:$A$34,Lookup!$B$1:$B$34)</f>
        <v>BEEF</v>
      </c>
      <c r="C79" s="5">
        <v>12864</v>
      </c>
      <c r="D79" s="6" t="s">
        <v>83</v>
      </c>
      <c r="E79" s="18">
        <v>116.766564605021</v>
      </c>
      <c r="F79" s="18">
        <v>1.2190000000000001</v>
      </c>
      <c r="G79" s="18">
        <v>8290.4260869565205</v>
      </c>
      <c r="H79" s="18">
        <v>86.519000000000005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687.89565217391305</v>
      </c>
      <c r="BD79" s="19">
        <v>7.1269999999999998</v>
      </c>
      <c r="BE79" s="19">
        <v>358.834782608696</v>
      </c>
      <c r="BF79" s="19">
        <v>3.718</v>
      </c>
      <c r="BG79" s="19">
        <v>941.56521739130403</v>
      </c>
      <c r="BH79" s="19">
        <v>8.8040000000000003</v>
      </c>
      <c r="BI79" s="19">
        <v>424.79130434782599</v>
      </c>
      <c r="BJ79" s="19">
        <v>3.972</v>
      </c>
      <c r="BK79" s="19">
        <v>1153.79130434783</v>
      </c>
      <c r="BL79" s="19">
        <v>13.106</v>
      </c>
      <c r="BM79" s="19">
        <v>539.4</v>
      </c>
      <c r="BN79" s="19">
        <v>6.2039999999999997</v>
      </c>
      <c r="BO79" s="19">
        <v>1830.25217391304</v>
      </c>
      <c r="BP79" s="19">
        <v>20.315000000000001</v>
      </c>
      <c r="BQ79" s="19">
        <v>1012.50434782609</v>
      </c>
      <c r="BR79" s="19">
        <v>9.7040000000000006</v>
      </c>
      <c r="BS79" s="19">
        <v>481.13043478260897</v>
      </c>
      <c r="BT79" s="19">
        <v>5.3239999999999998</v>
      </c>
      <c r="BU79" s="19">
        <v>522.730434782609</v>
      </c>
      <c r="BV79" s="19">
        <v>5.01</v>
      </c>
      <c r="BW79" s="19">
        <v>337.53043478260901</v>
      </c>
      <c r="BX79" s="19">
        <v>3.2349999999999999</v>
      </c>
      <c r="BY79" s="19">
        <v>0</v>
      </c>
      <c r="BZ79" s="19">
        <v>0</v>
      </c>
      <c r="CA79" s="19">
        <v>0</v>
      </c>
      <c r="CB79" s="19">
        <v>0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  <c r="DZ79" s="19">
        <v>0</v>
      </c>
      <c r="EA79" s="19">
        <v>0</v>
      </c>
      <c r="EB79" s="19">
        <v>0</v>
      </c>
      <c r="EC79" s="19">
        <v>0</v>
      </c>
      <c r="ED79" s="19">
        <v>0</v>
      </c>
      <c r="EE79" s="19">
        <v>0</v>
      </c>
      <c r="EF79" s="19">
        <v>0</v>
      </c>
      <c r="EG79" s="19">
        <v>0</v>
      </c>
      <c r="EH79" s="19">
        <v>0</v>
      </c>
      <c r="EI79" s="19">
        <v>0</v>
      </c>
      <c r="EJ79" s="19">
        <v>0</v>
      </c>
      <c r="EK79" s="19">
        <v>0</v>
      </c>
      <c r="EL79" s="19">
        <v>0</v>
      </c>
      <c r="EM79" s="19">
        <v>0</v>
      </c>
      <c r="EN79" s="19">
        <v>0</v>
      </c>
      <c r="EO79" s="19">
        <v>0</v>
      </c>
      <c r="EP79" s="19">
        <v>0</v>
      </c>
      <c r="EQ79" s="19">
        <v>0</v>
      </c>
      <c r="ER79" s="19">
        <v>0</v>
      </c>
      <c r="ES79" s="119">
        <v>0</v>
      </c>
      <c r="ET79" s="119">
        <v>0</v>
      </c>
    </row>
    <row r="80" spans="1:150" ht="16.5" customHeight="1" x14ac:dyDescent="0.35">
      <c r="A80" s="4">
        <v>202</v>
      </c>
      <c r="B80" s="4" t="str">
        <f>LOOKUP(A80,Lookup!$A$1:$A$34,Lookup!$B$1:$B$34)</f>
        <v>BEEF</v>
      </c>
      <c r="C80" s="5">
        <v>32048</v>
      </c>
      <c r="D80" s="6" t="s">
        <v>84</v>
      </c>
      <c r="E80" s="18">
        <v>0</v>
      </c>
      <c r="F80" s="18">
        <v>0</v>
      </c>
      <c r="G80" s="18">
        <v>0</v>
      </c>
      <c r="H80" s="18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>
        <v>0</v>
      </c>
      <c r="BW80" s="19">
        <v>0</v>
      </c>
      <c r="BX80" s="19">
        <v>0</v>
      </c>
      <c r="BY80" s="19">
        <v>0</v>
      </c>
      <c r="BZ80" s="19">
        <v>0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  <c r="DH80" s="19">
        <v>0</v>
      </c>
      <c r="DI80" s="19">
        <v>0</v>
      </c>
      <c r="DJ80" s="19">
        <v>0</v>
      </c>
      <c r="DK80" s="19">
        <v>0</v>
      </c>
      <c r="DL80" s="19">
        <v>0</v>
      </c>
      <c r="DM80" s="19">
        <v>0</v>
      </c>
      <c r="DN80" s="19">
        <v>0</v>
      </c>
      <c r="DO80" s="19">
        <v>0</v>
      </c>
      <c r="DP80" s="19">
        <v>0</v>
      </c>
      <c r="DQ80" s="19">
        <v>0</v>
      </c>
      <c r="DR80" s="19">
        <v>0</v>
      </c>
      <c r="DS80" s="19">
        <v>0</v>
      </c>
      <c r="DT80" s="19">
        <v>0</v>
      </c>
      <c r="DU80" s="19">
        <v>0</v>
      </c>
      <c r="DV80" s="19">
        <v>0</v>
      </c>
      <c r="DW80" s="19">
        <v>0</v>
      </c>
      <c r="DX80" s="19">
        <v>0</v>
      </c>
      <c r="DY80" s="19">
        <v>0</v>
      </c>
      <c r="DZ80" s="19">
        <v>0</v>
      </c>
      <c r="EA80" s="19">
        <v>0</v>
      </c>
      <c r="EB80" s="19">
        <v>0</v>
      </c>
      <c r="EC80" s="19">
        <v>0</v>
      </c>
      <c r="ED80" s="19">
        <v>0</v>
      </c>
      <c r="EE80" s="19">
        <v>0</v>
      </c>
      <c r="EF80" s="19">
        <v>0</v>
      </c>
      <c r="EG80" s="19">
        <v>0</v>
      </c>
      <c r="EH80" s="19">
        <v>0</v>
      </c>
      <c r="EI80" s="19">
        <v>0</v>
      </c>
      <c r="EJ80" s="19">
        <v>0</v>
      </c>
      <c r="EK80" s="19">
        <v>0</v>
      </c>
      <c r="EL80" s="19">
        <v>0</v>
      </c>
      <c r="EM80" s="19">
        <v>0</v>
      </c>
      <c r="EN80" s="19">
        <v>0</v>
      </c>
      <c r="EO80" s="19">
        <v>0</v>
      </c>
      <c r="EP80" s="19">
        <v>0</v>
      </c>
      <c r="EQ80" s="19">
        <v>0</v>
      </c>
      <c r="ER80" s="19">
        <v>0</v>
      </c>
      <c r="ES80" s="119">
        <v>0</v>
      </c>
      <c r="ET80" s="119">
        <v>0</v>
      </c>
    </row>
    <row r="81" spans="1:150" ht="16.5" customHeight="1" x14ac:dyDescent="0.35">
      <c r="A81" s="4">
        <v>202</v>
      </c>
      <c r="B81" s="4" t="str">
        <f>LOOKUP(A81,Lookup!$A$1:$A$34,Lookup!$B$1:$B$34)</f>
        <v>BEEF</v>
      </c>
      <c r="C81" s="5">
        <v>34151</v>
      </c>
      <c r="D81" s="6" t="s">
        <v>85</v>
      </c>
      <c r="E81" s="18">
        <v>0</v>
      </c>
      <c r="F81" s="18">
        <v>0</v>
      </c>
      <c r="G81" s="18">
        <v>0</v>
      </c>
      <c r="H81" s="18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>
        <v>0</v>
      </c>
      <c r="BW81" s="19">
        <v>0</v>
      </c>
      <c r="BX81" s="19">
        <v>0</v>
      </c>
      <c r="BY81" s="19">
        <v>0</v>
      </c>
      <c r="BZ81" s="19">
        <v>0</v>
      </c>
      <c r="CA81" s="19">
        <v>0</v>
      </c>
      <c r="CB81" s="19">
        <v>0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0</v>
      </c>
      <c r="DJ81" s="19">
        <v>0</v>
      </c>
      <c r="DK81" s="19">
        <v>0</v>
      </c>
      <c r="DL81" s="19">
        <v>0</v>
      </c>
      <c r="DM81" s="19">
        <v>0</v>
      </c>
      <c r="DN81" s="19">
        <v>0</v>
      </c>
      <c r="DO81" s="19">
        <v>0</v>
      </c>
      <c r="DP81" s="19">
        <v>0</v>
      </c>
      <c r="DQ81" s="19">
        <v>0</v>
      </c>
      <c r="DR81" s="19">
        <v>0</v>
      </c>
      <c r="DS81" s="19">
        <v>0</v>
      </c>
      <c r="DT81" s="19">
        <v>0</v>
      </c>
      <c r="DU81" s="19">
        <v>0</v>
      </c>
      <c r="DV81" s="19">
        <v>0</v>
      </c>
      <c r="DW81" s="19">
        <v>0</v>
      </c>
      <c r="DX81" s="19">
        <v>0</v>
      </c>
      <c r="DY81" s="19">
        <v>0</v>
      </c>
      <c r="DZ81" s="19">
        <v>0</v>
      </c>
      <c r="EA81" s="19">
        <v>0</v>
      </c>
      <c r="EB81" s="19">
        <v>0</v>
      </c>
      <c r="EC81" s="19">
        <v>0</v>
      </c>
      <c r="ED81" s="19">
        <v>0</v>
      </c>
      <c r="EE81" s="19">
        <v>0</v>
      </c>
      <c r="EF81" s="19">
        <v>0</v>
      </c>
      <c r="EG81" s="19">
        <v>0</v>
      </c>
      <c r="EH81" s="19">
        <v>0</v>
      </c>
      <c r="EI81" s="19">
        <v>0</v>
      </c>
      <c r="EJ81" s="19">
        <v>0</v>
      </c>
      <c r="EK81" s="19">
        <v>0</v>
      </c>
      <c r="EL81" s="19">
        <v>0</v>
      </c>
      <c r="EM81" s="19">
        <v>0</v>
      </c>
      <c r="EN81" s="19">
        <v>0</v>
      </c>
      <c r="EO81" s="19">
        <v>0</v>
      </c>
      <c r="EP81" s="19">
        <v>0</v>
      </c>
      <c r="EQ81" s="19">
        <v>0</v>
      </c>
      <c r="ER81" s="19">
        <v>0</v>
      </c>
      <c r="ES81" s="119">
        <v>0</v>
      </c>
      <c r="ET81" s="119">
        <v>0</v>
      </c>
    </row>
    <row r="82" spans="1:150" ht="16.5" customHeight="1" x14ac:dyDescent="0.35">
      <c r="A82" s="4">
        <v>202</v>
      </c>
      <c r="B82" s="4" t="str">
        <f>LOOKUP(A82,Lookup!$A$1:$A$34,Lookup!$B$1:$B$34)</f>
        <v>BEEF</v>
      </c>
      <c r="C82" s="5">
        <v>34152</v>
      </c>
      <c r="D82" s="6" t="s">
        <v>86</v>
      </c>
      <c r="E82" s="18">
        <v>9.5724433557869002</v>
      </c>
      <c r="F82" s="18">
        <v>0.1</v>
      </c>
      <c r="G82" s="18">
        <v>679.64347826086998</v>
      </c>
      <c r="H82" s="18">
        <v>7.1059999999999999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>
        <v>0</v>
      </c>
      <c r="BW82" s="19">
        <v>0</v>
      </c>
      <c r="BX82" s="19">
        <v>0</v>
      </c>
      <c r="BY82" s="19">
        <v>0</v>
      </c>
      <c r="BZ82" s="19">
        <v>0</v>
      </c>
      <c r="CA82" s="19">
        <v>0</v>
      </c>
      <c r="CB82" s="19">
        <v>0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19">
        <v>0</v>
      </c>
      <c r="DK82" s="19">
        <v>0</v>
      </c>
      <c r="DL82" s="19">
        <v>0</v>
      </c>
      <c r="DM82" s="19">
        <v>0</v>
      </c>
      <c r="DN82" s="19">
        <v>0</v>
      </c>
      <c r="DO82" s="19">
        <v>0</v>
      </c>
      <c r="DP82" s="19">
        <v>0</v>
      </c>
      <c r="DQ82" s="19">
        <v>0</v>
      </c>
      <c r="DR82" s="19">
        <v>0</v>
      </c>
      <c r="DS82" s="19">
        <v>0</v>
      </c>
      <c r="DT82" s="19">
        <v>0</v>
      </c>
      <c r="DU82" s="19">
        <v>0</v>
      </c>
      <c r="DV82" s="19">
        <v>0</v>
      </c>
      <c r="DW82" s="19">
        <v>486.62608695652199</v>
      </c>
      <c r="DX82" s="19">
        <v>5.0880000000000001</v>
      </c>
      <c r="DY82" s="19">
        <v>193.017391304348</v>
      </c>
      <c r="DZ82" s="19">
        <v>2.0179999999999998</v>
      </c>
      <c r="EA82" s="19">
        <v>0</v>
      </c>
      <c r="EB82" s="19">
        <v>0</v>
      </c>
      <c r="EC82" s="19">
        <v>0</v>
      </c>
      <c r="ED82" s="19">
        <v>0</v>
      </c>
      <c r="EE82" s="19">
        <v>0</v>
      </c>
      <c r="EF82" s="19">
        <v>0</v>
      </c>
      <c r="EG82" s="19">
        <v>0</v>
      </c>
      <c r="EH82" s="19">
        <v>0</v>
      </c>
      <c r="EI82" s="19">
        <v>0</v>
      </c>
      <c r="EJ82" s="19">
        <v>0</v>
      </c>
      <c r="EK82" s="19">
        <v>0</v>
      </c>
      <c r="EL82" s="19">
        <v>0</v>
      </c>
      <c r="EM82" s="19">
        <v>0</v>
      </c>
      <c r="EN82" s="19">
        <v>0</v>
      </c>
      <c r="EO82" s="19">
        <v>0</v>
      </c>
      <c r="EP82" s="19">
        <v>0</v>
      </c>
      <c r="EQ82" s="19">
        <v>0</v>
      </c>
      <c r="ER82" s="19">
        <v>0</v>
      </c>
      <c r="ES82" s="119">
        <v>0</v>
      </c>
      <c r="ET82" s="119">
        <v>0</v>
      </c>
    </row>
    <row r="83" spans="1:150" ht="16.5" customHeight="1" x14ac:dyDescent="0.35">
      <c r="A83" s="4">
        <v>202</v>
      </c>
      <c r="B83" s="4" t="str">
        <f>LOOKUP(A83,Lookup!$A$1:$A$34,Lookup!$B$1:$B$34)</f>
        <v>BEEF</v>
      </c>
      <c r="C83" s="5">
        <v>34154</v>
      </c>
      <c r="D83" s="6" t="s">
        <v>87</v>
      </c>
      <c r="E83" s="18">
        <v>85.569259032455605</v>
      </c>
      <c r="F83" s="18">
        <v>0.91100000000000003</v>
      </c>
      <c r="G83" s="18">
        <v>6075.4173913043496</v>
      </c>
      <c r="H83" s="18">
        <v>64.692999999999998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1114.1217391304299</v>
      </c>
      <c r="BZ83" s="19">
        <v>12.814</v>
      </c>
      <c r="CA83" s="19">
        <v>83.121739130434804</v>
      </c>
      <c r="CB83" s="19">
        <v>0.86899999999999999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1026.6782608695701</v>
      </c>
      <c r="CL83" s="19">
        <v>9.84</v>
      </c>
      <c r="CM83" s="19">
        <v>263.139130434783</v>
      </c>
      <c r="CN83" s="19">
        <v>2.5219999999999998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  <c r="DK83" s="19">
        <v>0</v>
      </c>
      <c r="DL83" s="19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0</v>
      </c>
      <c r="DR83" s="19">
        <v>0</v>
      </c>
      <c r="DS83" s="19">
        <v>835.730434782609</v>
      </c>
      <c r="DT83" s="19">
        <v>8.01</v>
      </c>
      <c r="DU83" s="19">
        <v>86.6</v>
      </c>
      <c r="DV83" s="19">
        <v>0.83</v>
      </c>
      <c r="DW83" s="19">
        <v>0</v>
      </c>
      <c r="DX83" s="19">
        <v>0</v>
      </c>
      <c r="DY83" s="19">
        <v>1680.01739130435</v>
      </c>
      <c r="DZ83" s="19">
        <v>20.358000000000001</v>
      </c>
      <c r="EA83" s="19">
        <v>986.00869565217397</v>
      </c>
      <c r="EB83" s="19">
        <v>9.4499999999999993</v>
      </c>
      <c r="EC83" s="19">
        <v>0</v>
      </c>
      <c r="ED83" s="19">
        <v>0</v>
      </c>
      <c r="EE83" s="19">
        <v>0</v>
      </c>
      <c r="EF83" s="19">
        <v>0</v>
      </c>
      <c r="EG83" s="19">
        <v>0</v>
      </c>
      <c r="EH83" s="19">
        <v>0</v>
      </c>
      <c r="EI83" s="19">
        <v>0</v>
      </c>
      <c r="EJ83" s="19">
        <v>0</v>
      </c>
      <c r="EK83" s="19">
        <v>0</v>
      </c>
      <c r="EL83" s="19">
        <v>0</v>
      </c>
      <c r="EM83" s="19">
        <v>0</v>
      </c>
      <c r="EN83" s="19">
        <v>0</v>
      </c>
      <c r="EO83" s="19">
        <v>0</v>
      </c>
      <c r="EP83" s="19">
        <v>0</v>
      </c>
      <c r="EQ83" s="19">
        <v>0</v>
      </c>
      <c r="ER83" s="19">
        <v>0</v>
      </c>
      <c r="ES83" s="119">
        <v>0</v>
      </c>
      <c r="ET83" s="119">
        <v>0</v>
      </c>
    </row>
    <row r="84" spans="1:150" ht="16.5" customHeight="1" x14ac:dyDescent="0.35">
      <c r="A84" s="4">
        <v>202</v>
      </c>
      <c r="B84" s="4" t="str">
        <f>LOOKUP(A84,Lookup!$A$1:$A$34,Lookup!$B$1:$B$34)</f>
        <v>BEEF</v>
      </c>
      <c r="C84" s="5">
        <v>34156</v>
      </c>
      <c r="D84" s="6" t="s">
        <v>88</v>
      </c>
      <c r="E84" s="18">
        <v>0</v>
      </c>
      <c r="F84" s="18">
        <v>0</v>
      </c>
      <c r="G84" s="18">
        <v>0</v>
      </c>
      <c r="H84" s="18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>
        <v>0</v>
      </c>
      <c r="BW84" s="19">
        <v>0</v>
      </c>
      <c r="BX84" s="19">
        <v>0</v>
      </c>
      <c r="BY84" s="19">
        <v>0</v>
      </c>
      <c r="BZ84" s="19">
        <v>0</v>
      </c>
      <c r="CA84" s="19">
        <v>0</v>
      </c>
      <c r="CB84" s="19">
        <v>0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v>0</v>
      </c>
      <c r="DU84" s="19">
        <v>0</v>
      </c>
      <c r="DV84" s="19">
        <v>0</v>
      </c>
      <c r="DW84" s="19">
        <v>0</v>
      </c>
      <c r="DX84" s="19">
        <v>0</v>
      </c>
      <c r="DY84" s="19">
        <v>0</v>
      </c>
      <c r="DZ84" s="19">
        <v>0</v>
      </c>
      <c r="EA84" s="19">
        <v>0</v>
      </c>
      <c r="EB84" s="19">
        <v>0</v>
      </c>
      <c r="EC84" s="19">
        <v>0</v>
      </c>
      <c r="ED84" s="19">
        <v>0</v>
      </c>
      <c r="EE84" s="19">
        <v>0</v>
      </c>
      <c r="EF84" s="19">
        <v>0</v>
      </c>
      <c r="EG84" s="19">
        <v>0</v>
      </c>
      <c r="EH84" s="19">
        <v>0</v>
      </c>
      <c r="EI84" s="19">
        <v>0</v>
      </c>
      <c r="EJ84" s="19">
        <v>0</v>
      </c>
      <c r="EK84" s="19">
        <v>0</v>
      </c>
      <c r="EL84" s="19">
        <v>0</v>
      </c>
      <c r="EM84" s="19">
        <v>0</v>
      </c>
      <c r="EN84" s="19">
        <v>0</v>
      </c>
      <c r="EO84" s="19">
        <v>0</v>
      </c>
      <c r="EP84" s="19">
        <v>0</v>
      </c>
      <c r="EQ84" s="19">
        <v>0</v>
      </c>
      <c r="ER84" s="19">
        <v>0</v>
      </c>
      <c r="ES84" s="119">
        <v>0</v>
      </c>
      <c r="ET84" s="119">
        <v>0</v>
      </c>
    </row>
    <row r="85" spans="1:150" ht="16.5" customHeight="1" x14ac:dyDescent="0.35">
      <c r="A85" s="4">
        <v>202</v>
      </c>
      <c r="B85" s="4" t="str">
        <f>LOOKUP(A85,Lookup!$A$1:$A$34,Lookup!$B$1:$B$34)</f>
        <v>BEEF</v>
      </c>
      <c r="C85" s="5">
        <v>34157</v>
      </c>
      <c r="D85" s="6" t="s">
        <v>89</v>
      </c>
      <c r="E85" s="18">
        <v>432.41726883037398</v>
      </c>
      <c r="F85" s="18">
        <v>1.988</v>
      </c>
      <c r="G85" s="18">
        <v>30701.626086956501</v>
      </c>
      <c r="H85" s="18">
        <v>141.136</v>
      </c>
      <c r="I85" s="19">
        <v>229.55652173913001</v>
      </c>
      <c r="J85" s="19">
        <v>1.056</v>
      </c>
      <c r="K85" s="19">
        <v>384.33043478260902</v>
      </c>
      <c r="L85" s="19">
        <v>1.768</v>
      </c>
      <c r="M85" s="19">
        <v>196.94782608695701</v>
      </c>
      <c r="N85" s="19">
        <v>0.90600000000000003</v>
      </c>
      <c r="O85" s="19">
        <v>125.208695652174</v>
      </c>
      <c r="P85" s="19">
        <v>0.57599999999999996</v>
      </c>
      <c r="Q85" s="19">
        <v>228.25217391304301</v>
      </c>
      <c r="R85" s="19">
        <v>1.05</v>
      </c>
      <c r="S85" s="19">
        <v>164.33913043478299</v>
      </c>
      <c r="T85" s="19">
        <v>0.75600000000000001</v>
      </c>
      <c r="U85" s="19">
        <v>302.15652173913003</v>
      </c>
      <c r="V85" s="19">
        <v>1.39</v>
      </c>
      <c r="W85" s="19">
        <v>188.25217391304301</v>
      </c>
      <c r="X85" s="19">
        <v>0.86599999999999999</v>
      </c>
      <c r="Y85" s="19">
        <v>175.20869565217399</v>
      </c>
      <c r="Z85" s="19">
        <v>0.80600000000000005</v>
      </c>
      <c r="AA85" s="19">
        <v>4045.47826086957</v>
      </c>
      <c r="AB85" s="19">
        <v>18.61</v>
      </c>
      <c r="AC85" s="19">
        <v>1549.0695652173899</v>
      </c>
      <c r="AD85" s="19">
        <v>7.1260000000000003</v>
      </c>
      <c r="AE85" s="19">
        <v>1042.5565217391299</v>
      </c>
      <c r="AF85" s="19">
        <v>4.7960000000000003</v>
      </c>
      <c r="AG85" s="19">
        <v>787.8</v>
      </c>
      <c r="AH85" s="19">
        <v>3.6240000000000001</v>
      </c>
      <c r="AI85" s="19">
        <v>454.76521739130402</v>
      </c>
      <c r="AJ85" s="19">
        <v>2.0920000000000001</v>
      </c>
      <c r="AK85" s="19">
        <v>305.02608695652202</v>
      </c>
      <c r="AL85" s="19">
        <v>1.754</v>
      </c>
      <c r="AM85" s="19">
        <v>581.79130434782599</v>
      </c>
      <c r="AN85" s="19">
        <v>2.6760000000000002</v>
      </c>
      <c r="AO85" s="19">
        <v>499.11304347826098</v>
      </c>
      <c r="AP85" s="19">
        <v>2.2959999999999998</v>
      </c>
      <c r="AQ85" s="19">
        <v>149.121739130435</v>
      </c>
      <c r="AR85" s="19">
        <v>0.68600000000000005</v>
      </c>
      <c r="AS85" s="19">
        <v>116.078260869565</v>
      </c>
      <c r="AT85" s="19">
        <v>0.53400000000000003</v>
      </c>
      <c r="AU85" s="19">
        <v>150.426086956522</v>
      </c>
      <c r="AV85" s="19">
        <v>0.69199999999999995</v>
      </c>
      <c r="AW85" s="19">
        <v>0</v>
      </c>
      <c r="AX85" s="19">
        <v>0</v>
      </c>
      <c r="AY85" s="19">
        <v>0</v>
      </c>
      <c r="AZ85" s="19">
        <v>0</v>
      </c>
      <c r="BA85" s="19">
        <v>499.2</v>
      </c>
      <c r="BB85" s="19">
        <v>2.871</v>
      </c>
      <c r="BC85" s="19">
        <v>431.62608695652199</v>
      </c>
      <c r="BD85" s="19">
        <v>2.4820000000000002</v>
      </c>
      <c r="BE85" s="19">
        <v>379.27826086956497</v>
      </c>
      <c r="BF85" s="19">
        <v>1.7450000000000001</v>
      </c>
      <c r="BG85" s="19">
        <v>235.20869565217399</v>
      </c>
      <c r="BH85" s="19">
        <v>1.0820000000000001</v>
      </c>
      <c r="BI85" s="19">
        <v>0</v>
      </c>
      <c r="BJ85" s="19">
        <v>0</v>
      </c>
      <c r="BK85" s="19">
        <v>0</v>
      </c>
      <c r="BL85" s="19">
        <v>0</v>
      </c>
      <c r="BM85" s="19">
        <v>530.84347826087003</v>
      </c>
      <c r="BN85" s="19">
        <v>2.4420000000000002</v>
      </c>
      <c r="BO85" s="19">
        <v>0</v>
      </c>
      <c r="BP85" s="19">
        <v>0</v>
      </c>
      <c r="BQ85" s="19">
        <v>0</v>
      </c>
      <c r="BR85" s="19">
        <v>0</v>
      </c>
      <c r="BS85" s="19">
        <v>251.730434782609</v>
      </c>
      <c r="BT85" s="19">
        <v>1.1579999999999999</v>
      </c>
      <c r="BU85" s="19">
        <v>0</v>
      </c>
      <c r="BV85" s="19">
        <v>0</v>
      </c>
      <c r="BW85" s="19">
        <v>199.55652173913001</v>
      </c>
      <c r="BX85" s="19">
        <v>0.91800000000000004</v>
      </c>
      <c r="BY85" s="19">
        <v>0</v>
      </c>
      <c r="BZ85" s="19">
        <v>0</v>
      </c>
      <c r="CA85" s="19">
        <v>0</v>
      </c>
      <c r="CB85" s="19">
        <v>0</v>
      </c>
      <c r="CC85" s="19">
        <v>446.93043478260898</v>
      </c>
      <c r="CD85" s="19">
        <v>2.056</v>
      </c>
      <c r="CE85" s="19">
        <v>334.547826086957</v>
      </c>
      <c r="CF85" s="19">
        <v>1.62</v>
      </c>
      <c r="CG85" s="19">
        <v>367.80869565217398</v>
      </c>
      <c r="CH85" s="19">
        <v>1.6919999999999999</v>
      </c>
      <c r="CI85" s="19">
        <v>0</v>
      </c>
      <c r="CJ85" s="19">
        <v>0</v>
      </c>
      <c r="CK85" s="19">
        <v>290.85217391304298</v>
      </c>
      <c r="CL85" s="19">
        <v>1.3380000000000001</v>
      </c>
      <c r="CM85" s="19">
        <v>115.64347826087</v>
      </c>
      <c r="CN85" s="19">
        <v>0.53200000000000003</v>
      </c>
      <c r="CO85" s="19">
        <v>224.96521739130401</v>
      </c>
      <c r="CP85" s="19">
        <v>0.92400000000000004</v>
      </c>
      <c r="CQ85" s="19">
        <v>570.4</v>
      </c>
      <c r="CR85" s="19">
        <v>2.6240000000000001</v>
      </c>
      <c r="CS85" s="19">
        <v>573.00869565217397</v>
      </c>
      <c r="CT85" s="19">
        <v>2.6360000000000001</v>
      </c>
      <c r="CU85" s="19">
        <v>219.55652173913001</v>
      </c>
      <c r="CV85" s="19">
        <v>1.01</v>
      </c>
      <c r="CW85" s="19">
        <v>131.730434782609</v>
      </c>
      <c r="CX85" s="19">
        <v>0.60599999999999998</v>
      </c>
      <c r="CY85" s="19">
        <v>439.982608695652</v>
      </c>
      <c r="CZ85" s="19">
        <v>2.024</v>
      </c>
      <c r="DA85" s="19">
        <v>787.35652173913002</v>
      </c>
      <c r="DB85" s="19">
        <v>3.6219999999999999</v>
      </c>
      <c r="DC85" s="19">
        <v>0</v>
      </c>
      <c r="DD85" s="19">
        <v>0</v>
      </c>
      <c r="DE85" s="19">
        <v>586.14782608695702</v>
      </c>
      <c r="DF85" s="19">
        <v>2.4380000000000002</v>
      </c>
      <c r="DG85" s="19">
        <v>1057.1391304347801</v>
      </c>
      <c r="DH85" s="19">
        <v>4.3419999999999996</v>
      </c>
      <c r="DI85" s="19">
        <v>489.29565217391303</v>
      </c>
      <c r="DJ85" s="19">
        <v>2.04</v>
      </c>
      <c r="DK85" s="19">
        <v>924.2</v>
      </c>
      <c r="DL85" s="19">
        <v>3.7959999999999998</v>
      </c>
      <c r="DM85" s="19">
        <v>177.24347826087001</v>
      </c>
      <c r="DN85" s="19">
        <v>0.72799999999999998</v>
      </c>
      <c r="DO85" s="19">
        <v>0</v>
      </c>
      <c r="DP85" s="19">
        <v>0</v>
      </c>
      <c r="DQ85" s="19">
        <v>460.84347826086997</v>
      </c>
      <c r="DR85" s="19">
        <v>2.12</v>
      </c>
      <c r="DS85" s="19">
        <v>721.71304347826106</v>
      </c>
      <c r="DT85" s="19">
        <v>3.32</v>
      </c>
      <c r="DU85" s="19">
        <v>1620.79130434783</v>
      </c>
      <c r="DV85" s="19">
        <v>7.4560000000000004</v>
      </c>
      <c r="DW85" s="19">
        <v>305.2</v>
      </c>
      <c r="DX85" s="19">
        <v>1.4039999999999999</v>
      </c>
      <c r="DY85" s="19">
        <v>951.25217391304398</v>
      </c>
      <c r="DZ85" s="19">
        <v>4.3760000000000003</v>
      </c>
      <c r="EA85" s="19">
        <v>317.09565217391298</v>
      </c>
      <c r="EB85" s="19">
        <v>1.502</v>
      </c>
      <c r="EC85" s="19">
        <v>1478.6260869565201</v>
      </c>
      <c r="ED85" s="19">
        <v>6.8019999999999996</v>
      </c>
      <c r="EE85" s="19">
        <v>816.05217391304302</v>
      </c>
      <c r="EF85" s="19">
        <v>3.754</v>
      </c>
      <c r="EG85" s="19">
        <v>912.99130434782603</v>
      </c>
      <c r="EH85" s="19">
        <v>4.2</v>
      </c>
      <c r="EI85" s="19">
        <v>842.56521739130403</v>
      </c>
      <c r="EJ85" s="19">
        <v>3.8759999999999999</v>
      </c>
      <c r="EK85" s="19">
        <v>0</v>
      </c>
      <c r="EL85" s="19">
        <v>0</v>
      </c>
      <c r="EM85" s="19">
        <v>0</v>
      </c>
      <c r="EN85" s="19">
        <v>0</v>
      </c>
      <c r="EO85" s="19">
        <v>123.46956521739099</v>
      </c>
      <c r="EP85" s="19">
        <v>0.56799999999999995</v>
      </c>
      <c r="EQ85" s="19">
        <v>211.295652173913</v>
      </c>
      <c r="ER85" s="19">
        <v>0.97199999999999998</v>
      </c>
      <c r="ES85" s="119">
        <v>0</v>
      </c>
      <c r="ET85" s="119">
        <v>0</v>
      </c>
    </row>
    <row r="86" spans="1:150" ht="16.5" customHeight="1" x14ac:dyDescent="0.35">
      <c r="A86" s="4">
        <v>202</v>
      </c>
      <c r="B86" s="4" t="str">
        <f>LOOKUP(A86,Lookup!$A$1:$A$34,Lookup!$B$1:$B$34)</f>
        <v>BEEF</v>
      </c>
      <c r="C86" s="5">
        <v>34158</v>
      </c>
      <c r="D86" s="6" t="s">
        <v>90</v>
      </c>
      <c r="E86" s="18">
        <v>0</v>
      </c>
      <c r="F86" s="18">
        <v>0</v>
      </c>
      <c r="G86" s="18">
        <v>0</v>
      </c>
      <c r="H86" s="18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>
        <v>0</v>
      </c>
      <c r="BW86" s="19">
        <v>0</v>
      </c>
      <c r="BX86" s="19">
        <v>0</v>
      </c>
      <c r="BY86" s="19">
        <v>0</v>
      </c>
      <c r="BZ86" s="19">
        <v>0</v>
      </c>
      <c r="CA86" s="19">
        <v>0</v>
      </c>
      <c r="CB86" s="19">
        <v>0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  <c r="DK86" s="19">
        <v>0</v>
      </c>
      <c r="DL86" s="19">
        <v>0</v>
      </c>
      <c r="DM86" s="19">
        <v>0</v>
      </c>
      <c r="DN86" s="19">
        <v>0</v>
      </c>
      <c r="DO86" s="19">
        <v>0</v>
      </c>
      <c r="DP86" s="19">
        <v>0</v>
      </c>
      <c r="DQ86" s="19">
        <v>0</v>
      </c>
      <c r="DR86" s="19">
        <v>0</v>
      </c>
      <c r="DS86" s="19">
        <v>0</v>
      </c>
      <c r="DT86" s="19">
        <v>0</v>
      </c>
      <c r="DU86" s="19">
        <v>0</v>
      </c>
      <c r="DV86" s="19">
        <v>0</v>
      </c>
      <c r="DW86" s="19">
        <v>0</v>
      </c>
      <c r="DX86" s="19">
        <v>0</v>
      </c>
      <c r="DY86" s="19">
        <v>0</v>
      </c>
      <c r="DZ86" s="19">
        <v>0</v>
      </c>
      <c r="EA86" s="19">
        <v>0</v>
      </c>
      <c r="EB86" s="19">
        <v>0</v>
      </c>
      <c r="EC86" s="19">
        <v>0</v>
      </c>
      <c r="ED86" s="19">
        <v>0</v>
      </c>
      <c r="EE86" s="19">
        <v>0</v>
      </c>
      <c r="EF86" s="19">
        <v>0</v>
      </c>
      <c r="EG86" s="19">
        <v>0</v>
      </c>
      <c r="EH86" s="19">
        <v>0</v>
      </c>
      <c r="EI86" s="19">
        <v>0</v>
      </c>
      <c r="EJ86" s="19">
        <v>0</v>
      </c>
      <c r="EK86" s="19">
        <v>0</v>
      </c>
      <c r="EL86" s="19">
        <v>0</v>
      </c>
      <c r="EM86" s="19">
        <v>0</v>
      </c>
      <c r="EN86" s="19">
        <v>0</v>
      </c>
      <c r="EO86" s="19">
        <v>0</v>
      </c>
      <c r="EP86" s="19">
        <v>0</v>
      </c>
      <c r="EQ86" s="19">
        <v>0</v>
      </c>
      <c r="ER86" s="19">
        <v>0</v>
      </c>
      <c r="ES86" s="119">
        <v>0</v>
      </c>
      <c r="ET86" s="119">
        <v>0</v>
      </c>
    </row>
    <row r="87" spans="1:150" ht="16.5" customHeight="1" x14ac:dyDescent="0.35">
      <c r="A87" s="4">
        <v>202</v>
      </c>
      <c r="B87" s="4" t="str">
        <f>LOOKUP(A87,Lookup!$A$1:$A$34,Lookup!$B$1:$B$34)</f>
        <v>BEEF</v>
      </c>
      <c r="C87" s="5">
        <v>34159</v>
      </c>
      <c r="D87" s="6" t="s">
        <v>91</v>
      </c>
      <c r="E87" s="18">
        <v>114.861114513166</v>
      </c>
      <c r="F87" s="18">
        <v>0.82099999999999995</v>
      </c>
      <c r="G87" s="18">
        <v>8155.1391304347799</v>
      </c>
      <c r="H87" s="18">
        <v>58.290999999999997</v>
      </c>
      <c r="I87" s="19">
        <v>0</v>
      </c>
      <c r="J87" s="19">
        <v>0</v>
      </c>
      <c r="K87" s="19">
        <v>0</v>
      </c>
      <c r="L87" s="19">
        <v>0</v>
      </c>
      <c r="M87" s="19">
        <v>439.48695652173899</v>
      </c>
      <c r="N87" s="19">
        <v>3.8879999999999999</v>
      </c>
      <c r="O87" s="19">
        <v>110.547826086957</v>
      </c>
      <c r="P87" s="19">
        <v>0.97799999999999998</v>
      </c>
      <c r="Q87" s="19">
        <v>126.826086956522</v>
      </c>
      <c r="R87" s="19">
        <v>1.1220000000000001</v>
      </c>
      <c r="S87" s="19">
        <v>126.6</v>
      </c>
      <c r="T87" s="19">
        <v>1.1200000000000001</v>
      </c>
      <c r="U87" s="19">
        <v>0</v>
      </c>
      <c r="V87" s="19">
        <v>0</v>
      </c>
      <c r="W87" s="19">
        <v>102.408695652174</v>
      </c>
      <c r="X87" s="19">
        <v>0.90600000000000003</v>
      </c>
      <c r="Y87" s="19">
        <v>105.121739130435</v>
      </c>
      <c r="Z87" s="19">
        <v>0.93</v>
      </c>
      <c r="AA87" s="19">
        <v>644.06956521739096</v>
      </c>
      <c r="AB87" s="19">
        <v>5.6980000000000004</v>
      </c>
      <c r="AC87" s="19">
        <v>147.4</v>
      </c>
      <c r="AD87" s="19">
        <v>1.304</v>
      </c>
      <c r="AE87" s="19">
        <v>105.347826086957</v>
      </c>
      <c r="AF87" s="19">
        <v>0.93200000000000005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536.58260869565197</v>
      </c>
      <c r="AR87" s="19">
        <v>3.63</v>
      </c>
      <c r="AS87" s="19">
        <v>0</v>
      </c>
      <c r="AT87" s="19">
        <v>0</v>
      </c>
      <c r="AU87" s="19">
        <v>0</v>
      </c>
      <c r="AV87" s="19">
        <v>0</v>
      </c>
      <c r="AW87" s="19">
        <v>160.826086956522</v>
      </c>
      <c r="AX87" s="19">
        <v>1.0880000000000001</v>
      </c>
      <c r="AY87" s="19">
        <v>0</v>
      </c>
      <c r="AZ87" s="19">
        <v>0</v>
      </c>
      <c r="BA87" s="19">
        <v>354.46956521739099</v>
      </c>
      <c r="BB87" s="19">
        <v>2.3980000000000001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144.860869565217</v>
      </c>
      <c r="BJ87" s="19">
        <v>0.98</v>
      </c>
      <c r="BK87" s="19">
        <v>182.704347826087</v>
      </c>
      <c r="BL87" s="19">
        <v>1.236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146.63478260869601</v>
      </c>
      <c r="BV87" s="19">
        <v>1.054</v>
      </c>
      <c r="BW87" s="19">
        <v>0</v>
      </c>
      <c r="BX87" s="19">
        <v>0</v>
      </c>
      <c r="BY87" s="19">
        <v>0</v>
      </c>
      <c r="BZ87" s="19">
        <v>0</v>
      </c>
      <c r="CA87" s="19">
        <v>0</v>
      </c>
      <c r="CB87" s="19">
        <v>0</v>
      </c>
      <c r="CC87" s="19">
        <v>279.53043478260901</v>
      </c>
      <c r="CD87" s="19">
        <v>1.786</v>
      </c>
      <c r="CE87" s="19">
        <v>0</v>
      </c>
      <c r="CF87" s="19">
        <v>0</v>
      </c>
      <c r="CG87" s="19">
        <v>239.147826086957</v>
      </c>
      <c r="CH87" s="19">
        <v>1.528</v>
      </c>
      <c r="CI87" s="19">
        <v>0</v>
      </c>
      <c r="CJ87" s="19">
        <v>0</v>
      </c>
      <c r="CK87" s="19">
        <v>838.53043478260895</v>
      </c>
      <c r="CL87" s="19">
        <v>5.4379999999999997</v>
      </c>
      <c r="CM87" s="19">
        <v>144.304347826087</v>
      </c>
      <c r="CN87" s="19">
        <v>0.92200000000000004</v>
      </c>
      <c r="CO87" s="19">
        <v>618.852173913044</v>
      </c>
      <c r="CP87" s="19">
        <v>3.9540000000000002</v>
      </c>
      <c r="CQ87" s="19">
        <v>201.591304347826</v>
      </c>
      <c r="CR87" s="19">
        <v>1.288</v>
      </c>
      <c r="CS87" s="19">
        <v>268.26086956521698</v>
      </c>
      <c r="CT87" s="19">
        <v>1.714</v>
      </c>
      <c r="CU87" s="19">
        <v>746.20869565217401</v>
      </c>
      <c r="CV87" s="19">
        <v>4.7220000000000004</v>
      </c>
      <c r="CW87" s="19">
        <v>623.66086956521701</v>
      </c>
      <c r="CX87" s="19">
        <v>3.9279999999999999</v>
      </c>
      <c r="CY87" s="19">
        <v>158.49565217391299</v>
      </c>
      <c r="CZ87" s="19">
        <v>0.98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100.47826086956501</v>
      </c>
      <c r="DJ87" s="19">
        <v>0.64200000000000002</v>
      </c>
      <c r="DK87" s="19">
        <v>0</v>
      </c>
      <c r="DL87" s="19">
        <v>0</v>
      </c>
      <c r="DM87" s="19">
        <v>0</v>
      </c>
      <c r="DN87" s="19">
        <v>0</v>
      </c>
      <c r="DO87" s="19">
        <v>0</v>
      </c>
      <c r="DP87" s="19">
        <v>0</v>
      </c>
      <c r="DQ87" s="19">
        <v>0</v>
      </c>
      <c r="DR87" s="19">
        <v>0</v>
      </c>
      <c r="DS87" s="19">
        <v>0</v>
      </c>
      <c r="DT87" s="19">
        <v>0</v>
      </c>
      <c r="DU87" s="19">
        <v>0</v>
      </c>
      <c r="DV87" s="19">
        <v>0</v>
      </c>
      <c r="DW87" s="19">
        <v>103.95652173913</v>
      </c>
      <c r="DX87" s="19">
        <v>0.85399999999999998</v>
      </c>
      <c r="DY87" s="19">
        <v>145.03478260869599</v>
      </c>
      <c r="DZ87" s="19">
        <v>1.1910000000000001</v>
      </c>
      <c r="EA87" s="19">
        <v>0</v>
      </c>
      <c r="EB87" s="19">
        <v>0</v>
      </c>
      <c r="EC87" s="19">
        <v>0</v>
      </c>
      <c r="ED87" s="19">
        <v>0</v>
      </c>
      <c r="EE87" s="19">
        <v>0</v>
      </c>
      <c r="EF87" s="19">
        <v>0</v>
      </c>
      <c r="EG87" s="19">
        <v>0</v>
      </c>
      <c r="EH87" s="19">
        <v>0</v>
      </c>
      <c r="EI87" s="19">
        <v>253.2</v>
      </c>
      <c r="EJ87" s="19">
        <v>2.08</v>
      </c>
      <c r="EK87" s="19">
        <v>0</v>
      </c>
      <c r="EL87" s="19">
        <v>0</v>
      </c>
      <c r="EM87" s="19">
        <v>0</v>
      </c>
      <c r="EN87" s="19">
        <v>0</v>
      </c>
      <c r="EO87" s="19">
        <v>0</v>
      </c>
      <c r="EP87" s="19">
        <v>0</v>
      </c>
      <c r="EQ87" s="19">
        <v>0</v>
      </c>
      <c r="ER87" s="19">
        <v>0</v>
      </c>
      <c r="ES87" s="119">
        <v>0</v>
      </c>
      <c r="ET87" s="119">
        <v>0</v>
      </c>
    </row>
    <row r="88" spans="1:150" ht="16.5" customHeight="1" x14ac:dyDescent="0.35">
      <c r="A88" s="4">
        <v>202</v>
      </c>
      <c r="B88" s="4" t="str">
        <f>LOOKUP(A88,Lookup!$A$1:$A$34,Lookup!$B$1:$B$34)</f>
        <v>BEEF</v>
      </c>
      <c r="C88" s="5">
        <v>34161</v>
      </c>
      <c r="D88" s="6" t="s">
        <v>92</v>
      </c>
      <c r="E88" s="18">
        <v>6.3710961420698098</v>
      </c>
      <c r="F88" s="18">
        <v>4.2999999999999997E-2</v>
      </c>
      <c r="G88" s="18">
        <v>452.34782608695701</v>
      </c>
      <c r="H88" s="18">
        <v>3.06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353.6</v>
      </c>
      <c r="AR88" s="19">
        <v>2.3919999999999999</v>
      </c>
      <c r="AS88" s="19">
        <v>98.747826086956493</v>
      </c>
      <c r="AT88" s="19">
        <v>0.66800000000000004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19">
        <v>0</v>
      </c>
      <c r="DT88" s="19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  <c r="DZ88" s="19">
        <v>0</v>
      </c>
      <c r="EA88" s="19">
        <v>0</v>
      </c>
      <c r="EB88" s="19">
        <v>0</v>
      </c>
      <c r="EC88" s="19">
        <v>0</v>
      </c>
      <c r="ED88" s="19">
        <v>0</v>
      </c>
      <c r="EE88" s="19">
        <v>0</v>
      </c>
      <c r="EF88" s="19">
        <v>0</v>
      </c>
      <c r="EG88" s="19">
        <v>0</v>
      </c>
      <c r="EH88" s="19">
        <v>0</v>
      </c>
      <c r="EI88" s="19">
        <v>0</v>
      </c>
      <c r="EJ88" s="19">
        <v>0</v>
      </c>
      <c r="EK88" s="19">
        <v>0</v>
      </c>
      <c r="EL88" s="19">
        <v>0</v>
      </c>
      <c r="EM88" s="19">
        <v>0</v>
      </c>
      <c r="EN88" s="19">
        <v>0</v>
      </c>
      <c r="EO88" s="19">
        <v>0</v>
      </c>
      <c r="EP88" s="19">
        <v>0</v>
      </c>
      <c r="EQ88" s="19">
        <v>0</v>
      </c>
      <c r="ER88" s="19">
        <v>0</v>
      </c>
      <c r="ES88" s="119">
        <v>0</v>
      </c>
      <c r="ET88" s="119">
        <v>0</v>
      </c>
    </row>
    <row r="89" spans="1:150" ht="16.5" customHeight="1" x14ac:dyDescent="0.35">
      <c r="A89" s="4">
        <v>202</v>
      </c>
      <c r="B89" s="4" t="str">
        <f>LOOKUP(A89,Lookup!$A$1:$A$34,Lookup!$B$1:$B$34)</f>
        <v>BEEF</v>
      </c>
      <c r="C89" s="5">
        <v>34162</v>
      </c>
      <c r="D89" s="6" t="s">
        <v>93</v>
      </c>
      <c r="E89" s="18">
        <v>0</v>
      </c>
      <c r="F89" s="18">
        <v>0</v>
      </c>
      <c r="G89" s="18">
        <v>0</v>
      </c>
      <c r="H89" s="18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>
        <v>0</v>
      </c>
      <c r="BW89" s="19">
        <v>0</v>
      </c>
      <c r="BX89" s="19">
        <v>0</v>
      </c>
      <c r="BY89" s="19">
        <v>0</v>
      </c>
      <c r="BZ89" s="19">
        <v>0</v>
      </c>
      <c r="CA89" s="19">
        <v>0</v>
      </c>
      <c r="CB89" s="19">
        <v>0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19">
        <v>0</v>
      </c>
      <c r="DK89" s="19">
        <v>0</v>
      </c>
      <c r="DL89" s="19">
        <v>0</v>
      </c>
      <c r="DM89" s="19">
        <v>0</v>
      </c>
      <c r="DN89" s="19">
        <v>0</v>
      </c>
      <c r="DO89" s="19">
        <v>0</v>
      </c>
      <c r="DP89" s="19">
        <v>0</v>
      </c>
      <c r="DQ89" s="19">
        <v>0</v>
      </c>
      <c r="DR89" s="19">
        <v>0</v>
      </c>
      <c r="DS89" s="19">
        <v>0</v>
      </c>
      <c r="DT89" s="19">
        <v>0</v>
      </c>
      <c r="DU89" s="19">
        <v>0</v>
      </c>
      <c r="DV89" s="19">
        <v>0</v>
      </c>
      <c r="DW89" s="19">
        <v>0</v>
      </c>
      <c r="DX89" s="19">
        <v>0</v>
      </c>
      <c r="DY89" s="19">
        <v>0</v>
      </c>
      <c r="DZ89" s="19">
        <v>0</v>
      </c>
      <c r="EA89" s="19">
        <v>0</v>
      </c>
      <c r="EB89" s="19">
        <v>0</v>
      </c>
      <c r="EC89" s="19">
        <v>0</v>
      </c>
      <c r="ED89" s="19">
        <v>0</v>
      </c>
      <c r="EE89" s="19">
        <v>0</v>
      </c>
      <c r="EF89" s="19">
        <v>0</v>
      </c>
      <c r="EG89" s="19">
        <v>0</v>
      </c>
      <c r="EH89" s="19">
        <v>0</v>
      </c>
      <c r="EI89" s="19">
        <v>0</v>
      </c>
      <c r="EJ89" s="19">
        <v>0</v>
      </c>
      <c r="EK89" s="19">
        <v>0</v>
      </c>
      <c r="EL89" s="19">
        <v>0</v>
      </c>
      <c r="EM89" s="19">
        <v>0</v>
      </c>
      <c r="EN89" s="19">
        <v>0</v>
      </c>
      <c r="EO89" s="19">
        <v>0</v>
      </c>
      <c r="EP89" s="19">
        <v>0</v>
      </c>
      <c r="EQ89" s="19">
        <v>0</v>
      </c>
      <c r="ER89" s="19">
        <v>0</v>
      </c>
      <c r="ES89" s="119">
        <v>0</v>
      </c>
      <c r="ET89" s="119">
        <v>0</v>
      </c>
    </row>
    <row r="90" spans="1:150" ht="16.5" customHeight="1" x14ac:dyDescent="0.35">
      <c r="A90" s="4">
        <v>202</v>
      </c>
      <c r="B90" s="4" t="str">
        <f>LOOKUP(A90,Lookup!$A$1:$A$34,Lookup!$B$1:$B$34)</f>
        <v>BEEF</v>
      </c>
      <c r="C90" s="5">
        <v>34163</v>
      </c>
      <c r="D90" s="6" t="s">
        <v>94</v>
      </c>
      <c r="E90" s="18">
        <v>0</v>
      </c>
      <c r="F90" s="18">
        <v>0</v>
      </c>
      <c r="G90" s="18">
        <v>0</v>
      </c>
      <c r="H90" s="18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>
        <v>0</v>
      </c>
      <c r="BW90" s="19">
        <v>0</v>
      </c>
      <c r="BX90" s="19">
        <v>0</v>
      </c>
      <c r="BY90" s="19">
        <v>0</v>
      </c>
      <c r="BZ90" s="19">
        <v>0</v>
      </c>
      <c r="CA90" s="19">
        <v>0</v>
      </c>
      <c r="CB90" s="19">
        <v>0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19">
        <v>0</v>
      </c>
      <c r="DK90" s="19">
        <v>0</v>
      </c>
      <c r="DL90" s="19">
        <v>0</v>
      </c>
      <c r="DM90" s="19">
        <v>0</v>
      </c>
      <c r="DN90" s="19">
        <v>0</v>
      </c>
      <c r="DO90" s="19">
        <v>0</v>
      </c>
      <c r="DP90" s="19">
        <v>0</v>
      </c>
      <c r="DQ90" s="19">
        <v>0</v>
      </c>
      <c r="DR90" s="19">
        <v>0</v>
      </c>
      <c r="DS90" s="19">
        <v>0</v>
      </c>
      <c r="DT90" s="19">
        <v>0</v>
      </c>
      <c r="DU90" s="19">
        <v>0</v>
      </c>
      <c r="DV90" s="19">
        <v>0</v>
      </c>
      <c r="DW90" s="19">
        <v>0</v>
      </c>
      <c r="DX90" s="19">
        <v>0</v>
      </c>
      <c r="DY90" s="19">
        <v>0</v>
      </c>
      <c r="DZ90" s="19">
        <v>0</v>
      </c>
      <c r="EA90" s="19">
        <v>0</v>
      </c>
      <c r="EB90" s="19">
        <v>0</v>
      </c>
      <c r="EC90" s="19">
        <v>0</v>
      </c>
      <c r="ED90" s="19">
        <v>0</v>
      </c>
      <c r="EE90" s="19">
        <v>0</v>
      </c>
      <c r="EF90" s="19">
        <v>0</v>
      </c>
      <c r="EG90" s="19">
        <v>0</v>
      </c>
      <c r="EH90" s="19">
        <v>0</v>
      </c>
      <c r="EI90" s="19">
        <v>0</v>
      </c>
      <c r="EJ90" s="19">
        <v>0</v>
      </c>
      <c r="EK90" s="19">
        <v>0</v>
      </c>
      <c r="EL90" s="19">
        <v>0</v>
      </c>
      <c r="EM90" s="19">
        <v>0</v>
      </c>
      <c r="EN90" s="19">
        <v>0</v>
      </c>
      <c r="EO90" s="19">
        <v>0</v>
      </c>
      <c r="EP90" s="19">
        <v>0</v>
      </c>
      <c r="EQ90" s="19">
        <v>0</v>
      </c>
      <c r="ER90" s="19">
        <v>0</v>
      </c>
      <c r="ES90" s="119">
        <v>0</v>
      </c>
      <c r="ET90" s="119">
        <v>0</v>
      </c>
    </row>
    <row r="91" spans="1:150" ht="16.5" customHeight="1" x14ac:dyDescent="0.35">
      <c r="A91" s="4">
        <v>202</v>
      </c>
      <c r="B91" s="4" t="str">
        <f>LOOKUP(A91,Lookup!$A$1:$A$34,Lookup!$B$1:$B$34)</f>
        <v>BEEF</v>
      </c>
      <c r="C91" s="5">
        <v>34164</v>
      </c>
      <c r="D91" s="6" t="s">
        <v>95</v>
      </c>
      <c r="E91" s="18">
        <v>46.354562155541899</v>
      </c>
      <c r="F91" s="18">
        <v>0.29199999999999998</v>
      </c>
      <c r="G91" s="18">
        <v>3291.1739130434798</v>
      </c>
      <c r="H91" s="18">
        <v>20.748999999999999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899.11304347826103</v>
      </c>
      <c r="BH91" s="19">
        <v>4.9240000000000004</v>
      </c>
      <c r="BI91" s="19">
        <v>1094.71304347826</v>
      </c>
      <c r="BJ91" s="19">
        <v>6.0179999999999998</v>
      </c>
      <c r="BK91" s="19">
        <v>457.23478260869598</v>
      </c>
      <c r="BL91" s="19">
        <v>3.19</v>
      </c>
      <c r="BM91" s="19">
        <v>596.85217391304298</v>
      </c>
      <c r="BN91" s="19">
        <v>4.7009999999999996</v>
      </c>
      <c r="BO91" s="19">
        <v>243.26086956521701</v>
      </c>
      <c r="BP91" s="19">
        <v>1.9159999999999999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>
        <v>0</v>
      </c>
      <c r="BW91" s="19">
        <v>0</v>
      </c>
      <c r="BX91" s="19">
        <v>0</v>
      </c>
      <c r="BY91" s="19">
        <v>0</v>
      </c>
      <c r="BZ91" s="19">
        <v>0</v>
      </c>
      <c r="CA91" s="19">
        <v>0</v>
      </c>
      <c r="CB91" s="19">
        <v>0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  <c r="DK91" s="19">
        <v>0</v>
      </c>
      <c r="DL91" s="19">
        <v>0</v>
      </c>
      <c r="DM91" s="19">
        <v>0</v>
      </c>
      <c r="DN91" s="19">
        <v>0</v>
      </c>
      <c r="DO91" s="19">
        <v>0</v>
      </c>
      <c r="DP91" s="19">
        <v>0</v>
      </c>
      <c r="DQ91" s="19">
        <v>0</v>
      </c>
      <c r="DR91" s="19">
        <v>0</v>
      </c>
      <c r="DS91" s="19">
        <v>0</v>
      </c>
      <c r="DT91" s="19">
        <v>0</v>
      </c>
      <c r="DU91" s="19">
        <v>0</v>
      </c>
      <c r="DV91" s="19">
        <v>0</v>
      </c>
      <c r="DW91" s="19">
        <v>0</v>
      </c>
      <c r="DX91" s="19">
        <v>0</v>
      </c>
      <c r="DY91" s="19">
        <v>0</v>
      </c>
      <c r="DZ91" s="19">
        <v>0</v>
      </c>
      <c r="EA91" s="19">
        <v>0</v>
      </c>
      <c r="EB91" s="19">
        <v>0</v>
      </c>
      <c r="EC91" s="19">
        <v>0</v>
      </c>
      <c r="ED91" s="19">
        <v>0</v>
      </c>
      <c r="EE91" s="19">
        <v>0</v>
      </c>
      <c r="EF91" s="19">
        <v>0</v>
      </c>
      <c r="EG91" s="19">
        <v>0</v>
      </c>
      <c r="EH91" s="19">
        <v>0</v>
      </c>
      <c r="EI91" s="19">
        <v>0</v>
      </c>
      <c r="EJ91" s="19">
        <v>0</v>
      </c>
      <c r="EK91" s="19">
        <v>0</v>
      </c>
      <c r="EL91" s="19">
        <v>0</v>
      </c>
      <c r="EM91" s="19">
        <v>0</v>
      </c>
      <c r="EN91" s="19">
        <v>0</v>
      </c>
      <c r="EO91" s="19">
        <v>0</v>
      </c>
      <c r="EP91" s="19">
        <v>0</v>
      </c>
      <c r="EQ91" s="19">
        <v>0</v>
      </c>
      <c r="ER91" s="19">
        <v>0</v>
      </c>
      <c r="ES91" s="119">
        <v>0</v>
      </c>
      <c r="ET91" s="119">
        <v>0</v>
      </c>
    </row>
    <row r="92" spans="1:150" ht="16.5" customHeight="1" x14ac:dyDescent="0.35">
      <c r="A92" s="4">
        <v>202</v>
      </c>
      <c r="B92" s="4" t="str">
        <f>LOOKUP(A92,Lookup!$A$1:$A$34,Lookup!$B$1:$B$34)</f>
        <v>BEEF</v>
      </c>
      <c r="C92" s="5">
        <v>34165</v>
      </c>
      <c r="D92" s="6" t="s">
        <v>96</v>
      </c>
      <c r="E92" s="18">
        <v>6.8486221677893502</v>
      </c>
      <c r="F92" s="18">
        <v>5.2999999999999999E-2</v>
      </c>
      <c r="G92" s="18">
        <v>486.25217391304398</v>
      </c>
      <c r="H92" s="18">
        <v>3.7280000000000002</v>
      </c>
      <c r="I92" s="19">
        <v>0</v>
      </c>
      <c r="J92" s="19">
        <v>0</v>
      </c>
      <c r="K92" s="19">
        <v>0</v>
      </c>
      <c r="L92" s="19">
        <v>0</v>
      </c>
      <c r="M92" s="19">
        <v>206.61739130434799</v>
      </c>
      <c r="N92" s="19">
        <v>1.5840000000000001</v>
      </c>
      <c r="O92" s="19">
        <v>74.826086956521706</v>
      </c>
      <c r="P92" s="19">
        <v>0.57399999999999995</v>
      </c>
      <c r="Q92" s="19">
        <v>64.878260869565196</v>
      </c>
      <c r="R92" s="19">
        <v>0.497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76.408695652173904</v>
      </c>
      <c r="AB92" s="19">
        <v>0.58599999999999997</v>
      </c>
      <c r="AC92" s="19">
        <v>63.521739130434803</v>
      </c>
      <c r="AD92" s="19">
        <v>0.48699999999999999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0</v>
      </c>
      <c r="BM92" s="19">
        <v>0</v>
      </c>
      <c r="BN92" s="19">
        <v>0</v>
      </c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>
        <v>0</v>
      </c>
      <c r="BW92" s="19">
        <v>0</v>
      </c>
      <c r="BX92" s="19">
        <v>0</v>
      </c>
      <c r="BY92" s="19">
        <v>0</v>
      </c>
      <c r="BZ92" s="19">
        <v>0</v>
      </c>
      <c r="CA92" s="19">
        <v>0</v>
      </c>
      <c r="CB92" s="19">
        <v>0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19">
        <v>0</v>
      </c>
      <c r="DU92" s="19">
        <v>0</v>
      </c>
      <c r="DV92" s="19">
        <v>0</v>
      </c>
      <c r="DW92" s="19">
        <v>0</v>
      </c>
      <c r="DX92" s="19">
        <v>0</v>
      </c>
      <c r="DY92" s="19">
        <v>0</v>
      </c>
      <c r="DZ92" s="19">
        <v>0</v>
      </c>
      <c r="EA92" s="19">
        <v>0</v>
      </c>
      <c r="EB92" s="19">
        <v>0</v>
      </c>
      <c r="EC92" s="19">
        <v>0</v>
      </c>
      <c r="ED92" s="19">
        <v>0</v>
      </c>
      <c r="EE92" s="19">
        <v>0</v>
      </c>
      <c r="EF92" s="19">
        <v>0</v>
      </c>
      <c r="EG92" s="19">
        <v>0</v>
      </c>
      <c r="EH92" s="19">
        <v>0</v>
      </c>
      <c r="EI92" s="19">
        <v>0</v>
      </c>
      <c r="EJ92" s="19">
        <v>0</v>
      </c>
      <c r="EK92" s="19">
        <v>0</v>
      </c>
      <c r="EL92" s="19">
        <v>0</v>
      </c>
      <c r="EM92" s="19">
        <v>0</v>
      </c>
      <c r="EN92" s="19">
        <v>0</v>
      </c>
      <c r="EO92" s="19">
        <v>0</v>
      </c>
      <c r="EP92" s="19">
        <v>0</v>
      </c>
      <c r="EQ92" s="19">
        <v>0</v>
      </c>
      <c r="ER92" s="19">
        <v>0</v>
      </c>
      <c r="ES92" s="119">
        <v>0</v>
      </c>
      <c r="ET92" s="119">
        <v>0</v>
      </c>
    </row>
    <row r="93" spans="1:150" ht="16.5" customHeight="1" x14ac:dyDescent="0.35">
      <c r="A93" s="4">
        <v>202</v>
      </c>
      <c r="B93" s="4" t="str">
        <f>LOOKUP(A93,Lookup!$A$1:$A$34,Lookup!$B$1:$B$34)</f>
        <v>BEEF</v>
      </c>
      <c r="C93" s="5">
        <v>34166</v>
      </c>
      <c r="D93" s="6" t="s">
        <v>97</v>
      </c>
      <c r="E93" s="18">
        <v>4.0169014084507104</v>
      </c>
      <c r="F93" s="18">
        <v>2.9000000000000001E-2</v>
      </c>
      <c r="G93" s="18">
        <v>285.2</v>
      </c>
      <c r="H93" s="18">
        <v>2.0499999999999998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285.2</v>
      </c>
      <c r="V93" s="19">
        <v>2.0499999999999998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>
        <v>0</v>
      </c>
      <c r="BW93" s="19">
        <v>0</v>
      </c>
      <c r="BX93" s="19">
        <v>0</v>
      </c>
      <c r="BY93" s="19">
        <v>0</v>
      </c>
      <c r="BZ93" s="19">
        <v>0</v>
      </c>
      <c r="CA93" s="19">
        <v>0</v>
      </c>
      <c r="CB93" s="19">
        <v>0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</v>
      </c>
      <c r="DN93" s="19">
        <v>0</v>
      </c>
      <c r="DO93" s="19">
        <v>0</v>
      </c>
      <c r="DP93" s="19">
        <v>0</v>
      </c>
      <c r="DQ93" s="19">
        <v>0</v>
      </c>
      <c r="DR93" s="19">
        <v>0</v>
      </c>
      <c r="DS93" s="19">
        <v>0</v>
      </c>
      <c r="DT93" s="19">
        <v>0</v>
      </c>
      <c r="DU93" s="19">
        <v>0</v>
      </c>
      <c r="DV93" s="19">
        <v>0</v>
      </c>
      <c r="DW93" s="19">
        <v>0</v>
      </c>
      <c r="DX93" s="19">
        <v>0</v>
      </c>
      <c r="DY93" s="19">
        <v>0</v>
      </c>
      <c r="DZ93" s="19">
        <v>0</v>
      </c>
      <c r="EA93" s="19">
        <v>0</v>
      </c>
      <c r="EB93" s="19">
        <v>0</v>
      </c>
      <c r="EC93" s="19">
        <v>0</v>
      </c>
      <c r="ED93" s="19">
        <v>0</v>
      </c>
      <c r="EE93" s="19">
        <v>0</v>
      </c>
      <c r="EF93" s="19">
        <v>0</v>
      </c>
      <c r="EG93" s="19">
        <v>0</v>
      </c>
      <c r="EH93" s="19">
        <v>0</v>
      </c>
      <c r="EI93" s="19">
        <v>0</v>
      </c>
      <c r="EJ93" s="19">
        <v>0</v>
      </c>
      <c r="EK93" s="19">
        <v>0</v>
      </c>
      <c r="EL93" s="19">
        <v>0</v>
      </c>
      <c r="EM93" s="19">
        <v>0</v>
      </c>
      <c r="EN93" s="19">
        <v>0</v>
      </c>
      <c r="EO93" s="19">
        <v>0</v>
      </c>
      <c r="EP93" s="19">
        <v>0</v>
      </c>
      <c r="EQ93" s="19">
        <v>0</v>
      </c>
      <c r="ER93" s="19">
        <v>0</v>
      </c>
      <c r="ES93" s="119">
        <v>0</v>
      </c>
      <c r="ET93" s="119">
        <v>0</v>
      </c>
    </row>
    <row r="94" spans="1:150" ht="16.5" customHeight="1" x14ac:dyDescent="0.35">
      <c r="A94" s="4">
        <v>202</v>
      </c>
      <c r="B94" s="4" t="str">
        <f>LOOKUP(A94,Lookup!$A$1:$A$34,Lookup!$B$1:$B$34)</f>
        <v>BEEF</v>
      </c>
      <c r="C94" s="5">
        <v>34169</v>
      </c>
      <c r="D94" s="6" t="s">
        <v>98</v>
      </c>
      <c r="E94" s="18">
        <v>188.45413349663201</v>
      </c>
      <c r="F94" s="18">
        <v>2.0310000000000001</v>
      </c>
      <c r="G94" s="18">
        <v>13380.2434782609</v>
      </c>
      <c r="H94" s="18">
        <v>144.232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682.18260869565199</v>
      </c>
      <c r="R94" s="19">
        <v>7.8460000000000001</v>
      </c>
      <c r="S94" s="19">
        <v>123.46956521739099</v>
      </c>
      <c r="T94" s="19">
        <v>1.42</v>
      </c>
      <c r="U94" s="19">
        <v>41.565217391304301</v>
      </c>
      <c r="V94" s="19">
        <v>0.47799999999999998</v>
      </c>
      <c r="W94" s="19">
        <v>30.7826086956522</v>
      </c>
      <c r="X94" s="19">
        <v>0.35399999999999998</v>
      </c>
      <c r="Y94" s="19">
        <v>169.90434782608699</v>
      </c>
      <c r="Z94" s="19">
        <v>1.954</v>
      </c>
      <c r="AA94" s="19">
        <v>266.93043478260898</v>
      </c>
      <c r="AB94" s="19">
        <v>3.07</v>
      </c>
      <c r="AC94" s="19">
        <v>0</v>
      </c>
      <c r="AD94" s="19">
        <v>0</v>
      </c>
      <c r="AE94" s="19">
        <v>0</v>
      </c>
      <c r="AF94" s="19">
        <v>0</v>
      </c>
      <c r="AG94" s="19">
        <v>47.469565217391299</v>
      </c>
      <c r="AH94" s="19">
        <v>0.54600000000000004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876.44347826087005</v>
      </c>
      <c r="AT94" s="19">
        <v>9.1639999999999997</v>
      </c>
      <c r="AU94" s="19">
        <v>561.32173913043505</v>
      </c>
      <c r="AV94" s="19">
        <v>5.38</v>
      </c>
      <c r="AW94" s="19">
        <v>596.78260869565202</v>
      </c>
      <c r="AX94" s="19">
        <v>6.8639999999999999</v>
      </c>
      <c r="AY94" s="19">
        <v>0</v>
      </c>
      <c r="AZ94" s="19">
        <v>0</v>
      </c>
      <c r="BA94" s="19">
        <v>125.869565217391</v>
      </c>
      <c r="BB94" s="19">
        <v>1.206</v>
      </c>
      <c r="BC94" s="19">
        <v>265.85217391304298</v>
      </c>
      <c r="BD94" s="19">
        <v>2.548</v>
      </c>
      <c r="BE94" s="19">
        <v>84.9304347826087</v>
      </c>
      <c r="BF94" s="19">
        <v>0.81399999999999995</v>
      </c>
      <c r="BG94" s="19">
        <v>835.77391304347805</v>
      </c>
      <c r="BH94" s="19">
        <v>9.6120000000000001</v>
      </c>
      <c r="BI94" s="19">
        <v>1675.6521739130401</v>
      </c>
      <c r="BJ94" s="19">
        <v>19.346</v>
      </c>
      <c r="BK94" s="19">
        <v>883.04347826086996</v>
      </c>
      <c r="BL94" s="19">
        <v>8.5069999999999997</v>
      </c>
      <c r="BM94" s="19">
        <v>161.49565217391299</v>
      </c>
      <c r="BN94" s="19">
        <v>1.51</v>
      </c>
      <c r="BO94" s="19">
        <v>1073.4260869565201</v>
      </c>
      <c r="BP94" s="19">
        <v>11.288</v>
      </c>
      <c r="BQ94" s="19">
        <v>560.44347826086903</v>
      </c>
      <c r="BR94" s="19">
        <v>5.2389999999999999</v>
      </c>
      <c r="BS94" s="19">
        <v>980.90434782608702</v>
      </c>
      <c r="BT94" s="19">
        <v>11.363</v>
      </c>
      <c r="BU94" s="19">
        <v>847.13043478260897</v>
      </c>
      <c r="BV94" s="19">
        <v>8</v>
      </c>
      <c r="BW94" s="19">
        <v>0</v>
      </c>
      <c r="BX94" s="19">
        <v>0</v>
      </c>
      <c r="BY94" s="19">
        <v>0</v>
      </c>
      <c r="BZ94" s="19">
        <v>0</v>
      </c>
      <c r="CA94" s="19">
        <v>58.6086956521739</v>
      </c>
      <c r="CB94" s="19">
        <v>0.56200000000000006</v>
      </c>
      <c r="CC94" s="19">
        <v>68.278260869565202</v>
      </c>
      <c r="CD94" s="19">
        <v>0.68899999999999995</v>
      </c>
      <c r="CE94" s="19">
        <v>0</v>
      </c>
      <c r="CF94" s="19">
        <v>0</v>
      </c>
      <c r="CG94" s="19">
        <v>166.62608695652199</v>
      </c>
      <c r="CH94" s="19">
        <v>1.597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191.65217391304299</v>
      </c>
      <c r="DF94" s="19">
        <v>1.837</v>
      </c>
      <c r="DG94" s="19">
        <v>0</v>
      </c>
      <c r="DH94" s="19">
        <v>0</v>
      </c>
      <c r="DI94" s="19">
        <v>0</v>
      </c>
      <c r="DJ94" s="19">
        <v>0</v>
      </c>
      <c r="DK94" s="19">
        <v>219.66956521739101</v>
      </c>
      <c r="DL94" s="19">
        <v>2.105</v>
      </c>
      <c r="DM94" s="19">
        <v>0</v>
      </c>
      <c r="DN94" s="19">
        <v>0</v>
      </c>
      <c r="DO94" s="19">
        <v>0</v>
      </c>
      <c r="DP94" s="19">
        <v>0</v>
      </c>
      <c r="DQ94" s="19">
        <v>0</v>
      </c>
      <c r="DR94" s="19">
        <v>0</v>
      </c>
      <c r="DS94" s="19">
        <v>0</v>
      </c>
      <c r="DT94" s="19">
        <v>0</v>
      </c>
      <c r="DU94" s="19">
        <v>141.81739130434801</v>
      </c>
      <c r="DV94" s="19">
        <v>1.359</v>
      </c>
      <c r="DW94" s="19">
        <v>87.052173913043504</v>
      </c>
      <c r="DX94" s="19">
        <v>0.83399999999999996</v>
      </c>
      <c r="DY94" s="19">
        <v>0</v>
      </c>
      <c r="DZ94" s="19">
        <v>0</v>
      </c>
      <c r="EA94" s="19">
        <v>1175.8608695652199</v>
      </c>
      <c r="EB94" s="19">
        <v>15.055999999999999</v>
      </c>
      <c r="EC94" s="19">
        <v>0</v>
      </c>
      <c r="ED94" s="19">
        <v>0</v>
      </c>
      <c r="EE94" s="19">
        <v>0</v>
      </c>
      <c r="EF94" s="19">
        <v>0</v>
      </c>
      <c r="EG94" s="19">
        <v>215.80869565217401</v>
      </c>
      <c r="EH94" s="19">
        <v>2.0960000000000001</v>
      </c>
      <c r="EI94" s="19">
        <v>0</v>
      </c>
      <c r="EJ94" s="19">
        <v>0</v>
      </c>
      <c r="EK94" s="19">
        <v>0</v>
      </c>
      <c r="EL94" s="19">
        <v>0</v>
      </c>
      <c r="EM94" s="19">
        <v>0</v>
      </c>
      <c r="EN94" s="19">
        <v>0</v>
      </c>
      <c r="EO94" s="19">
        <v>94.843478260869603</v>
      </c>
      <c r="EP94" s="19">
        <v>0.93</v>
      </c>
      <c r="EQ94" s="19">
        <v>68.652173913043498</v>
      </c>
      <c r="ER94" s="19">
        <v>0.65800000000000003</v>
      </c>
      <c r="ES94" s="119">
        <v>52.373913043478296</v>
      </c>
      <c r="ET94" s="119">
        <v>0.502</v>
      </c>
    </row>
    <row r="95" spans="1:150" ht="16.5" customHeight="1" x14ac:dyDescent="0.35">
      <c r="A95" s="4">
        <v>202</v>
      </c>
      <c r="B95" s="4" t="str">
        <f>LOOKUP(A95,Lookup!$A$1:$A$34,Lookup!$B$1:$B$34)</f>
        <v>BEEF</v>
      </c>
      <c r="C95" s="5">
        <v>34170</v>
      </c>
      <c r="D95" s="6" t="s">
        <v>99</v>
      </c>
      <c r="E95" s="18">
        <v>165.47936313533401</v>
      </c>
      <c r="F95" s="18">
        <v>1.575</v>
      </c>
      <c r="G95" s="18">
        <v>11749.0347826087</v>
      </c>
      <c r="H95" s="18">
        <v>111.83199999999999</v>
      </c>
      <c r="I95" s="19">
        <v>507.07826086956499</v>
      </c>
      <c r="J95" s="19">
        <v>4.8600000000000003</v>
      </c>
      <c r="K95" s="19">
        <v>156.92173913043499</v>
      </c>
      <c r="L95" s="19">
        <v>1.504</v>
      </c>
      <c r="M95" s="19">
        <v>145.65217391304299</v>
      </c>
      <c r="N95" s="19">
        <v>1.4259999999999999</v>
      </c>
      <c r="O95" s="19">
        <v>0</v>
      </c>
      <c r="P95" s="19">
        <v>0</v>
      </c>
      <c r="Q95" s="19">
        <v>419.63478260869601</v>
      </c>
      <c r="R95" s="19">
        <v>4.0220000000000002</v>
      </c>
      <c r="S95" s="19">
        <v>187.591304347826</v>
      </c>
      <c r="T95" s="19">
        <v>1.798</v>
      </c>
      <c r="U95" s="19">
        <v>3139.6695652173898</v>
      </c>
      <c r="V95" s="19">
        <v>30.091000000000001</v>
      </c>
      <c r="W95" s="19">
        <v>0</v>
      </c>
      <c r="X95" s="19">
        <v>0</v>
      </c>
      <c r="Y95" s="19">
        <v>267.304347826087</v>
      </c>
      <c r="Z95" s="19">
        <v>2.5619999999999998</v>
      </c>
      <c r="AA95" s="19">
        <v>2123.5913043478299</v>
      </c>
      <c r="AB95" s="19">
        <v>20.353000000000002</v>
      </c>
      <c r="AC95" s="19">
        <v>0</v>
      </c>
      <c r="AD95" s="19">
        <v>0</v>
      </c>
      <c r="AE95" s="19">
        <v>0</v>
      </c>
      <c r="AF95" s="19">
        <v>0</v>
      </c>
      <c r="AG95" s="19">
        <v>510.84347826086997</v>
      </c>
      <c r="AH95" s="19">
        <v>4.8959999999999999</v>
      </c>
      <c r="AI95" s="19">
        <v>2096.3652173913001</v>
      </c>
      <c r="AJ95" s="19">
        <v>20.091999999999999</v>
      </c>
      <c r="AK95" s="19">
        <v>278.79130434782599</v>
      </c>
      <c r="AL95" s="19">
        <v>2.6720000000000002</v>
      </c>
      <c r="AM95" s="19">
        <v>89.521739130434796</v>
      </c>
      <c r="AN95" s="19">
        <v>0.85799999999999998</v>
      </c>
      <c r="AO95" s="19">
        <v>0</v>
      </c>
      <c r="AP95" s="19">
        <v>0</v>
      </c>
      <c r="AQ95" s="19">
        <v>325.89565217391299</v>
      </c>
      <c r="AR95" s="19">
        <v>3.1960000000000002</v>
      </c>
      <c r="AS95" s="19">
        <v>346.591304347826</v>
      </c>
      <c r="AT95" s="19">
        <v>3.3220000000000001</v>
      </c>
      <c r="AU95" s="19">
        <v>245.4</v>
      </c>
      <c r="AV95" s="19">
        <v>2.3519999999999999</v>
      </c>
      <c r="AW95" s="19">
        <v>0</v>
      </c>
      <c r="AX95" s="19">
        <v>0</v>
      </c>
      <c r="AY95" s="19">
        <v>0</v>
      </c>
      <c r="AZ95" s="19">
        <v>0</v>
      </c>
      <c r="BA95" s="19">
        <v>268.14782608695702</v>
      </c>
      <c r="BB95" s="19">
        <v>2.57</v>
      </c>
      <c r="BC95" s="19">
        <v>0</v>
      </c>
      <c r="BD95" s="19">
        <v>0</v>
      </c>
      <c r="BE95" s="19">
        <v>640.03478260869599</v>
      </c>
      <c r="BF95" s="19">
        <v>5.258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>
        <v>0</v>
      </c>
      <c r="BW95" s="19">
        <v>0</v>
      </c>
      <c r="BX95" s="19">
        <v>0</v>
      </c>
      <c r="BY95" s="19">
        <v>0</v>
      </c>
      <c r="BZ95" s="19">
        <v>0</v>
      </c>
      <c r="CA95" s="19">
        <v>0</v>
      </c>
      <c r="CB95" s="19">
        <v>0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  <c r="DK95" s="19">
        <v>0</v>
      </c>
      <c r="DL95" s="19">
        <v>0</v>
      </c>
      <c r="DM95" s="19">
        <v>0</v>
      </c>
      <c r="DN95" s="19">
        <v>0</v>
      </c>
      <c r="DO95" s="19">
        <v>0</v>
      </c>
      <c r="DP95" s="19">
        <v>0</v>
      </c>
      <c r="DQ95" s="19">
        <v>0</v>
      </c>
      <c r="DR95" s="19">
        <v>0</v>
      </c>
      <c r="DS95" s="19">
        <v>0</v>
      </c>
      <c r="DT95" s="19">
        <v>0</v>
      </c>
      <c r="DU95" s="19">
        <v>0</v>
      </c>
      <c r="DV95" s="19">
        <v>0</v>
      </c>
      <c r="DW95" s="19">
        <v>0</v>
      </c>
      <c r="DX95" s="19">
        <v>0</v>
      </c>
      <c r="DY95" s="19">
        <v>0</v>
      </c>
      <c r="DZ95" s="19">
        <v>0</v>
      </c>
      <c r="EA95" s="19">
        <v>0</v>
      </c>
      <c r="EB95" s="19">
        <v>0</v>
      </c>
      <c r="EC95" s="19">
        <v>0</v>
      </c>
      <c r="ED95" s="19">
        <v>0</v>
      </c>
      <c r="EE95" s="19">
        <v>0</v>
      </c>
      <c r="EF95" s="19">
        <v>0</v>
      </c>
      <c r="EG95" s="19">
        <v>0</v>
      </c>
      <c r="EH95" s="19">
        <v>0</v>
      </c>
      <c r="EI95" s="19">
        <v>0</v>
      </c>
      <c r="EJ95" s="19">
        <v>0</v>
      </c>
      <c r="EK95" s="19">
        <v>0</v>
      </c>
      <c r="EL95" s="19">
        <v>0</v>
      </c>
      <c r="EM95" s="19">
        <v>0</v>
      </c>
      <c r="EN95" s="19">
        <v>0</v>
      </c>
      <c r="EO95" s="19">
        <v>0</v>
      </c>
      <c r="EP95" s="19">
        <v>0</v>
      </c>
      <c r="EQ95" s="19">
        <v>0</v>
      </c>
      <c r="ER95" s="19">
        <v>0</v>
      </c>
      <c r="ES95" s="119">
        <v>0</v>
      </c>
      <c r="ET95" s="119">
        <v>0</v>
      </c>
    </row>
    <row r="96" spans="1:150" ht="16.5" customHeight="1" x14ac:dyDescent="0.35">
      <c r="A96" s="4">
        <v>202</v>
      </c>
      <c r="B96" s="4" t="str">
        <f>LOOKUP(A96,Lookup!$A$1:$A$34,Lookup!$B$1:$B$34)</f>
        <v>BEEF</v>
      </c>
      <c r="C96" s="5">
        <v>34171</v>
      </c>
      <c r="D96" s="6" t="s">
        <v>100</v>
      </c>
      <c r="E96" s="18">
        <v>0</v>
      </c>
      <c r="F96" s="18">
        <v>0</v>
      </c>
      <c r="G96" s="18">
        <v>0</v>
      </c>
      <c r="H96" s="18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>
        <v>0</v>
      </c>
      <c r="BW96" s="19">
        <v>0</v>
      </c>
      <c r="BX96" s="19">
        <v>0</v>
      </c>
      <c r="BY96" s="19">
        <v>0</v>
      </c>
      <c r="BZ96" s="19">
        <v>0</v>
      </c>
      <c r="CA96" s="19">
        <v>0</v>
      </c>
      <c r="CB96" s="19">
        <v>0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  <c r="DH96" s="19">
        <v>0</v>
      </c>
      <c r="DI96" s="19">
        <v>0</v>
      </c>
      <c r="DJ96" s="19">
        <v>0</v>
      </c>
      <c r="DK96" s="19">
        <v>0</v>
      </c>
      <c r="DL96" s="19">
        <v>0</v>
      </c>
      <c r="DM96" s="19">
        <v>0</v>
      </c>
      <c r="DN96" s="19">
        <v>0</v>
      </c>
      <c r="DO96" s="19">
        <v>0</v>
      </c>
      <c r="DP96" s="19">
        <v>0</v>
      </c>
      <c r="DQ96" s="19">
        <v>0</v>
      </c>
      <c r="DR96" s="19">
        <v>0</v>
      </c>
      <c r="DS96" s="19">
        <v>0</v>
      </c>
      <c r="DT96" s="19">
        <v>0</v>
      </c>
      <c r="DU96" s="19">
        <v>0</v>
      </c>
      <c r="DV96" s="19">
        <v>0</v>
      </c>
      <c r="DW96" s="19">
        <v>0</v>
      </c>
      <c r="DX96" s="19">
        <v>0</v>
      </c>
      <c r="DY96" s="19">
        <v>0</v>
      </c>
      <c r="DZ96" s="19">
        <v>0</v>
      </c>
      <c r="EA96" s="19">
        <v>0</v>
      </c>
      <c r="EB96" s="19">
        <v>0</v>
      </c>
      <c r="EC96" s="19">
        <v>0</v>
      </c>
      <c r="ED96" s="19">
        <v>0</v>
      </c>
      <c r="EE96" s="19">
        <v>0</v>
      </c>
      <c r="EF96" s="19">
        <v>0</v>
      </c>
      <c r="EG96" s="19">
        <v>0</v>
      </c>
      <c r="EH96" s="19">
        <v>0</v>
      </c>
      <c r="EI96" s="19">
        <v>0</v>
      </c>
      <c r="EJ96" s="19">
        <v>0</v>
      </c>
      <c r="EK96" s="19">
        <v>0</v>
      </c>
      <c r="EL96" s="19">
        <v>0</v>
      </c>
      <c r="EM96" s="19">
        <v>0</v>
      </c>
      <c r="EN96" s="19">
        <v>0</v>
      </c>
      <c r="EO96" s="19">
        <v>0</v>
      </c>
      <c r="EP96" s="19">
        <v>0</v>
      </c>
      <c r="EQ96" s="19">
        <v>0</v>
      </c>
      <c r="ER96" s="19">
        <v>0</v>
      </c>
      <c r="ES96" s="119">
        <v>0</v>
      </c>
      <c r="ET96" s="119">
        <v>0</v>
      </c>
    </row>
    <row r="97" spans="1:150" ht="16.5" customHeight="1" x14ac:dyDescent="0.35">
      <c r="A97" s="4">
        <v>202</v>
      </c>
      <c r="B97" s="4" t="str">
        <f>LOOKUP(A97,Lookup!$A$1:$A$34,Lookup!$B$1:$B$34)</f>
        <v>BEEF</v>
      </c>
      <c r="C97" s="5">
        <v>34172</v>
      </c>
      <c r="D97" s="6" t="s">
        <v>101</v>
      </c>
      <c r="E97" s="18">
        <v>2914.4079608083298</v>
      </c>
      <c r="F97" s="18">
        <v>18.013000000000002</v>
      </c>
      <c r="G97" s="18">
        <v>206922.965217391</v>
      </c>
      <c r="H97" s="18">
        <v>1278.9280000000001</v>
      </c>
      <c r="I97" s="19">
        <v>2642.3391304347801</v>
      </c>
      <c r="J97" s="19">
        <v>15.994</v>
      </c>
      <c r="K97" s="19">
        <v>1415.1304347826101</v>
      </c>
      <c r="L97" s="19">
        <v>10.172000000000001</v>
      </c>
      <c r="M97" s="19">
        <v>1843.9304347826101</v>
      </c>
      <c r="N97" s="19">
        <v>13.254</v>
      </c>
      <c r="O97" s="19">
        <v>2279.05217391304</v>
      </c>
      <c r="P97" s="19">
        <v>14.066000000000001</v>
      </c>
      <c r="Q97" s="19">
        <v>3311.1217391304299</v>
      </c>
      <c r="R97" s="19">
        <v>21.001999999999999</v>
      </c>
      <c r="S97" s="19">
        <v>2006.3739130434799</v>
      </c>
      <c r="T97" s="19">
        <v>12.819000000000001</v>
      </c>
      <c r="U97" s="19">
        <v>4481.9130434782601</v>
      </c>
      <c r="V97" s="19">
        <v>32.216000000000001</v>
      </c>
      <c r="W97" s="19">
        <v>3492.50434782609</v>
      </c>
      <c r="X97" s="19">
        <v>25.103999999999999</v>
      </c>
      <c r="Y97" s="19">
        <v>3036.48695652174</v>
      </c>
      <c r="Z97" s="19">
        <v>20.542000000000002</v>
      </c>
      <c r="AA97" s="19">
        <v>3294.8347826087002</v>
      </c>
      <c r="AB97" s="19">
        <v>22.29</v>
      </c>
      <c r="AC97" s="19">
        <v>2443.8695652173901</v>
      </c>
      <c r="AD97" s="19">
        <v>15.614000000000001</v>
      </c>
      <c r="AE97" s="19">
        <v>2064.7043478260898</v>
      </c>
      <c r="AF97" s="19">
        <v>13.192</v>
      </c>
      <c r="AG97" s="19">
        <v>2886.7130434782598</v>
      </c>
      <c r="AH97" s="19">
        <v>18.443999999999999</v>
      </c>
      <c r="AI97" s="19">
        <v>2046.0608695652199</v>
      </c>
      <c r="AJ97" s="19">
        <v>12.631</v>
      </c>
      <c r="AK97" s="19">
        <v>4108.0695652173899</v>
      </c>
      <c r="AL97" s="19">
        <v>29.527999999999999</v>
      </c>
      <c r="AM97" s="19">
        <v>3751.2608695652202</v>
      </c>
      <c r="AN97" s="19">
        <v>26.963999999999999</v>
      </c>
      <c r="AO97" s="19">
        <v>2159.6173913043499</v>
      </c>
      <c r="AP97" s="19">
        <v>13.071999999999999</v>
      </c>
      <c r="AQ97" s="19">
        <v>4084.6260869565199</v>
      </c>
      <c r="AR97" s="19">
        <v>24.724</v>
      </c>
      <c r="AS97" s="19">
        <v>1982.1826086956501</v>
      </c>
      <c r="AT97" s="19">
        <v>11.997999999999999</v>
      </c>
      <c r="AU97" s="19">
        <v>3499.4434782608701</v>
      </c>
      <c r="AV97" s="19">
        <v>21.181999999999999</v>
      </c>
      <c r="AW97" s="19">
        <v>2559.1999999999998</v>
      </c>
      <c r="AX97" s="19">
        <v>14.308</v>
      </c>
      <c r="AY97" s="19">
        <v>2167.8347826087002</v>
      </c>
      <c r="AZ97" s="19">
        <v>11.872</v>
      </c>
      <c r="BA97" s="19">
        <v>1644.6434782608701</v>
      </c>
      <c r="BB97" s="19">
        <v>8.5030000000000001</v>
      </c>
      <c r="BC97" s="19">
        <v>3699.9304347826101</v>
      </c>
      <c r="BD97" s="19">
        <v>22.395</v>
      </c>
      <c r="BE97" s="19">
        <v>3160.45217391304</v>
      </c>
      <c r="BF97" s="19">
        <v>19.13</v>
      </c>
      <c r="BG97" s="19">
        <v>1553.9304347826101</v>
      </c>
      <c r="BH97" s="19">
        <v>7.77</v>
      </c>
      <c r="BI97" s="19">
        <v>1616.3304347826099</v>
      </c>
      <c r="BJ97" s="19">
        <v>8.1769999999999996</v>
      </c>
      <c r="BK97" s="19">
        <v>1129.79130434783</v>
      </c>
      <c r="BL97" s="19">
        <v>5.9059999999999997</v>
      </c>
      <c r="BM97" s="19">
        <v>2147.0782608695599</v>
      </c>
      <c r="BN97" s="19">
        <v>12.347</v>
      </c>
      <c r="BO97" s="19">
        <v>3785.2434782608698</v>
      </c>
      <c r="BP97" s="19">
        <v>22.84</v>
      </c>
      <c r="BQ97" s="19">
        <v>3507.2956521739102</v>
      </c>
      <c r="BR97" s="19">
        <v>20.167999999999999</v>
      </c>
      <c r="BS97" s="19">
        <v>1211.0782608695699</v>
      </c>
      <c r="BT97" s="19">
        <v>6.9640000000000004</v>
      </c>
      <c r="BU97" s="19">
        <v>1943.69565217391</v>
      </c>
      <c r="BV97" s="19">
        <v>13.324</v>
      </c>
      <c r="BW97" s="19">
        <v>1357.46956521739</v>
      </c>
      <c r="BX97" s="19">
        <v>8.0060000000000002</v>
      </c>
      <c r="BY97" s="19">
        <v>1075.1652173913001</v>
      </c>
      <c r="BZ97" s="19">
        <v>6</v>
      </c>
      <c r="CA97" s="19">
        <v>2258.3478260869601</v>
      </c>
      <c r="CB97" s="19">
        <v>12.496</v>
      </c>
      <c r="CC97" s="19">
        <v>1799.3304347826099</v>
      </c>
      <c r="CD97" s="19">
        <v>9.8539999999999992</v>
      </c>
      <c r="CE97" s="19">
        <v>2033.9043478260901</v>
      </c>
      <c r="CF97" s="19">
        <v>10.843999999999999</v>
      </c>
      <c r="CG97" s="19">
        <v>2661.0782608695699</v>
      </c>
      <c r="CH97" s="19">
        <v>15.302</v>
      </c>
      <c r="CI97" s="19">
        <v>2105.4</v>
      </c>
      <c r="CJ97" s="19">
        <v>12.183999999999999</v>
      </c>
      <c r="CK97" s="19">
        <v>3472.6956521739098</v>
      </c>
      <c r="CL97" s="19">
        <v>17.794</v>
      </c>
      <c r="CM97" s="19">
        <v>2439.52173913043</v>
      </c>
      <c r="CN97" s="19">
        <v>11.888</v>
      </c>
      <c r="CO97" s="19">
        <v>2112.2695652173902</v>
      </c>
      <c r="CP97" s="19">
        <v>12.202</v>
      </c>
      <c r="CQ97" s="19">
        <v>5038.6869565217403</v>
      </c>
      <c r="CR97" s="19">
        <v>28.974</v>
      </c>
      <c r="CS97" s="19">
        <v>5073.8608695652201</v>
      </c>
      <c r="CT97" s="19">
        <v>29.175999999999998</v>
      </c>
      <c r="CU97" s="19">
        <v>1581.74782608696</v>
      </c>
      <c r="CV97" s="19">
        <v>8.2970000000000006</v>
      </c>
      <c r="CW97" s="19">
        <v>968.32173913043505</v>
      </c>
      <c r="CX97" s="19">
        <v>5.1559999999999997</v>
      </c>
      <c r="CY97" s="19">
        <v>3721.2782608695702</v>
      </c>
      <c r="CZ97" s="19">
        <v>18.129000000000001</v>
      </c>
      <c r="DA97" s="19">
        <v>3655.6956521739098</v>
      </c>
      <c r="DB97" s="19">
        <v>18.239000000000001</v>
      </c>
      <c r="DC97" s="19">
        <v>945.15652173912997</v>
      </c>
      <c r="DD97" s="19">
        <v>4.726</v>
      </c>
      <c r="DE97" s="19">
        <v>1688.2</v>
      </c>
      <c r="DF97" s="19">
        <v>8.0190000000000001</v>
      </c>
      <c r="DG97" s="19">
        <v>4498.4260869565196</v>
      </c>
      <c r="DH97" s="19">
        <v>21.555</v>
      </c>
      <c r="DI97" s="19">
        <v>3494.04347826087</v>
      </c>
      <c r="DJ97" s="19">
        <v>20.091999999999999</v>
      </c>
      <c r="DK97" s="19">
        <v>804.97391304347798</v>
      </c>
      <c r="DL97" s="19">
        <v>4.2709999999999999</v>
      </c>
      <c r="DM97" s="19">
        <v>3875.98260869565</v>
      </c>
      <c r="DN97" s="19">
        <v>21.803999999999998</v>
      </c>
      <c r="DO97" s="19">
        <v>2121.6347826086999</v>
      </c>
      <c r="DP97" s="19">
        <v>12.2</v>
      </c>
      <c r="DQ97" s="19">
        <v>3415.46956521739</v>
      </c>
      <c r="DR97" s="19">
        <v>23.106000000000002</v>
      </c>
      <c r="DS97" s="19">
        <v>2115.4173913043501</v>
      </c>
      <c r="DT97" s="19">
        <v>10.715999999999999</v>
      </c>
      <c r="DU97" s="19">
        <v>5131.5217391304304</v>
      </c>
      <c r="DV97" s="19">
        <v>39.344000000000001</v>
      </c>
      <c r="DW97" s="19">
        <v>1874.22608695652</v>
      </c>
      <c r="DX97" s="19">
        <v>14.37</v>
      </c>
      <c r="DY97" s="19">
        <v>8609.5913043478195</v>
      </c>
      <c r="DZ97" s="19">
        <v>66.34</v>
      </c>
      <c r="EA97" s="19">
        <v>5186.7652173913002</v>
      </c>
      <c r="EB97" s="19">
        <v>39.768000000000001</v>
      </c>
      <c r="EC97" s="19">
        <v>5033.1565217391299</v>
      </c>
      <c r="ED97" s="19">
        <v>36.177999999999997</v>
      </c>
      <c r="EE97" s="19">
        <v>3829.9652173913</v>
      </c>
      <c r="EF97" s="19">
        <v>23.285</v>
      </c>
      <c r="EG97" s="19">
        <v>1764.0956521739099</v>
      </c>
      <c r="EH97" s="19">
        <v>10.144</v>
      </c>
      <c r="EI97" s="19">
        <v>3555.98260869565</v>
      </c>
      <c r="EJ97" s="19">
        <v>20.448</v>
      </c>
      <c r="EK97" s="19">
        <v>2717.7652173913002</v>
      </c>
      <c r="EL97" s="19">
        <v>14.488</v>
      </c>
      <c r="EM97" s="19">
        <v>1135.3565217391299</v>
      </c>
      <c r="EN97" s="19">
        <v>5.9349999999999996</v>
      </c>
      <c r="EO97" s="19">
        <v>9697.6521739130403</v>
      </c>
      <c r="EP97" s="19">
        <v>64.841999999999999</v>
      </c>
      <c r="EQ97" s="19">
        <v>5274.98260869565</v>
      </c>
      <c r="ER97" s="19">
        <v>33.1</v>
      </c>
      <c r="ES97" s="119">
        <v>3109.8956521739101</v>
      </c>
      <c r="ET97" s="119">
        <v>18.824000000000002</v>
      </c>
    </row>
    <row r="98" spans="1:150" ht="16.5" customHeight="1" x14ac:dyDescent="0.35">
      <c r="A98" s="4">
        <v>202</v>
      </c>
      <c r="B98" s="4" t="str">
        <f>LOOKUP(A98,Lookup!$A$1:$A$34,Lookup!$B$1:$B$34)</f>
        <v>BEEF</v>
      </c>
      <c r="C98" s="5">
        <v>34177</v>
      </c>
      <c r="D98" s="6" t="s">
        <v>102</v>
      </c>
      <c r="E98" s="18">
        <v>0</v>
      </c>
      <c r="F98" s="18">
        <v>0</v>
      </c>
      <c r="G98" s="18">
        <v>0</v>
      </c>
      <c r="H98" s="18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>
        <v>0</v>
      </c>
      <c r="BW98" s="19">
        <v>0</v>
      </c>
      <c r="BX98" s="19">
        <v>0</v>
      </c>
      <c r="BY98" s="19">
        <v>0</v>
      </c>
      <c r="BZ98" s="19">
        <v>0</v>
      </c>
      <c r="CA98" s="19">
        <v>0</v>
      </c>
      <c r="CB98" s="19">
        <v>0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0</v>
      </c>
      <c r="DJ98" s="19">
        <v>0</v>
      </c>
      <c r="DK98" s="19">
        <v>0</v>
      </c>
      <c r="DL98" s="19">
        <v>0</v>
      </c>
      <c r="DM98" s="19">
        <v>0</v>
      </c>
      <c r="DN98" s="19">
        <v>0</v>
      </c>
      <c r="DO98" s="19">
        <v>0</v>
      </c>
      <c r="DP98" s="19">
        <v>0</v>
      </c>
      <c r="DQ98" s="19">
        <v>0</v>
      </c>
      <c r="DR98" s="19">
        <v>0</v>
      </c>
      <c r="DS98" s="19">
        <v>0</v>
      </c>
      <c r="DT98" s="19">
        <v>0</v>
      </c>
      <c r="DU98" s="19">
        <v>0</v>
      </c>
      <c r="DV98" s="19">
        <v>0</v>
      </c>
      <c r="DW98" s="19">
        <v>0</v>
      </c>
      <c r="DX98" s="19">
        <v>0</v>
      </c>
      <c r="DY98" s="19">
        <v>0</v>
      </c>
      <c r="DZ98" s="19">
        <v>0</v>
      </c>
      <c r="EA98" s="19">
        <v>0</v>
      </c>
      <c r="EB98" s="19">
        <v>0</v>
      </c>
      <c r="EC98" s="19">
        <v>0</v>
      </c>
      <c r="ED98" s="19">
        <v>0</v>
      </c>
      <c r="EE98" s="19">
        <v>0</v>
      </c>
      <c r="EF98" s="19">
        <v>0</v>
      </c>
      <c r="EG98" s="19">
        <v>0</v>
      </c>
      <c r="EH98" s="19">
        <v>0</v>
      </c>
      <c r="EI98" s="19">
        <v>0</v>
      </c>
      <c r="EJ98" s="19">
        <v>0</v>
      </c>
      <c r="EK98" s="19">
        <v>0</v>
      </c>
      <c r="EL98" s="19">
        <v>0</v>
      </c>
      <c r="EM98" s="19">
        <v>0</v>
      </c>
      <c r="EN98" s="19">
        <v>0</v>
      </c>
      <c r="EO98" s="19">
        <v>0</v>
      </c>
      <c r="EP98" s="19">
        <v>0</v>
      </c>
      <c r="EQ98" s="19">
        <v>0</v>
      </c>
      <c r="ER98" s="19">
        <v>0</v>
      </c>
      <c r="ES98" s="119">
        <v>0</v>
      </c>
      <c r="ET98" s="119">
        <v>0</v>
      </c>
    </row>
    <row r="99" spans="1:150" ht="16.5" customHeight="1" x14ac:dyDescent="0.35">
      <c r="A99" s="4">
        <v>202</v>
      </c>
      <c r="B99" s="4" t="str">
        <f>LOOKUP(A99,Lookup!$A$1:$A$34,Lookup!$B$1:$B$34)</f>
        <v>BEEF</v>
      </c>
      <c r="C99" s="5">
        <v>34178</v>
      </c>
      <c r="D99" s="6" t="s">
        <v>103</v>
      </c>
      <c r="E99" s="18">
        <v>0</v>
      </c>
      <c r="F99" s="18">
        <v>0</v>
      </c>
      <c r="G99" s="18">
        <v>0</v>
      </c>
      <c r="H99" s="18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>
        <v>0</v>
      </c>
      <c r="BW99" s="19">
        <v>0</v>
      </c>
      <c r="BX99" s="19">
        <v>0</v>
      </c>
      <c r="BY99" s="19">
        <v>0</v>
      </c>
      <c r="BZ99" s="19">
        <v>0</v>
      </c>
      <c r="CA99" s="19">
        <v>0</v>
      </c>
      <c r="CB99" s="19">
        <v>0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  <c r="DK99" s="19">
        <v>0</v>
      </c>
      <c r="DL99" s="19">
        <v>0</v>
      </c>
      <c r="DM99" s="19">
        <v>0</v>
      </c>
      <c r="DN99" s="19">
        <v>0</v>
      </c>
      <c r="DO99" s="19">
        <v>0</v>
      </c>
      <c r="DP99" s="19">
        <v>0</v>
      </c>
      <c r="DQ99" s="19">
        <v>0</v>
      </c>
      <c r="DR99" s="19">
        <v>0</v>
      </c>
      <c r="DS99" s="19">
        <v>0</v>
      </c>
      <c r="DT99" s="19">
        <v>0</v>
      </c>
      <c r="DU99" s="19">
        <v>0</v>
      </c>
      <c r="DV99" s="19">
        <v>0</v>
      </c>
      <c r="DW99" s="19">
        <v>0</v>
      </c>
      <c r="DX99" s="19">
        <v>0</v>
      </c>
      <c r="DY99" s="19">
        <v>0</v>
      </c>
      <c r="DZ99" s="19">
        <v>0</v>
      </c>
      <c r="EA99" s="19">
        <v>0</v>
      </c>
      <c r="EB99" s="19">
        <v>0</v>
      </c>
      <c r="EC99" s="19">
        <v>0</v>
      </c>
      <c r="ED99" s="19">
        <v>0</v>
      </c>
      <c r="EE99" s="19">
        <v>0</v>
      </c>
      <c r="EF99" s="19">
        <v>0</v>
      </c>
      <c r="EG99" s="19">
        <v>0</v>
      </c>
      <c r="EH99" s="19">
        <v>0</v>
      </c>
      <c r="EI99" s="19">
        <v>0</v>
      </c>
      <c r="EJ99" s="19">
        <v>0</v>
      </c>
      <c r="EK99" s="19">
        <v>0</v>
      </c>
      <c r="EL99" s="19">
        <v>0</v>
      </c>
      <c r="EM99" s="19">
        <v>0</v>
      </c>
      <c r="EN99" s="19">
        <v>0</v>
      </c>
      <c r="EO99" s="19">
        <v>0</v>
      </c>
      <c r="EP99" s="19">
        <v>0</v>
      </c>
      <c r="EQ99" s="19">
        <v>0</v>
      </c>
      <c r="ER99" s="19">
        <v>0</v>
      </c>
      <c r="ES99" s="119">
        <v>0</v>
      </c>
      <c r="ET99" s="119">
        <v>0</v>
      </c>
    </row>
    <row r="100" spans="1:150" ht="16.5" customHeight="1" x14ac:dyDescent="0.35">
      <c r="A100" s="4">
        <v>202</v>
      </c>
      <c r="B100" s="4" t="str">
        <f>LOOKUP(A100,Lookup!$A$1:$A$34,Lookup!$B$1:$B$34)</f>
        <v>BEEF</v>
      </c>
      <c r="C100" s="5">
        <v>34179</v>
      </c>
      <c r="D100" s="6" t="s">
        <v>104</v>
      </c>
      <c r="E100" s="18">
        <v>0</v>
      </c>
      <c r="F100" s="18">
        <v>0</v>
      </c>
      <c r="G100" s="18">
        <v>0</v>
      </c>
      <c r="H100" s="18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>
        <v>0</v>
      </c>
      <c r="BM100" s="19">
        <v>0</v>
      </c>
      <c r="BN100" s="19">
        <v>0</v>
      </c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>
        <v>0</v>
      </c>
      <c r="BW100" s="19">
        <v>0</v>
      </c>
      <c r="BX100" s="19">
        <v>0</v>
      </c>
      <c r="BY100" s="19">
        <v>0</v>
      </c>
      <c r="BZ100" s="19">
        <v>0</v>
      </c>
      <c r="CA100" s="19">
        <v>0</v>
      </c>
      <c r="CB100" s="19">
        <v>0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v>0</v>
      </c>
      <c r="DU100" s="19">
        <v>0</v>
      </c>
      <c r="DV100" s="19">
        <v>0</v>
      </c>
      <c r="DW100" s="19">
        <v>0</v>
      </c>
      <c r="DX100" s="19">
        <v>0</v>
      </c>
      <c r="DY100" s="19">
        <v>0</v>
      </c>
      <c r="DZ100" s="19">
        <v>0</v>
      </c>
      <c r="EA100" s="19">
        <v>0</v>
      </c>
      <c r="EB100" s="19">
        <v>0</v>
      </c>
      <c r="EC100" s="19">
        <v>0</v>
      </c>
      <c r="ED100" s="19">
        <v>0</v>
      </c>
      <c r="EE100" s="19">
        <v>0</v>
      </c>
      <c r="EF100" s="19">
        <v>0</v>
      </c>
      <c r="EG100" s="19">
        <v>0</v>
      </c>
      <c r="EH100" s="19">
        <v>0</v>
      </c>
      <c r="EI100" s="19">
        <v>0</v>
      </c>
      <c r="EJ100" s="19">
        <v>0</v>
      </c>
      <c r="EK100" s="19">
        <v>0</v>
      </c>
      <c r="EL100" s="19">
        <v>0</v>
      </c>
      <c r="EM100" s="19">
        <v>0</v>
      </c>
      <c r="EN100" s="19">
        <v>0</v>
      </c>
      <c r="EO100" s="19">
        <v>0</v>
      </c>
      <c r="EP100" s="19">
        <v>0</v>
      </c>
      <c r="EQ100" s="19">
        <v>0</v>
      </c>
      <c r="ER100" s="19">
        <v>0</v>
      </c>
      <c r="ES100" s="119">
        <v>0</v>
      </c>
      <c r="ET100" s="119">
        <v>0</v>
      </c>
    </row>
    <row r="101" spans="1:150" ht="16.5" customHeight="1" x14ac:dyDescent="0.35">
      <c r="A101" s="4">
        <v>202</v>
      </c>
      <c r="B101" s="4" t="str">
        <f>LOOKUP(A101,Lookup!$A$1:$A$34,Lookup!$B$1:$B$34)</f>
        <v>BEEF</v>
      </c>
      <c r="C101" s="5">
        <v>34180</v>
      </c>
      <c r="D101" s="6" t="s">
        <v>105</v>
      </c>
      <c r="E101" s="18">
        <v>0</v>
      </c>
      <c r="F101" s="18">
        <v>0</v>
      </c>
      <c r="G101" s="18">
        <v>0</v>
      </c>
      <c r="H101" s="18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  <c r="BL101" s="19">
        <v>0</v>
      </c>
      <c r="BM101" s="19">
        <v>0</v>
      </c>
      <c r="BN101" s="19">
        <v>0</v>
      </c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>
        <v>0</v>
      </c>
      <c r="BW101" s="19">
        <v>0</v>
      </c>
      <c r="BX101" s="19">
        <v>0</v>
      </c>
      <c r="BY101" s="19">
        <v>0</v>
      </c>
      <c r="BZ101" s="19">
        <v>0</v>
      </c>
      <c r="CA101" s="19">
        <v>0</v>
      </c>
      <c r="CB101" s="19">
        <v>0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19">
        <v>0</v>
      </c>
      <c r="DK101" s="19">
        <v>0</v>
      </c>
      <c r="DL101" s="19">
        <v>0</v>
      </c>
      <c r="DM101" s="19">
        <v>0</v>
      </c>
      <c r="DN101" s="19">
        <v>0</v>
      </c>
      <c r="DO101" s="19">
        <v>0</v>
      </c>
      <c r="DP101" s="19">
        <v>0</v>
      </c>
      <c r="DQ101" s="19">
        <v>0</v>
      </c>
      <c r="DR101" s="19">
        <v>0</v>
      </c>
      <c r="DS101" s="19">
        <v>0</v>
      </c>
      <c r="DT101" s="19">
        <v>0</v>
      </c>
      <c r="DU101" s="19">
        <v>0</v>
      </c>
      <c r="DV101" s="19">
        <v>0</v>
      </c>
      <c r="DW101" s="19">
        <v>0</v>
      </c>
      <c r="DX101" s="19">
        <v>0</v>
      </c>
      <c r="DY101" s="19">
        <v>0</v>
      </c>
      <c r="DZ101" s="19">
        <v>0</v>
      </c>
      <c r="EA101" s="19">
        <v>0</v>
      </c>
      <c r="EB101" s="19">
        <v>0</v>
      </c>
      <c r="EC101" s="19">
        <v>0</v>
      </c>
      <c r="ED101" s="19">
        <v>0</v>
      </c>
      <c r="EE101" s="19">
        <v>0</v>
      </c>
      <c r="EF101" s="19">
        <v>0</v>
      </c>
      <c r="EG101" s="19">
        <v>0</v>
      </c>
      <c r="EH101" s="19">
        <v>0</v>
      </c>
      <c r="EI101" s="19">
        <v>0</v>
      </c>
      <c r="EJ101" s="19">
        <v>0</v>
      </c>
      <c r="EK101" s="19">
        <v>0</v>
      </c>
      <c r="EL101" s="19">
        <v>0</v>
      </c>
      <c r="EM101" s="19">
        <v>0</v>
      </c>
      <c r="EN101" s="19">
        <v>0</v>
      </c>
      <c r="EO101" s="19">
        <v>0</v>
      </c>
      <c r="EP101" s="19">
        <v>0</v>
      </c>
      <c r="EQ101" s="19">
        <v>0</v>
      </c>
      <c r="ER101" s="19">
        <v>0</v>
      </c>
      <c r="ES101" s="119">
        <v>0</v>
      </c>
      <c r="ET101" s="119">
        <v>0</v>
      </c>
    </row>
    <row r="102" spans="1:150" ht="16.5" customHeight="1" x14ac:dyDescent="0.35">
      <c r="A102" s="4">
        <v>202</v>
      </c>
      <c r="B102" s="4" t="str">
        <f>LOOKUP(A102,Lookup!$A$1:$A$34,Lookup!$B$1:$B$34)</f>
        <v>BEEF</v>
      </c>
      <c r="C102" s="5">
        <v>34182</v>
      </c>
      <c r="D102" s="6" t="s">
        <v>106</v>
      </c>
      <c r="E102" s="18">
        <v>0</v>
      </c>
      <c r="F102" s="18">
        <v>0</v>
      </c>
      <c r="G102" s="18">
        <v>0</v>
      </c>
      <c r="H102" s="18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  <c r="BL102" s="19">
        <v>0</v>
      </c>
      <c r="BM102" s="19">
        <v>0</v>
      </c>
      <c r="BN102" s="19">
        <v>0</v>
      </c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>
        <v>0</v>
      </c>
      <c r="BW102" s="19">
        <v>0</v>
      </c>
      <c r="BX102" s="19">
        <v>0</v>
      </c>
      <c r="BY102" s="19">
        <v>0</v>
      </c>
      <c r="BZ102" s="19">
        <v>0</v>
      </c>
      <c r="CA102" s="19">
        <v>0</v>
      </c>
      <c r="CB102" s="19">
        <v>0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19">
        <v>0</v>
      </c>
      <c r="DK102" s="19">
        <v>0</v>
      </c>
      <c r="DL102" s="19">
        <v>0</v>
      </c>
      <c r="DM102" s="19">
        <v>0</v>
      </c>
      <c r="DN102" s="19">
        <v>0</v>
      </c>
      <c r="DO102" s="19">
        <v>0</v>
      </c>
      <c r="DP102" s="19">
        <v>0</v>
      </c>
      <c r="DQ102" s="19">
        <v>0</v>
      </c>
      <c r="DR102" s="19">
        <v>0</v>
      </c>
      <c r="DS102" s="19">
        <v>0</v>
      </c>
      <c r="DT102" s="19">
        <v>0</v>
      </c>
      <c r="DU102" s="19">
        <v>0</v>
      </c>
      <c r="DV102" s="19">
        <v>0</v>
      </c>
      <c r="DW102" s="19">
        <v>0</v>
      </c>
      <c r="DX102" s="19">
        <v>0</v>
      </c>
      <c r="DY102" s="19">
        <v>0</v>
      </c>
      <c r="DZ102" s="19">
        <v>0</v>
      </c>
      <c r="EA102" s="19">
        <v>0</v>
      </c>
      <c r="EB102" s="19">
        <v>0</v>
      </c>
      <c r="EC102" s="19">
        <v>0</v>
      </c>
      <c r="ED102" s="19">
        <v>0</v>
      </c>
      <c r="EE102" s="19">
        <v>0</v>
      </c>
      <c r="EF102" s="19">
        <v>0</v>
      </c>
      <c r="EG102" s="19">
        <v>0</v>
      </c>
      <c r="EH102" s="19">
        <v>0</v>
      </c>
      <c r="EI102" s="19">
        <v>0</v>
      </c>
      <c r="EJ102" s="19">
        <v>0</v>
      </c>
      <c r="EK102" s="19">
        <v>0</v>
      </c>
      <c r="EL102" s="19">
        <v>0</v>
      </c>
      <c r="EM102" s="19">
        <v>0</v>
      </c>
      <c r="EN102" s="19">
        <v>0</v>
      </c>
      <c r="EO102" s="19">
        <v>0</v>
      </c>
      <c r="EP102" s="19">
        <v>0</v>
      </c>
      <c r="EQ102" s="19">
        <v>0</v>
      </c>
      <c r="ER102" s="19">
        <v>0</v>
      </c>
      <c r="ES102" s="119">
        <v>0</v>
      </c>
      <c r="ET102" s="119">
        <v>0</v>
      </c>
    </row>
    <row r="103" spans="1:150" ht="16.5" customHeight="1" x14ac:dyDescent="0.35">
      <c r="A103" s="4">
        <v>202</v>
      </c>
      <c r="B103" s="4" t="str">
        <f>LOOKUP(A103,Lookup!$A$1:$A$34,Lookup!$B$1:$B$34)</f>
        <v>BEEF</v>
      </c>
      <c r="C103" s="5">
        <v>34184</v>
      </c>
      <c r="D103" s="6" t="s">
        <v>107</v>
      </c>
      <c r="E103" s="18">
        <v>173.78554807103501</v>
      </c>
      <c r="F103" s="18">
        <v>1.2070000000000001</v>
      </c>
      <c r="G103" s="18">
        <v>12338.7739130435</v>
      </c>
      <c r="H103" s="18">
        <v>85.700999999999993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138.84347826087</v>
      </c>
      <c r="BN103" s="19">
        <v>0.998</v>
      </c>
      <c r="BO103" s="19">
        <v>354.48695652173899</v>
      </c>
      <c r="BP103" s="19">
        <v>2.548</v>
      </c>
      <c r="BQ103" s="19">
        <v>941.59130434782605</v>
      </c>
      <c r="BR103" s="19">
        <v>6.7679999999999998</v>
      </c>
      <c r="BS103" s="19">
        <v>294.66086956521701</v>
      </c>
      <c r="BT103" s="19">
        <v>2.1179999999999999</v>
      </c>
      <c r="BU103" s="19">
        <v>358.66086956521701</v>
      </c>
      <c r="BV103" s="19">
        <v>2.5779999999999998</v>
      </c>
      <c r="BW103" s="19">
        <v>871.46086956521799</v>
      </c>
      <c r="BX103" s="19">
        <v>6.2640000000000002</v>
      </c>
      <c r="BY103" s="19">
        <v>1201.73043478261</v>
      </c>
      <c r="BZ103" s="19">
        <v>8.6379999999999999</v>
      </c>
      <c r="CA103" s="19">
        <v>402.33913043478299</v>
      </c>
      <c r="CB103" s="19">
        <v>2.8919999999999999</v>
      </c>
      <c r="CC103" s="19">
        <v>545.63478260869601</v>
      </c>
      <c r="CD103" s="19">
        <v>3.9220000000000002</v>
      </c>
      <c r="CE103" s="19">
        <v>556.76521739130396</v>
      </c>
      <c r="CF103" s="19">
        <v>4.0019999999999998</v>
      </c>
      <c r="CG103" s="19">
        <v>784.08695652173901</v>
      </c>
      <c r="CH103" s="19">
        <v>5.6360000000000001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207.539130434783</v>
      </c>
      <c r="CP103" s="19">
        <v>1.3260000000000001</v>
      </c>
      <c r="CQ103" s="19">
        <v>418.52173913043498</v>
      </c>
      <c r="CR103" s="19">
        <v>2.6739999999999999</v>
      </c>
      <c r="CS103" s="19">
        <v>0</v>
      </c>
      <c r="CT103" s="19">
        <v>0</v>
      </c>
      <c r="CU103" s="19">
        <v>422.27826086956497</v>
      </c>
      <c r="CV103" s="19">
        <v>2.6110000000000002</v>
      </c>
      <c r="CW103" s="19">
        <v>274.93913043478301</v>
      </c>
      <c r="CX103" s="19">
        <v>1.7</v>
      </c>
      <c r="CY103" s="19">
        <v>844.55652173912995</v>
      </c>
      <c r="CZ103" s="19">
        <v>5.2220000000000004</v>
      </c>
      <c r="DA103" s="19">
        <v>935.452173913043</v>
      </c>
      <c r="DB103" s="19">
        <v>5.7839999999999998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0</v>
      </c>
      <c r="DI103" s="19">
        <v>0</v>
      </c>
      <c r="DJ103" s="19">
        <v>0</v>
      </c>
      <c r="DK103" s="19">
        <v>444.07826086956499</v>
      </c>
      <c r="DL103" s="19">
        <v>3.1920000000000002</v>
      </c>
      <c r="DM103" s="19">
        <v>765.730434782609</v>
      </c>
      <c r="DN103" s="19">
        <v>5.5039999999999996</v>
      </c>
      <c r="DO103" s="19">
        <v>173.90434782608699</v>
      </c>
      <c r="DP103" s="19">
        <v>1.25</v>
      </c>
      <c r="DQ103" s="19">
        <v>1183.0956521739099</v>
      </c>
      <c r="DR103" s="19">
        <v>8.5039999999999996</v>
      </c>
      <c r="DS103" s="19">
        <v>218.417391304348</v>
      </c>
      <c r="DT103" s="19">
        <v>1.57</v>
      </c>
      <c r="DU103" s="19">
        <v>0</v>
      </c>
      <c r="DV103" s="19">
        <v>0</v>
      </c>
      <c r="DW103" s="19">
        <v>0</v>
      </c>
      <c r="DX103" s="19">
        <v>0</v>
      </c>
      <c r="DY103" s="19">
        <v>0</v>
      </c>
      <c r="DZ103" s="19">
        <v>0</v>
      </c>
      <c r="EA103" s="19">
        <v>0</v>
      </c>
      <c r="EB103" s="19">
        <v>0</v>
      </c>
      <c r="EC103" s="19">
        <v>0</v>
      </c>
      <c r="ED103" s="19">
        <v>0</v>
      </c>
      <c r="EE103" s="19">
        <v>0</v>
      </c>
      <c r="EF103" s="19">
        <v>0</v>
      </c>
      <c r="EG103" s="19">
        <v>0</v>
      </c>
      <c r="EH103" s="19">
        <v>0</v>
      </c>
      <c r="EI103" s="19">
        <v>0</v>
      </c>
      <c r="EJ103" s="19">
        <v>0</v>
      </c>
      <c r="EK103" s="19">
        <v>0</v>
      </c>
      <c r="EL103" s="19">
        <v>0</v>
      </c>
      <c r="EM103" s="19">
        <v>0</v>
      </c>
      <c r="EN103" s="19">
        <v>0</v>
      </c>
      <c r="EO103" s="19">
        <v>0</v>
      </c>
      <c r="EP103" s="19">
        <v>0</v>
      </c>
      <c r="EQ103" s="19">
        <v>0</v>
      </c>
      <c r="ER103" s="19">
        <v>0</v>
      </c>
      <c r="ES103" s="119">
        <v>0</v>
      </c>
      <c r="ET103" s="119">
        <v>0</v>
      </c>
    </row>
    <row r="104" spans="1:150" ht="16.5" customHeight="1" x14ac:dyDescent="0.35">
      <c r="A104" s="4">
        <v>202</v>
      </c>
      <c r="B104" s="4" t="str">
        <f>LOOKUP(A104,Lookup!$A$1:$A$34,Lookup!$B$1:$B$34)</f>
        <v>BEEF</v>
      </c>
      <c r="C104" s="5">
        <v>34185</v>
      </c>
      <c r="D104" s="6" t="s">
        <v>108</v>
      </c>
      <c r="E104" s="18">
        <v>0</v>
      </c>
      <c r="F104" s="18">
        <v>0</v>
      </c>
      <c r="G104" s="18">
        <v>0</v>
      </c>
      <c r="H104" s="18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0</v>
      </c>
      <c r="BP104" s="19">
        <v>0</v>
      </c>
      <c r="BQ104" s="19">
        <v>0</v>
      </c>
      <c r="BR104" s="19">
        <v>0</v>
      </c>
      <c r="BS104" s="19">
        <v>0</v>
      </c>
      <c r="BT104" s="19">
        <v>0</v>
      </c>
      <c r="BU104" s="19">
        <v>0</v>
      </c>
      <c r="BV104" s="19">
        <v>0</v>
      </c>
      <c r="BW104" s="19">
        <v>0</v>
      </c>
      <c r="BX104" s="19">
        <v>0</v>
      </c>
      <c r="BY104" s="19">
        <v>0</v>
      </c>
      <c r="BZ104" s="19">
        <v>0</v>
      </c>
      <c r="CA104" s="19">
        <v>0</v>
      </c>
      <c r="CB104" s="19">
        <v>0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  <c r="DH104" s="19">
        <v>0</v>
      </c>
      <c r="DI104" s="19">
        <v>0</v>
      </c>
      <c r="DJ104" s="19">
        <v>0</v>
      </c>
      <c r="DK104" s="19">
        <v>0</v>
      </c>
      <c r="DL104" s="19">
        <v>0</v>
      </c>
      <c r="DM104" s="19">
        <v>0</v>
      </c>
      <c r="DN104" s="19">
        <v>0</v>
      </c>
      <c r="DO104" s="19">
        <v>0</v>
      </c>
      <c r="DP104" s="19">
        <v>0</v>
      </c>
      <c r="DQ104" s="19">
        <v>0</v>
      </c>
      <c r="DR104" s="19">
        <v>0</v>
      </c>
      <c r="DS104" s="19">
        <v>0</v>
      </c>
      <c r="DT104" s="19">
        <v>0</v>
      </c>
      <c r="DU104" s="19">
        <v>0</v>
      </c>
      <c r="DV104" s="19">
        <v>0</v>
      </c>
      <c r="DW104" s="19">
        <v>0</v>
      </c>
      <c r="DX104" s="19">
        <v>0</v>
      </c>
      <c r="DY104" s="19">
        <v>0</v>
      </c>
      <c r="DZ104" s="19">
        <v>0</v>
      </c>
      <c r="EA104" s="19">
        <v>0</v>
      </c>
      <c r="EB104" s="19">
        <v>0</v>
      </c>
      <c r="EC104" s="19">
        <v>0</v>
      </c>
      <c r="ED104" s="19">
        <v>0</v>
      </c>
      <c r="EE104" s="19">
        <v>0</v>
      </c>
      <c r="EF104" s="19">
        <v>0</v>
      </c>
      <c r="EG104" s="19">
        <v>0</v>
      </c>
      <c r="EH104" s="19">
        <v>0</v>
      </c>
      <c r="EI104" s="19">
        <v>0</v>
      </c>
      <c r="EJ104" s="19">
        <v>0</v>
      </c>
      <c r="EK104" s="19">
        <v>0</v>
      </c>
      <c r="EL104" s="19">
        <v>0</v>
      </c>
      <c r="EM104" s="19">
        <v>0</v>
      </c>
      <c r="EN104" s="19">
        <v>0</v>
      </c>
      <c r="EO104" s="19">
        <v>0</v>
      </c>
      <c r="EP104" s="19">
        <v>0</v>
      </c>
      <c r="EQ104" s="19">
        <v>0</v>
      </c>
      <c r="ER104" s="19">
        <v>0</v>
      </c>
      <c r="ES104" s="119">
        <v>0</v>
      </c>
      <c r="ET104" s="119">
        <v>0</v>
      </c>
    </row>
    <row r="105" spans="1:150" ht="16.5" customHeight="1" x14ac:dyDescent="0.35">
      <c r="A105" s="4">
        <v>202</v>
      </c>
      <c r="B105" s="4" t="str">
        <f>LOOKUP(A105,Lookup!$A$1:$A$34,Lookup!$B$1:$B$34)</f>
        <v>BEEF</v>
      </c>
      <c r="C105" s="5">
        <v>34191</v>
      </c>
      <c r="D105" s="6" t="s">
        <v>91</v>
      </c>
      <c r="E105" s="18">
        <v>0</v>
      </c>
      <c r="F105" s="18">
        <v>0</v>
      </c>
      <c r="G105" s="18">
        <v>0</v>
      </c>
      <c r="H105" s="18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>
        <v>0</v>
      </c>
      <c r="BW105" s="19">
        <v>0</v>
      </c>
      <c r="BX105" s="19">
        <v>0</v>
      </c>
      <c r="BY105" s="19">
        <v>0</v>
      </c>
      <c r="BZ105" s="19">
        <v>0</v>
      </c>
      <c r="CA105" s="19">
        <v>0</v>
      </c>
      <c r="CB105" s="19">
        <v>0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19">
        <v>0</v>
      </c>
      <c r="DK105" s="19">
        <v>0</v>
      </c>
      <c r="DL105" s="19">
        <v>0</v>
      </c>
      <c r="DM105" s="19">
        <v>0</v>
      </c>
      <c r="DN105" s="19">
        <v>0</v>
      </c>
      <c r="DO105" s="19">
        <v>0</v>
      </c>
      <c r="DP105" s="19">
        <v>0</v>
      </c>
      <c r="DQ105" s="19">
        <v>0</v>
      </c>
      <c r="DR105" s="19">
        <v>0</v>
      </c>
      <c r="DS105" s="19">
        <v>0</v>
      </c>
      <c r="DT105" s="19">
        <v>0</v>
      </c>
      <c r="DU105" s="19">
        <v>0</v>
      </c>
      <c r="DV105" s="19">
        <v>0</v>
      </c>
      <c r="DW105" s="19">
        <v>0</v>
      </c>
      <c r="DX105" s="19">
        <v>0</v>
      </c>
      <c r="DY105" s="19">
        <v>0</v>
      </c>
      <c r="DZ105" s="19">
        <v>0</v>
      </c>
      <c r="EA105" s="19">
        <v>0</v>
      </c>
      <c r="EB105" s="19">
        <v>0</v>
      </c>
      <c r="EC105" s="19">
        <v>0</v>
      </c>
      <c r="ED105" s="19">
        <v>0</v>
      </c>
      <c r="EE105" s="19">
        <v>0</v>
      </c>
      <c r="EF105" s="19">
        <v>0</v>
      </c>
      <c r="EG105" s="19">
        <v>0</v>
      </c>
      <c r="EH105" s="19">
        <v>0</v>
      </c>
      <c r="EI105" s="19">
        <v>0</v>
      </c>
      <c r="EJ105" s="19">
        <v>0</v>
      </c>
      <c r="EK105" s="19">
        <v>0</v>
      </c>
      <c r="EL105" s="19">
        <v>0</v>
      </c>
      <c r="EM105" s="19">
        <v>0</v>
      </c>
      <c r="EN105" s="19">
        <v>0</v>
      </c>
      <c r="EO105" s="19">
        <v>0</v>
      </c>
      <c r="EP105" s="19">
        <v>0</v>
      </c>
      <c r="EQ105" s="19">
        <v>0</v>
      </c>
      <c r="ER105" s="19">
        <v>0</v>
      </c>
      <c r="ES105" s="119">
        <v>0</v>
      </c>
      <c r="ET105" s="119">
        <v>0</v>
      </c>
    </row>
    <row r="106" spans="1:150" ht="16.5" customHeight="1" x14ac:dyDescent="0.35">
      <c r="A106" s="4">
        <v>202</v>
      </c>
      <c r="B106" s="4" t="str">
        <f>LOOKUP(A106,Lookup!$A$1:$A$34,Lookup!$B$1:$B$34)</f>
        <v>BEEF</v>
      </c>
      <c r="C106" s="5">
        <v>34205</v>
      </c>
      <c r="D106" s="6" t="s">
        <v>109</v>
      </c>
      <c r="E106" s="18">
        <v>979.04531537048399</v>
      </c>
      <c r="F106" s="18">
        <v>6.1050000000000004</v>
      </c>
      <c r="G106" s="18">
        <v>69512.217391304395</v>
      </c>
      <c r="H106" s="18">
        <v>433.47699999999998</v>
      </c>
      <c r="I106" s="19">
        <v>1565.0869565217399</v>
      </c>
      <c r="J106" s="19">
        <v>10.587999999999999</v>
      </c>
      <c r="K106" s="19">
        <v>1656.47826086957</v>
      </c>
      <c r="L106" s="19">
        <v>11.821999999999999</v>
      </c>
      <c r="M106" s="19">
        <v>743.46956521739105</v>
      </c>
      <c r="N106" s="19">
        <v>5.3440000000000003</v>
      </c>
      <c r="O106" s="19">
        <v>2000.6869565217401</v>
      </c>
      <c r="P106" s="19">
        <v>13.535</v>
      </c>
      <c r="Q106" s="19">
        <v>407.08695652173901</v>
      </c>
      <c r="R106" s="19">
        <v>2.754</v>
      </c>
      <c r="S106" s="19">
        <v>248.03478260869599</v>
      </c>
      <c r="T106" s="19">
        <v>1.6779999999999999</v>
      </c>
      <c r="U106" s="19">
        <v>859.49565217391296</v>
      </c>
      <c r="V106" s="19">
        <v>6.1779999999999999</v>
      </c>
      <c r="W106" s="19">
        <v>886.2</v>
      </c>
      <c r="X106" s="19">
        <v>6.37</v>
      </c>
      <c r="Y106" s="19">
        <v>909.37391304347796</v>
      </c>
      <c r="Z106" s="19">
        <v>6.1520000000000001</v>
      </c>
      <c r="AA106" s="19">
        <v>274.93913043478301</v>
      </c>
      <c r="AB106" s="19">
        <v>1.86</v>
      </c>
      <c r="AC106" s="19">
        <v>605.46086956521697</v>
      </c>
      <c r="AD106" s="19">
        <v>4.0960000000000001</v>
      </c>
      <c r="AE106" s="19">
        <v>744.10434782608695</v>
      </c>
      <c r="AF106" s="19">
        <v>5.0339999999999998</v>
      </c>
      <c r="AG106" s="19">
        <v>425.72173913043503</v>
      </c>
      <c r="AH106" s="19">
        <v>2.88</v>
      </c>
      <c r="AI106" s="19">
        <v>1207.3652173912999</v>
      </c>
      <c r="AJ106" s="19">
        <v>8.1679999999999993</v>
      </c>
      <c r="AK106" s="19">
        <v>885.93913043478301</v>
      </c>
      <c r="AL106" s="19">
        <v>6.3680000000000003</v>
      </c>
      <c r="AM106" s="19">
        <v>582.08695652173901</v>
      </c>
      <c r="AN106" s="19">
        <v>4.1840000000000002</v>
      </c>
      <c r="AO106" s="19">
        <v>1665.24347826087</v>
      </c>
      <c r="AP106" s="19">
        <v>11.374000000000001</v>
      </c>
      <c r="AQ106" s="19">
        <v>1113.6608695652201</v>
      </c>
      <c r="AR106" s="19">
        <v>6.9409999999999998</v>
      </c>
      <c r="AS106" s="19">
        <v>395.51304347826101</v>
      </c>
      <c r="AT106" s="19">
        <v>2.3940000000000001</v>
      </c>
      <c r="AU106" s="19">
        <v>756.03478260869599</v>
      </c>
      <c r="AV106" s="19">
        <v>5.2039999999999997</v>
      </c>
      <c r="AW106" s="19">
        <v>571.52173913043498</v>
      </c>
      <c r="AX106" s="19">
        <v>4.1079999999999997</v>
      </c>
      <c r="AY106" s="19">
        <v>1245.0869565217399</v>
      </c>
      <c r="AZ106" s="19">
        <v>6.819</v>
      </c>
      <c r="BA106" s="19">
        <v>782.84347826087003</v>
      </c>
      <c r="BB106" s="19">
        <v>4.8339999999999996</v>
      </c>
      <c r="BC106" s="19">
        <v>1213.29565217391</v>
      </c>
      <c r="BD106" s="19">
        <v>7.3440000000000003</v>
      </c>
      <c r="BE106" s="19">
        <v>1162.74782608696</v>
      </c>
      <c r="BF106" s="19">
        <v>6.8620000000000001</v>
      </c>
      <c r="BG106" s="19">
        <v>305.58260869565203</v>
      </c>
      <c r="BH106" s="19">
        <v>1.528</v>
      </c>
      <c r="BI106" s="19">
        <v>0</v>
      </c>
      <c r="BJ106" s="19">
        <v>0</v>
      </c>
      <c r="BK106" s="19">
        <v>280.44347826086999</v>
      </c>
      <c r="BL106" s="19">
        <v>1.466</v>
      </c>
      <c r="BM106" s="19">
        <v>0</v>
      </c>
      <c r="BN106" s="19">
        <v>0</v>
      </c>
      <c r="BO106" s="19">
        <v>639.58260869565197</v>
      </c>
      <c r="BP106" s="19">
        <v>3.9340000000000002</v>
      </c>
      <c r="BQ106" s="19">
        <v>0</v>
      </c>
      <c r="BR106" s="19">
        <v>0</v>
      </c>
      <c r="BS106" s="19">
        <v>1054.8956521739101</v>
      </c>
      <c r="BT106" s="19">
        <v>6.0659999999999998</v>
      </c>
      <c r="BU106" s="19">
        <v>1458.3739130434799</v>
      </c>
      <c r="BV106" s="19">
        <v>9.8659999999999997</v>
      </c>
      <c r="BW106" s="19">
        <v>1265.49565217391</v>
      </c>
      <c r="BX106" s="19">
        <v>7.4640000000000004</v>
      </c>
      <c r="BY106" s="19">
        <v>1446.2</v>
      </c>
      <c r="BZ106" s="19">
        <v>7.92</v>
      </c>
      <c r="CA106" s="19">
        <v>2274.1043478260899</v>
      </c>
      <c r="CB106" s="19">
        <v>12.454000000000001</v>
      </c>
      <c r="CC106" s="19">
        <v>750.46086956521697</v>
      </c>
      <c r="CD106" s="19">
        <v>3.923</v>
      </c>
      <c r="CE106" s="19">
        <v>2088.1913043478298</v>
      </c>
      <c r="CF106" s="19">
        <v>10.916</v>
      </c>
      <c r="CG106" s="19">
        <v>718.22608695652195</v>
      </c>
      <c r="CH106" s="19">
        <v>4.13</v>
      </c>
      <c r="CI106" s="19">
        <v>665.00869565217397</v>
      </c>
      <c r="CJ106" s="19">
        <v>3.8239999999999998</v>
      </c>
      <c r="CK106" s="19">
        <v>2154.6782608695698</v>
      </c>
      <c r="CL106" s="19">
        <v>11.8</v>
      </c>
      <c r="CM106" s="19">
        <v>1704.3826086956501</v>
      </c>
      <c r="CN106" s="19">
        <v>9.0749999999999993</v>
      </c>
      <c r="CO106" s="19">
        <v>324.15652173913003</v>
      </c>
      <c r="CP106" s="19">
        <v>1.8640000000000001</v>
      </c>
      <c r="CQ106" s="19">
        <v>814.91304347826099</v>
      </c>
      <c r="CR106" s="19">
        <v>4.6859999999999999</v>
      </c>
      <c r="CS106" s="19">
        <v>1103.94782608696</v>
      </c>
      <c r="CT106" s="19">
        <v>6.3479999999999999</v>
      </c>
      <c r="CU106" s="19">
        <v>537.91304347826099</v>
      </c>
      <c r="CV106" s="19">
        <v>2.8639999999999999</v>
      </c>
      <c r="CW106" s="19">
        <v>318.53913043478298</v>
      </c>
      <c r="CX106" s="19">
        <v>1.696</v>
      </c>
      <c r="CY106" s="19">
        <v>1264.77391304348</v>
      </c>
      <c r="CZ106" s="19">
        <v>6.5739999999999998</v>
      </c>
      <c r="DA106" s="19">
        <v>1158.26086956522</v>
      </c>
      <c r="DB106" s="19">
        <v>5.92</v>
      </c>
      <c r="DC106" s="19">
        <v>0</v>
      </c>
      <c r="DD106" s="19">
        <v>0</v>
      </c>
      <c r="DE106" s="19">
        <v>1411.04347826087</v>
      </c>
      <c r="DF106" s="19">
        <v>7.2119999999999997</v>
      </c>
      <c r="DG106" s="19">
        <v>302.86956521739103</v>
      </c>
      <c r="DH106" s="19">
        <v>1.548</v>
      </c>
      <c r="DI106" s="19">
        <v>1006.91304347826</v>
      </c>
      <c r="DJ106" s="19">
        <v>5.79</v>
      </c>
      <c r="DK106" s="19">
        <v>1215.6173913043499</v>
      </c>
      <c r="DL106" s="19">
        <v>7.06</v>
      </c>
      <c r="DM106" s="19">
        <v>1260.8173913043499</v>
      </c>
      <c r="DN106" s="19">
        <v>7.25</v>
      </c>
      <c r="DO106" s="19">
        <v>1406.8869565217401</v>
      </c>
      <c r="DP106" s="19">
        <v>8.09</v>
      </c>
      <c r="DQ106" s="19">
        <v>1146.4086956521701</v>
      </c>
      <c r="DR106" s="19">
        <v>7.266</v>
      </c>
      <c r="DS106" s="19">
        <v>1374.6086956521699</v>
      </c>
      <c r="DT106" s="19">
        <v>7.0259999999999998</v>
      </c>
      <c r="DU106" s="19">
        <v>2368.5739130434799</v>
      </c>
      <c r="DV106" s="19">
        <v>18.228000000000002</v>
      </c>
      <c r="DW106" s="19">
        <v>642.730434782609</v>
      </c>
      <c r="DX106" s="19">
        <v>4.9279999999999999</v>
      </c>
      <c r="DY106" s="19">
        <v>1815.73043478261</v>
      </c>
      <c r="DZ106" s="19">
        <v>14.061999999999999</v>
      </c>
      <c r="EA106" s="19">
        <v>1772.0869565217399</v>
      </c>
      <c r="EB106" s="19">
        <v>13.67</v>
      </c>
      <c r="EC106" s="19">
        <v>1484.1391304347801</v>
      </c>
      <c r="ED106" s="19">
        <v>10.667999999999999</v>
      </c>
      <c r="EE106" s="19">
        <v>1337.50434782609</v>
      </c>
      <c r="EF106" s="19">
        <v>7.4160000000000004</v>
      </c>
      <c r="EG106" s="19">
        <v>502.591304347826</v>
      </c>
      <c r="EH106" s="19">
        <v>2.89</v>
      </c>
      <c r="EI106" s="19">
        <v>993</v>
      </c>
      <c r="EJ106" s="19">
        <v>5.71</v>
      </c>
      <c r="EK106" s="19">
        <v>1009.33043478261</v>
      </c>
      <c r="EL106" s="19">
        <v>5.351</v>
      </c>
      <c r="EM106" s="19">
        <v>602.4</v>
      </c>
      <c r="EN106" s="19">
        <v>3.149</v>
      </c>
      <c r="EO106" s="19">
        <v>0</v>
      </c>
      <c r="EP106" s="19">
        <v>0</v>
      </c>
      <c r="EQ106" s="19">
        <v>2623.3565217391301</v>
      </c>
      <c r="ER106" s="19">
        <v>18.954000000000001</v>
      </c>
      <c r="ES106" s="119">
        <v>0</v>
      </c>
      <c r="ET106" s="119">
        <v>0</v>
      </c>
    </row>
    <row r="107" spans="1:150" ht="16.5" customHeight="1" x14ac:dyDescent="0.35">
      <c r="A107" s="4">
        <v>202</v>
      </c>
      <c r="B107" s="4" t="str">
        <f>LOOKUP(A107,Lookup!$A$1:$A$34,Lookup!$B$1:$B$34)</f>
        <v>BEEF</v>
      </c>
      <c r="C107" s="5">
        <v>34206</v>
      </c>
      <c r="D107" s="6" t="s">
        <v>110</v>
      </c>
      <c r="E107" s="18">
        <v>0</v>
      </c>
      <c r="F107" s="18">
        <v>0</v>
      </c>
      <c r="G107" s="18">
        <v>0</v>
      </c>
      <c r="H107" s="18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>
        <v>0</v>
      </c>
      <c r="BW107" s="19">
        <v>0</v>
      </c>
      <c r="BX107" s="19">
        <v>0</v>
      </c>
      <c r="BY107" s="19">
        <v>0</v>
      </c>
      <c r="BZ107" s="19">
        <v>0</v>
      </c>
      <c r="CA107" s="19">
        <v>0</v>
      </c>
      <c r="CB107" s="19">
        <v>0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  <c r="DK107" s="19">
        <v>0</v>
      </c>
      <c r="DL107" s="19">
        <v>0</v>
      </c>
      <c r="DM107" s="19">
        <v>0</v>
      </c>
      <c r="DN107" s="19">
        <v>0</v>
      </c>
      <c r="DO107" s="19">
        <v>0</v>
      </c>
      <c r="DP107" s="19">
        <v>0</v>
      </c>
      <c r="DQ107" s="19">
        <v>0</v>
      </c>
      <c r="DR107" s="19">
        <v>0</v>
      </c>
      <c r="DS107" s="19">
        <v>0</v>
      </c>
      <c r="DT107" s="19">
        <v>0</v>
      </c>
      <c r="DU107" s="19">
        <v>0</v>
      </c>
      <c r="DV107" s="19">
        <v>0</v>
      </c>
      <c r="DW107" s="19">
        <v>0</v>
      </c>
      <c r="DX107" s="19">
        <v>0</v>
      </c>
      <c r="DY107" s="19">
        <v>0</v>
      </c>
      <c r="DZ107" s="19">
        <v>0</v>
      </c>
      <c r="EA107" s="19">
        <v>0</v>
      </c>
      <c r="EB107" s="19">
        <v>0</v>
      </c>
      <c r="EC107" s="19">
        <v>0</v>
      </c>
      <c r="ED107" s="19">
        <v>0</v>
      </c>
      <c r="EE107" s="19">
        <v>0</v>
      </c>
      <c r="EF107" s="19">
        <v>0</v>
      </c>
      <c r="EG107" s="19">
        <v>0</v>
      </c>
      <c r="EH107" s="19">
        <v>0</v>
      </c>
      <c r="EI107" s="19">
        <v>0</v>
      </c>
      <c r="EJ107" s="19">
        <v>0</v>
      </c>
      <c r="EK107" s="19">
        <v>0</v>
      </c>
      <c r="EL107" s="19">
        <v>0</v>
      </c>
      <c r="EM107" s="19">
        <v>0</v>
      </c>
      <c r="EN107" s="19">
        <v>0</v>
      </c>
      <c r="EO107" s="19">
        <v>0</v>
      </c>
      <c r="EP107" s="19">
        <v>0</v>
      </c>
      <c r="EQ107" s="19">
        <v>0</v>
      </c>
      <c r="ER107" s="19">
        <v>0</v>
      </c>
      <c r="ES107" s="119">
        <v>0</v>
      </c>
      <c r="ET107" s="119">
        <v>0</v>
      </c>
    </row>
    <row r="108" spans="1:150" ht="16.5" customHeight="1" x14ac:dyDescent="0.35">
      <c r="A108" s="4">
        <v>202</v>
      </c>
      <c r="B108" s="4" t="str">
        <f>LOOKUP(A108,Lookup!$A$1:$A$34,Lookup!$B$1:$B$34)</f>
        <v>BEEF</v>
      </c>
      <c r="C108" s="5">
        <v>34207</v>
      </c>
      <c r="D108" s="6" t="s">
        <v>111</v>
      </c>
      <c r="E108" s="18">
        <v>341.36497244335601</v>
      </c>
      <c r="F108" s="18">
        <v>3.4940000000000002</v>
      </c>
      <c r="G108" s="18">
        <v>24236.9130434783</v>
      </c>
      <c r="H108" s="18">
        <v>248.078</v>
      </c>
      <c r="I108" s="19">
        <v>342.573913043478</v>
      </c>
      <c r="J108" s="19">
        <v>3.94</v>
      </c>
      <c r="K108" s="19">
        <v>398.55652173913001</v>
      </c>
      <c r="L108" s="19">
        <v>4.5839999999999996</v>
      </c>
      <c r="M108" s="19">
        <v>70.078260869565199</v>
      </c>
      <c r="N108" s="19">
        <v>0.80600000000000005</v>
      </c>
      <c r="O108" s="19">
        <v>0</v>
      </c>
      <c r="P108" s="19">
        <v>0</v>
      </c>
      <c r="Q108" s="19">
        <v>286.34782608695701</v>
      </c>
      <c r="R108" s="19">
        <v>2.9940000000000002</v>
      </c>
      <c r="S108" s="19">
        <v>438.017391304348</v>
      </c>
      <c r="T108" s="19">
        <v>4.58</v>
      </c>
      <c r="U108" s="19">
        <v>208.304347826087</v>
      </c>
      <c r="V108" s="19">
        <v>2.1779999999999999</v>
      </c>
      <c r="W108" s="19">
        <v>415.46086956521702</v>
      </c>
      <c r="X108" s="19">
        <v>4.3440000000000003</v>
      </c>
      <c r="Y108" s="19">
        <v>325.18260869565199</v>
      </c>
      <c r="Z108" s="19">
        <v>3.4</v>
      </c>
      <c r="AA108" s="19">
        <v>545.13913043478306</v>
      </c>
      <c r="AB108" s="19">
        <v>5.7439999999999998</v>
      </c>
      <c r="AC108" s="19">
        <v>0</v>
      </c>
      <c r="AD108" s="19">
        <v>0</v>
      </c>
      <c r="AE108" s="19">
        <v>286.15652173913003</v>
      </c>
      <c r="AF108" s="19">
        <v>2.992</v>
      </c>
      <c r="AG108" s="19">
        <v>1268.98260869565</v>
      </c>
      <c r="AH108" s="19">
        <v>13.268000000000001</v>
      </c>
      <c r="AI108" s="19">
        <v>1820.8173913043499</v>
      </c>
      <c r="AJ108" s="19">
        <v>19.038</v>
      </c>
      <c r="AK108" s="19">
        <v>970.94782608695596</v>
      </c>
      <c r="AL108" s="19">
        <v>10.747999999999999</v>
      </c>
      <c r="AM108" s="19">
        <v>785.6</v>
      </c>
      <c r="AN108" s="19">
        <v>8.2140000000000004</v>
      </c>
      <c r="AO108" s="19">
        <v>175.21739130434801</v>
      </c>
      <c r="AP108" s="19">
        <v>1.8320000000000001</v>
      </c>
      <c r="AQ108" s="19">
        <v>683.452173913043</v>
      </c>
      <c r="AR108" s="19">
        <v>7.1459999999999999</v>
      </c>
      <c r="AS108" s="19">
        <v>1464.20869565217</v>
      </c>
      <c r="AT108" s="19">
        <v>16.866</v>
      </c>
      <c r="AU108" s="19">
        <v>1594.2347826087</v>
      </c>
      <c r="AV108" s="19">
        <v>18.335999999999999</v>
      </c>
      <c r="AW108" s="19">
        <v>1275.74782608696</v>
      </c>
      <c r="AX108" s="19">
        <v>14.385999999999999</v>
      </c>
      <c r="AY108" s="19">
        <v>1017.06956521739</v>
      </c>
      <c r="AZ108" s="19">
        <v>10.634</v>
      </c>
      <c r="BA108" s="19">
        <v>643.80869565217404</v>
      </c>
      <c r="BB108" s="19">
        <v>7.4359999999999999</v>
      </c>
      <c r="BC108" s="19">
        <v>203.452173913043</v>
      </c>
      <c r="BD108" s="19">
        <v>2.1269999999999998</v>
      </c>
      <c r="BE108" s="19">
        <v>96.495652173913001</v>
      </c>
      <c r="BF108" s="19">
        <v>0.79300000000000004</v>
      </c>
      <c r="BG108" s="19">
        <v>73.765217391304304</v>
      </c>
      <c r="BH108" s="19">
        <v>0.60599999999999998</v>
      </c>
      <c r="BI108" s="19">
        <v>0</v>
      </c>
      <c r="BJ108" s="19">
        <v>0</v>
      </c>
      <c r="BK108" s="19">
        <v>139.704347826087</v>
      </c>
      <c r="BL108" s="19">
        <v>1.236</v>
      </c>
      <c r="BM108" s="19">
        <v>0</v>
      </c>
      <c r="BN108" s="19">
        <v>0</v>
      </c>
      <c r="BO108" s="19">
        <v>600.41739130434803</v>
      </c>
      <c r="BP108" s="19">
        <v>4.9329999999999998</v>
      </c>
      <c r="BQ108" s="19">
        <v>0</v>
      </c>
      <c r="BR108" s="19">
        <v>0</v>
      </c>
      <c r="BS108" s="19">
        <v>511.408695652174</v>
      </c>
      <c r="BT108" s="19">
        <v>5.8819999999999997</v>
      </c>
      <c r="BU108" s="19">
        <v>929.61739130434796</v>
      </c>
      <c r="BV108" s="19">
        <v>10.692</v>
      </c>
      <c r="BW108" s="19">
        <v>201.19130434782599</v>
      </c>
      <c r="BX108" s="19">
        <v>2.3140000000000001</v>
      </c>
      <c r="BY108" s="19">
        <v>0</v>
      </c>
      <c r="BZ108" s="19">
        <v>0</v>
      </c>
      <c r="CA108" s="19">
        <v>0</v>
      </c>
      <c r="CB108" s="19">
        <v>0</v>
      </c>
      <c r="CC108" s="19">
        <v>0</v>
      </c>
      <c r="CD108" s="19">
        <v>0</v>
      </c>
      <c r="CE108" s="19">
        <v>199.37391304347801</v>
      </c>
      <c r="CF108" s="19">
        <v>1.6859999999999999</v>
      </c>
      <c r="CG108" s="19">
        <v>0</v>
      </c>
      <c r="CH108" s="19">
        <v>0</v>
      </c>
      <c r="CI108" s="19">
        <v>457.63478260869601</v>
      </c>
      <c r="CJ108" s="19">
        <v>3.87</v>
      </c>
      <c r="CK108" s="19">
        <v>408.92173913043501</v>
      </c>
      <c r="CL108" s="19">
        <v>3.4580000000000002</v>
      </c>
      <c r="CM108" s="19">
        <v>0</v>
      </c>
      <c r="CN108" s="19">
        <v>0</v>
      </c>
      <c r="CO108" s="19">
        <v>0</v>
      </c>
      <c r="CP108" s="19">
        <v>0</v>
      </c>
      <c r="CQ108" s="19">
        <v>344.834782608696</v>
      </c>
      <c r="CR108" s="19">
        <v>2.6440000000000001</v>
      </c>
      <c r="CS108" s="19">
        <v>213.37391304347801</v>
      </c>
      <c r="CT108" s="19">
        <v>1.6950000000000001</v>
      </c>
      <c r="CU108" s="19">
        <v>274.13043478260897</v>
      </c>
      <c r="CV108" s="19">
        <v>2.2519999999999998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298.62608695652199</v>
      </c>
      <c r="DH108" s="19">
        <v>2.6419999999999999</v>
      </c>
      <c r="DI108" s="19">
        <v>246.88695652173899</v>
      </c>
      <c r="DJ108" s="19">
        <v>2.1840000000000002</v>
      </c>
      <c r="DK108" s="19">
        <v>54.0347826086957</v>
      </c>
      <c r="DL108" s="19">
        <v>0.47799999999999998</v>
      </c>
      <c r="DM108" s="19">
        <v>100.826086956522</v>
      </c>
      <c r="DN108" s="19">
        <v>0.89200000000000002</v>
      </c>
      <c r="DO108" s="19">
        <v>0</v>
      </c>
      <c r="DP108" s="19">
        <v>0</v>
      </c>
      <c r="DQ108" s="19">
        <v>0</v>
      </c>
      <c r="DR108" s="19">
        <v>0</v>
      </c>
      <c r="DS108" s="19">
        <v>65.556521739130403</v>
      </c>
      <c r="DT108" s="19">
        <v>0.57999999999999996</v>
      </c>
      <c r="DU108" s="19">
        <v>1015.73043478261</v>
      </c>
      <c r="DV108" s="19">
        <v>8.9860000000000007</v>
      </c>
      <c r="DW108" s="19">
        <v>226.06956521739099</v>
      </c>
      <c r="DX108" s="19">
        <v>2</v>
      </c>
      <c r="DY108" s="19">
        <v>0</v>
      </c>
      <c r="DZ108" s="19">
        <v>0</v>
      </c>
      <c r="EA108" s="19">
        <v>370.51304347826101</v>
      </c>
      <c r="EB108" s="19">
        <v>3.278</v>
      </c>
      <c r="EC108" s="19">
        <v>677.98260869565195</v>
      </c>
      <c r="ED108" s="19">
        <v>5.9980000000000002</v>
      </c>
      <c r="EE108" s="19">
        <v>115.74782608695701</v>
      </c>
      <c r="EF108" s="19">
        <v>1.024</v>
      </c>
      <c r="EG108" s="19">
        <v>550.72173913043503</v>
      </c>
      <c r="EH108" s="19">
        <v>4.8719999999999999</v>
      </c>
      <c r="EI108" s="19">
        <v>672.86086956521694</v>
      </c>
      <c r="EJ108" s="19">
        <v>5.976</v>
      </c>
      <c r="EK108" s="19">
        <v>0</v>
      </c>
      <c r="EL108" s="19">
        <v>0</v>
      </c>
      <c r="EM108" s="19">
        <v>0</v>
      </c>
      <c r="EN108" s="19">
        <v>0</v>
      </c>
      <c r="EO108" s="19">
        <v>171.130434782609</v>
      </c>
      <c r="EP108" s="19">
        <v>1.514</v>
      </c>
      <c r="EQ108" s="19">
        <v>0</v>
      </c>
      <c r="ER108" s="19">
        <v>0</v>
      </c>
      <c r="ES108" s="119">
        <v>0</v>
      </c>
      <c r="ET108" s="119">
        <v>0</v>
      </c>
    </row>
    <row r="109" spans="1:150" ht="16.5" customHeight="1" x14ac:dyDescent="0.35">
      <c r="A109" s="4">
        <v>202</v>
      </c>
      <c r="B109" s="4" t="str">
        <f>LOOKUP(A109,Lookup!$A$1:$A$34,Lookup!$B$1:$B$34)</f>
        <v>BEEF</v>
      </c>
      <c r="C109" s="5">
        <v>34208</v>
      </c>
      <c r="D109" s="6" t="s">
        <v>112</v>
      </c>
      <c r="E109" s="18">
        <v>0</v>
      </c>
      <c r="F109" s="18">
        <v>0</v>
      </c>
      <c r="G109" s="18">
        <v>0</v>
      </c>
      <c r="H109" s="18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>
        <v>0</v>
      </c>
      <c r="BW109" s="19">
        <v>0</v>
      </c>
      <c r="BX109" s="19">
        <v>0</v>
      </c>
      <c r="BY109" s="19">
        <v>0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  <c r="DH109" s="19">
        <v>0</v>
      </c>
      <c r="DI109" s="19">
        <v>0</v>
      </c>
      <c r="DJ109" s="19">
        <v>0</v>
      </c>
      <c r="DK109" s="19">
        <v>0</v>
      </c>
      <c r="DL109" s="19">
        <v>0</v>
      </c>
      <c r="DM109" s="19">
        <v>0</v>
      </c>
      <c r="DN109" s="19">
        <v>0</v>
      </c>
      <c r="DO109" s="19">
        <v>0</v>
      </c>
      <c r="DP109" s="19">
        <v>0</v>
      </c>
      <c r="DQ109" s="19">
        <v>0</v>
      </c>
      <c r="DR109" s="19">
        <v>0</v>
      </c>
      <c r="DS109" s="19">
        <v>0</v>
      </c>
      <c r="DT109" s="19">
        <v>0</v>
      </c>
      <c r="DU109" s="19">
        <v>0</v>
      </c>
      <c r="DV109" s="19">
        <v>0</v>
      </c>
      <c r="DW109" s="19">
        <v>0</v>
      </c>
      <c r="DX109" s="19">
        <v>0</v>
      </c>
      <c r="DY109" s="19">
        <v>0</v>
      </c>
      <c r="DZ109" s="19">
        <v>0</v>
      </c>
      <c r="EA109" s="19">
        <v>0</v>
      </c>
      <c r="EB109" s="19">
        <v>0</v>
      </c>
      <c r="EC109" s="19">
        <v>0</v>
      </c>
      <c r="ED109" s="19">
        <v>0</v>
      </c>
      <c r="EE109" s="19">
        <v>0</v>
      </c>
      <c r="EF109" s="19">
        <v>0</v>
      </c>
      <c r="EG109" s="19">
        <v>0</v>
      </c>
      <c r="EH109" s="19">
        <v>0</v>
      </c>
      <c r="EI109" s="19">
        <v>0</v>
      </c>
      <c r="EJ109" s="19">
        <v>0</v>
      </c>
      <c r="EK109" s="19">
        <v>0</v>
      </c>
      <c r="EL109" s="19">
        <v>0</v>
      </c>
      <c r="EM109" s="19">
        <v>0</v>
      </c>
      <c r="EN109" s="19">
        <v>0</v>
      </c>
      <c r="EO109" s="19">
        <v>0</v>
      </c>
      <c r="EP109" s="19">
        <v>0</v>
      </c>
      <c r="EQ109" s="19">
        <v>0</v>
      </c>
      <c r="ER109" s="19">
        <v>0</v>
      </c>
      <c r="ES109" s="119">
        <v>0</v>
      </c>
      <c r="ET109" s="119">
        <v>0</v>
      </c>
    </row>
    <row r="110" spans="1:150" ht="16.5" customHeight="1" x14ac:dyDescent="0.35">
      <c r="A110" s="4">
        <v>202</v>
      </c>
      <c r="B110" s="4" t="str">
        <f>LOOKUP(A110,Lookup!$A$1:$A$34,Lookup!$B$1:$B$34)</f>
        <v>BEEF</v>
      </c>
      <c r="C110" s="5">
        <v>34254</v>
      </c>
      <c r="D110" s="6" t="s">
        <v>113</v>
      </c>
      <c r="E110" s="18">
        <v>1239.47691365585</v>
      </c>
      <c r="F110" s="18">
        <v>35.308999999999997</v>
      </c>
      <c r="G110" s="18">
        <v>88002.860869565193</v>
      </c>
      <c r="H110" s="18">
        <v>2506.9409999999998</v>
      </c>
      <c r="I110" s="19">
        <v>42.765217391304397</v>
      </c>
      <c r="J110" s="19">
        <v>1.23</v>
      </c>
      <c r="K110" s="19">
        <v>68.704347826087002</v>
      </c>
      <c r="L110" s="19">
        <v>1.976</v>
      </c>
      <c r="M110" s="19">
        <v>365.99130434782597</v>
      </c>
      <c r="N110" s="19">
        <v>10.526</v>
      </c>
      <c r="O110" s="19">
        <v>302.21739130434798</v>
      </c>
      <c r="P110" s="19">
        <v>8.6920000000000002</v>
      </c>
      <c r="Q110" s="19">
        <v>344.61739130434802</v>
      </c>
      <c r="R110" s="19">
        <v>10.058</v>
      </c>
      <c r="S110" s="19">
        <v>282.547826086957</v>
      </c>
      <c r="T110" s="19">
        <v>8.1259999999999994</v>
      </c>
      <c r="U110" s="19">
        <v>687.34782608695696</v>
      </c>
      <c r="V110" s="19">
        <v>19.766999999999999</v>
      </c>
      <c r="W110" s="19">
        <v>309.878260869565</v>
      </c>
      <c r="X110" s="19">
        <v>8.9109999999999996</v>
      </c>
      <c r="Y110" s="19">
        <v>1007.57391304348</v>
      </c>
      <c r="Z110" s="19">
        <v>29.004999999999999</v>
      </c>
      <c r="AA110" s="19">
        <v>507.31304347826102</v>
      </c>
      <c r="AB110" s="19">
        <v>14.59</v>
      </c>
      <c r="AC110" s="19">
        <v>833.08695652173901</v>
      </c>
      <c r="AD110" s="19">
        <v>23.957999999999998</v>
      </c>
      <c r="AE110" s="19">
        <v>1190.26956521739</v>
      </c>
      <c r="AF110" s="19">
        <v>34.279000000000003</v>
      </c>
      <c r="AG110" s="19">
        <v>1964.21739130435</v>
      </c>
      <c r="AH110" s="19">
        <v>73.093000000000004</v>
      </c>
      <c r="AI110" s="19">
        <v>4525.4521739130396</v>
      </c>
      <c r="AJ110" s="19">
        <v>174.709</v>
      </c>
      <c r="AK110" s="19">
        <v>1184.02608695652</v>
      </c>
      <c r="AL110" s="19">
        <v>34.048999999999999</v>
      </c>
      <c r="AM110" s="19">
        <v>1421.02608695652</v>
      </c>
      <c r="AN110" s="19">
        <v>40.890999999999998</v>
      </c>
      <c r="AO110" s="19">
        <v>1607.3739130434799</v>
      </c>
      <c r="AP110" s="19">
        <v>46.222999999999999</v>
      </c>
      <c r="AQ110" s="19">
        <v>985.21739130434798</v>
      </c>
      <c r="AR110" s="19">
        <v>28.384</v>
      </c>
      <c r="AS110" s="19">
        <v>3392.1913043478298</v>
      </c>
      <c r="AT110" s="19">
        <v>98.073999999999998</v>
      </c>
      <c r="AU110" s="19">
        <v>2649.45217391304</v>
      </c>
      <c r="AV110" s="19">
        <v>76.287999999999997</v>
      </c>
      <c r="AW110" s="19">
        <v>2243.7391304347798</v>
      </c>
      <c r="AX110" s="19">
        <v>64.643000000000001</v>
      </c>
      <c r="AY110" s="19">
        <v>1461.98260869565</v>
      </c>
      <c r="AZ110" s="19">
        <v>42.456000000000003</v>
      </c>
      <c r="BA110" s="19">
        <v>2991.3043478260902</v>
      </c>
      <c r="BB110" s="19">
        <v>86.063999999999993</v>
      </c>
      <c r="BC110" s="19">
        <v>2039.0869565217399</v>
      </c>
      <c r="BD110" s="19">
        <v>58.817999999999998</v>
      </c>
      <c r="BE110" s="19">
        <v>3039.53913043478</v>
      </c>
      <c r="BF110" s="19">
        <v>87.409000000000006</v>
      </c>
      <c r="BG110" s="19">
        <v>2688.5652173912999</v>
      </c>
      <c r="BH110" s="19">
        <v>67.281000000000006</v>
      </c>
      <c r="BI110" s="19">
        <v>2859.0782608695699</v>
      </c>
      <c r="BJ110" s="19">
        <v>72.242999999999995</v>
      </c>
      <c r="BK110" s="19">
        <v>498.8</v>
      </c>
      <c r="BL110" s="19">
        <v>12.555999999999999</v>
      </c>
      <c r="BM110" s="19">
        <v>2145.2521739130402</v>
      </c>
      <c r="BN110" s="19">
        <v>53.643000000000001</v>
      </c>
      <c r="BO110" s="19">
        <v>2561.0695652173899</v>
      </c>
      <c r="BP110" s="19">
        <v>64.096000000000004</v>
      </c>
      <c r="BQ110" s="19">
        <v>1303.30434782609</v>
      </c>
      <c r="BR110" s="19">
        <v>32.590000000000003</v>
      </c>
      <c r="BS110" s="19">
        <v>2456.6</v>
      </c>
      <c r="BT110" s="19">
        <v>61.427999999999997</v>
      </c>
      <c r="BU110" s="19">
        <v>1145.8521739130399</v>
      </c>
      <c r="BV110" s="19">
        <v>28.652000000000001</v>
      </c>
      <c r="BW110" s="19">
        <v>1861.74782608696</v>
      </c>
      <c r="BX110" s="19">
        <v>46.731999999999999</v>
      </c>
      <c r="BY110" s="19">
        <v>1000.37391304348</v>
      </c>
      <c r="BZ110" s="19">
        <v>25.084</v>
      </c>
      <c r="CA110" s="19">
        <v>925.82608695652198</v>
      </c>
      <c r="CB110" s="19">
        <v>23.15</v>
      </c>
      <c r="CC110" s="19">
        <v>556.80869565217404</v>
      </c>
      <c r="CD110" s="19">
        <v>13.994</v>
      </c>
      <c r="CE110" s="19">
        <v>143.08695652173901</v>
      </c>
      <c r="CF110" s="19">
        <v>3.5779999999999998</v>
      </c>
      <c r="CG110" s="19">
        <v>293.29565217391303</v>
      </c>
      <c r="CH110" s="19">
        <v>7.3719999999999999</v>
      </c>
      <c r="CI110" s="19">
        <v>0</v>
      </c>
      <c r="CJ110" s="19">
        <v>0</v>
      </c>
      <c r="CK110" s="19">
        <v>458.52173913043498</v>
      </c>
      <c r="CL110" s="19">
        <v>11.465999999999999</v>
      </c>
      <c r="CM110" s="19">
        <v>1175.5913043478299</v>
      </c>
      <c r="CN110" s="19">
        <v>29.396000000000001</v>
      </c>
      <c r="CO110" s="19">
        <v>694.64347826086998</v>
      </c>
      <c r="CP110" s="19">
        <v>17.37</v>
      </c>
      <c r="CQ110" s="19">
        <v>580.82608695652198</v>
      </c>
      <c r="CR110" s="19">
        <v>14.523999999999999</v>
      </c>
      <c r="CS110" s="19">
        <v>1863.98260869565</v>
      </c>
      <c r="CT110" s="19">
        <v>52.39</v>
      </c>
      <c r="CU110" s="19">
        <v>1188.1043478260899</v>
      </c>
      <c r="CV110" s="19">
        <v>34.204999999999998</v>
      </c>
      <c r="CW110" s="19">
        <v>587</v>
      </c>
      <c r="CX110" s="19">
        <v>16.881</v>
      </c>
      <c r="CY110" s="19">
        <v>1189.4434782608701</v>
      </c>
      <c r="CZ110" s="19">
        <v>34.204999999999998</v>
      </c>
      <c r="DA110" s="19">
        <v>999.547826086957</v>
      </c>
      <c r="DB110" s="19">
        <v>28.744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0</v>
      </c>
      <c r="DI110" s="19">
        <v>1055.25217391304</v>
      </c>
      <c r="DJ110" s="19">
        <v>30.347000000000001</v>
      </c>
      <c r="DK110" s="19">
        <v>1115.5739130434799</v>
      </c>
      <c r="DL110" s="19">
        <v>32.081000000000003</v>
      </c>
      <c r="DM110" s="19">
        <v>841.59130434782605</v>
      </c>
      <c r="DN110" s="19">
        <v>24.202000000000002</v>
      </c>
      <c r="DO110" s="19">
        <v>424.11304347826098</v>
      </c>
      <c r="DP110" s="19">
        <v>12.198</v>
      </c>
      <c r="DQ110" s="19">
        <v>1300.21739130435</v>
      </c>
      <c r="DR110" s="19">
        <v>37.506</v>
      </c>
      <c r="DS110" s="19">
        <v>1202.9043478260901</v>
      </c>
      <c r="DT110" s="19">
        <v>34.618000000000002</v>
      </c>
      <c r="DU110" s="19">
        <v>1353.73043478261</v>
      </c>
      <c r="DV110" s="19">
        <v>38.957999999999998</v>
      </c>
      <c r="DW110" s="19">
        <v>742.79130434782599</v>
      </c>
      <c r="DX110" s="19">
        <v>21.36</v>
      </c>
      <c r="DY110" s="19">
        <v>1505.1652173913001</v>
      </c>
      <c r="DZ110" s="19">
        <v>43.284999999999997</v>
      </c>
      <c r="EA110" s="19">
        <v>749.20869565217401</v>
      </c>
      <c r="EB110" s="19">
        <v>21.648</v>
      </c>
      <c r="EC110" s="19">
        <v>628.35652173913002</v>
      </c>
      <c r="ED110" s="19">
        <v>18.07</v>
      </c>
      <c r="EE110" s="19">
        <v>208.34782608695701</v>
      </c>
      <c r="EF110" s="19">
        <v>5.992</v>
      </c>
      <c r="EG110" s="19">
        <v>889.26086956521704</v>
      </c>
      <c r="EH110" s="19">
        <v>25.573</v>
      </c>
      <c r="EI110" s="19">
        <v>1489.54782608696</v>
      </c>
      <c r="EJ110" s="19">
        <v>42.835999999999999</v>
      </c>
      <c r="EK110" s="19">
        <v>1052.72173913043</v>
      </c>
      <c r="EL110" s="19">
        <v>30.274000000000001</v>
      </c>
      <c r="EM110" s="19">
        <v>1556.54782608696</v>
      </c>
      <c r="EN110" s="19">
        <v>44.762</v>
      </c>
      <c r="EO110" s="19">
        <v>1494.6260869565201</v>
      </c>
      <c r="EP110" s="19">
        <v>43.073</v>
      </c>
      <c r="EQ110" s="19">
        <v>1975.05217391304</v>
      </c>
      <c r="ER110" s="19">
        <v>56.796999999999997</v>
      </c>
      <c r="ES110" s="119">
        <v>3793.6086956521699</v>
      </c>
      <c r="ET110" s="119">
        <v>109.562</v>
      </c>
    </row>
    <row r="111" spans="1:150" ht="16.5" customHeight="1" x14ac:dyDescent="0.35">
      <c r="A111" s="4">
        <v>202</v>
      </c>
      <c r="B111" s="4" t="str">
        <f>LOOKUP(A111,Lookup!$A$1:$A$34,Lookup!$B$1:$B$34)</f>
        <v>BEEF</v>
      </c>
      <c r="C111" s="5">
        <v>42859</v>
      </c>
      <c r="D111" s="6" t="s">
        <v>114</v>
      </c>
      <c r="E111" s="18">
        <v>32.823637477036101</v>
      </c>
      <c r="F111" s="18">
        <v>0.45700000000000002</v>
      </c>
      <c r="G111" s="18">
        <v>2330.47826086957</v>
      </c>
      <c r="H111" s="18">
        <v>32.445</v>
      </c>
      <c r="I111" s="19">
        <v>0</v>
      </c>
      <c r="J111" s="19">
        <v>0</v>
      </c>
      <c r="K111" s="19">
        <v>0</v>
      </c>
      <c r="L111" s="19">
        <v>0</v>
      </c>
      <c r="M111" s="19">
        <v>126.721739130435</v>
      </c>
      <c r="N111" s="19">
        <v>2.0819999999999999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115.165217391304</v>
      </c>
      <c r="X111" s="19">
        <v>1.8919999999999999</v>
      </c>
      <c r="Y111" s="19">
        <v>0</v>
      </c>
      <c r="Z111" s="19">
        <v>0</v>
      </c>
      <c r="AA111" s="19">
        <v>244.93913043478301</v>
      </c>
      <c r="AB111" s="19">
        <v>4.0250000000000004</v>
      </c>
      <c r="AC111" s="19">
        <v>0</v>
      </c>
      <c r="AD111" s="19">
        <v>0</v>
      </c>
      <c r="AE111" s="19">
        <v>0</v>
      </c>
      <c r="AF111" s="19">
        <v>0</v>
      </c>
      <c r="AG111" s="19">
        <v>24.0695652173913</v>
      </c>
      <c r="AH111" s="19">
        <v>0.34599999999999997</v>
      </c>
      <c r="AI111" s="19">
        <v>0</v>
      </c>
      <c r="AJ111" s="19">
        <v>0</v>
      </c>
      <c r="AK111" s="19">
        <v>30.191304347826101</v>
      </c>
      <c r="AL111" s="19">
        <v>0.434</v>
      </c>
      <c r="AM111" s="19">
        <v>0</v>
      </c>
      <c r="AN111" s="19">
        <v>0</v>
      </c>
      <c r="AO111" s="19">
        <v>52.452173913043502</v>
      </c>
      <c r="AP111" s="19">
        <v>0.754</v>
      </c>
      <c r="AQ111" s="19">
        <v>0</v>
      </c>
      <c r="AR111" s="19">
        <v>0</v>
      </c>
      <c r="AS111" s="19">
        <v>113.669565217391</v>
      </c>
      <c r="AT111" s="19">
        <v>1.6339999999999999</v>
      </c>
      <c r="AU111" s="19">
        <v>30.747826086956501</v>
      </c>
      <c r="AV111" s="19">
        <v>0.442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102.39130434782599</v>
      </c>
      <c r="BD111" s="19">
        <v>1.472</v>
      </c>
      <c r="BE111" s="19">
        <v>0</v>
      </c>
      <c r="BF111" s="19">
        <v>0</v>
      </c>
      <c r="BG111" s="19">
        <v>166.53043478260901</v>
      </c>
      <c r="BH111" s="19">
        <v>2.3940000000000001</v>
      </c>
      <c r="BI111" s="19">
        <v>34.913043478260903</v>
      </c>
      <c r="BJ111" s="19">
        <v>0.502</v>
      </c>
      <c r="BK111" s="19">
        <v>711.15652173912997</v>
      </c>
      <c r="BL111" s="19">
        <v>9.0879999999999992</v>
      </c>
      <c r="BM111" s="19">
        <v>0</v>
      </c>
      <c r="BN111" s="19">
        <v>0</v>
      </c>
      <c r="BO111" s="19">
        <v>65.269565217391303</v>
      </c>
      <c r="BP111" s="19">
        <v>0.83399999999999996</v>
      </c>
      <c r="BQ111" s="19">
        <v>0</v>
      </c>
      <c r="BR111" s="19">
        <v>0</v>
      </c>
      <c r="BS111" s="19">
        <v>64.017391304347797</v>
      </c>
      <c r="BT111" s="19">
        <v>0.81799999999999995</v>
      </c>
      <c r="BU111" s="19">
        <v>37.408695652173897</v>
      </c>
      <c r="BV111" s="19">
        <v>0.47799999999999998</v>
      </c>
      <c r="BW111" s="19">
        <v>62.295652173912998</v>
      </c>
      <c r="BX111" s="19">
        <v>0.79600000000000004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104.55652173913001</v>
      </c>
      <c r="CJ111" s="19">
        <v>1.3360000000000001</v>
      </c>
      <c r="CK111" s="19">
        <v>0</v>
      </c>
      <c r="CL111" s="19">
        <v>0</v>
      </c>
      <c r="CM111" s="19">
        <v>0</v>
      </c>
      <c r="CN111" s="19">
        <v>0</v>
      </c>
      <c r="CO111" s="19">
        <v>0</v>
      </c>
      <c r="CP111" s="19">
        <v>0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  <c r="DK111" s="19">
        <v>0</v>
      </c>
      <c r="DL111" s="19">
        <v>0</v>
      </c>
      <c r="DM111" s="19">
        <v>0</v>
      </c>
      <c r="DN111" s="19">
        <v>0</v>
      </c>
      <c r="DO111" s="19">
        <v>0</v>
      </c>
      <c r="DP111" s="19">
        <v>0</v>
      </c>
      <c r="DQ111" s="19">
        <v>0</v>
      </c>
      <c r="DR111" s="19">
        <v>0</v>
      </c>
      <c r="DS111" s="19">
        <v>0</v>
      </c>
      <c r="DT111" s="19">
        <v>0</v>
      </c>
      <c r="DU111" s="19">
        <v>0</v>
      </c>
      <c r="DV111" s="19">
        <v>0</v>
      </c>
      <c r="DW111" s="19">
        <v>0</v>
      </c>
      <c r="DX111" s="19">
        <v>0</v>
      </c>
      <c r="DY111" s="19">
        <v>0</v>
      </c>
      <c r="DZ111" s="19">
        <v>0</v>
      </c>
      <c r="EA111" s="19">
        <v>0</v>
      </c>
      <c r="EB111" s="19">
        <v>0</v>
      </c>
      <c r="EC111" s="19">
        <v>0</v>
      </c>
      <c r="ED111" s="19">
        <v>0</v>
      </c>
      <c r="EE111" s="19">
        <v>47.260869565217398</v>
      </c>
      <c r="EF111" s="19">
        <v>0.60399999999999998</v>
      </c>
      <c r="EG111" s="19">
        <v>110.017391304348</v>
      </c>
      <c r="EH111" s="19">
        <v>1.4059999999999999</v>
      </c>
      <c r="EI111" s="19">
        <v>0</v>
      </c>
      <c r="EJ111" s="19">
        <v>0</v>
      </c>
      <c r="EK111" s="19">
        <v>0</v>
      </c>
      <c r="EL111" s="19">
        <v>0</v>
      </c>
      <c r="EM111" s="19">
        <v>0</v>
      </c>
      <c r="EN111" s="19">
        <v>0</v>
      </c>
      <c r="EO111" s="19">
        <v>0</v>
      </c>
      <c r="EP111" s="19">
        <v>0</v>
      </c>
      <c r="EQ111" s="19">
        <v>86.704347826086902</v>
      </c>
      <c r="ER111" s="19">
        <v>1.1080000000000001</v>
      </c>
      <c r="ES111" s="119">
        <v>0</v>
      </c>
      <c r="ET111" s="119">
        <v>0</v>
      </c>
    </row>
    <row r="112" spans="1:150" ht="16.5" customHeight="1" x14ac:dyDescent="0.35">
      <c r="A112" s="4">
        <v>202</v>
      </c>
      <c r="B112" s="4" t="str">
        <f>LOOKUP(A112,Lookup!$A$1:$A$34,Lookup!$B$1:$B$34)</f>
        <v>BEEF</v>
      </c>
      <c r="C112" s="5">
        <v>45167</v>
      </c>
      <c r="D112" s="6" t="s">
        <v>115</v>
      </c>
      <c r="E112" s="18">
        <v>5.6366197183098601</v>
      </c>
      <c r="F112" s="18">
        <v>9.4E-2</v>
      </c>
      <c r="G112" s="18">
        <v>400.2</v>
      </c>
      <c r="H112" s="18">
        <v>6.6470000000000002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0</v>
      </c>
      <c r="CD112" s="19">
        <v>0</v>
      </c>
      <c r="CE112" s="19">
        <v>0</v>
      </c>
      <c r="CF112" s="19">
        <v>0</v>
      </c>
      <c r="CG112" s="19">
        <v>0</v>
      </c>
      <c r="CH112" s="19">
        <v>0</v>
      </c>
      <c r="CI112" s="19">
        <v>0</v>
      </c>
      <c r="CJ112" s="19">
        <v>0</v>
      </c>
      <c r="CK112" s="19">
        <v>0</v>
      </c>
      <c r="CL112" s="19">
        <v>0</v>
      </c>
      <c r="CM112" s="19">
        <v>0</v>
      </c>
      <c r="CN112" s="19">
        <v>0</v>
      </c>
      <c r="CO112" s="19">
        <v>0</v>
      </c>
      <c r="CP112" s="19">
        <v>0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232.07826086956501</v>
      </c>
      <c r="DD112" s="19">
        <v>3.8849999999999998</v>
      </c>
      <c r="DE112" s="19">
        <v>168.121739130435</v>
      </c>
      <c r="DF112" s="19">
        <v>2.762</v>
      </c>
      <c r="DG112" s="19">
        <v>0</v>
      </c>
      <c r="DH112" s="19">
        <v>0</v>
      </c>
      <c r="DI112" s="19">
        <v>0</v>
      </c>
      <c r="DJ112" s="19">
        <v>0</v>
      </c>
      <c r="DK112" s="19">
        <v>0</v>
      </c>
      <c r="DL112" s="19">
        <v>0</v>
      </c>
      <c r="DM112" s="19">
        <v>0</v>
      </c>
      <c r="DN112" s="19">
        <v>0</v>
      </c>
      <c r="DO112" s="19">
        <v>0</v>
      </c>
      <c r="DP112" s="19">
        <v>0</v>
      </c>
      <c r="DQ112" s="19">
        <v>0</v>
      </c>
      <c r="DR112" s="19">
        <v>0</v>
      </c>
      <c r="DS112" s="19">
        <v>0</v>
      </c>
      <c r="DT112" s="19">
        <v>0</v>
      </c>
      <c r="DU112" s="19">
        <v>0</v>
      </c>
      <c r="DV112" s="19">
        <v>0</v>
      </c>
      <c r="DW112" s="19">
        <v>0</v>
      </c>
      <c r="DX112" s="19">
        <v>0</v>
      </c>
      <c r="DY112" s="19">
        <v>0</v>
      </c>
      <c r="DZ112" s="19">
        <v>0</v>
      </c>
      <c r="EA112" s="19">
        <v>0</v>
      </c>
      <c r="EB112" s="19">
        <v>0</v>
      </c>
      <c r="EC112" s="19">
        <v>0</v>
      </c>
      <c r="ED112" s="19">
        <v>0</v>
      </c>
      <c r="EE112" s="19">
        <v>0</v>
      </c>
      <c r="EF112" s="19">
        <v>0</v>
      </c>
      <c r="EG112" s="19">
        <v>0</v>
      </c>
      <c r="EH112" s="19">
        <v>0</v>
      </c>
      <c r="EI112" s="19">
        <v>0</v>
      </c>
      <c r="EJ112" s="19">
        <v>0</v>
      </c>
      <c r="EK112" s="19">
        <v>0</v>
      </c>
      <c r="EL112" s="19">
        <v>0</v>
      </c>
      <c r="EM112" s="19">
        <v>0</v>
      </c>
      <c r="EN112" s="19">
        <v>0</v>
      </c>
      <c r="EO112" s="19">
        <v>0</v>
      </c>
      <c r="EP112" s="19">
        <v>0</v>
      </c>
      <c r="EQ112" s="19">
        <v>0</v>
      </c>
      <c r="ER112" s="19">
        <v>0</v>
      </c>
      <c r="ES112" s="119">
        <v>0</v>
      </c>
      <c r="ET112" s="119">
        <v>0</v>
      </c>
    </row>
    <row r="113" spans="1:150" ht="16.5" customHeight="1" x14ac:dyDescent="0.35">
      <c r="A113" s="4">
        <v>202</v>
      </c>
      <c r="B113" s="4" t="str">
        <f>LOOKUP(A113,Lookup!$A$1:$A$34,Lookup!$B$1:$B$34)</f>
        <v>BEEF</v>
      </c>
      <c r="C113" s="5">
        <v>46490</v>
      </c>
      <c r="D113" s="6" t="s">
        <v>116</v>
      </c>
      <c r="E113" s="18">
        <v>0</v>
      </c>
      <c r="F113" s="18">
        <v>0</v>
      </c>
      <c r="G113" s="18">
        <v>0</v>
      </c>
      <c r="H113" s="18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  <c r="CM113" s="19">
        <v>0</v>
      </c>
      <c r="CN113" s="19">
        <v>0</v>
      </c>
      <c r="CO113" s="19">
        <v>0</v>
      </c>
      <c r="CP113" s="19">
        <v>0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19">
        <v>0</v>
      </c>
      <c r="DK113" s="19">
        <v>0</v>
      </c>
      <c r="DL113" s="19">
        <v>0</v>
      </c>
      <c r="DM113" s="19">
        <v>0</v>
      </c>
      <c r="DN113" s="19">
        <v>0</v>
      </c>
      <c r="DO113" s="19">
        <v>0</v>
      </c>
      <c r="DP113" s="19">
        <v>0</v>
      </c>
      <c r="DQ113" s="19">
        <v>0</v>
      </c>
      <c r="DR113" s="19">
        <v>0</v>
      </c>
      <c r="DS113" s="19">
        <v>0</v>
      </c>
      <c r="DT113" s="19">
        <v>0</v>
      </c>
      <c r="DU113" s="19">
        <v>0</v>
      </c>
      <c r="DV113" s="19">
        <v>0</v>
      </c>
      <c r="DW113" s="19">
        <v>0</v>
      </c>
      <c r="DX113" s="19">
        <v>0</v>
      </c>
      <c r="DY113" s="19">
        <v>0</v>
      </c>
      <c r="DZ113" s="19">
        <v>0</v>
      </c>
      <c r="EA113" s="19">
        <v>0</v>
      </c>
      <c r="EB113" s="19">
        <v>0</v>
      </c>
      <c r="EC113" s="19">
        <v>0</v>
      </c>
      <c r="ED113" s="19">
        <v>0</v>
      </c>
      <c r="EE113" s="19">
        <v>0</v>
      </c>
      <c r="EF113" s="19">
        <v>0</v>
      </c>
      <c r="EG113" s="19">
        <v>0</v>
      </c>
      <c r="EH113" s="19">
        <v>0</v>
      </c>
      <c r="EI113" s="19">
        <v>0</v>
      </c>
      <c r="EJ113" s="19">
        <v>0</v>
      </c>
      <c r="EK113" s="19">
        <v>0</v>
      </c>
      <c r="EL113" s="19">
        <v>0</v>
      </c>
      <c r="EM113" s="19">
        <v>0</v>
      </c>
      <c r="EN113" s="19">
        <v>0</v>
      </c>
      <c r="EO113" s="19">
        <v>0</v>
      </c>
      <c r="EP113" s="19">
        <v>0</v>
      </c>
      <c r="EQ113" s="19">
        <v>0</v>
      </c>
      <c r="ER113" s="19">
        <v>0</v>
      </c>
      <c r="ES113" s="119">
        <v>0</v>
      </c>
      <c r="ET113" s="119">
        <v>0</v>
      </c>
    </row>
    <row r="114" spans="1:150" ht="16.5" customHeight="1" x14ac:dyDescent="0.35">
      <c r="A114" s="4">
        <v>202</v>
      </c>
      <c r="B114" s="4" t="str">
        <f>LOOKUP(A114,Lookup!$A$1:$A$34,Lookup!$B$1:$B$34)</f>
        <v>BEEF</v>
      </c>
      <c r="C114" s="5">
        <v>49605</v>
      </c>
      <c r="D114" s="6" t="s">
        <v>117</v>
      </c>
      <c r="E114" s="18">
        <v>7.3469687691365602</v>
      </c>
      <c r="F114" s="18">
        <v>0.16900000000000001</v>
      </c>
      <c r="G114" s="18">
        <v>521.63478260869601</v>
      </c>
      <c r="H114" s="18">
        <v>12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217.34782608695701</v>
      </c>
      <c r="BH114" s="19">
        <v>5</v>
      </c>
      <c r="BI114" s="19">
        <v>217.34782608695701</v>
      </c>
      <c r="BJ114" s="19">
        <v>5</v>
      </c>
      <c r="BK114" s="19">
        <v>86.939130434782598</v>
      </c>
      <c r="BL114" s="19">
        <v>2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  <c r="CM114" s="19">
        <v>0</v>
      </c>
      <c r="CN114" s="19">
        <v>0</v>
      </c>
      <c r="CO114" s="19">
        <v>0</v>
      </c>
      <c r="CP114" s="19">
        <v>0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19">
        <v>0</v>
      </c>
      <c r="DK114" s="19">
        <v>0</v>
      </c>
      <c r="DL114" s="19">
        <v>0</v>
      </c>
      <c r="DM114" s="19">
        <v>0</v>
      </c>
      <c r="DN114" s="19">
        <v>0</v>
      </c>
      <c r="DO114" s="19">
        <v>0</v>
      </c>
      <c r="DP114" s="19">
        <v>0</v>
      </c>
      <c r="DQ114" s="19">
        <v>0</v>
      </c>
      <c r="DR114" s="19">
        <v>0</v>
      </c>
      <c r="DS114" s="19">
        <v>0</v>
      </c>
      <c r="DT114" s="19">
        <v>0</v>
      </c>
      <c r="DU114" s="19">
        <v>0</v>
      </c>
      <c r="DV114" s="19">
        <v>0</v>
      </c>
      <c r="DW114" s="19">
        <v>0</v>
      </c>
      <c r="DX114" s="19">
        <v>0</v>
      </c>
      <c r="DY114" s="19">
        <v>0</v>
      </c>
      <c r="DZ114" s="19">
        <v>0</v>
      </c>
      <c r="EA114" s="19">
        <v>0</v>
      </c>
      <c r="EB114" s="19">
        <v>0</v>
      </c>
      <c r="EC114" s="19">
        <v>0</v>
      </c>
      <c r="ED114" s="19">
        <v>0</v>
      </c>
      <c r="EE114" s="19">
        <v>0</v>
      </c>
      <c r="EF114" s="19">
        <v>0</v>
      </c>
      <c r="EG114" s="19">
        <v>0</v>
      </c>
      <c r="EH114" s="19">
        <v>0</v>
      </c>
      <c r="EI114" s="19">
        <v>0</v>
      </c>
      <c r="EJ114" s="19">
        <v>0</v>
      </c>
      <c r="EK114" s="19">
        <v>0</v>
      </c>
      <c r="EL114" s="19">
        <v>0</v>
      </c>
      <c r="EM114" s="19">
        <v>0</v>
      </c>
      <c r="EN114" s="19">
        <v>0</v>
      </c>
      <c r="EO114" s="19">
        <v>0</v>
      </c>
      <c r="EP114" s="19">
        <v>0</v>
      </c>
      <c r="EQ114" s="19">
        <v>0</v>
      </c>
      <c r="ER114" s="19">
        <v>0</v>
      </c>
      <c r="ES114" s="119">
        <v>0</v>
      </c>
      <c r="ET114" s="119">
        <v>0</v>
      </c>
    </row>
    <row r="115" spans="1:150" ht="16.5" customHeight="1" x14ac:dyDescent="0.35">
      <c r="A115" s="4">
        <v>202</v>
      </c>
      <c r="B115" s="4" t="str">
        <f>LOOKUP(A115,Lookup!$A$1:$A$34,Lookup!$B$1:$B$34)</f>
        <v>BEEF</v>
      </c>
      <c r="C115" s="5">
        <v>52680</v>
      </c>
      <c r="D115" s="6" t="s">
        <v>118</v>
      </c>
      <c r="E115" s="18">
        <v>369.54905082669899</v>
      </c>
      <c r="F115" s="18">
        <v>2.3199999999999998</v>
      </c>
      <c r="G115" s="18">
        <v>26237.982608695602</v>
      </c>
      <c r="H115" s="18">
        <v>164.75299999999999</v>
      </c>
      <c r="I115" s="19">
        <v>1025.70434782609</v>
      </c>
      <c r="J115" s="19">
        <v>6.9390000000000001</v>
      </c>
      <c r="K115" s="19">
        <v>543.37391304347796</v>
      </c>
      <c r="L115" s="19">
        <v>3.6960000000000002</v>
      </c>
      <c r="M115" s="19">
        <v>173.11304347826101</v>
      </c>
      <c r="N115" s="19">
        <v>1.22</v>
      </c>
      <c r="O115" s="19">
        <v>330.90434782608702</v>
      </c>
      <c r="P115" s="19">
        <v>2.3780000000000001</v>
      </c>
      <c r="Q115" s="19">
        <v>855.61739130434796</v>
      </c>
      <c r="R115" s="19">
        <v>6.15</v>
      </c>
      <c r="S115" s="19">
        <v>956.06086956521699</v>
      </c>
      <c r="T115" s="19">
        <v>6.8719999999999999</v>
      </c>
      <c r="U115" s="19">
        <v>275.408695652174</v>
      </c>
      <c r="V115" s="19">
        <v>1.98</v>
      </c>
      <c r="W115" s="19">
        <v>212.21739130434801</v>
      </c>
      <c r="X115" s="19">
        <v>1.5469999999999999</v>
      </c>
      <c r="Y115" s="19">
        <v>280.26086956521698</v>
      </c>
      <c r="Z115" s="19">
        <v>2.0139999999999998</v>
      </c>
      <c r="AA115" s="19">
        <v>205.713043478261</v>
      </c>
      <c r="AB115" s="19">
        <v>1.478</v>
      </c>
      <c r="AC115" s="19">
        <v>214.591304347826</v>
      </c>
      <c r="AD115" s="19">
        <v>1.544</v>
      </c>
      <c r="AE115" s="19">
        <v>175.02608695652199</v>
      </c>
      <c r="AF115" s="19">
        <v>1.1839999999999999</v>
      </c>
      <c r="AG115" s="19">
        <v>0</v>
      </c>
      <c r="AH115" s="19">
        <v>0</v>
      </c>
      <c r="AI115" s="19">
        <v>0</v>
      </c>
      <c r="AJ115" s="19">
        <v>0</v>
      </c>
      <c r="AK115" s="19">
        <v>119.095652173913</v>
      </c>
      <c r="AL115" s="19">
        <v>0.85599999999999998</v>
      </c>
      <c r="AM115" s="19">
        <v>713.16521739130405</v>
      </c>
      <c r="AN115" s="19">
        <v>5.1459999999999999</v>
      </c>
      <c r="AO115" s="19">
        <v>810.26086956521704</v>
      </c>
      <c r="AP115" s="19">
        <v>5.8239999999999998</v>
      </c>
      <c r="AQ115" s="19">
        <v>464.08695652173901</v>
      </c>
      <c r="AR115" s="19">
        <v>3.3359999999999999</v>
      </c>
      <c r="AS115" s="19">
        <v>537.91304347826099</v>
      </c>
      <c r="AT115" s="19">
        <v>3.7549999999999999</v>
      </c>
      <c r="AU115" s="19">
        <v>0</v>
      </c>
      <c r="AV115" s="19">
        <v>0</v>
      </c>
      <c r="AW115" s="19">
        <v>479.54782608695598</v>
      </c>
      <c r="AX115" s="19">
        <v>3.2440000000000002</v>
      </c>
      <c r="AY115" s="19">
        <v>202.52173913043501</v>
      </c>
      <c r="AZ115" s="19">
        <v>1.37</v>
      </c>
      <c r="BA115" s="19">
        <v>561.147826086956</v>
      </c>
      <c r="BB115" s="19">
        <v>3.6880000000000002</v>
      </c>
      <c r="BC115" s="19">
        <v>652.70434782608697</v>
      </c>
      <c r="BD115" s="19">
        <v>4.17</v>
      </c>
      <c r="BE115" s="19">
        <v>903.121739130435</v>
      </c>
      <c r="BF115" s="19">
        <v>5.77</v>
      </c>
      <c r="BG115" s="19">
        <v>143.991304347826</v>
      </c>
      <c r="BH115" s="19">
        <v>0.92</v>
      </c>
      <c r="BI115" s="19">
        <v>207.23478260869601</v>
      </c>
      <c r="BJ115" s="19">
        <v>1.3240000000000001</v>
      </c>
      <c r="BK115" s="19">
        <v>398.26086956521698</v>
      </c>
      <c r="BL115" s="19">
        <v>2.56</v>
      </c>
      <c r="BM115" s="19">
        <v>218.81739130434801</v>
      </c>
      <c r="BN115" s="19">
        <v>1.3240000000000001</v>
      </c>
      <c r="BO115" s="19">
        <v>194.60869565217399</v>
      </c>
      <c r="BP115" s="19">
        <v>1.1779999999999999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0</v>
      </c>
      <c r="CD115" s="19">
        <v>0</v>
      </c>
      <c r="CE115" s="19">
        <v>0</v>
      </c>
      <c r="CF115" s="19">
        <v>0</v>
      </c>
      <c r="CG115" s="19">
        <v>0</v>
      </c>
      <c r="CH115" s="19">
        <v>0</v>
      </c>
      <c r="CI115" s="19">
        <v>0</v>
      </c>
      <c r="CJ115" s="19">
        <v>0</v>
      </c>
      <c r="CK115" s="19">
        <v>0</v>
      </c>
      <c r="CL115" s="19">
        <v>0</v>
      </c>
      <c r="CM115" s="19">
        <v>473.03478260869599</v>
      </c>
      <c r="CN115" s="19">
        <v>2.72</v>
      </c>
      <c r="CO115" s="19">
        <v>1002.40869565217</v>
      </c>
      <c r="CP115" s="19">
        <v>5.7640000000000002</v>
      </c>
      <c r="CQ115" s="19">
        <v>374.94782608695601</v>
      </c>
      <c r="CR115" s="19">
        <v>2.1560000000000001</v>
      </c>
      <c r="CS115" s="19">
        <v>210.08695652173901</v>
      </c>
      <c r="CT115" s="19">
        <v>1.208</v>
      </c>
      <c r="CU115" s="19">
        <v>318.94782608695601</v>
      </c>
      <c r="CV115" s="19">
        <v>1.8340000000000001</v>
      </c>
      <c r="CW115" s="19">
        <v>0</v>
      </c>
      <c r="CX115" s="19">
        <v>0</v>
      </c>
      <c r="CY115" s="19">
        <v>609.54782608695598</v>
      </c>
      <c r="CZ115" s="19">
        <v>3.3380000000000001</v>
      </c>
      <c r="DA115" s="19">
        <v>628.20000000000005</v>
      </c>
      <c r="DB115" s="19">
        <v>3.3730000000000002</v>
      </c>
      <c r="DC115" s="19">
        <v>917.38260869565204</v>
      </c>
      <c r="DD115" s="19">
        <v>5.1319999999999997</v>
      </c>
      <c r="DE115" s="19">
        <v>1398.5739130434799</v>
      </c>
      <c r="DF115" s="19">
        <v>8.9350000000000005</v>
      </c>
      <c r="DG115" s="19">
        <v>1949.9130434782601</v>
      </c>
      <c r="DH115" s="19">
        <v>12.458</v>
      </c>
      <c r="DI115" s="19">
        <v>932.09565217391298</v>
      </c>
      <c r="DJ115" s="19">
        <v>5.9550000000000001</v>
      </c>
      <c r="DK115" s="19">
        <v>210</v>
      </c>
      <c r="DL115" s="19">
        <v>1.05</v>
      </c>
      <c r="DM115" s="19">
        <v>169.6</v>
      </c>
      <c r="DN115" s="19">
        <v>0.84799999999999998</v>
      </c>
      <c r="DO115" s="19">
        <v>0</v>
      </c>
      <c r="DP115" s="19">
        <v>0</v>
      </c>
      <c r="DQ115" s="19">
        <v>87.6</v>
      </c>
      <c r="DR115" s="19">
        <v>0.438</v>
      </c>
      <c r="DS115" s="19">
        <v>0</v>
      </c>
      <c r="DT115" s="19">
        <v>0</v>
      </c>
      <c r="DU115" s="19">
        <v>0</v>
      </c>
      <c r="DV115" s="19">
        <v>0</v>
      </c>
      <c r="DW115" s="19">
        <v>0</v>
      </c>
      <c r="DX115" s="19">
        <v>0</v>
      </c>
      <c r="DY115" s="19">
        <v>672.24347826087001</v>
      </c>
      <c r="DZ115" s="19">
        <v>3.5139999999999998</v>
      </c>
      <c r="EA115" s="19">
        <v>485.52173913043498</v>
      </c>
      <c r="EB115" s="19">
        <v>2.5379999999999998</v>
      </c>
      <c r="EC115" s="19">
        <v>632.81739130434801</v>
      </c>
      <c r="ED115" s="19">
        <v>3.3079999999999998</v>
      </c>
      <c r="EE115" s="19">
        <v>567.40869565217395</v>
      </c>
      <c r="EF115" s="19">
        <v>2.9660000000000002</v>
      </c>
      <c r="EG115" s="19">
        <v>84.869565217391298</v>
      </c>
      <c r="EH115" s="19">
        <v>0.48799999999999999</v>
      </c>
      <c r="EI115" s="19">
        <v>631.28695652173894</v>
      </c>
      <c r="EJ115" s="19">
        <v>3.63</v>
      </c>
      <c r="EK115" s="19">
        <v>477.89565217391299</v>
      </c>
      <c r="EL115" s="19">
        <v>2.7480000000000002</v>
      </c>
      <c r="EM115" s="19">
        <v>479.26086956521698</v>
      </c>
      <c r="EN115" s="19">
        <v>2.7559999999999998</v>
      </c>
      <c r="EO115" s="19">
        <v>350.591304347826</v>
      </c>
      <c r="EP115" s="19">
        <v>2.016</v>
      </c>
      <c r="EQ115" s="19">
        <v>326.24347826086898</v>
      </c>
      <c r="ER115" s="19">
        <v>1.8759999999999999</v>
      </c>
      <c r="ES115" s="119">
        <v>393.03478260869599</v>
      </c>
      <c r="ET115" s="119">
        <v>2.2370000000000001</v>
      </c>
    </row>
    <row r="116" spans="1:150" ht="16.5" customHeight="1" x14ac:dyDescent="0.35">
      <c r="A116" s="4">
        <v>202</v>
      </c>
      <c r="B116" s="4" t="str">
        <f>LOOKUP(A116,Lookup!$A$1:$A$34,Lookup!$B$1:$B$34)</f>
        <v>BEEF</v>
      </c>
      <c r="C116" s="5">
        <v>53487</v>
      </c>
      <c r="D116" s="6" t="s">
        <v>119</v>
      </c>
      <c r="E116" s="18">
        <v>2811.8849969381499</v>
      </c>
      <c r="F116" s="18">
        <v>26.218</v>
      </c>
      <c r="G116" s="18">
        <v>199643.83478260899</v>
      </c>
      <c r="H116" s="18">
        <v>1861.4580000000001</v>
      </c>
      <c r="I116" s="19">
        <v>2171.49565217391</v>
      </c>
      <c r="J116" s="19">
        <v>22.704000000000001</v>
      </c>
      <c r="K116" s="19">
        <v>2733.9130434782601</v>
      </c>
      <c r="L116" s="19">
        <v>28.584</v>
      </c>
      <c r="M116" s="19">
        <v>1028.1826086956501</v>
      </c>
      <c r="N116" s="19">
        <v>10.75</v>
      </c>
      <c r="O116" s="19">
        <v>1266.3304347826099</v>
      </c>
      <c r="P116" s="19">
        <v>13.24</v>
      </c>
      <c r="Q116" s="19">
        <v>1966.98260869565</v>
      </c>
      <c r="R116" s="19">
        <v>20.565999999999999</v>
      </c>
      <c r="S116" s="19">
        <v>3530.2347826086998</v>
      </c>
      <c r="T116" s="19">
        <v>36.909999999999997</v>
      </c>
      <c r="U116" s="19">
        <v>2613.94782608696</v>
      </c>
      <c r="V116" s="19">
        <v>27.33</v>
      </c>
      <c r="W116" s="19">
        <v>3638.1043478260899</v>
      </c>
      <c r="X116" s="19">
        <v>41.234999999999999</v>
      </c>
      <c r="Y116" s="19">
        <v>2821.46956521739</v>
      </c>
      <c r="Z116" s="19">
        <v>32.450000000000003</v>
      </c>
      <c r="AA116" s="19">
        <v>5929.7043478260903</v>
      </c>
      <c r="AB116" s="19">
        <v>68.197999999999993</v>
      </c>
      <c r="AC116" s="19">
        <v>6233.5478260869604</v>
      </c>
      <c r="AD116" s="19">
        <v>74.165999999999997</v>
      </c>
      <c r="AE116" s="19">
        <v>4020.3217391304402</v>
      </c>
      <c r="AF116" s="19">
        <v>46.238</v>
      </c>
      <c r="AG116" s="19">
        <v>5012.3565217391297</v>
      </c>
      <c r="AH116" s="19">
        <v>57.648000000000003</v>
      </c>
      <c r="AI116" s="19">
        <v>8319.5565217391304</v>
      </c>
      <c r="AJ116" s="19">
        <v>95.683999999999997</v>
      </c>
      <c r="AK116" s="19">
        <v>3898.3391304347801</v>
      </c>
      <c r="AL116" s="19">
        <v>39.840000000000003</v>
      </c>
      <c r="AM116" s="19">
        <v>2612.2695652173902</v>
      </c>
      <c r="AN116" s="19">
        <v>24.67</v>
      </c>
      <c r="AO116" s="19">
        <v>1424.25217391304</v>
      </c>
      <c r="AP116" s="19">
        <v>12.6</v>
      </c>
      <c r="AQ116" s="19">
        <v>3406.6782608695598</v>
      </c>
      <c r="AR116" s="19">
        <v>30.138000000000002</v>
      </c>
      <c r="AS116" s="19">
        <v>2690.8347826087002</v>
      </c>
      <c r="AT116" s="19">
        <v>30.17</v>
      </c>
      <c r="AU116" s="19">
        <v>3095.54782608696</v>
      </c>
      <c r="AV116" s="19">
        <v>35.503</v>
      </c>
      <c r="AW116" s="19">
        <v>2830.1217391304399</v>
      </c>
      <c r="AX116" s="19">
        <v>29.59</v>
      </c>
      <c r="AY116" s="19">
        <v>4219.98260869565</v>
      </c>
      <c r="AZ116" s="19">
        <v>44.122</v>
      </c>
      <c r="BA116" s="19">
        <v>2202.6956521739098</v>
      </c>
      <c r="BB116" s="19">
        <v>23.03</v>
      </c>
      <c r="BC116" s="19">
        <v>2000.0869565217399</v>
      </c>
      <c r="BD116" s="19">
        <v>20.911999999999999</v>
      </c>
      <c r="BE116" s="19">
        <v>1656.9304347826101</v>
      </c>
      <c r="BF116" s="19">
        <v>12.704000000000001</v>
      </c>
      <c r="BG116" s="19">
        <v>2382.97391304348</v>
      </c>
      <c r="BH116" s="19">
        <v>19.576000000000001</v>
      </c>
      <c r="BI116" s="19">
        <v>0</v>
      </c>
      <c r="BJ116" s="19">
        <v>0</v>
      </c>
      <c r="BK116" s="19">
        <v>0</v>
      </c>
      <c r="BL116" s="19">
        <v>0</v>
      </c>
      <c r="BM116" s="19">
        <v>3065.0695652173899</v>
      </c>
      <c r="BN116" s="19">
        <v>27.116</v>
      </c>
      <c r="BO116" s="19">
        <v>2327.5565217391299</v>
      </c>
      <c r="BP116" s="19">
        <v>19.463999999999999</v>
      </c>
      <c r="BQ116" s="19">
        <v>991.86086956521694</v>
      </c>
      <c r="BR116" s="19">
        <v>8.1479999999999997</v>
      </c>
      <c r="BS116" s="19">
        <v>1526.74782608696</v>
      </c>
      <c r="BT116" s="19">
        <v>12.542</v>
      </c>
      <c r="BU116" s="19">
        <v>2404.4347826087001</v>
      </c>
      <c r="BV116" s="19">
        <v>19.751999999999999</v>
      </c>
      <c r="BW116" s="19">
        <v>975.32173913043505</v>
      </c>
      <c r="BX116" s="19">
        <v>8.0120000000000005</v>
      </c>
      <c r="BY116" s="19">
        <v>1779.9652173913</v>
      </c>
      <c r="BZ116" s="19">
        <v>14.622</v>
      </c>
      <c r="CA116" s="19">
        <v>551.67826086956495</v>
      </c>
      <c r="CB116" s="19">
        <v>4.532</v>
      </c>
      <c r="CC116" s="19">
        <v>1986.8695652173899</v>
      </c>
      <c r="CD116" s="19">
        <v>16.321999999999999</v>
      </c>
      <c r="CE116" s="19">
        <v>1757.79130434783</v>
      </c>
      <c r="CF116" s="19">
        <v>14.44</v>
      </c>
      <c r="CG116" s="19">
        <v>1996.1391304347801</v>
      </c>
      <c r="CH116" s="19">
        <v>16.398</v>
      </c>
      <c r="CI116" s="19">
        <v>2665.9043478260901</v>
      </c>
      <c r="CJ116" s="19">
        <v>21.9</v>
      </c>
      <c r="CK116" s="19">
        <v>3069.5652173912999</v>
      </c>
      <c r="CL116" s="19">
        <v>25.216000000000001</v>
      </c>
      <c r="CM116" s="19">
        <v>1953.52173913043</v>
      </c>
      <c r="CN116" s="19">
        <v>16.047999999999998</v>
      </c>
      <c r="CO116" s="19">
        <v>4380.6173913043503</v>
      </c>
      <c r="CP116" s="19">
        <v>35.985999999999997</v>
      </c>
      <c r="CQ116" s="19">
        <v>2438.7478260869598</v>
      </c>
      <c r="CR116" s="19">
        <v>20.033999999999999</v>
      </c>
      <c r="CS116" s="19">
        <v>964.35652173913002</v>
      </c>
      <c r="CT116" s="19">
        <v>7.9219999999999997</v>
      </c>
      <c r="CU116" s="19">
        <v>1974.21739130435</v>
      </c>
      <c r="CV116" s="19">
        <v>16.218</v>
      </c>
      <c r="CW116" s="19">
        <v>442.121739130435</v>
      </c>
      <c r="CX116" s="19">
        <v>3.6320000000000001</v>
      </c>
      <c r="CY116" s="19">
        <v>2862.4086956521701</v>
      </c>
      <c r="CZ116" s="19">
        <v>23.513999999999999</v>
      </c>
      <c r="DA116" s="19">
        <v>2031.69565217391</v>
      </c>
      <c r="DB116" s="19">
        <v>16.690000000000001</v>
      </c>
      <c r="DC116" s="19">
        <v>2701.6869565217398</v>
      </c>
      <c r="DD116" s="19">
        <v>22.193999999999999</v>
      </c>
      <c r="DE116" s="19">
        <v>2957.0956521739099</v>
      </c>
      <c r="DF116" s="19">
        <v>24.292000000000002</v>
      </c>
      <c r="DG116" s="19">
        <v>7195.7043478260903</v>
      </c>
      <c r="DH116" s="19">
        <v>59.112000000000002</v>
      </c>
      <c r="DI116" s="19">
        <v>4904.5565217391304</v>
      </c>
      <c r="DJ116" s="19">
        <v>40.29</v>
      </c>
      <c r="DK116" s="19">
        <v>2625.7478260869598</v>
      </c>
      <c r="DL116" s="19">
        <v>21.57</v>
      </c>
      <c r="DM116" s="19">
        <v>1914.3652173912999</v>
      </c>
      <c r="DN116" s="19">
        <v>15.726000000000001</v>
      </c>
      <c r="DO116" s="19">
        <v>5046.2260869565198</v>
      </c>
      <c r="DP116" s="19">
        <v>41.454000000000001</v>
      </c>
      <c r="DQ116" s="19">
        <v>1705.70434782609</v>
      </c>
      <c r="DR116" s="19">
        <v>14.012</v>
      </c>
      <c r="DS116" s="19">
        <v>2964.8608695652201</v>
      </c>
      <c r="DT116" s="19">
        <v>24.356000000000002</v>
      </c>
      <c r="DU116" s="19">
        <v>1674.27826086957</v>
      </c>
      <c r="DV116" s="19">
        <v>14.459</v>
      </c>
      <c r="DW116" s="19">
        <v>3149.7478260869598</v>
      </c>
      <c r="DX116" s="19">
        <v>27.864999999999998</v>
      </c>
      <c r="DY116" s="19">
        <v>4892.1826086956498</v>
      </c>
      <c r="DZ116" s="19">
        <v>43.28</v>
      </c>
      <c r="EA116" s="19">
        <v>2855.7304347826098</v>
      </c>
      <c r="EB116" s="19">
        <v>25.263999999999999</v>
      </c>
      <c r="EC116" s="19">
        <v>2346.1826086956498</v>
      </c>
      <c r="ED116" s="19">
        <v>19.274000000000001</v>
      </c>
      <c r="EE116" s="19">
        <v>4577.1478260869599</v>
      </c>
      <c r="EF116" s="19">
        <v>37.814</v>
      </c>
      <c r="EG116" s="19">
        <v>2919.1130434782599</v>
      </c>
      <c r="EH116" s="19">
        <v>23.98</v>
      </c>
      <c r="EI116" s="19">
        <v>4384.1652173912998</v>
      </c>
      <c r="EJ116" s="19">
        <v>36.177999999999997</v>
      </c>
      <c r="EK116" s="19">
        <v>1120.4260869565201</v>
      </c>
      <c r="EL116" s="19">
        <v>9.2040000000000006</v>
      </c>
      <c r="EM116" s="19">
        <v>4882.8260869565202</v>
      </c>
      <c r="EN116" s="19">
        <v>40.112000000000002</v>
      </c>
      <c r="EO116" s="19">
        <v>3236.8956521739101</v>
      </c>
      <c r="EP116" s="19">
        <v>26.646000000000001</v>
      </c>
      <c r="EQ116" s="19">
        <v>3931.6782608695698</v>
      </c>
      <c r="ER116" s="19">
        <v>32.49</v>
      </c>
      <c r="ES116" s="119">
        <v>1804.0608695652199</v>
      </c>
      <c r="ET116" s="119">
        <v>14.82</v>
      </c>
    </row>
    <row r="117" spans="1:150" ht="16.5" customHeight="1" x14ac:dyDescent="0.35">
      <c r="A117" s="4">
        <v>202</v>
      </c>
      <c r="B117" s="4" t="str">
        <f>LOOKUP(A117,Lookup!$A$1:$A$34,Lookup!$B$1:$B$34)</f>
        <v>BEEF</v>
      </c>
      <c r="C117" s="5">
        <v>53924</v>
      </c>
      <c r="D117" s="6" t="s">
        <v>120</v>
      </c>
      <c r="E117" s="18">
        <v>0</v>
      </c>
      <c r="F117" s="18">
        <v>0</v>
      </c>
      <c r="G117" s="18">
        <v>0</v>
      </c>
      <c r="H117" s="18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</v>
      </c>
      <c r="CD117" s="19">
        <v>0</v>
      </c>
      <c r="CE117" s="19">
        <v>0</v>
      </c>
      <c r="CF117" s="19">
        <v>0</v>
      </c>
      <c r="CG117" s="19">
        <v>0</v>
      </c>
      <c r="CH117" s="19">
        <v>0</v>
      </c>
      <c r="CI117" s="19">
        <v>0</v>
      </c>
      <c r="CJ117" s="19">
        <v>0</v>
      </c>
      <c r="CK117" s="19">
        <v>0</v>
      </c>
      <c r="CL117" s="19">
        <v>0</v>
      </c>
      <c r="CM117" s="19">
        <v>0</v>
      </c>
      <c r="CN117" s="19">
        <v>0</v>
      </c>
      <c r="CO117" s="19">
        <v>0</v>
      </c>
      <c r="CP117" s="19">
        <v>0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19">
        <v>0</v>
      </c>
      <c r="DK117" s="19">
        <v>0</v>
      </c>
      <c r="DL117" s="19">
        <v>0</v>
      </c>
      <c r="DM117" s="19">
        <v>0</v>
      </c>
      <c r="DN117" s="19">
        <v>0</v>
      </c>
      <c r="DO117" s="19">
        <v>0</v>
      </c>
      <c r="DP117" s="19">
        <v>0</v>
      </c>
      <c r="DQ117" s="19">
        <v>0</v>
      </c>
      <c r="DR117" s="19">
        <v>0</v>
      </c>
      <c r="DS117" s="19">
        <v>0</v>
      </c>
      <c r="DT117" s="19">
        <v>0</v>
      </c>
      <c r="DU117" s="19">
        <v>0</v>
      </c>
      <c r="DV117" s="19">
        <v>0</v>
      </c>
      <c r="DW117" s="19">
        <v>0</v>
      </c>
      <c r="DX117" s="19">
        <v>0</v>
      </c>
      <c r="DY117" s="19">
        <v>0</v>
      </c>
      <c r="DZ117" s="19">
        <v>0</v>
      </c>
      <c r="EA117" s="19">
        <v>0</v>
      </c>
      <c r="EB117" s="19">
        <v>0</v>
      </c>
      <c r="EC117" s="19">
        <v>0</v>
      </c>
      <c r="ED117" s="19">
        <v>0</v>
      </c>
      <c r="EE117" s="19">
        <v>0</v>
      </c>
      <c r="EF117" s="19">
        <v>0</v>
      </c>
      <c r="EG117" s="19">
        <v>0</v>
      </c>
      <c r="EH117" s="19">
        <v>0</v>
      </c>
      <c r="EI117" s="19">
        <v>0</v>
      </c>
      <c r="EJ117" s="19">
        <v>0</v>
      </c>
      <c r="EK117" s="19">
        <v>0</v>
      </c>
      <c r="EL117" s="19">
        <v>0</v>
      </c>
      <c r="EM117" s="19">
        <v>0</v>
      </c>
      <c r="EN117" s="19">
        <v>0</v>
      </c>
      <c r="EO117" s="19">
        <v>0</v>
      </c>
      <c r="EP117" s="19">
        <v>0</v>
      </c>
      <c r="EQ117" s="19">
        <v>0</v>
      </c>
      <c r="ER117" s="19">
        <v>0</v>
      </c>
      <c r="ES117" s="119">
        <v>0</v>
      </c>
      <c r="ET117" s="119">
        <v>0</v>
      </c>
    </row>
    <row r="118" spans="1:150" ht="16.5" customHeight="1" x14ac:dyDescent="0.35">
      <c r="A118" s="4">
        <v>202</v>
      </c>
      <c r="B118" s="4" t="str">
        <f>LOOKUP(A118,Lookup!$A$1:$A$34,Lookup!$B$1:$B$34)</f>
        <v>BEEF</v>
      </c>
      <c r="C118" s="5">
        <v>54363</v>
      </c>
      <c r="D118" s="6" t="s">
        <v>121</v>
      </c>
      <c r="E118" s="18">
        <v>0</v>
      </c>
      <c r="F118" s="18">
        <v>0</v>
      </c>
      <c r="G118" s="18">
        <v>0</v>
      </c>
      <c r="H118" s="18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</v>
      </c>
      <c r="CD118" s="19">
        <v>0</v>
      </c>
      <c r="CE118" s="19">
        <v>0</v>
      </c>
      <c r="CF118" s="19">
        <v>0</v>
      </c>
      <c r="CG118" s="19">
        <v>0</v>
      </c>
      <c r="CH118" s="19">
        <v>0</v>
      </c>
      <c r="CI118" s="19">
        <v>0</v>
      </c>
      <c r="CJ118" s="19">
        <v>0</v>
      </c>
      <c r="CK118" s="19">
        <v>0</v>
      </c>
      <c r="CL118" s="19">
        <v>0</v>
      </c>
      <c r="CM118" s="19">
        <v>0</v>
      </c>
      <c r="CN118" s="19">
        <v>0</v>
      </c>
      <c r="CO118" s="19">
        <v>0</v>
      </c>
      <c r="CP118" s="19">
        <v>0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19">
        <v>0</v>
      </c>
      <c r="DK118" s="19">
        <v>0</v>
      </c>
      <c r="DL118" s="19">
        <v>0</v>
      </c>
      <c r="DM118" s="19">
        <v>0</v>
      </c>
      <c r="DN118" s="19">
        <v>0</v>
      </c>
      <c r="DO118" s="19">
        <v>0</v>
      </c>
      <c r="DP118" s="19">
        <v>0</v>
      </c>
      <c r="DQ118" s="19">
        <v>0</v>
      </c>
      <c r="DR118" s="19">
        <v>0</v>
      </c>
      <c r="DS118" s="19">
        <v>0</v>
      </c>
      <c r="DT118" s="19">
        <v>0</v>
      </c>
      <c r="DU118" s="19">
        <v>0</v>
      </c>
      <c r="DV118" s="19">
        <v>0</v>
      </c>
      <c r="DW118" s="19">
        <v>0</v>
      </c>
      <c r="DX118" s="19">
        <v>0</v>
      </c>
      <c r="DY118" s="19">
        <v>0</v>
      </c>
      <c r="DZ118" s="19">
        <v>0</v>
      </c>
      <c r="EA118" s="19">
        <v>0</v>
      </c>
      <c r="EB118" s="19">
        <v>0</v>
      </c>
      <c r="EC118" s="19">
        <v>0</v>
      </c>
      <c r="ED118" s="19">
        <v>0</v>
      </c>
      <c r="EE118" s="19">
        <v>0</v>
      </c>
      <c r="EF118" s="19">
        <v>0</v>
      </c>
      <c r="EG118" s="19">
        <v>0</v>
      </c>
      <c r="EH118" s="19">
        <v>0</v>
      </c>
      <c r="EI118" s="19">
        <v>0</v>
      </c>
      <c r="EJ118" s="19">
        <v>0</v>
      </c>
      <c r="EK118" s="19">
        <v>0</v>
      </c>
      <c r="EL118" s="19">
        <v>0</v>
      </c>
      <c r="EM118" s="19">
        <v>0</v>
      </c>
      <c r="EN118" s="19">
        <v>0</v>
      </c>
      <c r="EO118" s="19">
        <v>0</v>
      </c>
      <c r="EP118" s="19">
        <v>0</v>
      </c>
      <c r="EQ118" s="19">
        <v>0</v>
      </c>
      <c r="ER118" s="19">
        <v>0</v>
      </c>
      <c r="ES118" s="119">
        <v>0</v>
      </c>
      <c r="ET118" s="119">
        <v>0</v>
      </c>
    </row>
    <row r="119" spans="1:150" ht="16.5" customHeight="1" x14ac:dyDescent="0.35">
      <c r="A119" s="4">
        <v>202</v>
      </c>
      <c r="B119" s="4" t="str">
        <f>LOOKUP(A119,Lookup!$A$1:$A$34,Lookup!$B$1:$B$34)</f>
        <v>BEEF</v>
      </c>
      <c r="C119" s="5">
        <v>54855</v>
      </c>
      <c r="D119" s="6" t="s">
        <v>122</v>
      </c>
      <c r="E119" s="18">
        <v>12.8319657072872</v>
      </c>
      <c r="F119" s="18">
        <v>7.9000000000000001E-2</v>
      </c>
      <c r="G119" s="18">
        <v>911.06956521739096</v>
      </c>
      <c r="H119" s="18">
        <v>5.6020000000000003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467.33043478260902</v>
      </c>
      <c r="AZ119" s="19">
        <v>2.9860000000000002</v>
      </c>
      <c r="BA119" s="19">
        <v>100.791304347826</v>
      </c>
      <c r="BB119" s="19">
        <v>0.64400000000000002</v>
      </c>
      <c r="BC119" s="19">
        <v>0</v>
      </c>
      <c r="BD119" s="19">
        <v>0</v>
      </c>
      <c r="BE119" s="19">
        <v>342.94782608695698</v>
      </c>
      <c r="BF119" s="19">
        <v>1.972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</v>
      </c>
      <c r="CD119" s="19">
        <v>0</v>
      </c>
      <c r="CE119" s="19">
        <v>0</v>
      </c>
      <c r="CF119" s="19">
        <v>0</v>
      </c>
      <c r="CG119" s="19">
        <v>0</v>
      </c>
      <c r="CH119" s="19">
        <v>0</v>
      </c>
      <c r="CI119" s="19">
        <v>0</v>
      </c>
      <c r="CJ119" s="19">
        <v>0</v>
      </c>
      <c r="CK119" s="19">
        <v>0</v>
      </c>
      <c r="CL119" s="19">
        <v>0</v>
      </c>
      <c r="CM119" s="19">
        <v>0</v>
      </c>
      <c r="CN119" s="19">
        <v>0</v>
      </c>
      <c r="CO119" s="19">
        <v>0</v>
      </c>
      <c r="CP119" s="19">
        <v>0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19">
        <v>0</v>
      </c>
      <c r="DK119" s="19">
        <v>0</v>
      </c>
      <c r="DL119" s="19">
        <v>0</v>
      </c>
      <c r="DM119" s="19">
        <v>0</v>
      </c>
      <c r="DN119" s="19">
        <v>0</v>
      </c>
      <c r="DO119" s="19">
        <v>0</v>
      </c>
      <c r="DP119" s="19">
        <v>0</v>
      </c>
      <c r="DQ119" s="19">
        <v>0</v>
      </c>
      <c r="DR119" s="19">
        <v>0</v>
      </c>
      <c r="DS119" s="19">
        <v>0</v>
      </c>
      <c r="DT119" s="19">
        <v>0</v>
      </c>
      <c r="DU119" s="19">
        <v>0</v>
      </c>
      <c r="DV119" s="19">
        <v>0</v>
      </c>
      <c r="DW119" s="19">
        <v>0</v>
      </c>
      <c r="DX119" s="19">
        <v>0</v>
      </c>
      <c r="DY119" s="19">
        <v>0</v>
      </c>
      <c r="DZ119" s="19">
        <v>0</v>
      </c>
      <c r="EA119" s="19">
        <v>0</v>
      </c>
      <c r="EB119" s="19">
        <v>0</v>
      </c>
      <c r="EC119" s="19">
        <v>0</v>
      </c>
      <c r="ED119" s="19">
        <v>0</v>
      </c>
      <c r="EE119" s="19">
        <v>0</v>
      </c>
      <c r="EF119" s="19">
        <v>0</v>
      </c>
      <c r="EG119" s="19">
        <v>0</v>
      </c>
      <c r="EH119" s="19">
        <v>0</v>
      </c>
      <c r="EI119" s="19">
        <v>0</v>
      </c>
      <c r="EJ119" s="19">
        <v>0</v>
      </c>
      <c r="EK119" s="19">
        <v>0</v>
      </c>
      <c r="EL119" s="19">
        <v>0</v>
      </c>
      <c r="EM119" s="19">
        <v>0</v>
      </c>
      <c r="EN119" s="19">
        <v>0</v>
      </c>
      <c r="EO119" s="19">
        <v>0</v>
      </c>
      <c r="EP119" s="19">
        <v>0</v>
      </c>
      <c r="EQ119" s="19">
        <v>0</v>
      </c>
      <c r="ER119" s="19">
        <v>0</v>
      </c>
      <c r="ES119" s="119">
        <v>0</v>
      </c>
      <c r="ET119" s="119">
        <v>0</v>
      </c>
    </row>
    <row r="120" spans="1:150" ht="16.5" customHeight="1" x14ac:dyDescent="0.35">
      <c r="A120" s="4">
        <v>202</v>
      </c>
      <c r="B120" s="4" t="str">
        <f>LOOKUP(A120,Lookup!$A$1:$A$34,Lookup!$B$1:$B$34)</f>
        <v>BEEF</v>
      </c>
      <c r="C120" s="5">
        <v>58817</v>
      </c>
      <c r="D120" s="6" t="s">
        <v>123</v>
      </c>
      <c r="E120" s="18">
        <v>354.62559706062501</v>
      </c>
      <c r="F120" s="18">
        <v>2.657</v>
      </c>
      <c r="G120" s="18">
        <v>25178.417391304301</v>
      </c>
      <c r="H120" s="18">
        <v>188.64599999999999</v>
      </c>
      <c r="I120" s="19">
        <v>182.45217391304399</v>
      </c>
      <c r="J120" s="19">
        <v>1.6140000000000001</v>
      </c>
      <c r="K120" s="19">
        <v>534</v>
      </c>
      <c r="L120" s="19">
        <v>4.7240000000000002</v>
      </c>
      <c r="M120" s="19">
        <v>72.8</v>
      </c>
      <c r="N120" s="19">
        <v>0.64400000000000002</v>
      </c>
      <c r="O120" s="19">
        <v>458.50434782608698</v>
      </c>
      <c r="P120" s="19">
        <v>4.056</v>
      </c>
      <c r="Q120" s="19">
        <v>181.426086956522</v>
      </c>
      <c r="R120" s="19">
        <v>1.6240000000000001</v>
      </c>
      <c r="S120" s="19">
        <v>561.147826086956</v>
      </c>
      <c r="T120" s="19">
        <v>4.9640000000000004</v>
      </c>
      <c r="U120" s="19">
        <v>405.81739130434801</v>
      </c>
      <c r="V120" s="19">
        <v>3.59</v>
      </c>
      <c r="W120" s="19">
        <v>424.573913043478</v>
      </c>
      <c r="X120" s="19">
        <v>3.7559999999999998</v>
      </c>
      <c r="Y120" s="19">
        <v>417.58260869565203</v>
      </c>
      <c r="Z120" s="19">
        <v>3.694</v>
      </c>
      <c r="AA120" s="19">
        <v>626.48695652173899</v>
      </c>
      <c r="AB120" s="19">
        <v>5.5419999999999998</v>
      </c>
      <c r="AC120" s="19">
        <v>361.286956521739</v>
      </c>
      <c r="AD120" s="19">
        <v>3.1960000000000002</v>
      </c>
      <c r="AE120" s="19">
        <v>651.39130434782601</v>
      </c>
      <c r="AF120" s="19">
        <v>5.7939999999999996</v>
      </c>
      <c r="AG120" s="19">
        <v>590.50434782608704</v>
      </c>
      <c r="AH120" s="19">
        <v>5.2240000000000002</v>
      </c>
      <c r="AI120" s="19">
        <v>228.73913043478299</v>
      </c>
      <c r="AJ120" s="19">
        <v>2.0459999999999998</v>
      </c>
      <c r="AK120" s="19">
        <v>461.286956521739</v>
      </c>
      <c r="AL120" s="19">
        <v>3.734</v>
      </c>
      <c r="AM120" s="19">
        <v>471.64347826086998</v>
      </c>
      <c r="AN120" s="19">
        <v>3.34</v>
      </c>
      <c r="AO120" s="19">
        <v>165.269565217391</v>
      </c>
      <c r="AP120" s="19">
        <v>1.1180000000000001</v>
      </c>
      <c r="AQ120" s="19">
        <v>183.89565217391299</v>
      </c>
      <c r="AR120" s="19">
        <v>1.244</v>
      </c>
      <c r="AS120" s="19">
        <v>381.97391304347798</v>
      </c>
      <c r="AT120" s="19">
        <v>2.5840000000000001</v>
      </c>
      <c r="AU120" s="19">
        <v>477.77391304347799</v>
      </c>
      <c r="AV120" s="19">
        <v>3.2320000000000002</v>
      </c>
      <c r="AW120" s="19">
        <v>421.6</v>
      </c>
      <c r="AX120" s="19">
        <v>2.8519999999999999</v>
      </c>
      <c r="AY120" s="19">
        <v>412.139130434783</v>
      </c>
      <c r="AZ120" s="19">
        <v>2.7879999999999998</v>
      </c>
      <c r="BA120" s="19">
        <v>192.75652173912999</v>
      </c>
      <c r="BB120" s="19">
        <v>1.304</v>
      </c>
      <c r="BC120" s="19">
        <v>228.834782608696</v>
      </c>
      <c r="BD120" s="19">
        <v>1.548</v>
      </c>
      <c r="BE120" s="19">
        <v>211.93913043478301</v>
      </c>
      <c r="BF120" s="19">
        <v>1.3240000000000001</v>
      </c>
      <c r="BG120" s="19">
        <v>458.96521739130401</v>
      </c>
      <c r="BH120" s="19">
        <v>2.9319999999999999</v>
      </c>
      <c r="BI120" s="19">
        <v>129.286956521739</v>
      </c>
      <c r="BJ120" s="19">
        <v>0.84799999999999998</v>
      </c>
      <c r="BK120" s="19">
        <v>443.77391304347799</v>
      </c>
      <c r="BL120" s="19">
        <v>3.0019999999999998</v>
      </c>
      <c r="BM120" s="19">
        <v>218.93913043478301</v>
      </c>
      <c r="BN120" s="19">
        <v>1.5740000000000001</v>
      </c>
      <c r="BO120" s="19">
        <v>388.730434782609</v>
      </c>
      <c r="BP120" s="19">
        <v>2.794</v>
      </c>
      <c r="BQ120" s="19">
        <v>618.29565217391303</v>
      </c>
      <c r="BR120" s="19">
        <v>4.444</v>
      </c>
      <c r="BS120" s="19">
        <v>484.730434782609</v>
      </c>
      <c r="BT120" s="19">
        <v>3.5459999999999998</v>
      </c>
      <c r="BU120" s="19">
        <v>270.74782608695699</v>
      </c>
      <c r="BV120" s="19">
        <v>1.946</v>
      </c>
      <c r="BW120" s="19">
        <v>280.76521739130402</v>
      </c>
      <c r="BX120" s="19">
        <v>2.0179999999999998</v>
      </c>
      <c r="BY120" s="19">
        <v>427.88695652173902</v>
      </c>
      <c r="BZ120" s="19">
        <v>2.96</v>
      </c>
      <c r="CA120" s="19">
        <v>348.10434782608701</v>
      </c>
      <c r="CB120" s="19">
        <v>2.2240000000000002</v>
      </c>
      <c r="CC120" s="19">
        <v>374.20869565217401</v>
      </c>
      <c r="CD120" s="19">
        <v>2.4079999999999999</v>
      </c>
      <c r="CE120" s="19">
        <v>320.86956521739103</v>
      </c>
      <c r="CF120" s="19">
        <v>2.0499999999999998</v>
      </c>
      <c r="CG120" s="19">
        <v>110.81739130434801</v>
      </c>
      <c r="CH120" s="19">
        <v>0.70799999999999996</v>
      </c>
      <c r="CI120" s="19">
        <v>372.834782608696</v>
      </c>
      <c r="CJ120" s="19">
        <v>2.3820000000000001</v>
      </c>
      <c r="CK120" s="19">
        <v>371.89565217391299</v>
      </c>
      <c r="CL120" s="19">
        <v>2.3759999999999999</v>
      </c>
      <c r="CM120" s="19">
        <v>351.23478260869598</v>
      </c>
      <c r="CN120" s="19">
        <v>2.2440000000000002</v>
      </c>
      <c r="CO120" s="19">
        <v>574.43478260869597</v>
      </c>
      <c r="CP120" s="19">
        <v>3.67</v>
      </c>
      <c r="CQ120" s="19">
        <v>794.19130434782596</v>
      </c>
      <c r="CR120" s="19">
        <v>5.0739999999999998</v>
      </c>
      <c r="CS120" s="19">
        <v>317.426086956522</v>
      </c>
      <c r="CT120" s="19">
        <v>2.004</v>
      </c>
      <c r="CU120" s="19">
        <v>710.64347826086998</v>
      </c>
      <c r="CV120" s="19">
        <v>4.3940000000000001</v>
      </c>
      <c r="CW120" s="19">
        <v>146.852173913043</v>
      </c>
      <c r="CX120" s="19">
        <v>0.90800000000000003</v>
      </c>
      <c r="CY120" s="19">
        <v>269.76521739130402</v>
      </c>
      <c r="CZ120" s="19">
        <v>1.698</v>
      </c>
      <c r="DA120" s="19">
        <v>407.68695652173898</v>
      </c>
      <c r="DB120" s="19">
        <v>2.605</v>
      </c>
      <c r="DC120" s="19">
        <v>59.791304347826099</v>
      </c>
      <c r="DD120" s="19">
        <v>0.38200000000000001</v>
      </c>
      <c r="DE120" s="19">
        <v>0</v>
      </c>
      <c r="DF120" s="19">
        <v>0</v>
      </c>
      <c r="DG120" s="19">
        <v>52.904347826086997</v>
      </c>
      <c r="DH120" s="19">
        <v>0.33800000000000002</v>
      </c>
      <c r="DI120" s="19">
        <v>226.8</v>
      </c>
      <c r="DJ120" s="19">
        <v>1.54</v>
      </c>
      <c r="DK120" s="19">
        <v>351.99130434782597</v>
      </c>
      <c r="DL120" s="19">
        <v>2.5299999999999998</v>
      </c>
      <c r="DM120" s="19">
        <v>557.07826086956504</v>
      </c>
      <c r="DN120" s="19">
        <v>4.0039999999999996</v>
      </c>
      <c r="DO120" s="19">
        <v>256.15652173913003</v>
      </c>
      <c r="DP120" s="19">
        <v>1.8560000000000001</v>
      </c>
      <c r="DQ120" s="19">
        <v>646.39130434782601</v>
      </c>
      <c r="DR120" s="19">
        <v>4.6459999999999999</v>
      </c>
      <c r="DS120" s="19">
        <v>403.79130434782599</v>
      </c>
      <c r="DT120" s="19">
        <v>3.024</v>
      </c>
      <c r="DU120" s="19">
        <v>253.80869565217401</v>
      </c>
      <c r="DV120" s="19">
        <v>1.964</v>
      </c>
      <c r="DW120" s="19">
        <v>346.29565217391303</v>
      </c>
      <c r="DX120" s="19">
        <v>2.8450000000000002</v>
      </c>
      <c r="DY120" s="19">
        <v>0</v>
      </c>
      <c r="DZ120" s="19">
        <v>0</v>
      </c>
      <c r="EA120" s="19">
        <v>320.07826086956499</v>
      </c>
      <c r="EB120" s="19">
        <v>2.6459999999999999</v>
      </c>
      <c r="EC120" s="19">
        <v>379.33043478260902</v>
      </c>
      <c r="ED120" s="19">
        <v>3.1160000000000001</v>
      </c>
      <c r="EE120" s="19">
        <v>242.017391304348</v>
      </c>
      <c r="EF120" s="19">
        <v>1.988</v>
      </c>
      <c r="EG120" s="19">
        <v>127.18260869565199</v>
      </c>
      <c r="EH120" s="19">
        <v>1.0820000000000001</v>
      </c>
      <c r="EI120" s="19">
        <v>143.826086956522</v>
      </c>
      <c r="EJ120" s="19">
        <v>1.202</v>
      </c>
      <c r="EK120" s="19">
        <v>251.51304347826101</v>
      </c>
      <c r="EL120" s="19">
        <v>2.0659999999999998</v>
      </c>
      <c r="EM120" s="19">
        <v>774.96521739130401</v>
      </c>
      <c r="EN120" s="19">
        <v>6.3840000000000003</v>
      </c>
      <c r="EO120" s="19">
        <v>344.50434782608698</v>
      </c>
      <c r="EP120" s="19">
        <v>2.83</v>
      </c>
      <c r="EQ120" s="19">
        <v>739.41739130434803</v>
      </c>
      <c r="ER120" s="19">
        <v>6.0739999999999998</v>
      </c>
      <c r="ES120" s="119">
        <v>386.13043478260897</v>
      </c>
      <c r="ET120" s="119">
        <v>3.4159999999999999</v>
      </c>
    </row>
    <row r="121" spans="1:150" ht="16.5" customHeight="1" x14ac:dyDescent="0.35">
      <c r="A121" s="4">
        <v>202</v>
      </c>
      <c r="B121" s="4" t="str">
        <f>LOOKUP(A121,Lookup!$A$1:$A$34,Lookup!$B$1:$B$34)</f>
        <v>BEEF</v>
      </c>
      <c r="C121" s="5">
        <v>62790</v>
      </c>
      <c r="D121" s="6" t="s">
        <v>124</v>
      </c>
      <c r="E121" s="18">
        <v>414.43308128544402</v>
      </c>
      <c r="F121" s="18">
        <v>3.4409999999999998</v>
      </c>
      <c r="G121" s="18">
        <v>19063.921739130401</v>
      </c>
      <c r="H121" s="18">
        <v>158.268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610.16521739130405</v>
      </c>
      <c r="BH121" s="19">
        <v>5.16</v>
      </c>
      <c r="BI121" s="19">
        <v>145.68695652173901</v>
      </c>
      <c r="BJ121" s="19">
        <v>1.232</v>
      </c>
      <c r="BK121" s="19">
        <v>390.05217391304302</v>
      </c>
      <c r="BL121" s="19">
        <v>3.476</v>
      </c>
      <c r="BM121" s="19">
        <v>589.25217391304398</v>
      </c>
      <c r="BN121" s="19">
        <v>5.25</v>
      </c>
      <c r="BO121" s="19">
        <v>578.95652173913004</v>
      </c>
      <c r="BP121" s="19">
        <v>4.8959999999999999</v>
      </c>
      <c r="BQ121" s="19">
        <v>105.573913043478</v>
      </c>
      <c r="BR121" s="19">
        <v>0.89200000000000002</v>
      </c>
      <c r="BS121" s="19">
        <v>777.08695652173901</v>
      </c>
      <c r="BT121" s="19">
        <v>6.5919999999999996</v>
      </c>
      <c r="BU121" s="19">
        <v>600.96521739130401</v>
      </c>
      <c r="BV121" s="19">
        <v>5.0819999999999999</v>
      </c>
      <c r="BW121" s="19">
        <v>371.55652173913001</v>
      </c>
      <c r="BX121" s="19">
        <v>3.1419999999999999</v>
      </c>
      <c r="BY121" s="19">
        <v>550.11304347826103</v>
      </c>
      <c r="BZ121" s="19">
        <v>4.6520000000000001</v>
      </c>
      <c r="CA121" s="19">
        <v>0</v>
      </c>
      <c r="CB121" s="19">
        <v>0</v>
      </c>
      <c r="CC121" s="19">
        <v>311.713043478261</v>
      </c>
      <c r="CD121" s="19">
        <v>2.6360000000000001</v>
      </c>
      <c r="CE121" s="19">
        <v>487.67826086956501</v>
      </c>
      <c r="CF121" s="19">
        <v>4.1239999999999997</v>
      </c>
      <c r="CG121" s="19">
        <v>388.10434782608701</v>
      </c>
      <c r="CH121" s="19">
        <v>3.282</v>
      </c>
      <c r="CI121" s="19">
        <v>0</v>
      </c>
      <c r="CJ121" s="19">
        <v>0</v>
      </c>
      <c r="CK121" s="19">
        <v>315.73913043478302</v>
      </c>
      <c r="CL121" s="19">
        <v>2.67</v>
      </c>
      <c r="CM121" s="19">
        <v>317.62608695652199</v>
      </c>
      <c r="CN121" s="19">
        <v>2.6859999999999999</v>
      </c>
      <c r="CO121" s="19">
        <v>879.79130434782599</v>
      </c>
      <c r="CP121" s="19">
        <v>6.8179999999999996</v>
      </c>
      <c r="CQ121" s="19">
        <v>1241.8173913043499</v>
      </c>
      <c r="CR121" s="19">
        <v>9.52</v>
      </c>
      <c r="CS121" s="19">
        <v>101.47826086956501</v>
      </c>
      <c r="CT121" s="19">
        <v>0.77800000000000002</v>
      </c>
      <c r="CU121" s="19">
        <v>901.73913043478296</v>
      </c>
      <c r="CV121" s="19">
        <v>6.9139999999999997</v>
      </c>
      <c r="CW121" s="19">
        <v>182.591304347826</v>
      </c>
      <c r="CX121" s="19">
        <v>1.4</v>
      </c>
      <c r="CY121" s="19">
        <v>85.556521739130403</v>
      </c>
      <c r="CZ121" s="19">
        <v>0.65600000000000003</v>
      </c>
      <c r="DA121" s="19">
        <v>0</v>
      </c>
      <c r="DB121" s="19">
        <v>0</v>
      </c>
      <c r="DC121" s="19">
        <v>1124.52173913043</v>
      </c>
      <c r="DD121" s="19">
        <v>8.6219999999999999</v>
      </c>
      <c r="DE121" s="19">
        <v>971.38260869565204</v>
      </c>
      <c r="DF121" s="19">
        <v>7.4480000000000004</v>
      </c>
      <c r="DG121" s="19">
        <v>485.43478260869603</v>
      </c>
      <c r="DH121" s="19">
        <v>3.722</v>
      </c>
      <c r="DI121" s="19">
        <v>0</v>
      </c>
      <c r="DJ121" s="19">
        <v>0</v>
      </c>
      <c r="DK121" s="19">
        <v>486.47826086956502</v>
      </c>
      <c r="DL121" s="19">
        <v>3.73</v>
      </c>
      <c r="DM121" s="19">
        <v>509.165217391304</v>
      </c>
      <c r="DN121" s="19">
        <v>3.9039999999999999</v>
      </c>
      <c r="DO121" s="19">
        <v>602.29565217391303</v>
      </c>
      <c r="DP121" s="19">
        <v>4.6180000000000003</v>
      </c>
      <c r="DQ121" s="19">
        <v>558.13043478260897</v>
      </c>
      <c r="DR121" s="19">
        <v>4.5419999999999998</v>
      </c>
      <c r="DS121" s="19">
        <v>595.72173913043503</v>
      </c>
      <c r="DT121" s="19">
        <v>5.117</v>
      </c>
      <c r="DU121" s="19">
        <v>123.721739130435</v>
      </c>
      <c r="DV121" s="19">
        <v>1.095</v>
      </c>
      <c r="DW121" s="19">
        <v>278.29565217391303</v>
      </c>
      <c r="DX121" s="19">
        <v>2.4620000000000002</v>
      </c>
      <c r="DY121" s="19">
        <v>900.84347826087003</v>
      </c>
      <c r="DZ121" s="19">
        <v>8.6340000000000003</v>
      </c>
      <c r="EA121" s="19">
        <v>604.10434782608695</v>
      </c>
      <c r="EB121" s="19">
        <v>5.79</v>
      </c>
      <c r="EC121" s="19">
        <v>0</v>
      </c>
      <c r="ED121" s="19">
        <v>0</v>
      </c>
      <c r="EE121" s="19">
        <v>218.38260869565201</v>
      </c>
      <c r="EF121" s="19">
        <v>1.9319999999999999</v>
      </c>
      <c r="EG121" s="19">
        <v>1268.4434782608701</v>
      </c>
      <c r="EH121" s="19">
        <v>11.222</v>
      </c>
      <c r="EI121" s="19">
        <v>403.75652173912999</v>
      </c>
      <c r="EJ121" s="19">
        <v>3.5720000000000001</v>
      </c>
      <c r="EK121" s="19">
        <v>0</v>
      </c>
      <c r="EL121" s="19">
        <v>0</v>
      </c>
      <c r="EM121" s="19">
        <v>0</v>
      </c>
      <c r="EN121" s="19">
        <v>0</v>
      </c>
      <c r="EO121" s="19">
        <v>0</v>
      </c>
      <c r="EP121" s="19">
        <v>0</v>
      </c>
      <c r="EQ121" s="19">
        <v>0</v>
      </c>
      <c r="ER121" s="19">
        <v>0</v>
      </c>
      <c r="ES121" s="119">
        <v>0</v>
      </c>
      <c r="ET121" s="119">
        <v>0</v>
      </c>
    </row>
    <row r="122" spans="1:150" ht="16.5" customHeight="1" x14ac:dyDescent="0.35">
      <c r="A122" s="4">
        <v>202</v>
      </c>
      <c r="B122" s="4" t="str">
        <f>LOOKUP(A122,Lookup!$A$1:$A$34,Lookup!$B$1:$B$34)</f>
        <v>BEEF</v>
      </c>
      <c r="C122" s="5">
        <v>63220</v>
      </c>
      <c r="D122" s="6" t="s">
        <v>125</v>
      </c>
      <c r="E122" s="18">
        <v>0</v>
      </c>
      <c r="F122" s="18">
        <v>0</v>
      </c>
      <c r="G122" s="18">
        <v>0</v>
      </c>
      <c r="H122" s="18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0</v>
      </c>
      <c r="CD122" s="19">
        <v>0</v>
      </c>
      <c r="CE122" s="19">
        <v>0</v>
      </c>
      <c r="CF122" s="19">
        <v>0</v>
      </c>
      <c r="CG122" s="19">
        <v>0</v>
      </c>
      <c r="CH122" s="19">
        <v>0</v>
      </c>
      <c r="CI122" s="19">
        <v>0</v>
      </c>
      <c r="CJ122" s="19">
        <v>0</v>
      </c>
      <c r="CK122" s="19">
        <v>0</v>
      </c>
      <c r="CL122" s="19">
        <v>0</v>
      </c>
      <c r="CM122" s="19">
        <v>0</v>
      </c>
      <c r="CN122" s="19">
        <v>0</v>
      </c>
      <c r="CO122" s="19">
        <v>0</v>
      </c>
      <c r="CP122" s="19">
        <v>0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19">
        <v>0</v>
      </c>
      <c r="DU122" s="19">
        <v>0</v>
      </c>
      <c r="DV122" s="19">
        <v>0</v>
      </c>
      <c r="DW122" s="19">
        <v>0</v>
      </c>
      <c r="DX122" s="19">
        <v>0</v>
      </c>
      <c r="DY122" s="19">
        <v>0</v>
      </c>
      <c r="DZ122" s="19">
        <v>0</v>
      </c>
      <c r="EA122" s="19">
        <v>0</v>
      </c>
      <c r="EB122" s="19">
        <v>0</v>
      </c>
      <c r="EC122" s="19">
        <v>0</v>
      </c>
      <c r="ED122" s="19">
        <v>0</v>
      </c>
      <c r="EE122" s="19">
        <v>0</v>
      </c>
      <c r="EF122" s="19">
        <v>0</v>
      </c>
      <c r="EG122" s="19">
        <v>0</v>
      </c>
      <c r="EH122" s="19">
        <v>0</v>
      </c>
      <c r="EI122" s="19">
        <v>0</v>
      </c>
      <c r="EJ122" s="19">
        <v>0</v>
      </c>
      <c r="EK122" s="19">
        <v>0</v>
      </c>
      <c r="EL122" s="19">
        <v>0</v>
      </c>
      <c r="EM122" s="19">
        <v>0</v>
      </c>
      <c r="EN122" s="19">
        <v>0</v>
      </c>
      <c r="EO122" s="19">
        <v>0</v>
      </c>
      <c r="EP122" s="19">
        <v>0</v>
      </c>
      <c r="EQ122" s="19">
        <v>0</v>
      </c>
      <c r="ER122" s="19">
        <v>0</v>
      </c>
      <c r="ES122" s="119">
        <v>0</v>
      </c>
      <c r="ET122" s="119">
        <v>0</v>
      </c>
    </row>
    <row r="123" spans="1:150" ht="16.5" customHeight="1" x14ac:dyDescent="0.35">
      <c r="A123" s="4">
        <v>202</v>
      </c>
      <c r="B123" s="4" t="str">
        <f>LOOKUP(A123,Lookup!$A$1:$A$34,Lookup!$B$1:$B$34)</f>
        <v>BEEF</v>
      </c>
      <c r="C123" s="5">
        <v>63473</v>
      </c>
      <c r="D123" s="6" t="s">
        <v>67</v>
      </c>
      <c r="E123" s="18">
        <v>169.49908466819201</v>
      </c>
      <c r="F123" s="18">
        <v>1.4370000000000001</v>
      </c>
      <c r="G123" s="18">
        <v>6440.9652173913</v>
      </c>
      <c r="H123" s="18">
        <v>54.595999999999997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708.10434782608695</v>
      </c>
      <c r="BX123" s="19">
        <v>5.9880000000000004</v>
      </c>
      <c r="BY123" s="19">
        <v>318.10434782608701</v>
      </c>
      <c r="BZ123" s="19">
        <v>2.69</v>
      </c>
      <c r="CA123" s="19">
        <v>1301.46086956522</v>
      </c>
      <c r="CB123" s="19">
        <v>11.055999999999999</v>
      </c>
      <c r="CC123" s="19">
        <v>929.695652173913</v>
      </c>
      <c r="CD123" s="19">
        <v>7.8620000000000001</v>
      </c>
      <c r="CE123" s="19">
        <v>516.99130434782603</v>
      </c>
      <c r="CF123" s="19">
        <v>4.3719999999999999</v>
      </c>
      <c r="CG123" s="19">
        <v>0</v>
      </c>
      <c r="CH123" s="19">
        <v>0</v>
      </c>
      <c r="CI123" s="19">
        <v>0</v>
      </c>
      <c r="CJ123" s="19">
        <v>0</v>
      </c>
      <c r="CK123" s="19">
        <v>0</v>
      </c>
      <c r="CL123" s="19">
        <v>0</v>
      </c>
      <c r="CM123" s="19">
        <v>701</v>
      </c>
      <c r="CN123" s="19">
        <v>5.9279999999999999</v>
      </c>
      <c r="CO123" s="19">
        <v>0</v>
      </c>
      <c r="CP123" s="19">
        <v>0</v>
      </c>
      <c r="CQ123" s="19">
        <v>0</v>
      </c>
      <c r="CR123" s="19">
        <v>0</v>
      </c>
      <c r="CS123" s="19">
        <v>207.65217391304299</v>
      </c>
      <c r="CT123" s="19">
        <v>1.756</v>
      </c>
      <c r="CU123" s="19">
        <v>0</v>
      </c>
      <c r="CV123" s="19">
        <v>0</v>
      </c>
      <c r="CW123" s="19">
        <v>0</v>
      </c>
      <c r="CX123" s="19">
        <v>0</v>
      </c>
      <c r="CY123" s="19">
        <v>344.09565217391298</v>
      </c>
      <c r="CZ123" s="19">
        <v>2.9359999999999999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  <c r="DK123" s="19">
        <v>680.46086956521697</v>
      </c>
      <c r="DL123" s="19">
        <v>5.806</v>
      </c>
      <c r="DM123" s="19">
        <v>0</v>
      </c>
      <c r="DN123" s="19">
        <v>0</v>
      </c>
      <c r="DO123" s="19">
        <v>247.61739130434799</v>
      </c>
      <c r="DP123" s="19">
        <v>2.0939999999999999</v>
      </c>
      <c r="DQ123" s="19">
        <v>224.67826086956501</v>
      </c>
      <c r="DR123" s="19">
        <v>1.9</v>
      </c>
      <c r="DS123" s="19">
        <v>261.10434782608701</v>
      </c>
      <c r="DT123" s="19">
        <v>2.2080000000000002</v>
      </c>
      <c r="DU123" s="19">
        <v>0</v>
      </c>
      <c r="DV123" s="19">
        <v>0</v>
      </c>
      <c r="DW123" s="19">
        <v>0</v>
      </c>
      <c r="DX123" s="19">
        <v>0</v>
      </c>
      <c r="DY123" s="19">
        <v>0</v>
      </c>
      <c r="DZ123" s="19">
        <v>0</v>
      </c>
      <c r="EA123" s="19">
        <v>0</v>
      </c>
      <c r="EB123" s="19">
        <v>0</v>
      </c>
      <c r="EC123" s="19">
        <v>0</v>
      </c>
      <c r="ED123" s="19">
        <v>0</v>
      </c>
      <c r="EE123" s="19">
        <v>0</v>
      </c>
      <c r="EF123" s="19">
        <v>0</v>
      </c>
      <c r="EG123" s="19">
        <v>0</v>
      </c>
      <c r="EH123" s="19">
        <v>0</v>
      </c>
      <c r="EI123" s="19">
        <v>0</v>
      </c>
      <c r="EJ123" s="19">
        <v>0</v>
      </c>
      <c r="EK123" s="19">
        <v>0</v>
      </c>
      <c r="EL123" s="19">
        <v>0</v>
      </c>
      <c r="EM123" s="19">
        <v>0</v>
      </c>
      <c r="EN123" s="19">
        <v>0</v>
      </c>
      <c r="EO123" s="19">
        <v>0</v>
      </c>
      <c r="EP123" s="19">
        <v>0</v>
      </c>
      <c r="EQ123" s="19">
        <v>0</v>
      </c>
      <c r="ER123" s="19">
        <v>0</v>
      </c>
      <c r="ES123" s="119">
        <v>0</v>
      </c>
      <c r="ET123" s="119">
        <v>0</v>
      </c>
    </row>
    <row r="124" spans="1:150" ht="16.5" customHeight="1" x14ac:dyDescent="0.35">
      <c r="A124" s="4">
        <v>202</v>
      </c>
      <c r="B124" s="4" t="str">
        <f>LOOKUP(A124,Lookup!$A$1:$A$34,Lookup!$B$1:$B$34)</f>
        <v>BEEF</v>
      </c>
      <c r="C124" s="5">
        <v>63480</v>
      </c>
      <c r="D124" s="6" t="s">
        <v>126</v>
      </c>
      <c r="E124" s="18">
        <v>60.882837528604099</v>
      </c>
      <c r="F124" s="18">
        <v>0.41099999999999998</v>
      </c>
      <c r="G124" s="18">
        <v>2313.54782608696</v>
      </c>
      <c r="H124" s="18">
        <v>15.62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173.20869565217399</v>
      </c>
      <c r="BX124" s="19">
        <v>1.3280000000000001</v>
      </c>
      <c r="BY124" s="19">
        <v>674.55652173912995</v>
      </c>
      <c r="BZ124" s="19">
        <v>5.1719999999999997</v>
      </c>
      <c r="CA124" s="19">
        <v>346.52173913043498</v>
      </c>
      <c r="CB124" s="19">
        <v>2.6840000000000002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</v>
      </c>
      <c r="CR124" s="19">
        <v>0</v>
      </c>
      <c r="CS124" s="19">
        <v>83.826086956521706</v>
      </c>
      <c r="CT124" s="19">
        <v>0.48199999999999998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19">
        <v>0</v>
      </c>
      <c r="EE124" s="19">
        <v>0</v>
      </c>
      <c r="EF124" s="19">
        <v>0</v>
      </c>
      <c r="EG124" s="19">
        <v>644.48695652173899</v>
      </c>
      <c r="EH124" s="19">
        <v>3.706</v>
      </c>
      <c r="EI124" s="19">
        <v>161.730434782609</v>
      </c>
      <c r="EJ124" s="19">
        <v>0.93</v>
      </c>
      <c r="EK124" s="19">
        <v>0</v>
      </c>
      <c r="EL124" s="19">
        <v>0</v>
      </c>
      <c r="EM124" s="19">
        <v>81.739130434782595</v>
      </c>
      <c r="EN124" s="19">
        <v>0.47</v>
      </c>
      <c r="EO124" s="19">
        <v>147.47826086956499</v>
      </c>
      <c r="EP124" s="19">
        <v>0.84799999999999998</v>
      </c>
      <c r="EQ124" s="19">
        <v>0</v>
      </c>
      <c r="ER124" s="19">
        <v>0</v>
      </c>
      <c r="ES124" s="119">
        <v>0</v>
      </c>
      <c r="ET124" s="119">
        <v>0</v>
      </c>
    </row>
    <row r="125" spans="1:150" ht="16.5" customHeight="1" x14ac:dyDescent="0.35">
      <c r="A125" s="4">
        <v>202</v>
      </c>
      <c r="B125" s="4" t="str">
        <f>LOOKUP(A125,Lookup!$A$1:$A$34,Lookup!$B$1:$B$34)</f>
        <v>BEEF</v>
      </c>
      <c r="C125" s="5">
        <v>63482</v>
      </c>
      <c r="D125" s="6" t="s">
        <v>127</v>
      </c>
      <c r="E125" s="18">
        <v>1110.4805491990801</v>
      </c>
      <c r="F125" s="18">
        <v>8.1780000000000008</v>
      </c>
      <c r="G125" s="18">
        <v>42198.260869565202</v>
      </c>
      <c r="H125" s="18">
        <v>310.75299999999999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455.49565217391302</v>
      </c>
      <c r="BX125" s="19">
        <v>3.274</v>
      </c>
      <c r="BY125" s="19">
        <v>987.53043478260895</v>
      </c>
      <c r="BZ125" s="19">
        <v>6.72</v>
      </c>
      <c r="CA125" s="19">
        <v>1386.72173913043</v>
      </c>
      <c r="CB125" s="19">
        <v>8.86</v>
      </c>
      <c r="CC125" s="19">
        <v>974.48695652173899</v>
      </c>
      <c r="CD125" s="19">
        <v>6.226</v>
      </c>
      <c r="CE125" s="19">
        <v>1043.0347826087</v>
      </c>
      <c r="CF125" s="19">
        <v>6.6639999999999997</v>
      </c>
      <c r="CG125" s="19">
        <v>959.71304347826106</v>
      </c>
      <c r="CH125" s="19">
        <v>6.1319999999999997</v>
      </c>
      <c r="CI125" s="19">
        <v>1063.99130434783</v>
      </c>
      <c r="CJ125" s="19">
        <v>6.798</v>
      </c>
      <c r="CK125" s="19">
        <v>1428.00869565217</v>
      </c>
      <c r="CL125" s="19">
        <v>10.55</v>
      </c>
      <c r="CM125" s="19">
        <v>1768.1826086956501</v>
      </c>
      <c r="CN125" s="19">
        <v>13.260999999999999</v>
      </c>
      <c r="CO125" s="19">
        <v>1673.24347826087</v>
      </c>
      <c r="CP125" s="19">
        <v>10.808</v>
      </c>
      <c r="CQ125" s="19">
        <v>1314.1217391304299</v>
      </c>
      <c r="CR125" s="19">
        <v>8.3960000000000008</v>
      </c>
      <c r="CS125" s="19">
        <v>1120.28695652174</v>
      </c>
      <c r="CT125" s="19">
        <v>6.9850000000000003</v>
      </c>
      <c r="CU125" s="19">
        <v>1199.72173913043</v>
      </c>
      <c r="CV125" s="19">
        <v>8.1660000000000004</v>
      </c>
      <c r="CW125" s="19">
        <v>571.48695652173899</v>
      </c>
      <c r="CX125" s="19">
        <v>3.8660000000000001</v>
      </c>
      <c r="CY125" s="19">
        <v>971.84347826086901</v>
      </c>
      <c r="CZ125" s="19">
        <v>6.1379999999999999</v>
      </c>
      <c r="DA125" s="19">
        <v>1612.0869565217399</v>
      </c>
      <c r="DB125" s="19">
        <v>11</v>
      </c>
      <c r="DC125" s="19">
        <v>1329</v>
      </c>
      <c r="DD125" s="19">
        <v>8.4909999999999997</v>
      </c>
      <c r="DE125" s="19">
        <v>820.77391304347805</v>
      </c>
      <c r="DF125" s="19">
        <v>5.2439999999999998</v>
      </c>
      <c r="DG125" s="19">
        <v>907.46956521739105</v>
      </c>
      <c r="DH125" s="19">
        <v>5.8159999999999998</v>
      </c>
      <c r="DI125" s="19">
        <v>1536.3304347826099</v>
      </c>
      <c r="DJ125" s="19">
        <v>10.305</v>
      </c>
      <c r="DK125" s="19">
        <v>1786.6608695652201</v>
      </c>
      <c r="DL125" s="19">
        <v>12.842000000000001</v>
      </c>
      <c r="DM125" s="19">
        <v>1398.78260869565</v>
      </c>
      <c r="DN125" s="19">
        <v>10.054</v>
      </c>
      <c r="DO125" s="19">
        <v>1304.7652173913</v>
      </c>
      <c r="DP125" s="19">
        <v>9.4</v>
      </c>
      <c r="DQ125" s="19">
        <v>1223.46956521739</v>
      </c>
      <c r="DR125" s="19">
        <v>10</v>
      </c>
      <c r="DS125" s="19">
        <v>872.66086956521701</v>
      </c>
      <c r="DT125" s="19">
        <v>6.66</v>
      </c>
      <c r="DU125" s="19">
        <v>1349.72173913043</v>
      </c>
      <c r="DV125" s="19">
        <v>10.348000000000001</v>
      </c>
      <c r="DW125" s="19">
        <v>596.50434782608704</v>
      </c>
      <c r="DX125" s="19">
        <v>5.2880000000000003</v>
      </c>
      <c r="DY125" s="19">
        <v>1008.1826086956499</v>
      </c>
      <c r="DZ125" s="19">
        <v>9.6620000000000008</v>
      </c>
      <c r="EA125" s="19">
        <v>1697.9304347826101</v>
      </c>
      <c r="EB125" s="19">
        <v>16.294</v>
      </c>
      <c r="EC125" s="19">
        <v>882.39130434782601</v>
      </c>
      <c r="ED125" s="19">
        <v>7.2480000000000002</v>
      </c>
      <c r="EE125" s="19">
        <v>1018.69565217391</v>
      </c>
      <c r="EF125" s="19">
        <v>8.3680000000000003</v>
      </c>
      <c r="EG125" s="19">
        <v>1153.3739130434799</v>
      </c>
      <c r="EH125" s="19">
        <v>9.49</v>
      </c>
      <c r="EI125" s="19">
        <v>1230.98260869565</v>
      </c>
      <c r="EJ125" s="19">
        <v>10.112</v>
      </c>
      <c r="EK125" s="19">
        <v>680.79130434782599</v>
      </c>
      <c r="EL125" s="19">
        <v>6.335</v>
      </c>
      <c r="EM125" s="19">
        <v>724.75652173912999</v>
      </c>
      <c r="EN125" s="19">
        <v>6.9459999999999997</v>
      </c>
      <c r="EO125" s="19">
        <v>882.00869565217397</v>
      </c>
      <c r="EP125" s="19">
        <v>7.4020000000000001</v>
      </c>
      <c r="EQ125" s="19">
        <v>903.19130434782596</v>
      </c>
      <c r="ER125" s="19">
        <v>7.5019999999999998</v>
      </c>
      <c r="ES125" s="119">
        <v>473.80869565217398</v>
      </c>
      <c r="ET125" s="119">
        <v>4.1100000000000003</v>
      </c>
    </row>
    <row r="126" spans="1:150" ht="16.5" customHeight="1" x14ac:dyDescent="0.35">
      <c r="A126" s="4">
        <v>202</v>
      </c>
      <c r="B126" s="4" t="str">
        <f>LOOKUP(A126,Lookup!$A$1:$A$34,Lookup!$B$1:$B$34)</f>
        <v>BEEF</v>
      </c>
      <c r="C126" s="5">
        <v>63484</v>
      </c>
      <c r="D126" s="6" t="s">
        <v>128</v>
      </c>
      <c r="E126" s="18">
        <v>0</v>
      </c>
      <c r="F126" s="18">
        <v>0</v>
      </c>
      <c r="G126" s="18">
        <v>0</v>
      </c>
      <c r="H126" s="18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</v>
      </c>
      <c r="CR126" s="19">
        <v>0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</v>
      </c>
      <c r="DT126" s="19">
        <v>0</v>
      </c>
      <c r="DU126" s="19">
        <v>0</v>
      </c>
      <c r="DV126" s="19">
        <v>0</v>
      </c>
      <c r="DW126" s="19">
        <v>0</v>
      </c>
      <c r="DX126" s="19">
        <v>0</v>
      </c>
      <c r="DY126" s="19">
        <v>0</v>
      </c>
      <c r="DZ126" s="19">
        <v>0</v>
      </c>
      <c r="EA126" s="19">
        <v>0</v>
      </c>
      <c r="EB126" s="19">
        <v>0</v>
      </c>
      <c r="EC126" s="19">
        <v>0</v>
      </c>
      <c r="ED126" s="19">
        <v>0</v>
      </c>
      <c r="EE126" s="19">
        <v>0</v>
      </c>
      <c r="EF126" s="19">
        <v>0</v>
      </c>
      <c r="EG126" s="19">
        <v>0</v>
      </c>
      <c r="EH126" s="19">
        <v>0</v>
      </c>
      <c r="EI126" s="19">
        <v>0</v>
      </c>
      <c r="EJ126" s="19">
        <v>0</v>
      </c>
      <c r="EK126" s="19">
        <v>0</v>
      </c>
      <c r="EL126" s="19">
        <v>0</v>
      </c>
      <c r="EM126" s="19">
        <v>0</v>
      </c>
      <c r="EN126" s="19">
        <v>0</v>
      </c>
      <c r="EO126" s="19">
        <v>0</v>
      </c>
      <c r="EP126" s="19">
        <v>0</v>
      </c>
      <c r="EQ126" s="19">
        <v>0</v>
      </c>
      <c r="ER126" s="19">
        <v>0</v>
      </c>
      <c r="ES126" s="119">
        <v>0</v>
      </c>
      <c r="ET126" s="119">
        <v>0</v>
      </c>
    </row>
    <row r="127" spans="1:150" ht="16.5" customHeight="1" x14ac:dyDescent="0.35">
      <c r="A127" s="4">
        <v>202</v>
      </c>
      <c r="B127" s="4" t="str">
        <f>LOOKUP(A127,Lookup!$A$1:$A$34,Lookup!$B$1:$B$34)</f>
        <v>BEEF</v>
      </c>
      <c r="C127" s="5">
        <v>63499</v>
      </c>
      <c r="D127" s="6" t="s">
        <v>129</v>
      </c>
      <c r="E127" s="18">
        <v>227.56545240893101</v>
      </c>
      <c r="F127" s="18">
        <v>1.9179999999999999</v>
      </c>
      <c r="G127" s="18">
        <v>8419.9217391304392</v>
      </c>
      <c r="H127" s="18">
        <v>70.980999999999995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2480.9391304347801</v>
      </c>
      <c r="BZ127" s="19">
        <v>20.98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3480.4</v>
      </c>
      <c r="CH127" s="19">
        <v>29.431999999999999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0</v>
      </c>
      <c r="CR127" s="19">
        <v>0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220.89565217391299</v>
      </c>
      <c r="DF127" s="19">
        <v>1.8680000000000001</v>
      </c>
      <c r="DG127" s="19">
        <v>402.304347826087</v>
      </c>
      <c r="DH127" s="19">
        <v>3.4020000000000001</v>
      </c>
      <c r="DI127" s="19">
        <v>326.60869565217399</v>
      </c>
      <c r="DJ127" s="19">
        <v>2.762</v>
      </c>
      <c r="DK127" s="19">
        <v>236.269565217391</v>
      </c>
      <c r="DL127" s="19">
        <v>1.998</v>
      </c>
      <c r="DM127" s="19">
        <v>0</v>
      </c>
      <c r="DN127" s="19">
        <v>0</v>
      </c>
      <c r="DO127" s="19">
        <v>0</v>
      </c>
      <c r="DP127" s="19">
        <v>0</v>
      </c>
      <c r="DQ127" s="19">
        <v>391.41739130434797</v>
      </c>
      <c r="DR127" s="19">
        <v>3.2669999999999999</v>
      </c>
      <c r="DS127" s="19">
        <v>0</v>
      </c>
      <c r="DT127" s="19">
        <v>0</v>
      </c>
      <c r="DU127" s="19">
        <v>0</v>
      </c>
      <c r="DV127" s="19">
        <v>0</v>
      </c>
      <c r="DW127" s="19">
        <v>0</v>
      </c>
      <c r="DX127" s="19">
        <v>0</v>
      </c>
      <c r="DY127" s="19">
        <v>0</v>
      </c>
      <c r="DZ127" s="19">
        <v>0</v>
      </c>
      <c r="EA127" s="19">
        <v>434.33913043478299</v>
      </c>
      <c r="EB127" s="19">
        <v>3.5680000000000001</v>
      </c>
      <c r="EC127" s="19">
        <v>285.82608695652198</v>
      </c>
      <c r="ED127" s="19">
        <v>2.3479999999999999</v>
      </c>
      <c r="EE127" s="19">
        <v>160.92173913043499</v>
      </c>
      <c r="EF127" s="19">
        <v>1.3560000000000001</v>
      </c>
      <c r="EG127" s="19">
        <v>0</v>
      </c>
      <c r="EH127" s="19">
        <v>0</v>
      </c>
      <c r="EI127" s="19">
        <v>0</v>
      </c>
      <c r="EJ127" s="19">
        <v>0</v>
      </c>
      <c r="EK127" s="19">
        <v>0</v>
      </c>
      <c r="EL127" s="19">
        <v>0</v>
      </c>
      <c r="EM127" s="19">
        <v>0</v>
      </c>
      <c r="EN127" s="19">
        <v>0</v>
      </c>
      <c r="EO127" s="19">
        <v>0</v>
      </c>
      <c r="EP127" s="19">
        <v>0</v>
      </c>
      <c r="EQ127" s="19">
        <v>0</v>
      </c>
      <c r="ER127" s="19">
        <v>0</v>
      </c>
      <c r="ES127" s="119">
        <v>0</v>
      </c>
      <c r="ET127" s="119">
        <v>0</v>
      </c>
    </row>
    <row r="128" spans="1:150" ht="16.5" customHeight="1" x14ac:dyDescent="0.35">
      <c r="A128" s="4">
        <v>202</v>
      </c>
      <c r="B128" s="4" t="str">
        <f>LOOKUP(A128,Lookup!$A$1:$A$34,Lookup!$B$1:$B$34)</f>
        <v>BEEF</v>
      </c>
      <c r="C128" s="5">
        <v>63524</v>
      </c>
      <c r="D128" s="6" t="s">
        <v>80</v>
      </c>
      <c r="E128" s="18">
        <v>0</v>
      </c>
      <c r="F128" s="18">
        <v>0</v>
      </c>
      <c r="G128" s="18">
        <v>0</v>
      </c>
      <c r="H128" s="18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0</v>
      </c>
      <c r="CR128" s="19">
        <v>0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19">
        <v>0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19">
        <v>0</v>
      </c>
      <c r="DU128" s="19">
        <v>0</v>
      </c>
      <c r="DV128" s="19">
        <v>0</v>
      </c>
      <c r="DW128" s="19">
        <v>0</v>
      </c>
      <c r="DX128" s="19">
        <v>0</v>
      </c>
      <c r="DY128" s="19">
        <v>0</v>
      </c>
      <c r="DZ128" s="19">
        <v>0</v>
      </c>
      <c r="EA128" s="19">
        <v>0</v>
      </c>
      <c r="EB128" s="19">
        <v>0</v>
      </c>
      <c r="EC128" s="19">
        <v>0</v>
      </c>
      <c r="ED128" s="19">
        <v>0</v>
      </c>
      <c r="EE128" s="19">
        <v>0</v>
      </c>
      <c r="EF128" s="19">
        <v>0</v>
      </c>
      <c r="EG128" s="19">
        <v>0</v>
      </c>
      <c r="EH128" s="19">
        <v>0</v>
      </c>
      <c r="EI128" s="19">
        <v>0</v>
      </c>
      <c r="EJ128" s="19">
        <v>0</v>
      </c>
      <c r="EK128" s="19">
        <v>0</v>
      </c>
      <c r="EL128" s="19">
        <v>0</v>
      </c>
      <c r="EM128" s="19">
        <v>0</v>
      </c>
      <c r="EN128" s="19">
        <v>0</v>
      </c>
      <c r="EO128" s="19">
        <v>0</v>
      </c>
      <c r="EP128" s="19">
        <v>0</v>
      </c>
      <c r="EQ128" s="19">
        <v>0</v>
      </c>
      <c r="ER128" s="19">
        <v>0</v>
      </c>
      <c r="ES128" s="119">
        <v>0</v>
      </c>
      <c r="ET128" s="119">
        <v>0</v>
      </c>
    </row>
    <row r="129" spans="1:150" ht="16.5" customHeight="1" x14ac:dyDescent="0.35">
      <c r="A129" s="4">
        <v>202</v>
      </c>
      <c r="B129" s="4" t="str">
        <f>LOOKUP(A129,Lookup!$A$1:$A$34,Lookup!$B$1:$B$34)</f>
        <v>BEEF</v>
      </c>
      <c r="C129" s="5">
        <v>63526</v>
      </c>
      <c r="D129" s="6" t="s">
        <v>83</v>
      </c>
      <c r="E129" s="18">
        <v>1564.0890716803799</v>
      </c>
      <c r="F129" s="18">
        <v>17.716000000000001</v>
      </c>
      <c r="G129" s="18">
        <v>57871.295652173903</v>
      </c>
      <c r="H129" s="18">
        <v>655.47400000000005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279.06956521739102</v>
      </c>
      <c r="BZ129" s="19">
        <v>2.488</v>
      </c>
      <c r="CA129" s="19">
        <v>133.25217391304301</v>
      </c>
      <c r="CB129" s="19">
        <v>1.1879999999999999</v>
      </c>
      <c r="CC129" s="19">
        <v>228.37391304347801</v>
      </c>
      <c r="CD129" s="19">
        <v>2.036</v>
      </c>
      <c r="CE129" s="19">
        <v>104.086956521739</v>
      </c>
      <c r="CF129" s="19">
        <v>0.92800000000000005</v>
      </c>
      <c r="CG129" s="19">
        <v>181.03478260869599</v>
      </c>
      <c r="CH129" s="19">
        <v>1.6140000000000001</v>
      </c>
      <c r="CI129" s="19">
        <v>646.06956521739096</v>
      </c>
      <c r="CJ129" s="19">
        <v>5.76</v>
      </c>
      <c r="CK129" s="19">
        <v>523.79999999999995</v>
      </c>
      <c r="CL129" s="19">
        <v>4.67</v>
      </c>
      <c r="CM129" s="19">
        <v>904.27826086956497</v>
      </c>
      <c r="CN129" s="19">
        <v>8.0619999999999994</v>
      </c>
      <c r="CO129" s="19">
        <v>307.33043478260902</v>
      </c>
      <c r="CP129" s="19">
        <v>2.74</v>
      </c>
      <c r="CQ129" s="19">
        <v>3353.7304347826098</v>
      </c>
      <c r="CR129" s="19">
        <v>29.9</v>
      </c>
      <c r="CS129" s="19">
        <v>795.76521739130396</v>
      </c>
      <c r="CT129" s="19">
        <v>7.04</v>
      </c>
      <c r="CU129" s="19">
        <v>1424.24347826087</v>
      </c>
      <c r="CV129" s="19">
        <v>12.6</v>
      </c>
      <c r="CW129" s="19">
        <v>505.269565217391</v>
      </c>
      <c r="CX129" s="19">
        <v>4.47</v>
      </c>
      <c r="CY129" s="19">
        <v>7921.6086956521704</v>
      </c>
      <c r="CZ129" s="19">
        <v>113.277</v>
      </c>
      <c r="DA129" s="19">
        <v>2534.7217391304398</v>
      </c>
      <c r="DB129" s="19">
        <v>22.521000000000001</v>
      </c>
      <c r="DC129" s="19">
        <v>787.86086956521694</v>
      </c>
      <c r="DD129" s="19">
        <v>6.97</v>
      </c>
      <c r="DE129" s="19">
        <v>4361.0695652173899</v>
      </c>
      <c r="DF129" s="19">
        <v>45.042000000000002</v>
      </c>
      <c r="DG129" s="19">
        <v>2509.9130434782601</v>
      </c>
      <c r="DH129" s="19">
        <v>22.262</v>
      </c>
      <c r="DI129" s="19">
        <v>2609.7130434782598</v>
      </c>
      <c r="DJ129" s="19">
        <v>23.158999999999999</v>
      </c>
      <c r="DK129" s="19">
        <v>1479.6521739130401</v>
      </c>
      <c r="DL129" s="19">
        <v>14.497999999999999</v>
      </c>
      <c r="DM129" s="19">
        <v>3188.1826086956498</v>
      </c>
      <c r="DN129" s="19">
        <v>40.628</v>
      </c>
      <c r="DO129" s="19">
        <v>1054.5652173912999</v>
      </c>
      <c r="DP129" s="19">
        <v>11.026</v>
      </c>
      <c r="DQ129" s="19">
        <v>1320.26956521739</v>
      </c>
      <c r="DR129" s="19">
        <v>14.682</v>
      </c>
      <c r="DS129" s="19">
        <v>3186.2869565217402</v>
      </c>
      <c r="DT129" s="19">
        <v>40.536000000000001</v>
      </c>
      <c r="DU129" s="19">
        <v>1770.71304347826</v>
      </c>
      <c r="DV129" s="19">
        <v>20.417999999999999</v>
      </c>
      <c r="DW129" s="19">
        <v>1009.8086956521699</v>
      </c>
      <c r="DX129" s="19">
        <v>11.614000000000001</v>
      </c>
      <c r="DY129" s="19">
        <v>4794.6260869565203</v>
      </c>
      <c r="DZ129" s="19">
        <v>64.206999999999994</v>
      </c>
      <c r="EA129" s="19">
        <v>3349.8608695652201</v>
      </c>
      <c r="EB129" s="19">
        <v>44.834000000000003</v>
      </c>
      <c r="EC129" s="19">
        <v>1406.29565217391</v>
      </c>
      <c r="ED129" s="19">
        <v>17.971</v>
      </c>
      <c r="EE129" s="19">
        <v>1129.79130434783</v>
      </c>
      <c r="EF129" s="19">
        <v>14.438000000000001</v>
      </c>
      <c r="EG129" s="19">
        <v>988.15652173912997</v>
      </c>
      <c r="EH129" s="19">
        <v>11.365</v>
      </c>
      <c r="EI129" s="19">
        <v>598.15652173912997</v>
      </c>
      <c r="EJ129" s="19">
        <v>6.88</v>
      </c>
      <c r="EK129" s="19">
        <v>664.81739130434801</v>
      </c>
      <c r="EL129" s="19">
        <v>7.6459999999999999</v>
      </c>
      <c r="EM129" s="19">
        <v>377.51304347826101</v>
      </c>
      <c r="EN129" s="19">
        <v>4.3419999999999996</v>
      </c>
      <c r="EO129" s="19">
        <v>504</v>
      </c>
      <c r="EP129" s="19">
        <v>5.83</v>
      </c>
      <c r="EQ129" s="19">
        <v>162.878260869565</v>
      </c>
      <c r="ER129" s="19">
        <v>1.3380000000000001</v>
      </c>
      <c r="ES129" s="119">
        <v>774.53043478260895</v>
      </c>
      <c r="ET129" s="119">
        <v>6.4939999999999998</v>
      </c>
    </row>
    <row r="130" spans="1:150" ht="16.5" customHeight="1" x14ac:dyDescent="0.35">
      <c r="A130" s="4">
        <v>202</v>
      </c>
      <c r="B130" s="4" t="str">
        <f>LOOKUP(A130,Lookup!$A$1:$A$34,Lookup!$B$1:$B$34)</f>
        <v>BEEF</v>
      </c>
      <c r="C130" s="5">
        <v>63839</v>
      </c>
      <c r="D130" s="6" t="s">
        <v>130</v>
      </c>
      <c r="E130" s="18">
        <v>68.874534161490701</v>
      </c>
      <c r="F130" s="18">
        <v>0.47099999999999997</v>
      </c>
      <c r="G130" s="18">
        <v>2410.6086956521699</v>
      </c>
      <c r="H130" s="18">
        <v>16.481999999999999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145.286956521739</v>
      </c>
      <c r="CD130" s="19">
        <v>1.1140000000000001</v>
      </c>
      <c r="CE130" s="19">
        <v>133.295652173913</v>
      </c>
      <c r="CF130" s="19">
        <v>1.022</v>
      </c>
      <c r="CG130" s="19">
        <v>566.56521739130403</v>
      </c>
      <c r="CH130" s="19">
        <v>4.3440000000000003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</v>
      </c>
      <c r="CR130" s="19">
        <v>0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19">
        <v>0</v>
      </c>
      <c r="DK130" s="19">
        <v>0</v>
      </c>
      <c r="DL130" s="19">
        <v>0</v>
      </c>
      <c r="DM130" s="19">
        <v>0</v>
      </c>
      <c r="DN130" s="19">
        <v>0</v>
      </c>
      <c r="DO130" s="19">
        <v>187.2</v>
      </c>
      <c r="DP130" s="19">
        <v>1.196</v>
      </c>
      <c r="DQ130" s="19">
        <v>0</v>
      </c>
      <c r="DR130" s="19">
        <v>0</v>
      </c>
      <c r="DS130" s="19">
        <v>386.91304347826099</v>
      </c>
      <c r="DT130" s="19">
        <v>2.472</v>
      </c>
      <c r="DU130" s="19">
        <v>438.860869565217</v>
      </c>
      <c r="DV130" s="19">
        <v>2.8039999999999998</v>
      </c>
      <c r="DW130" s="19">
        <v>263.86956521739103</v>
      </c>
      <c r="DX130" s="19">
        <v>1.6859999999999999</v>
      </c>
      <c r="DY130" s="19">
        <v>0</v>
      </c>
      <c r="DZ130" s="19">
        <v>0</v>
      </c>
      <c r="EA130" s="19">
        <v>153.38260869565201</v>
      </c>
      <c r="EB130" s="19">
        <v>0.98</v>
      </c>
      <c r="EC130" s="19">
        <v>135.23478260869601</v>
      </c>
      <c r="ED130" s="19">
        <v>0.86399999999999999</v>
      </c>
      <c r="EE130" s="19">
        <v>0</v>
      </c>
      <c r="EF130" s="19">
        <v>0</v>
      </c>
      <c r="EG130" s="19">
        <v>0</v>
      </c>
      <c r="EH130" s="19">
        <v>0</v>
      </c>
      <c r="EI130" s="19">
        <v>0</v>
      </c>
      <c r="EJ130" s="19">
        <v>0</v>
      </c>
      <c r="EK130" s="19">
        <v>0</v>
      </c>
      <c r="EL130" s="19">
        <v>0</v>
      </c>
      <c r="EM130" s="19">
        <v>0</v>
      </c>
      <c r="EN130" s="19">
        <v>0</v>
      </c>
      <c r="EO130" s="19">
        <v>0</v>
      </c>
      <c r="EP130" s="19">
        <v>0</v>
      </c>
      <c r="EQ130" s="19">
        <v>0</v>
      </c>
      <c r="ER130" s="19">
        <v>0</v>
      </c>
      <c r="ES130" s="119">
        <v>0</v>
      </c>
      <c r="ET130" s="119">
        <v>0</v>
      </c>
    </row>
    <row r="131" spans="1:150" ht="16.5" customHeight="1" x14ac:dyDescent="0.35">
      <c r="A131" s="4">
        <v>202</v>
      </c>
      <c r="B131" s="4" t="str">
        <f>LOOKUP(A131,Lookup!$A$1:$A$34,Lookup!$B$1:$B$34)</f>
        <v>BEEF</v>
      </c>
      <c r="C131" s="5">
        <v>63840</v>
      </c>
      <c r="D131" s="6" t="s">
        <v>131</v>
      </c>
      <c r="E131" s="18">
        <v>111.65913043478299</v>
      </c>
      <c r="F131" s="18">
        <v>0.80700000000000005</v>
      </c>
      <c r="G131" s="18">
        <v>3908.0695652173899</v>
      </c>
      <c r="H131" s="18">
        <v>28.262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254.869565217391</v>
      </c>
      <c r="CD131" s="19">
        <v>1.954</v>
      </c>
      <c r="CE131" s="19">
        <v>284.08695652173901</v>
      </c>
      <c r="CF131" s="19">
        <v>2.1779999999999999</v>
      </c>
      <c r="CG131" s="19">
        <v>582.39130434782601</v>
      </c>
      <c r="CH131" s="19">
        <v>4.5060000000000002</v>
      </c>
      <c r="CI131" s="19">
        <v>0</v>
      </c>
      <c r="CJ131" s="19">
        <v>0</v>
      </c>
      <c r="CK131" s="19">
        <v>682.62608695652204</v>
      </c>
      <c r="CL131" s="19">
        <v>5.234</v>
      </c>
      <c r="CM131" s="19">
        <v>80.339130434782604</v>
      </c>
      <c r="CN131" s="19">
        <v>0.61599999999999999</v>
      </c>
      <c r="CO131" s="19">
        <v>667.29565217391303</v>
      </c>
      <c r="CP131" s="19">
        <v>5.1159999999999997</v>
      </c>
      <c r="CQ131" s="19">
        <v>161.73913043478299</v>
      </c>
      <c r="CR131" s="19">
        <v>1.24</v>
      </c>
      <c r="CS131" s="19">
        <v>572.84347826087003</v>
      </c>
      <c r="CT131" s="19">
        <v>3.5419999999999998</v>
      </c>
      <c r="CU131" s="19">
        <v>279.8</v>
      </c>
      <c r="CV131" s="19">
        <v>1.73</v>
      </c>
      <c r="CW131" s="19">
        <v>0</v>
      </c>
      <c r="CX131" s="19">
        <v>0</v>
      </c>
      <c r="CY131" s="19">
        <v>0</v>
      </c>
      <c r="CZ131" s="19">
        <v>0</v>
      </c>
      <c r="DA131" s="19">
        <v>191.165217391304</v>
      </c>
      <c r="DB131" s="19">
        <v>1.1819999999999999</v>
      </c>
      <c r="DC131" s="19">
        <v>94.956521739130395</v>
      </c>
      <c r="DD131" s="19">
        <v>0.61799999999999999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19">
        <v>0</v>
      </c>
      <c r="DK131" s="19">
        <v>0</v>
      </c>
      <c r="DL131" s="19">
        <v>0</v>
      </c>
      <c r="DM131" s="19">
        <v>0</v>
      </c>
      <c r="DN131" s="19">
        <v>0</v>
      </c>
      <c r="DO131" s="19">
        <v>55.956521739130402</v>
      </c>
      <c r="DP131" s="19">
        <v>0.34599999999999997</v>
      </c>
      <c r="DQ131" s="19">
        <v>0</v>
      </c>
      <c r="DR131" s="19">
        <v>0</v>
      </c>
      <c r="DS131" s="19">
        <v>0</v>
      </c>
      <c r="DT131" s="19">
        <v>0</v>
      </c>
      <c r="DU131" s="19">
        <v>0</v>
      </c>
      <c r="DV131" s="19">
        <v>0</v>
      </c>
      <c r="DW131" s="19">
        <v>0</v>
      </c>
      <c r="DX131" s="19">
        <v>0</v>
      </c>
      <c r="DY131" s="19">
        <v>0</v>
      </c>
      <c r="DZ131" s="19">
        <v>0</v>
      </c>
      <c r="EA131" s="19">
        <v>0</v>
      </c>
      <c r="EB131" s="19">
        <v>0</v>
      </c>
      <c r="EC131" s="19">
        <v>0</v>
      </c>
      <c r="ED131" s="19">
        <v>0</v>
      </c>
      <c r="EE131" s="19">
        <v>0</v>
      </c>
      <c r="EF131" s="19">
        <v>0</v>
      </c>
      <c r="EG131" s="19">
        <v>0</v>
      </c>
      <c r="EH131" s="19">
        <v>0</v>
      </c>
      <c r="EI131" s="19">
        <v>0</v>
      </c>
      <c r="EJ131" s="19">
        <v>0</v>
      </c>
      <c r="EK131" s="19">
        <v>0</v>
      </c>
      <c r="EL131" s="19">
        <v>0</v>
      </c>
      <c r="EM131" s="19">
        <v>0</v>
      </c>
      <c r="EN131" s="19">
        <v>0</v>
      </c>
      <c r="EO131" s="19">
        <v>0</v>
      </c>
      <c r="EP131" s="19">
        <v>0</v>
      </c>
      <c r="EQ131" s="19">
        <v>0</v>
      </c>
      <c r="ER131" s="19">
        <v>0</v>
      </c>
      <c r="ES131" s="119">
        <v>0</v>
      </c>
      <c r="ET131" s="119">
        <v>0</v>
      </c>
    </row>
    <row r="132" spans="1:150" ht="16.5" customHeight="1" x14ac:dyDescent="0.35">
      <c r="A132" s="4">
        <v>202</v>
      </c>
      <c r="B132" s="4" t="str">
        <f>LOOKUP(A132,Lookup!$A$1:$A$34,Lookup!$B$1:$B$34)</f>
        <v>BEEF</v>
      </c>
      <c r="C132" s="5">
        <v>64935</v>
      </c>
      <c r="D132" s="6" t="s">
        <v>132</v>
      </c>
      <c r="E132" s="18">
        <v>104.21550094518</v>
      </c>
      <c r="F132" s="18">
        <v>0.378</v>
      </c>
      <c r="G132" s="18">
        <v>2396.95652173913</v>
      </c>
      <c r="H132" s="18">
        <v>8.6920000000000002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</v>
      </c>
      <c r="CR132" s="19">
        <v>0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517.82608695652198</v>
      </c>
      <c r="DB132" s="19">
        <v>2.3820000000000001</v>
      </c>
      <c r="DC132" s="19">
        <v>315.21739130434798</v>
      </c>
      <c r="DD132" s="19">
        <v>1.171</v>
      </c>
      <c r="DE132" s="19">
        <v>515.21739130434798</v>
      </c>
      <c r="DF132" s="19">
        <v>1.6930000000000001</v>
      </c>
      <c r="DG132" s="19">
        <v>297.39130434782601</v>
      </c>
      <c r="DH132" s="19">
        <v>0.97699999999999998</v>
      </c>
      <c r="DI132" s="19">
        <v>449.53043478260901</v>
      </c>
      <c r="DJ132" s="19">
        <v>1.4770000000000001</v>
      </c>
      <c r="DK132" s="19">
        <v>301.77391304347799</v>
      </c>
      <c r="DL132" s="19">
        <v>0.99199999999999999</v>
      </c>
      <c r="DM132" s="19">
        <v>0</v>
      </c>
      <c r="DN132" s="19">
        <v>0</v>
      </c>
      <c r="DO132" s="19">
        <v>0</v>
      </c>
      <c r="DP132" s="19">
        <v>0</v>
      </c>
      <c r="DQ132" s="19">
        <v>0</v>
      </c>
      <c r="DR132" s="19">
        <v>0</v>
      </c>
      <c r="DS132" s="19">
        <v>0</v>
      </c>
      <c r="DT132" s="19">
        <v>0</v>
      </c>
      <c r="DU132" s="19">
        <v>0</v>
      </c>
      <c r="DV132" s="19">
        <v>0</v>
      </c>
      <c r="DW132" s="19">
        <v>0</v>
      </c>
      <c r="DX132" s="19">
        <v>0</v>
      </c>
      <c r="DY132" s="19">
        <v>0</v>
      </c>
      <c r="DZ132" s="19">
        <v>0</v>
      </c>
      <c r="EA132" s="19">
        <v>0</v>
      </c>
      <c r="EB132" s="19">
        <v>0</v>
      </c>
      <c r="EC132" s="19">
        <v>0</v>
      </c>
      <c r="ED132" s="19">
        <v>0</v>
      </c>
      <c r="EE132" s="19">
        <v>0</v>
      </c>
      <c r="EF132" s="19">
        <v>0</v>
      </c>
      <c r="EG132" s="19">
        <v>0</v>
      </c>
      <c r="EH132" s="19">
        <v>0</v>
      </c>
      <c r="EI132" s="19">
        <v>0</v>
      </c>
      <c r="EJ132" s="19">
        <v>0</v>
      </c>
      <c r="EK132" s="19">
        <v>0</v>
      </c>
      <c r="EL132" s="19">
        <v>0</v>
      </c>
      <c r="EM132" s="19">
        <v>0</v>
      </c>
      <c r="EN132" s="19">
        <v>0</v>
      </c>
      <c r="EO132" s="19">
        <v>0</v>
      </c>
      <c r="EP132" s="19">
        <v>0</v>
      </c>
      <c r="EQ132" s="19">
        <v>0</v>
      </c>
      <c r="ER132" s="19">
        <v>0</v>
      </c>
      <c r="ES132" s="119">
        <v>0</v>
      </c>
      <c r="ET132" s="119">
        <v>0</v>
      </c>
    </row>
    <row r="133" spans="1:150" ht="16.5" customHeight="1" x14ac:dyDescent="0.35">
      <c r="A133" s="4">
        <v>202</v>
      </c>
      <c r="B133" s="4" t="str">
        <f>LOOKUP(A133,Lookup!$A$1:$A$34,Lookup!$B$1:$B$34)</f>
        <v>BEEF</v>
      </c>
      <c r="C133" s="5">
        <v>64936</v>
      </c>
      <c r="D133" s="6" t="s">
        <v>133</v>
      </c>
      <c r="E133" s="18">
        <v>433.51568998109599</v>
      </c>
      <c r="F133" s="18">
        <v>1.3959999999999999</v>
      </c>
      <c r="G133" s="18">
        <v>9970.8608695652201</v>
      </c>
      <c r="H133" s="18">
        <v>32.104999999999997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</v>
      </c>
      <c r="CR133" s="19">
        <v>0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208.695652173913</v>
      </c>
      <c r="DD133" s="19">
        <v>0.68600000000000005</v>
      </c>
      <c r="DE133" s="19">
        <v>902.25217391304295</v>
      </c>
      <c r="DF133" s="19">
        <v>2.964</v>
      </c>
      <c r="DG133" s="19">
        <v>617.94782608695698</v>
      </c>
      <c r="DH133" s="19">
        <v>2.0299999999999998</v>
      </c>
      <c r="DI133" s="19">
        <v>147.130434782609</v>
      </c>
      <c r="DJ133" s="19">
        <v>0.48299999999999998</v>
      </c>
      <c r="DK133" s="19">
        <v>309.27826086956497</v>
      </c>
      <c r="DL133" s="19">
        <v>1.016</v>
      </c>
      <c r="DM133" s="19">
        <v>0</v>
      </c>
      <c r="DN133" s="19">
        <v>0</v>
      </c>
      <c r="DO133" s="19">
        <v>0</v>
      </c>
      <c r="DP133" s="19">
        <v>0</v>
      </c>
      <c r="DQ133" s="19">
        <v>0</v>
      </c>
      <c r="DR133" s="19">
        <v>0</v>
      </c>
      <c r="DS133" s="19">
        <v>0</v>
      </c>
      <c r="DT133" s="19">
        <v>0</v>
      </c>
      <c r="DU133" s="19">
        <v>0</v>
      </c>
      <c r="DV133" s="19">
        <v>0</v>
      </c>
      <c r="DW133" s="19">
        <v>0</v>
      </c>
      <c r="DX133" s="19">
        <v>0</v>
      </c>
      <c r="DY133" s="19">
        <v>0</v>
      </c>
      <c r="DZ133" s="19">
        <v>0</v>
      </c>
      <c r="EA133" s="19">
        <v>0</v>
      </c>
      <c r="EB133" s="19">
        <v>0</v>
      </c>
      <c r="EC133" s="19">
        <v>0</v>
      </c>
      <c r="ED133" s="19">
        <v>0</v>
      </c>
      <c r="EE133" s="19">
        <v>0</v>
      </c>
      <c r="EF133" s="19">
        <v>0</v>
      </c>
      <c r="EG133" s="19">
        <v>6900.6521739130403</v>
      </c>
      <c r="EH133" s="19">
        <v>22.1</v>
      </c>
      <c r="EI133" s="19">
        <v>97.973913043478305</v>
      </c>
      <c r="EJ133" s="19">
        <v>0.313</v>
      </c>
      <c r="EK133" s="19">
        <v>0</v>
      </c>
      <c r="EL133" s="19">
        <v>0</v>
      </c>
      <c r="EM133" s="19">
        <v>0</v>
      </c>
      <c r="EN133" s="19">
        <v>0</v>
      </c>
      <c r="EO133" s="19">
        <v>588.94782608695698</v>
      </c>
      <c r="EP133" s="19">
        <v>1.881</v>
      </c>
      <c r="EQ133" s="19">
        <v>197.982608695652</v>
      </c>
      <c r="ER133" s="19">
        <v>0.63200000000000001</v>
      </c>
      <c r="ES133" s="119">
        <v>0</v>
      </c>
      <c r="ET133" s="119">
        <v>0</v>
      </c>
    </row>
    <row r="134" spans="1:150" ht="16.5" customHeight="1" x14ac:dyDescent="0.35">
      <c r="A134" s="4">
        <v>202</v>
      </c>
      <c r="B134" s="4" t="str">
        <f>LOOKUP(A134,Lookup!$A$1:$A$34,Lookup!$B$1:$B$34)</f>
        <v>BEEF</v>
      </c>
      <c r="C134" s="5">
        <v>65487</v>
      </c>
      <c r="D134" s="6" t="s">
        <v>134</v>
      </c>
      <c r="E134" s="18">
        <v>0</v>
      </c>
      <c r="F134" s="18">
        <v>0</v>
      </c>
      <c r="G134" s="18">
        <v>0</v>
      </c>
      <c r="H134" s="18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</v>
      </c>
      <c r="CR134" s="19">
        <v>0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  <c r="DK134" s="19">
        <v>0</v>
      </c>
      <c r="DL134" s="19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0</v>
      </c>
      <c r="DW134" s="19">
        <v>0</v>
      </c>
      <c r="DX134" s="19">
        <v>0</v>
      </c>
      <c r="DY134" s="19">
        <v>0</v>
      </c>
      <c r="DZ134" s="19">
        <v>0</v>
      </c>
      <c r="EA134" s="19">
        <v>0</v>
      </c>
      <c r="EB134" s="19">
        <v>0</v>
      </c>
      <c r="EC134" s="19">
        <v>0</v>
      </c>
      <c r="ED134" s="19">
        <v>0</v>
      </c>
      <c r="EE134" s="19">
        <v>0</v>
      </c>
      <c r="EF134" s="19">
        <v>0</v>
      </c>
      <c r="EG134" s="19">
        <v>0</v>
      </c>
      <c r="EH134" s="19">
        <v>0</v>
      </c>
      <c r="EI134" s="19">
        <v>0</v>
      </c>
      <c r="EJ134" s="19">
        <v>0</v>
      </c>
      <c r="EK134" s="19">
        <v>0</v>
      </c>
      <c r="EL134" s="19">
        <v>0</v>
      </c>
      <c r="EM134" s="19">
        <v>0</v>
      </c>
      <c r="EN134" s="19">
        <v>0</v>
      </c>
      <c r="EO134" s="19">
        <v>0</v>
      </c>
      <c r="EP134" s="19">
        <v>0</v>
      </c>
      <c r="EQ134" s="19">
        <v>0</v>
      </c>
      <c r="ER134" s="19">
        <v>0</v>
      </c>
      <c r="ES134" s="119">
        <v>0</v>
      </c>
      <c r="ET134" s="119">
        <v>0</v>
      </c>
    </row>
    <row r="135" spans="1:150" ht="16.5" customHeight="1" x14ac:dyDescent="0.35">
      <c r="A135" s="4">
        <v>202</v>
      </c>
      <c r="B135" s="4" t="str">
        <f>LOOKUP(A135,Lookup!$A$1:$A$34,Lookup!$B$1:$B$34)</f>
        <v>BEEF</v>
      </c>
      <c r="C135" s="5">
        <v>65673</v>
      </c>
      <c r="D135" s="6" t="s">
        <v>135</v>
      </c>
      <c r="E135" s="18">
        <v>0</v>
      </c>
      <c r="F135" s="18">
        <v>0</v>
      </c>
      <c r="G135" s="18">
        <v>0</v>
      </c>
      <c r="H135" s="18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0</v>
      </c>
      <c r="CR135" s="19">
        <v>0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19">
        <v>0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v>0</v>
      </c>
      <c r="DU135" s="19">
        <v>0</v>
      </c>
      <c r="DV135" s="19">
        <v>0</v>
      </c>
      <c r="DW135" s="19">
        <v>0</v>
      </c>
      <c r="DX135" s="19">
        <v>0</v>
      </c>
      <c r="DY135" s="19">
        <v>0</v>
      </c>
      <c r="DZ135" s="19">
        <v>0</v>
      </c>
      <c r="EA135" s="19">
        <v>0</v>
      </c>
      <c r="EB135" s="19">
        <v>0</v>
      </c>
      <c r="EC135" s="19">
        <v>0</v>
      </c>
      <c r="ED135" s="19">
        <v>0</v>
      </c>
      <c r="EE135" s="19">
        <v>0</v>
      </c>
      <c r="EF135" s="19">
        <v>0</v>
      </c>
      <c r="EG135" s="19">
        <v>0</v>
      </c>
      <c r="EH135" s="19">
        <v>0</v>
      </c>
      <c r="EI135" s="19">
        <v>0</v>
      </c>
      <c r="EJ135" s="19">
        <v>0</v>
      </c>
      <c r="EK135" s="19">
        <v>0</v>
      </c>
      <c r="EL135" s="19">
        <v>0</v>
      </c>
      <c r="EM135" s="19">
        <v>0</v>
      </c>
      <c r="EN135" s="19">
        <v>0</v>
      </c>
      <c r="EO135" s="19">
        <v>0</v>
      </c>
      <c r="EP135" s="19">
        <v>0</v>
      </c>
      <c r="EQ135" s="19">
        <v>0</v>
      </c>
      <c r="ER135" s="19">
        <v>0</v>
      </c>
      <c r="ES135" s="119">
        <v>0</v>
      </c>
      <c r="ET135" s="119">
        <v>0</v>
      </c>
    </row>
    <row r="136" spans="1:150" ht="16.5" customHeight="1" x14ac:dyDescent="0.35">
      <c r="A136" s="4">
        <v>202</v>
      </c>
      <c r="B136" s="4" t="str">
        <f>LOOKUP(A136,Lookup!$A$1:$A$34,Lookup!$B$1:$B$34)</f>
        <v>BEEF</v>
      </c>
      <c r="C136" s="5">
        <v>65879</v>
      </c>
      <c r="D136" s="6" t="s">
        <v>136</v>
      </c>
      <c r="E136" s="18">
        <v>0</v>
      </c>
      <c r="F136" s="18">
        <v>0</v>
      </c>
      <c r="G136" s="18">
        <v>0</v>
      </c>
      <c r="H136" s="18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0</v>
      </c>
      <c r="CR136" s="19">
        <v>0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  <c r="DK136" s="19">
        <v>0</v>
      </c>
      <c r="DL136" s="19">
        <v>0</v>
      </c>
      <c r="DM136" s="19">
        <v>0</v>
      </c>
      <c r="DN136" s="19">
        <v>0</v>
      </c>
      <c r="DO136" s="19">
        <v>0</v>
      </c>
      <c r="DP136" s="19">
        <v>0</v>
      </c>
      <c r="DQ136" s="19">
        <v>0</v>
      </c>
      <c r="DR136" s="19">
        <v>0</v>
      </c>
      <c r="DS136" s="19">
        <v>0</v>
      </c>
      <c r="DT136" s="19">
        <v>0</v>
      </c>
      <c r="DU136" s="19">
        <v>0</v>
      </c>
      <c r="DV136" s="19">
        <v>0</v>
      </c>
      <c r="DW136" s="19">
        <v>0</v>
      </c>
      <c r="DX136" s="19">
        <v>0</v>
      </c>
      <c r="DY136" s="19">
        <v>0</v>
      </c>
      <c r="DZ136" s="19">
        <v>0</v>
      </c>
      <c r="EA136" s="19">
        <v>0</v>
      </c>
      <c r="EB136" s="19">
        <v>0</v>
      </c>
      <c r="EC136" s="19">
        <v>0</v>
      </c>
      <c r="ED136" s="19">
        <v>0</v>
      </c>
      <c r="EE136" s="19">
        <v>0</v>
      </c>
      <c r="EF136" s="19">
        <v>0</v>
      </c>
      <c r="EG136" s="19">
        <v>0</v>
      </c>
      <c r="EH136" s="19">
        <v>0</v>
      </c>
      <c r="EI136" s="19">
        <v>0</v>
      </c>
      <c r="EJ136" s="19">
        <v>0</v>
      </c>
      <c r="EK136" s="19">
        <v>0</v>
      </c>
      <c r="EL136" s="19">
        <v>0</v>
      </c>
      <c r="EM136" s="19">
        <v>0</v>
      </c>
      <c r="EN136" s="19">
        <v>0</v>
      </c>
      <c r="EO136" s="19">
        <v>0</v>
      </c>
      <c r="EP136" s="19">
        <v>0</v>
      </c>
      <c r="EQ136" s="19">
        <v>0</v>
      </c>
      <c r="ER136" s="19">
        <v>0</v>
      </c>
      <c r="ES136" s="119">
        <v>0</v>
      </c>
      <c r="ET136" s="119">
        <v>0</v>
      </c>
    </row>
    <row r="137" spans="1:150" ht="16.5" customHeight="1" x14ac:dyDescent="0.35">
      <c r="A137" s="4">
        <v>203</v>
      </c>
      <c r="B137" s="4" t="str">
        <f>LOOKUP(A137,Lookup!$A$1:$A$34,Lookup!$B$1:$B$34)</f>
        <v>BUTCHERY CHICKENS</v>
      </c>
      <c r="C137" s="5">
        <v>34210</v>
      </c>
      <c r="D137" s="6" t="s">
        <v>137</v>
      </c>
      <c r="E137" s="18">
        <v>0</v>
      </c>
      <c r="F137" s="18">
        <v>0</v>
      </c>
      <c r="G137" s="18">
        <v>0</v>
      </c>
      <c r="H137" s="18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0</v>
      </c>
      <c r="CR137" s="19">
        <v>0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19">
        <v>0</v>
      </c>
      <c r="DK137" s="19">
        <v>0</v>
      </c>
      <c r="DL137" s="19">
        <v>0</v>
      </c>
      <c r="DM137" s="19">
        <v>0</v>
      </c>
      <c r="DN137" s="19">
        <v>0</v>
      </c>
      <c r="DO137" s="19">
        <v>0</v>
      </c>
      <c r="DP137" s="19">
        <v>0</v>
      </c>
      <c r="DQ137" s="19">
        <v>0</v>
      </c>
      <c r="DR137" s="19">
        <v>0</v>
      </c>
      <c r="DS137" s="19">
        <v>0</v>
      </c>
      <c r="DT137" s="19">
        <v>0</v>
      </c>
      <c r="DU137" s="19">
        <v>0</v>
      </c>
      <c r="DV137" s="19">
        <v>0</v>
      </c>
      <c r="DW137" s="19">
        <v>0</v>
      </c>
      <c r="DX137" s="19">
        <v>0</v>
      </c>
      <c r="DY137" s="19">
        <v>0</v>
      </c>
      <c r="DZ137" s="19">
        <v>0</v>
      </c>
      <c r="EA137" s="19">
        <v>0</v>
      </c>
      <c r="EB137" s="19">
        <v>0</v>
      </c>
      <c r="EC137" s="19">
        <v>0</v>
      </c>
      <c r="ED137" s="19">
        <v>0</v>
      </c>
      <c r="EE137" s="19">
        <v>0</v>
      </c>
      <c r="EF137" s="19">
        <v>0</v>
      </c>
      <c r="EG137" s="19">
        <v>0</v>
      </c>
      <c r="EH137" s="19">
        <v>0</v>
      </c>
      <c r="EI137" s="19">
        <v>0</v>
      </c>
      <c r="EJ137" s="19">
        <v>0</v>
      </c>
      <c r="EK137" s="19">
        <v>0</v>
      </c>
      <c r="EL137" s="19">
        <v>0</v>
      </c>
      <c r="EM137" s="19">
        <v>0</v>
      </c>
      <c r="EN137" s="19">
        <v>0</v>
      </c>
      <c r="EO137" s="19">
        <v>0</v>
      </c>
      <c r="EP137" s="19">
        <v>0</v>
      </c>
      <c r="EQ137" s="19">
        <v>0</v>
      </c>
      <c r="ER137" s="19">
        <v>0</v>
      </c>
      <c r="ES137" s="119">
        <v>0</v>
      </c>
      <c r="ET137" s="119">
        <v>0</v>
      </c>
    </row>
    <row r="138" spans="1:150" ht="16.5" customHeight="1" x14ac:dyDescent="0.35">
      <c r="A138" s="4">
        <v>203</v>
      </c>
      <c r="B138" s="4" t="str">
        <f>LOOKUP(A138,Lookup!$A$1:$A$34,Lookup!$B$1:$B$34)</f>
        <v>BUTCHERY CHICKENS</v>
      </c>
      <c r="C138" s="5">
        <v>34252</v>
      </c>
      <c r="D138" s="6" t="s">
        <v>138</v>
      </c>
      <c r="E138" s="18">
        <v>0</v>
      </c>
      <c r="F138" s="18">
        <v>0</v>
      </c>
      <c r="G138" s="18">
        <v>0</v>
      </c>
      <c r="H138" s="18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0</v>
      </c>
      <c r="CT138" s="19">
        <v>0</v>
      </c>
      <c r="CU138" s="19">
        <v>0</v>
      </c>
      <c r="CV138" s="19">
        <v>0</v>
      </c>
      <c r="CW138" s="19">
        <v>0</v>
      </c>
      <c r="CX138" s="19">
        <v>0</v>
      </c>
      <c r="CY138" s="19">
        <v>0</v>
      </c>
      <c r="CZ138" s="19">
        <v>0</v>
      </c>
      <c r="DA138" s="19">
        <v>0</v>
      </c>
      <c r="DB138" s="19">
        <v>0</v>
      </c>
      <c r="DC138" s="19">
        <v>0</v>
      </c>
      <c r="DD138" s="19">
        <v>0</v>
      </c>
      <c r="DE138" s="19">
        <v>0</v>
      </c>
      <c r="DF138" s="19">
        <v>0</v>
      </c>
      <c r="DG138" s="19">
        <v>0</v>
      </c>
      <c r="DH138" s="19">
        <v>0</v>
      </c>
      <c r="DI138" s="19">
        <v>0</v>
      </c>
      <c r="DJ138" s="19">
        <v>0</v>
      </c>
      <c r="DK138" s="19">
        <v>0</v>
      </c>
      <c r="DL138" s="19">
        <v>0</v>
      </c>
      <c r="DM138" s="19">
        <v>0</v>
      </c>
      <c r="DN138" s="19">
        <v>0</v>
      </c>
      <c r="DO138" s="19">
        <v>0</v>
      </c>
      <c r="DP138" s="19">
        <v>0</v>
      </c>
      <c r="DQ138" s="19">
        <v>0</v>
      </c>
      <c r="DR138" s="19">
        <v>0</v>
      </c>
      <c r="DS138" s="19">
        <v>0</v>
      </c>
      <c r="DT138" s="19">
        <v>0</v>
      </c>
      <c r="DU138" s="19">
        <v>0</v>
      </c>
      <c r="DV138" s="19">
        <v>0</v>
      </c>
      <c r="DW138" s="19">
        <v>0</v>
      </c>
      <c r="DX138" s="19">
        <v>0</v>
      </c>
      <c r="DY138" s="19">
        <v>0</v>
      </c>
      <c r="DZ138" s="19">
        <v>0</v>
      </c>
      <c r="EA138" s="19">
        <v>0</v>
      </c>
      <c r="EB138" s="19">
        <v>0</v>
      </c>
      <c r="EC138" s="19">
        <v>0</v>
      </c>
      <c r="ED138" s="19">
        <v>0</v>
      </c>
      <c r="EE138" s="19">
        <v>0</v>
      </c>
      <c r="EF138" s="19">
        <v>0</v>
      </c>
      <c r="EG138" s="19">
        <v>0</v>
      </c>
      <c r="EH138" s="19">
        <v>0</v>
      </c>
      <c r="EI138" s="19">
        <v>0</v>
      </c>
      <c r="EJ138" s="19">
        <v>0</v>
      </c>
      <c r="EK138" s="19">
        <v>0</v>
      </c>
      <c r="EL138" s="19">
        <v>0</v>
      </c>
      <c r="EM138" s="19">
        <v>0</v>
      </c>
      <c r="EN138" s="19">
        <v>0</v>
      </c>
      <c r="EO138" s="19">
        <v>0</v>
      </c>
      <c r="EP138" s="19">
        <v>0</v>
      </c>
      <c r="EQ138" s="19">
        <v>0</v>
      </c>
      <c r="ER138" s="19">
        <v>0</v>
      </c>
      <c r="ES138" s="119">
        <v>0</v>
      </c>
      <c r="ET138" s="119">
        <v>0</v>
      </c>
    </row>
    <row r="139" spans="1:150" ht="16.5" customHeight="1" x14ac:dyDescent="0.35">
      <c r="A139" s="4">
        <v>203</v>
      </c>
      <c r="B139" s="4" t="str">
        <f>LOOKUP(A139,Lookup!$A$1:$A$34,Lookup!$B$1:$B$34)</f>
        <v>BUTCHERY CHICKENS</v>
      </c>
      <c r="C139" s="5">
        <v>52097</v>
      </c>
      <c r="D139" s="6" t="s">
        <v>139</v>
      </c>
      <c r="E139" s="18">
        <v>13.896019595835901</v>
      </c>
      <c r="F139" s="18">
        <v>0.23499999999999999</v>
      </c>
      <c r="G139" s="18">
        <v>986.61739130434796</v>
      </c>
      <c r="H139" s="18">
        <v>16.687999999999999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</v>
      </c>
      <c r="CT139" s="19">
        <v>0</v>
      </c>
      <c r="CU139" s="19">
        <v>0</v>
      </c>
      <c r="CV139" s="19">
        <v>0</v>
      </c>
      <c r="CW139" s="19">
        <v>0</v>
      </c>
      <c r="CX139" s="19">
        <v>0</v>
      </c>
      <c r="CY139" s="19">
        <v>0</v>
      </c>
      <c r="CZ139" s="19">
        <v>0</v>
      </c>
      <c r="DA139" s="19">
        <v>0</v>
      </c>
      <c r="DB139" s="19">
        <v>0</v>
      </c>
      <c r="DC139" s="19">
        <v>0</v>
      </c>
      <c r="DD139" s="19">
        <v>0</v>
      </c>
      <c r="DE139" s="19">
        <v>0</v>
      </c>
      <c r="DF139" s="19">
        <v>0</v>
      </c>
      <c r="DG139" s="19">
        <v>986.61739130434796</v>
      </c>
      <c r="DH139" s="19">
        <v>16.687999999999999</v>
      </c>
      <c r="DI139" s="19">
        <v>0</v>
      </c>
      <c r="DJ139" s="19">
        <v>0</v>
      </c>
      <c r="DK139" s="19">
        <v>0</v>
      </c>
      <c r="DL139" s="19">
        <v>0</v>
      </c>
      <c r="DM139" s="19">
        <v>0</v>
      </c>
      <c r="DN139" s="19">
        <v>0</v>
      </c>
      <c r="DO139" s="19">
        <v>0</v>
      </c>
      <c r="DP139" s="19">
        <v>0</v>
      </c>
      <c r="DQ139" s="19">
        <v>0</v>
      </c>
      <c r="DR139" s="19">
        <v>0</v>
      </c>
      <c r="DS139" s="19">
        <v>0</v>
      </c>
      <c r="DT139" s="19">
        <v>0</v>
      </c>
      <c r="DU139" s="19">
        <v>0</v>
      </c>
      <c r="DV139" s="19">
        <v>0</v>
      </c>
      <c r="DW139" s="19">
        <v>0</v>
      </c>
      <c r="DX139" s="19">
        <v>0</v>
      </c>
      <c r="DY139" s="19">
        <v>0</v>
      </c>
      <c r="DZ139" s="19">
        <v>0</v>
      </c>
      <c r="EA139" s="19">
        <v>0</v>
      </c>
      <c r="EB139" s="19">
        <v>0</v>
      </c>
      <c r="EC139" s="19">
        <v>0</v>
      </c>
      <c r="ED139" s="19">
        <v>0</v>
      </c>
      <c r="EE139" s="19">
        <v>0</v>
      </c>
      <c r="EF139" s="19">
        <v>0</v>
      </c>
      <c r="EG139" s="19">
        <v>0</v>
      </c>
      <c r="EH139" s="19">
        <v>0</v>
      </c>
      <c r="EI139" s="19">
        <v>0</v>
      </c>
      <c r="EJ139" s="19">
        <v>0</v>
      </c>
      <c r="EK139" s="19">
        <v>0</v>
      </c>
      <c r="EL139" s="19">
        <v>0</v>
      </c>
      <c r="EM139" s="19">
        <v>0</v>
      </c>
      <c r="EN139" s="19">
        <v>0</v>
      </c>
      <c r="EO139" s="19">
        <v>0</v>
      </c>
      <c r="EP139" s="19">
        <v>0</v>
      </c>
      <c r="EQ139" s="19">
        <v>0</v>
      </c>
      <c r="ER139" s="19">
        <v>0</v>
      </c>
      <c r="ES139" s="119">
        <v>0</v>
      </c>
      <c r="ET139" s="119">
        <v>0</v>
      </c>
    </row>
    <row r="140" spans="1:150" ht="16.5" customHeight="1" x14ac:dyDescent="0.35">
      <c r="A140" s="4">
        <v>203</v>
      </c>
      <c r="B140" s="4" t="str">
        <f>LOOKUP(A140,Lookup!$A$1:$A$34,Lookup!$B$1:$B$34)</f>
        <v>BUTCHERY CHICKENS</v>
      </c>
      <c r="C140" s="5">
        <v>58887</v>
      </c>
      <c r="D140" s="6" t="s">
        <v>140</v>
      </c>
      <c r="E140" s="18">
        <v>0</v>
      </c>
      <c r="F140" s="18">
        <v>0</v>
      </c>
      <c r="G140" s="18">
        <v>0</v>
      </c>
      <c r="H140" s="18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0</v>
      </c>
      <c r="CT140" s="19">
        <v>0</v>
      </c>
      <c r="CU140" s="19">
        <v>0</v>
      </c>
      <c r="CV140" s="19">
        <v>0</v>
      </c>
      <c r="CW140" s="19">
        <v>0</v>
      </c>
      <c r="CX140" s="19">
        <v>0</v>
      </c>
      <c r="CY140" s="19">
        <v>0</v>
      </c>
      <c r="CZ140" s="19">
        <v>0</v>
      </c>
      <c r="DA140" s="19">
        <v>0</v>
      </c>
      <c r="DB140" s="19">
        <v>0</v>
      </c>
      <c r="DC140" s="19">
        <v>0</v>
      </c>
      <c r="DD140" s="19">
        <v>0</v>
      </c>
      <c r="DE140" s="19">
        <v>0</v>
      </c>
      <c r="DF140" s="19">
        <v>0</v>
      </c>
      <c r="DG140" s="19">
        <v>0</v>
      </c>
      <c r="DH140" s="19">
        <v>0</v>
      </c>
      <c r="DI140" s="19">
        <v>0</v>
      </c>
      <c r="DJ140" s="19">
        <v>0</v>
      </c>
      <c r="DK140" s="19">
        <v>0</v>
      </c>
      <c r="DL140" s="19">
        <v>0</v>
      </c>
      <c r="DM140" s="19">
        <v>0</v>
      </c>
      <c r="DN140" s="19">
        <v>0</v>
      </c>
      <c r="DO140" s="19">
        <v>0</v>
      </c>
      <c r="DP140" s="19">
        <v>0</v>
      </c>
      <c r="DQ140" s="19">
        <v>0</v>
      </c>
      <c r="DR140" s="19">
        <v>0</v>
      </c>
      <c r="DS140" s="19">
        <v>0</v>
      </c>
      <c r="DT140" s="19">
        <v>0</v>
      </c>
      <c r="DU140" s="19">
        <v>0</v>
      </c>
      <c r="DV140" s="19">
        <v>0</v>
      </c>
      <c r="DW140" s="19">
        <v>0</v>
      </c>
      <c r="DX140" s="19">
        <v>0</v>
      </c>
      <c r="DY140" s="19">
        <v>0</v>
      </c>
      <c r="DZ140" s="19">
        <v>0</v>
      </c>
      <c r="EA140" s="19">
        <v>0</v>
      </c>
      <c r="EB140" s="19">
        <v>0</v>
      </c>
      <c r="EC140" s="19">
        <v>0</v>
      </c>
      <c r="ED140" s="19">
        <v>0</v>
      </c>
      <c r="EE140" s="19">
        <v>0</v>
      </c>
      <c r="EF140" s="19">
        <v>0</v>
      </c>
      <c r="EG140" s="19">
        <v>0</v>
      </c>
      <c r="EH140" s="19">
        <v>0</v>
      </c>
      <c r="EI140" s="19">
        <v>0</v>
      </c>
      <c r="EJ140" s="19">
        <v>0</v>
      </c>
      <c r="EK140" s="19">
        <v>0</v>
      </c>
      <c r="EL140" s="19">
        <v>0</v>
      </c>
      <c r="EM140" s="19">
        <v>0</v>
      </c>
      <c r="EN140" s="19">
        <v>0</v>
      </c>
      <c r="EO140" s="19">
        <v>0</v>
      </c>
      <c r="EP140" s="19">
        <v>0</v>
      </c>
      <c r="EQ140" s="19">
        <v>0</v>
      </c>
      <c r="ER140" s="19">
        <v>0</v>
      </c>
      <c r="ES140" s="119">
        <v>0</v>
      </c>
      <c r="ET140" s="119">
        <v>0</v>
      </c>
    </row>
    <row r="141" spans="1:150" ht="16.5" customHeight="1" x14ac:dyDescent="0.35">
      <c r="A141" s="4">
        <v>204</v>
      </c>
      <c r="B141" s="4" t="str">
        <f>LOOKUP(A141,Lookup!$A$1:$A$34,Lookup!$B$1:$B$34)</f>
        <v>LAMB</v>
      </c>
      <c r="C141" s="5">
        <v>12700</v>
      </c>
      <c r="D141" s="6" t="s">
        <v>141</v>
      </c>
      <c r="E141" s="18">
        <v>32.404531537048399</v>
      </c>
      <c r="F141" s="18">
        <v>0.23200000000000001</v>
      </c>
      <c r="G141" s="18">
        <v>2300.7217391304298</v>
      </c>
      <c r="H141" s="18">
        <v>16.475000000000001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627.38260869565204</v>
      </c>
      <c r="AF141" s="19">
        <v>5.1539999999999999</v>
      </c>
      <c r="AG141" s="19">
        <v>224.46956521739099</v>
      </c>
      <c r="AH141" s="19">
        <v>1.5189999999999999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506.70434782608697</v>
      </c>
      <c r="BJ141" s="19">
        <v>3.4279999999999999</v>
      </c>
      <c r="BK141" s="19">
        <v>603.07826086956504</v>
      </c>
      <c r="BL141" s="19">
        <v>4.08</v>
      </c>
      <c r="BM141" s="19">
        <v>146.33913043478299</v>
      </c>
      <c r="BN141" s="19">
        <v>0.99</v>
      </c>
      <c r="BO141" s="19">
        <v>192.74782608695699</v>
      </c>
      <c r="BP141" s="19">
        <v>1.304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0</v>
      </c>
      <c r="CT141" s="19">
        <v>0</v>
      </c>
      <c r="CU141" s="19">
        <v>0</v>
      </c>
      <c r="CV141" s="19">
        <v>0</v>
      </c>
      <c r="CW141" s="19">
        <v>0</v>
      </c>
      <c r="CX141" s="19">
        <v>0</v>
      </c>
      <c r="CY141" s="19">
        <v>0</v>
      </c>
      <c r="CZ141" s="19">
        <v>0</v>
      </c>
      <c r="DA141" s="19">
        <v>0</v>
      </c>
      <c r="DB141" s="19">
        <v>0</v>
      </c>
      <c r="DC141" s="19">
        <v>0</v>
      </c>
      <c r="DD141" s="19">
        <v>0</v>
      </c>
      <c r="DE141" s="19">
        <v>0</v>
      </c>
      <c r="DF141" s="19">
        <v>0</v>
      </c>
      <c r="DG141" s="19">
        <v>0</v>
      </c>
      <c r="DH141" s="19">
        <v>0</v>
      </c>
      <c r="DI141" s="19">
        <v>0</v>
      </c>
      <c r="DJ141" s="19">
        <v>0</v>
      </c>
      <c r="DK141" s="19">
        <v>0</v>
      </c>
      <c r="DL141" s="19">
        <v>0</v>
      </c>
      <c r="DM141" s="19">
        <v>0</v>
      </c>
      <c r="DN141" s="19">
        <v>0</v>
      </c>
      <c r="DO141" s="19">
        <v>0</v>
      </c>
      <c r="DP141" s="19">
        <v>0</v>
      </c>
      <c r="DQ141" s="19">
        <v>0</v>
      </c>
      <c r="DR141" s="19">
        <v>0</v>
      </c>
      <c r="DS141" s="19">
        <v>0</v>
      </c>
      <c r="DT141" s="19">
        <v>0</v>
      </c>
      <c r="DU141" s="19">
        <v>0</v>
      </c>
      <c r="DV141" s="19">
        <v>0</v>
      </c>
      <c r="DW141" s="19">
        <v>0</v>
      </c>
      <c r="DX141" s="19">
        <v>0</v>
      </c>
      <c r="DY141" s="19">
        <v>0</v>
      </c>
      <c r="DZ141" s="19">
        <v>0</v>
      </c>
      <c r="EA141" s="19">
        <v>0</v>
      </c>
      <c r="EB141" s="19">
        <v>0</v>
      </c>
      <c r="EC141" s="19">
        <v>0</v>
      </c>
      <c r="ED141" s="19">
        <v>0</v>
      </c>
      <c r="EE141" s="19">
        <v>0</v>
      </c>
      <c r="EF141" s="19">
        <v>0</v>
      </c>
      <c r="EG141" s="19">
        <v>0</v>
      </c>
      <c r="EH141" s="19">
        <v>0</v>
      </c>
      <c r="EI141" s="19">
        <v>0</v>
      </c>
      <c r="EJ141" s="19">
        <v>0</v>
      </c>
      <c r="EK141" s="19">
        <v>0</v>
      </c>
      <c r="EL141" s="19">
        <v>0</v>
      </c>
      <c r="EM141" s="19">
        <v>0</v>
      </c>
      <c r="EN141" s="19">
        <v>0</v>
      </c>
      <c r="EO141" s="19">
        <v>0</v>
      </c>
      <c r="EP141" s="19">
        <v>0</v>
      </c>
      <c r="EQ141" s="19">
        <v>0</v>
      </c>
      <c r="ER141" s="19">
        <v>0</v>
      </c>
      <c r="ES141" s="119">
        <v>0</v>
      </c>
      <c r="ET141" s="119">
        <v>0</v>
      </c>
    </row>
    <row r="142" spans="1:150" ht="16.5" customHeight="1" x14ac:dyDescent="0.35">
      <c r="A142" s="4">
        <v>204</v>
      </c>
      <c r="B142" s="4" t="str">
        <f>LOOKUP(A142,Lookup!$A$1:$A$34,Lookup!$B$1:$B$34)</f>
        <v>LAMB</v>
      </c>
      <c r="C142" s="5">
        <v>12702</v>
      </c>
      <c r="D142" s="6" t="s">
        <v>142</v>
      </c>
      <c r="E142" s="18">
        <v>21.239436619718301</v>
      </c>
      <c r="F142" s="18">
        <v>0.17399999999999999</v>
      </c>
      <c r="G142" s="18">
        <v>1508</v>
      </c>
      <c r="H142" s="18">
        <v>12.388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320.66086956521701</v>
      </c>
      <c r="BT142" s="19">
        <v>2.6339999999999999</v>
      </c>
      <c r="BU142" s="19">
        <v>87.895652173913007</v>
      </c>
      <c r="BV142" s="19">
        <v>0.72199999999999998</v>
      </c>
      <c r="BW142" s="19">
        <v>140.48695652173899</v>
      </c>
      <c r="BX142" s="19">
        <v>1.1539999999999999</v>
      </c>
      <c r="BY142" s="19">
        <v>166.278260869565</v>
      </c>
      <c r="BZ142" s="19">
        <v>1.3660000000000001</v>
      </c>
      <c r="CA142" s="19">
        <v>81.8</v>
      </c>
      <c r="CB142" s="19">
        <v>0.67200000000000004</v>
      </c>
      <c r="CC142" s="19">
        <v>160.67826086956501</v>
      </c>
      <c r="CD142" s="19">
        <v>1.32</v>
      </c>
      <c r="CE142" s="19">
        <v>74.495652173913001</v>
      </c>
      <c r="CF142" s="19">
        <v>0.61199999999999999</v>
      </c>
      <c r="CG142" s="19">
        <v>396.09565217391298</v>
      </c>
      <c r="CH142" s="19">
        <v>3.254</v>
      </c>
      <c r="CI142" s="19">
        <v>0</v>
      </c>
      <c r="CJ142" s="19">
        <v>0</v>
      </c>
      <c r="CK142" s="19">
        <v>79.608695652173907</v>
      </c>
      <c r="CL142" s="19">
        <v>0.65400000000000003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0</v>
      </c>
      <c r="CT142" s="19">
        <v>0</v>
      </c>
      <c r="CU142" s="19">
        <v>0</v>
      </c>
      <c r="CV142" s="19">
        <v>0</v>
      </c>
      <c r="CW142" s="19">
        <v>0</v>
      </c>
      <c r="CX142" s="19">
        <v>0</v>
      </c>
      <c r="CY142" s="19">
        <v>0</v>
      </c>
      <c r="CZ142" s="19">
        <v>0</v>
      </c>
      <c r="DA142" s="19">
        <v>0</v>
      </c>
      <c r="DB142" s="19">
        <v>0</v>
      </c>
      <c r="DC142" s="19">
        <v>0</v>
      </c>
      <c r="DD142" s="19">
        <v>0</v>
      </c>
      <c r="DE142" s="19">
        <v>0</v>
      </c>
      <c r="DF142" s="19">
        <v>0</v>
      </c>
      <c r="DG142" s="19">
        <v>0</v>
      </c>
      <c r="DH142" s="19">
        <v>0</v>
      </c>
      <c r="DI142" s="19">
        <v>0</v>
      </c>
      <c r="DJ142" s="19">
        <v>0</v>
      </c>
      <c r="DK142" s="19">
        <v>0</v>
      </c>
      <c r="DL142" s="19">
        <v>0</v>
      </c>
      <c r="DM142" s="19">
        <v>0</v>
      </c>
      <c r="DN142" s="19">
        <v>0</v>
      </c>
      <c r="DO142" s="19">
        <v>0</v>
      </c>
      <c r="DP142" s="19">
        <v>0</v>
      </c>
      <c r="DQ142" s="19">
        <v>0</v>
      </c>
      <c r="DR142" s="19">
        <v>0</v>
      </c>
      <c r="DS142" s="19">
        <v>0</v>
      </c>
      <c r="DT142" s="19">
        <v>0</v>
      </c>
      <c r="DU142" s="19">
        <v>0</v>
      </c>
      <c r="DV142" s="19">
        <v>0</v>
      </c>
      <c r="DW142" s="19">
        <v>0</v>
      </c>
      <c r="DX142" s="19">
        <v>0</v>
      </c>
      <c r="DY142" s="19">
        <v>0</v>
      </c>
      <c r="DZ142" s="19">
        <v>0</v>
      </c>
      <c r="EA142" s="19">
        <v>0</v>
      </c>
      <c r="EB142" s="19">
        <v>0</v>
      </c>
      <c r="EC142" s="19">
        <v>0</v>
      </c>
      <c r="ED142" s="19">
        <v>0</v>
      </c>
      <c r="EE142" s="19">
        <v>0</v>
      </c>
      <c r="EF142" s="19">
        <v>0</v>
      </c>
      <c r="EG142" s="19">
        <v>0</v>
      </c>
      <c r="EH142" s="19">
        <v>0</v>
      </c>
      <c r="EI142" s="19">
        <v>0</v>
      </c>
      <c r="EJ142" s="19">
        <v>0</v>
      </c>
      <c r="EK142" s="19">
        <v>0</v>
      </c>
      <c r="EL142" s="19">
        <v>0</v>
      </c>
      <c r="EM142" s="19">
        <v>0</v>
      </c>
      <c r="EN142" s="19">
        <v>0</v>
      </c>
      <c r="EO142" s="19">
        <v>0</v>
      </c>
      <c r="EP142" s="19">
        <v>0</v>
      </c>
      <c r="EQ142" s="19">
        <v>0</v>
      </c>
      <c r="ER142" s="19">
        <v>0</v>
      </c>
      <c r="ES142" s="119">
        <v>0</v>
      </c>
      <c r="ET142" s="119">
        <v>0</v>
      </c>
    </row>
    <row r="143" spans="1:150" ht="16.5" customHeight="1" x14ac:dyDescent="0.35">
      <c r="A143" s="4">
        <v>204</v>
      </c>
      <c r="B143" s="4" t="str">
        <f>LOOKUP(A143,Lookup!$A$1:$A$34,Lookup!$B$1:$B$34)</f>
        <v>LAMB</v>
      </c>
      <c r="C143" s="5">
        <v>32041</v>
      </c>
      <c r="D143" s="6" t="s">
        <v>143</v>
      </c>
      <c r="E143" s="18">
        <v>1514.61677893448</v>
      </c>
      <c r="F143" s="18">
        <v>11.488</v>
      </c>
      <c r="G143" s="18">
        <v>107537.79130434799</v>
      </c>
      <c r="H143" s="18">
        <v>815.62400000000002</v>
      </c>
      <c r="I143" s="19">
        <v>2050.6782608695698</v>
      </c>
      <c r="J143" s="19">
        <v>16.263999999999999</v>
      </c>
      <c r="K143" s="19">
        <v>0</v>
      </c>
      <c r="L143" s="19">
        <v>0</v>
      </c>
      <c r="M143" s="19">
        <v>1115.3652173912999</v>
      </c>
      <c r="N143" s="19">
        <v>8.8460000000000001</v>
      </c>
      <c r="O143" s="19">
        <v>3938.2</v>
      </c>
      <c r="P143" s="19">
        <v>31.234000000000002</v>
      </c>
      <c r="Q143" s="19">
        <v>2344.9652173913</v>
      </c>
      <c r="R143" s="19">
        <v>18.597999999999999</v>
      </c>
      <c r="S143" s="19">
        <v>0</v>
      </c>
      <c r="T143" s="19">
        <v>0</v>
      </c>
      <c r="U143" s="19">
        <v>0</v>
      </c>
      <c r="V143" s="19">
        <v>0</v>
      </c>
      <c r="W143" s="19">
        <v>1069.5652173912999</v>
      </c>
      <c r="X143" s="19">
        <v>7.6879999999999997</v>
      </c>
      <c r="Y143" s="19">
        <v>473.29565217391303</v>
      </c>
      <c r="Z143" s="19">
        <v>3.4020000000000001</v>
      </c>
      <c r="AA143" s="19">
        <v>635.50434782608704</v>
      </c>
      <c r="AB143" s="19">
        <v>4.5679999999999996</v>
      </c>
      <c r="AC143" s="19">
        <v>595.72173913043503</v>
      </c>
      <c r="AD143" s="19">
        <v>4.282</v>
      </c>
      <c r="AE143" s="19">
        <v>504.730434782609</v>
      </c>
      <c r="AF143" s="19">
        <v>3.6280000000000001</v>
      </c>
      <c r="AG143" s="19">
        <v>1703.1304347826101</v>
      </c>
      <c r="AH143" s="19">
        <v>12.242000000000001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2174.47826086957</v>
      </c>
      <c r="AP143" s="19">
        <v>15.63</v>
      </c>
      <c r="AQ143" s="19">
        <v>1067.3478260869599</v>
      </c>
      <c r="AR143" s="19">
        <v>7.6719999999999997</v>
      </c>
      <c r="AS143" s="19">
        <v>2184.8000000000002</v>
      </c>
      <c r="AT143" s="19">
        <v>14.628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2560.8347826087002</v>
      </c>
      <c r="BH143" s="19">
        <v>20.035</v>
      </c>
      <c r="BI143" s="19">
        <v>1820.3739130434799</v>
      </c>
      <c r="BJ143" s="19">
        <v>14.242000000000001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3318.0782608695699</v>
      </c>
      <c r="BR143" s="19">
        <v>24.617999999999999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3430.9043478260901</v>
      </c>
      <c r="BZ143" s="19">
        <v>24.507999999999999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1292.50434782609</v>
      </c>
      <c r="CJ143" s="19">
        <v>9.468</v>
      </c>
      <c r="CK143" s="19">
        <v>0</v>
      </c>
      <c r="CL143" s="19">
        <v>0</v>
      </c>
      <c r="CM143" s="19">
        <v>0</v>
      </c>
      <c r="CN143" s="19">
        <v>0</v>
      </c>
      <c r="CO143" s="19">
        <v>3760.6695652173898</v>
      </c>
      <c r="CP143" s="19">
        <v>27.547999999999998</v>
      </c>
      <c r="CQ143" s="19">
        <v>3279.6</v>
      </c>
      <c r="CR143" s="19">
        <v>24.024000000000001</v>
      </c>
      <c r="CS143" s="19">
        <v>2053.1478260869599</v>
      </c>
      <c r="CT143" s="19">
        <v>15.04</v>
      </c>
      <c r="CU143" s="19">
        <v>0</v>
      </c>
      <c r="CV143" s="19">
        <v>0</v>
      </c>
      <c r="CW143" s="19">
        <v>6357.4260869565196</v>
      </c>
      <c r="CX143" s="19">
        <v>47.167999999999999</v>
      </c>
      <c r="CY143" s="19">
        <v>2682.3217391304302</v>
      </c>
      <c r="CZ143" s="19">
        <v>19.649000000000001</v>
      </c>
      <c r="DA143" s="19">
        <v>2976.53043478261</v>
      </c>
      <c r="DB143" s="19">
        <v>21.803999999999998</v>
      </c>
      <c r="DC143" s="19">
        <v>0</v>
      </c>
      <c r="DD143" s="19">
        <v>0</v>
      </c>
      <c r="DE143" s="19">
        <v>4733.1043478260899</v>
      </c>
      <c r="DF143" s="19">
        <v>32.020000000000003</v>
      </c>
      <c r="DG143" s="19">
        <v>12281.556521739099</v>
      </c>
      <c r="DH143" s="19">
        <v>83.085999999999999</v>
      </c>
      <c r="DI143" s="19">
        <v>664.59130434782605</v>
      </c>
      <c r="DJ143" s="19">
        <v>4.4960000000000004</v>
      </c>
      <c r="DK143" s="19">
        <v>1003.77391304348</v>
      </c>
      <c r="DL143" s="19">
        <v>7.1479999999999997</v>
      </c>
      <c r="DM143" s="19">
        <v>975.6</v>
      </c>
      <c r="DN143" s="19">
        <v>6.6</v>
      </c>
      <c r="DO143" s="19">
        <v>930.95652173913004</v>
      </c>
      <c r="DP143" s="19">
        <v>6.298</v>
      </c>
      <c r="DQ143" s="19">
        <v>1497.0869565217399</v>
      </c>
      <c r="DR143" s="19">
        <v>10.128</v>
      </c>
      <c r="DS143" s="19">
        <v>0</v>
      </c>
      <c r="DT143" s="19">
        <v>0</v>
      </c>
      <c r="DU143" s="19">
        <v>0</v>
      </c>
      <c r="DV143" s="19">
        <v>0</v>
      </c>
      <c r="DW143" s="19">
        <v>0</v>
      </c>
      <c r="DX143" s="19">
        <v>0</v>
      </c>
      <c r="DY143" s="19">
        <v>1153.50434782609</v>
      </c>
      <c r="DZ143" s="19">
        <v>8.9920000000000009</v>
      </c>
      <c r="EA143" s="19">
        <v>0</v>
      </c>
      <c r="EB143" s="19">
        <v>0</v>
      </c>
      <c r="EC143" s="19">
        <v>0</v>
      </c>
      <c r="ED143" s="19">
        <v>0</v>
      </c>
      <c r="EE143" s="19">
        <v>0</v>
      </c>
      <c r="EF143" s="19">
        <v>0</v>
      </c>
      <c r="EG143" s="19">
        <v>2228.99130434783</v>
      </c>
      <c r="EH143" s="19">
        <v>17.09</v>
      </c>
      <c r="EI143" s="19">
        <v>0</v>
      </c>
      <c r="EJ143" s="19">
        <v>0</v>
      </c>
      <c r="EK143" s="19">
        <v>389.97391304347798</v>
      </c>
      <c r="EL143" s="19">
        <v>2.99</v>
      </c>
      <c r="EM143" s="19">
        <v>400.408695652174</v>
      </c>
      <c r="EN143" s="19">
        <v>3.07</v>
      </c>
      <c r="EO143" s="19">
        <v>15000.2608695652</v>
      </c>
      <c r="EP143" s="19">
        <v>127.78</v>
      </c>
      <c r="EQ143" s="19">
        <v>12887.8086956522</v>
      </c>
      <c r="ER143" s="19">
        <v>109.14</v>
      </c>
      <c r="ES143" s="119">
        <v>0</v>
      </c>
      <c r="ET143" s="119">
        <v>0</v>
      </c>
    </row>
    <row r="144" spans="1:150" ht="16.5" customHeight="1" x14ac:dyDescent="0.35">
      <c r="A144" s="4">
        <v>204</v>
      </c>
      <c r="B144" s="4" t="str">
        <f>LOOKUP(A144,Lookup!$A$1:$A$34,Lookup!$B$1:$B$34)</f>
        <v>LAMB</v>
      </c>
      <c r="C144" s="5">
        <v>34192</v>
      </c>
      <c r="D144" s="6" t="s">
        <v>144</v>
      </c>
      <c r="E144" s="18">
        <v>0</v>
      </c>
      <c r="F144" s="18">
        <v>0</v>
      </c>
      <c r="G144" s="18">
        <v>0</v>
      </c>
      <c r="H144" s="18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0</v>
      </c>
      <c r="CT144" s="19">
        <v>0</v>
      </c>
      <c r="CU144" s="19">
        <v>0</v>
      </c>
      <c r="CV144" s="19">
        <v>0</v>
      </c>
      <c r="CW144" s="19">
        <v>0</v>
      </c>
      <c r="CX144" s="19">
        <v>0</v>
      </c>
      <c r="CY144" s="19">
        <v>0</v>
      </c>
      <c r="CZ144" s="19">
        <v>0</v>
      </c>
      <c r="DA144" s="19">
        <v>0</v>
      </c>
      <c r="DB144" s="19">
        <v>0</v>
      </c>
      <c r="DC144" s="19">
        <v>0</v>
      </c>
      <c r="DD144" s="19">
        <v>0</v>
      </c>
      <c r="DE144" s="19">
        <v>0</v>
      </c>
      <c r="DF144" s="19">
        <v>0</v>
      </c>
      <c r="DG144" s="19">
        <v>0</v>
      </c>
      <c r="DH144" s="19">
        <v>0</v>
      </c>
      <c r="DI144" s="19">
        <v>0</v>
      </c>
      <c r="DJ144" s="19">
        <v>0</v>
      </c>
      <c r="DK144" s="19">
        <v>0</v>
      </c>
      <c r="DL144" s="19">
        <v>0</v>
      </c>
      <c r="DM144" s="19">
        <v>0</v>
      </c>
      <c r="DN144" s="19">
        <v>0</v>
      </c>
      <c r="DO144" s="19">
        <v>0</v>
      </c>
      <c r="DP144" s="19">
        <v>0</v>
      </c>
      <c r="DQ144" s="19">
        <v>0</v>
      </c>
      <c r="DR144" s="19">
        <v>0</v>
      </c>
      <c r="DS144" s="19">
        <v>0</v>
      </c>
      <c r="DT144" s="19">
        <v>0</v>
      </c>
      <c r="DU144" s="19">
        <v>0</v>
      </c>
      <c r="DV144" s="19">
        <v>0</v>
      </c>
      <c r="DW144" s="19">
        <v>0</v>
      </c>
      <c r="DX144" s="19">
        <v>0</v>
      </c>
      <c r="DY144" s="19">
        <v>0</v>
      </c>
      <c r="DZ144" s="19">
        <v>0</v>
      </c>
      <c r="EA144" s="19">
        <v>0</v>
      </c>
      <c r="EB144" s="19">
        <v>0</v>
      </c>
      <c r="EC144" s="19">
        <v>0</v>
      </c>
      <c r="ED144" s="19">
        <v>0</v>
      </c>
      <c r="EE144" s="19">
        <v>0</v>
      </c>
      <c r="EF144" s="19">
        <v>0</v>
      </c>
      <c r="EG144" s="19">
        <v>0</v>
      </c>
      <c r="EH144" s="19">
        <v>0</v>
      </c>
      <c r="EI144" s="19">
        <v>0</v>
      </c>
      <c r="EJ144" s="19">
        <v>0</v>
      </c>
      <c r="EK144" s="19">
        <v>0</v>
      </c>
      <c r="EL144" s="19">
        <v>0</v>
      </c>
      <c r="EM144" s="19">
        <v>0</v>
      </c>
      <c r="EN144" s="19">
        <v>0</v>
      </c>
      <c r="EO144" s="19">
        <v>0</v>
      </c>
      <c r="EP144" s="19">
        <v>0</v>
      </c>
      <c r="EQ144" s="19">
        <v>0</v>
      </c>
      <c r="ER144" s="19">
        <v>0</v>
      </c>
      <c r="ES144" s="119">
        <v>0</v>
      </c>
      <c r="ET144" s="119">
        <v>0</v>
      </c>
    </row>
    <row r="145" spans="1:150" ht="16.5" customHeight="1" x14ac:dyDescent="0.35">
      <c r="A145" s="4">
        <v>204</v>
      </c>
      <c r="B145" s="4" t="str">
        <f>LOOKUP(A145,Lookup!$A$1:$A$34,Lookup!$B$1:$B$34)</f>
        <v>LAMB</v>
      </c>
      <c r="C145" s="5">
        <v>34193</v>
      </c>
      <c r="D145" s="6" t="s">
        <v>145</v>
      </c>
      <c r="E145" s="18">
        <v>12.1466013472137</v>
      </c>
      <c r="F145" s="18">
        <v>4.7E-2</v>
      </c>
      <c r="G145" s="18">
        <v>862.40869565217395</v>
      </c>
      <c r="H145" s="18">
        <v>3.306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>
        <v>0</v>
      </c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555.63478260869601</v>
      </c>
      <c r="DF145" s="19">
        <v>2.13</v>
      </c>
      <c r="DG145" s="19">
        <v>306.77391304347799</v>
      </c>
      <c r="DH145" s="19">
        <v>1.1759999999999999</v>
      </c>
      <c r="DI145" s="19">
        <v>0</v>
      </c>
      <c r="DJ145" s="19">
        <v>0</v>
      </c>
      <c r="DK145" s="19">
        <v>0</v>
      </c>
      <c r="DL145" s="19">
        <v>0</v>
      </c>
      <c r="DM145" s="19">
        <v>0</v>
      </c>
      <c r="DN145" s="19">
        <v>0</v>
      </c>
      <c r="DO145" s="19">
        <v>0</v>
      </c>
      <c r="DP145" s="19">
        <v>0</v>
      </c>
      <c r="DQ145" s="19">
        <v>0</v>
      </c>
      <c r="DR145" s="19">
        <v>0</v>
      </c>
      <c r="DS145" s="19">
        <v>0</v>
      </c>
      <c r="DT145" s="19">
        <v>0</v>
      </c>
      <c r="DU145" s="19">
        <v>0</v>
      </c>
      <c r="DV145" s="19">
        <v>0</v>
      </c>
      <c r="DW145" s="19">
        <v>0</v>
      </c>
      <c r="DX145" s="19">
        <v>0</v>
      </c>
      <c r="DY145" s="19">
        <v>0</v>
      </c>
      <c r="DZ145" s="19">
        <v>0</v>
      </c>
      <c r="EA145" s="19">
        <v>0</v>
      </c>
      <c r="EB145" s="19">
        <v>0</v>
      </c>
      <c r="EC145" s="19">
        <v>0</v>
      </c>
      <c r="ED145" s="19">
        <v>0</v>
      </c>
      <c r="EE145" s="19">
        <v>0</v>
      </c>
      <c r="EF145" s="19">
        <v>0</v>
      </c>
      <c r="EG145" s="19">
        <v>0</v>
      </c>
      <c r="EH145" s="19">
        <v>0</v>
      </c>
      <c r="EI145" s="19">
        <v>0</v>
      </c>
      <c r="EJ145" s="19">
        <v>0</v>
      </c>
      <c r="EK145" s="19">
        <v>0</v>
      </c>
      <c r="EL145" s="19">
        <v>0</v>
      </c>
      <c r="EM145" s="19">
        <v>0</v>
      </c>
      <c r="EN145" s="19">
        <v>0</v>
      </c>
      <c r="EO145" s="19">
        <v>0</v>
      </c>
      <c r="EP145" s="19">
        <v>0</v>
      </c>
      <c r="EQ145" s="19">
        <v>0</v>
      </c>
      <c r="ER145" s="19">
        <v>0</v>
      </c>
      <c r="ES145" s="119">
        <v>0</v>
      </c>
      <c r="ET145" s="119">
        <v>0</v>
      </c>
    </row>
    <row r="146" spans="1:150" ht="16.5" customHeight="1" x14ac:dyDescent="0.35">
      <c r="A146" s="4">
        <v>204</v>
      </c>
      <c r="B146" s="4" t="str">
        <f>LOOKUP(A146,Lookup!$A$1:$A$34,Lookup!$B$1:$B$34)</f>
        <v>LAMB</v>
      </c>
      <c r="C146" s="5">
        <v>34238</v>
      </c>
      <c r="D146" s="6" t="s">
        <v>146</v>
      </c>
      <c r="E146" s="18">
        <v>45.287201469687702</v>
      </c>
      <c r="F146" s="18">
        <v>0.76500000000000001</v>
      </c>
      <c r="G146" s="18">
        <v>3215.3913043478301</v>
      </c>
      <c r="H146" s="18">
        <v>54.344999999999999</v>
      </c>
      <c r="I146" s="19">
        <v>130.93913043478301</v>
      </c>
      <c r="J146" s="19">
        <v>2.282</v>
      </c>
      <c r="K146" s="19">
        <v>104.32173913043501</v>
      </c>
      <c r="L146" s="19">
        <v>1.8180000000000001</v>
      </c>
      <c r="M146" s="19">
        <v>127.278260869565</v>
      </c>
      <c r="N146" s="19">
        <v>2.218</v>
      </c>
      <c r="O146" s="19">
        <v>27.313043478260902</v>
      </c>
      <c r="P146" s="19">
        <v>0.47599999999999998</v>
      </c>
      <c r="Q146" s="19">
        <v>73.330434782608705</v>
      </c>
      <c r="R146" s="19">
        <v>1.278</v>
      </c>
      <c r="S146" s="19">
        <v>0</v>
      </c>
      <c r="T146" s="19">
        <v>0</v>
      </c>
      <c r="U146" s="19">
        <v>25.5913043478261</v>
      </c>
      <c r="V146" s="19">
        <v>0.44600000000000001</v>
      </c>
      <c r="W146" s="19">
        <v>49</v>
      </c>
      <c r="X146" s="19">
        <v>0.85399999999999998</v>
      </c>
      <c r="Y146" s="19">
        <v>127.96521739130399</v>
      </c>
      <c r="Z146" s="19">
        <v>2.23</v>
      </c>
      <c r="AA146" s="19">
        <v>0</v>
      </c>
      <c r="AB146" s="19">
        <v>0</v>
      </c>
      <c r="AC146" s="19">
        <v>33.052173913043497</v>
      </c>
      <c r="AD146" s="19">
        <v>0.57599999999999996</v>
      </c>
      <c r="AE146" s="19">
        <v>0</v>
      </c>
      <c r="AF146" s="19">
        <v>0</v>
      </c>
      <c r="AG146" s="19">
        <v>23.869565217391301</v>
      </c>
      <c r="AH146" s="19">
        <v>0.41599999999999998</v>
      </c>
      <c r="AI146" s="19">
        <v>0</v>
      </c>
      <c r="AJ146" s="19">
        <v>0</v>
      </c>
      <c r="AK146" s="19">
        <v>49.008695652173898</v>
      </c>
      <c r="AL146" s="19">
        <v>0.85399999999999998</v>
      </c>
      <c r="AM146" s="19">
        <v>86.878260869565196</v>
      </c>
      <c r="AN146" s="19">
        <v>1.514</v>
      </c>
      <c r="AO146" s="19">
        <v>120.15652173913</v>
      </c>
      <c r="AP146" s="19">
        <v>2.0939999999999999</v>
      </c>
      <c r="AQ146" s="19">
        <v>108.339130434783</v>
      </c>
      <c r="AR146" s="19">
        <v>1.8879999999999999</v>
      </c>
      <c r="AS146" s="19">
        <v>98.678260869565193</v>
      </c>
      <c r="AT146" s="19">
        <v>1.81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28.573913043478299</v>
      </c>
      <c r="BT146" s="19">
        <v>0.498</v>
      </c>
      <c r="BU146" s="19">
        <v>0</v>
      </c>
      <c r="BV146" s="19">
        <v>0</v>
      </c>
      <c r="BW146" s="19">
        <v>39.939130434782598</v>
      </c>
      <c r="BX146" s="19">
        <v>0.69599999999999995</v>
      </c>
      <c r="BY146" s="19">
        <v>0</v>
      </c>
      <c r="BZ146" s="19">
        <v>0</v>
      </c>
      <c r="CA146" s="19">
        <v>47.626086956521704</v>
      </c>
      <c r="CB146" s="19">
        <v>0.83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186.66956521739101</v>
      </c>
      <c r="CT146" s="19">
        <v>3.3370000000000002</v>
      </c>
      <c r="CU146" s="19">
        <v>33.973913043478298</v>
      </c>
      <c r="CV146" s="19">
        <v>0.59199999999999997</v>
      </c>
      <c r="CW146" s="19">
        <v>30.4086956521739</v>
      </c>
      <c r="CX146" s="19">
        <v>0.53</v>
      </c>
      <c r="CY146" s="19">
        <v>71.730434782608697</v>
      </c>
      <c r="CZ146" s="19">
        <v>1.25</v>
      </c>
      <c r="DA146" s="19">
        <v>96.521739130434796</v>
      </c>
      <c r="DB146" s="19">
        <v>1.6819999999999999</v>
      </c>
      <c r="DC146" s="19">
        <v>0</v>
      </c>
      <c r="DD146" s="19">
        <v>0</v>
      </c>
      <c r="DE146" s="19">
        <v>0</v>
      </c>
      <c r="DF146" s="19">
        <v>0</v>
      </c>
      <c r="DG146" s="19">
        <v>0</v>
      </c>
      <c r="DH146" s="19">
        <v>0</v>
      </c>
      <c r="DI146" s="19">
        <v>0</v>
      </c>
      <c r="DJ146" s="19">
        <v>0</v>
      </c>
      <c r="DK146" s="19">
        <v>0</v>
      </c>
      <c r="DL146" s="19">
        <v>0</v>
      </c>
      <c r="DM146" s="19">
        <v>0</v>
      </c>
      <c r="DN146" s="19">
        <v>0</v>
      </c>
      <c r="DO146" s="19">
        <v>0</v>
      </c>
      <c r="DP146" s="19">
        <v>0</v>
      </c>
      <c r="DQ146" s="19">
        <v>0</v>
      </c>
      <c r="DR146" s="19">
        <v>0</v>
      </c>
      <c r="DS146" s="19">
        <v>291.02608695652202</v>
      </c>
      <c r="DT146" s="19">
        <v>4.5229999999999997</v>
      </c>
      <c r="DU146" s="19">
        <v>130.591304347826</v>
      </c>
      <c r="DV146" s="19">
        <v>2.0289999999999999</v>
      </c>
      <c r="DW146" s="19">
        <v>26.904347826087001</v>
      </c>
      <c r="DX146" s="19">
        <v>0.442</v>
      </c>
      <c r="DY146" s="19">
        <v>90.686956521739106</v>
      </c>
      <c r="DZ146" s="19">
        <v>1.49</v>
      </c>
      <c r="EA146" s="19">
        <v>0</v>
      </c>
      <c r="EB146" s="19">
        <v>0</v>
      </c>
      <c r="EC146" s="19">
        <v>153.60869565217399</v>
      </c>
      <c r="ED146" s="19">
        <v>2.524</v>
      </c>
      <c r="EE146" s="19">
        <v>0</v>
      </c>
      <c r="EF146" s="19">
        <v>0</v>
      </c>
      <c r="EG146" s="19">
        <v>118.68695652173901</v>
      </c>
      <c r="EH146" s="19">
        <v>1.95</v>
      </c>
      <c r="EI146" s="19">
        <v>128.417391304348</v>
      </c>
      <c r="EJ146" s="19">
        <v>2.11</v>
      </c>
      <c r="EK146" s="19">
        <v>67.791304347826099</v>
      </c>
      <c r="EL146" s="19">
        <v>1.1140000000000001</v>
      </c>
      <c r="EM146" s="19">
        <v>29.095652173912999</v>
      </c>
      <c r="EN146" s="19">
        <v>0.47799999999999998</v>
      </c>
      <c r="EO146" s="19">
        <v>152.02608695652199</v>
      </c>
      <c r="EP146" s="19">
        <v>2.4980000000000002</v>
      </c>
      <c r="EQ146" s="19">
        <v>116.852173913043</v>
      </c>
      <c r="ER146" s="19">
        <v>1.92</v>
      </c>
      <c r="ES146" s="119">
        <v>188.539130434783</v>
      </c>
      <c r="ET146" s="119">
        <v>3.0979999999999999</v>
      </c>
    </row>
    <row r="147" spans="1:150" ht="16.5" customHeight="1" x14ac:dyDescent="0.35">
      <c r="A147" s="4">
        <v>204</v>
      </c>
      <c r="B147" s="4" t="str">
        <f>LOOKUP(A147,Lookup!$A$1:$A$34,Lookup!$B$1:$B$34)</f>
        <v>LAMB</v>
      </c>
      <c r="C147" s="5">
        <v>34239</v>
      </c>
      <c r="D147" s="6" t="s">
        <v>147</v>
      </c>
      <c r="E147" s="18">
        <v>1167.4616044090601</v>
      </c>
      <c r="F147" s="18">
        <v>7.0549999999999997</v>
      </c>
      <c r="G147" s="18">
        <v>82889.773913043493</v>
      </c>
      <c r="H147" s="18">
        <v>500.923</v>
      </c>
      <c r="I147" s="19">
        <v>1531.4</v>
      </c>
      <c r="J147" s="19">
        <v>8.8059999999999992</v>
      </c>
      <c r="K147" s="19">
        <v>1096.1391304347801</v>
      </c>
      <c r="L147" s="19">
        <v>6.32</v>
      </c>
      <c r="M147" s="19">
        <v>655.96521739130401</v>
      </c>
      <c r="N147" s="19">
        <v>3.7719999999999998</v>
      </c>
      <c r="O147" s="19">
        <v>1084.1043478260899</v>
      </c>
      <c r="P147" s="19">
        <v>6.234</v>
      </c>
      <c r="Q147" s="19">
        <v>652.15652173912997</v>
      </c>
      <c r="R147" s="19">
        <v>3.75</v>
      </c>
      <c r="S147" s="19">
        <v>1099.74782608696</v>
      </c>
      <c r="T147" s="19">
        <v>6.3239999999999998</v>
      </c>
      <c r="U147" s="19">
        <v>1117.48695652174</v>
      </c>
      <c r="V147" s="19">
        <v>6.4539999999999997</v>
      </c>
      <c r="W147" s="19">
        <v>980.93043478260904</v>
      </c>
      <c r="X147" s="19">
        <v>6.1239999999999997</v>
      </c>
      <c r="Y147" s="19">
        <v>1098.0869565217399</v>
      </c>
      <c r="Z147" s="19">
        <v>7.016</v>
      </c>
      <c r="AA147" s="19">
        <v>1274.05217391304</v>
      </c>
      <c r="AB147" s="19">
        <v>8.2319999999999993</v>
      </c>
      <c r="AC147" s="19">
        <v>888.03478260869599</v>
      </c>
      <c r="AD147" s="19">
        <v>5.6740000000000004</v>
      </c>
      <c r="AE147" s="19">
        <v>1312.50434782609</v>
      </c>
      <c r="AF147" s="19">
        <v>8.3859999999999992</v>
      </c>
      <c r="AG147" s="19">
        <v>1153.0695652173899</v>
      </c>
      <c r="AH147" s="19">
        <v>7.3879999999999999</v>
      </c>
      <c r="AI147" s="19">
        <v>1312.48695652174</v>
      </c>
      <c r="AJ147" s="19">
        <v>8.3859999999999992</v>
      </c>
      <c r="AK147" s="19">
        <v>851.41739130434803</v>
      </c>
      <c r="AL147" s="19">
        <v>5.44</v>
      </c>
      <c r="AM147" s="19">
        <v>1444.4</v>
      </c>
      <c r="AN147" s="19">
        <v>9.2759999999999998</v>
      </c>
      <c r="AO147" s="19">
        <v>1707.52173913043</v>
      </c>
      <c r="AP147" s="19">
        <v>9.6579999999999995</v>
      </c>
      <c r="AQ147" s="19">
        <v>1000.62608695652</v>
      </c>
      <c r="AR147" s="19">
        <v>5.48</v>
      </c>
      <c r="AS147" s="19">
        <v>1361.73043478261</v>
      </c>
      <c r="AT147" s="19">
        <v>7.5140000000000002</v>
      </c>
      <c r="AU147" s="19">
        <v>817.47826086956502</v>
      </c>
      <c r="AV147" s="19">
        <v>4.2729999999999997</v>
      </c>
      <c r="AW147" s="19">
        <v>972.06956521739096</v>
      </c>
      <c r="AX147" s="19">
        <v>5.1120000000000001</v>
      </c>
      <c r="AY147" s="19">
        <v>1256.8086956521699</v>
      </c>
      <c r="AZ147" s="19">
        <v>6.57</v>
      </c>
      <c r="BA147" s="19">
        <v>849.730434782609</v>
      </c>
      <c r="BB147" s="19">
        <v>4.4980000000000002</v>
      </c>
      <c r="BC147" s="19">
        <v>1241.53043478261</v>
      </c>
      <c r="BD147" s="19">
        <v>6.49</v>
      </c>
      <c r="BE147" s="19">
        <v>967.58260869565197</v>
      </c>
      <c r="BF147" s="19">
        <v>5.0579999999999998</v>
      </c>
      <c r="BG147" s="19">
        <v>1073.98260869565</v>
      </c>
      <c r="BH147" s="19">
        <v>6.3620000000000001</v>
      </c>
      <c r="BI147" s="19">
        <v>1139.6782608695701</v>
      </c>
      <c r="BJ147" s="19">
        <v>7.0540000000000003</v>
      </c>
      <c r="BK147" s="19">
        <v>580.81739130434801</v>
      </c>
      <c r="BL147" s="19">
        <v>3.5720000000000001</v>
      </c>
      <c r="BM147" s="19">
        <v>577.56521739130403</v>
      </c>
      <c r="BN147" s="19">
        <v>3.552</v>
      </c>
      <c r="BO147" s="19">
        <v>1079.3304347826099</v>
      </c>
      <c r="BP147" s="19">
        <v>6.6379999999999999</v>
      </c>
      <c r="BQ147" s="19">
        <v>1173.99130434783</v>
      </c>
      <c r="BR147" s="19">
        <v>7.22</v>
      </c>
      <c r="BS147" s="19">
        <v>664.38260869565204</v>
      </c>
      <c r="BT147" s="19">
        <v>4.0860000000000003</v>
      </c>
      <c r="BU147" s="19">
        <v>1008.77391304348</v>
      </c>
      <c r="BV147" s="19">
        <v>6.2039999999999997</v>
      </c>
      <c r="BW147" s="19">
        <v>374.304347826087</v>
      </c>
      <c r="BX147" s="19">
        <v>2.302</v>
      </c>
      <c r="BY147" s="19">
        <v>988.60869565217399</v>
      </c>
      <c r="BZ147" s="19">
        <v>6.08</v>
      </c>
      <c r="CA147" s="19">
        <v>1010.06956521739</v>
      </c>
      <c r="CB147" s="19">
        <v>6.2119999999999997</v>
      </c>
      <c r="CC147" s="19">
        <v>1092.6695652173901</v>
      </c>
      <c r="CD147" s="19">
        <v>6.72</v>
      </c>
      <c r="CE147" s="19">
        <v>654.95652173913004</v>
      </c>
      <c r="CF147" s="19">
        <v>4.0279999999999996</v>
      </c>
      <c r="CG147" s="19">
        <v>1153.78260869565</v>
      </c>
      <c r="CH147" s="19">
        <v>6.984</v>
      </c>
      <c r="CI147" s="19">
        <v>1045.74782608696</v>
      </c>
      <c r="CJ147" s="19">
        <v>6.33</v>
      </c>
      <c r="CK147" s="19">
        <v>859.84347826086901</v>
      </c>
      <c r="CL147" s="19">
        <v>5.2880000000000003</v>
      </c>
      <c r="CM147" s="19">
        <v>935.28695652173894</v>
      </c>
      <c r="CN147" s="19">
        <v>5.7519999999999998</v>
      </c>
      <c r="CO147" s="19">
        <v>756.426086956522</v>
      </c>
      <c r="CP147" s="19">
        <v>4.6520000000000001</v>
      </c>
      <c r="CQ147" s="19">
        <v>1086.48695652174</v>
      </c>
      <c r="CR147" s="19">
        <v>6.6820000000000004</v>
      </c>
      <c r="CS147" s="19">
        <v>576.89565217391305</v>
      </c>
      <c r="CT147" s="19">
        <v>3.548</v>
      </c>
      <c r="CU147" s="19">
        <v>791.20869565217401</v>
      </c>
      <c r="CV147" s="19">
        <v>4.8659999999999997</v>
      </c>
      <c r="CW147" s="19">
        <v>974.63478260869601</v>
      </c>
      <c r="CX147" s="19">
        <v>5.9939999999999998</v>
      </c>
      <c r="CY147" s="19">
        <v>1205.1913043478301</v>
      </c>
      <c r="CZ147" s="19">
        <v>7.4119999999999999</v>
      </c>
      <c r="DA147" s="19">
        <v>1407.1304347826101</v>
      </c>
      <c r="DB147" s="19">
        <v>8.6539999999999999</v>
      </c>
      <c r="DC147" s="19">
        <v>1700.5565217391299</v>
      </c>
      <c r="DD147" s="19">
        <v>10.314</v>
      </c>
      <c r="DE147" s="19">
        <v>1135.9130434782601</v>
      </c>
      <c r="DF147" s="19">
        <v>6.8979999999999997</v>
      </c>
      <c r="DG147" s="19">
        <v>790.33913043478299</v>
      </c>
      <c r="DH147" s="19">
        <v>4.7839999999999998</v>
      </c>
      <c r="DI147" s="19">
        <v>1438.28695652174</v>
      </c>
      <c r="DJ147" s="19">
        <v>8.7059999999999995</v>
      </c>
      <c r="DK147" s="19">
        <v>1016.01739130435</v>
      </c>
      <c r="DL147" s="19">
        <v>6.15</v>
      </c>
      <c r="DM147" s="19">
        <v>943.64347826086998</v>
      </c>
      <c r="DN147" s="19">
        <v>5.7119999999999997</v>
      </c>
      <c r="DO147" s="19">
        <v>1525.1652173913001</v>
      </c>
      <c r="DP147" s="19">
        <v>9.2319999999999993</v>
      </c>
      <c r="DQ147" s="19">
        <v>2347.6434782608699</v>
      </c>
      <c r="DR147" s="19">
        <v>15.882</v>
      </c>
      <c r="DS147" s="19">
        <v>903.20869565217401</v>
      </c>
      <c r="DT147" s="19">
        <v>5.5</v>
      </c>
      <c r="DU147" s="19">
        <v>1346.4434782608701</v>
      </c>
      <c r="DV147" s="19">
        <v>8.15</v>
      </c>
      <c r="DW147" s="19">
        <v>1819.22608695652</v>
      </c>
      <c r="DX147" s="19">
        <v>11.012</v>
      </c>
      <c r="DY147" s="19">
        <v>2953.2260869565198</v>
      </c>
      <c r="DZ147" s="19">
        <v>17.876000000000001</v>
      </c>
      <c r="EA147" s="19">
        <v>1378.5826086956499</v>
      </c>
      <c r="EB147" s="19">
        <v>8.3759999999999994</v>
      </c>
      <c r="EC147" s="19">
        <v>1983.49565217391</v>
      </c>
      <c r="ED147" s="19">
        <v>12.006</v>
      </c>
      <c r="EE147" s="19">
        <v>915.573913043478</v>
      </c>
      <c r="EF147" s="19">
        <v>5.5419999999999998</v>
      </c>
      <c r="EG147" s="19">
        <v>2728.2347826086998</v>
      </c>
      <c r="EH147" s="19">
        <v>16.57</v>
      </c>
      <c r="EI147" s="19">
        <v>1660.3304347826099</v>
      </c>
      <c r="EJ147" s="19">
        <v>10.050000000000001</v>
      </c>
      <c r="EK147" s="19">
        <v>1882.6695652173901</v>
      </c>
      <c r="EL147" s="19">
        <v>11.396000000000001</v>
      </c>
      <c r="EM147" s="19">
        <v>676.03478260869599</v>
      </c>
      <c r="EN147" s="19">
        <v>4.0919999999999996</v>
      </c>
      <c r="EO147" s="19">
        <v>1818.3739130434799</v>
      </c>
      <c r="EP147" s="19">
        <v>11.545999999999999</v>
      </c>
      <c r="EQ147" s="19">
        <v>1215.7652173913</v>
      </c>
      <c r="ER147" s="19">
        <v>7.7679999999999998</v>
      </c>
      <c r="ES147" s="119">
        <v>1024.50434782609</v>
      </c>
      <c r="ET147" s="119">
        <v>6.5460000000000003</v>
      </c>
    </row>
    <row r="148" spans="1:150" ht="16.5" customHeight="1" x14ac:dyDescent="0.35">
      <c r="A148" s="4">
        <v>204</v>
      </c>
      <c r="B148" s="4" t="str">
        <f>LOOKUP(A148,Lookup!$A$1:$A$34,Lookup!$B$1:$B$34)</f>
        <v>LAMB</v>
      </c>
      <c r="C148" s="5">
        <v>34240</v>
      </c>
      <c r="D148" s="6" t="s">
        <v>148</v>
      </c>
      <c r="E148" s="18">
        <v>144.94121249234499</v>
      </c>
      <c r="F148" s="18">
        <v>0.96899999999999997</v>
      </c>
      <c r="G148" s="18">
        <v>10290.8260869565</v>
      </c>
      <c r="H148" s="18">
        <v>68.81</v>
      </c>
      <c r="I148" s="19">
        <v>186.15652173913</v>
      </c>
      <c r="J148" s="19">
        <v>1.3380000000000001</v>
      </c>
      <c r="K148" s="19">
        <v>185.860869565217</v>
      </c>
      <c r="L148" s="19">
        <v>1.3360000000000001</v>
      </c>
      <c r="M148" s="19">
        <v>0</v>
      </c>
      <c r="N148" s="19">
        <v>0</v>
      </c>
      <c r="O148" s="19">
        <v>56.486956521739103</v>
      </c>
      <c r="P148" s="19">
        <v>0.40600000000000003</v>
      </c>
      <c r="Q148" s="19">
        <v>0</v>
      </c>
      <c r="R148" s="19">
        <v>0</v>
      </c>
      <c r="S148" s="19">
        <v>0</v>
      </c>
      <c r="T148" s="19">
        <v>0</v>
      </c>
      <c r="U148" s="19">
        <v>463.82608695652198</v>
      </c>
      <c r="V148" s="19">
        <v>3.3340000000000001</v>
      </c>
      <c r="W148" s="19">
        <v>0</v>
      </c>
      <c r="X148" s="19">
        <v>0</v>
      </c>
      <c r="Y148" s="19">
        <v>378.70434782608697</v>
      </c>
      <c r="Z148" s="19">
        <v>2.5619999999999998</v>
      </c>
      <c r="AA148" s="19">
        <v>-7.9739130434782597</v>
      </c>
      <c r="AB148" s="19">
        <v>-5.3999999999999999E-2</v>
      </c>
      <c r="AC148" s="19">
        <v>223.49565217391299</v>
      </c>
      <c r="AD148" s="19">
        <v>1.512</v>
      </c>
      <c r="AE148" s="19">
        <v>139.24347826087001</v>
      </c>
      <c r="AF148" s="19">
        <v>0.94199999999999995</v>
      </c>
      <c r="AG148" s="19">
        <v>363.02608695652202</v>
      </c>
      <c r="AH148" s="19">
        <v>2.456</v>
      </c>
      <c r="AI148" s="19">
        <v>416.139130434783</v>
      </c>
      <c r="AJ148" s="19">
        <v>2.8420000000000001</v>
      </c>
      <c r="AK148" s="19">
        <v>183.286956521739</v>
      </c>
      <c r="AL148" s="19">
        <v>1.24</v>
      </c>
      <c r="AM148" s="19">
        <v>185.35652173912999</v>
      </c>
      <c r="AN148" s="19">
        <v>1.254</v>
      </c>
      <c r="AO148" s="19">
        <v>264.88695652173902</v>
      </c>
      <c r="AP148" s="19">
        <v>1.9039999999999999</v>
      </c>
      <c r="AQ148" s="19">
        <v>549.79999999999995</v>
      </c>
      <c r="AR148" s="19">
        <v>3.952</v>
      </c>
      <c r="AS148" s="19">
        <v>61.2173913043478</v>
      </c>
      <c r="AT148" s="19">
        <v>0.44</v>
      </c>
      <c r="AU148" s="19">
        <v>83.660869565217396</v>
      </c>
      <c r="AV148" s="19">
        <v>0.56599999999999995</v>
      </c>
      <c r="AW148" s="19">
        <v>304.49565217391302</v>
      </c>
      <c r="AX148" s="19">
        <v>2.06</v>
      </c>
      <c r="AY148" s="19">
        <v>0</v>
      </c>
      <c r="AZ148" s="19">
        <v>0</v>
      </c>
      <c r="BA148" s="19">
        <v>269.90434782608702</v>
      </c>
      <c r="BB148" s="19">
        <v>1.8260000000000001</v>
      </c>
      <c r="BC148" s="19">
        <v>266.66086956521701</v>
      </c>
      <c r="BD148" s="19">
        <v>1.804</v>
      </c>
      <c r="BE148" s="19">
        <v>0</v>
      </c>
      <c r="BF148" s="19">
        <v>0</v>
      </c>
      <c r="BG148" s="19">
        <v>102.53043478260901</v>
      </c>
      <c r="BH148" s="19">
        <v>0.67</v>
      </c>
      <c r="BI148" s="19">
        <v>58.156521739130397</v>
      </c>
      <c r="BJ148" s="19">
        <v>0.38</v>
      </c>
      <c r="BK148" s="19">
        <v>91.208695652173901</v>
      </c>
      <c r="BL148" s="19">
        <v>0.59599999999999997</v>
      </c>
      <c r="BM148" s="19">
        <v>295.97391304347798</v>
      </c>
      <c r="BN148" s="19">
        <v>1.9339999999999999</v>
      </c>
      <c r="BO148" s="19">
        <v>104.982608695652</v>
      </c>
      <c r="BP148" s="19">
        <v>0.68600000000000005</v>
      </c>
      <c r="BQ148" s="19">
        <v>231.07826086956501</v>
      </c>
      <c r="BR148" s="19">
        <v>1.51</v>
      </c>
      <c r="BS148" s="19">
        <v>0</v>
      </c>
      <c r="BT148" s="19">
        <v>0</v>
      </c>
      <c r="BU148" s="19">
        <v>0</v>
      </c>
      <c r="BV148" s="19">
        <v>0</v>
      </c>
      <c r="BW148" s="19">
        <v>214.25217391304301</v>
      </c>
      <c r="BX148" s="19">
        <v>1.4</v>
      </c>
      <c r="BY148" s="19">
        <v>157.93043478260901</v>
      </c>
      <c r="BZ148" s="19">
        <v>1.032</v>
      </c>
      <c r="CA148" s="19">
        <v>368.50434782608698</v>
      </c>
      <c r="CB148" s="19">
        <v>2.4079999999999999</v>
      </c>
      <c r="CC148" s="19">
        <v>0</v>
      </c>
      <c r="CD148" s="19">
        <v>0</v>
      </c>
      <c r="CE148" s="19">
        <v>0</v>
      </c>
      <c r="CF148" s="19">
        <v>0</v>
      </c>
      <c r="CG148" s="19">
        <v>289.53913043478298</v>
      </c>
      <c r="CH148" s="19">
        <v>1.8919999999999999</v>
      </c>
      <c r="CI148" s="19">
        <v>517.56521739130403</v>
      </c>
      <c r="CJ148" s="19">
        <v>3.3820000000000001</v>
      </c>
      <c r="CK148" s="19">
        <v>353.81739130434801</v>
      </c>
      <c r="CL148" s="19">
        <v>2.3119999999999998</v>
      </c>
      <c r="CM148" s="19">
        <v>0</v>
      </c>
      <c r="CN148" s="19">
        <v>0</v>
      </c>
      <c r="CO148" s="19">
        <v>120.286956521739</v>
      </c>
      <c r="CP148" s="19">
        <v>0.78600000000000003</v>
      </c>
      <c r="CQ148" s="19">
        <v>194.35652173912999</v>
      </c>
      <c r="CR148" s="19">
        <v>1.27</v>
      </c>
      <c r="CS148" s="19">
        <v>92.130434782608702</v>
      </c>
      <c r="CT148" s="19">
        <v>0.60199999999999998</v>
      </c>
      <c r="CU148" s="19">
        <v>59.0695652173913</v>
      </c>
      <c r="CV148" s="19">
        <v>0.38600000000000001</v>
      </c>
      <c r="CW148" s="19">
        <v>102.53043478260901</v>
      </c>
      <c r="CX148" s="19">
        <v>0.67</v>
      </c>
      <c r="CY148" s="19">
        <v>286.48695652173899</v>
      </c>
      <c r="CZ148" s="19">
        <v>1.8720000000000001</v>
      </c>
      <c r="DA148" s="19">
        <v>250.97391304347801</v>
      </c>
      <c r="DB148" s="19">
        <v>1.64</v>
      </c>
      <c r="DC148" s="19">
        <v>181.80869565217401</v>
      </c>
      <c r="DD148" s="19">
        <v>1.1619999999999999</v>
      </c>
      <c r="DE148" s="19">
        <v>0</v>
      </c>
      <c r="DF148" s="19">
        <v>0</v>
      </c>
      <c r="DG148" s="19">
        <v>194.713043478261</v>
      </c>
      <c r="DH148" s="19">
        <v>1.244</v>
      </c>
      <c r="DI148" s="19">
        <v>180.62608695652199</v>
      </c>
      <c r="DJ148" s="19">
        <v>1.1539999999999999</v>
      </c>
      <c r="DK148" s="19">
        <v>108.617391304348</v>
      </c>
      <c r="DL148" s="19">
        <v>0.69399999999999995</v>
      </c>
      <c r="DM148" s="19">
        <v>123.017391304348</v>
      </c>
      <c r="DN148" s="19">
        <v>0.78600000000000003</v>
      </c>
      <c r="DO148" s="19">
        <v>0</v>
      </c>
      <c r="DP148" s="19">
        <v>0</v>
      </c>
      <c r="DQ148" s="19">
        <v>155.89565217391299</v>
      </c>
      <c r="DR148" s="19">
        <v>0.996</v>
      </c>
      <c r="DS148" s="19">
        <v>0</v>
      </c>
      <c r="DT148" s="19">
        <v>0</v>
      </c>
      <c r="DU148" s="19">
        <v>0</v>
      </c>
      <c r="DV148" s="19">
        <v>0</v>
      </c>
      <c r="DW148" s="19">
        <v>0</v>
      </c>
      <c r="DX148" s="19">
        <v>0</v>
      </c>
      <c r="DY148" s="19">
        <v>255.11304347826101</v>
      </c>
      <c r="DZ148" s="19">
        <v>1.63</v>
      </c>
      <c r="EA148" s="19">
        <v>224.434782608696</v>
      </c>
      <c r="EB148" s="19">
        <v>1.4339999999999999</v>
      </c>
      <c r="EC148" s="19">
        <v>261.06086956521699</v>
      </c>
      <c r="ED148" s="19">
        <v>1.6679999999999999</v>
      </c>
      <c r="EE148" s="19">
        <v>65.739130434782595</v>
      </c>
      <c r="EF148" s="19">
        <v>0.42</v>
      </c>
      <c r="EG148" s="19">
        <v>74.191304347826105</v>
      </c>
      <c r="EH148" s="19">
        <v>0.47399999999999998</v>
      </c>
      <c r="EI148" s="19">
        <v>0</v>
      </c>
      <c r="EJ148" s="19">
        <v>0</v>
      </c>
      <c r="EK148" s="19">
        <v>0</v>
      </c>
      <c r="EL148" s="19">
        <v>0</v>
      </c>
      <c r="EM148" s="19">
        <v>0</v>
      </c>
      <c r="EN148" s="19">
        <v>0</v>
      </c>
      <c r="EO148" s="19">
        <v>0</v>
      </c>
      <c r="EP148" s="19">
        <v>0</v>
      </c>
      <c r="EQ148" s="19">
        <v>0</v>
      </c>
      <c r="ER148" s="19">
        <v>0</v>
      </c>
      <c r="ES148" s="119">
        <v>0</v>
      </c>
      <c r="ET148" s="119">
        <v>0</v>
      </c>
    </row>
    <row r="149" spans="1:150" ht="16.5" customHeight="1" x14ac:dyDescent="0.35">
      <c r="A149" s="4">
        <v>204</v>
      </c>
      <c r="B149" s="4" t="str">
        <f>LOOKUP(A149,Lookup!$A$1:$A$34,Lookup!$B$1:$B$34)</f>
        <v>LAMB</v>
      </c>
      <c r="C149" s="5">
        <v>34241</v>
      </c>
      <c r="D149" s="6" t="s">
        <v>149</v>
      </c>
      <c r="E149" s="18">
        <v>257.23882424984703</v>
      </c>
      <c r="F149" s="18">
        <v>1.4990000000000001</v>
      </c>
      <c r="G149" s="18">
        <v>18263.956521739099</v>
      </c>
      <c r="H149" s="18">
        <v>106.464</v>
      </c>
      <c r="I149" s="19">
        <v>0</v>
      </c>
      <c r="J149" s="19">
        <v>0</v>
      </c>
      <c r="K149" s="19">
        <v>67.408695652173904</v>
      </c>
      <c r="L149" s="19">
        <v>0.45600000000000002</v>
      </c>
      <c r="M149" s="19">
        <v>51.443478260869597</v>
      </c>
      <c r="N149" s="19">
        <v>0.34799999999999998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88.686956521739106</v>
      </c>
      <c r="V149" s="19">
        <v>0.6</v>
      </c>
      <c r="W149" s="19">
        <v>75.382608695652195</v>
      </c>
      <c r="X149" s="19">
        <v>0.51</v>
      </c>
      <c r="Y149" s="19">
        <v>0</v>
      </c>
      <c r="Z149" s="19">
        <v>0</v>
      </c>
      <c r="AA149" s="19">
        <v>116.782608695652</v>
      </c>
      <c r="AB149" s="19">
        <v>0.79</v>
      </c>
      <c r="AC149" s="19">
        <v>0</v>
      </c>
      <c r="AD149" s="19">
        <v>0</v>
      </c>
      <c r="AE149" s="19">
        <v>0</v>
      </c>
      <c r="AF149" s="19">
        <v>0</v>
      </c>
      <c r="AG149" s="19">
        <v>99.921739130434801</v>
      </c>
      <c r="AH149" s="19">
        <v>0.67600000000000005</v>
      </c>
      <c r="AI149" s="19">
        <v>117.669565217391</v>
      </c>
      <c r="AJ149" s="19">
        <v>0.79600000000000004</v>
      </c>
      <c r="AK149" s="19">
        <v>420.38260869565198</v>
      </c>
      <c r="AL149" s="19">
        <v>2.8439999999999999</v>
      </c>
      <c r="AM149" s="19">
        <v>188.31304347826099</v>
      </c>
      <c r="AN149" s="19">
        <v>1.306</v>
      </c>
      <c r="AO149" s="19">
        <v>0</v>
      </c>
      <c r="AP149" s="19">
        <v>0</v>
      </c>
      <c r="AQ149" s="19">
        <v>156.67826086956501</v>
      </c>
      <c r="AR149" s="19">
        <v>0.85799999999999998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64.278260869565202</v>
      </c>
      <c r="BB149" s="19">
        <v>0.35199999999999998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84.869565217391298</v>
      </c>
      <c r="BJ149" s="19">
        <v>0.48799999999999999</v>
      </c>
      <c r="BK149" s="19">
        <v>92.513043478260897</v>
      </c>
      <c r="BL149" s="19">
        <v>0.53200000000000003</v>
      </c>
      <c r="BM149" s="19">
        <v>179.46956521739099</v>
      </c>
      <c r="BN149" s="19">
        <v>1.032</v>
      </c>
      <c r="BO149" s="19">
        <v>491.44347826086999</v>
      </c>
      <c r="BP149" s="19">
        <v>2.8260000000000001</v>
      </c>
      <c r="BQ149" s="19">
        <v>365.2</v>
      </c>
      <c r="BR149" s="19">
        <v>2.1</v>
      </c>
      <c r="BS149" s="19">
        <v>150.60869565217399</v>
      </c>
      <c r="BT149" s="19">
        <v>0.86599999999999999</v>
      </c>
      <c r="BU149" s="19">
        <v>496.04347826087002</v>
      </c>
      <c r="BV149" s="19">
        <v>2.8740000000000001</v>
      </c>
      <c r="BW149" s="19">
        <v>249.38260869565201</v>
      </c>
      <c r="BX149" s="19">
        <v>1.4339999999999999</v>
      </c>
      <c r="BY149" s="19">
        <v>543.26086956521704</v>
      </c>
      <c r="BZ149" s="19">
        <v>3.1240000000000001</v>
      </c>
      <c r="CA149" s="19">
        <v>395.02608695652202</v>
      </c>
      <c r="CB149" s="19">
        <v>2.31</v>
      </c>
      <c r="CC149" s="19">
        <v>263.63478260869601</v>
      </c>
      <c r="CD149" s="19">
        <v>1.516</v>
      </c>
      <c r="CE149" s="19">
        <v>309.20869565217401</v>
      </c>
      <c r="CF149" s="19">
        <v>1.778</v>
      </c>
      <c r="CG149" s="19">
        <v>491.94782608695698</v>
      </c>
      <c r="CH149" s="19">
        <v>2.9220000000000002</v>
      </c>
      <c r="CI149" s="19">
        <v>140.10434782608701</v>
      </c>
      <c r="CJ149" s="19">
        <v>0.84799999999999998</v>
      </c>
      <c r="CK149" s="19">
        <v>358.93913043478301</v>
      </c>
      <c r="CL149" s="19">
        <v>2.0640000000000001</v>
      </c>
      <c r="CM149" s="19">
        <v>389.53913043478298</v>
      </c>
      <c r="CN149" s="19">
        <v>2.2400000000000002</v>
      </c>
      <c r="CO149" s="19">
        <v>517.19130434782596</v>
      </c>
      <c r="CP149" s="19">
        <v>2.9740000000000002</v>
      </c>
      <c r="CQ149" s="19">
        <v>557.88695652173897</v>
      </c>
      <c r="CR149" s="19">
        <v>3.2080000000000002</v>
      </c>
      <c r="CS149" s="19">
        <v>485.53913043478298</v>
      </c>
      <c r="CT149" s="19">
        <v>2.7919999999999998</v>
      </c>
      <c r="CU149" s="19">
        <v>326.60000000000002</v>
      </c>
      <c r="CV149" s="19">
        <v>1.8779999999999999</v>
      </c>
      <c r="CW149" s="19">
        <v>271.982608695652</v>
      </c>
      <c r="CX149" s="19">
        <v>1.5640000000000001</v>
      </c>
      <c r="CY149" s="19">
        <v>446.573913043478</v>
      </c>
      <c r="CZ149" s="19">
        <v>2.5680000000000001</v>
      </c>
      <c r="DA149" s="19">
        <v>690.39130434782601</v>
      </c>
      <c r="DB149" s="19">
        <v>3.97</v>
      </c>
      <c r="DC149" s="19">
        <v>469.2</v>
      </c>
      <c r="DD149" s="19">
        <v>2.698</v>
      </c>
      <c r="DE149" s="19">
        <v>193.02608695652199</v>
      </c>
      <c r="DF149" s="19">
        <v>1.1100000000000001</v>
      </c>
      <c r="DG149" s="19">
        <v>215.304347826087</v>
      </c>
      <c r="DH149" s="19">
        <v>1.238</v>
      </c>
      <c r="DI149" s="19">
        <v>514.4</v>
      </c>
      <c r="DJ149" s="19">
        <v>2.9580000000000002</v>
      </c>
      <c r="DK149" s="19">
        <v>316.84347826086997</v>
      </c>
      <c r="DL149" s="19">
        <v>1.8220000000000001</v>
      </c>
      <c r="DM149" s="19">
        <v>383.269565217391</v>
      </c>
      <c r="DN149" s="19">
        <v>2.2040000000000002</v>
      </c>
      <c r="DO149" s="19">
        <v>507.79130434782599</v>
      </c>
      <c r="DP149" s="19">
        <v>2.92</v>
      </c>
      <c r="DQ149" s="19">
        <v>0</v>
      </c>
      <c r="DR149" s="19">
        <v>0</v>
      </c>
      <c r="DS149" s="19">
        <v>391.27826086956497</v>
      </c>
      <c r="DT149" s="19">
        <v>2.25</v>
      </c>
      <c r="DU149" s="19">
        <v>237.269565217391</v>
      </c>
      <c r="DV149" s="19">
        <v>1.3939999999999999</v>
      </c>
      <c r="DW149" s="19">
        <v>295.27826086956497</v>
      </c>
      <c r="DX149" s="19">
        <v>1.698</v>
      </c>
      <c r="DY149" s="19">
        <v>1034.74782608696</v>
      </c>
      <c r="DZ149" s="19">
        <v>5.95</v>
      </c>
      <c r="EA149" s="19">
        <v>155.121739130435</v>
      </c>
      <c r="EB149" s="19">
        <v>0.89200000000000002</v>
      </c>
      <c r="EC149" s="19">
        <v>425.04347826087002</v>
      </c>
      <c r="ED149" s="19">
        <v>2.444</v>
      </c>
      <c r="EE149" s="19">
        <v>372.17391304347802</v>
      </c>
      <c r="EF149" s="19">
        <v>2.14</v>
      </c>
      <c r="EG149" s="19">
        <v>693.91304347826099</v>
      </c>
      <c r="EH149" s="19">
        <v>3.99</v>
      </c>
      <c r="EI149" s="19">
        <v>221.21739130434801</v>
      </c>
      <c r="EJ149" s="19">
        <v>1.272</v>
      </c>
      <c r="EK149" s="19">
        <v>477.878260869565</v>
      </c>
      <c r="EL149" s="19">
        <v>2.7480000000000002</v>
      </c>
      <c r="EM149" s="19">
        <v>242.426086956522</v>
      </c>
      <c r="EN149" s="19">
        <v>1.3939999999999999</v>
      </c>
      <c r="EO149" s="19">
        <v>654.90434782608702</v>
      </c>
      <c r="EP149" s="19">
        <v>3.766</v>
      </c>
      <c r="EQ149" s="19">
        <v>337.37391304347801</v>
      </c>
      <c r="ER149" s="19">
        <v>1.94</v>
      </c>
      <c r="ES149" s="119">
        <v>495.269565217391</v>
      </c>
      <c r="ET149" s="119">
        <v>2.8479999999999999</v>
      </c>
    </row>
    <row r="150" spans="1:150" ht="16.5" customHeight="1" x14ac:dyDescent="0.35">
      <c r="A150" s="4">
        <v>204</v>
      </c>
      <c r="B150" s="4" t="str">
        <f>LOOKUP(A150,Lookup!$A$1:$A$34,Lookup!$B$1:$B$34)</f>
        <v>LAMB</v>
      </c>
      <c r="C150" s="5">
        <v>34242</v>
      </c>
      <c r="D150" s="6" t="s">
        <v>150</v>
      </c>
      <c r="E150" s="18">
        <v>1631.7207593386399</v>
      </c>
      <c r="F150" s="18">
        <v>8.99</v>
      </c>
      <c r="G150" s="18">
        <v>115852.173913044</v>
      </c>
      <c r="H150" s="18">
        <v>638.30899999999997</v>
      </c>
      <c r="I150" s="19">
        <v>1936.8</v>
      </c>
      <c r="J150" s="19">
        <v>11.178000000000001</v>
      </c>
      <c r="K150" s="19">
        <v>1124.46956521739</v>
      </c>
      <c r="L150" s="19">
        <v>6.4660000000000002</v>
      </c>
      <c r="M150" s="19">
        <v>755.11304347826103</v>
      </c>
      <c r="N150" s="19">
        <v>4.3419999999999996</v>
      </c>
      <c r="O150" s="19">
        <v>903.63478260869601</v>
      </c>
      <c r="P150" s="19">
        <v>5.1959999999999997</v>
      </c>
      <c r="Q150" s="19">
        <v>1190.9391304347801</v>
      </c>
      <c r="R150" s="19">
        <v>6.8479999999999999</v>
      </c>
      <c r="S150" s="19">
        <v>1471.1913043478301</v>
      </c>
      <c r="T150" s="19">
        <v>8.4600000000000009</v>
      </c>
      <c r="U150" s="19">
        <v>1456.3913043478301</v>
      </c>
      <c r="V150" s="19">
        <v>7.4080000000000004</v>
      </c>
      <c r="W150" s="19">
        <v>1649.1391304347801</v>
      </c>
      <c r="X150" s="19">
        <v>9.1319999999999997</v>
      </c>
      <c r="Y150" s="19">
        <v>2313.9391304347801</v>
      </c>
      <c r="Z150" s="19">
        <v>13.305999999999999</v>
      </c>
      <c r="AA150" s="19">
        <v>1529.6260869565201</v>
      </c>
      <c r="AB150" s="19">
        <v>8.8260000000000005</v>
      </c>
      <c r="AC150" s="19">
        <v>1116.79130434783</v>
      </c>
      <c r="AD150" s="19">
        <v>6.4219999999999997</v>
      </c>
      <c r="AE150" s="19">
        <v>1376.97391304348</v>
      </c>
      <c r="AF150" s="19">
        <v>7.9180000000000001</v>
      </c>
      <c r="AG150" s="19">
        <v>2349.3913043478301</v>
      </c>
      <c r="AH150" s="19">
        <v>13.51</v>
      </c>
      <c r="AI150" s="19">
        <v>1232.26086956522</v>
      </c>
      <c r="AJ150" s="19">
        <v>7.0860000000000003</v>
      </c>
      <c r="AK150" s="19">
        <v>1684.05217391304</v>
      </c>
      <c r="AL150" s="19">
        <v>9.6839999999999993</v>
      </c>
      <c r="AM150" s="19">
        <v>2214.8000000000002</v>
      </c>
      <c r="AN150" s="19">
        <v>12.736000000000001</v>
      </c>
      <c r="AO150" s="19">
        <v>1952.28695652174</v>
      </c>
      <c r="AP150" s="19">
        <v>9.82</v>
      </c>
      <c r="AQ150" s="19">
        <v>1682.3304347826099</v>
      </c>
      <c r="AR150" s="19">
        <v>8.4120000000000008</v>
      </c>
      <c r="AS150" s="19">
        <v>2195.0782608695599</v>
      </c>
      <c r="AT150" s="19">
        <v>10.976000000000001</v>
      </c>
      <c r="AU150" s="19">
        <v>1112.8782608695701</v>
      </c>
      <c r="AV150" s="19">
        <v>5.36</v>
      </c>
      <c r="AW150" s="19">
        <v>2005.8521739130399</v>
      </c>
      <c r="AX150" s="19">
        <v>9.6120000000000001</v>
      </c>
      <c r="AY150" s="19">
        <v>1532.5739130434799</v>
      </c>
      <c r="AZ150" s="19">
        <v>7.3440000000000003</v>
      </c>
      <c r="BA150" s="19">
        <v>1154.8521739130399</v>
      </c>
      <c r="BB150" s="19">
        <v>5.56</v>
      </c>
      <c r="BC150" s="19">
        <v>1364.4</v>
      </c>
      <c r="BD150" s="19">
        <v>6.5380000000000003</v>
      </c>
      <c r="BE150" s="19">
        <v>1235.3913043478301</v>
      </c>
      <c r="BF150" s="19">
        <v>5.92</v>
      </c>
      <c r="BG150" s="19">
        <v>1416.1043478260899</v>
      </c>
      <c r="BH150" s="19">
        <v>6.9820000000000002</v>
      </c>
      <c r="BI150" s="19">
        <v>2090.2782608695602</v>
      </c>
      <c r="BJ150" s="19">
        <v>10.452</v>
      </c>
      <c r="BK150" s="19">
        <v>847.13913043478306</v>
      </c>
      <c r="BL150" s="19">
        <v>4.2359999999999998</v>
      </c>
      <c r="BM150" s="19">
        <v>1470.70434782609</v>
      </c>
      <c r="BN150" s="19">
        <v>7.3540000000000001</v>
      </c>
      <c r="BO150" s="19">
        <v>1283.50434782609</v>
      </c>
      <c r="BP150" s="19">
        <v>6.4180000000000001</v>
      </c>
      <c r="BQ150" s="19">
        <v>2080.2608695652202</v>
      </c>
      <c r="BR150" s="19">
        <v>10.401999999999999</v>
      </c>
      <c r="BS150" s="19">
        <v>1360.72173913043</v>
      </c>
      <c r="BT150" s="19">
        <v>6.8040000000000003</v>
      </c>
      <c r="BU150" s="19">
        <v>1062.30434782609</v>
      </c>
      <c r="BV150" s="19">
        <v>5.3419999999999996</v>
      </c>
      <c r="BW150" s="19">
        <v>982.33043478260902</v>
      </c>
      <c r="BX150" s="19">
        <v>4.9119999999999999</v>
      </c>
      <c r="BY150" s="19">
        <v>1248.6347826087001</v>
      </c>
      <c r="BZ150" s="19">
        <v>6.2679999999999998</v>
      </c>
      <c r="CA150" s="19">
        <v>1106.7652173913</v>
      </c>
      <c r="CB150" s="19">
        <v>5.5339999999999998</v>
      </c>
      <c r="CC150" s="19">
        <v>1242.3130434782599</v>
      </c>
      <c r="CD150" s="19">
        <v>6.2119999999999997</v>
      </c>
      <c r="CE150" s="19">
        <v>943.547826086957</v>
      </c>
      <c r="CF150" s="19">
        <v>4.718</v>
      </c>
      <c r="CG150" s="19">
        <v>4975.6608695652203</v>
      </c>
      <c r="CH150" s="19">
        <v>24.911999999999999</v>
      </c>
      <c r="CI150" s="19">
        <v>1745.50434782609</v>
      </c>
      <c r="CJ150" s="19">
        <v>13.55</v>
      </c>
      <c r="CK150" s="19">
        <v>1179.6521739130401</v>
      </c>
      <c r="CL150" s="19">
        <v>9.1969999999999992</v>
      </c>
      <c r="CM150" s="19">
        <v>1149.95652173913</v>
      </c>
      <c r="CN150" s="19">
        <v>8.9269999999999996</v>
      </c>
      <c r="CO150" s="19">
        <v>2044.6695652173901</v>
      </c>
      <c r="CP150" s="19">
        <v>15.872</v>
      </c>
      <c r="CQ150" s="19">
        <v>1799.1130434782599</v>
      </c>
      <c r="CR150" s="19">
        <v>13.967000000000001</v>
      </c>
      <c r="CS150" s="19">
        <v>883.147826086956</v>
      </c>
      <c r="CT150" s="19">
        <v>6.8559999999999999</v>
      </c>
      <c r="CU150" s="19">
        <v>1595.1217391304299</v>
      </c>
      <c r="CV150" s="19">
        <v>12.382</v>
      </c>
      <c r="CW150" s="19">
        <v>1092.3217391304299</v>
      </c>
      <c r="CX150" s="19">
        <v>8.4789999999999992</v>
      </c>
      <c r="CY150" s="19">
        <v>2337.0782608695599</v>
      </c>
      <c r="CZ150" s="19">
        <v>18.141999999999999</v>
      </c>
      <c r="DA150" s="19">
        <v>2168.6695652173898</v>
      </c>
      <c r="DB150" s="19">
        <v>16.835999999999999</v>
      </c>
      <c r="DC150" s="19">
        <v>2592.2521739130402</v>
      </c>
      <c r="DD150" s="19">
        <v>14.11</v>
      </c>
      <c r="DE150" s="19">
        <v>2675.0782608695699</v>
      </c>
      <c r="DF150" s="19">
        <v>13.036</v>
      </c>
      <c r="DG150" s="19">
        <v>5981.8260869565202</v>
      </c>
      <c r="DH150" s="19">
        <v>29.15</v>
      </c>
      <c r="DI150" s="19">
        <v>2725.5826086956499</v>
      </c>
      <c r="DJ150" s="19">
        <v>13.282</v>
      </c>
      <c r="DK150" s="19">
        <v>1813.6260869565201</v>
      </c>
      <c r="DL150" s="19">
        <v>8.8379999999999992</v>
      </c>
      <c r="DM150" s="19">
        <v>1812.4173913043501</v>
      </c>
      <c r="DN150" s="19">
        <v>8.8320000000000007</v>
      </c>
      <c r="DO150" s="19">
        <v>2098.05217391304</v>
      </c>
      <c r="DP150" s="19">
        <v>10.224</v>
      </c>
      <c r="DQ150" s="19">
        <v>1278.45217391304</v>
      </c>
      <c r="DR150" s="19">
        <v>6.23</v>
      </c>
      <c r="DS150" s="19">
        <v>1054.77391304348</v>
      </c>
      <c r="DT150" s="19">
        <v>5.14</v>
      </c>
      <c r="DU150" s="19">
        <v>1136.8695652173899</v>
      </c>
      <c r="DV150" s="19">
        <v>5.54</v>
      </c>
      <c r="DW150" s="19">
        <v>769.11304347826103</v>
      </c>
      <c r="DX150" s="19">
        <v>3.7480000000000002</v>
      </c>
      <c r="DY150" s="19">
        <v>1944.98260869565</v>
      </c>
      <c r="DZ150" s="19">
        <v>9.4779999999999998</v>
      </c>
      <c r="EA150" s="19">
        <v>1422.50434782609</v>
      </c>
      <c r="EB150" s="19">
        <v>6.9320000000000004</v>
      </c>
      <c r="EC150" s="19">
        <v>731.79130434782599</v>
      </c>
      <c r="ED150" s="19">
        <v>3.5659999999999998</v>
      </c>
      <c r="EE150" s="19">
        <v>1450.21739130435</v>
      </c>
      <c r="EF150" s="19">
        <v>7.0919999999999996</v>
      </c>
      <c r="EG150" s="19">
        <v>2273.3130434782602</v>
      </c>
      <c r="EH150" s="19">
        <v>11.077999999999999</v>
      </c>
      <c r="EI150" s="19">
        <v>2409.5652173912999</v>
      </c>
      <c r="EJ150" s="19">
        <v>11.742000000000001</v>
      </c>
      <c r="EK150" s="19">
        <v>953.80869565217404</v>
      </c>
      <c r="EL150" s="19">
        <v>4.6479999999999997</v>
      </c>
      <c r="EM150" s="19">
        <v>1418.0347826087</v>
      </c>
      <c r="EN150" s="19">
        <v>6.9379999999999997</v>
      </c>
      <c r="EO150" s="19">
        <v>636.61739130434796</v>
      </c>
      <c r="EP150" s="19">
        <v>3.6920000000000002</v>
      </c>
      <c r="EQ150" s="19">
        <v>1173.1304347826101</v>
      </c>
      <c r="ER150" s="19">
        <v>6.7460000000000004</v>
      </c>
      <c r="ES150" s="119">
        <v>1422.8521739130399</v>
      </c>
      <c r="ET150" s="119">
        <v>9.0909999999999993</v>
      </c>
    </row>
    <row r="151" spans="1:150" ht="16.5" customHeight="1" x14ac:dyDescent="0.35">
      <c r="A151" s="4">
        <v>204</v>
      </c>
      <c r="B151" s="4" t="str">
        <f>LOOKUP(A151,Lookup!$A$1:$A$34,Lookup!$B$1:$B$34)</f>
        <v>LAMB</v>
      </c>
      <c r="C151" s="5">
        <v>34244</v>
      </c>
      <c r="D151" s="6" t="s">
        <v>151</v>
      </c>
      <c r="E151" s="18">
        <v>0</v>
      </c>
      <c r="F151" s="18">
        <v>0</v>
      </c>
      <c r="G151" s="18">
        <v>0</v>
      </c>
      <c r="H151" s="18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0</v>
      </c>
      <c r="CT151" s="19">
        <v>0</v>
      </c>
      <c r="CU151" s="19">
        <v>0</v>
      </c>
      <c r="CV151" s="19">
        <v>0</v>
      </c>
      <c r="CW151" s="19">
        <v>0</v>
      </c>
      <c r="CX151" s="19">
        <v>0</v>
      </c>
      <c r="CY151" s="19">
        <v>0</v>
      </c>
      <c r="CZ151" s="19">
        <v>0</v>
      </c>
      <c r="DA151" s="19">
        <v>0</v>
      </c>
      <c r="DB151" s="19">
        <v>0</v>
      </c>
      <c r="DC151" s="19">
        <v>0</v>
      </c>
      <c r="DD151" s="19">
        <v>0</v>
      </c>
      <c r="DE151" s="19">
        <v>0</v>
      </c>
      <c r="DF151" s="19">
        <v>0</v>
      </c>
      <c r="DG151" s="19">
        <v>0</v>
      </c>
      <c r="DH151" s="19">
        <v>0</v>
      </c>
      <c r="DI151" s="19">
        <v>0</v>
      </c>
      <c r="DJ151" s="19">
        <v>0</v>
      </c>
      <c r="DK151" s="19">
        <v>0</v>
      </c>
      <c r="DL151" s="19">
        <v>0</v>
      </c>
      <c r="DM151" s="19">
        <v>0</v>
      </c>
      <c r="DN151" s="19">
        <v>0</v>
      </c>
      <c r="DO151" s="19">
        <v>0</v>
      </c>
      <c r="DP151" s="19">
        <v>0</v>
      </c>
      <c r="DQ151" s="19">
        <v>0</v>
      </c>
      <c r="DR151" s="19">
        <v>0</v>
      </c>
      <c r="DS151" s="19">
        <v>0</v>
      </c>
      <c r="DT151" s="19">
        <v>0</v>
      </c>
      <c r="DU151" s="19">
        <v>0</v>
      </c>
      <c r="DV151" s="19">
        <v>0</v>
      </c>
      <c r="DW151" s="19">
        <v>0</v>
      </c>
      <c r="DX151" s="19">
        <v>0</v>
      </c>
      <c r="DY151" s="19">
        <v>0</v>
      </c>
      <c r="DZ151" s="19">
        <v>0</v>
      </c>
      <c r="EA151" s="19">
        <v>0</v>
      </c>
      <c r="EB151" s="19">
        <v>0</v>
      </c>
      <c r="EC151" s="19">
        <v>0</v>
      </c>
      <c r="ED151" s="19">
        <v>0</v>
      </c>
      <c r="EE151" s="19">
        <v>0</v>
      </c>
      <c r="EF151" s="19">
        <v>0</v>
      </c>
      <c r="EG151" s="19">
        <v>0</v>
      </c>
      <c r="EH151" s="19">
        <v>0</v>
      </c>
      <c r="EI151" s="19">
        <v>0</v>
      </c>
      <c r="EJ151" s="19">
        <v>0</v>
      </c>
      <c r="EK151" s="19">
        <v>0</v>
      </c>
      <c r="EL151" s="19">
        <v>0</v>
      </c>
      <c r="EM151" s="19">
        <v>0</v>
      </c>
      <c r="EN151" s="19">
        <v>0</v>
      </c>
      <c r="EO151" s="19">
        <v>0</v>
      </c>
      <c r="EP151" s="19">
        <v>0</v>
      </c>
      <c r="EQ151" s="19">
        <v>0</v>
      </c>
      <c r="ER151" s="19">
        <v>0</v>
      </c>
      <c r="ES151" s="119">
        <v>0</v>
      </c>
      <c r="ET151" s="119">
        <v>0</v>
      </c>
    </row>
    <row r="152" spans="1:150" ht="16.5" customHeight="1" x14ac:dyDescent="0.35">
      <c r="A152" s="4">
        <v>204</v>
      </c>
      <c r="B152" s="4" t="str">
        <f>LOOKUP(A152,Lookup!$A$1:$A$34,Lookup!$B$1:$B$34)</f>
        <v>LAMB</v>
      </c>
      <c r="C152" s="5">
        <v>34245</v>
      </c>
      <c r="D152" s="6" t="s">
        <v>152</v>
      </c>
      <c r="E152" s="18">
        <v>210.96142069810199</v>
      </c>
      <c r="F152" s="18">
        <v>1.3480000000000001</v>
      </c>
      <c r="G152" s="18">
        <v>14978.2608695652</v>
      </c>
      <c r="H152" s="18">
        <v>95.725999999999999</v>
      </c>
      <c r="I152" s="19">
        <v>1184.49565217391</v>
      </c>
      <c r="J152" s="19">
        <v>7.5679999999999996</v>
      </c>
      <c r="K152" s="19">
        <v>726.84347826086901</v>
      </c>
      <c r="L152" s="19">
        <v>4.6440000000000001</v>
      </c>
      <c r="M152" s="19">
        <v>64.8</v>
      </c>
      <c r="N152" s="19">
        <v>0.41399999999999998</v>
      </c>
      <c r="O152" s="19">
        <v>0</v>
      </c>
      <c r="P152" s="19">
        <v>0</v>
      </c>
      <c r="Q152" s="19">
        <v>181.869565217391</v>
      </c>
      <c r="R152" s="19">
        <v>1.1619999999999999</v>
      </c>
      <c r="S152" s="19">
        <v>0</v>
      </c>
      <c r="T152" s="19">
        <v>0</v>
      </c>
      <c r="U152" s="19">
        <v>0</v>
      </c>
      <c r="V152" s="19">
        <v>0</v>
      </c>
      <c r="W152" s="19">
        <v>99.852173913043501</v>
      </c>
      <c r="X152" s="19">
        <v>0.63800000000000001</v>
      </c>
      <c r="Y152" s="19">
        <v>0</v>
      </c>
      <c r="Z152" s="19">
        <v>0</v>
      </c>
      <c r="AA152" s="19">
        <v>196.88695652173899</v>
      </c>
      <c r="AB152" s="19">
        <v>1.258</v>
      </c>
      <c r="AC152" s="19">
        <v>805.4</v>
      </c>
      <c r="AD152" s="19">
        <v>5.1459999999999999</v>
      </c>
      <c r="AE152" s="19">
        <v>232.88695652173899</v>
      </c>
      <c r="AF152" s="19">
        <v>1.488</v>
      </c>
      <c r="AG152" s="19">
        <v>92.652173913043498</v>
      </c>
      <c r="AH152" s="19">
        <v>0.59199999999999997</v>
      </c>
      <c r="AI152" s="19">
        <v>894.28695652173894</v>
      </c>
      <c r="AJ152" s="19">
        <v>5.7140000000000004</v>
      </c>
      <c r="AK152" s="19">
        <v>0</v>
      </c>
      <c r="AL152" s="19">
        <v>0</v>
      </c>
      <c r="AM152" s="19">
        <v>0</v>
      </c>
      <c r="AN152" s="19">
        <v>0</v>
      </c>
      <c r="AO152" s="19">
        <v>2497.9043478260901</v>
      </c>
      <c r="AP152" s="19">
        <v>15.96</v>
      </c>
      <c r="AQ152" s="19">
        <v>1069.27826086957</v>
      </c>
      <c r="AR152" s="19">
        <v>6.8319999999999999</v>
      </c>
      <c r="AS152" s="19">
        <v>1022.00869565217</v>
      </c>
      <c r="AT152" s="19">
        <v>6.53</v>
      </c>
      <c r="AU152" s="19">
        <v>376.86956521739103</v>
      </c>
      <c r="AV152" s="19">
        <v>2.4079999999999999</v>
      </c>
      <c r="AW152" s="19">
        <v>423.52173913043498</v>
      </c>
      <c r="AX152" s="19">
        <v>2.706</v>
      </c>
      <c r="AY152" s="19">
        <v>588.47826086956502</v>
      </c>
      <c r="AZ152" s="19">
        <v>3.76</v>
      </c>
      <c r="BA152" s="19">
        <v>165.452173913043</v>
      </c>
      <c r="BB152" s="19">
        <v>1.0820000000000001</v>
      </c>
      <c r="BC152" s="19">
        <v>1014.1913043478301</v>
      </c>
      <c r="BD152" s="19">
        <v>6.48</v>
      </c>
      <c r="BE152" s="19">
        <v>906.20869565217401</v>
      </c>
      <c r="BF152" s="19">
        <v>5.79</v>
      </c>
      <c r="BG152" s="19">
        <v>0</v>
      </c>
      <c r="BH152" s="19">
        <v>0</v>
      </c>
      <c r="BI152" s="19">
        <v>955.35652173913002</v>
      </c>
      <c r="BJ152" s="19">
        <v>6.1040000000000001</v>
      </c>
      <c r="BK152" s="19">
        <v>1178.20869565217</v>
      </c>
      <c r="BL152" s="19">
        <v>7.5279999999999996</v>
      </c>
      <c r="BM152" s="19">
        <v>214.10434782608701</v>
      </c>
      <c r="BN152" s="19">
        <v>1.3680000000000001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0</v>
      </c>
      <c r="CT152" s="19">
        <v>0</v>
      </c>
      <c r="CU152" s="19">
        <v>0</v>
      </c>
      <c r="CV152" s="19">
        <v>0</v>
      </c>
      <c r="CW152" s="19">
        <v>0</v>
      </c>
      <c r="CX152" s="19">
        <v>0</v>
      </c>
      <c r="CY152" s="19">
        <v>0</v>
      </c>
      <c r="CZ152" s="19">
        <v>0</v>
      </c>
      <c r="DA152" s="19">
        <v>0</v>
      </c>
      <c r="DB152" s="19">
        <v>0</v>
      </c>
      <c r="DC152" s="19">
        <v>0</v>
      </c>
      <c r="DD152" s="19">
        <v>0</v>
      </c>
      <c r="DE152" s="19">
        <v>0</v>
      </c>
      <c r="DF152" s="19">
        <v>0</v>
      </c>
      <c r="DG152" s="19">
        <v>0</v>
      </c>
      <c r="DH152" s="19">
        <v>0</v>
      </c>
      <c r="DI152" s="19">
        <v>0</v>
      </c>
      <c r="DJ152" s="19">
        <v>0</v>
      </c>
      <c r="DK152" s="19">
        <v>0</v>
      </c>
      <c r="DL152" s="19">
        <v>0</v>
      </c>
      <c r="DM152" s="19">
        <v>0</v>
      </c>
      <c r="DN152" s="19">
        <v>0</v>
      </c>
      <c r="DO152" s="19">
        <v>0</v>
      </c>
      <c r="DP152" s="19">
        <v>0</v>
      </c>
      <c r="DQ152" s="19">
        <v>86.704347826086902</v>
      </c>
      <c r="DR152" s="19">
        <v>0.55400000000000005</v>
      </c>
      <c r="DS152" s="19">
        <v>0</v>
      </c>
      <c r="DT152" s="19">
        <v>0</v>
      </c>
      <c r="DU152" s="19">
        <v>0</v>
      </c>
      <c r="DV152" s="19">
        <v>0</v>
      </c>
      <c r="DW152" s="19">
        <v>0</v>
      </c>
      <c r="DX152" s="19">
        <v>0</v>
      </c>
      <c r="DY152" s="19">
        <v>0</v>
      </c>
      <c r="DZ152" s="19">
        <v>0</v>
      </c>
      <c r="EA152" s="19">
        <v>0</v>
      </c>
      <c r="EB152" s="19">
        <v>0</v>
      </c>
      <c r="EC152" s="19">
        <v>0</v>
      </c>
      <c r="ED152" s="19">
        <v>0</v>
      </c>
      <c r="EE152" s="19">
        <v>0</v>
      </c>
      <c r="EF152" s="19">
        <v>0</v>
      </c>
      <c r="EG152" s="19">
        <v>0</v>
      </c>
      <c r="EH152" s="19">
        <v>0</v>
      </c>
      <c r="EI152" s="19">
        <v>0</v>
      </c>
      <c r="EJ152" s="19">
        <v>0</v>
      </c>
      <c r="EK152" s="19">
        <v>0</v>
      </c>
      <c r="EL152" s="19">
        <v>0</v>
      </c>
      <c r="EM152" s="19">
        <v>0</v>
      </c>
      <c r="EN152" s="19">
        <v>0</v>
      </c>
      <c r="EO152" s="19">
        <v>0</v>
      </c>
      <c r="EP152" s="19">
        <v>0</v>
      </c>
      <c r="EQ152" s="19">
        <v>0</v>
      </c>
      <c r="ER152" s="19">
        <v>0</v>
      </c>
      <c r="ES152" s="119">
        <v>0</v>
      </c>
      <c r="ET152" s="119">
        <v>0</v>
      </c>
    </row>
    <row r="153" spans="1:150" ht="16.5" customHeight="1" x14ac:dyDescent="0.35">
      <c r="A153" s="4">
        <v>204</v>
      </c>
      <c r="B153" s="4" t="str">
        <f>LOOKUP(A153,Lookup!$A$1:$A$34,Lookup!$B$1:$B$34)</f>
        <v>LAMB</v>
      </c>
      <c r="C153" s="5">
        <v>34247</v>
      </c>
      <c r="D153" s="6" t="s">
        <v>153</v>
      </c>
      <c r="E153" s="18">
        <v>261.15774647887298</v>
      </c>
      <c r="F153" s="18">
        <v>1.8280000000000001</v>
      </c>
      <c r="G153" s="18">
        <v>18542.2</v>
      </c>
      <c r="H153" s="18">
        <v>129.80799999999999</v>
      </c>
      <c r="I153" s="19">
        <v>151.63478260869601</v>
      </c>
      <c r="J153" s="19">
        <v>1.0900000000000001</v>
      </c>
      <c r="K153" s="19">
        <v>395.37391304347801</v>
      </c>
      <c r="L153" s="19">
        <v>2.8420000000000001</v>
      </c>
      <c r="M153" s="19">
        <v>117.97391304347801</v>
      </c>
      <c r="N153" s="19">
        <v>0.84799999999999998</v>
      </c>
      <c r="O153" s="19">
        <v>50.6434782608696</v>
      </c>
      <c r="P153" s="19">
        <v>0.36399999999999999</v>
      </c>
      <c r="Q153" s="19">
        <v>151.08695652173901</v>
      </c>
      <c r="R153" s="19">
        <v>1.0860000000000001</v>
      </c>
      <c r="S153" s="19">
        <v>477.75652173913102</v>
      </c>
      <c r="T153" s="19">
        <v>3.4340000000000002</v>
      </c>
      <c r="U153" s="19">
        <v>317.46956521739099</v>
      </c>
      <c r="V153" s="19">
        <v>2.282</v>
      </c>
      <c r="W153" s="19">
        <v>225.64347826087001</v>
      </c>
      <c r="X153" s="19">
        <v>1.526</v>
      </c>
      <c r="Y153" s="19">
        <v>374.269565217391</v>
      </c>
      <c r="Z153" s="19">
        <v>2.532</v>
      </c>
      <c r="AA153" s="19">
        <v>458.50434782608698</v>
      </c>
      <c r="AB153" s="19">
        <v>3.1459999999999999</v>
      </c>
      <c r="AC153" s="19">
        <v>0</v>
      </c>
      <c r="AD153" s="19">
        <v>0</v>
      </c>
      <c r="AE153" s="19">
        <v>159.63478260869601</v>
      </c>
      <c r="AF153" s="19">
        <v>1.08</v>
      </c>
      <c r="AG153" s="19">
        <v>425.408695652174</v>
      </c>
      <c r="AH153" s="19">
        <v>2.8780000000000001</v>
      </c>
      <c r="AI153" s="19">
        <v>142.79130434782601</v>
      </c>
      <c r="AJ153" s="19">
        <v>0.96599999999999997</v>
      </c>
      <c r="AK153" s="19">
        <v>397</v>
      </c>
      <c r="AL153" s="19">
        <v>2.73</v>
      </c>
      <c r="AM153" s="19">
        <v>480.10434782608701</v>
      </c>
      <c r="AN153" s="19">
        <v>3.2480000000000002</v>
      </c>
      <c r="AO153" s="19">
        <v>311.56521739130397</v>
      </c>
      <c r="AP153" s="19">
        <v>2.3039999999999998</v>
      </c>
      <c r="AQ153" s="19">
        <v>316.408695652174</v>
      </c>
      <c r="AR153" s="19">
        <v>2.4260000000000002</v>
      </c>
      <c r="AS153" s="19">
        <v>394.139130434783</v>
      </c>
      <c r="AT153" s="19">
        <v>3.0219999999999998</v>
      </c>
      <c r="AU153" s="19">
        <v>173.50434782608701</v>
      </c>
      <c r="AV153" s="19">
        <v>1.296</v>
      </c>
      <c r="AW153" s="19">
        <v>370.60869565217399</v>
      </c>
      <c r="AX153" s="19">
        <v>2.6640000000000001</v>
      </c>
      <c r="AY153" s="19">
        <v>76.391304347826093</v>
      </c>
      <c r="AZ153" s="19">
        <v>0.57799999999999996</v>
      </c>
      <c r="BA153" s="19">
        <v>443.78260869565202</v>
      </c>
      <c r="BB153" s="19">
        <v>3.19</v>
      </c>
      <c r="BC153" s="19">
        <v>117.695652173913</v>
      </c>
      <c r="BD153" s="19">
        <v>0.84599999999999997</v>
      </c>
      <c r="BE153" s="19">
        <v>266</v>
      </c>
      <c r="BF153" s="19">
        <v>1.9119999999999999</v>
      </c>
      <c r="BG153" s="19">
        <v>241.017391304348</v>
      </c>
      <c r="BH153" s="19">
        <v>1.6319999999999999</v>
      </c>
      <c r="BI153" s="19">
        <v>292.60000000000002</v>
      </c>
      <c r="BJ153" s="19">
        <v>1.9119999999999999</v>
      </c>
      <c r="BK153" s="19">
        <v>51.721739130434798</v>
      </c>
      <c r="BL153" s="19">
        <v>0.33800000000000002</v>
      </c>
      <c r="BM153" s="19">
        <v>75.599999999999994</v>
      </c>
      <c r="BN153" s="19">
        <v>0.49399999999999999</v>
      </c>
      <c r="BO153" s="19">
        <v>121.81739130434801</v>
      </c>
      <c r="BP153" s="19">
        <v>0.79600000000000004</v>
      </c>
      <c r="BQ153" s="19">
        <v>541.43478260869597</v>
      </c>
      <c r="BR153" s="19">
        <v>3.5379999999999998</v>
      </c>
      <c r="BS153" s="19">
        <v>126.10434782608699</v>
      </c>
      <c r="BT153" s="19">
        <v>0.82399999999999995</v>
      </c>
      <c r="BU153" s="19">
        <v>0</v>
      </c>
      <c r="BV153" s="19">
        <v>0</v>
      </c>
      <c r="BW153" s="19">
        <v>144.165217391304</v>
      </c>
      <c r="BX153" s="19">
        <v>0.94199999999999995</v>
      </c>
      <c r="BY153" s="19">
        <v>113.4</v>
      </c>
      <c r="BZ153" s="19">
        <v>0.78</v>
      </c>
      <c r="CA153" s="19">
        <v>315.33913043478299</v>
      </c>
      <c r="CB153" s="19">
        <v>2.0859999999999999</v>
      </c>
      <c r="CC153" s="19">
        <v>0</v>
      </c>
      <c r="CD153" s="19">
        <v>0</v>
      </c>
      <c r="CE153" s="19">
        <v>0</v>
      </c>
      <c r="CF153" s="19">
        <v>0</v>
      </c>
      <c r="CG153" s="19">
        <v>143.24347826087001</v>
      </c>
      <c r="CH153" s="19">
        <v>0.93600000000000005</v>
      </c>
      <c r="CI153" s="19">
        <v>375.46086956521702</v>
      </c>
      <c r="CJ153" s="19">
        <v>2.4820000000000002</v>
      </c>
      <c r="CK153" s="19">
        <v>354.121739130435</v>
      </c>
      <c r="CL153" s="19">
        <v>2.3140000000000001</v>
      </c>
      <c r="CM153" s="19">
        <v>0</v>
      </c>
      <c r="CN153" s="19">
        <v>0</v>
      </c>
      <c r="CO153" s="19">
        <v>238.121739130435</v>
      </c>
      <c r="CP153" s="19">
        <v>1.556</v>
      </c>
      <c r="CQ153" s="19">
        <v>829.33913043478299</v>
      </c>
      <c r="CR153" s="19">
        <v>5.452</v>
      </c>
      <c r="CS153" s="19">
        <v>120.286956521739</v>
      </c>
      <c r="CT153" s="19">
        <v>0.78600000000000003</v>
      </c>
      <c r="CU153" s="19">
        <v>657.39130434782601</v>
      </c>
      <c r="CV153" s="19">
        <v>5.8159999999999998</v>
      </c>
      <c r="CW153" s="19">
        <v>326.27826086956497</v>
      </c>
      <c r="CX153" s="19">
        <v>2.1320000000000001</v>
      </c>
      <c r="CY153" s="19">
        <v>654.68695652173903</v>
      </c>
      <c r="CZ153" s="19">
        <v>4.2779999999999996</v>
      </c>
      <c r="DA153" s="19">
        <v>117.53043478260901</v>
      </c>
      <c r="DB153" s="19">
        <v>0.76800000000000002</v>
      </c>
      <c r="DC153" s="19">
        <v>436.33913043478299</v>
      </c>
      <c r="DD153" s="19">
        <v>3.4420000000000002</v>
      </c>
      <c r="DE153" s="19">
        <v>482.982608695652</v>
      </c>
      <c r="DF153" s="19">
        <v>4.2210000000000001</v>
      </c>
      <c r="DG153" s="19">
        <v>271</v>
      </c>
      <c r="DH153" s="19">
        <v>1.879</v>
      </c>
      <c r="DI153" s="19">
        <v>615.46086956521697</v>
      </c>
      <c r="DJ153" s="19">
        <v>4.0220000000000002</v>
      </c>
      <c r="DK153" s="19">
        <v>176.6</v>
      </c>
      <c r="DL153" s="19">
        <v>1.1539999999999999</v>
      </c>
      <c r="DM153" s="19">
        <v>273.62608695652199</v>
      </c>
      <c r="DN153" s="19">
        <v>1.788</v>
      </c>
      <c r="DO153" s="19">
        <v>217.61739130434799</v>
      </c>
      <c r="DP153" s="19">
        <v>1.4219999999999999</v>
      </c>
      <c r="DQ153" s="19">
        <v>329.63478260869601</v>
      </c>
      <c r="DR153" s="19">
        <v>2.1539999999999999</v>
      </c>
      <c r="DS153" s="19">
        <v>0</v>
      </c>
      <c r="DT153" s="19">
        <v>0</v>
      </c>
      <c r="DU153" s="19">
        <v>154.26086956521701</v>
      </c>
      <c r="DV153" s="19">
        <v>1.008</v>
      </c>
      <c r="DW153" s="19">
        <v>220.06956521739099</v>
      </c>
      <c r="DX153" s="19">
        <v>1.4379999999999999</v>
      </c>
      <c r="DY153" s="19">
        <v>416.860869565217</v>
      </c>
      <c r="DZ153" s="19">
        <v>2.7240000000000002</v>
      </c>
      <c r="EA153" s="19">
        <v>66.113043478260906</v>
      </c>
      <c r="EB153" s="19">
        <v>0.432</v>
      </c>
      <c r="EC153" s="19">
        <v>312.11304347826098</v>
      </c>
      <c r="ED153" s="19">
        <v>2.5640000000000001</v>
      </c>
      <c r="EE153" s="19">
        <v>309.44347826086999</v>
      </c>
      <c r="EF153" s="19">
        <v>2.5419999999999998</v>
      </c>
      <c r="EG153" s="19">
        <v>240.878260869565</v>
      </c>
      <c r="EH153" s="19">
        <v>1.5740000000000001</v>
      </c>
      <c r="EI153" s="19">
        <v>234.44347826086999</v>
      </c>
      <c r="EJ153" s="19">
        <v>1.532</v>
      </c>
      <c r="EK153" s="19">
        <v>219.76521739130399</v>
      </c>
      <c r="EL153" s="19">
        <v>1.4359999999999999</v>
      </c>
      <c r="EM153" s="19">
        <v>110.8</v>
      </c>
      <c r="EN153" s="19">
        <v>0.72399999999999998</v>
      </c>
      <c r="EO153" s="19">
        <v>494.38260869565198</v>
      </c>
      <c r="EP153" s="19">
        <v>3.35</v>
      </c>
      <c r="EQ153" s="19">
        <v>324.75652173912999</v>
      </c>
      <c r="ER153" s="19">
        <v>2.25</v>
      </c>
      <c r="ES153" s="119">
        <v>259.80869565217398</v>
      </c>
      <c r="ET153" s="119">
        <v>1.66</v>
      </c>
    </row>
    <row r="154" spans="1:150" ht="16.5" customHeight="1" x14ac:dyDescent="0.35">
      <c r="A154" s="4">
        <v>204</v>
      </c>
      <c r="B154" s="4" t="str">
        <f>LOOKUP(A154,Lookup!$A$1:$A$34,Lookup!$B$1:$B$34)</f>
        <v>LAMB</v>
      </c>
      <c r="C154" s="5">
        <v>34249</v>
      </c>
      <c r="D154" s="6" t="s">
        <v>154</v>
      </c>
      <c r="E154" s="18">
        <v>300.41567666870799</v>
      </c>
      <c r="F154" s="18">
        <v>1.9419999999999999</v>
      </c>
      <c r="G154" s="18">
        <v>21329.513043478299</v>
      </c>
      <c r="H154" s="18">
        <v>137.874</v>
      </c>
      <c r="I154" s="19">
        <v>204.704347826087</v>
      </c>
      <c r="J154" s="19">
        <v>1.5</v>
      </c>
      <c r="K154" s="19">
        <v>365.35652173913002</v>
      </c>
      <c r="L154" s="19">
        <v>2.6259999999999999</v>
      </c>
      <c r="M154" s="19">
        <v>200.61739130434799</v>
      </c>
      <c r="N154" s="19">
        <v>1.488</v>
      </c>
      <c r="O154" s="19">
        <v>306.64347826086998</v>
      </c>
      <c r="P154" s="19">
        <v>2.2040000000000002</v>
      </c>
      <c r="Q154" s="19">
        <v>174.18260869565199</v>
      </c>
      <c r="R154" s="19">
        <v>1.252</v>
      </c>
      <c r="S154" s="19">
        <v>479.73913043478302</v>
      </c>
      <c r="T154" s="19">
        <v>3.4660000000000002</v>
      </c>
      <c r="U154" s="19">
        <v>205.21739130434801</v>
      </c>
      <c r="V154" s="19">
        <v>1.242</v>
      </c>
      <c r="W154" s="19">
        <v>213.11304347826101</v>
      </c>
      <c r="X154" s="19">
        <v>1.3620000000000001</v>
      </c>
      <c r="Y154" s="19">
        <v>399.121739130435</v>
      </c>
      <c r="Z154" s="19">
        <v>2.5499999999999998</v>
      </c>
      <c r="AA154" s="19">
        <v>475.48695652173899</v>
      </c>
      <c r="AB154" s="19">
        <v>3.0379999999999998</v>
      </c>
      <c r="AC154" s="19">
        <v>109.55652173913001</v>
      </c>
      <c r="AD154" s="19">
        <v>0.7</v>
      </c>
      <c r="AE154" s="19">
        <v>0</v>
      </c>
      <c r="AF154" s="19">
        <v>0</v>
      </c>
      <c r="AG154" s="19">
        <v>130.539130434783</v>
      </c>
      <c r="AH154" s="19">
        <v>0.83399999999999996</v>
      </c>
      <c r="AI154" s="19">
        <v>168.408695652174</v>
      </c>
      <c r="AJ154" s="19">
        <v>1.0760000000000001</v>
      </c>
      <c r="AK154" s="19">
        <v>174.66956521739101</v>
      </c>
      <c r="AL154" s="19">
        <v>1.1160000000000001</v>
      </c>
      <c r="AM154" s="19">
        <v>805.10434782608695</v>
      </c>
      <c r="AN154" s="19">
        <v>5.1440000000000001</v>
      </c>
      <c r="AO154" s="19">
        <v>382.76521739130402</v>
      </c>
      <c r="AP154" s="19">
        <v>2.3460000000000001</v>
      </c>
      <c r="AQ154" s="19">
        <v>441.75652173912999</v>
      </c>
      <c r="AR154" s="19">
        <v>2.6739999999999999</v>
      </c>
      <c r="AS154" s="19">
        <v>119.286956521739</v>
      </c>
      <c r="AT154" s="19">
        <v>0.72199999999999998</v>
      </c>
      <c r="AU154" s="19">
        <v>652.4</v>
      </c>
      <c r="AV154" s="19">
        <v>3.87</v>
      </c>
      <c r="AW154" s="19">
        <v>187.80869565217401</v>
      </c>
      <c r="AX154" s="19">
        <v>1.08</v>
      </c>
      <c r="AY154" s="19">
        <v>363.47826086956502</v>
      </c>
      <c r="AZ154" s="19">
        <v>2.09</v>
      </c>
      <c r="BA154" s="19">
        <v>212.869565217391</v>
      </c>
      <c r="BB154" s="19">
        <v>1.224</v>
      </c>
      <c r="BC154" s="19">
        <v>219.130434782609</v>
      </c>
      <c r="BD154" s="19">
        <v>1.26</v>
      </c>
      <c r="BE154" s="19">
        <v>113.04347826087</v>
      </c>
      <c r="BF154" s="19">
        <v>0.65</v>
      </c>
      <c r="BG154" s="19">
        <v>533.98260869565195</v>
      </c>
      <c r="BH154" s="19">
        <v>3.613</v>
      </c>
      <c r="BI154" s="19">
        <v>514.84347826086901</v>
      </c>
      <c r="BJ154" s="19">
        <v>3.5059999999999998</v>
      </c>
      <c r="BK154" s="19">
        <v>111.408695652174</v>
      </c>
      <c r="BL154" s="19">
        <v>0.72799999999999998</v>
      </c>
      <c r="BM154" s="19">
        <v>189.460869565217</v>
      </c>
      <c r="BN154" s="19">
        <v>1.238</v>
      </c>
      <c r="BO154" s="19">
        <v>530.730434782609</v>
      </c>
      <c r="BP154" s="19">
        <v>3.468</v>
      </c>
      <c r="BQ154" s="19">
        <v>378.04347826087002</v>
      </c>
      <c r="BR154" s="19">
        <v>2.492</v>
      </c>
      <c r="BS154" s="19">
        <v>256.18260869565199</v>
      </c>
      <c r="BT154" s="19">
        <v>1.6739999999999999</v>
      </c>
      <c r="BU154" s="19">
        <v>379.21739130434798</v>
      </c>
      <c r="BV154" s="19">
        <v>2.4780000000000002</v>
      </c>
      <c r="BW154" s="19">
        <v>219.139130434783</v>
      </c>
      <c r="BX154" s="19">
        <v>1.4319999999999999</v>
      </c>
      <c r="BY154" s="19">
        <v>164.66086956521701</v>
      </c>
      <c r="BZ154" s="19">
        <v>1.0760000000000001</v>
      </c>
      <c r="CA154" s="19">
        <v>78.3565217391304</v>
      </c>
      <c r="CB154" s="19">
        <v>0.51200000000000001</v>
      </c>
      <c r="CC154" s="19">
        <v>383.81739130434801</v>
      </c>
      <c r="CD154" s="19">
        <v>2.508</v>
      </c>
      <c r="CE154" s="19">
        <v>59.686956521739098</v>
      </c>
      <c r="CF154" s="19">
        <v>0.39</v>
      </c>
      <c r="CG154" s="19">
        <v>439.82608695652198</v>
      </c>
      <c r="CH154" s="19">
        <v>2.8740000000000001</v>
      </c>
      <c r="CI154" s="19">
        <v>223.73913043478299</v>
      </c>
      <c r="CJ154" s="19">
        <v>1.462</v>
      </c>
      <c r="CK154" s="19">
        <v>126.095652173913</v>
      </c>
      <c r="CL154" s="19">
        <v>0.82399999999999995</v>
      </c>
      <c r="CM154" s="19">
        <v>227.408695652174</v>
      </c>
      <c r="CN154" s="19">
        <v>1.486</v>
      </c>
      <c r="CO154" s="19">
        <v>377.06956521739102</v>
      </c>
      <c r="CP154" s="19">
        <v>2.464</v>
      </c>
      <c r="CQ154" s="19">
        <v>21.426086956521701</v>
      </c>
      <c r="CR154" s="19">
        <v>0.14000000000000001</v>
      </c>
      <c r="CS154" s="19">
        <v>401.25217391304301</v>
      </c>
      <c r="CT154" s="19">
        <v>2.6219999999999999</v>
      </c>
      <c r="CU154" s="19">
        <v>45.6086956521739</v>
      </c>
      <c r="CV154" s="19">
        <v>0.29799999999999999</v>
      </c>
      <c r="CW154" s="19">
        <v>294.13043478260897</v>
      </c>
      <c r="CX154" s="19">
        <v>1.9219999999999999</v>
      </c>
      <c r="CY154" s="19">
        <v>216.39130434782601</v>
      </c>
      <c r="CZ154" s="19">
        <v>1.4139999999999999</v>
      </c>
      <c r="DA154" s="19">
        <v>449.92173913043501</v>
      </c>
      <c r="DB154" s="19">
        <v>2.94</v>
      </c>
      <c r="DC154" s="19">
        <v>684.121739130435</v>
      </c>
      <c r="DD154" s="19">
        <v>4.3840000000000003</v>
      </c>
      <c r="DE154" s="19">
        <v>439.2</v>
      </c>
      <c r="DF154" s="19">
        <v>2.806</v>
      </c>
      <c r="DG154" s="19">
        <v>603.21739130434798</v>
      </c>
      <c r="DH154" s="19">
        <v>3.8540000000000001</v>
      </c>
      <c r="DI154" s="19">
        <v>225.38260869565201</v>
      </c>
      <c r="DJ154" s="19">
        <v>1.44</v>
      </c>
      <c r="DK154" s="19">
        <v>92.026086956521695</v>
      </c>
      <c r="DL154" s="19">
        <v>0.58799999999999997</v>
      </c>
      <c r="DM154" s="19">
        <v>309.89565217391299</v>
      </c>
      <c r="DN154" s="19">
        <v>1.98</v>
      </c>
      <c r="DO154" s="19">
        <v>493.65217391304299</v>
      </c>
      <c r="DP154" s="19">
        <v>3.1539999999999999</v>
      </c>
      <c r="DQ154" s="19">
        <v>146.18260869565199</v>
      </c>
      <c r="DR154" s="19">
        <v>0.93400000000000005</v>
      </c>
      <c r="DS154" s="19">
        <v>156.51304347826101</v>
      </c>
      <c r="DT154" s="19">
        <v>1</v>
      </c>
      <c r="DU154" s="19">
        <v>198.77391304347799</v>
      </c>
      <c r="DV154" s="19">
        <v>1.27</v>
      </c>
      <c r="DW154" s="19">
        <v>446.15652173913003</v>
      </c>
      <c r="DX154" s="19">
        <v>2.8740000000000001</v>
      </c>
      <c r="DY154" s="19">
        <v>652.98260869565195</v>
      </c>
      <c r="DZ154" s="19">
        <v>4.1719999999999997</v>
      </c>
      <c r="EA154" s="19">
        <v>307.695652173913</v>
      </c>
      <c r="EB154" s="19">
        <v>1.966</v>
      </c>
      <c r="EC154" s="19">
        <v>106.121739130435</v>
      </c>
      <c r="ED154" s="19">
        <v>0.67800000000000005</v>
      </c>
      <c r="EE154" s="19">
        <v>489.88695652173902</v>
      </c>
      <c r="EF154" s="19">
        <v>3.13</v>
      </c>
      <c r="EG154" s="19">
        <v>382.81739130434801</v>
      </c>
      <c r="EH154" s="19">
        <v>2.4460000000000002</v>
      </c>
      <c r="EI154" s="19">
        <v>256.982608695652</v>
      </c>
      <c r="EJ154" s="19">
        <v>1.6419999999999999</v>
      </c>
      <c r="EK154" s="19">
        <v>706.2</v>
      </c>
      <c r="EL154" s="19">
        <v>4.5119999999999996</v>
      </c>
      <c r="EM154" s="19">
        <v>244.15652173913</v>
      </c>
      <c r="EN154" s="19">
        <v>1.56</v>
      </c>
      <c r="EO154" s="19">
        <v>185.94782608695701</v>
      </c>
      <c r="EP154" s="19">
        <v>1.258</v>
      </c>
      <c r="EQ154" s="19">
        <v>322.24347826087001</v>
      </c>
      <c r="ER154" s="19">
        <v>2.1800000000000002</v>
      </c>
      <c r="ES154" s="119">
        <v>376.33913043478299</v>
      </c>
      <c r="ET154" s="119">
        <v>2.4049999999999998</v>
      </c>
    </row>
    <row r="155" spans="1:150" ht="16.5" customHeight="1" x14ac:dyDescent="0.35">
      <c r="A155" s="4">
        <v>204</v>
      </c>
      <c r="B155" s="4" t="str">
        <f>LOOKUP(A155,Lookup!$A$1:$A$34,Lookup!$B$1:$B$34)</f>
        <v>LAMB</v>
      </c>
      <c r="C155" s="5">
        <v>34250</v>
      </c>
      <c r="D155" s="6" t="s">
        <v>155</v>
      </c>
      <c r="E155" s="18">
        <v>662.66307409675505</v>
      </c>
      <c r="F155" s="18">
        <v>4.2779999999999996</v>
      </c>
      <c r="G155" s="18">
        <v>47049.078260869603</v>
      </c>
      <c r="H155" s="18">
        <v>303.75599999999997</v>
      </c>
      <c r="I155" s="19">
        <v>502.77391304347799</v>
      </c>
      <c r="J155" s="19">
        <v>3.6139999999999999</v>
      </c>
      <c r="K155" s="19">
        <v>603.21739130434798</v>
      </c>
      <c r="L155" s="19">
        <v>4.3360000000000003</v>
      </c>
      <c r="M155" s="19">
        <v>639.39130434782601</v>
      </c>
      <c r="N155" s="19">
        <v>4.6379999999999999</v>
      </c>
      <c r="O155" s="19">
        <v>301.05217391304399</v>
      </c>
      <c r="P155" s="19">
        <v>2.1640000000000001</v>
      </c>
      <c r="Q155" s="19">
        <v>551.20000000000005</v>
      </c>
      <c r="R155" s="19">
        <v>3.9620000000000002</v>
      </c>
      <c r="S155" s="19">
        <v>567.61739130434796</v>
      </c>
      <c r="T155" s="19">
        <v>4.08</v>
      </c>
      <c r="U155" s="19">
        <v>280.73913043478302</v>
      </c>
      <c r="V155" s="19">
        <v>1.9470000000000001</v>
      </c>
      <c r="W155" s="19">
        <v>528.72173913043503</v>
      </c>
      <c r="X155" s="19">
        <v>3.3780000000000001</v>
      </c>
      <c r="Y155" s="19">
        <v>674.55652173912995</v>
      </c>
      <c r="Z155" s="19">
        <v>4.3099999999999996</v>
      </c>
      <c r="AA155" s="19">
        <v>626.730434782609</v>
      </c>
      <c r="AB155" s="19">
        <v>4.04</v>
      </c>
      <c r="AC155" s="19">
        <v>358.09565217391298</v>
      </c>
      <c r="AD155" s="19">
        <v>2.2879999999999998</v>
      </c>
      <c r="AE155" s="19">
        <v>91.086956521739097</v>
      </c>
      <c r="AF155" s="19">
        <v>0.58199999999999996</v>
      </c>
      <c r="AG155" s="19">
        <v>759.07826086956504</v>
      </c>
      <c r="AH155" s="19">
        <v>4.8499999999999996</v>
      </c>
      <c r="AI155" s="19">
        <v>819.80869565217404</v>
      </c>
      <c r="AJ155" s="19">
        <v>5.3339999999999996</v>
      </c>
      <c r="AK155" s="19">
        <v>826.68695652173903</v>
      </c>
      <c r="AL155" s="19">
        <v>5.282</v>
      </c>
      <c r="AM155" s="19">
        <v>815.09565217391298</v>
      </c>
      <c r="AN155" s="19">
        <v>5.2080000000000002</v>
      </c>
      <c r="AO155" s="19">
        <v>947.19130434782596</v>
      </c>
      <c r="AP155" s="19">
        <v>6.2619999999999996</v>
      </c>
      <c r="AQ155" s="19">
        <v>689.40869565217395</v>
      </c>
      <c r="AR155" s="19">
        <v>4.6639999999999997</v>
      </c>
      <c r="AS155" s="19">
        <v>1203.8260869565199</v>
      </c>
      <c r="AT155" s="19">
        <v>8.1739999999999995</v>
      </c>
      <c r="AU155" s="19">
        <v>738.93043478260904</v>
      </c>
      <c r="AV155" s="19">
        <v>4.8479999999999999</v>
      </c>
      <c r="AW155" s="19">
        <v>738.10434782608695</v>
      </c>
      <c r="AX155" s="19">
        <v>4.7160000000000002</v>
      </c>
      <c r="AY155" s="19">
        <v>502.730434782609</v>
      </c>
      <c r="AZ155" s="19">
        <v>3.2440000000000002</v>
      </c>
      <c r="BA155" s="19">
        <v>760.01739130434805</v>
      </c>
      <c r="BB155" s="19">
        <v>4.8559999999999999</v>
      </c>
      <c r="BC155" s="19">
        <v>463.89565217391299</v>
      </c>
      <c r="BD155" s="19">
        <v>2.964</v>
      </c>
      <c r="BE155" s="19">
        <v>544.695652173913</v>
      </c>
      <c r="BF155" s="19">
        <v>3.516</v>
      </c>
      <c r="BG155" s="19">
        <v>506.46086956521702</v>
      </c>
      <c r="BH155" s="19">
        <v>3.2360000000000002</v>
      </c>
      <c r="BI155" s="19">
        <v>736.37391304347796</v>
      </c>
      <c r="BJ155" s="19">
        <v>4.7859999999999996</v>
      </c>
      <c r="BK155" s="19">
        <v>550.59130434782605</v>
      </c>
      <c r="BL155" s="19">
        <v>3.5179999999999998</v>
      </c>
      <c r="BM155" s="19">
        <v>667.269565217391</v>
      </c>
      <c r="BN155" s="19">
        <v>4.282</v>
      </c>
      <c r="BO155" s="19">
        <v>643.06956521739096</v>
      </c>
      <c r="BP155" s="19">
        <v>4.3609999999999998</v>
      </c>
      <c r="BQ155" s="19">
        <v>928.10434782608695</v>
      </c>
      <c r="BR155" s="19">
        <v>5.93</v>
      </c>
      <c r="BS155" s="19">
        <v>244.460869565217</v>
      </c>
      <c r="BT155" s="19">
        <v>1.5620000000000001</v>
      </c>
      <c r="BU155" s="19">
        <v>731.53043478260895</v>
      </c>
      <c r="BV155" s="19">
        <v>4.6740000000000004</v>
      </c>
      <c r="BW155" s="19">
        <v>416.00869565217403</v>
      </c>
      <c r="BX155" s="19">
        <v>2.6579999999999999</v>
      </c>
      <c r="BY155" s="19">
        <v>400.03478260869599</v>
      </c>
      <c r="BZ155" s="19">
        <v>2.556</v>
      </c>
      <c r="CA155" s="19">
        <v>469.84347826086997</v>
      </c>
      <c r="CB155" s="19">
        <v>3.0019999999999998</v>
      </c>
      <c r="CC155" s="19">
        <v>513.97391304347798</v>
      </c>
      <c r="CD155" s="19">
        <v>3.2839999999999998</v>
      </c>
      <c r="CE155" s="19">
        <v>383.44347826086999</v>
      </c>
      <c r="CF155" s="19">
        <v>2.4500000000000002</v>
      </c>
      <c r="CG155" s="19">
        <v>946.25217391304398</v>
      </c>
      <c r="CH155" s="19">
        <v>6.0460000000000003</v>
      </c>
      <c r="CI155" s="19">
        <v>695.53913043478303</v>
      </c>
      <c r="CJ155" s="19">
        <v>4.5380000000000003</v>
      </c>
      <c r="CK155" s="19">
        <v>616.95652173913004</v>
      </c>
      <c r="CL155" s="19">
        <v>3.9420000000000002</v>
      </c>
      <c r="CM155" s="19">
        <v>436.97391304347798</v>
      </c>
      <c r="CN155" s="19">
        <v>2.7919999999999998</v>
      </c>
      <c r="CO155" s="19">
        <v>508.62608695652199</v>
      </c>
      <c r="CP155" s="19">
        <v>3.2839999999999998</v>
      </c>
      <c r="CQ155" s="19">
        <v>618.53043478260895</v>
      </c>
      <c r="CR155" s="19">
        <v>3.952</v>
      </c>
      <c r="CS155" s="19">
        <v>195.33043478260899</v>
      </c>
      <c r="CT155" s="19">
        <v>1.248</v>
      </c>
      <c r="CU155" s="19">
        <v>0</v>
      </c>
      <c r="CV155" s="19">
        <v>0</v>
      </c>
      <c r="CW155" s="19">
        <v>291.41739130434797</v>
      </c>
      <c r="CX155" s="19">
        <v>1.8620000000000001</v>
      </c>
      <c r="CY155" s="19">
        <v>753.452173913043</v>
      </c>
      <c r="CZ155" s="19">
        <v>4.8140000000000001</v>
      </c>
      <c r="DA155" s="19">
        <v>893.66956521739098</v>
      </c>
      <c r="DB155" s="19">
        <v>5.71</v>
      </c>
      <c r="DC155" s="19">
        <v>584.66086956521701</v>
      </c>
      <c r="DD155" s="19">
        <v>3.6379999999999999</v>
      </c>
      <c r="DE155" s="19">
        <v>624.58260869565197</v>
      </c>
      <c r="DF155" s="19">
        <v>4.2679999999999998</v>
      </c>
      <c r="DG155" s="19">
        <v>1770.69565217391</v>
      </c>
      <c r="DH155" s="19">
        <v>12.212</v>
      </c>
      <c r="DI155" s="19">
        <v>538.22608695652195</v>
      </c>
      <c r="DJ155" s="19">
        <v>3.3279999999999998</v>
      </c>
      <c r="DK155" s="19">
        <v>898.25217391304398</v>
      </c>
      <c r="DL155" s="19">
        <v>5.5540000000000003</v>
      </c>
      <c r="DM155" s="19">
        <v>525.29565217391303</v>
      </c>
      <c r="DN155" s="19">
        <v>3.2480000000000002</v>
      </c>
      <c r="DO155" s="19">
        <v>939.01739130434805</v>
      </c>
      <c r="DP155" s="19">
        <v>5.806</v>
      </c>
      <c r="DQ155" s="19">
        <v>783.41739130434803</v>
      </c>
      <c r="DR155" s="19">
        <v>4.8440000000000003</v>
      </c>
      <c r="DS155" s="19">
        <v>445.07826086956499</v>
      </c>
      <c r="DT155" s="19">
        <v>2.7519999999999998</v>
      </c>
      <c r="DU155" s="19">
        <v>914.73913043478296</v>
      </c>
      <c r="DV155" s="19">
        <v>5.6559999999999997</v>
      </c>
      <c r="DW155" s="19">
        <v>492.63478260869601</v>
      </c>
      <c r="DX155" s="19">
        <v>3.0459999999999998</v>
      </c>
      <c r="DY155" s="19">
        <v>1598.5565217391299</v>
      </c>
      <c r="DZ155" s="19">
        <v>9.8840000000000003</v>
      </c>
      <c r="EA155" s="19">
        <v>591.60869565217399</v>
      </c>
      <c r="EB155" s="19">
        <v>3.6579999999999999</v>
      </c>
      <c r="EC155" s="19">
        <v>772.426086956522</v>
      </c>
      <c r="ED155" s="19">
        <v>4.7759999999999998</v>
      </c>
      <c r="EE155" s="19">
        <v>879.82608695652198</v>
      </c>
      <c r="EF155" s="19">
        <v>5.44</v>
      </c>
      <c r="EG155" s="19">
        <v>506.53043478260901</v>
      </c>
      <c r="EH155" s="19">
        <v>3.1320000000000001</v>
      </c>
      <c r="EI155" s="19">
        <v>1460.75652173913</v>
      </c>
      <c r="EJ155" s="19">
        <v>9.032</v>
      </c>
      <c r="EK155" s="19">
        <v>1193.5826086956499</v>
      </c>
      <c r="EL155" s="19">
        <v>7.38</v>
      </c>
      <c r="EM155" s="19">
        <v>535.02608695652202</v>
      </c>
      <c r="EN155" s="19">
        <v>3.3420000000000001</v>
      </c>
      <c r="EO155" s="19">
        <v>1192.6434782608701</v>
      </c>
      <c r="EP155" s="19">
        <v>7.6459999999999999</v>
      </c>
      <c r="EQ155" s="19">
        <v>918.47826086956502</v>
      </c>
      <c r="ER155" s="19">
        <v>6.06</v>
      </c>
      <c r="ES155" s="119">
        <v>391.77391304347799</v>
      </c>
      <c r="ET155" s="119">
        <v>2.56</v>
      </c>
    </row>
    <row r="156" spans="1:150" ht="16.5" customHeight="1" x14ac:dyDescent="0.35">
      <c r="A156" s="4">
        <v>204</v>
      </c>
      <c r="B156" s="4" t="str">
        <f>LOOKUP(A156,Lookup!$A$1:$A$34,Lookup!$B$1:$B$34)</f>
        <v>LAMB</v>
      </c>
      <c r="C156" s="5">
        <v>34251</v>
      </c>
      <c r="D156" s="6" t="s">
        <v>156</v>
      </c>
      <c r="E156" s="18">
        <v>143.516840171464</v>
      </c>
      <c r="F156" s="18">
        <v>1.18</v>
      </c>
      <c r="G156" s="18">
        <v>10189.695652173899</v>
      </c>
      <c r="H156" s="18">
        <v>83.798000000000002</v>
      </c>
      <c r="I156" s="19">
        <v>165.79130434782601</v>
      </c>
      <c r="J156" s="19">
        <v>1.3620000000000001</v>
      </c>
      <c r="K156" s="19">
        <v>217.165217391304</v>
      </c>
      <c r="L156" s="19">
        <v>1.784</v>
      </c>
      <c r="M156" s="19">
        <v>126.84347826087</v>
      </c>
      <c r="N156" s="19">
        <v>1.042</v>
      </c>
      <c r="O156" s="19">
        <v>161.66086956521701</v>
      </c>
      <c r="P156" s="19">
        <v>1.3280000000000001</v>
      </c>
      <c r="Q156" s="19">
        <v>430.695652173913</v>
      </c>
      <c r="R156" s="19">
        <v>3.5379999999999998</v>
      </c>
      <c r="S156" s="19">
        <v>593.304347826087</v>
      </c>
      <c r="T156" s="19">
        <v>4.8739999999999997</v>
      </c>
      <c r="U156" s="19">
        <v>194.03478260869599</v>
      </c>
      <c r="V156" s="19">
        <v>1.5940000000000001</v>
      </c>
      <c r="W156" s="19">
        <v>0</v>
      </c>
      <c r="X156" s="19">
        <v>0</v>
      </c>
      <c r="Y156" s="19">
        <v>553.61739130434796</v>
      </c>
      <c r="Z156" s="19">
        <v>4.548</v>
      </c>
      <c r="AA156" s="19">
        <v>390.99130434782597</v>
      </c>
      <c r="AB156" s="19">
        <v>3.2120000000000002</v>
      </c>
      <c r="AC156" s="19">
        <v>460.13043478260897</v>
      </c>
      <c r="AD156" s="19">
        <v>3.78</v>
      </c>
      <c r="AE156" s="19">
        <v>293.84347826086997</v>
      </c>
      <c r="AF156" s="19">
        <v>2.4140000000000001</v>
      </c>
      <c r="AG156" s="19">
        <v>92.756521739130406</v>
      </c>
      <c r="AH156" s="19">
        <v>0.76200000000000001</v>
      </c>
      <c r="AI156" s="19">
        <v>286.54782608695598</v>
      </c>
      <c r="AJ156" s="19">
        <v>2.3540000000000001</v>
      </c>
      <c r="AK156" s="19">
        <v>418.982608695652</v>
      </c>
      <c r="AL156" s="19">
        <v>3.4420000000000002</v>
      </c>
      <c r="AM156" s="19">
        <v>558.97391304347798</v>
      </c>
      <c r="AN156" s="19">
        <v>4.5919999999999996</v>
      </c>
      <c r="AO156" s="19">
        <v>428.48695652173899</v>
      </c>
      <c r="AP156" s="19">
        <v>3.52</v>
      </c>
      <c r="AQ156" s="19">
        <v>539.83478260869595</v>
      </c>
      <c r="AR156" s="19">
        <v>4.468</v>
      </c>
      <c r="AS156" s="19">
        <v>399.75652173912999</v>
      </c>
      <c r="AT156" s="19">
        <v>3.2839999999999998</v>
      </c>
      <c r="AU156" s="19">
        <v>403.64347826086998</v>
      </c>
      <c r="AV156" s="19">
        <v>3.3159999999999998</v>
      </c>
      <c r="AW156" s="19">
        <v>794.15652173912997</v>
      </c>
      <c r="AX156" s="19">
        <v>6.556</v>
      </c>
      <c r="AY156" s="19">
        <v>386.6</v>
      </c>
      <c r="AZ156" s="19">
        <v>3.1760000000000002</v>
      </c>
      <c r="BA156" s="19">
        <v>124.408695652174</v>
      </c>
      <c r="BB156" s="19">
        <v>1.022</v>
      </c>
      <c r="BC156" s="19">
        <v>470.34782608695701</v>
      </c>
      <c r="BD156" s="19">
        <v>3.8639999999999999</v>
      </c>
      <c r="BE156" s="19">
        <v>681.91304347826099</v>
      </c>
      <c r="BF156" s="19">
        <v>5.6020000000000003</v>
      </c>
      <c r="BG156" s="19">
        <v>479.36521739130399</v>
      </c>
      <c r="BH156" s="19">
        <v>3.9620000000000002</v>
      </c>
      <c r="BI156" s="19">
        <v>535.84347826087003</v>
      </c>
      <c r="BJ156" s="19">
        <v>4.4020000000000001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0</v>
      </c>
      <c r="CT156" s="19">
        <v>0</v>
      </c>
      <c r="CU156" s="19">
        <v>0</v>
      </c>
      <c r="CV156" s="19">
        <v>0</v>
      </c>
      <c r="CW156" s="19">
        <v>0</v>
      </c>
      <c r="CX156" s="19">
        <v>0</v>
      </c>
      <c r="CY156" s="19">
        <v>0</v>
      </c>
      <c r="CZ156" s="19">
        <v>0</v>
      </c>
      <c r="DA156" s="19">
        <v>0</v>
      </c>
      <c r="DB156" s="19">
        <v>0</v>
      </c>
      <c r="DC156" s="19">
        <v>0</v>
      </c>
      <c r="DD156" s="19">
        <v>0</v>
      </c>
      <c r="DE156" s="19">
        <v>0</v>
      </c>
      <c r="DF156" s="19">
        <v>0</v>
      </c>
      <c r="DG156" s="19">
        <v>0</v>
      </c>
      <c r="DH156" s="19">
        <v>0</v>
      </c>
      <c r="DI156" s="19">
        <v>0</v>
      </c>
      <c r="DJ156" s="19">
        <v>0</v>
      </c>
      <c r="DK156" s="19">
        <v>0</v>
      </c>
      <c r="DL156" s="19">
        <v>0</v>
      </c>
      <c r="DM156" s="19">
        <v>0</v>
      </c>
      <c r="DN156" s="19">
        <v>0</v>
      </c>
      <c r="DO156" s="19">
        <v>0</v>
      </c>
      <c r="DP156" s="19">
        <v>0</v>
      </c>
      <c r="DQ156" s="19">
        <v>0</v>
      </c>
      <c r="DR156" s="19">
        <v>0</v>
      </c>
      <c r="DS156" s="19">
        <v>0</v>
      </c>
      <c r="DT156" s="19">
        <v>0</v>
      </c>
      <c r="DU156" s="19">
        <v>0</v>
      </c>
      <c r="DV156" s="19">
        <v>0</v>
      </c>
      <c r="DW156" s="19">
        <v>0</v>
      </c>
      <c r="DX156" s="19">
        <v>0</v>
      </c>
      <c r="DY156" s="19">
        <v>0</v>
      </c>
      <c r="DZ156" s="19">
        <v>0</v>
      </c>
      <c r="EA156" s="19">
        <v>0</v>
      </c>
      <c r="EB156" s="19">
        <v>0</v>
      </c>
      <c r="EC156" s="19">
        <v>0</v>
      </c>
      <c r="ED156" s="19">
        <v>0</v>
      </c>
      <c r="EE156" s="19">
        <v>0</v>
      </c>
      <c r="EF156" s="19">
        <v>0</v>
      </c>
      <c r="EG156" s="19">
        <v>0</v>
      </c>
      <c r="EH156" s="19">
        <v>0</v>
      </c>
      <c r="EI156" s="19">
        <v>0</v>
      </c>
      <c r="EJ156" s="19">
        <v>0</v>
      </c>
      <c r="EK156" s="19">
        <v>0</v>
      </c>
      <c r="EL156" s="19">
        <v>0</v>
      </c>
      <c r="EM156" s="19">
        <v>0</v>
      </c>
      <c r="EN156" s="19">
        <v>0</v>
      </c>
      <c r="EO156" s="19">
        <v>0</v>
      </c>
      <c r="EP156" s="19">
        <v>0</v>
      </c>
      <c r="EQ156" s="19">
        <v>0</v>
      </c>
      <c r="ER156" s="19">
        <v>0</v>
      </c>
      <c r="ES156" s="119">
        <v>0</v>
      </c>
      <c r="ET156" s="119">
        <v>0</v>
      </c>
    </row>
    <row r="157" spans="1:150" ht="16.5" customHeight="1" x14ac:dyDescent="0.35">
      <c r="A157" s="4">
        <v>204</v>
      </c>
      <c r="B157" s="4" t="str">
        <f>LOOKUP(A157,Lookup!$A$1:$A$34,Lookup!$B$1:$B$34)</f>
        <v>LAMB</v>
      </c>
      <c r="C157" s="5">
        <v>39811</v>
      </c>
      <c r="D157" s="6" t="s">
        <v>152</v>
      </c>
      <c r="E157" s="18">
        <v>1458.15884874464</v>
      </c>
      <c r="F157" s="18">
        <v>8.0939999999999994</v>
      </c>
      <c r="G157" s="18">
        <v>103529.27826087001</v>
      </c>
      <c r="H157" s="18">
        <v>574.63900000000001</v>
      </c>
      <c r="I157" s="19">
        <v>1817.6260869565201</v>
      </c>
      <c r="J157" s="19">
        <v>10.452</v>
      </c>
      <c r="K157" s="19">
        <v>582.19130434782596</v>
      </c>
      <c r="L157" s="19">
        <v>3.4079999999999999</v>
      </c>
      <c r="M157" s="19">
        <v>1079.9391304347801</v>
      </c>
      <c r="N157" s="19">
        <v>6.21</v>
      </c>
      <c r="O157" s="19">
        <v>739.78260869565202</v>
      </c>
      <c r="P157" s="19">
        <v>4.2539999999999996</v>
      </c>
      <c r="Q157" s="19">
        <v>1849.26956521739</v>
      </c>
      <c r="R157" s="19">
        <v>10.634</v>
      </c>
      <c r="S157" s="19">
        <v>1561.98260869565</v>
      </c>
      <c r="T157" s="19">
        <v>8.9819999999999993</v>
      </c>
      <c r="U157" s="19">
        <v>2268.4434782608701</v>
      </c>
      <c r="V157" s="19">
        <v>13.074</v>
      </c>
      <c r="W157" s="19">
        <v>1051.0695652173899</v>
      </c>
      <c r="X157" s="19">
        <v>6.3179999999999996</v>
      </c>
      <c r="Y157" s="19">
        <v>2521.6956521739098</v>
      </c>
      <c r="Z157" s="19">
        <v>16.111999999999998</v>
      </c>
      <c r="AA157" s="19">
        <v>1789.8347826086999</v>
      </c>
      <c r="AB157" s="19">
        <v>11.436</v>
      </c>
      <c r="AC157" s="19">
        <v>900.51304347826101</v>
      </c>
      <c r="AD157" s="19">
        <v>5.798</v>
      </c>
      <c r="AE157" s="19">
        <v>1526.0695652173899</v>
      </c>
      <c r="AF157" s="19">
        <v>9.8239999999999998</v>
      </c>
      <c r="AG157" s="19">
        <v>2143.8782608695701</v>
      </c>
      <c r="AH157" s="19">
        <v>13.698</v>
      </c>
      <c r="AI157" s="19">
        <v>1067.24347826087</v>
      </c>
      <c r="AJ157" s="19">
        <v>6.8639999999999999</v>
      </c>
      <c r="AK157" s="19">
        <v>1468.0695652173899</v>
      </c>
      <c r="AL157" s="19">
        <v>9.3800000000000008</v>
      </c>
      <c r="AM157" s="19">
        <v>3202.02608695652</v>
      </c>
      <c r="AN157" s="19">
        <v>20.486000000000001</v>
      </c>
      <c r="AO157" s="19">
        <v>483.43478260869603</v>
      </c>
      <c r="AP157" s="19">
        <v>2.78</v>
      </c>
      <c r="AQ157" s="19">
        <v>828.44347826086903</v>
      </c>
      <c r="AR157" s="19">
        <v>4.7859999999999996</v>
      </c>
      <c r="AS157" s="19">
        <v>1372.77391304348</v>
      </c>
      <c r="AT157" s="19">
        <v>7.8940000000000001</v>
      </c>
      <c r="AU157" s="19">
        <v>593.79999999999995</v>
      </c>
      <c r="AV157" s="19">
        <v>3.2519999999999998</v>
      </c>
      <c r="AW157" s="19">
        <v>2383.2434782608698</v>
      </c>
      <c r="AX157" s="19">
        <v>13.052</v>
      </c>
      <c r="AY157" s="19">
        <v>709.96521739130401</v>
      </c>
      <c r="AZ157" s="19">
        <v>3.8879999999999999</v>
      </c>
      <c r="BA157" s="19">
        <v>872.11304347826103</v>
      </c>
      <c r="BB157" s="19">
        <v>4.7759999999999998</v>
      </c>
      <c r="BC157" s="19">
        <v>1838.74782608696</v>
      </c>
      <c r="BD157" s="19">
        <v>10.07</v>
      </c>
      <c r="BE157" s="19">
        <v>374.695652173913</v>
      </c>
      <c r="BF157" s="19">
        <v>2.052</v>
      </c>
      <c r="BG157" s="19">
        <v>2236.3130434782602</v>
      </c>
      <c r="BH157" s="19">
        <v>12.007999999999999</v>
      </c>
      <c r="BI157" s="19">
        <v>668.62608695652204</v>
      </c>
      <c r="BJ157" s="19">
        <v>3.56</v>
      </c>
      <c r="BK157" s="19">
        <v>570.21739130434798</v>
      </c>
      <c r="BL157" s="19">
        <v>3.036</v>
      </c>
      <c r="BM157" s="19">
        <v>981.147826086956</v>
      </c>
      <c r="BN157" s="19">
        <v>5.2240000000000002</v>
      </c>
      <c r="BO157" s="19">
        <v>2262.4434782608701</v>
      </c>
      <c r="BP157" s="19">
        <v>12.045999999999999</v>
      </c>
      <c r="BQ157" s="19">
        <v>2381.1391304347799</v>
      </c>
      <c r="BR157" s="19">
        <v>12.678000000000001</v>
      </c>
      <c r="BS157" s="19">
        <v>1426.6608695652201</v>
      </c>
      <c r="BT157" s="19">
        <v>7.5960000000000001</v>
      </c>
      <c r="BU157" s="19">
        <v>1649.04347826087</v>
      </c>
      <c r="BV157" s="19">
        <v>8.7799999999999994</v>
      </c>
      <c r="BW157" s="19">
        <v>1987.8695652173899</v>
      </c>
      <c r="BX157" s="19">
        <v>10.584</v>
      </c>
      <c r="BY157" s="19">
        <v>1994.6173913043499</v>
      </c>
      <c r="BZ157" s="19">
        <v>10.62</v>
      </c>
      <c r="CA157" s="19">
        <v>2103.2695652173902</v>
      </c>
      <c r="CB157" s="19">
        <v>11.236000000000001</v>
      </c>
      <c r="CC157" s="19">
        <v>628.43478260869597</v>
      </c>
      <c r="CD157" s="19">
        <v>3.3460000000000001</v>
      </c>
      <c r="CE157" s="19">
        <v>1302.6869565217401</v>
      </c>
      <c r="CF157" s="19">
        <v>6.9359999999999999</v>
      </c>
      <c r="CG157" s="19">
        <v>1456.71304347826</v>
      </c>
      <c r="CH157" s="19">
        <v>7.7560000000000002</v>
      </c>
      <c r="CI157" s="19">
        <v>2000.99130434783</v>
      </c>
      <c r="CJ157" s="19">
        <v>10.654</v>
      </c>
      <c r="CK157" s="19">
        <v>1876.6782608695701</v>
      </c>
      <c r="CL157" s="19">
        <v>9.9920000000000009</v>
      </c>
      <c r="CM157" s="19">
        <v>1186.25217391304</v>
      </c>
      <c r="CN157" s="19">
        <v>6.3159999999999998</v>
      </c>
      <c r="CO157" s="19">
        <v>1724.9217391304301</v>
      </c>
      <c r="CP157" s="19">
        <v>9.2100000000000009</v>
      </c>
      <c r="CQ157" s="19">
        <v>1297.0695652173899</v>
      </c>
      <c r="CR157" s="19">
        <v>6.9059999999999997</v>
      </c>
      <c r="CS157" s="19">
        <v>1122.02608695652</v>
      </c>
      <c r="CT157" s="19">
        <v>5.9740000000000002</v>
      </c>
      <c r="CU157" s="19">
        <v>558.93043478260904</v>
      </c>
      <c r="CV157" s="19">
        <v>2.976</v>
      </c>
      <c r="CW157" s="19">
        <v>1773.7652173913</v>
      </c>
      <c r="CX157" s="19">
        <v>9.4440000000000008</v>
      </c>
      <c r="CY157" s="19">
        <v>1967.95652173913</v>
      </c>
      <c r="CZ157" s="19">
        <v>10.478</v>
      </c>
      <c r="DA157" s="19">
        <v>2360.49565217391</v>
      </c>
      <c r="DB157" s="19">
        <v>12.568</v>
      </c>
      <c r="DC157" s="19">
        <v>0</v>
      </c>
      <c r="DD157" s="19">
        <v>0</v>
      </c>
      <c r="DE157" s="19">
        <v>615.98260869565195</v>
      </c>
      <c r="DF157" s="19">
        <v>3.22</v>
      </c>
      <c r="DG157" s="19">
        <v>1495.1565217391301</v>
      </c>
      <c r="DH157" s="19">
        <v>7.8159999999999998</v>
      </c>
      <c r="DI157" s="19">
        <v>2157.4086956521701</v>
      </c>
      <c r="DJ157" s="19">
        <v>11.278</v>
      </c>
      <c r="DK157" s="19">
        <v>1749.5565217391299</v>
      </c>
      <c r="DL157" s="19">
        <v>9.1460000000000008</v>
      </c>
      <c r="DM157" s="19">
        <v>1524.98260869565</v>
      </c>
      <c r="DN157" s="19">
        <v>7.9720000000000004</v>
      </c>
      <c r="DO157" s="19">
        <v>2439.4</v>
      </c>
      <c r="DP157" s="19">
        <v>12.752000000000001</v>
      </c>
      <c r="DQ157" s="19">
        <v>802.66956521739098</v>
      </c>
      <c r="DR157" s="19">
        <v>4.1959999999999997</v>
      </c>
      <c r="DS157" s="19">
        <v>1517.73043478261</v>
      </c>
      <c r="DT157" s="19">
        <v>7.9340000000000002</v>
      </c>
      <c r="DU157" s="19">
        <v>1627.52173913043</v>
      </c>
      <c r="DV157" s="19">
        <v>8.5079999999999991</v>
      </c>
      <c r="DW157" s="19">
        <v>320.22608695652201</v>
      </c>
      <c r="DX157" s="19">
        <v>1.6739999999999999</v>
      </c>
      <c r="DY157" s="19">
        <v>2163.54782608696</v>
      </c>
      <c r="DZ157" s="19">
        <v>11.31</v>
      </c>
      <c r="EA157" s="19">
        <v>1265.8521739130399</v>
      </c>
      <c r="EB157" s="19">
        <v>6.6660000000000004</v>
      </c>
      <c r="EC157" s="19">
        <v>1027.26086956522</v>
      </c>
      <c r="ED157" s="19">
        <v>5.37</v>
      </c>
      <c r="EE157" s="19">
        <v>1622.9391304347801</v>
      </c>
      <c r="EF157" s="19">
        <v>8.484</v>
      </c>
      <c r="EG157" s="19">
        <v>1728.52173913043</v>
      </c>
      <c r="EH157" s="19">
        <v>9.0359999999999996</v>
      </c>
      <c r="EI157" s="19">
        <v>2628</v>
      </c>
      <c r="EJ157" s="19">
        <v>13.738</v>
      </c>
      <c r="EK157" s="19">
        <v>785.44347826087005</v>
      </c>
      <c r="EL157" s="19">
        <v>4.1059999999999999</v>
      </c>
      <c r="EM157" s="19">
        <v>1165.3391304347799</v>
      </c>
      <c r="EN157" s="19">
        <v>6.0919999999999996</v>
      </c>
      <c r="EO157" s="19">
        <v>1063.5739130434799</v>
      </c>
      <c r="EP157" s="19">
        <v>6.1159999999999997</v>
      </c>
      <c r="EQ157" s="19">
        <v>1808.2347826087</v>
      </c>
      <c r="ER157" s="19">
        <v>10.398</v>
      </c>
      <c r="ES157" s="119">
        <v>2036.1652173913001</v>
      </c>
      <c r="ET157" s="119">
        <v>13.01</v>
      </c>
    </row>
    <row r="158" spans="1:150" ht="16.5" customHeight="1" x14ac:dyDescent="0.35">
      <c r="A158" s="4">
        <v>204</v>
      </c>
      <c r="B158" s="4" t="str">
        <f>LOOKUP(A158,Lookup!$A$1:$A$34,Lookup!$B$1:$B$34)</f>
        <v>LAMB</v>
      </c>
      <c r="C158" s="5">
        <v>44899</v>
      </c>
      <c r="D158" s="6" t="s">
        <v>157</v>
      </c>
      <c r="E158" s="18">
        <v>123.934109001837</v>
      </c>
      <c r="F158" s="18">
        <v>0.84</v>
      </c>
      <c r="G158" s="18">
        <v>8799.3217391304406</v>
      </c>
      <c r="H158" s="18">
        <v>59.654000000000003</v>
      </c>
      <c r="I158" s="19">
        <v>663.38260869565204</v>
      </c>
      <c r="J158" s="19">
        <v>4.4880000000000004</v>
      </c>
      <c r="K158" s="19">
        <v>101.4</v>
      </c>
      <c r="L158" s="19">
        <v>0.68600000000000005</v>
      </c>
      <c r="M158" s="19">
        <v>169.991304347826</v>
      </c>
      <c r="N158" s="19">
        <v>1.1499999999999999</v>
      </c>
      <c r="O158" s="19">
        <v>0</v>
      </c>
      <c r="P158" s="19">
        <v>0</v>
      </c>
      <c r="Q158" s="19">
        <v>370.13043478260897</v>
      </c>
      <c r="R158" s="19">
        <v>2.504</v>
      </c>
      <c r="S158" s="19">
        <v>361.25217391304301</v>
      </c>
      <c r="T158" s="19">
        <v>2.444</v>
      </c>
      <c r="U158" s="19">
        <v>264.591304347826</v>
      </c>
      <c r="V158" s="19">
        <v>1.79</v>
      </c>
      <c r="W158" s="19">
        <v>201.03478260869599</v>
      </c>
      <c r="X158" s="19">
        <v>1.36</v>
      </c>
      <c r="Y158" s="19">
        <v>591.40869565217395</v>
      </c>
      <c r="Z158" s="19">
        <v>4.0259999999999998</v>
      </c>
      <c r="AA158" s="19">
        <v>523.27826086956497</v>
      </c>
      <c r="AB158" s="19">
        <v>3.54</v>
      </c>
      <c r="AC158" s="19">
        <v>316.32173913043499</v>
      </c>
      <c r="AD158" s="19">
        <v>2.14</v>
      </c>
      <c r="AE158" s="19">
        <v>260.73913043478302</v>
      </c>
      <c r="AF158" s="19">
        <v>1.764</v>
      </c>
      <c r="AG158" s="19">
        <v>370.017391304348</v>
      </c>
      <c r="AH158" s="19">
        <v>2.5339999999999998</v>
      </c>
      <c r="AI158" s="19">
        <v>664.63478260869601</v>
      </c>
      <c r="AJ158" s="19">
        <v>4.5339999999999998</v>
      </c>
      <c r="AK158" s="19">
        <v>119.139130434783</v>
      </c>
      <c r="AL158" s="19">
        <v>0.80600000000000005</v>
      </c>
      <c r="AM158" s="19">
        <v>505.53043478260901</v>
      </c>
      <c r="AN158" s="19">
        <v>3.42</v>
      </c>
      <c r="AO158" s="19">
        <v>278.49565217391302</v>
      </c>
      <c r="AP158" s="19">
        <v>1.8839999999999999</v>
      </c>
      <c r="AQ158" s="19">
        <v>78.339130434782604</v>
      </c>
      <c r="AR158" s="19">
        <v>0.53</v>
      </c>
      <c r="AS158" s="19">
        <v>436.33913043478299</v>
      </c>
      <c r="AT158" s="19">
        <v>2.952</v>
      </c>
      <c r="AU158" s="19">
        <v>182.695652173913</v>
      </c>
      <c r="AV158" s="19">
        <v>1.236</v>
      </c>
      <c r="AW158" s="19">
        <v>334.36521739130399</v>
      </c>
      <c r="AX158" s="19">
        <v>2.262</v>
      </c>
      <c r="AY158" s="19">
        <v>528.93043478260904</v>
      </c>
      <c r="AZ158" s="19">
        <v>3.61</v>
      </c>
      <c r="BA158" s="19">
        <v>138.94782608695701</v>
      </c>
      <c r="BB158" s="19">
        <v>0.94</v>
      </c>
      <c r="BC158" s="19">
        <v>389.96521739130401</v>
      </c>
      <c r="BD158" s="19">
        <v>2.6379999999999999</v>
      </c>
      <c r="BE158" s="19">
        <v>315.15652173913003</v>
      </c>
      <c r="BF158" s="19">
        <v>2.1320000000000001</v>
      </c>
      <c r="BG158" s="19">
        <v>382.24347826087001</v>
      </c>
      <c r="BH158" s="19">
        <v>2.5859999999999999</v>
      </c>
      <c r="BI158" s="19">
        <v>186.834782608696</v>
      </c>
      <c r="BJ158" s="19">
        <v>1.264</v>
      </c>
      <c r="BK158" s="19">
        <v>64.156521739130397</v>
      </c>
      <c r="BL158" s="19">
        <v>0.434</v>
      </c>
      <c r="BM158" s="19">
        <v>0</v>
      </c>
      <c r="BN158" s="19">
        <v>0</v>
      </c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0</v>
      </c>
      <c r="CT158" s="19">
        <v>0</v>
      </c>
      <c r="CU158" s="19">
        <v>0</v>
      </c>
      <c r="CV158" s="19">
        <v>0</v>
      </c>
      <c r="CW158" s="19">
        <v>0</v>
      </c>
      <c r="CX158" s="19">
        <v>0</v>
      </c>
      <c r="CY158" s="19">
        <v>0</v>
      </c>
      <c r="CZ158" s="19">
        <v>0</v>
      </c>
      <c r="DA158" s="19">
        <v>0</v>
      </c>
      <c r="DB158" s="19">
        <v>0</v>
      </c>
      <c r="DC158" s="19">
        <v>0</v>
      </c>
      <c r="DD158" s="19">
        <v>0</v>
      </c>
      <c r="DE158" s="19">
        <v>0</v>
      </c>
      <c r="DF158" s="19">
        <v>0</v>
      </c>
      <c r="DG158" s="19">
        <v>0</v>
      </c>
      <c r="DH158" s="19">
        <v>0</v>
      </c>
      <c r="DI158" s="19">
        <v>0</v>
      </c>
      <c r="DJ158" s="19">
        <v>0</v>
      </c>
      <c r="DK158" s="19">
        <v>0</v>
      </c>
      <c r="DL158" s="19">
        <v>0</v>
      </c>
      <c r="DM158" s="19">
        <v>0</v>
      </c>
      <c r="DN158" s="19">
        <v>0</v>
      </c>
      <c r="DO158" s="19">
        <v>0</v>
      </c>
      <c r="DP158" s="19">
        <v>0</v>
      </c>
      <c r="DQ158" s="19">
        <v>0</v>
      </c>
      <c r="DR158" s="19">
        <v>0</v>
      </c>
      <c r="DS158" s="19">
        <v>0</v>
      </c>
      <c r="DT158" s="19">
        <v>0</v>
      </c>
      <c r="DU158" s="19">
        <v>0</v>
      </c>
      <c r="DV158" s="19">
        <v>0</v>
      </c>
      <c r="DW158" s="19">
        <v>0</v>
      </c>
      <c r="DX158" s="19">
        <v>0</v>
      </c>
      <c r="DY158" s="19">
        <v>0</v>
      </c>
      <c r="DZ158" s="19">
        <v>0</v>
      </c>
      <c r="EA158" s="19">
        <v>0</v>
      </c>
      <c r="EB158" s="19">
        <v>0</v>
      </c>
      <c r="EC158" s="19">
        <v>0</v>
      </c>
      <c r="ED158" s="19">
        <v>0</v>
      </c>
      <c r="EE158" s="19">
        <v>0</v>
      </c>
      <c r="EF158" s="19">
        <v>0</v>
      </c>
      <c r="EG158" s="19">
        <v>0</v>
      </c>
      <c r="EH158" s="19">
        <v>0</v>
      </c>
      <c r="EI158" s="19">
        <v>0</v>
      </c>
      <c r="EJ158" s="19">
        <v>0</v>
      </c>
      <c r="EK158" s="19">
        <v>0</v>
      </c>
      <c r="EL158" s="19">
        <v>0</v>
      </c>
      <c r="EM158" s="19">
        <v>0</v>
      </c>
      <c r="EN158" s="19">
        <v>0</v>
      </c>
      <c r="EO158" s="19">
        <v>0</v>
      </c>
      <c r="EP158" s="19">
        <v>0</v>
      </c>
      <c r="EQ158" s="19">
        <v>0</v>
      </c>
      <c r="ER158" s="19">
        <v>0</v>
      </c>
      <c r="ES158" s="119">
        <v>0</v>
      </c>
      <c r="ET158" s="119">
        <v>0</v>
      </c>
    </row>
    <row r="159" spans="1:150" ht="16.5" customHeight="1" x14ac:dyDescent="0.35">
      <c r="A159" s="4">
        <v>204</v>
      </c>
      <c r="B159" s="4" t="str">
        <f>LOOKUP(A159,Lookup!$A$1:$A$34,Lookup!$B$1:$B$34)</f>
        <v>LAMB</v>
      </c>
      <c r="C159" s="5">
        <v>44900</v>
      </c>
      <c r="D159" s="6" t="s">
        <v>158</v>
      </c>
      <c r="E159" s="18">
        <v>28.051928965094898</v>
      </c>
      <c r="F159" s="18">
        <v>0.19400000000000001</v>
      </c>
      <c r="G159" s="18">
        <v>1991.6869565217401</v>
      </c>
      <c r="H159" s="18">
        <v>13.746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306.06956521739102</v>
      </c>
      <c r="AL159" s="19">
        <v>2.2000000000000002</v>
      </c>
      <c r="AM159" s="19">
        <v>0</v>
      </c>
      <c r="AN159" s="19">
        <v>0</v>
      </c>
      <c r="AO159" s="19">
        <v>329.88695652173902</v>
      </c>
      <c r="AP159" s="19">
        <v>2.496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154.147826086957</v>
      </c>
      <c r="BJ159" s="19">
        <v>1.1080000000000001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0</v>
      </c>
      <c r="CT159" s="19">
        <v>0</v>
      </c>
      <c r="CU159" s="19">
        <v>0</v>
      </c>
      <c r="CV159" s="19">
        <v>0</v>
      </c>
      <c r="CW159" s="19">
        <v>0</v>
      </c>
      <c r="CX159" s="19">
        <v>0</v>
      </c>
      <c r="CY159" s="19">
        <v>0</v>
      </c>
      <c r="CZ159" s="19">
        <v>0</v>
      </c>
      <c r="DA159" s="19">
        <v>0</v>
      </c>
      <c r="DB159" s="19">
        <v>0</v>
      </c>
      <c r="DC159" s="19">
        <v>916.03478260869599</v>
      </c>
      <c r="DD159" s="19">
        <v>6.02</v>
      </c>
      <c r="DE159" s="19">
        <v>211.81739130434801</v>
      </c>
      <c r="DF159" s="19">
        <v>1.3919999999999999</v>
      </c>
      <c r="DG159" s="19">
        <v>0</v>
      </c>
      <c r="DH159" s="19">
        <v>0</v>
      </c>
      <c r="DI159" s="19">
        <v>0</v>
      </c>
      <c r="DJ159" s="19">
        <v>0</v>
      </c>
      <c r="DK159" s="19">
        <v>0</v>
      </c>
      <c r="DL159" s="19">
        <v>0</v>
      </c>
      <c r="DM159" s="19">
        <v>0</v>
      </c>
      <c r="DN159" s="19">
        <v>0</v>
      </c>
      <c r="DO159" s="19">
        <v>0</v>
      </c>
      <c r="DP159" s="19">
        <v>0</v>
      </c>
      <c r="DQ159" s="19">
        <v>0</v>
      </c>
      <c r="DR159" s="19">
        <v>0</v>
      </c>
      <c r="DS159" s="19">
        <v>0</v>
      </c>
      <c r="DT159" s="19">
        <v>0</v>
      </c>
      <c r="DU159" s="19">
        <v>0</v>
      </c>
      <c r="DV159" s="19">
        <v>0</v>
      </c>
      <c r="DW159" s="19">
        <v>0</v>
      </c>
      <c r="DX159" s="19">
        <v>0</v>
      </c>
      <c r="DY159" s="19">
        <v>0</v>
      </c>
      <c r="DZ159" s="19">
        <v>0</v>
      </c>
      <c r="EA159" s="19">
        <v>0</v>
      </c>
      <c r="EB159" s="19">
        <v>0</v>
      </c>
      <c r="EC159" s="19">
        <v>0</v>
      </c>
      <c r="ED159" s="19">
        <v>0</v>
      </c>
      <c r="EE159" s="19">
        <v>0</v>
      </c>
      <c r="EF159" s="19">
        <v>0</v>
      </c>
      <c r="EG159" s="19">
        <v>0</v>
      </c>
      <c r="EH159" s="19">
        <v>0</v>
      </c>
      <c r="EI159" s="19">
        <v>0</v>
      </c>
      <c r="EJ159" s="19">
        <v>0</v>
      </c>
      <c r="EK159" s="19">
        <v>0</v>
      </c>
      <c r="EL159" s="19">
        <v>0</v>
      </c>
      <c r="EM159" s="19">
        <v>0</v>
      </c>
      <c r="EN159" s="19">
        <v>0</v>
      </c>
      <c r="EO159" s="19">
        <v>73.730434782608697</v>
      </c>
      <c r="EP159" s="19">
        <v>0.53</v>
      </c>
      <c r="EQ159" s="19">
        <v>0</v>
      </c>
      <c r="ER159" s="19">
        <v>0</v>
      </c>
      <c r="ES159" s="119">
        <v>0</v>
      </c>
      <c r="ET159" s="119">
        <v>0</v>
      </c>
    </row>
    <row r="160" spans="1:150" ht="16.5" customHeight="1" x14ac:dyDescent="0.35">
      <c r="A160" s="4">
        <v>204</v>
      </c>
      <c r="B160" s="4" t="str">
        <f>LOOKUP(A160,Lookup!$A$1:$A$34,Lookup!$B$1:$B$34)</f>
        <v>LAMB</v>
      </c>
      <c r="C160" s="5">
        <v>45494</v>
      </c>
      <c r="D160" s="6" t="s">
        <v>159</v>
      </c>
      <c r="E160" s="18">
        <v>256.45719534598902</v>
      </c>
      <c r="F160" s="18">
        <v>2.4700000000000002</v>
      </c>
      <c r="G160" s="18">
        <v>18208.460869565199</v>
      </c>
      <c r="H160" s="18">
        <v>175.39400000000001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668.269565217391</v>
      </c>
      <c r="AD160" s="19">
        <v>5.1859999999999999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1242.0782608695699</v>
      </c>
      <c r="AV160" s="19">
        <v>8.9280000000000008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0</v>
      </c>
      <c r="CT160" s="19">
        <v>0</v>
      </c>
      <c r="CU160" s="19">
        <v>0</v>
      </c>
      <c r="CV160" s="19">
        <v>0</v>
      </c>
      <c r="CW160" s="19">
        <v>3005.3826086956501</v>
      </c>
      <c r="CX160" s="19">
        <v>22.297999999999998</v>
      </c>
      <c r="CY160" s="19">
        <v>13292.730434782599</v>
      </c>
      <c r="CZ160" s="19">
        <v>138.982</v>
      </c>
      <c r="DA160" s="19">
        <v>0</v>
      </c>
      <c r="DB160" s="19">
        <v>0</v>
      </c>
      <c r="DC160" s="19">
        <v>0</v>
      </c>
      <c r="DD160" s="19">
        <v>0</v>
      </c>
      <c r="DE160" s="19">
        <v>0</v>
      </c>
      <c r="DF160" s="19">
        <v>0</v>
      </c>
      <c r="DG160" s="19">
        <v>0</v>
      </c>
      <c r="DH160" s="19">
        <v>0</v>
      </c>
      <c r="DI160" s="19">
        <v>0</v>
      </c>
      <c r="DJ160" s="19">
        <v>0</v>
      </c>
      <c r="DK160" s="19">
        <v>0</v>
      </c>
      <c r="DL160" s="19">
        <v>0</v>
      </c>
      <c r="DM160" s="19">
        <v>0</v>
      </c>
      <c r="DN160" s="19">
        <v>0</v>
      </c>
      <c r="DO160" s="19">
        <v>0</v>
      </c>
      <c r="DP160" s="19">
        <v>0</v>
      </c>
      <c r="DQ160" s="19">
        <v>0</v>
      </c>
      <c r="DR160" s="19">
        <v>0</v>
      </c>
      <c r="DS160" s="19">
        <v>0</v>
      </c>
      <c r="DT160" s="19">
        <v>0</v>
      </c>
      <c r="DU160" s="19">
        <v>0</v>
      </c>
      <c r="DV160" s="19">
        <v>0</v>
      </c>
      <c r="DW160" s="19">
        <v>0</v>
      </c>
      <c r="DX160" s="19">
        <v>0</v>
      </c>
      <c r="DY160" s="19">
        <v>0</v>
      </c>
      <c r="DZ160" s="19">
        <v>0</v>
      </c>
      <c r="EA160" s="19">
        <v>0</v>
      </c>
      <c r="EB160" s="19">
        <v>0</v>
      </c>
      <c r="EC160" s="19">
        <v>0</v>
      </c>
      <c r="ED160" s="19">
        <v>0</v>
      </c>
      <c r="EE160" s="19">
        <v>0</v>
      </c>
      <c r="EF160" s="19">
        <v>0</v>
      </c>
      <c r="EG160" s="19">
        <v>0</v>
      </c>
      <c r="EH160" s="19">
        <v>0</v>
      </c>
      <c r="EI160" s="19">
        <v>0</v>
      </c>
      <c r="EJ160" s="19">
        <v>0</v>
      </c>
      <c r="EK160" s="19">
        <v>0</v>
      </c>
      <c r="EL160" s="19">
        <v>0</v>
      </c>
      <c r="EM160" s="19">
        <v>0</v>
      </c>
      <c r="EN160" s="19">
        <v>0</v>
      </c>
      <c r="EO160" s="19">
        <v>0</v>
      </c>
      <c r="EP160" s="19">
        <v>0</v>
      </c>
      <c r="EQ160" s="19">
        <v>0</v>
      </c>
      <c r="ER160" s="19">
        <v>0</v>
      </c>
      <c r="ES160" s="119">
        <v>0</v>
      </c>
      <c r="ET160" s="119">
        <v>0</v>
      </c>
    </row>
    <row r="161" spans="1:150" ht="16.5" customHeight="1" x14ac:dyDescent="0.35">
      <c r="A161" s="4">
        <v>204</v>
      </c>
      <c r="B161" s="4" t="str">
        <f>LOOKUP(A161,Lookup!$A$1:$A$34,Lookup!$B$1:$B$34)</f>
        <v>LAMB</v>
      </c>
      <c r="C161" s="5">
        <v>45495</v>
      </c>
      <c r="D161" s="6" t="s">
        <v>160</v>
      </c>
      <c r="E161" s="18">
        <v>529.36460502143302</v>
      </c>
      <c r="F161" s="18">
        <v>5.4969999999999999</v>
      </c>
      <c r="G161" s="18">
        <v>37584.886956521703</v>
      </c>
      <c r="H161" s="18">
        <v>390.29399999999998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867.44347826086903</v>
      </c>
      <c r="AR161" s="19">
        <v>6.3949999999999996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0</v>
      </c>
      <c r="CT161" s="19">
        <v>0</v>
      </c>
      <c r="CU161" s="19">
        <v>0</v>
      </c>
      <c r="CV161" s="19">
        <v>0</v>
      </c>
      <c r="CW161" s="19">
        <v>0</v>
      </c>
      <c r="CX161" s="19">
        <v>0</v>
      </c>
      <c r="CY161" s="19">
        <v>36717.443478260902</v>
      </c>
      <c r="CZ161" s="19">
        <v>383.899</v>
      </c>
      <c r="DA161" s="19">
        <v>0</v>
      </c>
      <c r="DB161" s="19">
        <v>0</v>
      </c>
      <c r="DC161" s="19">
        <v>0</v>
      </c>
      <c r="DD161" s="19">
        <v>0</v>
      </c>
      <c r="DE161" s="19">
        <v>0</v>
      </c>
      <c r="DF161" s="19">
        <v>0</v>
      </c>
      <c r="DG161" s="19">
        <v>0</v>
      </c>
      <c r="DH161" s="19">
        <v>0</v>
      </c>
      <c r="DI161" s="19">
        <v>0</v>
      </c>
      <c r="DJ161" s="19">
        <v>0</v>
      </c>
      <c r="DK161" s="19">
        <v>0</v>
      </c>
      <c r="DL161" s="19">
        <v>0</v>
      </c>
      <c r="DM161" s="19">
        <v>0</v>
      </c>
      <c r="DN161" s="19">
        <v>0</v>
      </c>
      <c r="DO161" s="19">
        <v>0</v>
      </c>
      <c r="DP161" s="19">
        <v>0</v>
      </c>
      <c r="DQ161" s="19">
        <v>0</v>
      </c>
      <c r="DR161" s="19">
        <v>0</v>
      </c>
      <c r="DS161" s="19">
        <v>0</v>
      </c>
      <c r="DT161" s="19">
        <v>0</v>
      </c>
      <c r="DU161" s="19">
        <v>0</v>
      </c>
      <c r="DV161" s="19">
        <v>0</v>
      </c>
      <c r="DW161" s="19">
        <v>0</v>
      </c>
      <c r="DX161" s="19">
        <v>0</v>
      </c>
      <c r="DY161" s="19">
        <v>0</v>
      </c>
      <c r="DZ161" s="19">
        <v>0</v>
      </c>
      <c r="EA161" s="19">
        <v>0</v>
      </c>
      <c r="EB161" s="19">
        <v>0</v>
      </c>
      <c r="EC161" s="19">
        <v>0</v>
      </c>
      <c r="ED161" s="19">
        <v>0</v>
      </c>
      <c r="EE161" s="19">
        <v>0</v>
      </c>
      <c r="EF161" s="19">
        <v>0</v>
      </c>
      <c r="EG161" s="19">
        <v>0</v>
      </c>
      <c r="EH161" s="19">
        <v>0</v>
      </c>
      <c r="EI161" s="19">
        <v>0</v>
      </c>
      <c r="EJ161" s="19">
        <v>0</v>
      </c>
      <c r="EK161" s="19">
        <v>0</v>
      </c>
      <c r="EL161" s="19">
        <v>0</v>
      </c>
      <c r="EM161" s="19">
        <v>0</v>
      </c>
      <c r="EN161" s="19">
        <v>0</v>
      </c>
      <c r="EO161" s="19">
        <v>0</v>
      </c>
      <c r="EP161" s="19">
        <v>0</v>
      </c>
      <c r="EQ161" s="19">
        <v>0</v>
      </c>
      <c r="ER161" s="19">
        <v>0</v>
      </c>
      <c r="ES161" s="119">
        <v>0</v>
      </c>
      <c r="ET161" s="119">
        <v>0</v>
      </c>
    </row>
    <row r="162" spans="1:150" ht="16.5" customHeight="1" x14ac:dyDescent="0.35">
      <c r="A162" s="4">
        <v>204</v>
      </c>
      <c r="B162" s="4" t="str">
        <f>LOOKUP(A162,Lookup!$A$1:$A$34,Lookup!$B$1:$B$34)</f>
        <v>LAMB</v>
      </c>
      <c r="C162" s="5">
        <v>45848</v>
      </c>
      <c r="D162" s="6" t="s">
        <v>161</v>
      </c>
      <c r="E162" s="18">
        <v>414.82584200857298</v>
      </c>
      <c r="F162" s="18">
        <v>2.7909999999999999</v>
      </c>
      <c r="G162" s="18">
        <v>29452.6347826087</v>
      </c>
      <c r="H162" s="18">
        <v>198.13900000000001</v>
      </c>
      <c r="I162" s="19">
        <v>636.878260869565</v>
      </c>
      <c r="J162" s="19">
        <v>4.5780000000000003</v>
      </c>
      <c r="K162" s="19">
        <v>393.982608695652</v>
      </c>
      <c r="L162" s="19">
        <v>2.8319999999999999</v>
      </c>
      <c r="M162" s="19">
        <v>239.55652173913001</v>
      </c>
      <c r="N162" s="19">
        <v>1.722</v>
      </c>
      <c r="O162" s="19">
        <v>80.130434782608702</v>
      </c>
      <c r="P162" s="19">
        <v>0.57599999999999996</v>
      </c>
      <c r="Q162" s="19">
        <v>0</v>
      </c>
      <c r="R162" s="19">
        <v>0</v>
      </c>
      <c r="S162" s="19">
        <v>0</v>
      </c>
      <c r="T162" s="19">
        <v>0</v>
      </c>
      <c r="U162" s="19">
        <v>471.60869565217399</v>
      </c>
      <c r="V162" s="19">
        <v>3.39</v>
      </c>
      <c r="W162" s="19">
        <v>0</v>
      </c>
      <c r="X162" s="19">
        <v>0</v>
      </c>
      <c r="Y162" s="19">
        <v>119.434782608696</v>
      </c>
      <c r="Z162" s="19">
        <v>0.80800000000000005</v>
      </c>
      <c r="AA162" s="19">
        <v>265.76521739130402</v>
      </c>
      <c r="AB162" s="19">
        <v>1.798</v>
      </c>
      <c r="AC162" s="19">
        <v>235.91304347826099</v>
      </c>
      <c r="AD162" s="19">
        <v>1.5960000000000001</v>
      </c>
      <c r="AE162" s="19">
        <v>0</v>
      </c>
      <c r="AF162" s="19">
        <v>0</v>
      </c>
      <c r="AG162" s="19">
        <v>439.00869565217403</v>
      </c>
      <c r="AH162" s="19">
        <v>2.97</v>
      </c>
      <c r="AI162" s="19">
        <v>193.93043478260901</v>
      </c>
      <c r="AJ162" s="19">
        <v>1.3120000000000001</v>
      </c>
      <c r="AK162" s="19">
        <v>108.495652173913</v>
      </c>
      <c r="AL162" s="19">
        <v>0.73399999999999999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176.95652173913001</v>
      </c>
      <c r="AT162" s="19">
        <v>1.272</v>
      </c>
      <c r="AU162" s="19">
        <v>0</v>
      </c>
      <c r="AV162" s="19">
        <v>0</v>
      </c>
      <c r="AW162" s="19">
        <v>0</v>
      </c>
      <c r="AX162" s="19">
        <v>0</v>
      </c>
      <c r="AY162" s="19">
        <v>309.95652173912998</v>
      </c>
      <c r="AZ162" s="19">
        <v>2.2280000000000002</v>
      </c>
      <c r="BA162" s="19">
        <v>195.04347826086999</v>
      </c>
      <c r="BB162" s="19">
        <v>1.4019999999999999</v>
      </c>
      <c r="BC162" s="19">
        <v>0</v>
      </c>
      <c r="BD162" s="19">
        <v>0</v>
      </c>
      <c r="BE162" s="19">
        <v>0</v>
      </c>
      <c r="BF162" s="19">
        <v>0</v>
      </c>
      <c r="BG162" s="19">
        <v>115.88695652173899</v>
      </c>
      <c r="BH162" s="19">
        <v>0.78400000000000003</v>
      </c>
      <c r="BI162" s="19">
        <v>347.06956521739102</v>
      </c>
      <c r="BJ162" s="19">
        <v>2.3479999999999999</v>
      </c>
      <c r="BK162" s="19">
        <v>0</v>
      </c>
      <c r="BL162" s="19">
        <v>0</v>
      </c>
      <c r="BM162" s="19">
        <v>0</v>
      </c>
      <c r="BN162" s="19">
        <v>0</v>
      </c>
      <c r="BO162" s="19">
        <v>621.40869565217395</v>
      </c>
      <c r="BP162" s="19">
        <v>4.2039999999999997</v>
      </c>
      <c r="BQ162" s="19">
        <v>609.878260869565</v>
      </c>
      <c r="BR162" s="19">
        <v>4.1260000000000003</v>
      </c>
      <c r="BS162" s="19">
        <v>703.58260869565197</v>
      </c>
      <c r="BT162" s="19">
        <v>4.76</v>
      </c>
      <c r="BU162" s="19">
        <v>403.23478260869598</v>
      </c>
      <c r="BV162" s="19">
        <v>2.7280000000000002</v>
      </c>
      <c r="BW162" s="19">
        <v>461.76521739130402</v>
      </c>
      <c r="BX162" s="19">
        <v>3.1240000000000001</v>
      </c>
      <c r="BY162" s="19">
        <v>545.43478260869597</v>
      </c>
      <c r="BZ162" s="19">
        <v>3.69</v>
      </c>
      <c r="CA162" s="19">
        <v>574.97391304347798</v>
      </c>
      <c r="CB162" s="19">
        <v>3.9239999999999999</v>
      </c>
      <c r="CC162" s="19">
        <v>607.22608695652195</v>
      </c>
      <c r="CD162" s="19">
        <v>4.1079999999999997</v>
      </c>
      <c r="CE162" s="19">
        <v>308.33913043478299</v>
      </c>
      <c r="CF162" s="19">
        <v>2.0859999999999999</v>
      </c>
      <c r="CG162" s="19">
        <v>588.00869565217397</v>
      </c>
      <c r="CH162" s="19">
        <v>3.9780000000000002</v>
      </c>
      <c r="CI162" s="19">
        <v>564.06086956521699</v>
      </c>
      <c r="CJ162" s="19">
        <v>3.8159999999999998</v>
      </c>
      <c r="CK162" s="19">
        <v>630.46956521739105</v>
      </c>
      <c r="CL162" s="19">
        <v>4.298</v>
      </c>
      <c r="CM162" s="19">
        <v>1800.70434782609</v>
      </c>
      <c r="CN162" s="19">
        <v>12.182</v>
      </c>
      <c r="CO162" s="19">
        <v>648.90434782608702</v>
      </c>
      <c r="CP162" s="19">
        <v>4.3899999999999997</v>
      </c>
      <c r="CQ162" s="19">
        <v>389.93913043478301</v>
      </c>
      <c r="CR162" s="19">
        <v>2.6379999999999999</v>
      </c>
      <c r="CS162" s="19">
        <v>412.10434782608701</v>
      </c>
      <c r="CT162" s="19">
        <v>2.7879999999999998</v>
      </c>
      <c r="CU162" s="19">
        <v>520.00869565217397</v>
      </c>
      <c r="CV162" s="19">
        <v>3.5179999999999998</v>
      </c>
      <c r="CW162" s="19">
        <v>671.66086956521701</v>
      </c>
      <c r="CX162" s="19">
        <v>4.5439999999999996</v>
      </c>
      <c r="CY162" s="19">
        <v>536.52173913043498</v>
      </c>
      <c r="CZ162" s="19">
        <v>3.6640000000000001</v>
      </c>
      <c r="DA162" s="19">
        <v>1057.46956521739</v>
      </c>
      <c r="DB162" s="19">
        <v>7.1539999999999999</v>
      </c>
      <c r="DC162" s="19">
        <v>541.06086956521699</v>
      </c>
      <c r="DD162" s="19">
        <v>3.5819999999999999</v>
      </c>
      <c r="DE162" s="19">
        <v>378.52173913043498</v>
      </c>
      <c r="DF162" s="19">
        <v>2.4729999999999999</v>
      </c>
      <c r="DG162" s="19">
        <v>1306.9130434782601</v>
      </c>
      <c r="DH162" s="19">
        <v>8.5399999999999991</v>
      </c>
      <c r="DI162" s="19">
        <v>364.82608695652198</v>
      </c>
      <c r="DJ162" s="19">
        <v>2.3839999999999999</v>
      </c>
      <c r="DK162" s="19">
        <v>789.95652173913004</v>
      </c>
      <c r="DL162" s="19">
        <v>5.1619999999999999</v>
      </c>
      <c r="DM162" s="19">
        <v>493.07826086956499</v>
      </c>
      <c r="DN162" s="19">
        <v>3.222</v>
      </c>
      <c r="DO162" s="19">
        <v>674.58260869565197</v>
      </c>
      <c r="DP162" s="19">
        <v>4.4080000000000004</v>
      </c>
      <c r="DQ162" s="19">
        <v>299.33913043478299</v>
      </c>
      <c r="DR162" s="19">
        <v>1.956</v>
      </c>
      <c r="DS162" s="19">
        <v>605.4</v>
      </c>
      <c r="DT162" s="19">
        <v>3.956</v>
      </c>
      <c r="DU162" s="19">
        <v>484.20869565217401</v>
      </c>
      <c r="DV162" s="19">
        <v>3.1640000000000001</v>
      </c>
      <c r="DW162" s="19">
        <v>330.860869565217</v>
      </c>
      <c r="DX162" s="19">
        <v>2.1619999999999999</v>
      </c>
      <c r="DY162" s="19">
        <v>890.36521739130399</v>
      </c>
      <c r="DZ162" s="19">
        <v>5.8179999999999996</v>
      </c>
      <c r="EA162" s="19">
        <v>806.49565217391296</v>
      </c>
      <c r="EB162" s="19">
        <v>5.27</v>
      </c>
      <c r="EC162" s="19">
        <v>0</v>
      </c>
      <c r="ED162" s="19">
        <v>0</v>
      </c>
      <c r="EE162" s="19">
        <v>543.58260869565197</v>
      </c>
      <c r="EF162" s="19">
        <v>3.552</v>
      </c>
      <c r="EG162" s="19">
        <v>309.73913043478302</v>
      </c>
      <c r="EH162" s="19">
        <v>2.024</v>
      </c>
      <c r="EI162" s="19">
        <v>835.26086956521704</v>
      </c>
      <c r="EJ162" s="19">
        <v>5.4580000000000002</v>
      </c>
      <c r="EK162" s="19">
        <v>487.56521739130397</v>
      </c>
      <c r="EL162" s="19">
        <v>3.1859999999999999</v>
      </c>
      <c r="EM162" s="19">
        <v>737.61739130434796</v>
      </c>
      <c r="EN162" s="19">
        <v>4.82</v>
      </c>
      <c r="EO162" s="19">
        <v>797.58260869565197</v>
      </c>
      <c r="EP162" s="19">
        <v>5.3760000000000003</v>
      </c>
      <c r="EQ162" s="19">
        <v>431.58260869565203</v>
      </c>
      <c r="ER162" s="19">
        <v>3.008</v>
      </c>
      <c r="ES162" s="119">
        <v>632.82608695652198</v>
      </c>
      <c r="ET162" s="119">
        <v>4.4580000000000002</v>
      </c>
    </row>
    <row r="163" spans="1:150" ht="16.5" customHeight="1" x14ac:dyDescent="0.35">
      <c r="A163" s="4">
        <v>204</v>
      </c>
      <c r="B163" s="4" t="str">
        <f>LOOKUP(A163,Lookup!$A$1:$A$34,Lookup!$B$1:$B$34)</f>
        <v>LAMB</v>
      </c>
      <c r="C163" s="5">
        <v>50339</v>
      </c>
      <c r="D163" s="6" t="s">
        <v>162</v>
      </c>
      <c r="E163" s="18">
        <v>89.359461114513195</v>
      </c>
      <c r="F163" s="18">
        <v>1.351</v>
      </c>
      <c r="G163" s="18">
        <v>6344.5217391304404</v>
      </c>
      <c r="H163" s="18">
        <v>95.896000000000001</v>
      </c>
      <c r="I163" s="19">
        <v>0</v>
      </c>
      <c r="J163" s="19">
        <v>0</v>
      </c>
      <c r="K163" s="19">
        <v>131.07826086956501</v>
      </c>
      <c r="L163" s="19">
        <v>2.1539999999999999</v>
      </c>
      <c r="M163" s="19">
        <v>0</v>
      </c>
      <c r="N163" s="19">
        <v>0</v>
      </c>
      <c r="O163" s="19">
        <v>31.4</v>
      </c>
      <c r="P163" s="19">
        <v>0.51600000000000001</v>
      </c>
      <c r="Q163" s="19">
        <v>65.113043478260906</v>
      </c>
      <c r="R163" s="19">
        <v>1.07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131.80869565217401</v>
      </c>
      <c r="Z163" s="19">
        <v>2.1659999999999999</v>
      </c>
      <c r="AA163" s="19">
        <v>32.252173913043499</v>
      </c>
      <c r="AB163" s="19">
        <v>0.53</v>
      </c>
      <c r="AC163" s="19">
        <v>255.76521739130399</v>
      </c>
      <c r="AD163" s="19">
        <v>4.2300000000000004</v>
      </c>
      <c r="AE163" s="19">
        <v>161.139130434783</v>
      </c>
      <c r="AF163" s="19">
        <v>2.6480000000000001</v>
      </c>
      <c r="AG163" s="19">
        <v>218.713043478261</v>
      </c>
      <c r="AH163" s="19">
        <v>3.5939999999999999</v>
      </c>
      <c r="AI163" s="19">
        <v>221.869565217391</v>
      </c>
      <c r="AJ163" s="19">
        <v>3.6459999999999999</v>
      </c>
      <c r="AK163" s="19">
        <v>31.886956521739101</v>
      </c>
      <c r="AL163" s="19">
        <v>0.52400000000000002</v>
      </c>
      <c r="AM163" s="19">
        <v>161.26086956521701</v>
      </c>
      <c r="AN163" s="19">
        <v>2.65</v>
      </c>
      <c r="AO163" s="19">
        <v>66.695652173913004</v>
      </c>
      <c r="AP163" s="19">
        <v>1.0960000000000001</v>
      </c>
      <c r="AQ163" s="19">
        <v>62.8</v>
      </c>
      <c r="AR163" s="19">
        <v>1.032</v>
      </c>
      <c r="AS163" s="19">
        <v>160.65217391304299</v>
      </c>
      <c r="AT163" s="19">
        <v>2.64</v>
      </c>
      <c r="AU163" s="19">
        <v>66.817391304347794</v>
      </c>
      <c r="AV163" s="19">
        <v>1.0980000000000001</v>
      </c>
      <c r="AW163" s="19">
        <v>0</v>
      </c>
      <c r="AX163" s="19">
        <v>0</v>
      </c>
      <c r="AY163" s="19">
        <v>0</v>
      </c>
      <c r="AZ163" s="19">
        <v>0</v>
      </c>
      <c r="BA163" s="19">
        <v>225.278260869565</v>
      </c>
      <c r="BB163" s="19">
        <v>3.702</v>
      </c>
      <c r="BC163" s="19">
        <v>128.4</v>
      </c>
      <c r="BD163" s="19">
        <v>2.11</v>
      </c>
      <c r="BE163" s="19">
        <v>0</v>
      </c>
      <c r="BF163" s="19">
        <v>0</v>
      </c>
      <c r="BG163" s="19">
        <v>69.791304347826099</v>
      </c>
      <c r="BH163" s="19">
        <v>1.0680000000000001</v>
      </c>
      <c r="BI163" s="19">
        <v>74.695652173913004</v>
      </c>
      <c r="BJ163" s="19">
        <v>1.0740000000000001</v>
      </c>
      <c r="BK163" s="19">
        <v>112.80869565217399</v>
      </c>
      <c r="BL163" s="19">
        <v>1.6220000000000001</v>
      </c>
      <c r="BM163" s="19">
        <v>190.565217391304</v>
      </c>
      <c r="BN163" s="19">
        <v>2.74</v>
      </c>
      <c r="BO163" s="19">
        <v>76.7826086956522</v>
      </c>
      <c r="BP163" s="19">
        <v>1.1040000000000001</v>
      </c>
      <c r="BQ163" s="19">
        <v>294.33043478260902</v>
      </c>
      <c r="BR163" s="19">
        <v>4.2320000000000002</v>
      </c>
      <c r="BS163" s="19">
        <v>181.80869565217401</v>
      </c>
      <c r="BT163" s="19">
        <v>2.6680000000000001</v>
      </c>
      <c r="BU163" s="19">
        <v>36.721739130434798</v>
      </c>
      <c r="BV163" s="19">
        <v>0.52800000000000002</v>
      </c>
      <c r="BW163" s="19">
        <v>35.886956521739101</v>
      </c>
      <c r="BX163" s="19">
        <v>0.51600000000000001</v>
      </c>
      <c r="BY163" s="19">
        <v>304.34782608695701</v>
      </c>
      <c r="BZ163" s="19">
        <v>4.3760000000000003</v>
      </c>
      <c r="CA163" s="19">
        <v>38.113043478260899</v>
      </c>
      <c r="CB163" s="19">
        <v>0.54800000000000004</v>
      </c>
      <c r="CC163" s="19">
        <v>36.721739130434798</v>
      </c>
      <c r="CD163" s="19">
        <v>0.52800000000000002</v>
      </c>
      <c r="CE163" s="19">
        <v>117.26086956521701</v>
      </c>
      <c r="CF163" s="19">
        <v>1.6859999999999999</v>
      </c>
      <c r="CG163" s="19">
        <v>0</v>
      </c>
      <c r="CH163" s="19">
        <v>0</v>
      </c>
      <c r="CI163" s="19">
        <v>37.556521739130403</v>
      </c>
      <c r="CJ163" s="19">
        <v>0.54</v>
      </c>
      <c r="CK163" s="19">
        <v>220.88695652173899</v>
      </c>
      <c r="CL163" s="19">
        <v>3.1760000000000002</v>
      </c>
      <c r="CM163" s="19">
        <v>38.530434782608701</v>
      </c>
      <c r="CN163" s="19">
        <v>0.55400000000000005</v>
      </c>
      <c r="CO163" s="19">
        <v>109.74782608695701</v>
      </c>
      <c r="CP163" s="19">
        <v>1.5780000000000001</v>
      </c>
      <c r="CQ163" s="19">
        <v>36.860869565217399</v>
      </c>
      <c r="CR163" s="19">
        <v>0.53</v>
      </c>
      <c r="CS163" s="19">
        <v>0</v>
      </c>
      <c r="CT163" s="19">
        <v>0</v>
      </c>
      <c r="CU163" s="19">
        <v>109.46956521739099</v>
      </c>
      <c r="CV163" s="19">
        <v>1.5740000000000001</v>
      </c>
      <c r="CW163" s="19">
        <v>35.747826086956501</v>
      </c>
      <c r="CX163" s="19">
        <v>0.51400000000000001</v>
      </c>
      <c r="CY163" s="19">
        <v>109.05217391304301</v>
      </c>
      <c r="CZ163" s="19">
        <v>1.5680000000000001</v>
      </c>
      <c r="DA163" s="19">
        <v>36.165217391304402</v>
      </c>
      <c r="DB163" s="19">
        <v>0.52</v>
      </c>
      <c r="DC163" s="19">
        <v>0</v>
      </c>
      <c r="DD163" s="19">
        <v>0</v>
      </c>
      <c r="DE163" s="19">
        <v>36.165217391304402</v>
      </c>
      <c r="DF163" s="19">
        <v>0.52</v>
      </c>
      <c r="DG163" s="19">
        <v>0</v>
      </c>
      <c r="DH163" s="19">
        <v>0</v>
      </c>
      <c r="DI163" s="19">
        <v>0</v>
      </c>
      <c r="DJ163" s="19">
        <v>0</v>
      </c>
      <c r="DK163" s="19">
        <v>0</v>
      </c>
      <c r="DL163" s="19">
        <v>0</v>
      </c>
      <c r="DM163" s="19">
        <v>35.886956521739101</v>
      </c>
      <c r="DN163" s="19">
        <v>0.51600000000000001</v>
      </c>
      <c r="DO163" s="19">
        <v>109.19130434782601</v>
      </c>
      <c r="DP163" s="19">
        <v>1.57</v>
      </c>
      <c r="DQ163" s="19">
        <v>184.165217391304</v>
      </c>
      <c r="DR163" s="19">
        <v>2.6480000000000001</v>
      </c>
      <c r="DS163" s="19">
        <v>74.556521739130403</v>
      </c>
      <c r="DT163" s="19">
        <v>1.0720000000000001</v>
      </c>
      <c r="DU163" s="19">
        <v>147.721739130435</v>
      </c>
      <c r="DV163" s="19">
        <v>2.1240000000000001</v>
      </c>
      <c r="DW163" s="19">
        <v>37</v>
      </c>
      <c r="DX163" s="19">
        <v>0.53200000000000003</v>
      </c>
      <c r="DY163" s="19">
        <v>179.32173913043499</v>
      </c>
      <c r="DZ163" s="19">
        <v>2.6040000000000001</v>
      </c>
      <c r="EA163" s="19">
        <v>182.77391304347799</v>
      </c>
      <c r="EB163" s="19">
        <v>2.6280000000000001</v>
      </c>
      <c r="EC163" s="19">
        <v>180.408695652174</v>
      </c>
      <c r="ED163" s="19">
        <v>2.5939999999999999</v>
      </c>
      <c r="EE163" s="19">
        <v>0</v>
      </c>
      <c r="EF163" s="19">
        <v>0</v>
      </c>
      <c r="EG163" s="19">
        <v>0</v>
      </c>
      <c r="EH163" s="19">
        <v>0</v>
      </c>
      <c r="EI163" s="19">
        <v>33.695652173912997</v>
      </c>
      <c r="EJ163" s="19">
        <v>0.51</v>
      </c>
      <c r="EK163" s="19">
        <v>147.44347826086999</v>
      </c>
      <c r="EL163" s="19">
        <v>2.12</v>
      </c>
      <c r="EM163" s="19">
        <v>70.234782608695696</v>
      </c>
      <c r="EN163" s="19">
        <v>1.036</v>
      </c>
      <c r="EO163" s="19">
        <v>178.878260869565</v>
      </c>
      <c r="EP163" s="19">
        <v>2.5720000000000001</v>
      </c>
      <c r="EQ163" s="19">
        <v>110.582608695652</v>
      </c>
      <c r="ER163" s="19">
        <v>1.59</v>
      </c>
      <c r="ES163" s="119">
        <v>179.713043478261</v>
      </c>
      <c r="ET163" s="119">
        <v>2.61</v>
      </c>
    </row>
    <row r="164" spans="1:150" ht="16.5" customHeight="1" x14ac:dyDescent="0.35">
      <c r="A164" s="4">
        <v>204</v>
      </c>
      <c r="B164" s="4" t="str">
        <f>LOOKUP(A164,Lookup!$A$1:$A$34,Lookup!$B$1:$B$34)</f>
        <v>LAMB</v>
      </c>
      <c r="C164" s="5">
        <v>52683</v>
      </c>
      <c r="D164" s="6" t="s">
        <v>163</v>
      </c>
      <c r="E164" s="18">
        <v>63.656338028169003</v>
      </c>
      <c r="F164" s="18">
        <v>0.66</v>
      </c>
      <c r="G164" s="18">
        <v>4519.6000000000004</v>
      </c>
      <c r="H164" s="18">
        <v>46.834000000000003</v>
      </c>
      <c r="I164" s="19">
        <v>103.286956521739</v>
      </c>
      <c r="J164" s="19">
        <v>1.1879999999999999</v>
      </c>
      <c r="K164" s="19">
        <v>92.678260869565193</v>
      </c>
      <c r="L164" s="19">
        <v>1.0660000000000001</v>
      </c>
      <c r="M164" s="19">
        <v>0</v>
      </c>
      <c r="N164" s="19">
        <v>0</v>
      </c>
      <c r="O164" s="19">
        <v>311.44347826086999</v>
      </c>
      <c r="P164" s="19">
        <v>3.5819999999999999</v>
      </c>
      <c r="Q164" s="19">
        <v>356.982608695652</v>
      </c>
      <c r="R164" s="19">
        <v>4.1059999999999999</v>
      </c>
      <c r="S164" s="19">
        <v>160.147826086957</v>
      </c>
      <c r="T164" s="19">
        <v>1.8420000000000001</v>
      </c>
      <c r="U164" s="19">
        <v>314.00869565217403</v>
      </c>
      <c r="V164" s="19">
        <v>3.952</v>
      </c>
      <c r="W164" s="19">
        <v>165.582608695652</v>
      </c>
      <c r="X164" s="19">
        <v>1.905</v>
      </c>
      <c r="Y164" s="19">
        <v>248.33913043478299</v>
      </c>
      <c r="Z164" s="19">
        <v>2.8559999999999999</v>
      </c>
      <c r="AA164" s="19">
        <v>170.94782608695701</v>
      </c>
      <c r="AB164" s="19">
        <v>2.0790000000000002</v>
      </c>
      <c r="AC164" s="19">
        <v>105.8</v>
      </c>
      <c r="AD164" s="19">
        <v>1.3520000000000001</v>
      </c>
      <c r="AE164" s="19">
        <v>209.55652173913001</v>
      </c>
      <c r="AF164" s="19">
        <v>2.6779999999999999</v>
      </c>
      <c r="AG164" s="19">
        <v>70.278260869565202</v>
      </c>
      <c r="AH164" s="19">
        <v>0.89800000000000002</v>
      </c>
      <c r="AI164" s="19">
        <v>213.81739130434801</v>
      </c>
      <c r="AJ164" s="19">
        <v>2.7320000000000002</v>
      </c>
      <c r="AK164" s="19">
        <v>200.539130434783</v>
      </c>
      <c r="AL164" s="19">
        <v>1.774</v>
      </c>
      <c r="AM164" s="19">
        <v>109.64347826087</v>
      </c>
      <c r="AN164" s="19">
        <v>0.97</v>
      </c>
      <c r="AO164" s="19">
        <v>213.417391304348</v>
      </c>
      <c r="AP164" s="19">
        <v>1.7529999999999999</v>
      </c>
      <c r="AQ164" s="19">
        <v>96.539130434782606</v>
      </c>
      <c r="AR164" s="19">
        <v>0.79300000000000004</v>
      </c>
      <c r="AS164" s="19">
        <v>49.060869565217402</v>
      </c>
      <c r="AT164" s="19">
        <v>0.40300000000000002</v>
      </c>
      <c r="AU164" s="19">
        <v>102.64347826087</v>
      </c>
      <c r="AV164" s="19">
        <v>0.84299999999999997</v>
      </c>
      <c r="AW164" s="19">
        <v>203.06086956521699</v>
      </c>
      <c r="AX164" s="19">
        <v>1.6679999999999999</v>
      </c>
      <c r="AY164" s="19">
        <v>169.21739130434801</v>
      </c>
      <c r="AZ164" s="19">
        <v>1.39</v>
      </c>
      <c r="BA164" s="19">
        <v>50.417391304347802</v>
      </c>
      <c r="BB164" s="19">
        <v>0.41399999999999998</v>
      </c>
      <c r="BC164" s="19">
        <v>61.591304347826103</v>
      </c>
      <c r="BD164" s="19">
        <v>0.50600000000000001</v>
      </c>
      <c r="BE164" s="19">
        <v>0</v>
      </c>
      <c r="BF164" s="19">
        <v>0</v>
      </c>
      <c r="BG164" s="19">
        <v>52.104347826087</v>
      </c>
      <c r="BH164" s="19">
        <v>0.42799999999999999</v>
      </c>
      <c r="BI164" s="19">
        <v>57.704347826087002</v>
      </c>
      <c r="BJ164" s="19">
        <v>0.47399999999999998</v>
      </c>
      <c r="BK164" s="19">
        <v>176.51304347826101</v>
      </c>
      <c r="BL164" s="19">
        <v>1.45</v>
      </c>
      <c r="BM164" s="19">
        <v>111.26086956521701</v>
      </c>
      <c r="BN164" s="19">
        <v>0.91400000000000003</v>
      </c>
      <c r="BO164" s="19">
        <v>62.078260869565199</v>
      </c>
      <c r="BP164" s="19">
        <v>0.51</v>
      </c>
      <c r="BQ164" s="19">
        <v>280.93913043478301</v>
      </c>
      <c r="BR164" s="19">
        <v>2.3079999999999998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0</v>
      </c>
      <c r="CT164" s="19">
        <v>0</v>
      </c>
      <c r="CU164" s="19">
        <v>0</v>
      </c>
      <c r="CV164" s="19">
        <v>0</v>
      </c>
      <c r="CW164" s="19">
        <v>0</v>
      </c>
      <c r="CX164" s="19">
        <v>0</v>
      </c>
      <c r="CY164" s="19">
        <v>0</v>
      </c>
      <c r="CZ164" s="19">
        <v>0</v>
      </c>
      <c r="DA164" s="19">
        <v>0</v>
      </c>
      <c r="DB164" s="19">
        <v>0</v>
      </c>
      <c r="DC164" s="19">
        <v>0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19">
        <v>0</v>
      </c>
      <c r="DK164" s="19">
        <v>0</v>
      </c>
      <c r="DL164" s="19">
        <v>0</v>
      </c>
      <c r="DM164" s="19">
        <v>0</v>
      </c>
      <c r="DN164" s="19">
        <v>0</v>
      </c>
      <c r="DO164" s="19">
        <v>0</v>
      </c>
      <c r="DP164" s="19">
        <v>0</v>
      </c>
      <c r="DQ164" s="19">
        <v>0</v>
      </c>
      <c r="DR164" s="19">
        <v>0</v>
      </c>
      <c r="DS164" s="19">
        <v>0</v>
      </c>
      <c r="DT164" s="19">
        <v>0</v>
      </c>
      <c r="DU164" s="19">
        <v>0</v>
      </c>
      <c r="DV164" s="19">
        <v>0</v>
      </c>
      <c r="DW164" s="19">
        <v>0</v>
      </c>
      <c r="DX164" s="19">
        <v>0</v>
      </c>
      <c r="DY164" s="19">
        <v>0</v>
      </c>
      <c r="DZ164" s="19">
        <v>0</v>
      </c>
      <c r="EA164" s="19">
        <v>0</v>
      </c>
      <c r="EB164" s="19">
        <v>0</v>
      </c>
      <c r="EC164" s="19">
        <v>0</v>
      </c>
      <c r="ED164" s="19">
        <v>0</v>
      </c>
      <c r="EE164" s="19">
        <v>0</v>
      </c>
      <c r="EF164" s="19">
        <v>0</v>
      </c>
      <c r="EG164" s="19">
        <v>0</v>
      </c>
      <c r="EH164" s="19">
        <v>0</v>
      </c>
      <c r="EI164" s="19">
        <v>0</v>
      </c>
      <c r="EJ164" s="19">
        <v>0</v>
      </c>
      <c r="EK164" s="19">
        <v>0</v>
      </c>
      <c r="EL164" s="19">
        <v>0</v>
      </c>
      <c r="EM164" s="19">
        <v>0</v>
      </c>
      <c r="EN164" s="19">
        <v>0</v>
      </c>
      <c r="EO164" s="19">
        <v>0</v>
      </c>
      <c r="EP164" s="19">
        <v>0</v>
      </c>
      <c r="EQ164" s="19">
        <v>0</v>
      </c>
      <c r="ER164" s="19">
        <v>0</v>
      </c>
      <c r="ES164" s="119">
        <v>0</v>
      </c>
      <c r="ET164" s="119">
        <v>0</v>
      </c>
    </row>
    <row r="165" spans="1:150" ht="16.5" customHeight="1" x14ac:dyDescent="0.35">
      <c r="A165" s="4">
        <v>204</v>
      </c>
      <c r="B165" s="4" t="str">
        <f>LOOKUP(A165,Lookup!$A$1:$A$34,Lookup!$B$1:$B$34)</f>
        <v>LAMB</v>
      </c>
      <c r="C165" s="5">
        <v>55100</v>
      </c>
      <c r="D165" s="6" t="s">
        <v>164</v>
      </c>
      <c r="E165" s="18">
        <v>257.98567054500899</v>
      </c>
      <c r="F165" s="18">
        <v>2.089</v>
      </c>
      <c r="G165" s="18">
        <v>18316.9826086957</v>
      </c>
      <c r="H165" s="18">
        <v>148.31399999999999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</v>
      </c>
      <c r="CT165" s="19">
        <v>0</v>
      </c>
      <c r="CU165" s="19">
        <v>0</v>
      </c>
      <c r="CV165" s="19">
        <v>0</v>
      </c>
      <c r="CW165" s="19">
        <v>0</v>
      </c>
      <c r="CX165" s="19">
        <v>0</v>
      </c>
      <c r="CY165" s="19">
        <v>0</v>
      </c>
      <c r="CZ165" s="19">
        <v>0</v>
      </c>
      <c r="DA165" s="19">
        <v>0</v>
      </c>
      <c r="DB165" s="19">
        <v>0</v>
      </c>
      <c r="DC165" s="19">
        <v>0</v>
      </c>
      <c r="DD165" s="19">
        <v>0</v>
      </c>
      <c r="DE165" s="19">
        <v>0</v>
      </c>
      <c r="DF165" s="19">
        <v>0</v>
      </c>
      <c r="DG165" s="19">
        <v>0</v>
      </c>
      <c r="DH165" s="19">
        <v>0</v>
      </c>
      <c r="DI165" s="19">
        <v>0</v>
      </c>
      <c r="DJ165" s="19">
        <v>0</v>
      </c>
      <c r="DK165" s="19">
        <v>0</v>
      </c>
      <c r="DL165" s="19">
        <v>0</v>
      </c>
      <c r="DM165" s="19">
        <v>0</v>
      </c>
      <c r="DN165" s="19">
        <v>0</v>
      </c>
      <c r="DO165" s="19">
        <v>0</v>
      </c>
      <c r="DP165" s="19">
        <v>0</v>
      </c>
      <c r="DQ165" s="19">
        <v>0</v>
      </c>
      <c r="DR165" s="19">
        <v>0</v>
      </c>
      <c r="DS165" s="19">
        <v>3084.3217391304302</v>
      </c>
      <c r="DT165" s="19">
        <v>23.648</v>
      </c>
      <c r="DU165" s="19">
        <v>295.286956521739</v>
      </c>
      <c r="DV165" s="19">
        <v>2.2639999999999998</v>
      </c>
      <c r="DW165" s="19">
        <v>709.78260869565202</v>
      </c>
      <c r="DX165" s="19">
        <v>5.4420000000000002</v>
      </c>
      <c r="DY165" s="19">
        <v>3365.1391304347799</v>
      </c>
      <c r="DZ165" s="19">
        <v>27.553999999999998</v>
      </c>
      <c r="EA165" s="19">
        <v>0</v>
      </c>
      <c r="EB165" s="19">
        <v>0</v>
      </c>
      <c r="EC165" s="19">
        <v>1511.6521739130401</v>
      </c>
      <c r="ED165" s="19">
        <v>12.417999999999999</v>
      </c>
      <c r="EE165" s="19">
        <v>0</v>
      </c>
      <c r="EF165" s="19">
        <v>0</v>
      </c>
      <c r="EG165" s="19">
        <v>2191.1478260869599</v>
      </c>
      <c r="EH165" s="19">
        <v>18</v>
      </c>
      <c r="EI165" s="19">
        <v>7159.6521739130403</v>
      </c>
      <c r="EJ165" s="19">
        <v>58.988</v>
      </c>
      <c r="EK165" s="19">
        <v>0</v>
      </c>
      <c r="EL165" s="19">
        <v>0</v>
      </c>
      <c r="EM165" s="19">
        <v>0</v>
      </c>
      <c r="EN165" s="19">
        <v>0</v>
      </c>
      <c r="EO165" s="19">
        <v>0</v>
      </c>
      <c r="EP165" s="19">
        <v>0</v>
      </c>
      <c r="EQ165" s="19">
        <v>0</v>
      </c>
      <c r="ER165" s="19">
        <v>0</v>
      </c>
      <c r="ES165" s="119">
        <v>0</v>
      </c>
      <c r="ET165" s="119">
        <v>0</v>
      </c>
    </row>
    <row r="166" spans="1:150" ht="16.5" customHeight="1" x14ac:dyDescent="0.35">
      <c r="A166" s="4">
        <v>204</v>
      </c>
      <c r="B166" s="4" t="str">
        <f>LOOKUP(A166,Lookup!$A$1:$A$34,Lookup!$B$1:$B$34)</f>
        <v>LAMB</v>
      </c>
      <c r="C166" s="5">
        <v>59535</v>
      </c>
      <c r="D166" s="6" t="s">
        <v>165</v>
      </c>
      <c r="E166" s="18">
        <v>128.11855480710301</v>
      </c>
      <c r="F166" s="18">
        <v>0.871</v>
      </c>
      <c r="G166" s="18">
        <v>9096.4173913043505</v>
      </c>
      <c r="H166" s="18">
        <v>61.857999999999997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38.121739130434797</v>
      </c>
      <c r="P166" s="19">
        <v>0.27400000000000002</v>
      </c>
      <c r="Q166" s="19">
        <v>0</v>
      </c>
      <c r="R166" s="19">
        <v>0</v>
      </c>
      <c r="S166" s="19">
        <v>207.02608695652199</v>
      </c>
      <c r="T166" s="19">
        <v>1.488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212.582608695652</v>
      </c>
      <c r="AB166" s="19">
        <v>1.528</v>
      </c>
      <c r="AC166" s="19">
        <v>0</v>
      </c>
      <c r="AD166" s="19">
        <v>0</v>
      </c>
      <c r="AE166" s="19">
        <v>164.452173913043</v>
      </c>
      <c r="AF166" s="19">
        <v>1.1819999999999999</v>
      </c>
      <c r="AG166" s="19">
        <v>217.32173913043499</v>
      </c>
      <c r="AH166" s="19">
        <v>1.5620000000000001</v>
      </c>
      <c r="AI166" s="19">
        <v>69.252173913043507</v>
      </c>
      <c r="AJ166" s="19">
        <v>0.52400000000000002</v>
      </c>
      <c r="AK166" s="19">
        <v>50.086956521739097</v>
      </c>
      <c r="AL166" s="19">
        <v>0.36</v>
      </c>
      <c r="AM166" s="19">
        <v>0</v>
      </c>
      <c r="AN166" s="19">
        <v>0</v>
      </c>
      <c r="AO166" s="19">
        <v>58.156521739130397</v>
      </c>
      <c r="AP166" s="19">
        <v>0.41799999999999998</v>
      </c>
      <c r="AQ166" s="19">
        <v>51.2</v>
      </c>
      <c r="AR166" s="19">
        <v>0.36799999999999999</v>
      </c>
      <c r="AS166" s="19">
        <v>0</v>
      </c>
      <c r="AT166" s="19">
        <v>0</v>
      </c>
      <c r="AU166" s="19">
        <v>0</v>
      </c>
      <c r="AV166" s="19">
        <v>0</v>
      </c>
      <c r="AW166" s="19">
        <v>109.878260869565</v>
      </c>
      <c r="AX166" s="19">
        <v>0.70199999999999996</v>
      </c>
      <c r="AY166" s="19">
        <v>94.852173913043501</v>
      </c>
      <c r="AZ166" s="19">
        <v>0.60599999999999998</v>
      </c>
      <c r="BA166" s="19">
        <v>0</v>
      </c>
      <c r="BB166" s="19">
        <v>0</v>
      </c>
      <c r="BC166" s="19">
        <v>55.721739130434798</v>
      </c>
      <c r="BD166" s="19">
        <v>0.35599999999999998</v>
      </c>
      <c r="BE166" s="19">
        <v>54.817391304347801</v>
      </c>
      <c r="BF166" s="19">
        <v>0.35</v>
      </c>
      <c r="BG166" s="19">
        <v>0</v>
      </c>
      <c r="BH166" s="19">
        <v>0</v>
      </c>
      <c r="BI166" s="19">
        <v>0</v>
      </c>
      <c r="BJ166" s="19">
        <v>0</v>
      </c>
      <c r="BK166" s="19">
        <v>109.25217391304299</v>
      </c>
      <c r="BL166" s="19">
        <v>0.69799999999999995</v>
      </c>
      <c r="BM166" s="19">
        <v>166.852173913043</v>
      </c>
      <c r="BN166" s="19">
        <v>1.0660000000000001</v>
      </c>
      <c r="BO166" s="19">
        <v>0</v>
      </c>
      <c r="BP166" s="19">
        <v>0</v>
      </c>
      <c r="BQ166" s="19">
        <v>53.530434782608701</v>
      </c>
      <c r="BR166" s="19">
        <v>0.34200000000000003</v>
      </c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123.96521739130399</v>
      </c>
      <c r="CH166" s="19">
        <v>0.79200000000000004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234.15652173913</v>
      </c>
      <c r="CT166" s="19">
        <v>1.5840000000000001</v>
      </c>
      <c r="CU166" s="19">
        <v>76.278260869565202</v>
      </c>
      <c r="CV166" s="19">
        <v>0.51600000000000001</v>
      </c>
      <c r="CW166" s="19">
        <v>0</v>
      </c>
      <c r="CX166" s="19">
        <v>0</v>
      </c>
      <c r="CY166" s="19">
        <v>568.24347826087001</v>
      </c>
      <c r="CZ166" s="19">
        <v>3.8439999999999999</v>
      </c>
      <c r="DA166" s="19">
        <v>1279.53043478261</v>
      </c>
      <c r="DB166" s="19">
        <v>8.6760000000000002</v>
      </c>
      <c r="DC166" s="19">
        <v>347.07826086956499</v>
      </c>
      <c r="DD166" s="19">
        <v>2.3479999999999999</v>
      </c>
      <c r="DE166" s="19">
        <v>1116.51304347826</v>
      </c>
      <c r="DF166" s="19">
        <v>7.5960000000000001</v>
      </c>
      <c r="DG166" s="19">
        <v>237.09565217391301</v>
      </c>
      <c r="DH166" s="19">
        <v>1.6040000000000001</v>
      </c>
      <c r="DI166" s="19">
        <v>128.008695652174</v>
      </c>
      <c r="DJ166" s="19">
        <v>0.86599999999999999</v>
      </c>
      <c r="DK166" s="19">
        <v>126.53043478260901</v>
      </c>
      <c r="DL166" s="19">
        <v>0.85599999999999998</v>
      </c>
      <c r="DM166" s="19">
        <v>128.89565217391299</v>
      </c>
      <c r="DN166" s="19">
        <v>0.872</v>
      </c>
      <c r="DO166" s="19">
        <v>245.66956521739101</v>
      </c>
      <c r="DP166" s="19">
        <v>1.6619999999999999</v>
      </c>
      <c r="DQ166" s="19">
        <v>122.39130434782599</v>
      </c>
      <c r="DR166" s="19">
        <v>0.82799999999999996</v>
      </c>
      <c r="DS166" s="19">
        <v>839.73913043478296</v>
      </c>
      <c r="DT166" s="19">
        <v>5.734</v>
      </c>
      <c r="DU166" s="19">
        <v>635.92173913043496</v>
      </c>
      <c r="DV166" s="19">
        <v>4.3019999999999996</v>
      </c>
      <c r="DW166" s="19">
        <v>445.10434782608701</v>
      </c>
      <c r="DX166" s="19">
        <v>3.028</v>
      </c>
      <c r="DY166" s="19">
        <v>0</v>
      </c>
      <c r="DZ166" s="19">
        <v>0</v>
      </c>
      <c r="EA166" s="19">
        <v>98.452173913043495</v>
      </c>
      <c r="EB166" s="19">
        <v>0.66600000000000004</v>
      </c>
      <c r="EC166" s="19">
        <v>192.173913043478</v>
      </c>
      <c r="ED166" s="19">
        <v>1.3</v>
      </c>
      <c r="EE166" s="19">
        <v>0</v>
      </c>
      <c r="EF166" s="19">
        <v>0</v>
      </c>
      <c r="EG166" s="19">
        <v>0</v>
      </c>
      <c r="EH166" s="19">
        <v>0</v>
      </c>
      <c r="EI166" s="19">
        <v>99.9304347826087</v>
      </c>
      <c r="EJ166" s="19">
        <v>0.67600000000000005</v>
      </c>
      <c r="EK166" s="19">
        <v>54.4</v>
      </c>
      <c r="EL166" s="19">
        <v>0.36799999999999999</v>
      </c>
      <c r="EM166" s="19">
        <v>0</v>
      </c>
      <c r="EN166" s="19">
        <v>0</v>
      </c>
      <c r="EO166" s="19">
        <v>0</v>
      </c>
      <c r="EP166" s="19">
        <v>0</v>
      </c>
      <c r="EQ166" s="19">
        <v>283.23478260869598</v>
      </c>
      <c r="ER166" s="19">
        <v>1.9159999999999999</v>
      </c>
      <c r="ES166" s="119">
        <v>50.556521739130403</v>
      </c>
      <c r="ET166" s="119">
        <v>0.34200000000000003</v>
      </c>
    </row>
    <row r="167" spans="1:150" ht="16.5" customHeight="1" x14ac:dyDescent="0.35">
      <c r="A167" s="4">
        <v>204</v>
      </c>
      <c r="B167" s="4" t="str">
        <f>LOOKUP(A167,Lookup!$A$1:$A$34,Lookup!$B$1:$B$34)</f>
        <v>LAMB</v>
      </c>
      <c r="C167" s="5">
        <v>63475</v>
      </c>
      <c r="D167" s="6" t="s">
        <v>163</v>
      </c>
      <c r="E167" s="18">
        <v>257.655148741419</v>
      </c>
      <c r="F167" s="18">
        <v>2.2949999999999999</v>
      </c>
      <c r="G167" s="18">
        <v>9790.8956521739092</v>
      </c>
      <c r="H167" s="18">
        <v>87.207999999999998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260.76521739130402</v>
      </c>
      <c r="BX167" s="19">
        <v>2.3069999999999999</v>
      </c>
      <c r="BY167" s="19">
        <v>84.7826086956522</v>
      </c>
      <c r="BZ167" s="19">
        <v>0.75</v>
      </c>
      <c r="CA167" s="19">
        <v>481.139130434783</v>
      </c>
      <c r="CB167" s="19">
        <v>4.2560000000000002</v>
      </c>
      <c r="CC167" s="19">
        <v>92.243478260869594</v>
      </c>
      <c r="CD167" s="19">
        <v>0.81599999999999995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154.63478260869601</v>
      </c>
      <c r="CL167" s="19">
        <v>1.3680000000000001</v>
      </c>
      <c r="CM167" s="19">
        <v>122.52173913043499</v>
      </c>
      <c r="CN167" s="19">
        <v>1.0840000000000001</v>
      </c>
      <c r="CO167" s="19">
        <v>227.878260869565</v>
      </c>
      <c r="CP167" s="19">
        <v>2.016</v>
      </c>
      <c r="CQ167" s="19">
        <v>343.165217391304</v>
      </c>
      <c r="CR167" s="19">
        <v>3.036</v>
      </c>
      <c r="CS167" s="19">
        <v>392.22608695652201</v>
      </c>
      <c r="CT167" s="19">
        <v>3.47</v>
      </c>
      <c r="CU167" s="19">
        <v>181.97391304347801</v>
      </c>
      <c r="CV167" s="19">
        <v>1.61</v>
      </c>
      <c r="CW167" s="19">
        <v>161.426086956522</v>
      </c>
      <c r="CX167" s="19">
        <v>1.4279999999999999</v>
      </c>
      <c r="CY167" s="19">
        <v>177.23478260869601</v>
      </c>
      <c r="CZ167" s="19">
        <v>1.5680000000000001</v>
      </c>
      <c r="DA167" s="19">
        <v>304.97391304347798</v>
      </c>
      <c r="DB167" s="19">
        <v>2.698</v>
      </c>
      <c r="DC167" s="19">
        <v>327.139130434783</v>
      </c>
      <c r="DD167" s="19">
        <v>2.8940000000000001</v>
      </c>
      <c r="DE167" s="19">
        <v>646.56521739130403</v>
      </c>
      <c r="DF167" s="19">
        <v>5.72</v>
      </c>
      <c r="DG167" s="19">
        <v>162.31304347826099</v>
      </c>
      <c r="DH167" s="19">
        <v>1.4359999999999999</v>
      </c>
      <c r="DI167" s="19">
        <v>810</v>
      </c>
      <c r="DJ167" s="19">
        <v>7.1660000000000004</v>
      </c>
      <c r="DK167" s="19">
        <v>128.4</v>
      </c>
      <c r="DL167" s="19">
        <v>1.1359999999999999</v>
      </c>
      <c r="DM167" s="19">
        <v>123.2</v>
      </c>
      <c r="DN167" s="19">
        <v>1.0900000000000001</v>
      </c>
      <c r="DO167" s="19">
        <v>260.86956521739103</v>
      </c>
      <c r="DP167" s="19">
        <v>2.3079999999999998</v>
      </c>
      <c r="DQ167" s="19">
        <v>115.52173913043499</v>
      </c>
      <c r="DR167" s="19">
        <v>1.022</v>
      </c>
      <c r="DS167" s="19">
        <v>276.695652173913</v>
      </c>
      <c r="DT167" s="19">
        <v>2.448</v>
      </c>
      <c r="DU167" s="19">
        <v>136.08695652173901</v>
      </c>
      <c r="DV167" s="19">
        <v>1.204</v>
      </c>
      <c r="DW167" s="19">
        <v>155.539130434783</v>
      </c>
      <c r="DX167" s="19">
        <v>1.3759999999999999</v>
      </c>
      <c r="DY167" s="19">
        <v>272.41739130434797</v>
      </c>
      <c r="DZ167" s="19">
        <v>2.41</v>
      </c>
      <c r="EA167" s="19">
        <v>310.14782608695702</v>
      </c>
      <c r="EB167" s="19">
        <v>2.7440000000000002</v>
      </c>
      <c r="EC167" s="19">
        <v>49.513043478260897</v>
      </c>
      <c r="ED167" s="19">
        <v>0.438</v>
      </c>
      <c r="EE167" s="19">
        <v>100.382608695652</v>
      </c>
      <c r="EF167" s="19">
        <v>0.88800000000000001</v>
      </c>
      <c r="EG167" s="19">
        <v>112.269565217391</v>
      </c>
      <c r="EH167" s="19">
        <v>1.0760000000000001</v>
      </c>
      <c r="EI167" s="19">
        <v>566.39130434782601</v>
      </c>
      <c r="EJ167" s="19">
        <v>5.4279999999999999</v>
      </c>
      <c r="EK167" s="19">
        <v>281.37391304347801</v>
      </c>
      <c r="EL167" s="19">
        <v>2.5590000000000002</v>
      </c>
      <c r="EM167" s="19">
        <v>547.35652173913002</v>
      </c>
      <c r="EN167" s="19">
        <v>4.8419999999999996</v>
      </c>
      <c r="EO167" s="19">
        <v>599.58260869565197</v>
      </c>
      <c r="EP167" s="19">
        <v>5.3040000000000003</v>
      </c>
      <c r="EQ167" s="19">
        <v>366.36521739130399</v>
      </c>
      <c r="ER167" s="19">
        <v>3.262</v>
      </c>
      <c r="ES167" s="119">
        <v>457.8</v>
      </c>
      <c r="ET167" s="119">
        <v>4.05</v>
      </c>
    </row>
    <row r="168" spans="1:150" ht="16.5" customHeight="1" x14ac:dyDescent="0.35">
      <c r="A168" s="4">
        <v>204</v>
      </c>
      <c r="B168" s="4" t="str">
        <f>LOOKUP(A168,Lookup!$A$1:$A$34,Lookup!$B$1:$B$34)</f>
        <v>LAMB</v>
      </c>
      <c r="C168" s="5">
        <v>63525</v>
      </c>
      <c r="D168" s="6" t="s">
        <v>141</v>
      </c>
      <c r="E168" s="18">
        <v>122.08625146886</v>
      </c>
      <c r="F168" s="18">
        <v>1.264</v>
      </c>
      <c r="G168" s="18">
        <v>4517.1913043478298</v>
      </c>
      <c r="H168" s="18">
        <v>46.756999999999998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>
        <v>0</v>
      </c>
      <c r="BW168" s="19">
        <v>0</v>
      </c>
      <c r="BX168" s="19">
        <v>0</v>
      </c>
      <c r="BY168" s="19">
        <v>1221.21739130435</v>
      </c>
      <c r="BZ168" s="19">
        <v>14.108000000000001</v>
      </c>
      <c r="CA168" s="19">
        <v>281.269565217391</v>
      </c>
      <c r="CB168" s="19">
        <v>2.63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0</v>
      </c>
      <c r="CT168" s="19">
        <v>0</v>
      </c>
      <c r="CU168" s="19">
        <v>0</v>
      </c>
      <c r="CV168" s="19">
        <v>0</v>
      </c>
      <c r="CW168" s="19">
        <v>0</v>
      </c>
      <c r="CX168" s="19">
        <v>0</v>
      </c>
      <c r="CY168" s="19">
        <v>0</v>
      </c>
      <c r="CZ168" s="19">
        <v>0</v>
      </c>
      <c r="DA168" s="19">
        <v>0</v>
      </c>
      <c r="DB168" s="19">
        <v>0</v>
      </c>
      <c r="DC168" s="19">
        <v>1310.30434782609</v>
      </c>
      <c r="DD168" s="19">
        <v>10.763999999999999</v>
      </c>
      <c r="DE168" s="19">
        <v>161.417391304348</v>
      </c>
      <c r="DF168" s="19">
        <v>1.5089999999999999</v>
      </c>
      <c r="DG168" s="19">
        <v>0</v>
      </c>
      <c r="DH168" s="19">
        <v>0</v>
      </c>
      <c r="DI168" s="19">
        <v>0</v>
      </c>
      <c r="DJ168" s="19">
        <v>0</v>
      </c>
      <c r="DK168" s="19">
        <v>0</v>
      </c>
      <c r="DL168" s="19">
        <v>0</v>
      </c>
      <c r="DM168" s="19">
        <v>0</v>
      </c>
      <c r="DN168" s="19">
        <v>0</v>
      </c>
      <c r="DO168" s="19">
        <v>0</v>
      </c>
      <c r="DP168" s="19">
        <v>0</v>
      </c>
      <c r="DQ168" s="19">
        <v>0</v>
      </c>
      <c r="DR168" s="19">
        <v>0</v>
      </c>
      <c r="DS168" s="19">
        <v>0</v>
      </c>
      <c r="DT168" s="19">
        <v>0</v>
      </c>
      <c r="DU168" s="19">
        <v>0</v>
      </c>
      <c r="DV168" s="19">
        <v>0</v>
      </c>
      <c r="DW168" s="19">
        <v>0</v>
      </c>
      <c r="DX168" s="19">
        <v>0</v>
      </c>
      <c r="DY168" s="19">
        <v>0</v>
      </c>
      <c r="DZ168" s="19">
        <v>0</v>
      </c>
      <c r="EA168" s="19">
        <v>0</v>
      </c>
      <c r="EB168" s="19">
        <v>0</v>
      </c>
      <c r="EC168" s="19">
        <v>0</v>
      </c>
      <c r="ED168" s="19">
        <v>0</v>
      </c>
      <c r="EE168" s="19">
        <v>0</v>
      </c>
      <c r="EF168" s="19">
        <v>0</v>
      </c>
      <c r="EG168" s="19">
        <v>0</v>
      </c>
      <c r="EH168" s="19">
        <v>0</v>
      </c>
      <c r="EI168" s="19">
        <v>0</v>
      </c>
      <c r="EJ168" s="19">
        <v>0</v>
      </c>
      <c r="EK168" s="19">
        <v>0</v>
      </c>
      <c r="EL168" s="19">
        <v>0</v>
      </c>
      <c r="EM168" s="19">
        <v>0</v>
      </c>
      <c r="EN168" s="19">
        <v>0</v>
      </c>
      <c r="EO168" s="19">
        <v>0</v>
      </c>
      <c r="EP168" s="19">
        <v>0</v>
      </c>
      <c r="EQ168" s="19">
        <v>0</v>
      </c>
      <c r="ER168" s="19">
        <v>0</v>
      </c>
      <c r="ES168" s="119">
        <v>1542.98260869565</v>
      </c>
      <c r="ET168" s="119">
        <v>17.745999999999999</v>
      </c>
    </row>
    <row r="169" spans="1:150" ht="16.5" customHeight="1" x14ac:dyDescent="0.35">
      <c r="A169" s="4">
        <v>204</v>
      </c>
      <c r="B169" s="4" t="str">
        <f>LOOKUP(A169,Lookup!$A$1:$A$34,Lookup!$B$1:$B$34)</f>
        <v>LAMB</v>
      </c>
      <c r="C169" s="5">
        <v>99990204</v>
      </c>
      <c r="D169" s="6" t="s">
        <v>166</v>
      </c>
      <c r="E169" s="18">
        <v>0</v>
      </c>
      <c r="F169" s="18">
        <v>0</v>
      </c>
      <c r="G169" s="18">
        <v>0</v>
      </c>
      <c r="H169" s="18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0</v>
      </c>
      <c r="CT169" s="19">
        <v>0</v>
      </c>
      <c r="CU169" s="19">
        <v>0</v>
      </c>
      <c r="CV169" s="19">
        <v>0</v>
      </c>
      <c r="CW169" s="19">
        <v>0</v>
      </c>
      <c r="CX169" s="19">
        <v>0</v>
      </c>
      <c r="CY169" s="19">
        <v>0</v>
      </c>
      <c r="CZ169" s="19">
        <v>0</v>
      </c>
      <c r="DA169" s="19">
        <v>0</v>
      </c>
      <c r="DB169" s="19">
        <v>0</v>
      </c>
      <c r="DC169" s="19">
        <v>0</v>
      </c>
      <c r="DD169" s="19">
        <v>0</v>
      </c>
      <c r="DE169" s="19">
        <v>0</v>
      </c>
      <c r="DF169" s="19">
        <v>0</v>
      </c>
      <c r="DG169" s="19">
        <v>0</v>
      </c>
      <c r="DH169" s="19">
        <v>0</v>
      </c>
      <c r="DI169" s="19">
        <v>0</v>
      </c>
      <c r="DJ169" s="19">
        <v>0</v>
      </c>
      <c r="DK169" s="19">
        <v>0</v>
      </c>
      <c r="DL169" s="19">
        <v>0</v>
      </c>
      <c r="DM169" s="19">
        <v>0</v>
      </c>
      <c r="DN169" s="19">
        <v>0</v>
      </c>
      <c r="DO169" s="19">
        <v>0</v>
      </c>
      <c r="DP169" s="19">
        <v>0</v>
      </c>
      <c r="DQ169" s="19">
        <v>0</v>
      </c>
      <c r="DR169" s="19">
        <v>0</v>
      </c>
      <c r="DS169" s="19">
        <v>0</v>
      </c>
      <c r="DT169" s="19">
        <v>0</v>
      </c>
      <c r="DU169" s="19">
        <v>0</v>
      </c>
      <c r="DV169" s="19">
        <v>0</v>
      </c>
      <c r="DW169" s="19">
        <v>0</v>
      </c>
      <c r="DX169" s="19">
        <v>0</v>
      </c>
      <c r="DY169" s="19">
        <v>0</v>
      </c>
      <c r="DZ169" s="19">
        <v>0</v>
      </c>
      <c r="EA169" s="19">
        <v>0</v>
      </c>
      <c r="EB169" s="19">
        <v>0</v>
      </c>
      <c r="EC169" s="19">
        <v>0</v>
      </c>
      <c r="ED169" s="19">
        <v>0</v>
      </c>
      <c r="EE169" s="19">
        <v>0</v>
      </c>
      <c r="EF169" s="19">
        <v>0</v>
      </c>
      <c r="EG169" s="19">
        <v>0</v>
      </c>
      <c r="EH169" s="19">
        <v>0</v>
      </c>
      <c r="EI169" s="19">
        <v>0</v>
      </c>
      <c r="EJ169" s="19">
        <v>0</v>
      </c>
      <c r="EK169" s="19">
        <v>0</v>
      </c>
      <c r="EL169" s="19">
        <v>0</v>
      </c>
      <c r="EM169" s="19">
        <v>0</v>
      </c>
      <c r="EN169" s="19">
        <v>0</v>
      </c>
      <c r="EO169" s="19">
        <v>0</v>
      </c>
      <c r="EP169" s="19">
        <v>0</v>
      </c>
      <c r="EQ169" s="19">
        <v>0</v>
      </c>
      <c r="ER169" s="19">
        <v>0</v>
      </c>
      <c r="ES169" s="119">
        <v>0</v>
      </c>
      <c r="ET169" s="119">
        <v>0</v>
      </c>
    </row>
    <row r="170" spans="1:150" ht="16.5" customHeight="1" x14ac:dyDescent="0.35">
      <c r="A170" s="4">
        <v>205</v>
      </c>
      <c r="B170" s="4" t="str">
        <f>LOOKUP(A170,Lookup!$A$1:$A$34,Lookup!$B$1:$B$34)</f>
        <v>MUTTON</v>
      </c>
      <c r="C170" s="5">
        <v>34195</v>
      </c>
      <c r="D170" s="6" t="s">
        <v>167</v>
      </c>
      <c r="E170" s="18">
        <v>0</v>
      </c>
      <c r="F170" s="18">
        <v>0</v>
      </c>
      <c r="G170" s="18">
        <v>0</v>
      </c>
      <c r="H170" s="18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0</v>
      </c>
      <c r="CT170" s="19">
        <v>0</v>
      </c>
      <c r="CU170" s="19">
        <v>0</v>
      </c>
      <c r="CV170" s="19">
        <v>0</v>
      </c>
      <c r="CW170" s="19">
        <v>0</v>
      </c>
      <c r="CX170" s="19">
        <v>0</v>
      </c>
      <c r="CY170" s="19">
        <v>0</v>
      </c>
      <c r="CZ170" s="19">
        <v>0</v>
      </c>
      <c r="DA170" s="19">
        <v>0</v>
      </c>
      <c r="DB170" s="19">
        <v>0</v>
      </c>
      <c r="DC170" s="19">
        <v>0</v>
      </c>
      <c r="DD170" s="19">
        <v>0</v>
      </c>
      <c r="DE170" s="19">
        <v>0</v>
      </c>
      <c r="DF170" s="19">
        <v>0</v>
      </c>
      <c r="DG170" s="19">
        <v>0</v>
      </c>
      <c r="DH170" s="19">
        <v>0</v>
      </c>
      <c r="DI170" s="19">
        <v>0</v>
      </c>
      <c r="DJ170" s="19">
        <v>0</v>
      </c>
      <c r="DK170" s="19">
        <v>0</v>
      </c>
      <c r="DL170" s="19">
        <v>0</v>
      </c>
      <c r="DM170" s="19">
        <v>0</v>
      </c>
      <c r="DN170" s="19">
        <v>0</v>
      </c>
      <c r="DO170" s="19">
        <v>0</v>
      </c>
      <c r="DP170" s="19">
        <v>0</v>
      </c>
      <c r="DQ170" s="19">
        <v>0</v>
      </c>
      <c r="DR170" s="19">
        <v>0</v>
      </c>
      <c r="DS170" s="19">
        <v>0</v>
      </c>
      <c r="DT170" s="19">
        <v>0</v>
      </c>
      <c r="DU170" s="19">
        <v>0</v>
      </c>
      <c r="DV170" s="19">
        <v>0</v>
      </c>
      <c r="DW170" s="19">
        <v>0</v>
      </c>
      <c r="DX170" s="19">
        <v>0</v>
      </c>
      <c r="DY170" s="19">
        <v>0</v>
      </c>
      <c r="DZ170" s="19">
        <v>0</v>
      </c>
      <c r="EA170" s="19">
        <v>0</v>
      </c>
      <c r="EB170" s="19">
        <v>0</v>
      </c>
      <c r="EC170" s="19">
        <v>0</v>
      </c>
      <c r="ED170" s="19">
        <v>0</v>
      </c>
      <c r="EE170" s="19">
        <v>0</v>
      </c>
      <c r="EF170" s="19">
        <v>0</v>
      </c>
      <c r="EG170" s="19">
        <v>0</v>
      </c>
      <c r="EH170" s="19">
        <v>0</v>
      </c>
      <c r="EI170" s="19">
        <v>0</v>
      </c>
      <c r="EJ170" s="19">
        <v>0</v>
      </c>
      <c r="EK170" s="19">
        <v>0</v>
      </c>
      <c r="EL170" s="19">
        <v>0</v>
      </c>
      <c r="EM170" s="19">
        <v>0</v>
      </c>
      <c r="EN170" s="19">
        <v>0</v>
      </c>
      <c r="EO170" s="19">
        <v>0</v>
      </c>
      <c r="EP170" s="19">
        <v>0</v>
      </c>
      <c r="EQ170" s="19">
        <v>0</v>
      </c>
      <c r="ER170" s="19">
        <v>0</v>
      </c>
      <c r="ES170" s="119">
        <v>0</v>
      </c>
      <c r="ET170" s="119">
        <v>0</v>
      </c>
    </row>
    <row r="171" spans="1:150" ht="16.5" customHeight="1" x14ac:dyDescent="0.35">
      <c r="A171" s="4">
        <v>205</v>
      </c>
      <c r="B171" s="4" t="str">
        <f>LOOKUP(A171,Lookup!$A$1:$A$34,Lookup!$B$1:$B$34)</f>
        <v>MUTTON</v>
      </c>
      <c r="C171" s="5">
        <v>34202</v>
      </c>
      <c r="D171" s="6" t="s">
        <v>168</v>
      </c>
      <c r="E171" s="18">
        <v>1486.8921004286599</v>
      </c>
      <c r="F171" s="18">
        <v>15.231</v>
      </c>
      <c r="G171" s="18">
        <v>105569.33913043499</v>
      </c>
      <c r="H171" s="18">
        <v>1081.4059999999999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761.05217391304302</v>
      </c>
      <c r="T171" s="19">
        <v>7.2939999999999996</v>
      </c>
      <c r="U171" s="19">
        <v>969.730434782609</v>
      </c>
      <c r="V171" s="19">
        <v>9.2940000000000005</v>
      </c>
      <c r="W171" s="19">
        <v>1547.8086956521699</v>
      </c>
      <c r="X171" s="19">
        <v>15.226000000000001</v>
      </c>
      <c r="Y171" s="19">
        <v>0</v>
      </c>
      <c r="Z171" s="19">
        <v>0</v>
      </c>
      <c r="AA171" s="19">
        <v>895.44347826087005</v>
      </c>
      <c r="AB171" s="19">
        <v>8.8780000000000001</v>
      </c>
      <c r="AC171" s="19">
        <v>2010.3652173912999</v>
      </c>
      <c r="AD171" s="19">
        <v>19.931999999999999</v>
      </c>
      <c r="AE171" s="19">
        <v>1360.4173913043501</v>
      </c>
      <c r="AF171" s="19">
        <v>13.488</v>
      </c>
      <c r="AG171" s="19">
        <v>21132.547826087</v>
      </c>
      <c r="AH171" s="19">
        <v>270.05700000000002</v>
      </c>
      <c r="AI171" s="19">
        <v>10907.7217391304</v>
      </c>
      <c r="AJ171" s="19">
        <v>136.97800000000001</v>
      </c>
      <c r="AK171" s="19">
        <v>367.93913043478301</v>
      </c>
      <c r="AL171" s="19">
        <v>3.6480000000000001</v>
      </c>
      <c r="AM171" s="19">
        <v>807.29565217391303</v>
      </c>
      <c r="AN171" s="19">
        <v>8.0039999999999996</v>
      </c>
      <c r="AO171" s="19">
        <v>3639.2695652173902</v>
      </c>
      <c r="AP171" s="19">
        <v>36.082000000000001</v>
      </c>
      <c r="AQ171" s="19">
        <v>0</v>
      </c>
      <c r="AR171" s="19">
        <v>0</v>
      </c>
      <c r="AS171" s="19">
        <v>1425.26956521739</v>
      </c>
      <c r="AT171" s="19">
        <v>13.66</v>
      </c>
      <c r="AU171" s="19">
        <v>0</v>
      </c>
      <c r="AV171" s="19">
        <v>0</v>
      </c>
      <c r="AW171" s="19">
        <v>2283.2608695652202</v>
      </c>
      <c r="AX171" s="19">
        <v>21.006</v>
      </c>
      <c r="AY171" s="19">
        <v>1355.9652173913</v>
      </c>
      <c r="AZ171" s="19">
        <v>11.996</v>
      </c>
      <c r="BA171" s="19">
        <v>1000.13043478261</v>
      </c>
      <c r="BB171" s="19">
        <v>8.8480000000000008</v>
      </c>
      <c r="BC171" s="19">
        <v>386.80869565217398</v>
      </c>
      <c r="BD171" s="19">
        <v>3.4220000000000002</v>
      </c>
      <c r="BE171" s="19">
        <v>0</v>
      </c>
      <c r="BF171" s="19">
        <v>0</v>
      </c>
      <c r="BG171" s="19">
        <v>5601.98260869565</v>
      </c>
      <c r="BH171" s="19">
        <v>52.113</v>
      </c>
      <c r="BI171" s="19">
        <v>877.91304347826099</v>
      </c>
      <c r="BJ171" s="19">
        <v>8.4139999999999997</v>
      </c>
      <c r="BK171" s="19">
        <v>440.730434782609</v>
      </c>
      <c r="BL171" s="19">
        <v>4.2240000000000002</v>
      </c>
      <c r="BM171" s="19">
        <v>384.8</v>
      </c>
      <c r="BN171" s="19">
        <v>3.6880000000000002</v>
      </c>
      <c r="BO171" s="19">
        <v>397.94782608695698</v>
      </c>
      <c r="BP171" s="19">
        <v>3.8140000000000001</v>
      </c>
      <c r="BQ171" s="19">
        <v>1081.8</v>
      </c>
      <c r="BR171" s="19">
        <v>10.554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4115.1652173912998</v>
      </c>
      <c r="BZ171" s="19">
        <v>36.405999999999999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2204.50434782609</v>
      </c>
      <c r="CJ171" s="19">
        <v>20.122</v>
      </c>
      <c r="CK171" s="19">
        <v>0</v>
      </c>
      <c r="CL171" s="19">
        <v>0</v>
      </c>
      <c r="CM171" s="19">
        <v>0</v>
      </c>
      <c r="CN171" s="19">
        <v>0</v>
      </c>
      <c r="CO171" s="19">
        <v>2964.6</v>
      </c>
      <c r="CP171" s="19">
        <v>27.06</v>
      </c>
      <c r="CQ171" s="19">
        <v>2920.7826086956502</v>
      </c>
      <c r="CR171" s="19">
        <v>26.66</v>
      </c>
      <c r="CS171" s="19">
        <v>2023.51304347826</v>
      </c>
      <c r="CT171" s="19">
        <v>18.47</v>
      </c>
      <c r="CU171" s="19">
        <v>674.20869565217401</v>
      </c>
      <c r="CV171" s="19">
        <v>6.1539999999999999</v>
      </c>
      <c r="CW171" s="19">
        <v>831.97391304347798</v>
      </c>
      <c r="CX171" s="19">
        <v>7.5940000000000003</v>
      </c>
      <c r="CY171" s="19">
        <v>2669.6695652173898</v>
      </c>
      <c r="CZ171" s="19">
        <v>24.367999999999999</v>
      </c>
      <c r="DA171" s="19">
        <v>2159.3652173913001</v>
      </c>
      <c r="DB171" s="19">
        <v>19.71</v>
      </c>
      <c r="DC171" s="19">
        <v>2709.3391304347801</v>
      </c>
      <c r="DD171" s="19">
        <v>24.73</v>
      </c>
      <c r="DE171" s="19">
        <v>10800.5043478261</v>
      </c>
      <c r="DF171" s="19">
        <v>98.584000000000003</v>
      </c>
      <c r="DG171" s="19">
        <v>2728.8347826087002</v>
      </c>
      <c r="DH171" s="19">
        <v>24.908000000000001</v>
      </c>
      <c r="DI171" s="19">
        <v>2612.8608695652201</v>
      </c>
      <c r="DJ171" s="19">
        <v>22.364999999999998</v>
      </c>
      <c r="DK171" s="19">
        <v>462.36521739130399</v>
      </c>
      <c r="DL171" s="19">
        <v>3.91</v>
      </c>
      <c r="DM171" s="19">
        <v>443.44347826086999</v>
      </c>
      <c r="DN171" s="19">
        <v>3.6429999999999998</v>
      </c>
      <c r="DO171" s="19">
        <v>1571.77391304348</v>
      </c>
      <c r="DP171" s="19">
        <v>12.912000000000001</v>
      </c>
      <c r="DQ171" s="19">
        <v>1882.9304347826101</v>
      </c>
      <c r="DR171" s="19">
        <v>15.468</v>
      </c>
      <c r="DS171" s="19">
        <v>1320.28695652174</v>
      </c>
      <c r="DT171" s="19">
        <v>10.846</v>
      </c>
      <c r="DU171" s="19">
        <v>837.01739130434805</v>
      </c>
      <c r="DV171" s="19">
        <v>6.8760000000000003</v>
      </c>
      <c r="DW171" s="19">
        <v>0</v>
      </c>
      <c r="DX171" s="19">
        <v>0</v>
      </c>
      <c r="DY171" s="19">
        <v>0</v>
      </c>
      <c r="DZ171" s="19">
        <v>0</v>
      </c>
      <c r="EA171" s="19">
        <v>0</v>
      </c>
      <c r="EB171" s="19">
        <v>0</v>
      </c>
      <c r="EC171" s="19">
        <v>0</v>
      </c>
      <c r="ED171" s="19">
        <v>0</v>
      </c>
      <c r="EE171" s="19">
        <v>0</v>
      </c>
      <c r="EF171" s="19">
        <v>0</v>
      </c>
      <c r="EG171" s="19">
        <v>0</v>
      </c>
      <c r="EH171" s="19">
        <v>0</v>
      </c>
      <c r="EI171" s="19">
        <v>0</v>
      </c>
      <c r="EJ171" s="19">
        <v>0</v>
      </c>
      <c r="EK171" s="19">
        <v>0</v>
      </c>
      <c r="EL171" s="19">
        <v>0</v>
      </c>
      <c r="EM171" s="19">
        <v>0</v>
      </c>
      <c r="EN171" s="19">
        <v>0</v>
      </c>
      <c r="EO171" s="19">
        <v>0</v>
      </c>
      <c r="EP171" s="19">
        <v>0</v>
      </c>
      <c r="EQ171" s="19">
        <v>0</v>
      </c>
      <c r="ER171" s="19">
        <v>0</v>
      </c>
      <c r="ES171" s="119">
        <v>0</v>
      </c>
      <c r="ET171" s="119">
        <v>0</v>
      </c>
    </row>
    <row r="172" spans="1:150" ht="16.5" customHeight="1" x14ac:dyDescent="0.35">
      <c r="A172" s="4">
        <v>205</v>
      </c>
      <c r="B172" s="4" t="str">
        <f>LOOKUP(A172,Lookup!$A$1:$A$34,Lookup!$B$1:$B$34)</f>
        <v>MUTTON</v>
      </c>
      <c r="C172" s="5">
        <v>34253</v>
      </c>
      <c r="D172" s="6" t="s">
        <v>169</v>
      </c>
      <c r="E172" s="18">
        <v>0</v>
      </c>
      <c r="F172" s="18">
        <v>0</v>
      </c>
      <c r="G172" s="18">
        <v>0</v>
      </c>
      <c r="H172" s="18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0</v>
      </c>
      <c r="CT172" s="19">
        <v>0</v>
      </c>
      <c r="CU172" s="19">
        <v>0</v>
      </c>
      <c r="CV172" s="19">
        <v>0</v>
      </c>
      <c r="CW172" s="19">
        <v>0</v>
      </c>
      <c r="CX172" s="19">
        <v>0</v>
      </c>
      <c r="CY172" s="19">
        <v>0</v>
      </c>
      <c r="CZ172" s="19">
        <v>0</v>
      </c>
      <c r="DA172" s="19">
        <v>0</v>
      </c>
      <c r="DB172" s="19">
        <v>0</v>
      </c>
      <c r="DC172" s="19">
        <v>0</v>
      </c>
      <c r="DD172" s="19">
        <v>0</v>
      </c>
      <c r="DE172" s="19">
        <v>0</v>
      </c>
      <c r="DF172" s="19">
        <v>0</v>
      </c>
      <c r="DG172" s="19">
        <v>0</v>
      </c>
      <c r="DH172" s="19">
        <v>0</v>
      </c>
      <c r="DI172" s="19">
        <v>0</v>
      </c>
      <c r="DJ172" s="19">
        <v>0</v>
      </c>
      <c r="DK172" s="19">
        <v>0</v>
      </c>
      <c r="DL172" s="19">
        <v>0</v>
      </c>
      <c r="DM172" s="19">
        <v>0</v>
      </c>
      <c r="DN172" s="19">
        <v>0</v>
      </c>
      <c r="DO172" s="19">
        <v>0</v>
      </c>
      <c r="DP172" s="19">
        <v>0</v>
      </c>
      <c r="DQ172" s="19">
        <v>0</v>
      </c>
      <c r="DR172" s="19">
        <v>0</v>
      </c>
      <c r="DS172" s="19">
        <v>0</v>
      </c>
      <c r="DT172" s="19">
        <v>0</v>
      </c>
      <c r="DU172" s="19">
        <v>0</v>
      </c>
      <c r="DV172" s="19">
        <v>0</v>
      </c>
      <c r="DW172" s="19">
        <v>0</v>
      </c>
      <c r="DX172" s="19">
        <v>0</v>
      </c>
      <c r="DY172" s="19">
        <v>0</v>
      </c>
      <c r="DZ172" s="19">
        <v>0</v>
      </c>
      <c r="EA172" s="19">
        <v>0</v>
      </c>
      <c r="EB172" s="19">
        <v>0</v>
      </c>
      <c r="EC172" s="19">
        <v>0</v>
      </c>
      <c r="ED172" s="19">
        <v>0</v>
      </c>
      <c r="EE172" s="19">
        <v>0</v>
      </c>
      <c r="EF172" s="19">
        <v>0</v>
      </c>
      <c r="EG172" s="19">
        <v>0</v>
      </c>
      <c r="EH172" s="19">
        <v>0</v>
      </c>
      <c r="EI172" s="19">
        <v>0</v>
      </c>
      <c r="EJ172" s="19">
        <v>0</v>
      </c>
      <c r="EK172" s="19">
        <v>0</v>
      </c>
      <c r="EL172" s="19">
        <v>0</v>
      </c>
      <c r="EM172" s="19">
        <v>0</v>
      </c>
      <c r="EN172" s="19">
        <v>0</v>
      </c>
      <c r="EO172" s="19">
        <v>0</v>
      </c>
      <c r="EP172" s="19">
        <v>0</v>
      </c>
      <c r="EQ172" s="19">
        <v>0</v>
      </c>
      <c r="ER172" s="19">
        <v>0</v>
      </c>
      <c r="ES172" s="119">
        <v>0</v>
      </c>
      <c r="ET172" s="119">
        <v>0</v>
      </c>
    </row>
    <row r="173" spans="1:150" ht="16.5" customHeight="1" x14ac:dyDescent="0.35">
      <c r="A173" s="4">
        <v>205</v>
      </c>
      <c r="B173" s="4" t="str">
        <f>LOOKUP(A173,Lookup!$A$1:$A$34,Lookup!$B$1:$B$34)</f>
        <v>MUTTON</v>
      </c>
      <c r="C173" s="5">
        <v>34255</v>
      </c>
      <c r="D173" s="6" t="s">
        <v>170</v>
      </c>
      <c r="E173" s="18">
        <v>619.85009185548097</v>
      </c>
      <c r="F173" s="18">
        <v>4.9820000000000002</v>
      </c>
      <c r="G173" s="18">
        <v>44009.356521739101</v>
      </c>
      <c r="H173" s="18">
        <v>353.72800000000001</v>
      </c>
      <c r="I173" s="19">
        <v>768.98260869565195</v>
      </c>
      <c r="J173" s="19">
        <v>5.8959999999999999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428.82608695652198</v>
      </c>
      <c r="T173" s="19">
        <v>3.2879999999999998</v>
      </c>
      <c r="U173" s="19">
        <v>672.71304347826106</v>
      </c>
      <c r="V173" s="19">
        <v>5.1580000000000004</v>
      </c>
      <c r="W173" s="19">
        <v>437.730434782609</v>
      </c>
      <c r="X173" s="19">
        <v>3.5539999999999998</v>
      </c>
      <c r="Y173" s="19">
        <v>624.46086956521799</v>
      </c>
      <c r="Z173" s="19">
        <v>5.13</v>
      </c>
      <c r="AA173" s="19">
        <v>1112.5999999999999</v>
      </c>
      <c r="AB173" s="19">
        <v>9.14</v>
      </c>
      <c r="AC173" s="19">
        <v>1079.48695652174</v>
      </c>
      <c r="AD173" s="19">
        <v>8.8680000000000003</v>
      </c>
      <c r="AE173" s="19">
        <v>543.64347826086998</v>
      </c>
      <c r="AF173" s="19">
        <v>4.4660000000000002</v>
      </c>
      <c r="AG173" s="19">
        <v>503.70434782608697</v>
      </c>
      <c r="AH173" s="19">
        <v>4.1379999999999999</v>
      </c>
      <c r="AI173" s="19">
        <v>500.06086956521699</v>
      </c>
      <c r="AJ173" s="19">
        <v>4.1079999999999997</v>
      </c>
      <c r="AK173" s="19">
        <v>508.32173913043499</v>
      </c>
      <c r="AL173" s="19">
        <v>4.1760000000000002</v>
      </c>
      <c r="AM173" s="19">
        <v>639.36521739130399</v>
      </c>
      <c r="AN173" s="19">
        <v>5.2859999999999996</v>
      </c>
      <c r="AO173" s="19">
        <v>806.58260869565197</v>
      </c>
      <c r="AP173" s="19">
        <v>6.6260000000000003</v>
      </c>
      <c r="AQ173" s="19">
        <v>1371.1652173913001</v>
      </c>
      <c r="AR173" s="19">
        <v>10.608000000000001</v>
      </c>
      <c r="AS173" s="19">
        <v>272.08695652173901</v>
      </c>
      <c r="AT173" s="19">
        <v>2.0859999999999999</v>
      </c>
      <c r="AU173" s="19">
        <v>408.22608695652201</v>
      </c>
      <c r="AV173" s="19">
        <v>3.13</v>
      </c>
      <c r="AW173" s="19">
        <v>689.67826086956495</v>
      </c>
      <c r="AX173" s="19">
        <v>5.2880000000000003</v>
      </c>
      <c r="AY173" s="19">
        <v>940.304347826087</v>
      </c>
      <c r="AZ173" s="19">
        <v>6.9379999999999997</v>
      </c>
      <c r="BA173" s="19">
        <v>628.52173913043498</v>
      </c>
      <c r="BB173" s="19">
        <v>4.5179999999999998</v>
      </c>
      <c r="BC173" s="19">
        <v>515.86086956521694</v>
      </c>
      <c r="BD173" s="19">
        <v>3.7080000000000002</v>
      </c>
      <c r="BE173" s="19">
        <v>318.860869565217</v>
      </c>
      <c r="BF173" s="19">
        <v>2.2919999999999998</v>
      </c>
      <c r="BG173" s="19">
        <v>1258.3478260869599</v>
      </c>
      <c r="BH173" s="19">
        <v>10.382999999999999</v>
      </c>
      <c r="BI173" s="19">
        <v>262.05217391304302</v>
      </c>
      <c r="BJ173" s="19">
        <v>2.2160000000000002</v>
      </c>
      <c r="BK173" s="19">
        <v>632.64347826086998</v>
      </c>
      <c r="BL173" s="19">
        <v>5.35</v>
      </c>
      <c r="BM173" s="19">
        <v>635.48695652173899</v>
      </c>
      <c r="BN173" s="19">
        <v>5.3739999999999997</v>
      </c>
      <c r="BO173" s="19">
        <v>745.46086956521799</v>
      </c>
      <c r="BP173" s="19">
        <v>6.3040000000000003</v>
      </c>
      <c r="BQ173" s="19">
        <v>290.426086956522</v>
      </c>
      <c r="BR173" s="19">
        <v>2.456</v>
      </c>
      <c r="BS173" s="19">
        <v>463.426086956522</v>
      </c>
      <c r="BT173" s="19">
        <v>3.95</v>
      </c>
      <c r="BU173" s="19">
        <v>663.40869565217395</v>
      </c>
      <c r="BV173" s="19">
        <v>5.61</v>
      </c>
      <c r="BW173" s="19">
        <v>377.70434782608697</v>
      </c>
      <c r="BX173" s="19">
        <v>3.194</v>
      </c>
      <c r="BY173" s="19">
        <v>514.40869565217395</v>
      </c>
      <c r="BZ173" s="19">
        <v>4.3499999999999996</v>
      </c>
      <c r="CA173" s="19">
        <v>617.96521739130401</v>
      </c>
      <c r="CB173" s="19">
        <v>5.226</v>
      </c>
      <c r="CC173" s="19">
        <v>504.695652173913</v>
      </c>
      <c r="CD173" s="19">
        <v>4.2679999999999998</v>
      </c>
      <c r="CE173" s="19">
        <v>509.426086956522</v>
      </c>
      <c r="CF173" s="19">
        <v>4.3079999999999998</v>
      </c>
      <c r="CG173" s="19">
        <v>1411.21739130435</v>
      </c>
      <c r="CH173" s="19">
        <v>11.933999999999999</v>
      </c>
      <c r="CI173" s="19">
        <v>871.269565217391</v>
      </c>
      <c r="CJ173" s="19">
        <v>7.3680000000000003</v>
      </c>
      <c r="CK173" s="19">
        <v>584.86956521739103</v>
      </c>
      <c r="CL173" s="19">
        <v>4.9459999999999997</v>
      </c>
      <c r="CM173" s="19">
        <v>1056.94782608696</v>
      </c>
      <c r="CN173" s="19">
        <v>8.9380000000000006</v>
      </c>
      <c r="CO173" s="19">
        <v>1039.4347826087001</v>
      </c>
      <c r="CP173" s="19">
        <v>8.7899999999999991</v>
      </c>
      <c r="CQ173" s="19">
        <v>645.58260869565197</v>
      </c>
      <c r="CR173" s="19">
        <v>5.4960000000000004</v>
      </c>
      <c r="CS173" s="19">
        <v>811.53913043478303</v>
      </c>
      <c r="CT173" s="19">
        <v>6.9039999999999999</v>
      </c>
      <c r="CU173" s="19">
        <v>444.56521739130397</v>
      </c>
      <c r="CV173" s="19">
        <v>3.82</v>
      </c>
      <c r="CW173" s="19">
        <v>622.00869565217397</v>
      </c>
      <c r="CX173" s="19">
        <v>5.26</v>
      </c>
      <c r="CY173" s="19">
        <v>955.94782608695596</v>
      </c>
      <c r="CZ173" s="19">
        <v>8.0839999999999996</v>
      </c>
      <c r="DA173" s="19">
        <v>233.19130434782599</v>
      </c>
      <c r="DB173" s="19">
        <v>1.972</v>
      </c>
      <c r="DC173" s="19">
        <v>764.01739130434805</v>
      </c>
      <c r="DD173" s="19">
        <v>6.3570000000000002</v>
      </c>
      <c r="DE173" s="19">
        <v>428.24347826087001</v>
      </c>
      <c r="DF173" s="19">
        <v>3.5179999999999998</v>
      </c>
      <c r="DG173" s="19">
        <v>250.278260869565</v>
      </c>
      <c r="DH173" s="19">
        <v>2.056</v>
      </c>
      <c r="DI173" s="19">
        <v>564.573913043478</v>
      </c>
      <c r="DJ173" s="19">
        <v>4.6379999999999999</v>
      </c>
      <c r="DK173" s="19">
        <v>417.78260869565202</v>
      </c>
      <c r="DL173" s="19">
        <v>3.4620000000000002</v>
      </c>
      <c r="DM173" s="19">
        <v>445.269565217391</v>
      </c>
      <c r="DN173" s="19">
        <v>3.6579999999999999</v>
      </c>
      <c r="DO173" s="19">
        <v>760.61739130434796</v>
      </c>
      <c r="DP173" s="19">
        <v>6.29</v>
      </c>
      <c r="DQ173" s="19">
        <v>204.26086956521701</v>
      </c>
      <c r="DR173" s="19">
        <v>1.6779999999999999</v>
      </c>
      <c r="DS173" s="19">
        <v>780.27826086956497</v>
      </c>
      <c r="DT173" s="19">
        <v>6.5140000000000002</v>
      </c>
      <c r="DU173" s="19">
        <v>651.49565217391296</v>
      </c>
      <c r="DV173" s="19">
        <v>5.3520000000000003</v>
      </c>
      <c r="DW173" s="19">
        <v>700.86956521739103</v>
      </c>
      <c r="DX173" s="19">
        <v>5.36</v>
      </c>
      <c r="DY173" s="19">
        <v>0</v>
      </c>
      <c r="DZ173" s="19">
        <v>0</v>
      </c>
      <c r="EA173" s="19">
        <v>313.85217391304298</v>
      </c>
      <c r="EB173" s="19">
        <v>2.27</v>
      </c>
      <c r="EC173" s="19">
        <v>995.2</v>
      </c>
      <c r="ED173" s="19">
        <v>7.1980000000000004</v>
      </c>
      <c r="EE173" s="19">
        <v>480.32173913043499</v>
      </c>
      <c r="EF173" s="19">
        <v>3.4740000000000002</v>
      </c>
      <c r="EG173" s="19">
        <v>1172.45217391304</v>
      </c>
      <c r="EH173" s="19">
        <v>8.48</v>
      </c>
      <c r="EI173" s="19">
        <v>977.79130434782599</v>
      </c>
      <c r="EJ173" s="19">
        <v>7.0720000000000001</v>
      </c>
      <c r="EK173" s="19">
        <v>687.71304347826106</v>
      </c>
      <c r="EL173" s="19">
        <v>4.9740000000000002</v>
      </c>
      <c r="EM173" s="19">
        <v>798.94782608695698</v>
      </c>
      <c r="EN173" s="19">
        <v>5.86</v>
      </c>
      <c r="EO173" s="19">
        <v>436.139130434783</v>
      </c>
      <c r="EP173" s="19">
        <v>3.3159999999999998</v>
      </c>
      <c r="EQ173" s="19">
        <v>1075.2</v>
      </c>
      <c r="ER173" s="19">
        <v>8.2439999999999998</v>
      </c>
      <c r="ES173" s="119">
        <v>1885.3913043478301</v>
      </c>
      <c r="ET173" s="119">
        <v>14.456</v>
      </c>
    </row>
    <row r="174" spans="1:150" ht="16.5" customHeight="1" x14ac:dyDescent="0.35">
      <c r="A174" s="4">
        <v>205</v>
      </c>
      <c r="B174" s="4" t="str">
        <f>LOOKUP(A174,Lookup!$A$1:$A$34,Lookup!$B$1:$B$34)</f>
        <v>MUTTON</v>
      </c>
      <c r="C174" s="5">
        <v>34256</v>
      </c>
      <c r="D174" s="6" t="s">
        <v>171</v>
      </c>
      <c r="E174" s="18">
        <v>82.084629516227807</v>
      </c>
      <c r="F174" s="18">
        <v>0.66900000000000004</v>
      </c>
      <c r="G174" s="18">
        <v>5828.00869565217</v>
      </c>
      <c r="H174" s="18">
        <v>47.466999999999999</v>
      </c>
      <c r="I174" s="19">
        <v>120.721739130435</v>
      </c>
      <c r="J174" s="19">
        <v>1.0680000000000001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89.521739130434796</v>
      </c>
      <c r="T174" s="19">
        <v>0.79200000000000004</v>
      </c>
      <c r="U174" s="19">
        <v>72.113043478260906</v>
      </c>
      <c r="V174" s="19">
        <v>0.63800000000000001</v>
      </c>
      <c r="W174" s="19">
        <v>0</v>
      </c>
      <c r="X174" s="19">
        <v>0</v>
      </c>
      <c r="Y174" s="19">
        <v>163.84347826087</v>
      </c>
      <c r="Z174" s="19">
        <v>1.3460000000000001</v>
      </c>
      <c r="AA174" s="19">
        <v>280</v>
      </c>
      <c r="AB174" s="19">
        <v>2.3140000000000001</v>
      </c>
      <c r="AC174" s="19">
        <v>0</v>
      </c>
      <c r="AD174" s="19">
        <v>0</v>
      </c>
      <c r="AE174" s="19">
        <v>0</v>
      </c>
      <c r="AF174" s="19">
        <v>0</v>
      </c>
      <c r="AG174" s="19">
        <v>264.15652173913003</v>
      </c>
      <c r="AH174" s="19">
        <v>2.17</v>
      </c>
      <c r="AI174" s="19">
        <v>239.80869565217401</v>
      </c>
      <c r="AJ174" s="19">
        <v>1.97</v>
      </c>
      <c r="AK174" s="19">
        <v>56.486956521739103</v>
      </c>
      <c r="AL174" s="19">
        <v>0.46400000000000002</v>
      </c>
      <c r="AM174" s="19">
        <v>0</v>
      </c>
      <c r="AN174" s="19">
        <v>0</v>
      </c>
      <c r="AO174" s="19">
        <v>155.81739130434801</v>
      </c>
      <c r="AP174" s="19">
        <v>1.28</v>
      </c>
      <c r="AQ174" s="19">
        <v>291.39130434782601</v>
      </c>
      <c r="AR174" s="19">
        <v>2.8279999999999998</v>
      </c>
      <c r="AS174" s="19">
        <v>57.243478260869601</v>
      </c>
      <c r="AT174" s="19">
        <v>0.63</v>
      </c>
      <c r="AU174" s="19">
        <v>74.791304347826099</v>
      </c>
      <c r="AV174" s="19">
        <v>0.78200000000000003</v>
      </c>
      <c r="AW174" s="19">
        <v>0</v>
      </c>
      <c r="AX174" s="19">
        <v>0</v>
      </c>
      <c r="AY174" s="19">
        <v>114.44347826086999</v>
      </c>
      <c r="AZ174" s="19">
        <v>0.998</v>
      </c>
      <c r="BA174" s="19">
        <v>382.408695652174</v>
      </c>
      <c r="BB174" s="19">
        <v>2.9319999999999999</v>
      </c>
      <c r="BC174" s="19">
        <v>51.130434782608702</v>
      </c>
      <c r="BD174" s="19">
        <v>0.39200000000000002</v>
      </c>
      <c r="BE174" s="19">
        <v>0</v>
      </c>
      <c r="BF174" s="19">
        <v>0</v>
      </c>
      <c r="BG174" s="19">
        <v>204.139130434783</v>
      </c>
      <c r="BH174" s="19">
        <v>1.806</v>
      </c>
      <c r="BI174" s="19">
        <v>217.704347826087</v>
      </c>
      <c r="BJ174" s="19">
        <v>1.9259999999999999</v>
      </c>
      <c r="BK174" s="19">
        <v>91.104347826086993</v>
      </c>
      <c r="BL174" s="19">
        <v>0.80600000000000005</v>
      </c>
      <c r="BM174" s="19">
        <v>0</v>
      </c>
      <c r="BN174" s="19">
        <v>0</v>
      </c>
      <c r="BO174" s="19">
        <v>388.80869565217398</v>
      </c>
      <c r="BP174" s="19">
        <v>2.9809999999999999</v>
      </c>
      <c r="BQ174" s="19">
        <v>57.652173913043498</v>
      </c>
      <c r="BR174" s="19">
        <v>0.442</v>
      </c>
      <c r="BS174" s="19">
        <v>0</v>
      </c>
      <c r="BT174" s="19">
        <v>0</v>
      </c>
      <c r="BU174" s="19">
        <v>121.03478260869601</v>
      </c>
      <c r="BV174" s="19">
        <v>0.92800000000000005</v>
      </c>
      <c r="BW174" s="19">
        <v>268.15652173913003</v>
      </c>
      <c r="BX174" s="19">
        <v>2.056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239.991304347826</v>
      </c>
      <c r="CH174" s="19">
        <v>1.84</v>
      </c>
      <c r="CI174" s="19">
        <v>145.286956521739</v>
      </c>
      <c r="CJ174" s="19">
        <v>1.1140000000000001</v>
      </c>
      <c r="CK174" s="19">
        <v>407.97391304347798</v>
      </c>
      <c r="CL174" s="19">
        <v>3.1280000000000001</v>
      </c>
      <c r="CM174" s="19">
        <v>0</v>
      </c>
      <c r="CN174" s="19">
        <v>0</v>
      </c>
      <c r="CO174" s="19">
        <v>307.02608695652202</v>
      </c>
      <c r="CP174" s="19">
        <v>2.3540000000000001</v>
      </c>
      <c r="CQ174" s="19">
        <v>0</v>
      </c>
      <c r="CR174" s="19">
        <v>0</v>
      </c>
      <c r="CS174" s="19">
        <v>61.043478260869598</v>
      </c>
      <c r="CT174" s="19">
        <v>0.46800000000000003</v>
      </c>
      <c r="CU174" s="19">
        <v>87.382608695652195</v>
      </c>
      <c r="CV174" s="19">
        <v>0.67</v>
      </c>
      <c r="CW174" s="19">
        <v>0</v>
      </c>
      <c r="CX174" s="19">
        <v>0</v>
      </c>
      <c r="CY174" s="19">
        <v>0</v>
      </c>
      <c r="CZ174" s="19">
        <v>0</v>
      </c>
      <c r="DA174" s="19">
        <v>0</v>
      </c>
      <c r="DB174" s="19">
        <v>0</v>
      </c>
      <c r="DC174" s="19">
        <v>0</v>
      </c>
      <c r="DD174" s="19">
        <v>0</v>
      </c>
      <c r="DE174" s="19">
        <v>0</v>
      </c>
      <c r="DF174" s="19">
        <v>0</v>
      </c>
      <c r="DG174" s="19">
        <v>197.991304347826</v>
      </c>
      <c r="DH174" s="19">
        <v>1.518</v>
      </c>
      <c r="DI174" s="19">
        <v>0</v>
      </c>
      <c r="DJ174" s="19">
        <v>0</v>
      </c>
      <c r="DK174" s="19">
        <v>0</v>
      </c>
      <c r="DL174" s="19">
        <v>0</v>
      </c>
      <c r="DM174" s="19">
        <v>0</v>
      </c>
      <c r="DN174" s="19">
        <v>0</v>
      </c>
      <c r="DO174" s="19">
        <v>0</v>
      </c>
      <c r="DP174" s="19">
        <v>0</v>
      </c>
      <c r="DQ174" s="19">
        <v>0</v>
      </c>
      <c r="DR174" s="19">
        <v>0</v>
      </c>
      <c r="DS174" s="19">
        <v>0</v>
      </c>
      <c r="DT174" s="19">
        <v>0</v>
      </c>
      <c r="DU174" s="19">
        <v>0</v>
      </c>
      <c r="DV174" s="19">
        <v>0</v>
      </c>
      <c r="DW174" s="19">
        <v>164.33913043478299</v>
      </c>
      <c r="DX174" s="19">
        <v>1.26</v>
      </c>
      <c r="DY174" s="19">
        <v>0</v>
      </c>
      <c r="DZ174" s="19">
        <v>0</v>
      </c>
      <c r="EA174" s="19">
        <v>137.20869565217399</v>
      </c>
      <c r="EB174" s="19">
        <v>1.052</v>
      </c>
      <c r="EC174" s="19">
        <v>0</v>
      </c>
      <c r="ED174" s="19">
        <v>0</v>
      </c>
      <c r="EE174" s="19">
        <v>0</v>
      </c>
      <c r="EF174" s="19">
        <v>0</v>
      </c>
      <c r="EG174" s="19">
        <v>0</v>
      </c>
      <c r="EH174" s="19">
        <v>0</v>
      </c>
      <c r="EI174" s="19">
        <v>168.78260869565199</v>
      </c>
      <c r="EJ174" s="19">
        <v>1.294</v>
      </c>
      <c r="EK174" s="19">
        <v>0</v>
      </c>
      <c r="EL174" s="19">
        <v>0</v>
      </c>
      <c r="EM174" s="19">
        <v>0</v>
      </c>
      <c r="EN174" s="19">
        <v>0</v>
      </c>
      <c r="EO174" s="19">
        <v>0</v>
      </c>
      <c r="EP174" s="19">
        <v>0</v>
      </c>
      <c r="EQ174" s="19">
        <v>0</v>
      </c>
      <c r="ER174" s="19">
        <v>0</v>
      </c>
      <c r="ES174" s="119">
        <v>220.565217391304</v>
      </c>
      <c r="ET174" s="119">
        <v>1.8120000000000001</v>
      </c>
    </row>
    <row r="175" spans="1:150" ht="16.5" customHeight="1" x14ac:dyDescent="0.35">
      <c r="A175" s="4">
        <v>205</v>
      </c>
      <c r="B175" s="4" t="str">
        <f>LOOKUP(A175,Lookup!$A$1:$A$34,Lookup!$B$1:$B$34)</f>
        <v>MUTTON</v>
      </c>
      <c r="C175" s="5">
        <v>34257</v>
      </c>
      <c r="D175" s="6" t="s">
        <v>172</v>
      </c>
      <c r="E175" s="18">
        <v>136.87948560930801</v>
      </c>
      <c r="F175" s="18">
        <v>1.0109999999999999</v>
      </c>
      <c r="G175" s="18">
        <v>9718.4434782608696</v>
      </c>
      <c r="H175" s="18">
        <v>71.754999999999995</v>
      </c>
      <c r="I175" s="19">
        <v>73.034782608695707</v>
      </c>
      <c r="J175" s="19">
        <v>0.56000000000000005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60.521739130434803</v>
      </c>
      <c r="T175" s="19">
        <v>0.46400000000000002</v>
      </c>
      <c r="U175" s="19">
        <v>58.695652173912997</v>
      </c>
      <c r="V175" s="19">
        <v>0.45</v>
      </c>
      <c r="W175" s="19">
        <v>0</v>
      </c>
      <c r="X175" s="19">
        <v>0</v>
      </c>
      <c r="Y175" s="19">
        <v>0</v>
      </c>
      <c r="Z175" s="19">
        <v>0</v>
      </c>
      <c r="AA175" s="19">
        <v>58.956521739130402</v>
      </c>
      <c r="AB175" s="19">
        <v>0.45200000000000001</v>
      </c>
      <c r="AC175" s="19">
        <v>130.94782608695701</v>
      </c>
      <c r="AD175" s="19">
        <v>1.004</v>
      </c>
      <c r="AE175" s="19">
        <v>241.539130434783</v>
      </c>
      <c r="AF175" s="19">
        <v>1.8520000000000001</v>
      </c>
      <c r="AG175" s="19">
        <v>0</v>
      </c>
      <c r="AH175" s="19">
        <v>0</v>
      </c>
      <c r="AI175" s="19">
        <v>66.773913043478302</v>
      </c>
      <c r="AJ175" s="19">
        <v>0.51200000000000001</v>
      </c>
      <c r="AK175" s="19">
        <v>120.52173913043499</v>
      </c>
      <c r="AL175" s="19">
        <v>0.92400000000000004</v>
      </c>
      <c r="AM175" s="19">
        <v>0</v>
      </c>
      <c r="AN175" s="19">
        <v>0</v>
      </c>
      <c r="AO175" s="19">
        <v>124.94782608695699</v>
      </c>
      <c r="AP175" s="19">
        <v>0.95799999999999996</v>
      </c>
      <c r="AQ175" s="19">
        <v>133.295652173913</v>
      </c>
      <c r="AR175" s="19">
        <v>1.022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73.452173913043495</v>
      </c>
      <c r="BF175" s="19">
        <v>0.52800000000000002</v>
      </c>
      <c r="BG175" s="19">
        <v>126.32173913043501</v>
      </c>
      <c r="BH175" s="19">
        <v>0.90800000000000003</v>
      </c>
      <c r="BI175" s="19">
        <v>157.20869565217399</v>
      </c>
      <c r="BJ175" s="19">
        <v>1.1299999999999999</v>
      </c>
      <c r="BK175" s="19">
        <v>109.634782608696</v>
      </c>
      <c r="BL175" s="19">
        <v>0.78800000000000003</v>
      </c>
      <c r="BM175" s="19">
        <v>259.31304347826102</v>
      </c>
      <c r="BN175" s="19">
        <v>1.8640000000000001</v>
      </c>
      <c r="BO175" s="19">
        <v>158.6</v>
      </c>
      <c r="BP175" s="19">
        <v>1.1399999999999999</v>
      </c>
      <c r="BQ175" s="19">
        <v>131.33043478260899</v>
      </c>
      <c r="BR175" s="19">
        <v>0.94399999999999995</v>
      </c>
      <c r="BS175" s="19">
        <v>163.04347826086999</v>
      </c>
      <c r="BT175" s="19">
        <v>1.1719999999999999</v>
      </c>
      <c r="BU175" s="19">
        <v>254.6</v>
      </c>
      <c r="BV175" s="19">
        <v>1.83</v>
      </c>
      <c r="BW175" s="19">
        <v>0</v>
      </c>
      <c r="BX175" s="19">
        <v>0</v>
      </c>
      <c r="BY175" s="19">
        <v>409.02608695652202</v>
      </c>
      <c r="BZ175" s="19">
        <v>2.94</v>
      </c>
      <c r="CA175" s="19">
        <v>239</v>
      </c>
      <c r="CB175" s="19">
        <v>1.718</v>
      </c>
      <c r="CC175" s="19">
        <v>294.08695652173901</v>
      </c>
      <c r="CD175" s="19">
        <v>2.1139999999999999</v>
      </c>
      <c r="CE175" s="19">
        <v>134.121739130435</v>
      </c>
      <c r="CF175" s="19">
        <v>0.96399999999999997</v>
      </c>
      <c r="CG175" s="19">
        <v>204.79130434782601</v>
      </c>
      <c r="CH175" s="19">
        <v>1.472</v>
      </c>
      <c r="CI175" s="19">
        <v>207.852173913043</v>
      </c>
      <c r="CJ175" s="19">
        <v>1.494</v>
      </c>
      <c r="CK175" s="19">
        <v>185.304347826087</v>
      </c>
      <c r="CL175" s="19">
        <v>1.3320000000000001</v>
      </c>
      <c r="CM175" s="19">
        <v>330.547826086957</v>
      </c>
      <c r="CN175" s="19">
        <v>2.3759999999999999</v>
      </c>
      <c r="CO175" s="19">
        <v>426.53913043478298</v>
      </c>
      <c r="CP175" s="19">
        <v>3.0659999999999998</v>
      </c>
      <c r="CQ175" s="19">
        <v>72.617391304347805</v>
      </c>
      <c r="CR175" s="19">
        <v>0.52200000000000002</v>
      </c>
      <c r="CS175" s="19">
        <v>271.573913043478</v>
      </c>
      <c r="CT175" s="19">
        <v>1.952</v>
      </c>
      <c r="CU175" s="19">
        <v>0</v>
      </c>
      <c r="CV175" s="19">
        <v>0</v>
      </c>
      <c r="CW175" s="19">
        <v>186.417391304348</v>
      </c>
      <c r="CX175" s="19">
        <v>1.34</v>
      </c>
      <c r="CY175" s="19">
        <v>359.20869565217401</v>
      </c>
      <c r="CZ175" s="19">
        <v>2.5819999999999999</v>
      </c>
      <c r="DA175" s="19">
        <v>176.67826086956501</v>
      </c>
      <c r="DB175" s="19">
        <v>1.27</v>
      </c>
      <c r="DC175" s="19">
        <v>254.878260869565</v>
      </c>
      <c r="DD175" s="19">
        <v>1.8320000000000001</v>
      </c>
      <c r="DE175" s="19">
        <v>313.017391304348</v>
      </c>
      <c r="DF175" s="19">
        <v>2.25</v>
      </c>
      <c r="DG175" s="19">
        <v>84.860869565217399</v>
      </c>
      <c r="DH175" s="19">
        <v>0.61</v>
      </c>
      <c r="DI175" s="19">
        <v>246.539130434783</v>
      </c>
      <c r="DJ175" s="19">
        <v>1.772</v>
      </c>
      <c r="DK175" s="19">
        <v>242.08695652173901</v>
      </c>
      <c r="DL175" s="19">
        <v>1.74</v>
      </c>
      <c r="DM175" s="19">
        <v>167.77391304347799</v>
      </c>
      <c r="DN175" s="19">
        <v>1.206</v>
      </c>
      <c r="DO175" s="19">
        <v>143.84347826087</v>
      </c>
      <c r="DP175" s="19">
        <v>1.034</v>
      </c>
      <c r="DQ175" s="19">
        <v>151.07826086956501</v>
      </c>
      <c r="DR175" s="19">
        <v>1.0860000000000001</v>
      </c>
      <c r="DS175" s="19">
        <v>146.35652173912999</v>
      </c>
      <c r="DT175" s="19">
        <v>1.052</v>
      </c>
      <c r="DU175" s="19">
        <v>0</v>
      </c>
      <c r="DV175" s="19">
        <v>0</v>
      </c>
      <c r="DW175" s="19">
        <v>0</v>
      </c>
      <c r="DX175" s="19">
        <v>0</v>
      </c>
      <c r="DY175" s="19">
        <v>0</v>
      </c>
      <c r="DZ175" s="19">
        <v>0</v>
      </c>
      <c r="EA175" s="19">
        <v>43.826086956521699</v>
      </c>
      <c r="EB175" s="19">
        <v>0.33600000000000002</v>
      </c>
      <c r="EC175" s="19">
        <v>244.417391304348</v>
      </c>
      <c r="ED175" s="19">
        <v>1.8740000000000001</v>
      </c>
      <c r="EE175" s="19">
        <v>126</v>
      </c>
      <c r="EF175" s="19">
        <v>0.96599999999999997</v>
      </c>
      <c r="EG175" s="19">
        <v>332.07826086956499</v>
      </c>
      <c r="EH175" s="19">
        <v>2.5459999999999998</v>
      </c>
      <c r="EI175" s="19">
        <v>111.913043478261</v>
      </c>
      <c r="EJ175" s="19">
        <v>0.85799999999999998</v>
      </c>
      <c r="EK175" s="19">
        <v>185.20869565217399</v>
      </c>
      <c r="EL175" s="19">
        <v>1.42</v>
      </c>
      <c r="EM175" s="19">
        <v>114.26086956521701</v>
      </c>
      <c r="EN175" s="19">
        <v>0.876</v>
      </c>
      <c r="EO175" s="19">
        <v>229.64347826087001</v>
      </c>
      <c r="EP175" s="19">
        <v>1.887</v>
      </c>
      <c r="EQ175" s="19">
        <v>267.56521739130397</v>
      </c>
      <c r="ER175" s="19">
        <v>2.198</v>
      </c>
      <c r="ES175" s="119">
        <v>312.591304347826</v>
      </c>
      <c r="ET175" s="119">
        <v>2.5680000000000001</v>
      </c>
    </row>
    <row r="176" spans="1:150" ht="16.5" customHeight="1" x14ac:dyDescent="0.35">
      <c r="A176" s="4">
        <v>205</v>
      </c>
      <c r="B176" s="4" t="str">
        <f>LOOKUP(A176,Lookup!$A$1:$A$34,Lookup!$B$1:$B$34)</f>
        <v>MUTTON</v>
      </c>
      <c r="C176" s="5">
        <v>34258</v>
      </c>
      <c r="D176" s="6" t="s">
        <v>173</v>
      </c>
      <c r="E176" s="18">
        <v>869.24458052663795</v>
      </c>
      <c r="F176" s="18">
        <v>6.0839999999999996</v>
      </c>
      <c r="G176" s="18">
        <v>61716.3652173913</v>
      </c>
      <c r="H176" s="18">
        <v>431.99</v>
      </c>
      <c r="I176" s="19">
        <v>630.48695652173899</v>
      </c>
      <c r="J176" s="19">
        <v>4.8339999999999996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794.03478260869599</v>
      </c>
      <c r="T176" s="19">
        <v>6.0880000000000001</v>
      </c>
      <c r="U176" s="19">
        <v>516.73913043478296</v>
      </c>
      <c r="V176" s="19">
        <v>3.9620000000000002</v>
      </c>
      <c r="W176" s="19">
        <v>726.4</v>
      </c>
      <c r="X176" s="19">
        <v>5.5960000000000001</v>
      </c>
      <c r="Y176" s="19">
        <v>731.24347826087001</v>
      </c>
      <c r="Z176" s="19">
        <v>5.6340000000000003</v>
      </c>
      <c r="AA176" s="19">
        <v>1088.25217391304</v>
      </c>
      <c r="AB176" s="19">
        <v>8.3439999999999994</v>
      </c>
      <c r="AC176" s="19">
        <v>581.426086956522</v>
      </c>
      <c r="AD176" s="19">
        <v>4.4580000000000002</v>
      </c>
      <c r="AE176" s="19">
        <v>773.40869565217395</v>
      </c>
      <c r="AF176" s="19">
        <v>5.93</v>
      </c>
      <c r="AG176" s="19">
        <v>602.79999999999995</v>
      </c>
      <c r="AH176" s="19">
        <v>4.694</v>
      </c>
      <c r="AI176" s="19">
        <v>538.64347826086998</v>
      </c>
      <c r="AJ176" s="19">
        <v>4.13</v>
      </c>
      <c r="AK176" s="19">
        <v>853.70434782608697</v>
      </c>
      <c r="AL176" s="19">
        <v>6.5640000000000001</v>
      </c>
      <c r="AM176" s="19">
        <v>1032.72173913043</v>
      </c>
      <c r="AN176" s="19">
        <v>7.9180000000000001</v>
      </c>
      <c r="AO176" s="19">
        <v>681.33043478260902</v>
      </c>
      <c r="AP176" s="19">
        <v>5.2240000000000002</v>
      </c>
      <c r="AQ176" s="19">
        <v>1401.8956521739101</v>
      </c>
      <c r="AR176" s="19">
        <v>10.358000000000001</v>
      </c>
      <c r="AS176" s="19">
        <v>971.33913043478299</v>
      </c>
      <c r="AT176" s="19">
        <v>6.9820000000000002</v>
      </c>
      <c r="AU176" s="19">
        <v>614.35652173913002</v>
      </c>
      <c r="AV176" s="19">
        <v>4.4420000000000002</v>
      </c>
      <c r="AW176" s="19">
        <v>670.83478260869595</v>
      </c>
      <c r="AX176" s="19">
        <v>4.6280000000000001</v>
      </c>
      <c r="AY176" s="19">
        <v>1210.52173913043</v>
      </c>
      <c r="AZ176" s="19">
        <v>7.798</v>
      </c>
      <c r="BA176" s="19">
        <v>722.76521739130396</v>
      </c>
      <c r="BB176" s="19">
        <v>4.6180000000000003</v>
      </c>
      <c r="BC176" s="19">
        <v>1489.0608695652199</v>
      </c>
      <c r="BD176" s="19">
        <v>9.5139999999999993</v>
      </c>
      <c r="BE176" s="19">
        <v>232.89565217391299</v>
      </c>
      <c r="BF176" s="19">
        <v>1.488</v>
      </c>
      <c r="BG176" s="19">
        <v>1375.8608695652199</v>
      </c>
      <c r="BH176" s="19">
        <v>9.0579999999999998</v>
      </c>
      <c r="BI176" s="19">
        <v>858.23478260869604</v>
      </c>
      <c r="BJ176" s="19">
        <v>5.806</v>
      </c>
      <c r="BK176" s="19">
        <v>749.72173913043503</v>
      </c>
      <c r="BL176" s="19">
        <v>5.0720000000000001</v>
      </c>
      <c r="BM176" s="19">
        <v>863.24347826087001</v>
      </c>
      <c r="BN176" s="19">
        <v>5.84</v>
      </c>
      <c r="BO176" s="19">
        <v>1040.6173913043499</v>
      </c>
      <c r="BP176" s="19">
        <v>7.04</v>
      </c>
      <c r="BQ176" s="19">
        <v>725.17391304347802</v>
      </c>
      <c r="BR176" s="19">
        <v>4.9059999999999997</v>
      </c>
      <c r="BS176" s="19">
        <v>701.22608695652195</v>
      </c>
      <c r="BT176" s="19">
        <v>4.7439999999999998</v>
      </c>
      <c r="BU176" s="19">
        <v>1019.60869565217</v>
      </c>
      <c r="BV176" s="19">
        <v>6.8979999999999997</v>
      </c>
      <c r="BW176" s="19">
        <v>865.6</v>
      </c>
      <c r="BX176" s="19">
        <v>5.8559999999999999</v>
      </c>
      <c r="BY176" s="19">
        <v>859.97391304347798</v>
      </c>
      <c r="BZ176" s="19">
        <v>5.8179999999999996</v>
      </c>
      <c r="CA176" s="19">
        <v>634.74782608695705</v>
      </c>
      <c r="CB176" s="19">
        <v>4.2939999999999996</v>
      </c>
      <c r="CC176" s="19">
        <v>882.44347826087005</v>
      </c>
      <c r="CD176" s="19">
        <v>5.97</v>
      </c>
      <c r="CE176" s="19">
        <v>1068.6782608695701</v>
      </c>
      <c r="CF176" s="19">
        <v>7.23</v>
      </c>
      <c r="CG176" s="19">
        <v>970.24347826087001</v>
      </c>
      <c r="CH176" s="19">
        <v>6.5640000000000001</v>
      </c>
      <c r="CI176" s="19">
        <v>1330.3130434782599</v>
      </c>
      <c r="CJ176" s="19">
        <v>9</v>
      </c>
      <c r="CK176" s="19">
        <v>772.18260869565199</v>
      </c>
      <c r="CL176" s="19">
        <v>5.2240000000000002</v>
      </c>
      <c r="CM176" s="19">
        <v>1461.29565217391</v>
      </c>
      <c r="CN176" s="19">
        <v>9.8859999999999992</v>
      </c>
      <c r="CO176" s="19">
        <v>1077.5652173912999</v>
      </c>
      <c r="CP176" s="19">
        <v>7.29</v>
      </c>
      <c r="CQ176" s="19">
        <v>1082.01739130435</v>
      </c>
      <c r="CR176" s="19">
        <v>7.3479999999999999</v>
      </c>
      <c r="CS176" s="19">
        <v>439.32173913043499</v>
      </c>
      <c r="CT176" s="19">
        <v>2.972</v>
      </c>
      <c r="CU176" s="19">
        <v>748.53043478260895</v>
      </c>
      <c r="CV176" s="19">
        <v>5.0640000000000001</v>
      </c>
      <c r="CW176" s="19">
        <v>618.18260869565199</v>
      </c>
      <c r="CX176" s="19">
        <v>4.1820000000000004</v>
      </c>
      <c r="CY176" s="19">
        <v>1032.05217391304</v>
      </c>
      <c r="CZ176" s="19">
        <v>7.0419999999999998</v>
      </c>
      <c r="DA176" s="19">
        <v>611.35652173913002</v>
      </c>
      <c r="DB176" s="19">
        <v>4.1360000000000001</v>
      </c>
      <c r="DC176" s="19">
        <v>1691.8521739130399</v>
      </c>
      <c r="DD176" s="19">
        <v>11.474</v>
      </c>
      <c r="DE176" s="19">
        <v>3810.8956521739101</v>
      </c>
      <c r="DF176" s="19">
        <v>25.782</v>
      </c>
      <c r="DG176" s="19">
        <v>1310.0347826087</v>
      </c>
      <c r="DH176" s="19">
        <v>8.8859999999999992</v>
      </c>
      <c r="DI176" s="19">
        <v>1898.8956521739101</v>
      </c>
      <c r="DJ176" s="19">
        <v>12.901999999999999</v>
      </c>
      <c r="DK176" s="19">
        <v>650.11304347826103</v>
      </c>
      <c r="DL176" s="19">
        <v>4.3979999999999997</v>
      </c>
      <c r="DM176" s="19">
        <v>758.89565217391305</v>
      </c>
      <c r="DN176" s="19">
        <v>5.1340000000000003</v>
      </c>
      <c r="DO176" s="19">
        <v>617.852173913044</v>
      </c>
      <c r="DP176" s="19">
        <v>4.18</v>
      </c>
      <c r="DQ176" s="19">
        <v>513.84347826087003</v>
      </c>
      <c r="DR176" s="19">
        <v>3.476</v>
      </c>
      <c r="DS176" s="19">
        <v>1363.46956521739</v>
      </c>
      <c r="DT176" s="19">
        <v>9.2240000000000002</v>
      </c>
      <c r="DU176" s="19">
        <v>755.92173913043496</v>
      </c>
      <c r="DV176" s="19">
        <v>5.1139999999999999</v>
      </c>
      <c r="DW176" s="19">
        <v>938.31304347826097</v>
      </c>
      <c r="DX176" s="19">
        <v>6.6539999999999999</v>
      </c>
      <c r="DY176" s="19">
        <v>0</v>
      </c>
      <c r="DZ176" s="19">
        <v>0</v>
      </c>
      <c r="EA176" s="19">
        <v>422.91304347826099</v>
      </c>
      <c r="EB176" s="19">
        <v>3.04</v>
      </c>
      <c r="EC176" s="19">
        <v>1190.4434782608701</v>
      </c>
      <c r="ED176" s="19">
        <v>8.6180000000000003</v>
      </c>
      <c r="EE176" s="19">
        <v>625.46956521739105</v>
      </c>
      <c r="EF176" s="19">
        <v>4.4960000000000004</v>
      </c>
      <c r="EG176" s="19">
        <v>1253.45217391304</v>
      </c>
      <c r="EH176" s="19">
        <v>9.048</v>
      </c>
      <c r="EI176" s="19">
        <v>1035.8869565217401</v>
      </c>
      <c r="EJ176" s="19">
        <v>7.4459999999999997</v>
      </c>
      <c r="EK176" s="19">
        <v>529.47826086956502</v>
      </c>
      <c r="EL176" s="19">
        <v>3.806</v>
      </c>
      <c r="EM176" s="19">
        <v>976.06956521739096</v>
      </c>
      <c r="EN176" s="19">
        <v>7.016</v>
      </c>
      <c r="EO176" s="19">
        <v>649.65217391304304</v>
      </c>
      <c r="EP176" s="19">
        <v>4.95</v>
      </c>
      <c r="EQ176" s="19">
        <v>941.38260869565204</v>
      </c>
      <c r="ER176" s="19">
        <v>7.218</v>
      </c>
      <c r="ES176" s="119">
        <v>1213.25217391304</v>
      </c>
      <c r="ET176" s="119">
        <v>9.3339999999999996</v>
      </c>
    </row>
    <row r="177" spans="1:150" ht="16.5" customHeight="1" x14ac:dyDescent="0.35">
      <c r="A177" s="4">
        <v>205</v>
      </c>
      <c r="B177" s="4" t="str">
        <f>LOOKUP(A177,Lookup!$A$1:$A$34,Lookup!$B$1:$B$34)</f>
        <v>MUTTON</v>
      </c>
      <c r="C177" s="5">
        <v>34259</v>
      </c>
      <c r="D177" s="6" t="s">
        <v>174</v>
      </c>
      <c r="E177" s="18">
        <v>0</v>
      </c>
      <c r="F177" s="18">
        <v>0</v>
      </c>
      <c r="G177" s="18">
        <v>0</v>
      </c>
      <c r="H177" s="18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0</v>
      </c>
      <c r="CO177" s="19">
        <v>0</v>
      </c>
      <c r="CP177" s="19">
        <v>0</v>
      </c>
      <c r="CQ177" s="19">
        <v>0</v>
      </c>
      <c r="CR177" s="19">
        <v>0</v>
      </c>
      <c r="CS177" s="19">
        <v>0</v>
      </c>
      <c r="CT177" s="19">
        <v>0</v>
      </c>
      <c r="CU177" s="19">
        <v>0</v>
      </c>
      <c r="CV177" s="19">
        <v>0</v>
      </c>
      <c r="CW177" s="19">
        <v>0</v>
      </c>
      <c r="CX177" s="19">
        <v>0</v>
      </c>
      <c r="CY177" s="19">
        <v>0</v>
      </c>
      <c r="CZ177" s="19">
        <v>0</v>
      </c>
      <c r="DA177" s="19">
        <v>0</v>
      </c>
      <c r="DB177" s="19">
        <v>0</v>
      </c>
      <c r="DC177" s="19">
        <v>0</v>
      </c>
      <c r="DD177" s="19">
        <v>0</v>
      </c>
      <c r="DE177" s="19">
        <v>0</v>
      </c>
      <c r="DF177" s="19">
        <v>0</v>
      </c>
      <c r="DG177" s="19">
        <v>0</v>
      </c>
      <c r="DH177" s="19">
        <v>0</v>
      </c>
      <c r="DI177" s="19">
        <v>0</v>
      </c>
      <c r="DJ177" s="19">
        <v>0</v>
      </c>
      <c r="DK177" s="19">
        <v>0</v>
      </c>
      <c r="DL177" s="19">
        <v>0</v>
      </c>
      <c r="DM177" s="19">
        <v>0</v>
      </c>
      <c r="DN177" s="19">
        <v>0</v>
      </c>
      <c r="DO177" s="19">
        <v>0</v>
      </c>
      <c r="DP177" s="19">
        <v>0</v>
      </c>
      <c r="DQ177" s="19">
        <v>0</v>
      </c>
      <c r="DR177" s="19">
        <v>0</v>
      </c>
      <c r="DS177" s="19">
        <v>0</v>
      </c>
      <c r="DT177" s="19">
        <v>0</v>
      </c>
      <c r="DU177" s="19">
        <v>0</v>
      </c>
      <c r="DV177" s="19">
        <v>0</v>
      </c>
      <c r="DW177" s="19">
        <v>0</v>
      </c>
      <c r="DX177" s="19">
        <v>0</v>
      </c>
      <c r="DY177" s="19">
        <v>0</v>
      </c>
      <c r="DZ177" s="19">
        <v>0</v>
      </c>
      <c r="EA177" s="19">
        <v>0</v>
      </c>
      <c r="EB177" s="19">
        <v>0</v>
      </c>
      <c r="EC177" s="19">
        <v>0</v>
      </c>
      <c r="ED177" s="19">
        <v>0</v>
      </c>
      <c r="EE177" s="19">
        <v>0</v>
      </c>
      <c r="EF177" s="19">
        <v>0</v>
      </c>
      <c r="EG177" s="19">
        <v>0</v>
      </c>
      <c r="EH177" s="19">
        <v>0</v>
      </c>
      <c r="EI177" s="19">
        <v>0</v>
      </c>
      <c r="EJ177" s="19">
        <v>0</v>
      </c>
      <c r="EK177" s="19">
        <v>0</v>
      </c>
      <c r="EL177" s="19">
        <v>0</v>
      </c>
      <c r="EM177" s="19">
        <v>0</v>
      </c>
      <c r="EN177" s="19">
        <v>0</v>
      </c>
      <c r="EO177" s="19">
        <v>0</v>
      </c>
      <c r="EP177" s="19">
        <v>0</v>
      </c>
      <c r="EQ177" s="19">
        <v>0</v>
      </c>
      <c r="ER177" s="19">
        <v>0</v>
      </c>
      <c r="ES177" s="119">
        <v>0</v>
      </c>
      <c r="ET177" s="119">
        <v>0</v>
      </c>
    </row>
    <row r="178" spans="1:150" ht="16.5" customHeight="1" x14ac:dyDescent="0.35">
      <c r="A178" s="4">
        <v>205</v>
      </c>
      <c r="B178" s="4" t="str">
        <f>LOOKUP(A178,Lookup!$A$1:$A$34,Lookup!$B$1:$B$34)</f>
        <v>MUTTON</v>
      </c>
      <c r="C178" s="5">
        <v>34260</v>
      </c>
      <c r="D178" s="6" t="s">
        <v>175</v>
      </c>
      <c r="E178" s="18">
        <v>1.6616044090630699</v>
      </c>
      <c r="F178" s="18">
        <v>1.2E-2</v>
      </c>
      <c r="G178" s="18">
        <v>117.97391304347801</v>
      </c>
      <c r="H178" s="18">
        <v>0.84799999999999998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117.97391304347801</v>
      </c>
      <c r="AX178" s="19">
        <v>0.84799999999999998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0</v>
      </c>
      <c r="CN178" s="19">
        <v>0</v>
      </c>
      <c r="CO178" s="19">
        <v>0</v>
      </c>
      <c r="CP178" s="19">
        <v>0</v>
      </c>
      <c r="CQ178" s="19">
        <v>0</v>
      </c>
      <c r="CR178" s="19">
        <v>0</v>
      </c>
      <c r="CS178" s="19">
        <v>0</v>
      </c>
      <c r="CT178" s="19">
        <v>0</v>
      </c>
      <c r="CU178" s="19">
        <v>0</v>
      </c>
      <c r="CV178" s="19">
        <v>0</v>
      </c>
      <c r="CW178" s="19">
        <v>0</v>
      </c>
      <c r="CX178" s="19">
        <v>0</v>
      </c>
      <c r="CY178" s="19">
        <v>0</v>
      </c>
      <c r="CZ178" s="19">
        <v>0</v>
      </c>
      <c r="DA178" s="19">
        <v>0</v>
      </c>
      <c r="DB178" s="19">
        <v>0</v>
      </c>
      <c r="DC178" s="19">
        <v>0</v>
      </c>
      <c r="DD178" s="19">
        <v>0</v>
      </c>
      <c r="DE178" s="19">
        <v>0</v>
      </c>
      <c r="DF178" s="19">
        <v>0</v>
      </c>
      <c r="DG178" s="19">
        <v>0</v>
      </c>
      <c r="DH178" s="19">
        <v>0</v>
      </c>
      <c r="DI178" s="19">
        <v>0</v>
      </c>
      <c r="DJ178" s="19">
        <v>0</v>
      </c>
      <c r="DK178" s="19">
        <v>0</v>
      </c>
      <c r="DL178" s="19">
        <v>0</v>
      </c>
      <c r="DM178" s="19">
        <v>0</v>
      </c>
      <c r="DN178" s="19">
        <v>0</v>
      </c>
      <c r="DO178" s="19">
        <v>0</v>
      </c>
      <c r="DP178" s="19">
        <v>0</v>
      </c>
      <c r="DQ178" s="19">
        <v>0</v>
      </c>
      <c r="DR178" s="19">
        <v>0</v>
      </c>
      <c r="DS178" s="19">
        <v>0</v>
      </c>
      <c r="DT178" s="19">
        <v>0</v>
      </c>
      <c r="DU178" s="19">
        <v>0</v>
      </c>
      <c r="DV178" s="19">
        <v>0</v>
      </c>
      <c r="DW178" s="19">
        <v>0</v>
      </c>
      <c r="DX178" s="19">
        <v>0</v>
      </c>
      <c r="DY178" s="19">
        <v>0</v>
      </c>
      <c r="DZ178" s="19">
        <v>0</v>
      </c>
      <c r="EA178" s="19">
        <v>0</v>
      </c>
      <c r="EB178" s="19">
        <v>0</v>
      </c>
      <c r="EC178" s="19">
        <v>0</v>
      </c>
      <c r="ED178" s="19">
        <v>0</v>
      </c>
      <c r="EE178" s="19">
        <v>0</v>
      </c>
      <c r="EF178" s="19">
        <v>0</v>
      </c>
      <c r="EG178" s="19">
        <v>0</v>
      </c>
      <c r="EH178" s="19">
        <v>0</v>
      </c>
      <c r="EI178" s="19">
        <v>0</v>
      </c>
      <c r="EJ178" s="19">
        <v>0</v>
      </c>
      <c r="EK178" s="19">
        <v>0</v>
      </c>
      <c r="EL178" s="19">
        <v>0</v>
      </c>
      <c r="EM178" s="19">
        <v>0</v>
      </c>
      <c r="EN178" s="19">
        <v>0</v>
      </c>
      <c r="EO178" s="19">
        <v>0</v>
      </c>
      <c r="EP178" s="19">
        <v>0</v>
      </c>
      <c r="EQ178" s="19">
        <v>0</v>
      </c>
      <c r="ER178" s="19">
        <v>0</v>
      </c>
      <c r="ES178" s="119">
        <v>0</v>
      </c>
      <c r="ET178" s="119">
        <v>0</v>
      </c>
    </row>
    <row r="179" spans="1:150" ht="16.5" customHeight="1" x14ac:dyDescent="0.35">
      <c r="A179" s="4">
        <v>205</v>
      </c>
      <c r="B179" s="4" t="str">
        <f>LOOKUP(A179,Lookup!$A$1:$A$34,Lookup!$B$1:$B$34)</f>
        <v>MUTTON</v>
      </c>
      <c r="C179" s="5">
        <v>34261</v>
      </c>
      <c r="D179" s="6" t="s">
        <v>176</v>
      </c>
      <c r="E179" s="18">
        <v>911.19289650949202</v>
      </c>
      <c r="F179" s="18">
        <v>6.7320000000000002</v>
      </c>
      <c r="G179" s="18">
        <v>64694.695652173898</v>
      </c>
      <c r="H179" s="18">
        <v>477.99700000000001</v>
      </c>
      <c r="I179" s="19">
        <v>927.03478260869599</v>
      </c>
      <c r="J179" s="19">
        <v>7.1079999999999997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1034.77391304348</v>
      </c>
      <c r="T179" s="19">
        <v>7.9340000000000002</v>
      </c>
      <c r="U179" s="19">
        <v>897.84347826087003</v>
      </c>
      <c r="V179" s="19">
        <v>6.8840000000000003</v>
      </c>
      <c r="W179" s="19">
        <v>827.97391304347798</v>
      </c>
      <c r="X179" s="19">
        <v>6.38</v>
      </c>
      <c r="Y179" s="19">
        <v>1347.26956521739</v>
      </c>
      <c r="Z179" s="19">
        <v>10.33</v>
      </c>
      <c r="AA179" s="19">
        <v>1663.69565217391</v>
      </c>
      <c r="AB179" s="19">
        <v>12.756</v>
      </c>
      <c r="AC179" s="19">
        <v>1261.20869565217</v>
      </c>
      <c r="AD179" s="19">
        <v>9.67</v>
      </c>
      <c r="AE179" s="19">
        <v>82.165217391304296</v>
      </c>
      <c r="AF179" s="19">
        <v>0.63</v>
      </c>
      <c r="AG179" s="19">
        <v>726.71304347826106</v>
      </c>
      <c r="AH179" s="19">
        <v>5.5720000000000001</v>
      </c>
      <c r="AI179" s="19">
        <v>774.46086956521697</v>
      </c>
      <c r="AJ179" s="19">
        <v>5.9379999999999997</v>
      </c>
      <c r="AK179" s="19">
        <v>596.121739130435</v>
      </c>
      <c r="AL179" s="19">
        <v>4.5940000000000003</v>
      </c>
      <c r="AM179" s="19">
        <v>841.73913043478296</v>
      </c>
      <c r="AN179" s="19">
        <v>6.4539999999999997</v>
      </c>
      <c r="AO179" s="19">
        <v>964.86956521739103</v>
      </c>
      <c r="AP179" s="19">
        <v>7.3979999999999997</v>
      </c>
      <c r="AQ179" s="19">
        <v>1390.8260869565199</v>
      </c>
      <c r="AR179" s="19">
        <v>11.15</v>
      </c>
      <c r="AS179" s="19">
        <v>941.18260869565199</v>
      </c>
      <c r="AT179" s="19">
        <v>7.7320000000000002</v>
      </c>
      <c r="AU179" s="19">
        <v>469.37391304347801</v>
      </c>
      <c r="AV179" s="19">
        <v>3.8559999999999999</v>
      </c>
      <c r="AW179" s="19">
        <v>1159.3391304347799</v>
      </c>
      <c r="AX179" s="19">
        <v>8.8879999999999999</v>
      </c>
      <c r="AY179" s="19">
        <v>962.79130434782599</v>
      </c>
      <c r="AZ179" s="19">
        <v>7.3819999999999997</v>
      </c>
      <c r="BA179" s="19">
        <v>730.63478260869601</v>
      </c>
      <c r="BB179" s="19">
        <v>5.6020000000000003</v>
      </c>
      <c r="BC179" s="19">
        <v>1519.6869565217401</v>
      </c>
      <c r="BD179" s="19">
        <v>11.651999999999999</v>
      </c>
      <c r="BE179" s="19">
        <v>391.269565217391</v>
      </c>
      <c r="BF179" s="19">
        <v>3</v>
      </c>
      <c r="BG179" s="19">
        <v>1852.00869565217</v>
      </c>
      <c r="BH179" s="19">
        <v>13.669</v>
      </c>
      <c r="BI179" s="19">
        <v>1636.3130434782599</v>
      </c>
      <c r="BJ179" s="19">
        <v>11.762</v>
      </c>
      <c r="BK179" s="19">
        <v>1133.8347826086999</v>
      </c>
      <c r="BL179" s="19">
        <v>8.15</v>
      </c>
      <c r="BM179" s="19">
        <v>927.92173913043496</v>
      </c>
      <c r="BN179" s="19">
        <v>6.67</v>
      </c>
      <c r="BO179" s="19">
        <v>1113.79130434783</v>
      </c>
      <c r="BP179" s="19">
        <v>8.0060000000000002</v>
      </c>
      <c r="BQ179" s="19">
        <v>1188.9043478260901</v>
      </c>
      <c r="BR179" s="19">
        <v>8.5459999999999994</v>
      </c>
      <c r="BS179" s="19">
        <v>683.63478260869601</v>
      </c>
      <c r="BT179" s="19">
        <v>4.9139999999999997</v>
      </c>
      <c r="BU179" s="19">
        <v>691.695652173913</v>
      </c>
      <c r="BV179" s="19">
        <v>4.9720000000000004</v>
      </c>
      <c r="BW179" s="19">
        <v>1223.97391304348</v>
      </c>
      <c r="BX179" s="19">
        <v>8.798</v>
      </c>
      <c r="BY179" s="19">
        <v>1347.22608695652</v>
      </c>
      <c r="BZ179" s="19">
        <v>9.6839999999999993</v>
      </c>
      <c r="CA179" s="19">
        <v>1175.8434782608699</v>
      </c>
      <c r="CB179" s="19">
        <v>8.452</v>
      </c>
      <c r="CC179" s="19">
        <v>834.71304347826106</v>
      </c>
      <c r="CD179" s="19">
        <v>6</v>
      </c>
      <c r="CE179" s="19">
        <v>884.51304347826101</v>
      </c>
      <c r="CF179" s="19">
        <v>6.3579999999999997</v>
      </c>
      <c r="CG179" s="19">
        <v>1918.26956521739</v>
      </c>
      <c r="CH179" s="19">
        <v>13.818</v>
      </c>
      <c r="CI179" s="19">
        <v>1656.9043478260901</v>
      </c>
      <c r="CJ179" s="19">
        <v>11.91</v>
      </c>
      <c r="CK179" s="19">
        <v>1006.38260869565</v>
      </c>
      <c r="CL179" s="19">
        <v>7.234</v>
      </c>
      <c r="CM179" s="19">
        <v>1623.79130434783</v>
      </c>
      <c r="CN179" s="19">
        <v>11.672000000000001</v>
      </c>
      <c r="CO179" s="19">
        <v>1058.4086956521701</v>
      </c>
      <c r="CP179" s="19">
        <v>7.6079999999999997</v>
      </c>
      <c r="CQ179" s="19">
        <v>1139.3826086956501</v>
      </c>
      <c r="CR179" s="19">
        <v>8.19</v>
      </c>
      <c r="CS179" s="19">
        <v>840.83478260869595</v>
      </c>
      <c r="CT179" s="19">
        <v>6.0439999999999996</v>
      </c>
      <c r="CU179" s="19">
        <v>910.38260869565204</v>
      </c>
      <c r="CV179" s="19">
        <v>6.5439999999999996</v>
      </c>
      <c r="CW179" s="19">
        <v>450.19130434782602</v>
      </c>
      <c r="CX179" s="19">
        <v>3.2360000000000002</v>
      </c>
      <c r="CY179" s="19">
        <v>1339.73043478261</v>
      </c>
      <c r="CZ179" s="19">
        <v>9.6300000000000008</v>
      </c>
      <c r="DA179" s="19">
        <v>461.88695652173902</v>
      </c>
      <c r="DB179" s="19">
        <v>3.32</v>
      </c>
      <c r="DC179" s="19">
        <v>749.86086956521694</v>
      </c>
      <c r="DD179" s="19">
        <v>5.39</v>
      </c>
      <c r="DE179" s="19">
        <v>732.03478260869599</v>
      </c>
      <c r="DF179" s="19">
        <v>5.2619999999999996</v>
      </c>
      <c r="DG179" s="19">
        <v>577.10434782608695</v>
      </c>
      <c r="DH179" s="19">
        <v>4.1859999999999999</v>
      </c>
      <c r="DI179" s="19">
        <v>1264.8782608695701</v>
      </c>
      <c r="DJ179" s="19">
        <v>9.0920000000000005</v>
      </c>
      <c r="DK179" s="19">
        <v>692.24347826087001</v>
      </c>
      <c r="DL179" s="19">
        <v>4.976</v>
      </c>
      <c r="DM179" s="19">
        <v>796.03478260869599</v>
      </c>
      <c r="DN179" s="19">
        <v>5.7220000000000004</v>
      </c>
      <c r="DO179" s="19">
        <v>226.20869565217399</v>
      </c>
      <c r="DP179" s="19">
        <v>1.6259999999999999</v>
      </c>
      <c r="DQ179" s="19">
        <v>525.31304347826097</v>
      </c>
      <c r="DR179" s="19">
        <v>3.7759999999999998</v>
      </c>
      <c r="DS179" s="19">
        <v>803.27826086956497</v>
      </c>
      <c r="DT179" s="19">
        <v>5.774</v>
      </c>
      <c r="DU179" s="19">
        <v>859.19130434782596</v>
      </c>
      <c r="DV179" s="19">
        <v>6.1760000000000002</v>
      </c>
      <c r="DW179" s="19">
        <v>801.98260869565195</v>
      </c>
      <c r="DX179" s="19">
        <v>5.7960000000000003</v>
      </c>
      <c r="DY179" s="19">
        <v>99.886956521739094</v>
      </c>
      <c r="DZ179" s="19">
        <v>0.71799999999999997</v>
      </c>
      <c r="EA179" s="19">
        <v>626.32173913043505</v>
      </c>
      <c r="EB179" s="19">
        <v>4.5019999999999998</v>
      </c>
      <c r="EC179" s="19">
        <v>978.83478260869595</v>
      </c>
      <c r="ED179" s="19">
        <v>7.0359999999999996</v>
      </c>
      <c r="EE179" s="19">
        <v>620.19130434782596</v>
      </c>
      <c r="EF179" s="19">
        <v>4.4580000000000002</v>
      </c>
      <c r="EG179" s="19">
        <v>1321.0695652173899</v>
      </c>
      <c r="EH179" s="19">
        <v>9.4960000000000004</v>
      </c>
      <c r="EI179" s="19">
        <v>1092.3478260869599</v>
      </c>
      <c r="EJ179" s="19">
        <v>7.8520000000000003</v>
      </c>
      <c r="EK179" s="19">
        <v>524.19130434782596</v>
      </c>
      <c r="EL179" s="19">
        <v>3.7679999999999998</v>
      </c>
      <c r="EM179" s="19">
        <v>861.426086956522</v>
      </c>
      <c r="EN179" s="19">
        <v>6.1920000000000002</v>
      </c>
      <c r="EO179" s="19">
        <v>881.44347826087005</v>
      </c>
      <c r="EP179" s="19">
        <v>6.67</v>
      </c>
      <c r="EQ179" s="19">
        <v>1300.8521739130399</v>
      </c>
      <c r="ER179" s="19">
        <v>9.9740000000000002</v>
      </c>
      <c r="ES179" s="119">
        <v>2152.53913043478</v>
      </c>
      <c r="ET179" s="119">
        <v>16.556000000000001</v>
      </c>
    </row>
    <row r="180" spans="1:150" ht="16.5" customHeight="1" x14ac:dyDescent="0.35">
      <c r="A180" s="4">
        <v>205</v>
      </c>
      <c r="B180" s="4" t="str">
        <f>LOOKUP(A180,Lookup!$A$1:$A$34,Lookup!$B$1:$B$34)</f>
        <v>MUTTON</v>
      </c>
      <c r="C180" s="5">
        <v>34262</v>
      </c>
      <c r="D180" s="6" t="s">
        <v>177</v>
      </c>
      <c r="E180" s="18">
        <v>6.96374770361298</v>
      </c>
      <c r="F180" s="18">
        <v>5.8000000000000003E-2</v>
      </c>
      <c r="G180" s="18">
        <v>494.426086956522</v>
      </c>
      <c r="H180" s="18">
        <v>4.0919999999999996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0</v>
      </c>
      <c r="CT180" s="19">
        <v>0</v>
      </c>
      <c r="CU180" s="19">
        <v>0</v>
      </c>
      <c r="CV180" s="19">
        <v>0</v>
      </c>
      <c r="CW180" s="19">
        <v>0</v>
      </c>
      <c r="CX180" s="19">
        <v>0</v>
      </c>
      <c r="CY180" s="19">
        <v>0</v>
      </c>
      <c r="CZ180" s="19">
        <v>0</v>
      </c>
      <c r="DA180" s="19">
        <v>0</v>
      </c>
      <c r="DB180" s="19">
        <v>0</v>
      </c>
      <c r="DC180" s="19">
        <v>0</v>
      </c>
      <c r="DD180" s="19">
        <v>0</v>
      </c>
      <c r="DE180" s="19">
        <v>0</v>
      </c>
      <c r="DF180" s="19">
        <v>0</v>
      </c>
      <c r="DG180" s="19">
        <v>0</v>
      </c>
      <c r="DH180" s="19">
        <v>0</v>
      </c>
      <c r="DI180" s="19">
        <v>0</v>
      </c>
      <c r="DJ180" s="19">
        <v>0</v>
      </c>
      <c r="DK180" s="19">
        <v>0</v>
      </c>
      <c r="DL180" s="19">
        <v>0</v>
      </c>
      <c r="DM180" s="19">
        <v>0</v>
      </c>
      <c r="DN180" s="19">
        <v>0</v>
      </c>
      <c r="DO180" s="19">
        <v>0</v>
      </c>
      <c r="DP180" s="19">
        <v>0</v>
      </c>
      <c r="DQ180" s="19">
        <v>0</v>
      </c>
      <c r="DR180" s="19">
        <v>0</v>
      </c>
      <c r="DS180" s="19">
        <v>0</v>
      </c>
      <c r="DT180" s="19">
        <v>0</v>
      </c>
      <c r="DU180" s="19">
        <v>0</v>
      </c>
      <c r="DV180" s="19">
        <v>0</v>
      </c>
      <c r="DW180" s="19">
        <v>0</v>
      </c>
      <c r="DX180" s="19">
        <v>0</v>
      </c>
      <c r="DY180" s="19">
        <v>0</v>
      </c>
      <c r="DZ180" s="19">
        <v>0</v>
      </c>
      <c r="EA180" s="19">
        <v>0</v>
      </c>
      <c r="EB180" s="19">
        <v>0</v>
      </c>
      <c r="EC180" s="19">
        <v>494.426086956522</v>
      </c>
      <c r="ED180" s="19">
        <v>4.0919999999999996</v>
      </c>
      <c r="EE180" s="19">
        <v>0</v>
      </c>
      <c r="EF180" s="19">
        <v>0</v>
      </c>
      <c r="EG180" s="19">
        <v>0</v>
      </c>
      <c r="EH180" s="19">
        <v>0</v>
      </c>
      <c r="EI180" s="19">
        <v>0</v>
      </c>
      <c r="EJ180" s="19">
        <v>0</v>
      </c>
      <c r="EK180" s="19">
        <v>0</v>
      </c>
      <c r="EL180" s="19">
        <v>0</v>
      </c>
      <c r="EM180" s="19">
        <v>0</v>
      </c>
      <c r="EN180" s="19">
        <v>0</v>
      </c>
      <c r="EO180" s="19">
        <v>0</v>
      </c>
      <c r="EP180" s="19">
        <v>0</v>
      </c>
      <c r="EQ180" s="19">
        <v>0</v>
      </c>
      <c r="ER180" s="19">
        <v>0</v>
      </c>
      <c r="ES180" s="119">
        <v>0</v>
      </c>
      <c r="ET180" s="119">
        <v>0</v>
      </c>
    </row>
    <row r="181" spans="1:150" ht="16.5" customHeight="1" x14ac:dyDescent="0.35">
      <c r="A181" s="4">
        <v>205</v>
      </c>
      <c r="B181" s="4" t="str">
        <f>LOOKUP(A181,Lookup!$A$1:$A$34,Lookup!$B$1:$B$34)</f>
        <v>MUTTON</v>
      </c>
      <c r="C181" s="5">
        <v>34264</v>
      </c>
      <c r="D181" s="6" t="s">
        <v>178</v>
      </c>
      <c r="E181" s="18">
        <v>165.363502755664</v>
      </c>
      <c r="F181" s="18">
        <v>1.4390000000000001</v>
      </c>
      <c r="G181" s="18">
        <v>11740.8086956522</v>
      </c>
      <c r="H181" s="18">
        <v>102.202</v>
      </c>
      <c r="I181" s="19">
        <v>69.382608695652195</v>
      </c>
      <c r="J181" s="19">
        <v>0.56999999999999995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114.913043478261</v>
      </c>
      <c r="T181" s="19">
        <v>0.94399999999999995</v>
      </c>
      <c r="U181" s="19">
        <v>286.79130434782599</v>
      </c>
      <c r="V181" s="19">
        <v>2.3559999999999999</v>
      </c>
      <c r="W181" s="19">
        <v>112.652173913043</v>
      </c>
      <c r="X181" s="19">
        <v>0.92400000000000004</v>
      </c>
      <c r="Y181" s="19">
        <v>275.20869565217401</v>
      </c>
      <c r="Z181" s="19">
        <v>2.11</v>
      </c>
      <c r="AA181" s="19">
        <v>189.90434782608699</v>
      </c>
      <c r="AB181" s="19">
        <v>1.456</v>
      </c>
      <c r="AC181" s="19">
        <v>111.121739130435</v>
      </c>
      <c r="AD181" s="19">
        <v>0.85199999999999998</v>
      </c>
      <c r="AE181" s="19">
        <v>164.6</v>
      </c>
      <c r="AF181" s="19">
        <v>1.262</v>
      </c>
      <c r="AG181" s="19">
        <v>151.80869565217401</v>
      </c>
      <c r="AH181" s="19">
        <v>1.1639999999999999</v>
      </c>
      <c r="AI181" s="19">
        <v>83.991304347826102</v>
      </c>
      <c r="AJ181" s="19">
        <v>0.64400000000000002</v>
      </c>
      <c r="AK181" s="19">
        <v>130.94782608695701</v>
      </c>
      <c r="AL181" s="19">
        <v>1.004</v>
      </c>
      <c r="AM181" s="19">
        <v>0</v>
      </c>
      <c r="AN181" s="19">
        <v>0</v>
      </c>
      <c r="AO181" s="19">
        <v>293.45217391304402</v>
      </c>
      <c r="AP181" s="19">
        <v>2.25</v>
      </c>
      <c r="AQ181" s="19">
        <v>313.52173913043498</v>
      </c>
      <c r="AR181" s="19">
        <v>2.9660000000000002</v>
      </c>
      <c r="AS181" s="19">
        <v>96.6</v>
      </c>
      <c r="AT181" s="19">
        <v>1.01</v>
      </c>
      <c r="AU181" s="19">
        <v>103.67826086956499</v>
      </c>
      <c r="AV181" s="19">
        <v>1.0840000000000001</v>
      </c>
      <c r="AW181" s="19">
        <v>272.03478260869599</v>
      </c>
      <c r="AX181" s="19">
        <v>2.7839999999999998</v>
      </c>
      <c r="AY181" s="19">
        <v>284.63478260869601</v>
      </c>
      <c r="AZ181" s="19">
        <v>2.7959999999999998</v>
      </c>
      <c r="BA181" s="19">
        <v>352.44347826086999</v>
      </c>
      <c r="BB181" s="19">
        <v>3.3780000000000001</v>
      </c>
      <c r="BC181" s="19">
        <v>113.513043478261</v>
      </c>
      <c r="BD181" s="19">
        <v>1.0880000000000001</v>
      </c>
      <c r="BE181" s="19">
        <v>0</v>
      </c>
      <c r="BF181" s="19">
        <v>0</v>
      </c>
      <c r="BG181" s="19">
        <v>367.61739130434802</v>
      </c>
      <c r="BH181" s="19">
        <v>3.3220000000000001</v>
      </c>
      <c r="BI181" s="19">
        <v>150.33043478260899</v>
      </c>
      <c r="BJ181" s="19">
        <v>1.33</v>
      </c>
      <c r="BK181" s="19">
        <v>205.730434782609</v>
      </c>
      <c r="BL181" s="19">
        <v>1.82</v>
      </c>
      <c r="BM181" s="19">
        <v>181.304347826087</v>
      </c>
      <c r="BN181" s="19">
        <v>1.6040000000000001</v>
      </c>
      <c r="BO181" s="19">
        <v>127.721739130435</v>
      </c>
      <c r="BP181" s="19">
        <v>1.1299999999999999</v>
      </c>
      <c r="BQ181" s="19">
        <v>74.826086956521706</v>
      </c>
      <c r="BR181" s="19">
        <v>0.66200000000000003</v>
      </c>
      <c r="BS181" s="19">
        <v>170.67826086956501</v>
      </c>
      <c r="BT181" s="19">
        <v>1.51</v>
      </c>
      <c r="BU181" s="19">
        <v>220.18260869565199</v>
      </c>
      <c r="BV181" s="19">
        <v>1.948</v>
      </c>
      <c r="BW181" s="19">
        <v>83.417391304347802</v>
      </c>
      <c r="BX181" s="19">
        <v>0.73799999999999999</v>
      </c>
      <c r="BY181" s="19">
        <v>127.269565217391</v>
      </c>
      <c r="BZ181" s="19">
        <v>1.1259999999999999</v>
      </c>
      <c r="CA181" s="19">
        <v>133.834782608696</v>
      </c>
      <c r="CB181" s="19">
        <v>1.1839999999999999</v>
      </c>
      <c r="CC181" s="19">
        <v>95.626086956521704</v>
      </c>
      <c r="CD181" s="19">
        <v>0.84599999999999997</v>
      </c>
      <c r="CE181" s="19">
        <v>115.97391304347801</v>
      </c>
      <c r="CF181" s="19">
        <v>1.026</v>
      </c>
      <c r="CG181" s="19">
        <v>299.75652173912999</v>
      </c>
      <c r="CH181" s="19">
        <v>2.6520000000000001</v>
      </c>
      <c r="CI181" s="19">
        <v>338.19130434782602</v>
      </c>
      <c r="CJ181" s="19">
        <v>2.992</v>
      </c>
      <c r="CK181" s="19">
        <v>218.147826086957</v>
      </c>
      <c r="CL181" s="19">
        <v>1.93</v>
      </c>
      <c r="CM181" s="19">
        <v>68.721739130434798</v>
      </c>
      <c r="CN181" s="19">
        <v>0.60799999999999998</v>
      </c>
      <c r="CO181" s="19">
        <v>412.56521739130397</v>
      </c>
      <c r="CP181" s="19">
        <v>3.65</v>
      </c>
      <c r="CQ181" s="19">
        <v>334.573913043478</v>
      </c>
      <c r="CR181" s="19">
        <v>2.96</v>
      </c>
      <c r="CS181" s="19">
        <v>269.02608695652202</v>
      </c>
      <c r="CT181" s="19">
        <v>2.38</v>
      </c>
      <c r="CU181" s="19">
        <v>65.556521739130403</v>
      </c>
      <c r="CV181" s="19">
        <v>0.57999999999999996</v>
      </c>
      <c r="CW181" s="19">
        <v>0</v>
      </c>
      <c r="CX181" s="19">
        <v>0</v>
      </c>
      <c r="CY181" s="19">
        <v>320.50434782608698</v>
      </c>
      <c r="CZ181" s="19">
        <v>2.86</v>
      </c>
      <c r="DA181" s="19">
        <v>254.32173913043499</v>
      </c>
      <c r="DB181" s="19">
        <v>2.25</v>
      </c>
      <c r="DC181" s="19">
        <v>268.55652173913001</v>
      </c>
      <c r="DD181" s="19">
        <v>2.3759999999999999</v>
      </c>
      <c r="DE181" s="19">
        <v>466.85217391304298</v>
      </c>
      <c r="DF181" s="19">
        <v>4.3899999999999997</v>
      </c>
      <c r="DG181" s="19">
        <v>0</v>
      </c>
      <c r="DH181" s="19">
        <v>0</v>
      </c>
      <c r="DI181" s="19">
        <v>407.58260869565203</v>
      </c>
      <c r="DJ181" s="19">
        <v>3.6059999999999999</v>
      </c>
      <c r="DK181" s="19">
        <v>54.939130434782598</v>
      </c>
      <c r="DL181" s="19">
        <v>0.48599999999999999</v>
      </c>
      <c r="DM181" s="19">
        <v>124.330434782609</v>
      </c>
      <c r="DN181" s="19">
        <v>1.1000000000000001</v>
      </c>
      <c r="DO181" s="19">
        <v>189.90434782608699</v>
      </c>
      <c r="DP181" s="19">
        <v>1.68</v>
      </c>
      <c r="DQ181" s="19">
        <v>129.982608695652</v>
      </c>
      <c r="DR181" s="19">
        <v>1.1499999999999999</v>
      </c>
      <c r="DS181" s="19">
        <v>222</v>
      </c>
      <c r="DT181" s="19">
        <v>1.964</v>
      </c>
      <c r="DU181" s="19">
        <v>110.782608695652</v>
      </c>
      <c r="DV181" s="19">
        <v>0.98</v>
      </c>
      <c r="DW181" s="19">
        <v>172.53043478260901</v>
      </c>
      <c r="DX181" s="19">
        <v>1.3819999999999999</v>
      </c>
      <c r="DY181" s="19">
        <v>0</v>
      </c>
      <c r="DZ181" s="19">
        <v>0</v>
      </c>
      <c r="EA181" s="19">
        <v>112.426086956522</v>
      </c>
      <c r="EB181" s="19">
        <v>0.86199999999999999</v>
      </c>
      <c r="EC181" s="19">
        <v>235.017391304348</v>
      </c>
      <c r="ED181" s="19">
        <v>1.802</v>
      </c>
      <c r="EE181" s="19">
        <v>158.06956521739099</v>
      </c>
      <c r="EF181" s="19">
        <v>1.212</v>
      </c>
      <c r="EG181" s="19">
        <v>63.130434782608702</v>
      </c>
      <c r="EH181" s="19">
        <v>0.48399999999999999</v>
      </c>
      <c r="EI181" s="19">
        <v>196.165217391304</v>
      </c>
      <c r="EJ181" s="19">
        <v>1.504</v>
      </c>
      <c r="EK181" s="19">
        <v>0</v>
      </c>
      <c r="EL181" s="19">
        <v>0</v>
      </c>
      <c r="EM181" s="19">
        <v>124.626086956522</v>
      </c>
      <c r="EN181" s="19">
        <v>0.98199999999999998</v>
      </c>
      <c r="EO181" s="19">
        <v>204.278260869565</v>
      </c>
      <c r="EP181" s="19">
        <v>1.6779999999999999</v>
      </c>
      <c r="EQ181" s="19">
        <v>108.834782608696</v>
      </c>
      <c r="ER181" s="19">
        <v>0.89400000000000002</v>
      </c>
      <c r="ES181" s="119">
        <v>328.426086956522</v>
      </c>
      <c r="ET181" s="119">
        <v>2.698</v>
      </c>
    </row>
    <row r="182" spans="1:150" ht="16.5" customHeight="1" x14ac:dyDescent="0.35">
      <c r="A182" s="4">
        <v>205</v>
      </c>
      <c r="B182" s="4" t="str">
        <f>LOOKUP(A182,Lookup!$A$1:$A$34,Lookup!$B$1:$B$34)</f>
        <v>MUTTON</v>
      </c>
      <c r="C182" s="5">
        <v>34265</v>
      </c>
      <c r="D182" s="6" t="s">
        <v>179</v>
      </c>
      <c r="E182" s="18">
        <v>0</v>
      </c>
      <c r="F182" s="18">
        <v>0</v>
      </c>
      <c r="G182" s="18">
        <v>0</v>
      </c>
      <c r="H182" s="18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0</v>
      </c>
      <c r="CN182" s="19">
        <v>0</v>
      </c>
      <c r="CO182" s="19">
        <v>0</v>
      </c>
      <c r="CP182" s="19">
        <v>0</v>
      </c>
      <c r="CQ182" s="19">
        <v>0</v>
      </c>
      <c r="CR182" s="19">
        <v>0</v>
      </c>
      <c r="CS182" s="19">
        <v>0</v>
      </c>
      <c r="CT182" s="19">
        <v>0</v>
      </c>
      <c r="CU182" s="19">
        <v>0</v>
      </c>
      <c r="CV182" s="19">
        <v>0</v>
      </c>
      <c r="CW182" s="19">
        <v>0</v>
      </c>
      <c r="CX182" s="19">
        <v>0</v>
      </c>
      <c r="CY182" s="19">
        <v>0</v>
      </c>
      <c r="CZ182" s="19">
        <v>0</v>
      </c>
      <c r="DA182" s="19">
        <v>0</v>
      </c>
      <c r="DB182" s="19">
        <v>0</v>
      </c>
      <c r="DC182" s="19">
        <v>0</v>
      </c>
      <c r="DD182" s="19">
        <v>0</v>
      </c>
      <c r="DE182" s="19">
        <v>0</v>
      </c>
      <c r="DF182" s="19">
        <v>0</v>
      </c>
      <c r="DG182" s="19">
        <v>0</v>
      </c>
      <c r="DH182" s="19">
        <v>0</v>
      </c>
      <c r="DI182" s="19">
        <v>0</v>
      </c>
      <c r="DJ182" s="19">
        <v>0</v>
      </c>
      <c r="DK182" s="19">
        <v>0</v>
      </c>
      <c r="DL182" s="19">
        <v>0</v>
      </c>
      <c r="DM182" s="19">
        <v>0</v>
      </c>
      <c r="DN182" s="19">
        <v>0</v>
      </c>
      <c r="DO182" s="19">
        <v>0</v>
      </c>
      <c r="DP182" s="19">
        <v>0</v>
      </c>
      <c r="DQ182" s="19">
        <v>0</v>
      </c>
      <c r="DR182" s="19">
        <v>0</v>
      </c>
      <c r="DS182" s="19">
        <v>0</v>
      </c>
      <c r="DT182" s="19">
        <v>0</v>
      </c>
      <c r="DU182" s="19">
        <v>0</v>
      </c>
      <c r="DV182" s="19">
        <v>0</v>
      </c>
      <c r="DW182" s="19">
        <v>0</v>
      </c>
      <c r="DX182" s="19">
        <v>0</v>
      </c>
      <c r="DY182" s="19">
        <v>0</v>
      </c>
      <c r="DZ182" s="19">
        <v>0</v>
      </c>
      <c r="EA182" s="19">
        <v>0</v>
      </c>
      <c r="EB182" s="19">
        <v>0</v>
      </c>
      <c r="EC182" s="19">
        <v>0</v>
      </c>
      <c r="ED182" s="19">
        <v>0</v>
      </c>
      <c r="EE182" s="19">
        <v>0</v>
      </c>
      <c r="EF182" s="19">
        <v>0</v>
      </c>
      <c r="EG182" s="19">
        <v>0</v>
      </c>
      <c r="EH182" s="19">
        <v>0</v>
      </c>
      <c r="EI182" s="19">
        <v>0</v>
      </c>
      <c r="EJ182" s="19">
        <v>0</v>
      </c>
      <c r="EK182" s="19">
        <v>0</v>
      </c>
      <c r="EL182" s="19">
        <v>0</v>
      </c>
      <c r="EM182" s="19">
        <v>0</v>
      </c>
      <c r="EN182" s="19">
        <v>0</v>
      </c>
      <c r="EO182" s="19">
        <v>0</v>
      </c>
      <c r="EP182" s="19">
        <v>0</v>
      </c>
      <c r="EQ182" s="19">
        <v>0</v>
      </c>
      <c r="ER182" s="19">
        <v>0</v>
      </c>
      <c r="ES182" s="119">
        <v>0</v>
      </c>
      <c r="ET182" s="119">
        <v>0</v>
      </c>
    </row>
    <row r="183" spans="1:150" ht="16.5" customHeight="1" x14ac:dyDescent="0.35">
      <c r="A183" s="4">
        <v>205</v>
      </c>
      <c r="B183" s="4" t="str">
        <f>LOOKUP(A183,Lookup!$A$1:$A$34,Lookup!$B$1:$B$34)</f>
        <v>MUTTON</v>
      </c>
      <c r="C183" s="5">
        <v>34266</v>
      </c>
      <c r="D183" s="6" t="s">
        <v>180</v>
      </c>
      <c r="E183" s="18">
        <v>179.982118799755</v>
      </c>
      <c r="F183" s="18">
        <v>1.417</v>
      </c>
      <c r="G183" s="18">
        <v>12778.730434782599</v>
      </c>
      <c r="H183" s="18">
        <v>100.608</v>
      </c>
      <c r="I183" s="19">
        <v>233.23478260869601</v>
      </c>
      <c r="J183" s="19">
        <v>1.9159999999999999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150.94782608695601</v>
      </c>
      <c r="T183" s="19">
        <v>1.24</v>
      </c>
      <c r="U183" s="19">
        <v>141.93043478260901</v>
      </c>
      <c r="V183" s="19">
        <v>1.1659999999999999</v>
      </c>
      <c r="W183" s="19">
        <v>302.38260869565198</v>
      </c>
      <c r="X183" s="19">
        <v>2.484</v>
      </c>
      <c r="Y183" s="19">
        <v>66.2173913043478</v>
      </c>
      <c r="Z183" s="19">
        <v>0.54400000000000004</v>
      </c>
      <c r="AA183" s="19">
        <v>372.00869565217403</v>
      </c>
      <c r="AB183" s="19">
        <v>3.056</v>
      </c>
      <c r="AC183" s="19">
        <v>199.63478260869601</v>
      </c>
      <c r="AD183" s="19">
        <v>1.64</v>
      </c>
      <c r="AE183" s="19">
        <v>173.834782608696</v>
      </c>
      <c r="AF183" s="19">
        <v>1.4279999999999999</v>
      </c>
      <c r="AG183" s="19">
        <v>272.66956521739098</v>
      </c>
      <c r="AH183" s="19">
        <v>2.2400000000000002</v>
      </c>
      <c r="AI183" s="19">
        <v>77.173913043478294</v>
      </c>
      <c r="AJ183" s="19">
        <v>0.63400000000000001</v>
      </c>
      <c r="AK183" s="19">
        <v>223.97391304347801</v>
      </c>
      <c r="AL183" s="19">
        <v>1.84</v>
      </c>
      <c r="AM183" s="19">
        <v>364.573913043478</v>
      </c>
      <c r="AN183" s="19">
        <v>3.024</v>
      </c>
      <c r="AO183" s="19">
        <v>196.97391304347801</v>
      </c>
      <c r="AP183" s="19">
        <v>1.6180000000000001</v>
      </c>
      <c r="AQ183" s="19">
        <v>237.10434782608701</v>
      </c>
      <c r="AR183" s="19">
        <v>2.032</v>
      </c>
      <c r="AS183" s="19">
        <v>146.93913043478301</v>
      </c>
      <c r="AT183" s="19">
        <v>1.3</v>
      </c>
      <c r="AU183" s="19">
        <v>119.81739130434801</v>
      </c>
      <c r="AV183" s="19">
        <v>1.06</v>
      </c>
      <c r="AW183" s="19">
        <v>197.573913043478</v>
      </c>
      <c r="AX183" s="19">
        <v>1.6240000000000001</v>
      </c>
      <c r="AY183" s="19">
        <v>92.034782608695707</v>
      </c>
      <c r="AZ183" s="19">
        <v>0.70599999999999996</v>
      </c>
      <c r="BA183" s="19">
        <v>171.39130434782601</v>
      </c>
      <c r="BB183" s="19">
        <v>1.3140000000000001</v>
      </c>
      <c r="BC183" s="19">
        <v>128.860869565217</v>
      </c>
      <c r="BD183" s="19">
        <v>0.98799999999999999</v>
      </c>
      <c r="BE183" s="19">
        <v>160.434782608696</v>
      </c>
      <c r="BF183" s="19">
        <v>1.23</v>
      </c>
      <c r="BG183" s="19">
        <v>115.304347826087</v>
      </c>
      <c r="BH183" s="19">
        <v>0.88400000000000001</v>
      </c>
      <c r="BI183" s="19">
        <v>109.81739130434801</v>
      </c>
      <c r="BJ183" s="19">
        <v>0.84199999999999997</v>
      </c>
      <c r="BK183" s="19">
        <v>153.64347826087001</v>
      </c>
      <c r="BL183" s="19">
        <v>1.1779999999999999</v>
      </c>
      <c r="BM183" s="19">
        <v>281.46086956521702</v>
      </c>
      <c r="BN183" s="19">
        <v>2.1579999999999999</v>
      </c>
      <c r="BO183" s="19">
        <v>171.64347826087001</v>
      </c>
      <c r="BP183" s="19">
        <v>1.3160000000000001</v>
      </c>
      <c r="BQ183" s="19">
        <v>95.2173913043478</v>
      </c>
      <c r="BR183" s="19">
        <v>0.73</v>
      </c>
      <c r="BS183" s="19">
        <v>139.295652173913</v>
      </c>
      <c r="BT183" s="19">
        <v>1.0680000000000001</v>
      </c>
      <c r="BU183" s="19">
        <v>319.8</v>
      </c>
      <c r="BV183" s="19">
        <v>2.452</v>
      </c>
      <c r="BW183" s="19">
        <v>95.991304347826102</v>
      </c>
      <c r="BX183" s="19">
        <v>0.73599999999999999</v>
      </c>
      <c r="BY183" s="19">
        <v>187.81739130434801</v>
      </c>
      <c r="BZ183" s="19">
        <v>1.44</v>
      </c>
      <c r="CA183" s="19">
        <v>346.4</v>
      </c>
      <c r="CB183" s="19">
        <v>2.6560000000000001</v>
      </c>
      <c r="CC183" s="19">
        <v>238.165217391304</v>
      </c>
      <c r="CD183" s="19">
        <v>1.8260000000000001</v>
      </c>
      <c r="CE183" s="19">
        <v>145.295652173913</v>
      </c>
      <c r="CF183" s="19">
        <v>1.1140000000000001</v>
      </c>
      <c r="CG183" s="19">
        <v>410.860869565217</v>
      </c>
      <c r="CH183" s="19">
        <v>3.15</v>
      </c>
      <c r="CI183" s="19">
        <v>142.130434782609</v>
      </c>
      <c r="CJ183" s="19">
        <v>1.1080000000000001</v>
      </c>
      <c r="CK183" s="19">
        <v>124.94782608695699</v>
      </c>
      <c r="CL183" s="19">
        <v>0.95799999999999996</v>
      </c>
      <c r="CM183" s="19">
        <v>687.08695652173901</v>
      </c>
      <c r="CN183" s="19">
        <v>5.2679999999999998</v>
      </c>
      <c r="CO183" s="19">
        <v>247.67826086956501</v>
      </c>
      <c r="CP183" s="19">
        <v>1.9239999999999999</v>
      </c>
      <c r="CQ183" s="19">
        <v>0</v>
      </c>
      <c r="CR183" s="19">
        <v>0</v>
      </c>
      <c r="CS183" s="19">
        <v>222.26086956521701</v>
      </c>
      <c r="CT183" s="19">
        <v>1.704</v>
      </c>
      <c r="CU183" s="19">
        <v>0</v>
      </c>
      <c r="CV183" s="19">
        <v>0</v>
      </c>
      <c r="CW183" s="19">
        <v>204.76521739130399</v>
      </c>
      <c r="CX183" s="19">
        <v>1.57</v>
      </c>
      <c r="CY183" s="19">
        <v>361.53043478260901</v>
      </c>
      <c r="CZ183" s="19">
        <v>2.7719999999999998</v>
      </c>
      <c r="DA183" s="19">
        <v>113.217391304348</v>
      </c>
      <c r="DB183" s="19">
        <v>0.86799999999999999</v>
      </c>
      <c r="DC183" s="19">
        <v>343.8</v>
      </c>
      <c r="DD183" s="19">
        <v>2.6360000000000001</v>
      </c>
      <c r="DE183" s="19">
        <v>54</v>
      </c>
      <c r="DF183" s="19">
        <v>0.41399999999999998</v>
      </c>
      <c r="DG183" s="19">
        <v>0</v>
      </c>
      <c r="DH183" s="19">
        <v>0</v>
      </c>
      <c r="DI183" s="19">
        <v>400.408695652174</v>
      </c>
      <c r="DJ183" s="19">
        <v>3.07</v>
      </c>
      <c r="DK183" s="19">
        <v>109.304347826087</v>
      </c>
      <c r="DL183" s="19">
        <v>0.83799999999999997</v>
      </c>
      <c r="DM183" s="19">
        <v>47.739130434782602</v>
      </c>
      <c r="DN183" s="19">
        <v>0.36599999999999999</v>
      </c>
      <c r="DO183" s="19">
        <v>0</v>
      </c>
      <c r="DP183" s="19">
        <v>0</v>
      </c>
      <c r="DQ183" s="19">
        <v>143.46956521739099</v>
      </c>
      <c r="DR183" s="19">
        <v>1.1000000000000001</v>
      </c>
      <c r="DS183" s="19">
        <v>168.76521739130399</v>
      </c>
      <c r="DT183" s="19">
        <v>1.294</v>
      </c>
      <c r="DU183" s="19">
        <v>118.95652173913</v>
      </c>
      <c r="DV183" s="19">
        <v>0.91200000000000003</v>
      </c>
      <c r="DW183" s="19">
        <v>241.278260869565</v>
      </c>
      <c r="DX183" s="19">
        <v>1.85</v>
      </c>
      <c r="DY183" s="19">
        <v>0</v>
      </c>
      <c r="DZ183" s="19">
        <v>0</v>
      </c>
      <c r="EA183" s="19">
        <v>0</v>
      </c>
      <c r="EB183" s="19">
        <v>0</v>
      </c>
      <c r="EC183" s="19">
        <v>215.460869565217</v>
      </c>
      <c r="ED183" s="19">
        <v>1.6519999999999999</v>
      </c>
      <c r="EE183" s="19">
        <v>340.92173913043501</v>
      </c>
      <c r="EF183" s="19">
        <v>2.6139999999999999</v>
      </c>
      <c r="EG183" s="19">
        <v>254.582608695652</v>
      </c>
      <c r="EH183" s="19">
        <v>1.952</v>
      </c>
      <c r="EI183" s="19">
        <v>495.34782608695701</v>
      </c>
      <c r="EJ183" s="19">
        <v>3.798</v>
      </c>
      <c r="EK183" s="19">
        <v>0</v>
      </c>
      <c r="EL183" s="19">
        <v>0</v>
      </c>
      <c r="EM183" s="19">
        <v>169.55652173913001</v>
      </c>
      <c r="EN183" s="19">
        <v>1.3</v>
      </c>
      <c r="EO183" s="19">
        <v>130.008695652174</v>
      </c>
      <c r="EP183" s="19">
        <v>1.0680000000000001</v>
      </c>
      <c r="EQ183" s="19">
        <v>467.19130434782602</v>
      </c>
      <c r="ER183" s="19">
        <v>3.8380000000000001</v>
      </c>
      <c r="ES183" s="119">
        <v>133.89565217391299</v>
      </c>
      <c r="ET183" s="119">
        <v>1.1000000000000001</v>
      </c>
    </row>
    <row r="184" spans="1:150" ht="16.5" customHeight="1" x14ac:dyDescent="0.35">
      <c r="A184" s="4">
        <v>205</v>
      </c>
      <c r="B184" s="4" t="str">
        <f>LOOKUP(A184,Lookup!$A$1:$A$34,Lookup!$B$1:$B$34)</f>
        <v>MUTTON</v>
      </c>
      <c r="C184" s="5">
        <v>34267</v>
      </c>
      <c r="D184" s="6" t="s">
        <v>181</v>
      </c>
      <c r="E184" s="18">
        <v>398.52859767299498</v>
      </c>
      <c r="F184" s="18">
        <v>3.3090000000000002</v>
      </c>
      <c r="G184" s="18">
        <v>28295.530434782599</v>
      </c>
      <c r="H184" s="18">
        <v>234.922</v>
      </c>
      <c r="I184" s="19">
        <v>93.486956521739103</v>
      </c>
      <c r="J184" s="19">
        <v>0.76800000000000002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83.017391304347797</v>
      </c>
      <c r="T184" s="19">
        <v>0.68200000000000005</v>
      </c>
      <c r="U184" s="19">
        <v>606.20869565217401</v>
      </c>
      <c r="V184" s="19">
        <v>4.9800000000000004</v>
      </c>
      <c r="W184" s="19">
        <v>231.03478260869599</v>
      </c>
      <c r="X184" s="19">
        <v>1.9319999999999999</v>
      </c>
      <c r="Y184" s="19">
        <v>515.66086956521701</v>
      </c>
      <c r="Z184" s="19">
        <v>4.2720000000000002</v>
      </c>
      <c r="AA184" s="19">
        <v>738.15652173912997</v>
      </c>
      <c r="AB184" s="19">
        <v>6.0640000000000001</v>
      </c>
      <c r="AC184" s="19">
        <v>479.121739130435</v>
      </c>
      <c r="AD184" s="19">
        <v>3.9359999999999999</v>
      </c>
      <c r="AE184" s="19">
        <v>658.36521739130399</v>
      </c>
      <c r="AF184" s="19">
        <v>5.4820000000000002</v>
      </c>
      <c r="AG184" s="19">
        <v>285.573913043478</v>
      </c>
      <c r="AH184" s="19">
        <v>2.3460000000000001</v>
      </c>
      <c r="AI184" s="19">
        <v>392.452173913043</v>
      </c>
      <c r="AJ184" s="19">
        <v>3.2240000000000002</v>
      </c>
      <c r="AK184" s="19">
        <v>217.408695652174</v>
      </c>
      <c r="AL184" s="19">
        <v>1.786</v>
      </c>
      <c r="AM184" s="19">
        <v>523.91304347826099</v>
      </c>
      <c r="AN184" s="19">
        <v>4.3040000000000003</v>
      </c>
      <c r="AO184" s="19">
        <v>215.452173913043</v>
      </c>
      <c r="AP184" s="19">
        <v>1.77</v>
      </c>
      <c r="AQ184" s="19">
        <v>717.63478260869601</v>
      </c>
      <c r="AR184" s="19">
        <v>6.7759999999999998</v>
      </c>
      <c r="AS184" s="19">
        <v>305.07826086956499</v>
      </c>
      <c r="AT184" s="19">
        <v>2.9239999999999999</v>
      </c>
      <c r="AU184" s="19">
        <v>198.44347826086999</v>
      </c>
      <c r="AV184" s="19">
        <v>1.9019999999999999</v>
      </c>
      <c r="AW184" s="19">
        <v>332</v>
      </c>
      <c r="AX184" s="19">
        <v>3.1819999999999999</v>
      </c>
      <c r="AY184" s="19">
        <v>378.573913043478</v>
      </c>
      <c r="AZ184" s="19">
        <v>3.4889999999999999</v>
      </c>
      <c r="BA184" s="19">
        <v>587.58260869565197</v>
      </c>
      <c r="BB184" s="19">
        <v>5.24</v>
      </c>
      <c r="BC184" s="19">
        <v>250.704347826087</v>
      </c>
      <c r="BD184" s="19">
        <v>2.218</v>
      </c>
      <c r="BE184" s="19">
        <v>412.55652173913001</v>
      </c>
      <c r="BF184" s="19">
        <v>3.65</v>
      </c>
      <c r="BG184" s="19">
        <v>537.51304347826101</v>
      </c>
      <c r="BH184" s="19">
        <v>4.468</v>
      </c>
      <c r="BI184" s="19">
        <v>596.71304347826106</v>
      </c>
      <c r="BJ184" s="19">
        <v>4.9020000000000001</v>
      </c>
      <c r="BK184" s="19">
        <v>151.434782608696</v>
      </c>
      <c r="BL184" s="19">
        <v>1.244</v>
      </c>
      <c r="BM184" s="19">
        <v>386.05217391304302</v>
      </c>
      <c r="BN184" s="19">
        <v>3.22</v>
      </c>
      <c r="BO184" s="19">
        <v>369.08695652173901</v>
      </c>
      <c r="BP184" s="19">
        <v>3.032</v>
      </c>
      <c r="BQ184" s="19">
        <v>161.6</v>
      </c>
      <c r="BR184" s="19">
        <v>1.36</v>
      </c>
      <c r="BS184" s="19">
        <v>520.99130434782603</v>
      </c>
      <c r="BT184" s="19">
        <v>4.28</v>
      </c>
      <c r="BU184" s="19">
        <v>394.64347826086998</v>
      </c>
      <c r="BV184" s="19">
        <v>3.242</v>
      </c>
      <c r="BW184" s="19">
        <v>384.90434782608702</v>
      </c>
      <c r="BX184" s="19">
        <v>3.1619999999999999</v>
      </c>
      <c r="BY184" s="19">
        <v>628.25217391304398</v>
      </c>
      <c r="BZ184" s="19">
        <v>5.194</v>
      </c>
      <c r="CA184" s="19">
        <v>390.00869565217403</v>
      </c>
      <c r="CB184" s="19">
        <v>3.2040000000000002</v>
      </c>
      <c r="CC184" s="19">
        <v>306.02608695652202</v>
      </c>
      <c r="CD184" s="19">
        <v>2.5139999999999998</v>
      </c>
      <c r="CE184" s="19">
        <v>652.94782608695698</v>
      </c>
      <c r="CF184" s="19">
        <v>5.3639999999999999</v>
      </c>
      <c r="CG184" s="19">
        <v>391.96521739130401</v>
      </c>
      <c r="CH184" s="19">
        <v>3.22</v>
      </c>
      <c r="CI184" s="19">
        <v>859.63478260869601</v>
      </c>
      <c r="CJ184" s="19">
        <v>7.0620000000000003</v>
      </c>
      <c r="CK184" s="19">
        <v>397.07826086956499</v>
      </c>
      <c r="CL184" s="19">
        <v>3.262</v>
      </c>
      <c r="CM184" s="19">
        <v>342.78260869565202</v>
      </c>
      <c r="CN184" s="19">
        <v>2.8159999999999998</v>
      </c>
      <c r="CO184" s="19">
        <v>855.49565217391296</v>
      </c>
      <c r="CP184" s="19">
        <v>7.0279999999999996</v>
      </c>
      <c r="CQ184" s="19">
        <v>175.286956521739</v>
      </c>
      <c r="CR184" s="19">
        <v>1.44</v>
      </c>
      <c r="CS184" s="19">
        <v>489.82608695652198</v>
      </c>
      <c r="CT184" s="19">
        <v>4.024</v>
      </c>
      <c r="CU184" s="19">
        <v>192.573913043478</v>
      </c>
      <c r="CV184" s="19">
        <v>1.5820000000000001</v>
      </c>
      <c r="CW184" s="19">
        <v>152.15652173913</v>
      </c>
      <c r="CX184" s="19">
        <v>1.25</v>
      </c>
      <c r="CY184" s="19">
        <v>277.53913043478298</v>
      </c>
      <c r="CZ184" s="19">
        <v>2.2799999999999998</v>
      </c>
      <c r="DA184" s="19">
        <v>320.147826086956</v>
      </c>
      <c r="DB184" s="19">
        <v>2.63</v>
      </c>
      <c r="DC184" s="19">
        <v>417.52173913043498</v>
      </c>
      <c r="DD184" s="19">
        <v>3.43</v>
      </c>
      <c r="DE184" s="19">
        <v>725.86956521739103</v>
      </c>
      <c r="DF184" s="19">
        <v>6.35</v>
      </c>
      <c r="DG184" s="19">
        <v>542.59130434782605</v>
      </c>
      <c r="DH184" s="19">
        <v>4.4580000000000002</v>
      </c>
      <c r="DI184" s="19">
        <v>727.2</v>
      </c>
      <c r="DJ184" s="19">
        <v>5.9740000000000002</v>
      </c>
      <c r="DK184" s="19">
        <v>73.521739130434796</v>
      </c>
      <c r="DL184" s="19">
        <v>0.60399999999999998</v>
      </c>
      <c r="DM184" s="19">
        <v>342.05217391304302</v>
      </c>
      <c r="DN184" s="19">
        <v>2.81</v>
      </c>
      <c r="DO184" s="19">
        <v>630.06086956521699</v>
      </c>
      <c r="DP184" s="19">
        <v>5.1760000000000002</v>
      </c>
      <c r="DQ184" s="19">
        <v>396.10434782608701</v>
      </c>
      <c r="DR184" s="19">
        <v>3.254</v>
      </c>
      <c r="DS184" s="19">
        <v>667.304347826087</v>
      </c>
      <c r="DT184" s="19">
        <v>5.4820000000000002</v>
      </c>
      <c r="DU184" s="19">
        <v>614.95652173913004</v>
      </c>
      <c r="DV184" s="19">
        <v>5.0519999999999996</v>
      </c>
      <c r="DW184" s="19">
        <v>180.88695652173899</v>
      </c>
      <c r="DX184" s="19">
        <v>1.43</v>
      </c>
      <c r="DY184" s="19">
        <v>110.078260869565</v>
      </c>
      <c r="DZ184" s="19">
        <v>0.84399999999999997</v>
      </c>
      <c r="EA184" s="19">
        <v>269.97391304347798</v>
      </c>
      <c r="EB184" s="19">
        <v>2.0699999999999998</v>
      </c>
      <c r="EC184" s="19">
        <v>705.59130434782605</v>
      </c>
      <c r="ED184" s="19">
        <v>5.41</v>
      </c>
      <c r="EE184" s="19">
        <v>401.18260869565199</v>
      </c>
      <c r="EF184" s="19">
        <v>3.0760000000000001</v>
      </c>
      <c r="EG184" s="19">
        <v>461.426086956522</v>
      </c>
      <c r="EH184" s="19">
        <v>3.5379999999999998</v>
      </c>
      <c r="EI184" s="19">
        <v>747.58260869565197</v>
      </c>
      <c r="EJ184" s="19">
        <v>5.7320000000000002</v>
      </c>
      <c r="EK184" s="19">
        <v>278.06086956521699</v>
      </c>
      <c r="EL184" s="19">
        <v>2.1320000000000001</v>
      </c>
      <c r="EM184" s="19">
        <v>338.75652173912999</v>
      </c>
      <c r="EN184" s="19">
        <v>2.6659999999999999</v>
      </c>
      <c r="EO184" s="19">
        <v>300.60000000000002</v>
      </c>
      <c r="EP184" s="19">
        <v>2.5419999999999998</v>
      </c>
      <c r="EQ184" s="19">
        <v>545.38260869565204</v>
      </c>
      <c r="ER184" s="19">
        <v>4.6120000000000001</v>
      </c>
      <c r="ES184" s="119">
        <v>749.72173913043503</v>
      </c>
      <c r="ET184" s="119">
        <v>6.2960000000000003</v>
      </c>
    </row>
    <row r="185" spans="1:150" ht="16.5" customHeight="1" x14ac:dyDescent="0.35">
      <c r="A185" s="4">
        <v>205</v>
      </c>
      <c r="B185" s="4" t="str">
        <f>LOOKUP(A185,Lookup!$A$1:$A$34,Lookup!$B$1:$B$34)</f>
        <v>MUTTON</v>
      </c>
      <c r="C185" s="5">
        <v>34268</v>
      </c>
      <c r="D185" s="6" t="s">
        <v>182</v>
      </c>
      <c r="E185" s="18">
        <v>83.174280465401097</v>
      </c>
      <c r="F185" s="18">
        <v>0.871</v>
      </c>
      <c r="G185" s="18">
        <v>5905.3739130434797</v>
      </c>
      <c r="H185" s="18">
        <v>61.847999999999999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60.252173913043499</v>
      </c>
      <c r="T185" s="19">
        <v>0.63</v>
      </c>
      <c r="U185" s="19">
        <v>0</v>
      </c>
      <c r="V185" s="19">
        <v>0</v>
      </c>
      <c r="W185" s="19">
        <v>271.99130434782597</v>
      </c>
      <c r="X185" s="19">
        <v>2.8759999999999999</v>
      </c>
      <c r="Y185" s="19">
        <v>204.10434782608701</v>
      </c>
      <c r="Z185" s="19">
        <v>2.1339999999999999</v>
      </c>
      <c r="AA185" s="19">
        <v>420.05217391304302</v>
      </c>
      <c r="AB185" s="19">
        <v>4.3920000000000003</v>
      </c>
      <c r="AC185" s="19">
        <v>250.39130434782601</v>
      </c>
      <c r="AD185" s="19">
        <v>2.6179999999999999</v>
      </c>
      <c r="AE185" s="19">
        <v>147.47826086956499</v>
      </c>
      <c r="AF185" s="19">
        <v>1.542</v>
      </c>
      <c r="AG185" s="19">
        <v>0</v>
      </c>
      <c r="AH185" s="19">
        <v>0</v>
      </c>
      <c r="AI185" s="19">
        <v>290.75652173912999</v>
      </c>
      <c r="AJ185" s="19">
        <v>3.04</v>
      </c>
      <c r="AK185" s="19">
        <v>0</v>
      </c>
      <c r="AL185" s="19">
        <v>0</v>
      </c>
      <c r="AM185" s="19">
        <v>149.96521739130401</v>
      </c>
      <c r="AN185" s="19">
        <v>1.5680000000000001</v>
      </c>
      <c r="AO185" s="19">
        <v>123.75652173912999</v>
      </c>
      <c r="AP185" s="19">
        <v>1.294</v>
      </c>
      <c r="AQ185" s="19">
        <v>492.88695652173902</v>
      </c>
      <c r="AR185" s="19">
        <v>5.2240000000000002</v>
      </c>
      <c r="AS185" s="19">
        <v>164.50434782608701</v>
      </c>
      <c r="AT185" s="19">
        <v>1.72</v>
      </c>
      <c r="AU185" s="19">
        <v>382.17391304347802</v>
      </c>
      <c r="AV185" s="19">
        <v>3.996</v>
      </c>
      <c r="AW185" s="19">
        <v>518.74782608695602</v>
      </c>
      <c r="AX185" s="19">
        <v>5.4240000000000004</v>
      </c>
      <c r="AY185" s="19">
        <v>361.139130434783</v>
      </c>
      <c r="AZ185" s="19">
        <v>3.7759999999999998</v>
      </c>
      <c r="BA185" s="19">
        <v>909.92173913043496</v>
      </c>
      <c r="BB185" s="19">
        <v>9.5139999999999993</v>
      </c>
      <c r="BC185" s="19">
        <v>0</v>
      </c>
      <c r="BD185" s="19">
        <v>0</v>
      </c>
      <c r="BE185" s="19">
        <v>351.96521739130401</v>
      </c>
      <c r="BF185" s="19">
        <v>3.68</v>
      </c>
      <c r="BG185" s="19">
        <v>340.286956521739</v>
      </c>
      <c r="BH185" s="19">
        <v>3.5579999999999998</v>
      </c>
      <c r="BI185" s="19">
        <v>72.686956521739106</v>
      </c>
      <c r="BJ185" s="19">
        <v>0.76</v>
      </c>
      <c r="BK185" s="19">
        <v>187.452173913043</v>
      </c>
      <c r="BL185" s="19">
        <v>1.96</v>
      </c>
      <c r="BM185" s="19">
        <v>204.860869565217</v>
      </c>
      <c r="BN185" s="19">
        <v>2.1419999999999999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0</v>
      </c>
      <c r="CN185" s="19">
        <v>0</v>
      </c>
      <c r="CO185" s="19">
        <v>0</v>
      </c>
      <c r="CP185" s="19">
        <v>0</v>
      </c>
      <c r="CQ185" s="19">
        <v>0</v>
      </c>
      <c r="CR185" s="19">
        <v>0</v>
      </c>
      <c r="CS185" s="19">
        <v>0</v>
      </c>
      <c r="CT185" s="19">
        <v>0</v>
      </c>
      <c r="CU185" s="19">
        <v>0</v>
      </c>
      <c r="CV185" s="19">
        <v>0</v>
      </c>
      <c r="CW185" s="19">
        <v>0</v>
      </c>
      <c r="CX185" s="19">
        <v>0</v>
      </c>
      <c r="CY185" s="19">
        <v>0</v>
      </c>
      <c r="CZ185" s="19">
        <v>0</v>
      </c>
      <c r="DA185" s="19">
        <v>0</v>
      </c>
      <c r="DB185" s="19">
        <v>0</v>
      </c>
      <c r="DC185" s="19">
        <v>0</v>
      </c>
      <c r="DD185" s="19">
        <v>0</v>
      </c>
      <c r="DE185" s="19">
        <v>0</v>
      </c>
      <c r="DF185" s="19">
        <v>0</v>
      </c>
      <c r="DG185" s="19">
        <v>0</v>
      </c>
      <c r="DH185" s="19">
        <v>0</v>
      </c>
      <c r="DI185" s="19">
        <v>0</v>
      </c>
      <c r="DJ185" s="19">
        <v>0</v>
      </c>
      <c r="DK185" s="19">
        <v>0</v>
      </c>
      <c r="DL185" s="19">
        <v>0</v>
      </c>
      <c r="DM185" s="19">
        <v>0</v>
      </c>
      <c r="DN185" s="19">
        <v>0</v>
      </c>
      <c r="DO185" s="19">
        <v>0</v>
      </c>
      <c r="DP185" s="19">
        <v>0</v>
      </c>
      <c r="DQ185" s="19">
        <v>0</v>
      </c>
      <c r="DR185" s="19">
        <v>0</v>
      </c>
      <c r="DS185" s="19">
        <v>0</v>
      </c>
      <c r="DT185" s="19">
        <v>0</v>
      </c>
      <c r="DU185" s="19">
        <v>0</v>
      </c>
      <c r="DV185" s="19">
        <v>0</v>
      </c>
      <c r="DW185" s="19">
        <v>0</v>
      </c>
      <c r="DX185" s="19">
        <v>0</v>
      </c>
      <c r="DY185" s="19">
        <v>0</v>
      </c>
      <c r="DZ185" s="19">
        <v>0</v>
      </c>
      <c r="EA185" s="19">
        <v>0</v>
      </c>
      <c r="EB185" s="19">
        <v>0</v>
      </c>
      <c r="EC185" s="19">
        <v>0</v>
      </c>
      <c r="ED185" s="19">
        <v>0</v>
      </c>
      <c r="EE185" s="19">
        <v>0</v>
      </c>
      <c r="EF185" s="19">
        <v>0</v>
      </c>
      <c r="EG185" s="19">
        <v>0</v>
      </c>
      <c r="EH185" s="19">
        <v>0</v>
      </c>
      <c r="EI185" s="19">
        <v>0</v>
      </c>
      <c r="EJ185" s="19">
        <v>0</v>
      </c>
      <c r="EK185" s="19">
        <v>0</v>
      </c>
      <c r="EL185" s="19">
        <v>0</v>
      </c>
      <c r="EM185" s="19">
        <v>0</v>
      </c>
      <c r="EN185" s="19">
        <v>0</v>
      </c>
      <c r="EO185" s="19">
        <v>0</v>
      </c>
      <c r="EP185" s="19">
        <v>0</v>
      </c>
      <c r="EQ185" s="19">
        <v>0</v>
      </c>
      <c r="ER185" s="19">
        <v>0</v>
      </c>
      <c r="ES185" s="119">
        <v>0</v>
      </c>
      <c r="ET185" s="119">
        <v>0</v>
      </c>
    </row>
    <row r="186" spans="1:150" ht="16.5" customHeight="1" x14ac:dyDescent="0.35">
      <c r="A186" s="4">
        <v>205</v>
      </c>
      <c r="B186" s="4" t="str">
        <f>LOOKUP(A186,Lookup!$A$1:$A$34,Lookup!$B$1:$B$34)</f>
        <v>MUTTON</v>
      </c>
      <c r="C186" s="5">
        <v>39912</v>
      </c>
      <c r="D186" s="6" t="s">
        <v>183</v>
      </c>
      <c r="E186" s="18">
        <v>12.231598285364401</v>
      </c>
      <c r="F186" s="18">
        <v>0.128</v>
      </c>
      <c r="G186" s="18">
        <v>868.44347826087005</v>
      </c>
      <c r="H186" s="18">
        <v>9.08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868.44347826087005</v>
      </c>
      <c r="AR186" s="19">
        <v>9.08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0</v>
      </c>
      <c r="CO186" s="19">
        <v>0</v>
      </c>
      <c r="CP186" s="19">
        <v>0</v>
      </c>
      <c r="CQ186" s="19">
        <v>0</v>
      </c>
      <c r="CR186" s="19">
        <v>0</v>
      </c>
      <c r="CS186" s="19">
        <v>0</v>
      </c>
      <c r="CT186" s="19">
        <v>0</v>
      </c>
      <c r="CU186" s="19">
        <v>0</v>
      </c>
      <c r="CV186" s="19">
        <v>0</v>
      </c>
      <c r="CW186" s="19">
        <v>0</v>
      </c>
      <c r="CX186" s="19">
        <v>0</v>
      </c>
      <c r="CY186" s="19">
        <v>0</v>
      </c>
      <c r="CZ186" s="19">
        <v>0</v>
      </c>
      <c r="DA186" s="19">
        <v>0</v>
      </c>
      <c r="DB186" s="19">
        <v>0</v>
      </c>
      <c r="DC186" s="19">
        <v>0</v>
      </c>
      <c r="DD186" s="19">
        <v>0</v>
      </c>
      <c r="DE186" s="19">
        <v>0</v>
      </c>
      <c r="DF186" s="19">
        <v>0</v>
      </c>
      <c r="DG186" s="19">
        <v>0</v>
      </c>
      <c r="DH186" s="19">
        <v>0</v>
      </c>
      <c r="DI186" s="19">
        <v>0</v>
      </c>
      <c r="DJ186" s="19">
        <v>0</v>
      </c>
      <c r="DK186" s="19">
        <v>0</v>
      </c>
      <c r="DL186" s="19">
        <v>0</v>
      </c>
      <c r="DM186" s="19">
        <v>0</v>
      </c>
      <c r="DN186" s="19">
        <v>0</v>
      </c>
      <c r="DO186" s="19">
        <v>0</v>
      </c>
      <c r="DP186" s="19">
        <v>0</v>
      </c>
      <c r="DQ186" s="19">
        <v>0</v>
      </c>
      <c r="DR186" s="19">
        <v>0</v>
      </c>
      <c r="DS186" s="19">
        <v>0</v>
      </c>
      <c r="DT186" s="19">
        <v>0</v>
      </c>
      <c r="DU186" s="19">
        <v>0</v>
      </c>
      <c r="DV186" s="19">
        <v>0</v>
      </c>
      <c r="DW186" s="19">
        <v>0</v>
      </c>
      <c r="DX186" s="19">
        <v>0</v>
      </c>
      <c r="DY186" s="19">
        <v>0</v>
      </c>
      <c r="DZ186" s="19">
        <v>0</v>
      </c>
      <c r="EA186" s="19">
        <v>0</v>
      </c>
      <c r="EB186" s="19">
        <v>0</v>
      </c>
      <c r="EC186" s="19">
        <v>0</v>
      </c>
      <c r="ED186" s="19">
        <v>0</v>
      </c>
      <c r="EE186" s="19">
        <v>0</v>
      </c>
      <c r="EF186" s="19">
        <v>0</v>
      </c>
      <c r="EG186" s="19">
        <v>0</v>
      </c>
      <c r="EH186" s="19">
        <v>0</v>
      </c>
      <c r="EI186" s="19">
        <v>0</v>
      </c>
      <c r="EJ186" s="19">
        <v>0</v>
      </c>
      <c r="EK186" s="19">
        <v>0</v>
      </c>
      <c r="EL186" s="19">
        <v>0</v>
      </c>
      <c r="EM186" s="19">
        <v>0</v>
      </c>
      <c r="EN186" s="19">
        <v>0</v>
      </c>
      <c r="EO186" s="19">
        <v>0</v>
      </c>
      <c r="EP186" s="19">
        <v>0</v>
      </c>
      <c r="EQ186" s="19">
        <v>0</v>
      </c>
      <c r="ER186" s="19">
        <v>0</v>
      </c>
      <c r="ES186" s="119">
        <v>0</v>
      </c>
      <c r="ET186" s="119">
        <v>0</v>
      </c>
    </row>
    <row r="187" spans="1:150" ht="16.5" customHeight="1" x14ac:dyDescent="0.35">
      <c r="A187" s="4">
        <v>205</v>
      </c>
      <c r="B187" s="4" t="str">
        <f>LOOKUP(A187,Lookup!$A$1:$A$34,Lookup!$B$1:$B$34)</f>
        <v>MUTTON</v>
      </c>
      <c r="C187" s="5">
        <v>40510</v>
      </c>
      <c r="D187" s="6" t="s">
        <v>184</v>
      </c>
      <c r="E187" s="18">
        <v>17.467728107777099</v>
      </c>
      <c r="F187" s="18">
        <v>0.183</v>
      </c>
      <c r="G187" s="18">
        <v>1240.20869565217</v>
      </c>
      <c r="H187" s="18">
        <v>12.967000000000001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1240.20869565217</v>
      </c>
      <c r="AL187" s="19">
        <v>12.967000000000001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0</v>
      </c>
      <c r="CN187" s="19">
        <v>0</v>
      </c>
      <c r="CO187" s="19">
        <v>0</v>
      </c>
      <c r="CP187" s="19">
        <v>0</v>
      </c>
      <c r="CQ187" s="19">
        <v>0</v>
      </c>
      <c r="CR187" s="19">
        <v>0</v>
      </c>
      <c r="CS187" s="19">
        <v>0</v>
      </c>
      <c r="CT187" s="19">
        <v>0</v>
      </c>
      <c r="CU187" s="19">
        <v>0</v>
      </c>
      <c r="CV187" s="19">
        <v>0</v>
      </c>
      <c r="CW187" s="19">
        <v>0</v>
      </c>
      <c r="CX187" s="19">
        <v>0</v>
      </c>
      <c r="CY187" s="19">
        <v>0</v>
      </c>
      <c r="CZ187" s="19">
        <v>0</v>
      </c>
      <c r="DA187" s="19">
        <v>0</v>
      </c>
      <c r="DB187" s="19">
        <v>0</v>
      </c>
      <c r="DC187" s="19">
        <v>0</v>
      </c>
      <c r="DD187" s="19">
        <v>0</v>
      </c>
      <c r="DE187" s="19">
        <v>0</v>
      </c>
      <c r="DF187" s="19">
        <v>0</v>
      </c>
      <c r="DG187" s="19">
        <v>0</v>
      </c>
      <c r="DH187" s="19">
        <v>0</v>
      </c>
      <c r="DI187" s="19">
        <v>0</v>
      </c>
      <c r="DJ187" s="19">
        <v>0</v>
      </c>
      <c r="DK187" s="19">
        <v>0</v>
      </c>
      <c r="DL187" s="19">
        <v>0</v>
      </c>
      <c r="DM187" s="19">
        <v>0</v>
      </c>
      <c r="DN187" s="19">
        <v>0</v>
      </c>
      <c r="DO187" s="19">
        <v>0</v>
      </c>
      <c r="DP187" s="19">
        <v>0</v>
      </c>
      <c r="DQ187" s="19">
        <v>0</v>
      </c>
      <c r="DR187" s="19">
        <v>0</v>
      </c>
      <c r="DS187" s="19">
        <v>0</v>
      </c>
      <c r="DT187" s="19">
        <v>0</v>
      </c>
      <c r="DU187" s="19">
        <v>0</v>
      </c>
      <c r="DV187" s="19">
        <v>0</v>
      </c>
      <c r="DW187" s="19">
        <v>0</v>
      </c>
      <c r="DX187" s="19">
        <v>0</v>
      </c>
      <c r="DY187" s="19">
        <v>0</v>
      </c>
      <c r="DZ187" s="19">
        <v>0</v>
      </c>
      <c r="EA187" s="19">
        <v>0</v>
      </c>
      <c r="EB187" s="19">
        <v>0</v>
      </c>
      <c r="EC187" s="19">
        <v>0</v>
      </c>
      <c r="ED187" s="19">
        <v>0</v>
      </c>
      <c r="EE187" s="19">
        <v>0</v>
      </c>
      <c r="EF187" s="19">
        <v>0</v>
      </c>
      <c r="EG187" s="19">
        <v>0</v>
      </c>
      <c r="EH187" s="19">
        <v>0</v>
      </c>
      <c r="EI187" s="19">
        <v>0</v>
      </c>
      <c r="EJ187" s="19">
        <v>0</v>
      </c>
      <c r="EK187" s="19">
        <v>0</v>
      </c>
      <c r="EL187" s="19">
        <v>0</v>
      </c>
      <c r="EM187" s="19">
        <v>0</v>
      </c>
      <c r="EN187" s="19">
        <v>0</v>
      </c>
      <c r="EO187" s="19">
        <v>0</v>
      </c>
      <c r="EP187" s="19">
        <v>0</v>
      </c>
      <c r="EQ187" s="19">
        <v>0</v>
      </c>
      <c r="ER187" s="19">
        <v>0</v>
      </c>
      <c r="ES187" s="119">
        <v>0</v>
      </c>
      <c r="ET187" s="119">
        <v>0</v>
      </c>
    </row>
    <row r="188" spans="1:150" ht="16.5" customHeight="1" x14ac:dyDescent="0.35">
      <c r="A188" s="4">
        <v>205</v>
      </c>
      <c r="B188" s="4" t="str">
        <f>LOOKUP(A188,Lookup!$A$1:$A$34,Lookup!$B$1:$B$34)</f>
        <v>MUTTON</v>
      </c>
      <c r="C188" s="5">
        <v>41008</v>
      </c>
      <c r="D188" s="6" t="s">
        <v>185</v>
      </c>
      <c r="E188" s="18">
        <v>0</v>
      </c>
      <c r="F188" s="18">
        <v>0</v>
      </c>
      <c r="G188" s="18">
        <v>0</v>
      </c>
      <c r="H188" s="18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0</v>
      </c>
      <c r="CO188" s="19">
        <v>0</v>
      </c>
      <c r="CP188" s="19">
        <v>0</v>
      </c>
      <c r="CQ188" s="19">
        <v>0</v>
      </c>
      <c r="CR188" s="19">
        <v>0</v>
      </c>
      <c r="CS188" s="19">
        <v>0</v>
      </c>
      <c r="CT188" s="19">
        <v>0</v>
      </c>
      <c r="CU188" s="19">
        <v>0</v>
      </c>
      <c r="CV188" s="19">
        <v>0</v>
      </c>
      <c r="CW188" s="19">
        <v>0</v>
      </c>
      <c r="CX188" s="19">
        <v>0</v>
      </c>
      <c r="CY188" s="19">
        <v>0</v>
      </c>
      <c r="CZ188" s="19">
        <v>0</v>
      </c>
      <c r="DA188" s="19">
        <v>0</v>
      </c>
      <c r="DB188" s="19">
        <v>0</v>
      </c>
      <c r="DC188" s="19">
        <v>0</v>
      </c>
      <c r="DD188" s="19">
        <v>0</v>
      </c>
      <c r="DE188" s="19">
        <v>0</v>
      </c>
      <c r="DF188" s="19">
        <v>0</v>
      </c>
      <c r="DG188" s="19">
        <v>0</v>
      </c>
      <c r="DH188" s="19">
        <v>0</v>
      </c>
      <c r="DI188" s="19">
        <v>0</v>
      </c>
      <c r="DJ188" s="19">
        <v>0</v>
      </c>
      <c r="DK188" s="19">
        <v>0</v>
      </c>
      <c r="DL188" s="19">
        <v>0</v>
      </c>
      <c r="DM188" s="19">
        <v>0</v>
      </c>
      <c r="DN188" s="19">
        <v>0</v>
      </c>
      <c r="DO188" s="19">
        <v>0</v>
      </c>
      <c r="DP188" s="19">
        <v>0</v>
      </c>
      <c r="DQ188" s="19">
        <v>0</v>
      </c>
      <c r="DR188" s="19">
        <v>0</v>
      </c>
      <c r="DS188" s="19">
        <v>0</v>
      </c>
      <c r="DT188" s="19">
        <v>0</v>
      </c>
      <c r="DU188" s="19">
        <v>0</v>
      </c>
      <c r="DV188" s="19">
        <v>0</v>
      </c>
      <c r="DW188" s="19">
        <v>0</v>
      </c>
      <c r="DX188" s="19">
        <v>0</v>
      </c>
      <c r="DY188" s="19">
        <v>0</v>
      </c>
      <c r="DZ188" s="19">
        <v>0</v>
      </c>
      <c r="EA188" s="19">
        <v>0</v>
      </c>
      <c r="EB188" s="19">
        <v>0</v>
      </c>
      <c r="EC188" s="19">
        <v>0</v>
      </c>
      <c r="ED188" s="19">
        <v>0</v>
      </c>
      <c r="EE188" s="19">
        <v>0</v>
      </c>
      <c r="EF188" s="19">
        <v>0</v>
      </c>
      <c r="EG188" s="19">
        <v>0</v>
      </c>
      <c r="EH188" s="19">
        <v>0</v>
      </c>
      <c r="EI188" s="19">
        <v>0</v>
      </c>
      <c r="EJ188" s="19">
        <v>0</v>
      </c>
      <c r="EK188" s="19">
        <v>0</v>
      </c>
      <c r="EL188" s="19">
        <v>0</v>
      </c>
      <c r="EM188" s="19">
        <v>0</v>
      </c>
      <c r="EN188" s="19">
        <v>0</v>
      </c>
      <c r="EO188" s="19">
        <v>0</v>
      </c>
      <c r="EP188" s="19">
        <v>0</v>
      </c>
      <c r="EQ188" s="19">
        <v>0</v>
      </c>
      <c r="ER188" s="19">
        <v>0</v>
      </c>
      <c r="ES188" s="119">
        <v>0</v>
      </c>
      <c r="ET188" s="119">
        <v>0</v>
      </c>
    </row>
    <row r="189" spans="1:150" ht="16.5" customHeight="1" x14ac:dyDescent="0.35">
      <c r="A189" s="4">
        <v>205</v>
      </c>
      <c r="B189" s="4" t="str">
        <f>LOOKUP(A189,Lookup!$A$1:$A$34,Lookup!$B$1:$B$34)</f>
        <v>MUTTON</v>
      </c>
      <c r="C189" s="5">
        <v>44898</v>
      </c>
      <c r="D189" s="6" t="s">
        <v>186</v>
      </c>
      <c r="E189" s="18">
        <v>47.714390691977997</v>
      </c>
      <c r="F189" s="18">
        <v>0.39200000000000002</v>
      </c>
      <c r="G189" s="18">
        <v>3387.7217391304298</v>
      </c>
      <c r="H189" s="18">
        <v>27.866</v>
      </c>
      <c r="I189" s="19">
        <v>125.869565217391</v>
      </c>
      <c r="J189" s="19">
        <v>1.034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222.278260869565</v>
      </c>
      <c r="T189" s="19">
        <v>1.8260000000000001</v>
      </c>
      <c r="U189" s="19">
        <v>66.2173913043478</v>
      </c>
      <c r="V189" s="19">
        <v>0.54400000000000004</v>
      </c>
      <c r="W189" s="19">
        <v>354.49565217391302</v>
      </c>
      <c r="X189" s="19">
        <v>2.9119999999999999</v>
      </c>
      <c r="Y189" s="19">
        <v>281.67826086956501</v>
      </c>
      <c r="Z189" s="19">
        <v>2.3140000000000001</v>
      </c>
      <c r="AA189" s="19">
        <v>211.31304347826099</v>
      </c>
      <c r="AB189" s="19">
        <v>1.736</v>
      </c>
      <c r="AC189" s="19">
        <v>161.165217391304</v>
      </c>
      <c r="AD189" s="19">
        <v>1.3240000000000001</v>
      </c>
      <c r="AE189" s="19">
        <v>0</v>
      </c>
      <c r="AF189" s="19">
        <v>0</v>
      </c>
      <c r="AG189" s="19">
        <v>63.295652173912998</v>
      </c>
      <c r="AH189" s="19">
        <v>0.52</v>
      </c>
      <c r="AI189" s="19">
        <v>0</v>
      </c>
      <c r="AJ189" s="19">
        <v>0</v>
      </c>
      <c r="AK189" s="19">
        <v>109.078260869565</v>
      </c>
      <c r="AL189" s="19">
        <v>0.89600000000000002</v>
      </c>
      <c r="AM189" s="19">
        <v>171.4</v>
      </c>
      <c r="AN189" s="19">
        <v>1.4079999999999999</v>
      </c>
      <c r="AO189" s="19">
        <v>317.22608695652201</v>
      </c>
      <c r="AP189" s="19">
        <v>2.6059999999999999</v>
      </c>
      <c r="AQ189" s="19">
        <v>0</v>
      </c>
      <c r="AR189" s="19">
        <v>0</v>
      </c>
      <c r="AS189" s="19">
        <v>0</v>
      </c>
      <c r="AT189" s="19">
        <v>0</v>
      </c>
      <c r="AU189" s="19">
        <v>39.9304347826087</v>
      </c>
      <c r="AV189" s="19">
        <v>0.32800000000000001</v>
      </c>
      <c r="AW189" s="19">
        <v>231.76521739130399</v>
      </c>
      <c r="AX189" s="19">
        <v>1.9039999999999999</v>
      </c>
      <c r="AY189" s="19">
        <v>272.43478260869603</v>
      </c>
      <c r="AZ189" s="19">
        <v>2.238</v>
      </c>
      <c r="BA189" s="19">
        <v>75.469565217391306</v>
      </c>
      <c r="BB189" s="19">
        <v>0.62</v>
      </c>
      <c r="BC189" s="19">
        <v>63.7826086956522</v>
      </c>
      <c r="BD189" s="19">
        <v>0.52400000000000002</v>
      </c>
      <c r="BE189" s="19">
        <v>63.7826086956522</v>
      </c>
      <c r="BF189" s="19">
        <v>0.52400000000000002</v>
      </c>
      <c r="BG189" s="19">
        <v>437.24347826087001</v>
      </c>
      <c r="BH189" s="19">
        <v>3.6280000000000001</v>
      </c>
      <c r="BI189" s="19">
        <v>119.295652173913</v>
      </c>
      <c r="BJ189" s="19">
        <v>0.98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0</v>
      </c>
      <c r="CN189" s="19">
        <v>0</v>
      </c>
      <c r="CO189" s="19">
        <v>0</v>
      </c>
      <c r="CP189" s="19">
        <v>0</v>
      </c>
      <c r="CQ189" s="19">
        <v>0</v>
      </c>
      <c r="CR189" s="19">
        <v>0</v>
      </c>
      <c r="CS189" s="19">
        <v>0</v>
      </c>
      <c r="CT189" s="19">
        <v>0</v>
      </c>
      <c r="CU189" s="19">
        <v>0</v>
      </c>
      <c r="CV189" s="19">
        <v>0</v>
      </c>
      <c r="CW189" s="19">
        <v>0</v>
      </c>
      <c r="CX189" s="19">
        <v>0</v>
      </c>
      <c r="CY189" s="19">
        <v>0</v>
      </c>
      <c r="CZ189" s="19">
        <v>0</v>
      </c>
      <c r="DA189" s="19">
        <v>0</v>
      </c>
      <c r="DB189" s="19">
        <v>0</v>
      </c>
      <c r="DC189" s="19">
        <v>0</v>
      </c>
      <c r="DD189" s="19">
        <v>0</v>
      </c>
      <c r="DE189" s="19">
        <v>0</v>
      </c>
      <c r="DF189" s="19">
        <v>0</v>
      </c>
      <c r="DG189" s="19">
        <v>0</v>
      </c>
      <c r="DH189" s="19">
        <v>0</v>
      </c>
      <c r="DI189" s="19">
        <v>0</v>
      </c>
      <c r="DJ189" s="19">
        <v>0</v>
      </c>
      <c r="DK189" s="19">
        <v>0</v>
      </c>
      <c r="DL189" s="19">
        <v>0</v>
      </c>
      <c r="DM189" s="19">
        <v>0</v>
      </c>
      <c r="DN189" s="19">
        <v>0</v>
      </c>
      <c r="DO189" s="19">
        <v>0</v>
      </c>
      <c r="DP189" s="19">
        <v>0</v>
      </c>
      <c r="DQ189" s="19">
        <v>0</v>
      </c>
      <c r="DR189" s="19">
        <v>0</v>
      </c>
      <c r="DS189" s="19">
        <v>0</v>
      </c>
      <c r="DT189" s="19">
        <v>0</v>
      </c>
      <c r="DU189" s="19">
        <v>0</v>
      </c>
      <c r="DV189" s="19">
        <v>0</v>
      </c>
      <c r="DW189" s="19">
        <v>0</v>
      </c>
      <c r="DX189" s="19">
        <v>0</v>
      </c>
      <c r="DY189" s="19">
        <v>0</v>
      </c>
      <c r="DZ189" s="19">
        <v>0</v>
      </c>
      <c r="EA189" s="19">
        <v>0</v>
      </c>
      <c r="EB189" s="19">
        <v>0</v>
      </c>
      <c r="EC189" s="19">
        <v>0</v>
      </c>
      <c r="ED189" s="19">
        <v>0</v>
      </c>
      <c r="EE189" s="19">
        <v>0</v>
      </c>
      <c r="EF189" s="19">
        <v>0</v>
      </c>
      <c r="EG189" s="19">
        <v>0</v>
      </c>
      <c r="EH189" s="19">
        <v>0</v>
      </c>
      <c r="EI189" s="19">
        <v>0</v>
      </c>
      <c r="EJ189" s="19">
        <v>0</v>
      </c>
      <c r="EK189" s="19">
        <v>0</v>
      </c>
      <c r="EL189" s="19">
        <v>0</v>
      </c>
      <c r="EM189" s="19">
        <v>0</v>
      </c>
      <c r="EN189" s="19">
        <v>0</v>
      </c>
      <c r="EO189" s="19">
        <v>0</v>
      </c>
      <c r="EP189" s="19">
        <v>0</v>
      </c>
      <c r="EQ189" s="19">
        <v>0</v>
      </c>
      <c r="ER189" s="19">
        <v>0</v>
      </c>
      <c r="ES189" s="119">
        <v>0</v>
      </c>
      <c r="ET189" s="119">
        <v>0</v>
      </c>
    </row>
    <row r="190" spans="1:150" ht="16.5" customHeight="1" x14ac:dyDescent="0.35">
      <c r="A190" s="4">
        <v>205</v>
      </c>
      <c r="B190" s="4" t="str">
        <f>LOOKUP(A190,Lookup!$A$1:$A$34,Lookup!$B$1:$B$34)</f>
        <v>MUTTON</v>
      </c>
      <c r="C190" s="5">
        <v>56816</v>
      </c>
      <c r="D190" s="6" t="s">
        <v>182</v>
      </c>
      <c r="E190" s="18">
        <v>291.08744641763599</v>
      </c>
      <c r="F190" s="18">
        <v>2.5880000000000001</v>
      </c>
      <c r="G190" s="18">
        <v>20667.2086956522</v>
      </c>
      <c r="H190" s="18">
        <v>183.774</v>
      </c>
      <c r="I190" s="19">
        <v>200.96521739130401</v>
      </c>
      <c r="J190" s="19">
        <v>1.778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71.208695652173901</v>
      </c>
      <c r="V190" s="19">
        <v>0.63</v>
      </c>
      <c r="W190" s="19">
        <v>101.278260869565</v>
      </c>
      <c r="X190" s="19">
        <v>0.83199999999999996</v>
      </c>
      <c r="Y190" s="19">
        <v>84.965217391304293</v>
      </c>
      <c r="Z190" s="19">
        <v>0.69799999999999995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76.443478260869597</v>
      </c>
      <c r="AH190" s="19">
        <v>0.628</v>
      </c>
      <c r="AI190" s="19">
        <v>377.6</v>
      </c>
      <c r="AJ190" s="19">
        <v>3.1019999999999999</v>
      </c>
      <c r="AK190" s="19">
        <v>451.121739130435</v>
      </c>
      <c r="AL190" s="19">
        <v>3.706</v>
      </c>
      <c r="AM190" s="19">
        <v>340.34782608695701</v>
      </c>
      <c r="AN190" s="19">
        <v>2.7959999999999998</v>
      </c>
      <c r="AO190" s="19">
        <v>206.44347826086999</v>
      </c>
      <c r="AP190" s="19">
        <v>1.696</v>
      </c>
      <c r="AQ190" s="19">
        <v>262.43478260869603</v>
      </c>
      <c r="AR190" s="19">
        <v>2.7440000000000002</v>
      </c>
      <c r="AS190" s="19">
        <v>75.365217391304398</v>
      </c>
      <c r="AT190" s="19">
        <v>0.78800000000000003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342.713043478261</v>
      </c>
      <c r="BH190" s="19">
        <v>3.032</v>
      </c>
      <c r="BI190" s="19">
        <v>0</v>
      </c>
      <c r="BJ190" s="19">
        <v>0</v>
      </c>
      <c r="BK190" s="19">
        <v>132.24347826087001</v>
      </c>
      <c r="BL190" s="19">
        <v>1.17</v>
      </c>
      <c r="BM190" s="19">
        <v>376.39130434782601</v>
      </c>
      <c r="BN190" s="19">
        <v>3.33</v>
      </c>
      <c r="BO190" s="19">
        <v>581.88695652173897</v>
      </c>
      <c r="BP190" s="19">
        <v>5.1479999999999997</v>
      </c>
      <c r="BQ190" s="19">
        <v>255.90434782608699</v>
      </c>
      <c r="BR190" s="19">
        <v>2.2639999999999998</v>
      </c>
      <c r="BS190" s="19">
        <v>175.84347826087</v>
      </c>
      <c r="BT190" s="19">
        <v>1.5860000000000001</v>
      </c>
      <c r="BU190" s="19">
        <v>299.304347826087</v>
      </c>
      <c r="BV190" s="19">
        <v>2.6480000000000001</v>
      </c>
      <c r="BW190" s="19">
        <v>352.426086956522</v>
      </c>
      <c r="BX190" s="19">
        <v>3.1179999999999999</v>
      </c>
      <c r="BY190" s="19">
        <v>407.591304347826</v>
      </c>
      <c r="BZ190" s="19">
        <v>3.6059999999999999</v>
      </c>
      <c r="CA190" s="19">
        <v>458.45217391304402</v>
      </c>
      <c r="CB190" s="19">
        <v>4.056</v>
      </c>
      <c r="CC190" s="19">
        <v>334.121739130435</v>
      </c>
      <c r="CD190" s="19">
        <v>2.956</v>
      </c>
      <c r="CE190" s="19">
        <v>414.82608695652198</v>
      </c>
      <c r="CF190" s="19">
        <v>3.67</v>
      </c>
      <c r="CG190" s="19">
        <v>589.79130434782599</v>
      </c>
      <c r="CH190" s="19">
        <v>5.218</v>
      </c>
      <c r="CI190" s="19">
        <v>736.27826086956497</v>
      </c>
      <c r="CJ190" s="19">
        <v>6.5140000000000002</v>
      </c>
      <c r="CK190" s="19">
        <v>559.65217391304304</v>
      </c>
      <c r="CL190" s="19">
        <v>4.984</v>
      </c>
      <c r="CM190" s="19">
        <v>859.48695652173899</v>
      </c>
      <c r="CN190" s="19">
        <v>7.6040000000000001</v>
      </c>
      <c r="CO190" s="19">
        <v>592.730434782609</v>
      </c>
      <c r="CP190" s="19">
        <v>5.2439999999999998</v>
      </c>
      <c r="CQ190" s="19">
        <v>494.17391304347802</v>
      </c>
      <c r="CR190" s="19">
        <v>4.3719999999999999</v>
      </c>
      <c r="CS190" s="19">
        <v>494.60869565217399</v>
      </c>
      <c r="CT190" s="19">
        <v>4.4459999999999997</v>
      </c>
      <c r="CU190" s="19">
        <v>258.426086956522</v>
      </c>
      <c r="CV190" s="19">
        <v>2.3119999999999998</v>
      </c>
      <c r="CW190" s="19">
        <v>194.64347826087001</v>
      </c>
      <c r="CX190" s="19">
        <v>1.722</v>
      </c>
      <c r="CY190" s="19">
        <v>335.93043478260898</v>
      </c>
      <c r="CZ190" s="19">
        <v>2.972</v>
      </c>
      <c r="DA190" s="19">
        <v>470.43478260869603</v>
      </c>
      <c r="DB190" s="19">
        <v>4.1619999999999999</v>
      </c>
      <c r="DC190" s="19">
        <v>607.20000000000005</v>
      </c>
      <c r="DD190" s="19">
        <v>5.3719999999999999</v>
      </c>
      <c r="DE190" s="19">
        <v>312.86956521739103</v>
      </c>
      <c r="DF190" s="19">
        <v>2.7679999999999998</v>
      </c>
      <c r="DG190" s="19">
        <v>298.860869565217</v>
      </c>
      <c r="DH190" s="19">
        <v>2.6440000000000001</v>
      </c>
      <c r="DI190" s="19">
        <v>422.51304347826101</v>
      </c>
      <c r="DJ190" s="19">
        <v>3.738</v>
      </c>
      <c r="DK190" s="19">
        <v>278.96521739130401</v>
      </c>
      <c r="DL190" s="19">
        <v>2.468</v>
      </c>
      <c r="DM190" s="19">
        <v>86.130434782608702</v>
      </c>
      <c r="DN190" s="19">
        <v>0.76200000000000001</v>
      </c>
      <c r="DO190" s="19">
        <v>418.66956521739098</v>
      </c>
      <c r="DP190" s="19">
        <v>3.7040000000000002</v>
      </c>
      <c r="DQ190" s="19">
        <v>0</v>
      </c>
      <c r="DR190" s="19">
        <v>0</v>
      </c>
      <c r="DS190" s="19">
        <v>350.4</v>
      </c>
      <c r="DT190" s="19">
        <v>3.1</v>
      </c>
      <c r="DU190" s="19">
        <v>185.6</v>
      </c>
      <c r="DV190" s="19">
        <v>1.6419999999999999</v>
      </c>
      <c r="DW190" s="19">
        <v>376.17391304347802</v>
      </c>
      <c r="DX190" s="19">
        <v>3.3279999999999998</v>
      </c>
      <c r="DY190" s="19">
        <v>177.008695652174</v>
      </c>
      <c r="DZ190" s="19">
        <v>1.5660000000000001</v>
      </c>
      <c r="EA190" s="19">
        <v>69.400000000000006</v>
      </c>
      <c r="EB190" s="19">
        <v>0.61399999999999999</v>
      </c>
      <c r="EC190" s="19">
        <v>570.80869565217404</v>
      </c>
      <c r="ED190" s="19">
        <v>5.05</v>
      </c>
      <c r="EE190" s="19">
        <v>427.48695652173899</v>
      </c>
      <c r="EF190" s="19">
        <v>3.782</v>
      </c>
      <c r="EG190" s="19">
        <v>705.31304347826097</v>
      </c>
      <c r="EH190" s="19">
        <v>6.24</v>
      </c>
      <c r="EI190" s="19">
        <v>668.93043478260904</v>
      </c>
      <c r="EJ190" s="19">
        <v>5.9180000000000001</v>
      </c>
      <c r="EK190" s="19">
        <v>410.75652173912999</v>
      </c>
      <c r="EL190" s="19">
        <v>3.6339999999999999</v>
      </c>
      <c r="EM190" s="19">
        <v>663.46086956521697</v>
      </c>
      <c r="EN190" s="19">
        <v>5.9</v>
      </c>
      <c r="EO190" s="19">
        <v>343.46956521739099</v>
      </c>
      <c r="EP190" s="19">
        <v>3.2919999999999998</v>
      </c>
      <c r="EQ190" s="19">
        <v>700.304347826087</v>
      </c>
      <c r="ER190" s="19">
        <v>6.7119999999999997</v>
      </c>
      <c r="ES190" s="119">
        <v>862.86086956521694</v>
      </c>
      <c r="ET190" s="119">
        <v>8.0960000000000001</v>
      </c>
    </row>
    <row r="191" spans="1:150" ht="16.5" customHeight="1" x14ac:dyDescent="0.35">
      <c r="A191" s="4">
        <v>205</v>
      </c>
      <c r="B191" s="4" t="str">
        <f>LOOKUP(A191,Lookup!$A$1:$A$34,Lookup!$B$1:$B$34)</f>
        <v>MUTTON</v>
      </c>
      <c r="C191" s="5">
        <v>64528</v>
      </c>
      <c r="D191" s="6" t="s">
        <v>187</v>
      </c>
      <c r="E191" s="18">
        <v>27.6372670807453</v>
      </c>
      <c r="F191" s="18">
        <v>0.23400000000000001</v>
      </c>
      <c r="G191" s="18">
        <v>773.84347826087003</v>
      </c>
      <c r="H191" s="18">
        <v>6.5439999999999996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0</v>
      </c>
      <c r="CO191" s="19">
        <v>0</v>
      </c>
      <c r="CP191" s="19">
        <v>0</v>
      </c>
      <c r="CQ191" s="19">
        <v>773.84347826087003</v>
      </c>
      <c r="CR191" s="19">
        <v>6.5439999999999996</v>
      </c>
      <c r="CS191" s="19">
        <v>0</v>
      </c>
      <c r="CT191" s="19">
        <v>0</v>
      </c>
      <c r="CU191" s="19">
        <v>0</v>
      </c>
      <c r="CV191" s="19">
        <v>0</v>
      </c>
      <c r="CW191" s="19">
        <v>0</v>
      </c>
      <c r="CX191" s="19">
        <v>0</v>
      </c>
      <c r="CY191" s="19">
        <v>0</v>
      </c>
      <c r="CZ191" s="19">
        <v>0</v>
      </c>
      <c r="DA191" s="19">
        <v>0</v>
      </c>
      <c r="DB191" s="19">
        <v>0</v>
      </c>
      <c r="DC191" s="19">
        <v>0</v>
      </c>
      <c r="DD191" s="19">
        <v>0</v>
      </c>
      <c r="DE191" s="19">
        <v>0</v>
      </c>
      <c r="DF191" s="19">
        <v>0</v>
      </c>
      <c r="DG191" s="19">
        <v>0</v>
      </c>
      <c r="DH191" s="19">
        <v>0</v>
      </c>
      <c r="DI191" s="19">
        <v>0</v>
      </c>
      <c r="DJ191" s="19">
        <v>0</v>
      </c>
      <c r="DK191" s="19">
        <v>0</v>
      </c>
      <c r="DL191" s="19">
        <v>0</v>
      </c>
      <c r="DM191" s="19">
        <v>0</v>
      </c>
      <c r="DN191" s="19">
        <v>0</v>
      </c>
      <c r="DO191" s="19">
        <v>0</v>
      </c>
      <c r="DP191" s="19">
        <v>0</v>
      </c>
      <c r="DQ191" s="19">
        <v>0</v>
      </c>
      <c r="DR191" s="19">
        <v>0</v>
      </c>
      <c r="DS191" s="19">
        <v>0</v>
      </c>
      <c r="DT191" s="19">
        <v>0</v>
      </c>
      <c r="DU191" s="19">
        <v>0</v>
      </c>
      <c r="DV191" s="19">
        <v>0</v>
      </c>
      <c r="DW191" s="19">
        <v>0</v>
      </c>
      <c r="DX191" s="19">
        <v>0</v>
      </c>
      <c r="DY191" s="19">
        <v>0</v>
      </c>
      <c r="DZ191" s="19">
        <v>0</v>
      </c>
      <c r="EA191" s="19">
        <v>0</v>
      </c>
      <c r="EB191" s="19">
        <v>0</v>
      </c>
      <c r="EC191" s="19">
        <v>0</v>
      </c>
      <c r="ED191" s="19">
        <v>0</v>
      </c>
      <c r="EE191" s="19">
        <v>0</v>
      </c>
      <c r="EF191" s="19">
        <v>0</v>
      </c>
      <c r="EG191" s="19">
        <v>0</v>
      </c>
      <c r="EH191" s="19">
        <v>0</v>
      </c>
      <c r="EI191" s="19">
        <v>0</v>
      </c>
      <c r="EJ191" s="19">
        <v>0</v>
      </c>
      <c r="EK191" s="19">
        <v>0</v>
      </c>
      <c r="EL191" s="19">
        <v>0</v>
      </c>
      <c r="EM191" s="19">
        <v>0</v>
      </c>
      <c r="EN191" s="19">
        <v>0</v>
      </c>
      <c r="EO191" s="19">
        <v>0</v>
      </c>
      <c r="EP191" s="19">
        <v>0</v>
      </c>
      <c r="EQ191" s="19">
        <v>0</v>
      </c>
      <c r="ER191" s="19">
        <v>0</v>
      </c>
      <c r="ES191" s="119">
        <v>0</v>
      </c>
      <c r="ET191" s="119">
        <v>0</v>
      </c>
    </row>
    <row r="192" spans="1:150" ht="16.5" customHeight="1" x14ac:dyDescent="0.35">
      <c r="A192" s="4">
        <v>205</v>
      </c>
      <c r="B192" s="4" t="str">
        <f>LOOKUP(A192,Lookup!$A$1:$A$34,Lookup!$B$1:$B$34)</f>
        <v>MUTTON</v>
      </c>
      <c r="C192" s="5">
        <v>64529</v>
      </c>
      <c r="D192" s="6" t="s">
        <v>188</v>
      </c>
      <c r="E192" s="18">
        <v>25.310869565217399</v>
      </c>
      <c r="F192" s="18">
        <v>0.17499999999999999</v>
      </c>
      <c r="G192" s="18">
        <v>708.70434782608697</v>
      </c>
      <c r="H192" s="18">
        <v>4.91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0</v>
      </c>
      <c r="CN192" s="19">
        <v>0</v>
      </c>
      <c r="CO192" s="19">
        <v>0</v>
      </c>
      <c r="CP192" s="19">
        <v>0</v>
      </c>
      <c r="CQ192" s="19">
        <v>708.70434782608697</v>
      </c>
      <c r="CR192" s="19">
        <v>4.91</v>
      </c>
      <c r="CS192" s="19">
        <v>0</v>
      </c>
      <c r="CT192" s="19">
        <v>0</v>
      </c>
      <c r="CU192" s="19">
        <v>0</v>
      </c>
      <c r="CV192" s="19">
        <v>0</v>
      </c>
      <c r="CW192" s="19">
        <v>0</v>
      </c>
      <c r="CX192" s="19">
        <v>0</v>
      </c>
      <c r="CY192" s="19">
        <v>0</v>
      </c>
      <c r="CZ192" s="19">
        <v>0</v>
      </c>
      <c r="DA192" s="19">
        <v>0</v>
      </c>
      <c r="DB192" s="19">
        <v>0</v>
      </c>
      <c r="DC192" s="19">
        <v>0</v>
      </c>
      <c r="DD192" s="19">
        <v>0</v>
      </c>
      <c r="DE192" s="19">
        <v>0</v>
      </c>
      <c r="DF192" s="19">
        <v>0</v>
      </c>
      <c r="DG192" s="19">
        <v>0</v>
      </c>
      <c r="DH192" s="19">
        <v>0</v>
      </c>
      <c r="DI192" s="19">
        <v>0</v>
      </c>
      <c r="DJ192" s="19">
        <v>0</v>
      </c>
      <c r="DK192" s="19">
        <v>0</v>
      </c>
      <c r="DL192" s="19">
        <v>0</v>
      </c>
      <c r="DM192" s="19">
        <v>0</v>
      </c>
      <c r="DN192" s="19">
        <v>0</v>
      </c>
      <c r="DO192" s="19">
        <v>0</v>
      </c>
      <c r="DP192" s="19">
        <v>0</v>
      </c>
      <c r="DQ192" s="19">
        <v>0</v>
      </c>
      <c r="DR192" s="19">
        <v>0</v>
      </c>
      <c r="DS192" s="19">
        <v>0</v>
      </c>
      <c r="DT192" s="19">
        <v>0</v>
      </c>
      <c r="DU192" s="19">
        <v>0</v>
      </c>
      <c r="DV192" s="19">
        <v>0</v>
      </c>
      <c r="DW192" s="19">
        <v>0</v>
      </c>
      <c r="DX192" s="19">
        <v>0</v>
      </c>
      <c r="DY192" s="19">
        <v>0</v>
      </c>
      <c r="DZ192" s="19">
        <v>0</v>
      </c>
      <c r="EA192" s="19">
        <v>0</v>
      </c>
      <c r="EB192" s="19">
        <v>0</v>
      </c>
      <c r="EC192" s="19">
        <v>0</v>
      </c>
      <c r="ED192" s="19">
        <v>0</v>
      </c>
      <c r="EE192" s="19">
        <v>0</v>
      </c>
      <c r="EF192" s="19">
        <v>0</v>
      </c>
      <c r="EG192" s="19">
        <v>0</v>
      </c>
      <c r="EH192" s="19">
        <v>0</v>
      </c>
      <c r="EI192" s="19">
        <v>0</v>
      </c>
      <c r="EJ192" s="19">
        <v>0</v>
      </c>
      <c r="EK192" s="19">
        <v>0</v>
      </c>
      <c r="EL192" s="19">
        <v>0</v>
      </c>
      <c r="EM192" s="19">
        <v>0</v>
      </c>
      <c r="EN192" s="19">
        <v>0</v>
      </c>
      <c r="EO192" s="19">
        <v>0</v>
      </c>
      <c r="EP192" s="19">
        <v>0</v>
      </c>
      <c r="EQ192" s="19">
        <v>0</v>
      </c>
      <c r="ER192" s="19">
        <v>0</v>
      </c>
      <c r="ES192" s="119">
        <v>0</v>
      </c>
      <c r="ET192" s="119">
        <v>0</v>
      </c>
    </row>
    <row r="193" spans="1:150" ht="16.5" customHeight="1" x14ac:dyDescent="0.35">
      <c r="A193" s="4">
        <v>206</v>
      </c>
      <c r="B193" s="4" t="str">
        <f>LOOKUP(A193,Lookup!$A$1:$A$34,Lookup!$B$1:$B$34)</f>
        <v>PET MINCE/DROEWORS</v>
      </c>
      <c r="C193" s="5">
        <v>34231</v>
      </c>
      <c r="D193" s="6" t="s">
        <v>189</v>
      </c>
      <c r="E193" s="18">
        <v>0</v>
      </c>
      <c r="F193" s="18">
        <v>0</v>
      </c>
      <c r="G193" s="18">
        <v>0</v>
      </c>
      <c r="H193" s="18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0</v>
      </c>
      <c r="CN193" s="19">
        <v>0</v>
      </c>
      <c r="CO193" s="19">
        <v>0</v>
      </c>
      <c r="CP193" s="19">
        <v>0</v>
      </c>
      <c r="CQ193" s="19">
        <v>0</v>
      </c>
      <c r="CR193" s="19">
        <v>0</v>
      </c>
      <c r="CS193" s="19">
        <v>0</v>
      </c>
      <c r="CT193" s="19">
        <v>0</v>
      </c>
      <c r="CU193" s="19">
        <v>0</v>
      </c>
      <c r="CV193" s="19">
        <v>0</v>
      </c>
      <c r="CW193" s="19">
        <v>0</v>
      </c>
      <c r="CX193" s="19">
        <v>0</v>
      </c>
      <c r="CY193" s="19">
        <v>0</v>
      </c>
      <c r="CZ193" s="19">
        <v>0</v>
      </c>
      <c r="DA193" s="19">
        <v>0</v>
      </c>
      <c r="DB193" s="19">
        <v>0</v>
      </c>
      <c r="DC193" s="19">
        <v>0</v>
      </c>
      <c r="DD193" s="19">
        <v>0</v>
      </c>
      <c r="DE193" s="19">
        <v>0</v>
      </c>
      <c r="DF193" s="19">
        <v>0</v>
      </c>
      <c r="DG193" s="19">
        <v>0</v>
      </c>
      <c r="DH193" s="19">
        <v>0</v>
      </c>
      <c r="DI193" s="19">
        <v>0</v>
      </c>
      <c r="DJ193" s="19">
        <v>0</v>
      </c>
      <c r="DK193" s="19">
        <v>0</v>
      </c>
      <c r="DL193" s="19">
        <v>0</v>
      </c>
      <c r="DM193" s="19">
        <v>0</v>
      </c>
      <c r="DN193" s="19">
        <v>0</v>
      </c>
      <c r="DO193" s="19">
        <v>0</v>
      </c>
      <c r="DP193" s="19">
        <v>0</v>
      </c>
      <c r="DQ193" s="19">
        <v>0</v>
      </c>
      <c r="DR193" s="19">
        <v>0</v>
      </c>
      <c r="DS193" s="19">
        <v>0</v>
      </c>
      <c r="DT193" s="19">
        <v>0</v>
      </c>
      <c r="DU193" s="19">
        <v>0</v>
      </c>
      <c r="DV193" s="19">
        <v>0</v>
      </c>
      <c r="DW193" s="19">
        <v>0</v>
      </c>
      <c r="DX193" s="19">
        <v>0</v>
      </c>
      <c r="DY193" s="19">
        <v>0</v>
      </c>
      <c r="DZ193" s="19">
        <v>0</v>
      </c>
      <c r="EA193" s="19">
        <v>0</v>
      </c>
      <c r="EB193" s="19">
        <v>0</v>
      </c>
      <c r="EC193" s="19">
        <v>0</v>
      </c>
      <c r="ED193" s="19">
        <v>0</v>
      </c>
      <c r="EE193" s="19">
        <v>0</v>
      </c>
      <c r="EF193" s="19">
        <v>0</v>
      </c>
      <c r="EG193" s="19">
        <v>0</v>
      </c>
      <c r="EH193" s="19">
        <v>0</v>
      </c>
      <c r="EI193" s="19">
        <v>0</v>
      </c>
      <c r="EJ193" s="19">
        <v>0</v>
      </c>
      <c r="EK193" s="19">
        <v>0</v>
      </c>
      <c r="EL193" s="19">
        <v>0</v>
      </c>
      <c r="EM193" s="19">
        <v>0</v>
      </c>
      <c r="EN193" s="19">
        <v>0</v>
      </c>
      <c r="EO193" s="19">
        <v>0</v>
      </c>
      <c r="EP193" s="19">
        <v>0</v>
      </c>
      <c r="EQ193" s="19">
        <v>0</v>
      </c>
      <c r="ER193" s="19">
        <v>0</v>
      </c>
      <c r="ES193" s="119">
        <v>0</v>
      </c>
      <c r="ET193" s="119">
        <v>0</v>
      </c>
    </row>
    <row r="194" spans="1:150" ht="16.5" customHeight="1" x14ac:dyDescent="0.35">
      <c r="A194" s="4">
        <v>206</v>
      </c>
      <c r="B194" s="4" t="str">
        <f>LOOKUP(A194,Lookup!$A$1:$A$34,Lookup!$B$1:$B$34)</f>
        <v>PET MINCE/DROEWORS</v>
      </c>
      <c r="C194" s="5">
        <v>34271</v>
      </c>
      <c r="D194" s="6" t="s">
        <v>190</v>
      </c>
      <c r="E194" s="18">
        <v>223.59742804653999</v>
      </c>
      <c r="F194" s="18">
        <v>12.885999999999999</v>
      </c>
      <c r="G194" s="18">
        <v>15875.4173913044</v>
      </c>
      <c r="H194" s="18">
        <v>914.92399999999998</v>
      </c>
      <c r="I194" s="19">
        <v>197.51304347826101</v>
      </c>
      <c r="J194" s="19">
        <v>11.364000000000001</v>
      </c>
      <c r="K194" s="19">
        <v>109.008695652174</v>
      </c>
      <c r="L194" s="19">
        <v>6.2720000000000002</v>
      </c>
      <c r="M194" s="19">
        <v>107.339130434783</v>
      </c>
      <c r="N194" s="19">
        <v>6.1760000000000002</v>
      </c>
      <c r="O194" s="19">
        <v>115.24347826087001</v>
      </c>
      <c r="P194" s="19">
        <v>6.6520000000000001</v>
      </c>
      <c r="Q194" s="19">
        <v>124.617391304348</v>
      </c>
      <c r="R194" s="19">
        <v>7.17</v>
      </c>
      <c r="S194" s="19">
        <v>307.286956521739</v>
      </c>
      <c r="T194" s="19">
        <v>17.809999999999999</v>
      </c>
      <c r="U194" s="19">
        <v>53.660869565217403</v>
      </c>
      <c r="V194" s="19">
        <v>3.19</v>
      </c>
      <c r="W194" s="19">
        <v>0</v>
      </c>
      <c r="X194" s="19">
        <v>0</v>
      </c>
      <c r="Y194" s="19">
        <v>22.9826086956522</v>
      </c>
      <c r="Z194" s="19">
        <v>1.3360000000000001</v>
      </c>
      <c r="AA194" s="19">
        <v>0</v>
      </c>
      <c r="AB194" s="19">
        <v>0</v>
      </c>
      <c r="AC194" s="19">
        <v>85.7130434782609</v>
      </c>
      <c r="AD194" s="19">
        <v>4.9320000000000004</v>
      </c>
      <c r="AE194" s="19">
        <v>70.113043478260906</v>
      </c>
      <c r="AF194" s="19">
        <v>4.0999999999999996</v>
      </c>
      <c r="AG194" s="19">
        <v>62.921739130434801</v>
      </c>
      <c r="AH194" s="19">
        <v>3.62</v>
      </c>
      <c r="AI194" s="19">
        <v>106.147826086957</v>
      </c>
      <c r="AJ194" s="19">
        <v>6.1079999999999997</v>
      </c>
      <c r="AK194" s="19">
        <v>130.869565217391</v>
      </c>
      <c r="AL194" s="19">
        <v>7.6120000000000001</v>
      </c>
      <c r="AM194" s="19">
        <v>228.47826086956499</v>
      </c>
      <c r="AN194" s="19">
        <v>13.24</v>
      </c>
      <c r="AO194" s="19">
        <v>290.09565217391298</v>
      </c>
      <c r="AP194" s="19">
        <v>16.687999999999999</v>
      </c>
      <c r="AQ194" s="19">
        <v>141.434782608696</v>
      </c>
      <c r="AR194" s="19">
        <v>8.1359999999999992</v>
      </c>
      <c r="AS194" s="19">
        <v>250.89565217391299</v>
      </c>
      <c r="AT194" s="19">
        <v>14.433999999999999</v>
      </c>
      <c r="AU194" s="19">
        <v>282.8</v>
      </c>
      <c r="AV194" s="19">
        <v>16.268000000000001</v>
      </c>
      <c r="AW194" s="19">
        <v>293.47826086956502</v>
      </c>
      <c r="AX194" s="19">
        <v>16.884</v>
      </c>
      <c r="AY194" s="19">
        <v>266.46956521739099</v>
      </c>
      <c r="AZ194" s="19">
        <v>15.33</v>
      </c>
      <c r="BA194" s="19">
        <v>323.49565217391302</v>
      </c>
      <c r="BB194" s="19">
        <v>18.61</v>
      </c>
      <c r="BC194" s="19">
        <v>89.817391304347794</v>
      </c>
      <c r="BD194" s="19">
        <v>5.2060000000000004</v>
      </c>
      <c r="BE194" s="19">
        <v>124.03478260869601</v>
      </c>
      <c r="BF194" s="19">
        <v>7.1360000000000001</v>
      </c>
      <c r="BG194" s="19">
        <v>388.44347826086999</v>
      </c>
      <c r="BH194" s="19">
        <v>22.346</v>
      </c>
      <c r="BI194" s="19">
        <v>355.452173913043</v>
      </c>
      <c r="BJ194" s="19">
        <v>20.448</v>
      </c>
      <c r="BK194" s="19">
        <v>135.547826086957</v>
      </c>
      <c r="BL194" s="19">
        <v>7.798</v>
      </c>
      <c r="BM194" s="19">
        <v>234.35652173912999</v>
      </c>
      <c r="BN194" s="19">
        <v>13.481999999999999</v>
      </c>
      <c r="BO194" s="19">
        <v>288.04347826087002</v>
      </c>
      <c r="BP194" s="19">
        <v>16.614000000000001</v>
      </c>
      <c r="BQ194" s="19">
        <v>284.34782608695701</v>
      </c>
      <c r="BR194" s="19">
        <v>16.552</v>
      </c>
      <c r="BS194" s="19">
        <v>171.982608695652</v>
      </c>
      <c r="BT194" s="19">
        <v>9.8940000000000001</v>
      </c>
      <c r="BU194" s="19">
        <v>101.15652173913</v>
      </c>
      <c r="BV194" s="19">
        <v>5.82</v>
      </c>
      <c r="BW194" s="19">
        <v>540.32173913043505</v>
      </c>
      <c r="BX194" s="19">
        <v>31.084</v>
      </c>
      <c r="BY194" s="19">
        <v>396.29565217391303</v>
      </c>
      <c r="BZ194" s="19">
        <v>22.797999999999998</v>
      </c>
      <c r="CA194" s="19">
        <v>258.17391304347802</v>
      </c>
      <c r="CB194" s="19">
        <v>14.852</v>
      </c>
      <c r="CC194" s="19">
        <v>242.721739130435</v>
      </c>
      <c r="CD194" s="19">
        <v>13.964</v>
      </c>
      <c r="CE194" s="19">
        <v>101.10434782608699</v>
      </c>
      <c r="CF194" s="19">
        <v>5.8159999999999998</v>
      </c>
      <c r="CG194" s="19">
        <v>255.26086956521701</v>
      </c>
      <c r="CH194" s="19">
        <v>14.757999999999999</v>
      </c>
      <c r="CI194" s="19">
        <v>364.8</v>
      </c>
      <c r="CJ194" s="19">
        <v>21.077999999999999</v>
      </c>
      <c r="CK194" s="19">
        <v>308.165217391304</v>
      </c>
      <c r="CL194" s="19">
        <v>17.802</v>
      </c>
      <c r="CM194" s="19">
        <v>185.66086956521701</v>
      </c>
      <c r="CN194" s="19">
        <v>10.682</v>
      </c>
      <c r="CO194" s="19">
        <v>337.52173913043498</v>
      </c>
      <c r="CP194" s="19">
        <v>19.417999999999999</v>
      </c>
      <c r="CQ194" s="19">
        <v>118.417391304348</v>
      </c>
      <c r="CR194" s="19">
        <v>6.8579999999999997</v>
      </c>
      <c r="CS194" s="19">
        <v>347.95652173912998</v>
      </c>
      <c r="CT194" s="19">
        <v>20.018000000000001</v>
      </c>
      <c r="CU194" s="19">
        <v>303.95652173912998</v>
      </c>
      <c r="CV194" s="19">
        <v>17.488</v>
      </c>
      <c r="CW194" s="19">
        <v>408.60869565217399</v>
      </c>
      <c r="CX194" s="19">
        <v>23.51</v>
      </c>
      <c r="CY194" s="19">
        <v>334.81739130434801</v>
      </c>
      <c r="CZ194" s="19">
        <v>19.302</v>
      </c>
      <c r="DA194" s="19">
        <v>277.09565217391298</v>
      </c>
      <c r="DB194" s="19">
        <v>15.981999999999999</v>
      </c>
      <c r="DC194" s="19">
        <v>342.47826086956502</v>
      </c>
      <c r="DD194" s="19">
        <v>19.782</v>
      </c>
      <c r="DE194" s="19">
        <v>209.88695652173899</v>
      </c>
      <c r="DF194" s="19">
        <v>12.076000000000001</v>
      </c>
      <c r="DG194" s="19">
        <v>0</v>
      </c>
      <c r="DH194" s="19">
        <v>0</v>
      </c>
      <c r="DI194" s="19">
        <v>180.81739130434801</v>
      </c>
      <c r="DJ194" s="19">
        <v>10.404</v>
      </c>
      <c r="DK194" s="19">
        <v>286.00869565217403</v>
      </c>
      <c r="DL194" s="19">
        <v>16.456</v>
      </c>
      <c r="DM194" s="19">
        <v>222.67826086956501</v>
      </c>
      <c r="DN194" s="19">
        <v>12.933999999999999</v>
      </c>
      <c r="DO194" s="19">
        <v>268.10434782608701</v>
      </c>
      <c r="DP194" s="19">
        <v>15.423999999999999</v>
      </c>
      <c r="DQ194" s="19">
        <v>304.52173913043498</v>
      </c>
      <c r="DR194" s="19">
        <v>17.518000000000001</v>
      </c>
      <c r="DS194" s="19">
        <v>177.74782608695699</v>
      </c>
      <c r="DT194" s="19">
        <v>10.226000000000001</v>
      </c>
      <c r="DU194" s="19">
        <v>238.991304347826</v>
      </c>
      <c r="DV194" s="19">
        <v>13.75</v>
      </c>
      <c r="DW194" s="19">
        <v>325.286956521739</v>
      </c>
      <c r="DX194" s="19">
        <v>18.713999999999999</v>
      </c>
      <c r="DY194" s="19">
        <v>229.452173913043</v>
      </c>
      <c r="DZ194" s="19">
        <v>13.25</v>
      </c>
      <c r="EA194" s="19">
        <v>337.53913043478298</v>
      </c>
      <c r="EB194" s="19">
        <v>19.512</v>
      </c>
      <c r="EC194" s="19">
        <v>375.6</v>
      </c>
      <c r="ED194" s="19">
        <v>21.608000000000001</v>
      </c>
      <c r="EE194" s="19">
        <v>239.869565217391</v>
      </c>
      <c r="EF194" s="19">
        <v>13.8</v>
      </c>
      <c r="EG194" s="19">
        <v>159.33043478260899</v>
      </c>
      <c r="EH194" s="19">
        <v>9.1660000000000004</v>
      </c>
      <c r="EI194" s="19">
        <v>300.408695652174</v>
      </c>
      <c r="EJ194" s="19">
        <v>17.283999999999999</v>
      </c>
      <c r="EK194" s="19">
        <v>283.96521739130401</v>
      </c>
      <c r="EL194" s="19">
        <v>16.431999999999999</v>
      </c>
      <c r="EM194" s="19">
        <v>147.991304347826</v>
      </c>
      <c r="EN194" s="19">
        <v>8.5139999999999993</v>
      </c>
      <c r="EO194" s="19">
        <v>209.97391304347801</v>
      </c>
      <c r="EP194" s="19">
        <v>12.082000000000001</v>
      </c>
      <c r="EQ194" s="19">
        <v>259.39999999999998</v>
      </c>
      <c r="ER194" s="19">
        <v>14.926</v>
      </c>
      <c r="ES194" s="119">
        <v>313.44347826086999</v>
      </c>
      <c r="ET194" s="119">
        <v>18.036000000000001</v>
      </c>
    </row>
    <row r="195" spans="1:150" ht="16.5" customHeight="1" x14ac:dyDescent="0.35">
      <c r="A195" s="4">
        <v>206</v>
      </c>
      <c r="B195" s="4" t="str">
        <f>LOOKUP(A195,Lookup!$A$1:$A$34,Lookup!$B$1:$B$34)</f>
        <v>PET MINCE/DROEWORS</v>
      </c>
      <c r="C195" s="5">
        <v>34297</v>
      </c>
      <c r="D195" s="6" t="s">
        <v>191</v>
      </c>
      <c r="E195" s="18">
        <v>136.86099203919201</v>
      </c>
      <c r="F195" s="18">
        <v>15.821999999999999</v>
      </c>
      <c r="G195" s="18">
        <v>9717.1304347826099</v>
      </c>
      <c r="H195" s="18">
        <v>1123.3589999999999</v>
      </c>
      <c r="I195" s="19">
        <v>161.582608695652</v>
      </c>
      <c r="J195" s="19">
        <v>18.600000000000001</v>
      </c>
      <c r="K195" s="19">
        <v>134.06086956521699</v>
      </c>
      <c r="L195" s="19">
        <v>15.433</v>
      </c>
      <c r="M195" s="19">
        <v>93.295652173913098</v>
      </c>
      <c r="N195" s="19">
        <v>10.74</v>
      </c>
      <c r="O195" s="19">
        <v>144.11304347826101</v>
      </c>
      <c r="P195" s="19">
        <v>16.687000000000001</v>
      </c>
      <c r="Q195" s="19">
        <v>125.426086956522</v>
      </c>
      <c r="R195" s="19">
        <v>14.438000000000001</v>
      </c>
      <c r="S195" s="19">
        <v>135.96521739130401</v>
      </c>
      <c r="T195" s="19">
        <v>15.651999999999999</v>
      </c>
      <c r="U195" s="19">
        <v>151.94782608695701</v>
      </c>
      <c r="V195" s="19">
        <v>17.492000000000001</v>
      </c>
      <c r="W195" s="19">
        <v>79.321739130434807</v>
      </c>
      <c r="X195" s="19">
        <v>9.1310000000000002</v>
      </c>
      <c r="Y195" s="19">
        <v>176.64347826087001</v>
      </c>
      <c r="Z195" s="19">
        <v>20.332999999999998</v>
      </c>
      <c r="AA195" s="19">
        <v>234.05217391304299</v>
      </c>
      <c r="AB195" s="19">
        <v>26.942</v>
      </c>
      <c r="AC195" s="19">
        <v>78</v>
      </c>
      <c r="AD195" s="19">
        <v>8.9779999999999998</v>
      </c>
      <c r="AE195" s="19">
        <v>187.05217391304299</v>
      </c>
      <c r="AF195" s="19">
        <v>21.532</v>
      </c>
      <c r="AG195" s="19">
        <v>211.05217391304299</v>
      </c>
      <c r="AH195" s="19">
        <v>24.451000000000001</v>
      </c>
      <c r="AI195" s="19">
        <v>197.434782608696</v>
      </c>
      <c r="AJ195" s="19">
        <v>22.835999999999999</v>
      </c>
      <c r="AK195" s="19">
        <v>105.55652173913001</v>
      </c>
      <c r="AL195" s="19">
        <v>12.15</v>
      </c>
      <c r="AM195" s="19">
        <v>235.97391304347801</v>
      </c>
      <c r="AN195" s="19">
        <v>27.164000000000001</v>
      </c>
      <c r="AO195" s="19">
        <v>116.68695652173901</v>
      </c>
      <c r="AP195" s="19">
        <v>13.432</v>
      </c>
      <c r="AQ195" s="19">
        <v>149.11304347826101</v>
      </c>
      <c r="AR195" s="19">
        <v>17.268999999999998</v>
      </c>
      <c r="AS195" s="19">
        <v>176.4</v>
      </c>
      <c r="AT195" s="19">
        <v>20.375</v>
      </c>
      <c r="AU195" s="19">
        <v>195.869565217391</v>
      </c>
      <c r="AV195" s="19">
        <v>22.803000000000001</v>
      </c>
      <c r="AW195" s="19">
        <v>182.19130434782599</v>
      </c>
      <c r="AX195" s="19">
        <v>20.972999999999999</v>
      </c>
      <c r="AY195" s="19">
        <v>266.46956521739099</v>
      </c>
      <c r="AZ195" s="19">
        <v>30.673999999999999</v>
      </c>
      <c r="BA195" s="19">
        <v>128.695652173913</v>
      </c>
      <c r="BB195" s="19">
        <v>14.815</v>
      </c>
      <c r="BC195" s="19">
        <v>108.31304347826099</v>
      </c>
      <c r="BD195" s="19">
        <v>12.542999999999999</v>
      </c>
      <c r="BE195" s="19">
        <v>45.104347826087</v>
      </c>
      <c r="BF195" s="19">
        <v>5.1929999999999996</v>
      </c>
      <c r="BG195" s="19">
        <v>251.460869565217</v>
      </c>
      <c r="BH195" s="19">
        <v>29.568000000000001</v>
      </c>
      <c r="BI195" s="19">
        <v>139.63478260869601</v>
      </c>
      <c r="BJ195" s="19">
        <v>16.074000000000002</v>
      </c>
      <c r="BK195" s="19">
        <v>191.93913043478301</v>
      </c>
      <c r="BL195" s="19">
        <v>22.384</v>
      </c>
      <c r="BM195" s="19">
        <v>152.44347826086999</v>
      </c>
      <c r="BN195" s="19">
        <v>17.946000000000002</v>
      </c>
      <c r="BO195" s="19">
        <v>167.77391304347799</v>
      </c>
      <c r="BP195" s="19">
        <v>19.571000000000002</v>
      </c>
      <c r="BQ195" s="19">
        <v>126.982608695652</v>
      </c>
      <c r="BR195" s="19">
        <v>14.618</v>
      </c>
      <c r="BS195" s="19">
        <v>172.66956521739101</v>
      </c>
      <c r="BT195" s="19">
        <v>19.876999999999999</v>
      </c>
      <c r="BU195" s="19">
        <v>124.339130434783</v>
      </c>
      <c r="BV195" s="19">
        <v>14.412000000000001</v>
      </c>
      <c r="BW195" s="19">
        <v>159.33043478260899</v>
      </c>
      <c r="BX195" s="19">
        <v>18.341999999999999</v>
      </c>
      <c r="BY195" s="19">
        <v>186.704347826087</v>
      </c>
      <c r="BZ195" s="19">
        <v>21.492000000000001</v>
      </c>
      <c r="CA195" s="19">
        <v>148.426086956522</v>
      </c>
      <c r="CB195" s="19">
        <v>17.085999999999999</v>
      </c>
      <c r="CC195" s="19">
        <v>142.18260869565199</v>
      </c>
      <c r="CD195" s="19">
        <v>16.469000000000001</v>
      </c>
      <c r="CE195" s="19">
        <v>182.60869565217399</v>
      </c>
      <c r="CF195" s="19">
        <v>21.021000000000001</v>
      </c>
      <c r="CG195" s="19">
        <v>120.04347826087</v>
      </c>
      <c r="CH195" s="19">
        <v>13.819000000000001</v>
      </c>
      <c r="CI195" s="19">
        <v>85.895652173913007</v>
      </c>
      <c r="CJ195" s="19">
        <v>9.8870000000000005</v>
      </c>
      <c r="CK195" s="19">
        <v>111.68695652173901</v>
      </c>
      <c r="CL195" s="19">
        <v>12.856</v>
      </c>
      <c r="CM195" s="19">
        <v>80.173913043478294</v>
      </c>
      <c r="CN195" s="19">
        <v>9.2289999999999992</v>
      </c>
      <c r="CO195" s="19">
        <v>160.295652173913</v>
      </c>
      <c r="CP195" s="19">
        <v>18.451000000000001</v>
      </c>
      <c r="CQ195" s="19">
        <v>166.84347826087</v>
      </c>
      <c r="CR195" s="19">
        <v>19.204999999999998</v>
      </c>
      <c r="CS195" s="19">
        <v>131.64347826087001</v>
      </c>
      <c r="CT195" s="19">
        <v>15.403</v>
      </c>
      <c r="CU195" s="19">
        <v>133.95652173913001</v>
      </c>
      <c r="CV195" s="19">
        <v>15.420999999999999</v>
      </c>
      <c r="CW195" s="19">
        <v>84.182608695652206</v>
      </c>
      <c r="CX195" s="19">
        <v>9.6910000000000007</v>
      </c>
      <c r="CY195" s="19">
        <v>152.982608695652</v>
      </c>
      <c r="CZ195" s="19">
        <v>17.61</v>
      </c>
      <c r="DA195" s="19">
        <v>120.547826086957</v>
      </c>
      <c r="DB195" s="19">
        <v>13.877000000000001</v>
      </c>
      <c r="DC195" s="19">
        <v>177.878260869565</v>
      </c>
      <c r="DD195" s="19">
        <v>20.870999999999999</v>
      </c>
      <c r="DE195" s="19">
        <v>144.32173913043499</v>
      </c>
      <c r="DF195" s="19">
        <v>17.137</v>
      </c>
      <c r="DG195" s="19">
        <v>190.63478260869601</v>
      </c>
      <c r="DH195" s="19">
        <v>21.943999999999999</v>
      </c>
      <c r="DI195" s="19">
        <v>166.31304347826099</v>
      </c>
      <c r="DJ195" s="19">
        <v>19.218</v>
      </c>
      <c r="DK195" s="19">
        <v>95.547826086956505</v>
      </c>
      <c r="DL195" s="19">
        <v>11.164</v>
      </c>
      <c r="DM195" s="19">
        <v>81.565217391304301</v>
      </c>
      <c r="DN195" s="19">
        <v>9.3889999999999993</v>
      </c>
      <c r="DO195" s="19">
        <v>84.408695652173904</v>
      </c>
      <c r="DP195" s="19">
        <v>9.7170000000000005</v>
      </c>
      <c r="DQ195" s="19">
        <v>111.704347826087</v>
      </c>
      <c r="DR195" s="19">
        <v>13.087999999999999</v>
      </c>
      <c r="DS195" s="19">
        <v>98.426086956521701</v>
      </c>
      <c r="DT195" s="19">
        <v>11.33</v>
      </c>
      <c r="DU195" s="19">
        <v>104.19130434782601</v>
      </c>
      <c r="DV195" s="19">
        <v>11.994</v>
      </c>
      <c r="DW195" s="19">
        <v>100.565217391304</v>
      </c>
      <c r="DX195" s="19">
        <v>11.577</v>
      </c>
      <c r="DY195" s="19">
        <v>114.721739130435</v>
      </c>
      <c r="DZ195" s="19">
        <v>13.206</v>
      </c>
      <c r="EA195" s="19">
        <v>118</v>
      </c>
      <c r="EB195" s="19">
        <v>13.96</v>
      </c>
      <c r="EC195" s="19">
        <v>107.25217391304299</v>
      </c>
      <c r="ED195" s="19">
        <v>12.347</v>
      </c>
      <c r="EE195" s="19">
        <v>66.156521739130397</v>
      </c>
      <c r="EF195" s="19">
        <v>7.6159999999999997</v>
      </c>
      <c r="EG195" s="19">
        <v>134.47826086956499</v>
      </c>
      <c r="EH195" s="19">
        <v>15.48</v>
      </c>
      <c r="EI195" s="19">
        <v>0</v>
      </c>
      <c r="EJ195" s="19">
        <v>0</v>
      </c>
      <c r="EK195" s="19">
        <v>4.2260869565217396</v>
      </c>
      <c r="EL195" s="19">
        <v>0.48599999999999999</v>
      </c>
      <c r="EM195" s="19">
        <v>237.20869565217399</v>
      </c>
      <c r="EN195" s="19">
        <v>27.448</v>
      </c>
      <c r="EO195" s="19">
        <v>143.05217391304299</v>
      </c>
      <c r="EP195" s="19">
        <v>16.466999999999999</v>
      </c>
      <c r="EQ195" s="19">
        <v>72.756521739130406</v>
      </c>
      <c r="ER195" s="19">
        <v>8.375</v>
      </c>
      <c r="ES195" s="119">
        <v>48.652173913043498</v>
      </c>
      <c r="ET195" s="119">
        <v>5.6</v>
      </c>
    </row>
    <row r="196" spans="1:150" ht="16.5" customHeight="1" x14ac:dyDescent="0.35">
      <c r="A196" s="4">
        <v>206</v>
      </c>
      <c r="B196" s="4" t="str">
        <f>LOOKUP(A196,Lookup!$A$1:$A$34,Lookup!$B$1:$B$34)</f>
        <v>PET MINCE/DROEWORS</v>
      </c>
      <c r="C196" s="5">
        <v>34305</v>
      </c>
      <c r="D196" s="6" t="s">
        <v>192</v>
      </c>
      <c r="E196" s="18">
        <v>0</v>
      </c>
      <c r="F196" s="18">
        <v>0</v>
      </c>
      <c r="G196" s="18">
        <v>0</v>
      </c>
      <c r="H196" s="18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0</v>
      </c>
      <c r="CO196" s="19">
        <v>0</v>
      </c>
      <c r="CP196" s="19">
        <v>0</v>
      </c>
      <c r="CQ196" s="19">
        <v>0</v>
      </c>
      <c r="CR196" s="19">
        <v>0</v>
      </c>
      <c r="CS196" s="19">
        <v>0</v>
      </c>
      <c r="CT196" s="19">
        <v>0</v>
      </c>
      <c r="CU196" s="19">
        <v>0</v>
      </c>
      <c r="CV196" s="19">
        <v>0</v>
      </c>
      <c r="CW196" s="19">
        <v>0</v>
      </c>
      <c r="CX196" s="19">
        <v>0</v>
      </c>
      <c r="CY196" s="19">
        <v>0</v>
      </c>
      <c r="CZ196" s="19">
        <v>0</v>
      </c>
      <c r="DA196" s="19">
        <v>0</v>
      </c>
      <c r="DB196" s="19">
        <v>0</v>
      </c>
      <c r="DC196" s="19">
        <v>0</v>
      </c>
      <c r="DD196" s="19">
        <v>0</v>
      </c>
      <c r="DE196" s="19">
        <v>0</v>
      </c>
      <c r="DF196" s="19">
        <v>0</v>
      </c>
      <c r="DG196" s="19">
        <v>0</v>
      </c>
      <c r="DH196" s="19">
        <v>0</v>
      </c>
      <c r="DI196" s="19">
        <v>0</v>
      </c>
      <c r="DJ196" s="19">
        <v>0</v>
      </c>
      <c r="DK196" s="19">
        <v>0</v>
      </c>
      <c r="DL196" s="19">
        <v>0</v>
      </c>
      <c r="DM196" s="19">
        <v>0</v>
      </c>
      <c r="DN196" s="19">
        <v>0</v>
      </c>
      <c r="DO196" s="19">
        <v>0</v>
      </c>
      <c r="DP196" s="19">
        <v>0</v>
      </c>
      <c r="DQ196" s="19">
        <v>0</v>
      </c>
      <c r="DR196" s="19">
        <v>0</v>
      </c>
      <c r="DS196" s="19">
        <v>0</v>
      </c>
      <c r="DT196" s="19">
        <v>0</v>
      </c>
      <c r="DU196" s="19">
        <v>0</v>
      </c>
      <c r="DV196" s="19">
        <v>0</v>
      </c>
      <c r="DW196" s="19">
        <v>0</v>
      </c>
      <c r="DX196" s="19">
        <v>0</v>
      </c>
      <c r="DY196" s="19">
        <v>0</v>
      </c>
      <c r="DZ196" s="19">
        <v>0</v>
      </c>
      <c r="EA196" s="19">
        <v>0</v>
      </c>
      <c r="EB196" s="19">
        <v>0</v>
      </c>
      <c r="EC196" s="19">
        <v>0</v>
      </c>
      <c r="ED196" s="19">
        <v>0</v>
      </c>
      <c r="EE196" s="19">
        <v>0</v>
      </c>
      <c r="EF196" s="19">
        <v>0</v>
      </c>
      <c r="EG196" s="19">
        <v>0</v>
      </c>
      <c r="EH196" s="19">
        <v>0</v>
      </c>
      <c r="EI196" s="19">
        <v>0</v>
      </c>
      <c r="EJ196" s="19">
        <v>0</v>
      </c>
      <c r="EK196" s="19">
        <v>0</v>
      </c>
      <c r="EL196" s="19">
        <v>0</v>
      </c>
      <c r="EM196" s="19">
        <v>0</v>
      </c>
      <c r="EN196" s="19">
        <v>0</v>
      </c>
      <c r="EO196" s="19">
        <v>0</v>
      </c>
      <c r="EP196" s="19">
        <v>0</v>
      </c>
      <c r="EQ196" s="19">
        <v>0</v>
      </c>
      <c r="ER196" s="19">
        <v>0</v>
      </c>
      <c r="ES196" s="119">
        <v>0</v>
      </c>
      <c r="ET196" s="119">
        <v>0</v>
      </c>
    </row>
    <row r="197" spans="1:150" ht="16.5" customHeight="1" x14ac:dyDescent="0.35">
      <c r="A197" s="4">
        <v>206</v>
      </c>
      <c r="B197" s="4" t="str">
        <f>LOOKUP(A197,Lookup!$A$1:$A$34,Lookup!$B$1:$B$34)</f>
        <v>PET MINCE/DROEWORS</v>
      </c>
      <c r="C197" s="5">
        <v>39771</v>
      </c>
      <c r="D197" s="6" t="s">
        <v>193</v>
      </c>
      <c r="E197" s="18">
        <v>267.02290263318997</v>
      </c>
      <c r="F197" s="18">
        <v>3.4169999999999998</v>
      </c>
      <c r="G197" s="18">
        <v>18958.626086956501</v>
      </c>
      <c r="H197" s="18">
        <v>242.62</v>
      </c>
      <c r="I197" s="19">
        <v>314.29565217391303</v>
      </c>
      <c r="J197" s="19">
        <v>4.016</v>
      </c>
      <c r="K197" s="19">
        <v>395.68695652173898</v>
      </c>
      <c r="L197" s="19">
        <v>5.056</v>
      </c>
      <c r="M197" s="19">
        <v>264.834782608696</v>
      </c>
      <c r="N197" s="19">
        <v>3.3839999999999999</v>
      </c>
      <c r="O197" s="19">
        <v>195.96521739130401</v>
      </c>
      <c r="P197" s="19">
        <v>2.504</v>
      </c>
      <c r="Q197" s="19">
        <v>156.05217391304299</v>
      </c>
      <c r="R197" s="19">
        <v>1.994</v>
      </c>
      <c r="S197" s="19">
        <v>81.860869565217399</v>
      </c>
      <c r="T197" s="19">
        <v>1.046</v>
      </c>
      <c r="U197" s="19">
        <v>99.547826086956505</v>
      </c>
      <c r="V197" s="19">
        <v>1.272</v>
      </c>
      <c r="W197" s="19">
        <v>196.591304347826</v>
      </c>
      <c r="X197" s="19">
        <v>2.512</v>
      </c>
      <c r="Y197" s="19">
        <v>213.33913043478299</v>
      </c>
      <c r="Z197" s="19">
        <v>2.746</v>
      </c>
      <c r="AA197" s="19">
        <v>122.704347826087</v>
      </c>
      <c r="AB197" s="19">
        <v>1.59</v>
      </c>
      <c r="AC197" s="19">
        <v>57.6</v>
      </c>
      <c r="AD197" s="19">
        <v>0.73599999999999999</v>
      </c>
      <c r="AE197" s="19">
        <v>65.269565217391303</v>
      </c>
      <c r="AF197" s="19">
        <v>0.83399999999999996</v>
      </c>
      <c r="AG197" s="19">
        <v>300.05217391304302</v>
      </c>
      <c r="AH197" s="19">
        <v>3.8340000000000001</v>
      </c>
      <c r="AI197" s="19">
        <v>213.80869565217401</v>
      </c>
      <c r="AJ197" s="19">
        <v>2.7320000000000002</v>
      </c>
      <c r="AK197" s="19">
        <v>181.408695652174</v>
      </c>
      <c r="AL197" s="19">
        <v>2.3180000000000001</v>
      </c>
      <c r="AM197" s="19">
        <v>548.67826086956495</v>
      </c>
      <c r="AN197" s="19">
        <v>7.0540000000000003</v>
      </c>
      <c r="AO197" s="19">
        <v>416.19130434782602</v>
      </c>
      <c r="AP197" s="19">
        <v>5.3179999999999996</v>
      </c>
      <c r="AQ197" s="19">
        <v>353.89565217391299</v>
      </c>
      <c r="AR197" s="19">
        <v>4.5220000000000002</v>
      </c>
      <c r="AS197" s="19">
        <v>266.86956521739103</v>
      </c>
      <c r="AT197" s="19">
        <v>3.41</v>
      </c>
      <c r="AU197" s="19">
        <v>238.22608695652201</v>
      </c>
      <c r="AV197" s="19">
        <v>3.044</v>
      </c>
      <c r="AW197" s="19">
        <v>311.00869565217403</v>
      </c>
      <c r="AX197" s="19">
        <v>3.9740000000000002</v>
      </c>
      <c r="AY197" s="19">
        <v>135.92173913043499</v>
      </c>
      <c r="AZ197" s="19">
        <v>1.746</v>
      </c>
      <c r="BA197" s="19">
        <v>341.73913043478302</v>
      </c>
      <c r="BB197" s="19">
        <v>4.3899999999999997</v>
      </c>
      <c r="BC197" s="19">
        <v>185.09565217391301</v>
      </c>
      <c r="BD197" s="19">
        <v>2.3759999999999999</v>
      </c>
      <c r="BE197" s="19">
        <v>351.50434782608698</v>
      </c>
      <c r="BF197" s="19">
        <v>4.5</v>
      </c>
      <c r="BG197" s="19">
        <v>337.14782608695702</v>
      </c>
      <c r="BH197" s="19">
        <v>4.3079999999999998</v>
      </c>
      <c r="BI197" s="19">
        <v>443.20869565217401</v>
      </c>
      <c r="BJ197" s="19">
        <v>5.6840000000000002</v>
      </c>
      <c r="BK197" s="19">
        <v>332.73913043478302</v>
      </c>
      <c r="BL197" s="19">
        <v>4.2619999999999996</v>
      </c>
      <c r="BM197" s="19">
        <v>417.18260869565199</v>
      </c>
      <c r="BN197" s="19">
        <v>5.3380000000000001</v>
      </c>
      <c r="BO197" s="19">
        <v>525.65217391304304</v>
      </c>
      <c r="BP197" s="19">
        <v>6.734</v>
      </c>
      <c r="BQ197" s="19">
        <v>403.51304347826101</v>
      </c>
      <c r="BR197" s="19">
        <v>5.1559999999999997</v>
      </c>
      <c r="BS197" s="19">
        <v>301.07826086956499</v>
      </c>
      <c r="BT197" s="19">
        <v>3.88</v>
      </c>
      <c r="BU197" s="19">
        <v>456.76521739130402</v>
      </c>
      <c r="BV197" s="19">
        <v>5.86</v>
      </c>
      <c r="BW197" s="19">
        <v>313.2</v>
      </c>
      <c r="BX197" s="19">
        <v>4.0019999999999998</v>
      </c>
      <c r="BY197" s="19">
        <v>433.90434782608702</v>
      </c>
      <c r="BZ197" s="19">
        <v>5.5620000000000003</v>
      </c>
      <c r="CA197" s="19">
        <v>509.860869565217</v>
      </c>
      <c r="CB197" s="19">
        <v>6.524</v>
      </c>
      <c r="CC197" s="19">
        <v>295.2</v>
      </c>
      <c r="CD197" s="19">
        <v>3.7719999999999998</v>
      </c>
      <c r="CE197" s="19">
        <v>374.77391304347799</v>
      </c>
      <c r="CF197" s="19">
        <v>4.8</v>
      </c>
      <c r="CG197" s="19">
        <v>96.104347826086993</v>
      </c>
      <c r="CH197" s="19">
        <v>1.228</v>
      </c>
      <c r="CI197" s="19">
        <v>0</v>
      </c>
      <c r="CJ197" s="19">
        <v>0</v>
      </c>
      <c r="CK197" s="19">
        <v>376.21739130434798</v>
      </c>
      <c r="CL197" s="19">
        <v>4.83</v>
      </c>
      <c r="CM197" s="19">
        <v>344.19130434782602</v>
      </c>
      <c r="CN197" s="19">
        <v>4.3979999999999997</v>
      </c>
      <c r="CO197" s="19">
        <v>534.20869565217401</v>
      </c>
      <c r="CP197" s="19">
        <v>6.8259999999999996</v>
      </c>
      <c r="CQ197" s="19">
        <v>284.08695652173901</v>
      </c>
      <c r="CR197" s="19">
        <v>3.63</v>
      </c>
      <c r="CS197" s="19">
        <v>382.695652173913</v>
      </c>
      <c r="CT197" s="19">
        <v>4.8899999999999997</v>
      </c>
      <c r="CU197" s="19">
        <v>0</v>
      </c>
      <c r="CV197" s="19">
        <v>0</v>
      </c>
      <c r="CW197" s="19">
        <v>0</v>
      </c>
      <c r="CX197" s="19">
        <v>0</v>
      </c>
      <c r="CY197" s="19">
        <v>398.46086956521702</v>
      </c>
      <c r="CZ197" s="19">
        <v>5.0919999999999996</v>
      </c>
      <c r="DA197" s="19">
        <v>0</v>
      </c>
      <c r="DB197" s="19">
        <v>0</v>
      </c>
      <c r="DC197" s="19">
        <v>0</v>
      </c>
      <c r="DD197" s="19">
        <v>0</v>
      </c>
      <c r="DE197" s="19">
        <v>0</v>
      </c>
      <c r="DF197" s="19">
        <v>0</v>
      </c>
      <c r="DG197" s="19">
        <v>0</v>
      </c>
      <c r="DH197" s="19">
        <v>0</v>
      </c>
      <c r="DI197" s="19">
        <v>0</v>
      </c>
      <c r="DJ197" s="19">
        <v>0</v>
      </c>
      <c r="DK197" s="19">
        <v>0</v>
      </c>
      <c r="DL197" s="19">
        <v>0</v>
      </c>
      <c r="DM197" s="19">
        <v>539.46086956521799</v>
      </c>
      <c r="DN197" s="19">
        <v>6.8940000000000001</v>
      </c>
      <c r="DO197" s="19">
        <v>238.20869565217399</v>
      </c>
      <c r="DP197" s="19">
        <v>3.044</v>
      </c>
      <c r="DQ197" s="19">
        <v>374.35652173913002</v>
      </c>
      <c r="DR197" s="19">
        <v>4.7839999999999998</v>
      </c>
      <c r="DS197" s="19">
        <v>364.14782608695702</v>
      </c>
      <c r="DT197" s="19">
        <v>4.6639999999999997</v>
      </c>
      <c r="DU197" s="19">
        <v>341.50434782608698</v>
      </c>
      <c r="DV197" s="19">
        <v>4.3639999999999999</v>
      </c>
      <c r="DW197" s="19">
        <v>625.86086956521694</v>
      </c>
      <c r="DX197" s="19">
        <v>7.9980000000000002</v>
      </c>
      <c r="DY197" s="19">
        <v>503.24347826087001</v>
      </c>
      <c r="DZ197" s="19">
        <v>6.4359999999999999</v>
      </c>
      <c r="EA197" s="19">
        <v>545.86956521739103</v>
      </c>
      <c r="EB197" s="19">
        <v>6.976</v>
      </c>
      <c r="EC197" s="19">
        <v>301.88695652173902</v>
      </c>
      <c r="ED197" s="19">
        <v>3.8580000000000001</v>
      </c>
      <c r="EE197" s="19">
        <v>106.73913043478299</v>
      </c>
      <c r="EF197" s="19">
        <v>1.3640000000000001</v>
      </c>
      <c r="EG197" s="19">
        <v>87.652173913043498</v>
      </c>
      <c r="EH197" s="19">
        <v>1.1200000000000001</v>
      </c>
      <c r="EI197" s="19">
        <v>515.91304347826099</v>
      </c>
      <c r="EJ197" s="19">
        <v>6.6239999999999997</v>
      </c>
      <c r="EK197" s="19">
        <v>171.51304347826101</v>
      </c>
      <c r="EL197" s="19">
        <v>2.198</v>
      </c>
      <c r="EM197" s="19">
        <v>165.44347826086999</v>
      </c>
      <c r="EN197" s="19">
        <v>2.1139999999999999</v>
      </c>
      <c r="EO197" s="19">
        <v>480.46956521739099</v>
      </c>
      <c r="EP197" s="19">
        <v>6.14</v>
      </c>
      <c r="EQ197" s="19">
        <v>0</v>
      </c>
      <c r="ER197" s="19">
        <v>0</v>
      </c>
      <c r="ES197" s="119">
        <v>28.0173913043478</v>
      </c>
      <c r="ET197" s="119">
        <v>0.35799999999999998</v>
      </c>
    </row>
    <row r="198" spans="1:150" ht="16.5" customHeight="1" x14ac:dyDescent="0.35">
      <c r="A198" s="4">
        <v>207</v>
      </c>
      <c r="B198" s="4" t="str">
        <f>LOOKUP(A198,Lookup!$A$1:$A$34,Lookup!$B$1:$B$34)</f>
        <v>PORK</v>
      </c>
      <c r="C198" s="5">
        <v>11131</v>
      </c>
      <c r="D198" s="6" t="s">
        <v>194</v>
      </c>
      <c r="E198" s="18">
        <v>0</v>
      </c>
      <c r="F198" s="18">
        <v>0</v>
      </c>
      <c r="G198" s="18">
        <v>0</v>
      </c>
      <c r="H198" s="18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0</v>
      </c>
      <c r="CO198" s="19">
        <v>0</v>
      </c>
      <c r="CP198" s="19">
        <v>0</v>
      </c>
      <c r="CQ198" s="19">
        <v>0</v>
      </c>
      <c r="CR198" s="19">
        <v>0</v>
      </c>
      <c r="CS198" s="19">
        <v>0</v>
      </c>
      <c r="CT198" s="19">
        <v>0</v>
      </c>
      <c r="CU198" s="19">
        <v>0</v>
      </c>
      <c r="CV198" s="19">
        <v>0</v>
      </c>
      <c r="CW198" s="19">
        <v>0</v>
      </c>
      <c r="CX198" s="19">
        <v>0</v>
      </c>
      <c r="CY198" s="19">
        <v>0</v>
      </c>
      <c r="CZ198" s="19">
        <v>0</v>
      </c>
      <c r="DA198" s="19">
        <v>0</v>
      </c>
      <c r="DB198" s="19">
        <v>0</v>
      </c>
      <c r="DC198" s="19">
        <v>0</v>
      </c>
      <c r="DD198" s="19">
        <v>0</v>
      </c>
      <c r="DE198" s="19">
        <v>0</v>
      </c>
      <c r="DF198" s="19">
        <v>0</v>
      </c>
      <c r="DG198" s="19">
        <v>0</v>
      </c>
      <c r="DH198" s="19">
        <v>0</v>
      </c>
      <c r="DI198" s="19">
        <v>0</v>
      </c>
      <c r="DJ198" s="19">
        <v>0</v>
      </c>
      <c r="DK198" s="19">
        <v>0</v>
      </c>
      <c r="DL198" s="19">
        <v>0</v>
      </c>
      <c r="DM198" s="19">
        <v>0</v>
      </c>
      <c r="DN198" s="19">
        <v>0</v>
      </c>
      <c r="DO198" s="19">
        <v>0</v>
      </c>
      <c r="DP198" s="19">
        <v>0</v>
      </c>
      <c r="DQ198" s="19">
        <v>0</v>
      </c>
      <c r="DR198" s="19">
        <v>0</v>
      </c>
      <c r="DS198" s="19">
        <v>0</v>
      </c>
      <c r="DT198" s="19">
        <v>0</v>
      </c>
      <c r="DU198" s="19">
        <v>0</v>
      </c>
      <c r="DV198" s="19">
        <v>0</v>
      </c>
      <c r="DW198" s="19">
        <v>0</v>
      </c>
      <c r="DX198" s="19">
        <v>0</v>
      </c>
      <c r="DY198" s="19">
        <v>0</v>
      </c>
      <c r="DZ198" s="19">
        <v>0</v>
      </c>
      <c r="EA198" s="19">
        <v>0</v>
      </c>
      <c r="EB198" s="19">
        <v>0</v>
      </c>
      <c r="EC198" s="19">
        <v>0</v>
      </c>
      <c r="ED198" s="19">
        <v>0</v>
      </c>
      <c r="EE198" s="19">
        <v>0</v>
      </c>
      <c r="EF198" s="19">
        <v>0</v>
      </c>
      <c r="EG198" s="19">
        <v>0</v>
      </c>
      <c r="EH198" s="19">
        <v>0</v>
      </c>
      <c r="EI198" s="19">
        <v>0</v>
      </c>
      <c r="EJ198" s="19">
        <v>0</v>
      </c>
      <c r="EK198" s="19">
        <v>0</v>
      </c>
      <c r="EL198" s="19">
        <v>0</v>
      </c>
      <c r="EM198" s="19">
        <v>0</v>
      </c>
      <c r="EN198" s="19">
        <v>0</v>
      </c>
      <c r="EO198" s="19">
        <v>0</v>
      </c>
      <c r="EP198" s="19">
        <v>0</v>
      </c>
      <c r="EQ198" s="19">
        <v>0</v>
      </c>
      <c r="ER198" s="19">
        <v>0</v>
      </c>
      <c r="ES198" s="119">
        <v>0</v>
      </c>
      <c r="ET198" s="119">
        <v>0</v>
      </c>
    </row>
    <row r="199" spans="1:150" ht="16.5" customHeight="1" x14ac:dyDescent="0.35">
      <c r="A199" s="4">
        <v>207</v>
      </c>
      <c r="B199" s="4" t="str">
        <f>LOOKUP(A199,Lookup!$A$1:$A$34,Lookup!$B$1:$B$34)</f>
        <v>PORK</v>
      </c>
      <c r="C199" s="5">
        <v>11132</v>
      </c>
      <c r="D199" s="6" t="s">
        <v>195</v>
      </c>
      <c r="E199" s="18">
        <v>1856.33227189222</v>
      </c>
      <c r="F199" s="18">
        <v>28.41</v>
      </c>
      <c r="G199" s="18">
        <v>131799.591304348</v>
      </c>
      <c r="H199" s="18">
        <v>2017.0940000000001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8854.6173913043494</v>
      </c>
      <c r="AR199" s="19">
        <v>129.63800000000001</v>
      </c>
      <c r="AS199" s="19">
        <v>11699.7913043478</v>
      </c>
      <c r="AT199" s="19">
        <v>213.35900000000001</v>
      </c>
      <c r="AU199" s="19">
        <v>5323.2</v>
      </c>
      <c r="AV199" s="19">
        <v>77.283000000000001</v>
      </c>
      <c r="AW199" s="19">
        <v>6596.6521739130403</v>
      </c>
      <c r="AX199" s="19">
        <v>94.84</v>
      </c>
      <c r="AY199" s="19">
        <v>7643.8260869565202</v>
      </c>
      <c r="AZ199" s="19">
        <v>116.43899999999999</v>
      </c>
      <c r="BA199" s="19">
        <v>4723.2434782608698</v>
      </c>
      <c r="BB199" s="19">
        <v>69.353999999999999</v>
      </c>
      <c r="BC199" s="19">
        <v>4711.1217391304299</v>
      </c>
      <c r="BD199" s="19">
        <v>82.156999999999996</v>
      </c>
      <c r="BE199" s="19">
        <v>6596.5739130434804</v>
      </c>
      <c r="BF199" s="19">
        <v>88.234999999999999</v>
      </c>
      <c r="BG199" s="19">
        <v>8735.3130434782597</v>
      </c>
      <c r="BH199" s="19">
        <v>121.999</v>
      </c>
      <c r="BI199" s="19">
        <v>10103.5130434783</v>
      </c>
      <c r="BJ199" s="19">
        <v>145.297</v>
      </c>
      <c r="BK199" s="19">
        <v>7678.7652173913002</v>
      </c>
      <c r="BL199" s="19">
        <v>110.43300000000001</v>
      </c>
      <c r="BM199" s="19">
        <v>3226.2869565217402</v>
      </c>
      <c r="BN199" s="19">
        <v>46.384</v>
      </c>
      <c r="BO199" s="19">
        <v>13249.252173913001</v>
      </c>
      <c r="BP199" s="19">
        <v>216.45599999999999</v>
      </c>
      <c r="BQ199" s="19">
        <v>13349.782608695699</v>
      </c>
      <c r="BR199" s="19">
        <v>219.44</v>
      </c>
      <c r="BS199" s="19">
        <v>11704.1217391304</v>
      </c>
      <c r="BT199" s="19">
        <v>176.46600000000001</v>
      </c>
      <c r="BU199" s="19">
        <v>6908.94782608696</v>
      </c>
      <c r="BV199" s="19">
        <v>99.328000000000003</v>
      </c>
      <c r="BW199" s="19">
        <v>694.58260869565197</v>
      </c>
      <c r="BX199" s="19">
        <v>9.9860000000000007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0</v>
      </c>
      <c r="CN199" s="19">
        <v>0</v>
      </c>
      <c r="CO199" s="19">
        <v>0</v>
      </c>
      <c r="CP199" s="19">
        <v>0</v>
      </c>
      <c r="CQ199" s="19">
        <v>0</v>
      </c>
      <c r="CR199" s="19">
        <v>0</v>
      </c>
      <c r="CS199" s="19">
        <v>0</v>
      </c>
      <c r="CT199" s="19">
        <v>0</v>
      </c>
      <c r="CU199" s="19">
        <v>0</v>
      </c>
      <c r="CV199" s="19">
        <v>0</v>
      </c>
      <c r="CW199" s="19">
        <v>0</v>
      </c>
      <c r="CX199" s="19">
        <v>0</v>
      </c>
      <c r="CY199" s="19">
        <v>0</v>
      </c>
      <c r="CZ199" s="19">
        <v>0</v>
      </c>
      <c r="DA199" s="19">
        <v>0</v>
      </c>
      <c r="DB199" s="19">
        <v>0</v>
      </c>
      <c r="DC199" s="19">
        <v>0</v>
      </c>
      <c r="DD199" s="19">
        <v>0</v>
      </c>
      <c r="DE199" s="19">
        <v>0</v>
      </c>
      <c r="DF199" s="19">
        <v>0</v>
      </c>
      <c r="DG199" s="19">
        <v>0</v>
      </c>
      <c r="DH199" s="19">
        <v>0</v>
      </c>
      <c r="DI199" s="19">
        <v>0</v>
      </c>
      <c r="DJ199" s="19">
        <v>0</v>
      </c>
      <c r="DK199" s="19">
        <v>0</v>
      </c>
      <c r="DL199" s="19">
        <v>0</v>
      </c>
      <c r="DM199" s="19">
        <v>0</v>
      </c>
      <c r="DN199" s="19">
        <v>0</v>
      </c>
      <c r="DO199" s="19">
        <v>0</v>
      </c>
      <c r="DP199" s="19">
        <v>0</v>
      </c>
      <c r="DQ199" s="19">
        <v>0</v>
      </c>
      <c r="DR199" s="19">
        <v>0</v>
      </c>
      <c r="DS199" s="19">
        <v>0</v>
      </c>
      <c r="DT199" s="19">
        <v>0</v>
      </c>
      <c r="DU199" s="19">
        <v>0</v>
      </c>
      <c r="DV199" s="19">
        <v>0</v>
      </c>
      <c r="DW199" s="19">
        <v>0</v>
      </c>
      <c r="DX199" s="19">
        <v>0</v>
      </c>
      <c r="DY199" s="19">
        <v>0</v>
      </c>
      <c r="DZ199" s="19">
        <v>0</v>
      </c>
      <c r="EA199" s="19">
        <v>0</v>
      </c>
      <c r="EB199" s="19">
        <v>0</v>
      </c>
      <c r="EC199" s="19">
        <v>0</v>
      </c>
      <c r="ED199" s="19">
        <v>0</v>
      </c>
      <c r="EE199" s="19">
        <v>0</v>
      </c>
      <c r="EF199" s="19">
        <v>0</v>
      </c>
      <c r="EG199" s="19">
        <v>0</v>
      </c>
      <c r="EH199" s="19">
        <v>0</v>
      </c>
      <c r="EI199" s="19">
        <v>0</v>
      </c>
      <c r="EJ199" s="19">
        <v>0</v>
      </c>
      <c r="EK199" s="19">
        <v>0</v>
      </c>
      <c r="EL199" s="19">
        <v>0</v>
      </c>
      <c r="EM199" s="19">
        <v>0</v>
      </c>
      <c r="EN199" s="19">
        <v>0</v>
      </c>
      <c r="EO199" s="19">
        <v>0</v>
      </c>
      <c r="EP199" s="19">
        <v>0</v>
      </c>
      <c r="EQ199" s="19">
        <v>0</v>
      </c>
      <c r="ER199" s="19">
        <v>0</v>
      </c>
      <c r="ES199" s="119">
        <v>0</v>
      </c>
      <c r="ET199" s="119">
        <v>0</v>
      </c>
    </row>
    <row r="200" spans="1:150" ht="16.5" customHeight="1" x14ac:dyDescent="0.35">
      <c r="A200" s="4">
        <v>207</v>
      </c>
      <c r="B200" s="4" t="str">
        <f>LOOKUP(A200,Lookup!$A$1:$A$34,Lookup!$B$1:$B$34)</f>
        <v>PORK</v>
      </c>
      <c r="C200" s="5">
        <v>11136</v>
      </c>
      <c r="D200" s="6" t="s">
        <v>196</v>
      </c>
      <c r="E200" s="18">
        <v>3889.3543172075902</v>
      </c>
      <c r="F200" s="18">
        <v>56.27</v>
      </c>
      <c r="G200" s="18">
        <v>276144.15652173897</v>
      </c>
      <c r="H200" s="18">
        <v>3995.1579999999999</v>
      </c>
      <c r="I200" s="19">
        <v>10758.2</v>
      </c>
      <c r="J200" s="19">
        <v>154.66800000000001</v>
      </c>
      <c r="K200" s="19">
        <v>6154.1913043478298</v>
      </c>
      <c r="L200" s="19">
        <v>87.608999999999995</v>
      </c>
      <c r="M200" s="19">
        <v>7855.9043478260901</v>
      </c>
      <c r="N200" s="19">
        <v>127.19799999999999</v>
      </c>
      <c r="O200" s="19">
        <v>8736.6695652173894</v>
      </c>
      <c r="P200" s="19">
        <v>113.047</v>
      </c>
      <c r="Q200" s="19">
        <v>9942.3304347826106</v>
      </c>
      <c r="R200" s="19">
        <v>159.83099999999999</v>
      </c>
      <c r="S200" s="19">
        <v>11889.6695652174</v>
      </c>
      <c r="T200" s="19">
        <v>151.88499999999999</v>
      </c>
      <c r="U200" s="19">
        <v>9266.7739130434802</v>
      </c>
      <c r="V200" s="19">
        <v>147.953</v>
      </c>
      <c r="W200" s="19">
        <v>6002.9043478260901</v>
      </c>
      <c r="X200" s="19">
        <v>84.543999999999997</v>
      </c>
      <c r="Y200" s="19">
        <v>20599.3652173913</v>
      </c>
      <c r="Z200" s="19">
        <v>338.55900000000003</v>
      </c>
      <c r="AA200" s="19">
        <v>18989.869565217399</v>
      </c>
      <c r="AB200" s="19">
        <v>312.29500000000002</v>
      </c>
      <c r="AC200" s="19">
        <v>6427</v>
      </c>
      <c r="AD200" s="19">
        <v>86.588999999999999</v>
      </c>
      <c r="AE200" s="19">
        <v>9227.5913043478195</v>
      </c>
      <c r="AF200" s="19">
        <v>149.66399999999999</v>
      </c>
      <c r="AG200" s="19">
        <v>15909.4173913043</v>
      </c>
      <c r="AH200" s="19">
        <v>261.70800000000003</v>
      </c>
      <c r="AI200" s="19">
        <v>8828.9130434782601</v>
      </c>
      <c r="AJ200" s="19">
        <v>145.34</v>
      </c>
      <c r="AK200" s="19">
        <v>6802.8695652173901</v>
      </c>
      <c r="AL200" s="19">
        <v>90.311999999999998</v>
      </c>
      <c r="AM200" s="19">
        <v>7647.4260869565196</v>
      </c>
      <c r="AN200" s="19">
        <v>97.774000000000001</v>
      </c>
      <c r="AO200" s="19">
        <v>9622.0956521739099</v>
      </c>
      <c r="AP200" s="19">
        <v>123.764</v>
      </c>
      <c r="AQ200" s="19">
        <v>4576.2086956521698</v>
      </c>
      <c r="AR200" s="19">
        <v>58.863</v>
      </c>
      <c r="AS200" s="19">
        <v>8319.5391304347795</v>
      </c>
      <c r="AT200" s="19">
        <v>134.661</v>
      </c>
      <c r="AU200" s="19">
        <v>5218.2956521739097</v>
      </c>
      <c r="AV200" s="19">
        <v>66.768000000000001</v>
      </c>
      <c r="AW200" s="19">
        <v>7419.8347826087002</v>
      </c>
      <c r="AX200" s="19">
        <v>106.318</v>
      </c>
      <c r="AY200" s="19">
        <v>7804.8173913043502</v>
      </c>
      <c r="AZ200" s="19">
        <v>112.35599999999999</v>
      </c>
      <c r="BA200" s="19">
        <v>7654.4260869565196</v>
      </c>
      <c r="BB200" s="19">
        <v>110.188</v>
      </c>
      <c r="BC200" s="19">
        <v>7393.5826086956504</v>
      </c>
      <c r="BD200" s="19">
        <v>100.56699999999999</v>
      </c>
      <c r="BE200" s="19">
        <v>3487.6956521739098</v>
      </c>
      <c r="BF200" s="19">
        <v>40.113</v>
      </c>
      <c r="BG200" s="19">
        <v>6534.4608695652196</v>
      </c>
      <c r="BH200" s="19">
        <v>78.295000000000002</v>
      </c>
      <c r="BI200" s="19">
        <v>7644.8695652173901</v>
      </c>
      <c r="BJ200" s="19">
        <v>104.724</v>
      </c>
      <c r="BK200" s="19">
        <v>5833.6521739130403</v>
      </c>
      <c r="BL200" s="19">
        <v>74.239000000000004</v>
      </c>
      <c r="BM200" s="19">
        <v>6990.6521739130403</v>
      </c>
      <c r="BN200" s="19">
        <v>89.335999999999999</v>
      </c>
      <c r="BO200" s="19">
        <v>6120.98260869565</v>
      </c>
      <c r="BP200" s="19">
        <v>71.762</v>
      </c>
      <c r="BQ200" s="19">
        <v>3389.54782608696</v>
      </c>
      <c r="BR200" s="19">
        <v>47.012</v>
      </c>
      <c r="BS200" s="19">
        <v>6386.2956521739097</v>
      </c>
      <c r="BT200" s="19">
        <v>73.45</v>
      </c>
      <c r="BU200" s="19">
        <v>5941.3130434782597</v>
      </c>
      <c r="BV200" s="19">
        <v>82.742000000000004</v>
      </c>
      <c r="BW200" s="19">
        <v>766.79130434782599</v>
      </c>
      <c r="BX200" s="19">
        <v>11.023999999999999</v>
      </c>
      <c r="BY200" s="19">
        <v>0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0</v>
      </c>
      <c r="CN200" s="19">
        <v>0</v>
      </c>
      <c r="CO200" s="19">
        <v>0</v>
      </c>
      <c r="CP200" s="19">
        <v>0</v>
      </c>
      <c r="CQ200" s="19">
        <v>0</v>
      </c>
      <c r="CR200" s="19">
        <v>0</v>
      </c>
      <c r="CS200" s="19">
        <v>0</v>
      </c>
      <c r="CT200" s="19">
        <v>0</v>
      </c>
      <c r="CU200" s="19">
        <v>0</v>
      </c>
      <c r="CV200" s="19">
        <v>0</v>
      </c>
      <c r="CW200" s="19">
        <v>0</v>
      </c>
      <c r="CX200" s="19">
        <v>0</v>
      </c>
      <c r="CY200" s="19">
        <v>0</v>
      </c>
      <c r="CZ200" s="19">
        <v>0</v>
      </c>
      <c r="DA200" s="19">
        <v>0</v>
      </c>
      <c r="DB200" s="19">
        <v>0</v>
      </c>
      <c r="DC200" s="19">
        <v>0</v>
      </c>
      <c r="DD200" s="19">
        <v>0</v>
      </c>
      <c r="DE200" s="19">
        <v>0</v>
      </c>
      <c r="DF200" s="19">
        <v>0</v>
      </c>
      <c r="DG200" s="19">
        <v>0</v>
      </c>
      <c r="DH200" s="19">
        <v>0</v>
      </c>
      <c r="DI200" s="19">
        <v>0</v>
      </c>
      <c r="DJ200" s="19">
        <v>0</v>
      </c>
      <c r="DK200" s="19">
        <v>0</v>
      </c>
      <c r="DL200" s="19">
        <v>0</v>
      </c>
      <c r="DM200" s="19">
        <v>0</v>
      </c>
      <c r="DN200" s="19">
        <v>0</v>
      </c>
      <c r="DO200" s="19">
        <v>0</v>
      </c>
      <c r="DP200" s="19">
        <v>0</v>
      </c>
      <c r="DQ200" s="19">
        <v>0</v>
      </c>
      <c r="DR200" s="19">
        <v>0</v>
      </c>
      <c r="DS200" s="19">
        <v>0</v>
      </c>
      <c r="DT200" s="19">
        <v>0</v>
      </c>
      <c r="DU200" s="19">
        <v>0</v>
      </c>
      <c r="DV200" s="19">
        <v>0</v>
      </c>
      <c r="DW200" s="19">
        <v>0</v>
      </c>
      <c r="DX200" s="19">
        <v>0</v>
      </c>
      <c r="DY200" s="19">
        <v>0</v>
      </c>
      <c r="DZ200" s="19">
        <v>0</v>
      </c>
      <c r="EA200" s="19">
        <v>0</v>
      </c>
      <c r="EB200" s="19">
        <v>0</v>
      </c>
      <c r="EC200" s="19">
        <v>0</v>
      </c>
      <c r="ED200" s="19">
        <v>0</v>
      </c>
      <c r="EE200" s="19">
        <v>0</v>
      </c>
      <c r="EF200" s="19">
        <v>0</v>
      </c>
      <c r="EG200" s="19">
        <v>0</v>
      </c>
      <c r="EH200" s="19">
        <v>0</v>
      </c>
      <c r="EI200" s="19">
        <v>0</v>
      </c>
      <c r="EJ200" s="19">
        <v>0</v>
      </c>
      <c r="EK200" s="19">
        <v>0</v>
      </c>
      <c r="EL200" s="19">
        <v>0</v>
      </c>
      <c r="EM200" s="19">
        <v>0</v>
      </c>
      <c r="EN200" s="19">
        <v>0</v>
      </c>
      <c r="EO200" s="19">
        <v>0</v>
      </c>
      <c r="EP200" s="19">
        <v>0</v>
      </c>
      <c r="EQ200" s="19">
        <v>0</v>
      </c>
      <c r="ER200" s="19">
        <v>0</v>
      </c>
      <c r="ES200" s="119">
        <v>0</v>
      </c>
      <c r="ET200" s="119">
        <v>0</v>
      </c>
    </row>
    <row r="201" spans="1:150" ht="16.5" customHeight="1" x14ac:dyDescent="0.35">
      <c r="A201" s="4">
        <v>207</v>
      </c>
      <c r="B201" s="4" t="str">
        <f>LOOKUP(A201,Lookup!$A$1:$A$34,Lookup!$B$1:$B$34)</f>
        <v>PORK</v>
      </c>
      <c r="C201" s="5">
        <v>11137</v>
      </c>
      <c r="D201" s="6" t="s">
        <v>197</v>
      </c>
      <c r="E201" s="18">
        <v>1626.05597060625</v>
      </c>
      <c r="F201" s="18">
        <v>19.417999999999999</v>
      </c>
      <c r="G201" s="18">
        <v>115449.973913043</v>
      </c>
      <c r="H201" s="18">
        <v>1378.6510000000001</v>
      </c>
      <c r="I201" s="19">
        <v>6043.7130434782603</v>
      </c>
      <c r="J201" s="19">
        <v>65.013000000000005</v>
      </c>
      <c r="K201" s="19">
        <v>2557.2173913043498</v>
      </c>
      <c r="L201" s="19">
        <v>29.466000000000001</v>
      </c>
      <c r="M201" s="19">
        <v>2138.3826086956501</v>
      </c>
      <c r="N201" s="19">
        <v>24.594000000000001</v>
      </c>
      <c r="O201" s="19">
        <v>3655.8173913043502</v>
      </c>
      <c r="P201" s="19">
        <v>41.972999999999999</v>
      </c>
      <c r="Q201" s="19">
        <v>2757.6</v>
      </c>
      <c r="R201" s="19">
        <v>30.411000000000001</v>
      </c>
      <c r="S201" s="19">
        <v>3489.9043478260901</v>
      </c>
      <c r="T201" s="19">
        <v>37.512</v>
      </c>
      <c r="U201" s="19">
        <v>4044.53913043478</v>
      </c>
      <c r="V201" s="19">
        <v>43.779000000000003</v>
      </c>
      <c r="W201" s="19">
        <v>4148.4347826086996</v>
      </c>
      <c r="X201" s="19">
        <v>47.167000000000002</v>
      </c>
      <c r="Y201" s="19">
        <v>3276.8695652173901</v>
      </c>
      <c r="Z201" s="19">
        <v>37.688000000000002</v>
      </c>
      <c r="AA201" s="19">
        <v>3206.9304347826101</v>
      </c>
      <c r="AB201" s="19">
        <v>36.472000000000001</v>
      </c>
      <c r="AC201" s="19">
        <v>8826.1130434782608</v>
      </c>
      <c r="AD201" s="19">
        <v>127.39</v>
      </c>
      <c r="AE201" s="19">
        <v>4331.6608695652203</v>
      </c>
      <c r="AF201" s="19">
        <v>62.537999999999997</v>
      </c>
      <c r="AG201" s="19">
        <v>4779.1652173912998</v>
      </c>
      <c r="AH201" s="19">
        <v>68.930000000000007</v>
      </c>
      <c r="AI201" s="19">
        <v>3436.8782608695701</v>
      </c>
      <c r="AJ201" s="19">
        <v>35.978000000000002</v>
      </c>
      <c r="AK201" s="19">
        <v>694.75652173912999</v>
      </c>
      <c r="AL201" s="19">
        <v>7.2640000000000002</v>
      </c>
      <c r="AM201" s="19">
        <v>3547.53043478261</v>
      </c>
      <c r="AN201" s="19">
        <v>39.948999999999998</v>
      </c>
      <c r="AO201" s="19">
        <v>4008.4347826087001</v>
      </c>
      <c r="AP201" s="19">
        <v>51.223999999999997</v>
      </c>
      <c r="AQ201" s="19">
        <v>5746.1130434782599</v>
      </c>
      <c r="AR201" s="19">
        <v>66.087999999999994</v>
      </c>
      <c r="AS201" s="19">
        <v>4174.9043478260901</v>
      </c>
      <c r="AT201" s="19">
        <v>48.072000000000003</v>
      </c>
      <c r="AU201" s="19">
        <v>2725.2086956521698</v>
      </c>
      <c r="AV201" s="19">
        <v>31.434000000000001</v>
      </c>
      <c r="AW201" s="19">
        <v>4123.7130434782603</v>
      </c>
      <c r="AX201" s="19">
        <v>59.286000000000001</v>
      </c>
      <c r="AY201" s="19">
        <v>2481.50434782609</v>
      </c>
      <c r="AZ201" s="19">
        <v>35.676000000000002</v>
      </c>
      <c r="BA201" s="19">
        <v>2578.5913043478299</v>
      </c>
      <c r="BB201" s="19">
        <v>37.072000000000003</v>
      </c>
      <c r="BC201" s="19">
        <v>4260.9652173913</v>
      </c>
      <c r="BD201" s="19">
        <v>48.865000000000002</v>
      </c>
      <c r="BE201" s="19">
        <v>2036.50434782609</v>
      </c>
      <c r="BF201" s="19">
        <v>22.343</v>
      </c>
      <c r="BG201" s="19">
        <v>4789.2608695652198</v>
      </c>
      <c r="BH201" s="19">
        <v>50.073999999999998</v>
      </c>
      <c r="BI201" s="19">
        <v>1348.04347826087</v>
      </c>
      <c r="BJ201" s="19">
        <v>13.422000000000001</v>
      </c>
      <c r="BK201" s="19">
        <v>3165.94782608696</v>
      </c>
      <c r="BL201" s="19">
        <v>32.433</v>
      </c>
      <c r="BM201" s="19">
        <v>2919.9043478260901</v>
      </c>
      <c r="BN201" s="19">
        <v>30.295999999999999</v>
      </c>
      <c r="BO201" s="19">
        <v>2475.9652173913</v>
      </c>
      <c r="BP201" s="19">
        <v>28.763999999999999</v>
      </c>
      <c r="BQ201" s="19">
        <v>3036.2521739130402</v>
      </c>
      <c r="BR201" s="19">
        <v>35.323999999999998</v>
      </c>
      <c r="BS201" s="19">
        <v>2843.1304347826099</v>
      </c>
      <c r="BT201" s="19">
        <v>33.295999999999999</v>
      </c>
      <c r="BU201" s="19">
        <v>1584.24347826087</v>
      </c>
      <c r="BV201" s="19">
        <v>16.602</v>
      </c>
      <c r="BW201" s="19">
        <v>215.77391304347799</v>
      </c>
      <c r="BX201" s="19">
        <v>2.2559999999999998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0</v>
      </c>
      <c r="CN201" s="19">
        <v>0</v>
      </c>
      <c r="CO201" s="19">
        <v>0</v>
      </c>
      <c r="CP201" s="19">
        <v>0</v>
      </c>
      <c r="CQ201" s="19">
        <v>0</v>
      </c>
      <c r="CR201" s="19">
        <v>0</v>
      </c>
      <c r="CS201" s="19">
        <v>0</v>
      </c>
      <c r="CT201" s="19">
        <v>0</v>
      </c>
      <c r="CU201" s="19">
        <v>0</v>
      </c>
      <c r="CV201" s="19">
        <v>0</v>
      </c>
      <c r="CW201" s="19">
        <v>0</v>
      </c>
      <c r="CX201" s="19">
        <v>0</v>
      </c>
      <c r="CY201" s="19">
        <v>0</v>
      </c>
      <c r="CZ201" s="19">
        <v>0</v>
      </c>
      <c r="DA201" s="19">
        <v>0</v>
      </c>
      <c r="DB201" s="19">
        <v>0</v>
      </c>
      <c r="DC201" s="19">
        <v>0</v>
      </c>
      <c r="DD201" s="19">
        <v>0</v>
      </c>
      <c r="DE201" s="19">
        <v>0</v>
      </c>
      <c r="DF201" s="19">
        <v>0</v>
      </c>
      <c r="DG201" s="19">
        <v>0</v>
      </c>
      <c r="DH201" s="19">
        <v>0</v>
      </c>
      <c r="DI201" s="19">
        <v>0</v>
      </c>
      <c r="DJ201" s="19">
        <v>0</v>
      </c>
      <c r="DK201" s="19">
        <v>0</v>
      </c>
      <c r="DL201" s="19">
        <v>0</v>
      </c>
      <c r="DM201" s="19">
        <v>0</v>
      </c>
      <c r="DN201" s="19">
        <v>0</v>
      </c>
      <c r="DO201" s="19">
        <v>0</v>
      </c>
      <c r="DP201" s="19">
        <v>0</v>
      </c>
      <c r="DQ201" s="19">
        <v>0</v>
      </c>
      <c r="DR201" s="19">
        <v>0</v>
      </c>
      <c r="DS201" s="19">
        <v>0</v>
      </c>
      <c r="DT201" s="19">
        <v>0</v>
      </c>
      <c r="DU201" s="19">
        <v>0</v>
      </c>
      <c r="DV201" s="19">
        <v>0</v>
      </c>
      <c r="DW201" s="19">
        <v>0</v>
      </c>
      <c r="DX201" s="19">
        <v>0</v>
      </c>
      <c r="DY201" s="19">
        <v>0</v>
      </c>
      <c r="DZ201" s="19">
        <v>0</v>
      </c>
      <c r="EA201" s="19">
        <v>0</v>
      </c>
      <c r="EB201" s="19">
        <v>0</v>
      </c>
      <c r="EC201" s="19">
        <v>0</v>
      </c>
      <c r="ED201" s="19">
        <v>0</v>
      </c>
      <c r="EE201" s="19">
        <v>0</v>
      </c>
      <c r="EF201" s="19">
        <v>0</v>
      </c>
      <c r="EG201" s="19">
        <v>0</v>
      </c>
      <c r="EH201" s="19">
        <v>0</v>
      </c>
      <c r="EI201" s="19">
        <v>0</v>
      </c>
      <c r="EJ201" s="19">
        <v>0</v>
      </c>
      <c r="EK201" s="19">
        <v>0</v>
      </c>
      <c r="EL201" s="19">
        <v>0</v>
      </c>
      <c r="EM201" s="19">
        <v>0</v>
      </c>
      <c r="EN201" s="19">
        <v>0</v>
      </c>
      <c r="EO201" s="19">
        <v>0</v>
      </c>
      <c r="EP201" s="19">
        <v>0</v>
      </c>
      <c r="EQ201" s="19">
        <v>0</v>
      </c>
      <c r="ER201" s="19">
        <v>0</v>
      </c>
      <c r="ES201" s="119">
        <v>0</v>
      </c>
      <c r="ET201" s="119">
        <v>0</v>
      </c>
    </row>
    <row r="202" spans="1:150" ht="16.5" customHeight="1" x14ac:dyDescent="0.35">
      <c r="A202" s="4">
        <v>207</v>
      </c>
      <c r="B202" s="4" t="str">
        <f>LOOKUP(A202,Lookup!$A$1:$A$34,Lookup!$B$1:$B$34)</f>
        <v>PORK</v>
      </c>
      <c r="C202" s="5">
        <v>11139</v>
      </c>
      <c r="D202" s="6" t="s">
        <v>198</v>
      </c>
      <c r="E202" s="18">
        <v>358.98248622167802</v>
      </c>
      <c r="F202" s="18">
        <v>7.1479999999999997</v>
      </c>
      <c r="G202" s="18">
        <v>25487.756521739098</v>
      </c>
      <c r="H202" s="18">
        <v>507.47500000000002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1518.4434782608701</v>
      </c>
      <c r="BH202" s="19">
        <v>31.754999999999999</v>
      </c>
      <c r="BI202" s="19">
        <v>2629.5739130434799</v>
      </c>
      <c r="BJ202" s="19">
        <v>55.173999999999999</v>
      </c>
      <c r="BK202" s="19">
        <v>3598.2173913043498</v>
      </c>
      <c r="BL202" s="19">
        <v>75.313000000000002</v>
      </c>
      <c r="BM202" s="19">
        <v>3297.8608695652201</v>
      </c>
      <c r="BN202" s="19">
        <v>68.968000000000004</v>
      </c>
      <c r="BO202" s="19">
        <v>3571.2695652173902</v>
      </c>
      <c r="BP202" s="19">
        <v>70.28</v>
      </c>
      <c r="BQ202" s="19">
        <v>2158.2173913043498</v>
      </c>
      <c r="BR202" s="19">
        <v>41.432000000000002</v>
      </c>
      <c r="BS202" s="19">
        <v>2891.1826086956498</v>
      </c>
      <c r="BT202" s="19">
        <v>55.488</v>
      </c>
      <c r="BU202" s="19">
        <v>2389.7565217391302</v>
      </c>
      <c r="BV202" s="19">
        <v>45.832999999999998</v>
      </c>
      <c r="BW202" s="19">
        <v>3332.02608695652</v>
      </c>
      <c r="BX202" s="19">
        <v>60.701000000000001</v>
      </c>
      <c r="BY202" s="19">
        <v>101.208695652174</v>
      </c>
      <c r="BZ202" s="19">
        <v>2.5310000000000001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0</v>
      </c>
      <c r="CN202" s="19">
        <v>0</v>
      </c>
      <c r="CO202" s="19">
        <v>0</v>
      </c>
      <c r="CP202" s="19">
        <v>0</v>
      </c>
      <c r="CQ202" s="19">
        <v>0</v>
      </c>
      <c r="CR202" s="19">
        <v>0</v>
      </c>
      <c r="CS202" s="19">
        <v>0</v>
      </c>
      <c r="CT202" s="19">
        <v>0</v>
      </c>
      <c r="CU202" s="19">
        <v>0</v>
      </c>
      <c r="CV202" s="19">
        <v>0</v>
      </c>
      <c r="CW202" s="19">
        <v>0</v>
      </c>
      <c r="CX202" s="19">
        <v>0</v>
      </c>
      <c r="CY202" s="19">
        <v>0</v>
      </c>
      <c r="CZ202" s="19">
        <v>0</v>
      </c>
      <c r="DA202" s="19">
        <v>0</v>
      </c>
      <c r="DB202" s="19">
        <v>0</v>
      </c>
      <c r="DC202" s="19">
        <v>0</v>
      </c>
      <c r="DD202" s="19">
        <v>0</v>
      </c>
      <c r="DE202" s="19">
        <v>0</v>
      </c>
      <c r="DF202" s="19">
        <v>0</v>
      </c>
      <c r="DG202" s="19">
        <v>0</v>
      </c>
      <c r="DH202" s="19">
        <v>0</v>
      </c>
      <c r="DI202" s="19">
        <v>0</v>
      </c>
      <c r="DJ202" s="19">
        <v>0</v>
      </c>
      <c r="DK202" s="19">
        <v>0</v>
      </c>
      <c r="DL202" s="19">
        <v>0</v>
      </c>
      <c r="DM202" s="19">
        <v>0</v>
      </c>
      <c r="DN202" s="19">
        <v>0</v>
      </c>
      <c r="DO202" s="19">
        <v>0</v>
      </c>
      <c r="DP202" s="19">
        <v>0</v>
      </c>
      <c r="DQ202" s="19">
        <v>0</v>
      </c>
      <c r="DR202" s="19">
        <v>0</v>
      </c>
      <c r="DS202" s="19">
        <v>0</v>
      </c>
      <c r="DT202" s="19">
        <v>0</v>
      </c>
      <c r="DU202" s="19">
        <v>0</v>
      </c>
      <c r="DV202" s="19">
        <v>0</v>
      </c>
      <c r="DW202" s="19">
        <v>0</v>
      </c>
      <c r="DX202" s="19">
        <v>0</v>
      </c>
      <c r="DY202" s="19">
        <v>0</v>
      </c>
      <c r="DZ202" s="19">
        <v>0</v>
      </c>
      <c r="EA202" s="19">
        <v>0</v>
      </c>
      <c r="EB202" s="19">
        <v>0</v>
      </c>
      <c r="EC202" s="19">
        <v>0</v>
      </c>
      <c r="ED202" s="19">
        <v>0</v>
      </c>
      <c r="EE202" s="19">
        <v>0</v>
      </c>
      <c r="EF202" s="19">
        <v>0</v>
      </c>
      <c r="EG202" s="19">
        <v>0</v>
      </c>
      <c r="EH202" s="19">
        <v>0</v>
      </c>
      <c r="EI202" s="19">
        <v>0</v>
      </c>
      <c r="EJ202" s="19">
        <v>0</v>
      </c>
      <c r="EK202" s="19">
        <v>0</v>
      </c>
      <c r="EL202" s="19">
        <v>0</v>
      </c>
      <c r="EM202" s="19">
        <v>0</v>
      </c>
      <c r="EN202" s="19">
        <v>0</v>
      </c>
      <c r="EO202" s="19">
        <v>0</v>
      </c>
      <c r="EP202" s="19">
        <v>0</v>
      </c>
      <c r="EQ202" s="19">
        <v>0</v>
      </c>
      <c r="ER202" s="19">
        <v>0</v>
      </c>
      <c r="ES202" s="119">
        <v>0</v>
      </c>
      <c r="ET202" s="119">
        <v>0</v>
      </c>
    </row>
    <row r="203" spans="1:150" ht="16.5" customHeight="1" x14ac:dyDescent="0.35">
      <c r="A203" s="4">
        <v>207</v>
      </c>
      <c r="B203" s="4" t="str">
        <f>LOOKUP(A203,Lookup!$A$1:$A$34,Lookup!$B$1:$B$34)</f>
        <v>PORK</v>
      </c>
      <c r="C203" s="5">
        <v>11142</v>
      </c>
      <c r="D203" s="6" t="s">
        <v>199</v>
      </c>
      <c r="E203" s="18">
        <v>226.90900183711</v>
      </c>
      <c r="F203" s="18">
        <v>2.4300000000000002</v>
      </c>
      <c r="G203" s="18">
        <v>16110.5391304348</v>
      </c>
      <c r="H203" s="18">
        <v>172.51599999999999</v>
      </c>
      <c r="I203" s="19">
        <v>99.921739130434801</v>
      </c>
      <c r="J203" s="19">
        <v>1.21</v>
      </c>
      <c r="K203" s="19">
        <v>305.139130434783</v>
      </c>
      <c r="L203" s="19">
        <v>3.6179999999999999</v>
      </c>
      <c r="M203" s="19">
        <v>243.90434782608699</v>
      </c>
      <c r="N203" s="19">
        <v>2.8919999999999999</v>
      </c>
      <c r="O203" s="19">
        <v>0</v>
      </c>
      <c r="P203" s="19">
        <v>0</v>
      </c>
      <c r="Q203" s="19">
        <v>167.06086956521699</v>
      </c>
      <c r="R203" s="19">
        <v>2.1539999999999999</v>
      </c>
      <c r="S203" s="19">
        <v>325.05217391304302</v>
      </c>
      <c r="T203" s="19">
        <v>3.8540000000000001</v>
      </c>
      <c r="U203" s="19">
        <v>420.05217391304302</v>
      </c>
      <c r="V203" s="19">
        <v>5.056</v>
      </c>
      <c r="W203" s="19">
        <v>275.73913043478302</v>
      </c>
      <c r="X203" s="19">
        <v>3.2919999999999998</v>
      </c>
      <c r="Y203" s="19">
        <v>95.295652173912998</v>
      </c>
      <c r="Z203" s="19">
        <v>1.1299999999999999</v>
      </c>
      <c r="AA203" s="19">
        <v>624.33043478260902</v>
      </c>
      <c r="AB203" s="19">
        <v>10.257999999999999</v>
      </c>
      <c r="AC203" s="19">
        <v>487.51304347826101</v>
      </c>
      <c r="AD203" s="19">
        <v>5.8419999999999996</v>
      </c>
      <c r="AE203" s="19">
        <v>283.70434782608697</v>
      </c>
      <c r="AF203" s="19">
        <v>3.3639999999999999</v>
      </c>
      <c r="AG203" s="19">
        <v>197.34782608695701</v>
      </c>
      <c r="AH203" s="19">
        <v>2.34</v>
      </c>
      <c r="AI203" s="19">
        <v>180.32173913043499</v>
      </c>
      <c r="AJ203" s="19">
        <v>2.1379999999999999</v>
      </c>
      <c r="AK203" s="19">
        <v>211.295652173913</v>
      </c>
      <c r="AL203" s="19">
        <v>2.548</v>
      </c>
      <c r="AM203" s="19">
        <v>29.852173913043501</v>
      </c>
      <c r="AN203" s="19">
        <v>0.30399999999999999</v>
      </c>
      <c r="AO203" s="19">
        <v>163.826086956522</v>
      </c>
      <c r="AP203" s="19">
        <v>1.667</v>
      </c>
      <c r="AQ203" s="19">
        <v>297.304347826087</v>
      </c>
      <c r="AR203" s="19">
        <v>3.0259999999999998</v>
      </c>
      <c r="AS203" s="19">
        <v>0</v>
      </c>
      <c r="AT203" s="19">
        <v>0</v>
      </c>
      <c r="AU203" s="19">
        <v>0</v>
      </c>
      <c r="AV203" s="19">
        <v>0</v>
      </c>
      <c r="AW203" s="19">
        <v>377.50434782608698</v>
      </c>
      <c r="AX203" s="19">
        <v>4.8239999999999998</v>
      </c>
      <c r="AY203" s="19">
        <v>500.99130434782597</v>
      </c>
      <c r="AZ203" s="19">
        <v>6.4020000000000001</v>
      </c>
      <c r="BA203" s="19">
        <v>426.52173913043498</v>
      </c>
      <c r="BB203" s="19">
        <v>5.45</v>
      </c>
      <c r="BC203" s="19">
        <v>314.92173913043501</v>
      </c>
      <c r="BD203" s="19">
        <v>2.9910000000000001</v>
      </c>
      <c r="BE203" s="19">
        <v>242.93043478260901</v>
      </c>
      <c r="BF203" s="19">
        <v>2.1629999999999998</v>
      </c>
      <c r="BG203" s="19">
        <v>347.02608695652202</v>
      </c>
      <c r="BH203" s="19">
        <v>3.07</v>
      </c>
      <c r="BI203" s="19">
        <v>385.70434782608697</v>
      </c>
      <c r="BJ203" s="19">
        <v>3.4119999999999999</v>
      </c>
      <c r="BK203" s="19">
        <v>199.452173913043</v>
      </c>
      <c r="BL203" s="19">
        <v>3.0179999999999998</v>
      </c>
      <c r="BM203" s="19">
        <v>1055.71304347826</v>
      </c>
      <c r="BN203" s="19">
        <v>9.391</v>
      </c>
      <c r="BO203" s="19">
        <v>836.62608695652204</v>
      </c>
      <c r="BP203" s="19">
        <v>7.4480000000000004</v>
      </c>
      <c r="BQ203" s="19">
        <v>316.02608695652202</v>
      </c>
      <c r="BR203" s="19">
        <v>2.7959999999999998</v>
      </c>
      <c r="BS203" s="19">
        <v>201.417391304348</v>
      </c>
      <c r="BT203" s="19">
        <v>1.782</v>
      </c>
      <c r="BU203" s="19">
        <v>223.547826086957</v>
      </c>
      <c r="BV203" s="19">
        <v>2.032</v>
      </c>
      <c r="BW203" s="19">
        <v>330.66956521739098</v>
      </c>
      <c r="BX203" s="19">
        <v>2.948</v>
      </c>
      <c r="BY203" s="19">
        <v>291.39999999999998</v>
      </c>
      <c r="BZ203" s="19">
        <v>2.6059999999999999</v>
      </c>
      <c r="CA203" s="19">
        <v>237.38260869565201</v>
      </c>
      <c r="CB203" s="19">
        <v>2.1</v>
      </c>
      <c r="CC203" s="19">
        <v>206.89565217391299</v>
      </c>
      <c r="CD203" s="19">
        <v>1.85</v>
      </c>
      <c r="CE203" s="19">
        <v>241.53043478260901</v>
      </c>
      <c r="CF203" s="19">
        <v>3.004</v>
      </c>
      <c r="CG203" s="19">
        <v>0</v>
      </c>
      <c r="CH203" s="19">
        <v>0</v>
      </c>
      <c r="CI203" s="19">
        <v>0</v>
      </c>
      <c r="CJ203" s="19">
        <v>0</v>
      </c>
      <c r="CK203" s="19">
        <v>711.17391304347802</v>
      </c>
      <c r="CL203" s="19">
        <v>6.2939999999999996</v>
      </c>
      <c r="CM203" s="19">
        <v>758.86086956521694</v>
      </c>
      <c r="CN203" s="19">
        <v>9.2789999999999999</v>
      </c>
      <c r="CO203" s="19">
        <v>346.44347826086999</v>
      </c>
      <c r="CP203" s="19">
        <v>4.5060000000000002</v>
      </c>
      <c r="CQ203" s="19">
        <v>155.33913043478299</v>
      </c>
      <c r="CR203" s="19">
        <v>1.276</v>
      </c>
      <c r="CS203" s="19">
        <v>310.573913043478</v>
      </c>
      <c r="CT203" s="19">
        <v>2.5659999999999998</v>
      </c>
      <c r="CU203" s="19">
        <v>121.982608695652</v>
      </c>
      <c r="CV203" s="19">
        <v>1.002</v>
      </c>
      <c r="CW203" s="19">
        <v>120.226086956522</v>
      </c>
      <c r="CX203" s="19">
        <v>0.94699999999999995</v>
      </c>
      <c r="CY203" s="19">
        <v>191.4</v>
      </c>
      <c r="CZ203" s="19">
        <v>1.538</v>
      </c>
      <c r="DA203" s="19">
        <v>342.56521739130397</v>
      </c>
      <c r="DB203" s="19">
        <v>2.72</v>
      </c>
      <c r="DC203" s="19">
        <v>53.3217391304348</v>
      </c>
      <c r="DD203" s="19">
        <v>0.42</v>
      </c>
      <c r="DE203" s="19">
        <v>0</v>
      </c>
      <c r="DF203" s="19">
        <v>0</v>
      </c>
      <c r="DG203" s="19">
        <v>0</v>
      </c>
      <c r="DH203" s="19">
        <v>0</v>
      </c>
      <c r="DI203" s="19">
        <v>0</v>
      </c>
      <c r="DJ203" s="19">
        <v>0</v>
      </c>
      <c r="DK203" s="19">
        <v>0</v>
      </c>
      <c r="DL203" s="19">
        <v>0</v>
      </c>
      <c r="DM203" s="19">
        <v>86.321739130434807</v>
      </c>
      <c r="DN203" s="19">
        <v>0.68</v>
      </c>
      <c r="DO203" s="19">
        <v>250.165217391304</v>
      </c>
      <c r="DP203" s="19">
        <v>1.992</v>
      </c>
      <c r="DQ203" s="19">
        <v>767.74782608695602</v>
      </c>
      <c r="DR203" s="19">
        <v>9.0839999999999996</v>
      </c>
      <c r="DS203" s="19">
        <v>350.35652173913002</v>
      </c>
      <c r="DT203" s="19">
        <v>3.9119999999999999</v>
      </c>
      <c r="DU203" s="19">
        <v>238.11304347826101</v>
      </c>
      <c r="DV203" s="19">
        <v>2.552</v>
      </c>
      <c r="DW203" s="19">
        <v>162.02608695652199</v>
      </c>
      <c r="DX203" s="19">
        <v>1.768</v>
      </c>
      <c r="DY203" s="19">
        <v>0</v>
      </c>
      <c r="DZ203" s="19">
        <v>0</v>
      </c>
      <c r="EA203" s="19">
        <v>0</v>
      </c>
      <c r="EB203" s="19">
        <v>0</v>
      </c>
      <c r="EC203" s="19">
        <v>0</v>
      </c>
      <c r="ED203" s="19">
        <v>0</v>
      </c>
      <c r="EE203" s="19">
        <v>0</v>
      </c>
      <c r="EF203" s="19">
        <v>0</v>
      </c>
      <c r="EG203" s="19">
        <v>0</v>
      </c>
      <c r="EH203" s="19">
        <v>0</v>
      </c>
      <c r="EI203" s="19">
        <v>0</v>
      </c>
      <c r="EJ203" s="19">
        <v>0</v>
      </c>
      <c r="EK203" s="19">
        <v>0</v>
      </c>
      <c r="EL203" s="19">
        <v>0</v>
      </c>
      <c r="EM203" s="19">
        <v>0</v>
      </c>
      <c r="EN203" s="19">
        <v>0</v>
      </c>
      <c r="EO203" s="19">
        <v>0</v>
      </c>
      <c r="EP203" s="19">
        <v>0</v>
      </c>
      <c r="EQ203" s="19">
        <v>0</v>
      </c>
      <c r="ER203" s="19">
        <v>0</v>
      </c>
      <c r="ES203" s="119">
        <v>0</v>
      </c>
      <c r="ET203" s="119">
        <v>0</v>
      </c>
    </row>
    <row r="204" spans="1:150" ht="16.5" customHeight="1" x14ac:dyDescent="0.35">
      <c r="A204" s="4">
        <v>207</v>
      </c>
      <c r="B204" s="4" t="str">
        <f>LOOKUP(A204,Lookup!$A$1:$A$34,Lookup!$B$1:$B$34)</f>
        <v>PORK</v>
      </c>
      <c r="C204" s="5">
        <v>11152</v>
      </c>
      <c r="D204" s="6" t="s">
        <v>200</v>
      </c>
      <c r="E204" s="18">
        <v>0</v>
      </c>
      <c r="F204" s="18">
        <v>0</v>
      </c>
      <c r="G204" s="18">
        <v>0</v>
      </c>
      <c r="H204" s="18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0</v>
      </c>
      <c r="CV204" s="19">
        <v>0</v>
      </c>
      <c r="CW204" s="19">
        <v>0</v>
      </c>
      <c r="CX204" s="19">
        <v>0</v>
      </c>
      <c r="CY204" s="19">
        <v>0</v>
      </c>
      <c r="CZ204" s="19">
        <v>0</v>
      </c>
      <c r="DA204" s="19">
        <v>0</v>
      </c>
      <c r="DB204" s="19">
        <v>0</v>
      </c>
      <c r="DC204" s="19">
        <v>0</v>
      </c>
      <c r="DD204" s="19">
        <v>0</v>
      </c>
      <c r="DE204" s="19">
        <v>0</v>
      </c>
      <c r="DF204" s="19">
        <v>0</v>
      </c>
      <c r="DG204" s="19">
        <v>0</v>
      </c>
      <c r="DH204" s="19">
        <v>0</v>
      </c>
      <c r="DI204" s="19">
        <v>0</v>
      </c>
      <c r="DJ204" s="19">
        <v>0</v>
      </c>
      <c r="DK204" s="19">
        <v>0</v>
      </c>
      <c r="DL204" s="19">
        <v>0</v>
      </c>
      <c r="DM204" s="19">
        <v>0</v>
      </c>
      <c r="DN204" s="19">
        <v>0</v>
      </c>
      <c r="DO204" s="19">
        <v>0</v>
      </c>
      <c r="DP204" s="19">
        <v>0</v>
      </c>
      <c r="DQ204" s="19">
        <v>0</v>
      </c>
      <c r="DR204" s="19">
        <v>0</v>
      </c>
      <c r="DS204" s="19">
        <v>0</v>
      </c>
      <c r="DT204" s="19">
        <v>0</v>
      </c>
      <c r="DU204" s="19">
        <v>0</v>
      </c>
      <c r="DV204" s="19">
        <v>0</v>
      </c>
      <c r="DW204" s="19">
        <v>0</v>
      </c>
      <c r="DX204" s="19">
        <v>0</v>
      </c>
      <c r="DY204" s="19">
        <v>0</v>
      </c>
      <c r="DZ204" s="19">
        <v>0</v>
      </c>
      <c r="EA204" s="19">
        <v>0</v>
      </c>
      <c r="EB204" s="19">
        <v>0</v>
      </c>
      <c r="EC204" s="19">
        <v>0</v>
      </c>
      <c r="ED204" s="19">
        <v>0</v>
      </c>
      <c r="EE204" s="19">
        <v>0</v>
      </c>
      <c r="EF204" s="19">
        <v>0</v>
      </c>
      <c r="EG204" s="19">
        <v>0</v>
      </c>
      <c r="EH204" s="19">
        <v>0</v>
      </c>
      <c r="EI204" s="19">
        <v>0</v>
      </c>
      <c r="EJ204" s="19">
        <v>0</v>
      </c>
      <c r="EK204" s="19">
        <v>0</v>
      </c>
      <c r="EL204" s="19">
        <v>0</v>
      </c>
      <c r="EM204" s="19">
        <v>0</v>
      </c>
      <c r="EN204" s="19">
        <v>0</v>
      </c>
      <c r="EO204" s="19">
        <v>0</v>
      </c>
      <c r="EP204" s="19">
        <v>0</v>
      </c>
      <c r="EQ204" s="19">
        <v>0</v>
      </c>
      <c r="ER204" s="19">
        <v>0</v>
      </c>
      <c r="ES204" s="119">
        <v>0</v>
      </c>
      <c r="ET204" s="119">
        <v>0</v>
      </c>
    </row>
    <row r="205" spans="1:150" ht="16.5" customHeight="1" x14ac:dyDescent="0.35">
      <c r="A205" s="4">
        <v>207</v>
      </c>
      <c r="B205" s="4" t="str">
        <f>LOOKUP(A205,Lookup!$A$1:$A$34,Lookup!$B$1:$B$34)</f>
        <v>PORK</v>
      </c>
      <c r="C205" s="5">
        <v>12197</v>
      </c>
      <c r="D205" s="6" t="s">
        <v>201</v>
      </c>
      <c r="E205" s="18">
        <v>2.4493570116350298</v>
      </c>
      <c r="F205" s="18">
        <v>1.4E-2</v>
      </c>
      <c r="G205" s="18">
        <v>173.90434782608699</v>
      </c>
      <c r="H205" s="18">
        <v>1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0</v>
      </c>
      <c r="CO205" s="19">
        <v>0</v>
      </c>
      <c r="CP205" s="19">
        <v>0</v>
      </c>
      <c r="CQ205" s="19">
        <v>0</v>
      </c>
      <c r="CR205" s="19">
        <v>0</v>
      </c>
      <c r="CS205" s="19">
        <v>0</v>
      </c>
      <c r="CT205" s="19">
        <v>0</v>
      </c>
      <c r="CU205" s="19">
        <v>0</v>
      </c>
      <c r="CV205" s="19">
        <v>0</v>
      </c>
      <c r="CW205" s="19">
        <v>0</v>
      </c>
      <c r="CX205" s="19">
        <v>0</v>
      </c>
      <c r="CY205" s="19">
        <v>0</v>
      </c>
      <c r="CZ205" s="19">
        <v>0</v>
      </c>
      <c r="DA205" s="19">
        <v>0</v>
      </c>
      <c r="DB205" s="19">
        <v>0</v>
      </c>
      <c r="DC205" s="19">
        <v>0</v>
      </c>
      <c r="DD205" s="19">
        <v>0</v>
      </c>
      <c r="DE205" s="19">
        <v>0</v>
      </c>
      <c r="DF205" s="19">
        <v>0</v>
      </c>
      <c r="DG205" s="19">
        <v>0</v>
      </c>
      <c r="DH205" s="19">
        <v>0</v>
      </c>
      <c r="DI205" s="19">
        <v>0</v>
      </c>
      <c r="DJ205" s="19">
        <v>0</v>
      </c>
      <c r="DK205" s="19">
        <v>0</v>
      </c>
      <c r="DL205" s="19">
        <v>0</v>
      </c>
      <c r="DM205" s="19">
        <v>0</v>
      </c>
      <c r="DN205" s="19">
        <v>0</v>
      </c>
      <c r="DO205" s="19">
        <v>173.90434782608699</v>
      </c>
      <c r="DP205" s="19">
        <v>1</v>
      </c>
      <c r="DQ205" s="19">
        <v>0</v>
      </c>
      <c r="DR205" s="19">
        <v>0</v>
      </c>
      <c r="DS205" s="19">
        <v>0</v>
      </c>
      <c r="DT205" s="19">
        <v>0</v>
      </c>
      <c r="DU205" s="19">
        <v>0</v>
      </c>
      <c r="DV205" s="19">
        <v>0</v>
      </c>
      <c r="DW205" s="19">
        <v>0</v>
      </c>
      <c r="DX205" s="19">
        <v>0</v>
      </c>
      <c r="DY205" s="19">
        <v>0</v>
      </c>
      <c r="DZ205" s="19">
        <v>0</v>
      </c>
      <c r="EA205" s="19">
        <v>0</v>
      </c>
      <c r="EB205" s="19">
        <v>0</v>
      </c>
      <c r="EC205" s="19">
        <v>0</v>
      </c>
      <c r="ED205" s="19">
        <v>0</v>
      </c>
      <c r="EE205" s="19">
        <v>0</v>
      </c>
      <c r="EF205" s="19">
        <v>0</v>
      </c>
      <c r="EG205" s="19">
        <v>0</v>
      </c>
      <c r="EH205" s="19">
        <v>0</v>
      </c>
      <c r="EI205" s="19">
        <v>0</v>
      </c>
      <c r="EJ205" s="19">
        <v>0</v>
      </c>
      <c r="EK205" s="19">
        <v>0</v>
      </c>
      <c r="EL205" s="19">
        <v>0</v>
      </c>
      <c r="EM205" s="19">
        <v>0</v>
      </c>
      <c r="EN205" s="19">
        <v>0</v>
      </c>
      <c r="EO205" s="19">
        <v>0</v>
      </c>
      <c r="EP205" s="19">
        <v>0</v>
      </c>
      <c r="EQ205" s="19">
        <v>0</v>
      </c>
      <c r="ER205" s="19">
        <v>0</v>
      </c>
      <c r="ES205" s="119">
        <v>0</v>
      </c>
      <c r="ET205" s="119">
        <v>0</v>
      </c>
    </row>
    <row r="206" spans="1:150" ht="16.5" customHeight="1" x14ac:dyDescent="0.35">
      <c r="A206" s="4">
        <v>207</v>
      </c>
      <c r="B206" s="4" t="str">
        <f>LOOKUP(A206,Lookup!$A$1:$A$34,Lookup!$B$1:$B$34)</f>
        <v>PORK</v>
      </c>
      <c r="C206" s="5">
        <v>12200</v>
      </c>
      <c r="D206" s="6" t="s">
        <v>202</v>
      </c>
      <c r="E206" s="18">
        <v>0</v>
      </c>
      <c r="F206" s="18">
        <v>0</v>
      </c>
      <c r="G206" s="18">
        <v>0</v>
      </c>
      <c r="H206" s="18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0</v>
      </c>
      <c r="CN206" s="19">
        <v>0</v>
      </c>
      <c r="CO206" s="19">
        <v>0</v>
      </c>
      <c r="CP206" s="19">
        <v>0</v>
      </c>
      <c r="CQ206" s="19">
        <v>0</v>
      </c>
      <c r="CR206" s="19">
        <v>0</v>
      </c>
      <c r="CS206" s="19">
        <v>0</v>
      </c>
      <c r="CT206" s="19">
        <v>0</v>
      </c>
      <c r="CU206" s="19">
        <v>0</v>
      </c>
      <c r="CV206" s="19">
        <v>0</v>
      </c>
      <c r="CW206" s="19">
        <v>0</v>
      </c>
      <c r="CX206" s="19">
        <v>0</v>
      </c>
      <c r="CY206" s="19">
        <v>0</v>
      </c>
      <c r="CZ206" s="19">
        <v>0</v>
      </c>
      <c r="DA206" s="19">
        <v>0</v>
      </c>
      <c r="DB206" s="19">
        <v>0</v>
      </c>
      <c r="DC206" s="19">
        <v>0</v>
      </c>
      <c r="DD206" s="19">
        <v>0</v>
      </c>
      <c r="DE206" s="19">
        <v>0</v>
      </c>
      <c r="DF206" s="19">
        <v>0</v>
      </c>
      <c r="DG206" s="19">
        <v>0</v>
      </c>
      <c r="DH206" s="19">
        <v>0</v>
      </c>
      <c r="DI206" s="19">
        <v>0</v>
      </c>
      <c r="DJ206" s="19">
        <v>0</v>
      </c>
      <c r="DK206" s="19">
        <v>0</v>
      </c>
      <c r="DL206" s="19">
        <v>0</v>
      </c>
      <c r="DM206" s="19">
        <v>0</v>
      </c>
      <c r="DN206" s="19">
        <v>0</v>
      </c>
      <c r="DO206" s="19">
        <v>0</v>
      </c>
      <c r="DP206" s="19">
        <v>0</v>
      </c>
      <c r="DQ206" s="19">
        <v>0</v>
      </c>
      <c r="DR206" s="19">
        <v>0</v>
      </c>
      <c r="DS206" s="19">
        <v>0</v>
      </c>
      <c r="DT206" s="19">
        <v>0</v>
      </c>
      <c r="DU206" s="19">
        <v>0</v>
      </c>
      <c r="DV206" s="19">
        <v>0</v>
      </c>
      <c r="DW206" s="19">
        <v>0</v>
      </c>
      <c r="DX206" s="19">
        <v>0</v>
      </c>
      <c r="DY206" s="19">
        <v>0</v>
      </c>
      <c r="DZ206" s="19">
        <v>0</v>
      </c>
      <c r="EA206" s="19">
        <v>0</v>
      </c>
      <c r="EB206" s="19">
        <v>0</v>
      </c>
      <c r="EC206" s="19">
        <v>0</v>
      </c>
      <c r="ED206" s="19">
        <v>0</v>
      </c>
      <c r="EE206" s="19">
        <v>0</v>
      </c>
      <c r="EF206" s="19">
        <v>0</v>
      </c>
      <c r="EG206" s="19">
        <v>0</v>
      </c>
      <c r="EH206" s="19">
        <v>0</v>
      </c>
      <c r="EI206" s="19">
        <v>0</v>
      </c>
      <c r="EJ206" s="19">
        <v>0</v>
      </c>
      <c r="EK206" s="19">
        <v>0</v>
      </c>
      <c r="EL206" s="19">
        <v>0</v>
      </c>
      <c r="EM206" s="19">
        <v>0</v>
      </c>
      <c r="EN206" s="19">
        <v>0</v>
      </c>
      <c r="EO206" s="19">
        <v>0</v>
      </c>
      <c r="EP206" s="19">
        <v>0</v>
      </c>
      <c r="EQ206" s="19">
        <v>0</v>
      </c>
      <c r="ER206" s="19">
        <v>0</v>
      </c>
      <c r="ES206" s="119">
        <v>0</v>
      </c>
      <c r="ET206" s="119">
        <v>0</v>
      </c>
    </row>
    <row r="207" spans="1:150" ht="16.5" customHeight="1" x14ac:dyDescent="0.35">
      <c r="A207" s="4">
        <v>207</v>
      </c>
      <c r="B207" s="4" t="str">
        <f>LOOKUP(A207,Lookup!$A$1:$A$34,Lookup!$B$1:$B$34)</f>
        <v>PORK</v>
      </c>
      <c r="C207" s="5">
        <v>12317</v>
      </c>
      <c r="D207" s="6" t="s">
        <v>203</v>
      </c>
      <c r="E207" s="18">
        <v>35.514513165952202</v>
      </c>
      <c r="F207" s="18">
        <v>0.33800000000000002</v>
      </c>
      <c r="G207" s="18">
        <v>2521.53043478261</v>
      </c>
      <c r="H207" s="18">
        <v>24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121.730434782609</v>
      </c>
      <c r="AF207" s="19">
        <v>1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0</v>
      </c>
      <c r="CN207" s="19">
        <v>0</v>
      </c>
      <c r="CO207" s="19">
        <v>0</v>
      </c>
      <c r="CP207" s="19">
        <v>0</v>
      </c>
      <c r="CQ207" s="19">
        <v>0</v>
      </c>
      <c r="CR207" s="19">
        <v>0</v>
      </c>
      <c r="CS207" s="19">
        <v>0</v>
      </c>
      <c r="CT207" s="19">
        <v>0</v>
      </c>
      <c r="CU207" s="19">
        <v>0</v>
      </c>
      <c r="CV207" s="19">
        <v>0</v>
      </c>
      <c r="CW207" s="19">
        <v>0</v>
      </c>
      <c r="CX207" s="19">
        <v>0</v>
      </c>
      <c r="CY207" s="19">
        <v>0</v>
      </c>
      <c r="CZ207" s="19">
        <v>0</v>
      </c>
      <c r="DA207" s="19">
        <v>0</v>
      </c>
      <c r="DB207" s="19">
        <v>0</v>
      </c>
      <c r="DC207" s="19">
        <v>208.67826086956501</v>
      </c>
      <c r="DD207" s="19">
        <v>2</v>
      </c>
      <c r="DE207" s="19">
        <v>939.05217391304404</v>
      </c>
      <c r="DF207" s="19">
        <v>9</v>
      </c>
      <c r="DG207" s="19">
        <v>521.695652173913</v>
      </c>
      <c r="DH207" s="19">
        <v>5</v>
      </c>
      <c r="DI207" s="19">
        <v>521.695652173913</v>
      </c>
      <c r="DJ207" s="19">
        <v>5</v>
      </c>
      <c r="DK207" s="19">
        <v>208.67826086956501</v>
      </c>
      <c r="DL207" s="19">
        <v>2</v>
      </c>
      <c r="DM207" s="19">
        <v>0</v>
      </c>
      <c r="DN207" s="19">
        <v>0</v>
      </c>
      <c r="DO207" s="19">
        <v>0</v>
      </c>
      <c r="DP207" s="19">
        <v>0</v>
      </c>
      <c r="DQ207" s="19">
        <v>0</v>
      </c>
      <c r="DR207" s="19">
        <v>0</v>
      </c>
      <c r="DS207" s="19">
        <v>0</v>
      </c>
      <c r="DT207" s="19">
        <v>0</v>
      </c>
      <c r="DU207" s="19">
        <v>0</v>
      </c>
      <c r="DV207" s="19">
        <v>0</v>
      </c>
      <c r="DW207" s="19">
        <v>0</v>
      </c>
      <c r="DX207" s="19">
        <v>0</v>
      </c>
      <c r="DY207" s="19">
        <v>0</v>
      </c>
      <c r="DZ207" s="19">
        <v>0</v>
      </c>
      <c r="EA207" s="19">
        <v>0</v>
      </c>
      <c r="EB207" s="19">
        <v>0</v>
      </c>
      <c r="EC207" s="19">
        <v>0</v>
      </c>
      <c r="ED207" s="19">
        <v>0</v>
      </c>
      <c r="EE207" s="19">
        <v>0</v>
      </c>
      <c r="EF207" s="19">
        <v>0</v>
      </c>
      <c r="EG207" s="19">
        <v>0</v>
      </c>
      <c r="EH207" s="19">
        <v>0</v>
      </c>
      <c r="EI207" s="19">
        <v>0</v>
      </c>
      <c r="EJ207" s="19">
        <v>0</v>
      </c>
      <c r="EK207" s="19">
        <v>0</v>
      </c>
      <c r="EL207" s="19">
        <v>0</v>
      </c>
      <c r="EM207" s="19">
        <v>0</v>
      </c>
      <c r="EN207" s="19">
        <v>0</v>
      </c>
      <c r="EO207" s="19">
        <v>0</v>
      </c>
      <c r="EP207" s="19">
        <v>0</v>
      </c>
      <c r="EQ207" s="19">
        <v>0</v>
      </c>
      <c r="ER207" s="19">
        <v>0</v>
      </c>
      <c r="ES207" s="119">
        <v>0</v>
      </c>
      <c r="ET207" s="119">
        <v>0</v>
      </c>
    </row>
    <row r="208" spans="1:150" ht="16.5" customHeight="1" x14ac:dyDescent="0.35">
      <c r="A208" s="4">
        <v>207</v>
      </c>
      <c r="B208" s="4" t="str">
        <f>LOOKUP(A208,Lookup!$A$1:$A$34,Lookup!$B$1:$B$34)</f>
        <v>PORK</v>
      </c>
      <c r="C208" s="5">
        <v>12325</v>
      </c>
      <c r="D208" s="6" t="s">
        <v>204</v>
      </c>
      <c r="E208" s="18">
        <v>58.247642375995099</v>
      </c>
      <c r="F208" s="18">
        <v>0.39400000000000002</v>
      </c>
      <c r="G208" s="18">
        <v>4135.5826086956504</v>
      </c>
      <c r="H208" s="18">
        <v>27.981999999999999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0</v>
      </c>
      <c r="CN208" s="19">
        <v>0</v>
      </c>
      <c r="CO208" s="19">
        <v>0</v>
      </c>
      <c r="CP208" s="19">
        <v>0</v>
      </c>
      <c r="CQ208" s="19">
        <v>0</v>
      </c>
      <c r="CR208" s="19">
        <v>0</v>
      </c>
      <c r="CS208" s="19">
        <v>0</v>
      </c>
      <c r="CT208" s="19">
        <v>0</v>
      </c>
      <c r="CU208" s="19">
        <v>0</v>
      </c>
      <c r="CV208" s="19">
        <v>0</v>
      </c>
      <c r="CW208" s="19">
        <v>0</v>
      </c>
      <c r="CX208" s="19">
        <v>0</v>
      </c>
      <c r="CY208" s="19">
        <v>0</v>
      </c>
      <c r="CZ208" s="19">
        <v>0</v>
      </c>
      <c r="DA208" s="19">
        <v>0</v>
      </c>
      <c r="DB208" s="19">
        <v>0</v>
      </c>
      <c r="DC208" s="19">
        <v>0</v>
      </c>
      <c r="DD208" s="19">
        <v>0</v>
      </c>
      <c r="DE208" s="19">
        <v>0</v>
      </c>
      <c r="DF208" s="19">
        <v>0</v>
      </c>
      <c r="DG208" s="19">
        <v>0</v>
      </c>
      <c r="DH208" s="19">
        <v>0</v>
      </c>
      <c r="DI208" s="19">
        <v>0</v>
      </c>
      <c r="DJ208" s="19">
        <v>0</v>
      </c>
      <c r="DK208" s="19">
        <v>0</v>
      </c>
      <c r="DL208" s="19">
        <v>0</v>
      </c>
      <c r="DM208" s="19">
        <v>0</v>
      </c>
      <c r="DN208" s="19">
        <v>0</v>
      </c>
      <c r="DO208" s="19">
        <v>0</v>
      </c>
      <c r="DP208" s="19">
        <v>0</v>
      </c>
      <c r="DQ208" s="19">
        <v>0</v>
      </c>
      <c r="DR208" s="19">
        <v>0</v>
      </c>
      <c r="DS208" s="19">
        <v>0</v>
      </c>
      <c r="DT208" s="19">
        <v>0</v>
      </c>
      <c r="DU208" s="19">
        <v>314.84347826086997</v>
      </c>
      <c r="DV208" s="19">
        <v>2.4140000000000001</v>
      </c>
      <c r="DW208" s="19">
        <v>1512.4</v>
      </c>
      <c r="DX208" s="19">
        <v>11.596</v>
      </c>
      <c r="DY208" s="19">
        <v>718.38260869565204</v>
      </c>
      <c r="DZ208" s="19">
        <v>4.3479999999999999</v>
      </c>
      <c r="EA208" s="19">
        <v>115.31304347826099</v>
      </c>
      <c r="EB208" s="19">
        <v>0.69799999999999995</v>
      </c>
      <c r="EC208" s="19">
        <v>851.80869565217404</v>
      </c>
      <c r="ED208" s="19">
        <v>5.1559999999999997</v>
      </c>
      <c r="EE208" s="19">
        <v>323.47826086956502</v>
      </c>
      <c r="EF208" s="19">
        <v>1.958</v>
      </c>
      <c r="EG208" s="19">
        <v>299.35652173913002</v>
      </c>
      <c r="EH208" s="19">
        <v>1.8120000000000001</v>
      </c>
      <c r="EI208" s="19">
        <v>0</v>
      </c>
      <c r="EJ208" s="19">
        <v>0</v>
      </c>
      <c r="EK208" s="19">
        <v>0</v>
      </c>
      <c r="EL208" s="19">
        <v>0</v>
      </c>
      <c r="EM208" s="19">
        <v>0</v>
      </c>
      <c r="EN208" s="19">
        <v>0</v>
      </c>
      <c r="EO208" s="19">
        <v>0</v>
      </c>
      <c r="EP208" s="19">
        <v>0</v>
      </c>
      <c r="EQ208" s="19">
        <v>0</v>
      </c>
      <c r="ER208" s="19">
        <v>0</v>
      </c>
      <c r="ES208" s="119">
        <v>0</v>
      </c>
      <c r="ET208" s="119">
        <v>0</v>
      </c>
    </row>
    <row r="209" spans="1:150" ht="16.5" customHeight="1" x14ac:dyDescent="0.35">
      <c r="A209" s="4">
        <v>207</v>
      </c>
      <c r="B209" s="4" t="str">
        <f>LOOKUP(A209,Lookup!$A$1:$A$34,Lookup!$B$1:$B$34)</f>
        <v>PORK</v>
      </c>
      <c r="C209" s="5">
        <v>12330</v>
      </c>
      <c r="D209" s="6" t="s">
        <v>205</v>
      </c>
      <c r="E209" s="18">
        <v>478.93472137170801</v>
      </c>
      <c r="F209" s="18">
        <v>7.4370000000000003</v>
      </c>
      <c r="G209" s="18">
        <v>34004.3652173913</v>
      </c>
      <c r="H209" s="18">
        <v>528</v>
      </c>
      <c r="I209" s="19">
        <v>626.00869565217397</v>
      </c>
      <c r="J209" s="19">
        <v>9</v>
      </c>
      <c r="K209" s="19">
        <v>486.89565217391299</v>
      </c>
      <c r="L209" s="19">
        <v>7</v>
      </c>
      <c r="M209" s="19">
        <v>208.66956521739101</v>
      </c>
      <c r="N209" s="19">
        <v>3</v>
      </c>
      <c r="O209" s="19">
        <v>347.78260869565202</v>
      </c>
      <c r="P209" s="19">
        <v>5</v>
      </c>
      <c r="Q209" s="19">
        <v>556.452173913043</v>
      </c>
      <c r="R209" s="19">
        <v>8</v>
      </c>
      <c r="S209" s="19">
        <v>486.89565217391299</v>
      </c>
      <c r="T209" s="19">
        <v>7</v>
      </c>
      <c r="U209" s="19">
        <v>208.66956521739101</v>
      </c>
      <c r="V209" s="19">
        <v>3</v>
      </c>
      <c r="W209" s="19">
        <v>417.33913043478299</v>
      </c>
      <c r="X209" s="19">
        <v>6</v>
      </c>
      <c r="Y209" s="19">
        <v>347.78260869565202</v>
      </c>
      <c r="Z209" s="19">
        <v>5</v>
      </c>
      <c r="AA209" s="19">
        <v>347.78260869565202</v>
      </c>
      <c r="AB209" s="19">
        <v>5</v>
      </c>
      <c r="AC209" s="19">
        <v>765.121739130435</v>
      </c>
      <c r="AD209" s="19">
        <v>11</v>
      </c>
      <c r="AE209" s="19">
        <v>486.89565217391299</v>
      </c>
      <c r="AF209" s="19">
        <v>7</v>
      </c>
      <c r="AG209" s="19">
        <v>347.78260869565202</v>
      </c>
      <c r="AH209" s="19">
        <v>5</v>
      </c>
      <c r="AI209" s="19">
        <v>417.33913043478299</v>
      </c>
      <c r="AJ209" s="19">
        <v>6</v>
      </c>
      <c r="AK209" s="19">
        <v>466.02608695652202</v>
      </c>
      <c r="AL209" s="19">
        <v>7</v>
      </c>
      <c r="AM209" s="19">
        <v>486.88695652173902</v>
      </c>
      <c r="AN209" s="19">
        <v>8</v>
      </c>
      <c r="AO209" s="19">
        <v>362.121739130435</v>
      </c>
      <c r="AP209" s="19">
        <v>6</v>
      </c>
      <c r="AQ209" s="19">
        <v>663.38260869565204</v>
      </c>
      <c r="AR209" s="19">
        <v>11</v>
      </c>
      <c r="AS209" s="19">
        <v>304.304347826087</v>
      </c>
      <c r="AT209" s="19">
        <v>5</v>
      </c>
      <c r="AU209" s="19">
        <v>234.31304347826099</v>
      </c>
      <c r="AV209" s="19">
        <v>4</v>
      </c>
      <c r="AW209" s="19">
        <v>365.165217391304</v>
      </c>
      <c r="AX209" s="19">
        <v>6</v>
      </c>
      <c r="AY209" s="19">
        <v>243.44347826086999</v>
      </c>
      <c r="AZ209" s="19">
        <v>4</v>
      </c>
      <c r="BA209" s="19">
        <v>121.721739130435</v>
      </c>
      <c r="BB209" s="19">
        <v>2</v>
      </c>
      <c r="BC209" s="19">
        <v>426.02608695652202</v>
      </c>
      <c r="BD209" s="19">
        <v>7</v>
      </c>
      <c r="BE209" s="19">
        <v>121.721739130435</v>
      </c>
      <c r="BF209" s="19">
        <v>2</v>
      </c>
      <c r="BG209" s="19">
        <v>958.55652173912995</v>
      </c>
      <c r="BH209" s="19">
        <v>16</v>
      </c>
      <c r="BI209" s="19">
        <v>608.60869565217399</v>
      </c>
      <c r="BJ209" s="19">
        <v>10</v>
      </c>
      <c r="BK209" s="19">
        <v>504.27826086956497</v>
      </c>
      <c r="BL209" s="19">
        <v>8</v>
      </c>
      <c r="BM209" s="19">
        <v>64.339130434782604</v>
      </c>
      <c r="BN209" s="19">
        <v>1</v>
      </c>
      <c r="BO209" s="19">
        <v>919.86956521739103</v>
      </c>
      <c r="BP209" s="19">
        <v>15</v>
      </c>
      <c r="BQ209" s="19">
        <v>791.19130434782596</v>
      </c>
      <c r="BR209" s="19">
        <v>13</v>
      </c>
      <c r="BS209" s="19">
        <v>304.304347826087</v>
      </c>
      <c r="BT209" s="19">
        <v>5</v>
      </c>
      <c r="BU209" s="19">
        <v>243.44347826086999</v>
      </c>
      <c r="BV209" s="19">
        <v>4</v>
      </c>
      <c r="BW209" s="19">
        <v>182.582608695652</v>
      </c>
      <c r="BX209" s="19">
        <v>3</v>
      </c>
      <c r="BY209" s="19">
        <v>669.46956521739105</v>
      </c>
      <c r="BZ209" s="19">
        <v>11</v>
      </c>
      <c r="CA209" s="19">
        <v>538.61739130434796</v>
      </c>
      <c r="CB209" s="19">
        <v>9</v>
      </c>
      <c r="CC209" s="19">
        <v>243.44347826086999</v>
      </c>
      <c r="CD209" s="19">
        <v>4</v>
      </c>
      <c r="CE209" s="19">
        <v>243.44347826086999</v>
      </c>
      <c r="CF209" s="19">
        <v>4</v>
      </c>
      <c r="CG209" s="19">
        <v>608.60869565217399</v>
      </c>
      <c r="CH209" s="19">
        <v>10</v>
      </c>
      <c r="CI209" s="19">
        <v>365.165217391304</v>
      </c>
      <c r="CJ209" s="19">
        <v>6</v>
      </c>
      <c r="CK209" s="19">
        <v>426.02608695652202</v>
      </c>
      <c r="CL209" s="19">
        <v>7</v>
      </c>
      <c r="CM209" s="19">
        <v>243.44347826086999</v>
      </c>
      <c r="CN209" s="19">
        <v>4</v>
      </c>
      <c r="CO209" s="19">
        <v>121.721739130435</v>
      </c>
      <c r="CP209" s="19">
        <v>2</v>
      </c>
      <c r="CQ209" s="19">
        <v>469.50434782608698</v>
      </c>
      <c r="CR209" s="19">
        <v>7</v>
      </c>
      <c r="CS209" s="19">
        <v>278.22608695652201</v>
      </c>
      <c r="CT209" s="19">
        <v>4</v>
      </c>
      <c r="CU209" s="19">
        <v>208.66956521739101</v>
      </c>
      <c r="CV209" s="19">
        <v>3</v>
      </c>
      <c r="CW209" s="19">
        <v>347.78260869565202</v>
      </c>
      <c r="CX209" s="19">
        <v>5</v>
      </c>
      <c r="CY209" s="19">
        <v>556.452173913043</v>
      </c>
      <c r="CZ209" s="19">
        <v>8</v>
      </c>
      <c r="DA209" s="19">
        <v>486.89565217391299</v>
      </c>
      <c r="DB209" s="19">
        <v>7</v>
      </c>
      <c r="DC209" s="19">
        <v>730.33913043478299</v>
      </c>
      <c r="DD209" s="19">
        <v>11</v>
      </c>
      <c r="DE209" s="19">
        <v>1519.8</v>
      </c>
      <c r="DF209" s="19">
        <v>23</v>
      </c>
      <c r="DG209" s="19">
        <v>1123.3304347826099</v>
      </c>
      <c r="DH209" s="19">
        <v>17</v>
      </c>
      <c r="DI209" s="19">
        <v>1050.6434782608701</v>
      </c>
      <c r="DJ209" s="19">
        <v>16</v>
      </c>
      <c r="DK209" s="19">
        <v>0</v>
      </c>
      <c r="DL209" s="19">
        <v>0</v>
      </c>
      <c r="DM209" s="19">
        <v>330.39130434782601</v>
      </c>
      <c r="DN209" s="19">
        <v>5</v>
      </c>
      <c r="DO209" s="19">
        <v>330.39130434782601</v>
      </c>
      <c r="DP209" s="19">
        <v>5</v>
      </c>
      <c r="DQ209" s="19">
        <v>264.31304347826102</v>
      </c>
      <c r="DR209" s="19">
        <v>4</v>
      </c>
      <c r="DS209" s="19">
        <v>594.70434782608697</v>
      </c>
      <c r="DT209" s="19">
        <v>9</v>
      </c>
      <c r="DU209" s="19">
        <v>594.70434782608697</v>
      </c>
      <c r="DV209" s="19">
        <v>9</v>
      </c>
      <c r="DW209" s="19">
        <v>330.39130434782601</v>
      </c>
      <c r="DX209" s="19">
        <v>5</v>
      </c>
      <c r="DY209" s="19">
        <v>327.08695652173901</v>
      </c>
      <c r="DZ209" s="19">
        <v>5</v>
      </c>
      <c r="EA209" s="19">
        <v>660.78260869565202</v>
      </c>
      <c r="EB209" s="19">
        <v>10</v>
      </c>
      <c r="EC209" s="19">
        <v>591.4</v>
      </c>
      <c r="ED209" s="19">
        <v>9</v>
      </c>
      <c r="EE209" s="19">
        <v>726.86086956521694</v>
      </c>
      <c r="EF209" s="19">
        <v>11</v>
      </c>
      <c r="EG209" s="19">
        <v>525.13913043478306</v>
      </c>
      <c r="EH209" s="19">
        <v>9</v>
      </c>
      <c r="EI209" s="19">
        <v>1836.24347826087</v>
      </c>
      <c r="EJ209" s="19">
        <v>32</v>
      </c>
      <c r="EK209" s="19">
        <v>286.91304347826099</v>
      </c>
      <c r="EL209" s="19">
        <v>5</v>
      </c>
      <c r="EM209" s="19">
        <v>172.147826086956</v>
      </c>
      <c r="EN209" s="19">
        <v>3</v>
      </c>
      <c r="EO209" s="19">
        <v>459.06086956521699</v>
      </c>
      <c r="EP209" s="19">
        <v>8</v>
      </c>
      <c r="EQ209" s="19">
        <v>1083.79130434783</v>
      </c>
      <c r="ER209" s="19">
        <v>14</v>
      </c>
      <c r="ES209" s="119">
        <v>234.75652173912999</v>
      </c>
      <c r="ET209" s="119">
        <v>3</v>
      </c>
    </row>
    <row r="210" spans="1:150" ht="16.5" customHeight="1" x14ac:dyDescent="0.35">
      <c r="A210" s="4">
        <v>207</v>
      </c>
      <c r="B210" s="4" t="str">
        <f>LOOKUP(A210,Lookup!$A$1:$A$34,Lookup!$B$1:$B$34)</f>
        <v>PORK</v>
      </c>
      <c r="C210" s="5">
        <v>12644</v>
      </c>
      <c r="D210" s="6" t="s">
        <v>206</v>
      </c>
      <c r="E210" s="18">
        <v>0</v>
      </c>
      <c r="F210" s="18">
        <v>0</v>
      </c>
      <c r="G210" s="18">
        <v>0</v>
      </c>
      <c r="H210" s="18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0</v>
      </c>
      <c r="CN210" s="19">
        <v>0</v>
      </c>
      <c r="CO210" s="19">
        <v>0</v>
      </c>
      <c r="CP210" s="19">
        <v>0</v>
      </c>
      <c r="CQ210" s="19">
        <v>0</v>
      </c>
      <c r="CR210" s="19">
        <v>0</v>
      </c>
      <c r="CS210" s="19">
        <v>0</v>
      </c>
      <c r="CT210" s="19">
        <v>0</v>
      </c>
      <c r="CU210" s="19">
        <v>0</v>
      </c>
      <c r="CV210" s="19">
        <v>0</v>
      </c>
      <c r="CW210" s="19">
        <v>0</v>
      </c>
      <c r="CX210" s="19">
        <v>0</v>
      </c>
      <c r="CY210" s="19">
        <v>0</v>
      </c>
      <c r="CZ210" s="19">
        <v>0</v>
      </c>
      <c r="DA210" s="19">
        <v>0</v>
      </c>
      <c r="DB210" s="19">
        <v>0</v>
      </c>
      <c r="DC210" s="19">
        <v>0</v>
      </c>
      <c r="DD210" s="19">
        <v>0</v>
      </c>
      <c r="DE210" s="19">
        <v>0</v>
      </c>
      <c r="DF210" s="19">
        <v>0</v>
      </c>
      <c r="DG210" s="19">
        <v>0</v>
      </c>
      <c r="DH210" s="19">
        <v>0</v>
      </c>
      <c r="DI210" s="19">
        <v>0</v>
      </c>
      <c r="DJ210" s="19">
        <v>0</v>
      </c>
      <c r="DK210" s="19">
        <v>0</v>
      </c>
      <c r="DL210" s="19">
        <v>0</v>
      </c>
      <c r="DM210" s="19">
        <v>0</v>
      </c>
      <c r="DN210" s="19">
        <v>0</v>
      </c>
      <c r="DO210" s="19">
        <v>0</v>
      </c>
      <c r="DP210" s="19">
        <v>0</v>
      </c>
      <c r="DQ210" s="19">
        <v>0</v>
      </c>
      <c r="DR210" s="19">
        <v>0</v>
      </c>
      <c r="DS210" s="19">
        <v>0</v>
      </c>
      <c r="DT210" s="19">
        <v>0</v>
      </c>
      <c r="DU210" s="19">
        <v>0</v>
      </c>
      <c r="DV210" s="19">
        <v>0</v>
      </c>
      <c r="DW210" s="19">
        <v>0</v>
      </c>
      <c r="DX210" s="19">
        <v>0</v>
      </c>
      <c r="DY210" s="19">
        <v>0</v>
      </c>
      <c r="DZ210" s="19">
        <v>0</v>
      </c>
      <c r="EA210" s="19">
        <v>0</v>
      </c>
      <c r="EB210" s="19">
        <v>0</v>
      </c>
      <c r="EC210" s="19">
        <v>0</v>
      </c>
      <c r="ED210" s="19">
        <v>0</v>
      </c>
      <c r="EE210" s="19">
        <v>0</v>
      </c>
      <c r="EF210" s="19">
        <v>0</v>
      </c>
      <c r="EG210" s="19">
        <v>0</v>
      </c>
      <c r="EH210" s="19">
        <v>0</v>
      </c>
      <c r="EI210" s="19">
        <v>0</v>
      </c>
      <c r="EJ210" s="19">
        <v>0</v>
      </c>
      <c r="EK210" s="19">
        <v>0</v>
      </c>
      <c r="EL210" s="19">
        <v>0</v>
      </c>
      <c r="EM210" s="19">
        <v>0</v>
      </c>
      <c r="EN210" s="19">
        <v>0</v>
      </c>
      <c r="EO210" s="19">
        <v>0</v>
      </c>
      <c r="EP210" s="19">
        <v>0</v>
      </c>
      <c r="EQ210" s="19">
        <v>0</v>
      </c>
      <c r="ER210" s="19">
        <v>0</v>
      </c>
      <c r="ES210" s="119">
        <v>0</v>
      </c>
      <c r="ET210" s="119">
        <v>0</v>
      </c>
    </row>
    <row r="211" spans="1:150" ht="16.5" customHeight="1" x14ac:dyDescent="0.35">
      <c r="A211" s="4">
        <v>207</v>
      </c>
      <c r="B211" s="4" t="str">
        <f>LOOKUP(A211,Lookup!$A$1:$A$34,Lookup!$B$1:$B$34)</f>
        <v>PORK</v>
      </c>
      <c r="C211" s="5">
        <v>12650</v>
      </c>
      <c r="D211" s="6" t="s">
        <v>207</v>
      </c>
      <c r="E211" s="18">
        <v>61.758726270667502</v>
      </c>
      <c r="F211" s="18">
        <v>1.2030000000000001</v>
      </c>
      <c r="G211" s="18">
        <v>4384.8695652173901</v>
      </c>
      <c r="H211" s="18">
        <v>85.381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2308.7130434782598</v>
      </c>
      <c r="BD211" s="19">
        <v>45.581000000000003</v>
      </c>
      <c r="BE211" s="19">
        <v>2076.1565217391299</v>
      </c>
      <c r="BF211" s="19">
        <v>39.799999999999997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0</v>
      </c>
      <c r="CO211" s="19">
        <v>0</v>
      </c>
      <c r="CP211" s="19">
        <v>0</v>
      </c>
      <c r="CQ211" s="19">
        <v>0</v>
      </c>
      <c r="CR211" s="19">
        <v>0</v>
      </c>
      <c r="CS211" s="19">
        <v>0</v>
      </c>
      <c r="CT211" s="19">
        <v>0</v>
      </c>
      <c r="CU211" s="19">
        <v>0</v>
      </c>
      <c r="CV211" s="19">
        <v>0</v>
      </c>
      <c r="CW211" s="19">
        <v>0</v>
      </c>
      <c r="CX211" s="19">
        <v>0</v>
      </c>
      <c r="CY211" s="19">
        <v>0</v>
      </c>
      <c r="CZ211" s="19">
        <v>0</v>
      </c>
      <c r="DA211" s="19">
        <v>0</v>
      </c>
      <c r="DB211" s="19">
        <v>0</v>
      </c>
      <c r="DC211" s="19">
        <v>0</v>
      </c>
      <c r="DD211" s="19">
        <v>0</v>
      </c>
      <c r="DE211" s="19">
        <v>0</v>
      </c>
      <c r="DF211" s="19">
        <v>0</v>
      </c>
      <c r="DG211" s="19">
        <v>0</v>
      </c>
      <c r="DH211" s="19">
        <v>0</v>
      </c>
      <c r="DI211" s="19">
        <v>0</v>
      </c>
      <c r="DJ211" s="19">
        <v>0</v>
      </c>
      <c r="DK211" s="19">
        <v>0</v>
      </c>
      <c r="DL211" s="19">
        <v>0</v>
      </c>
      <c r="DM211" s="19">
        <v>0</v>
      </c>
      <c r="DN211" s="19">
        <v>0</v>
      </c>
      <c r="DO211" s="19">
        <v>0</v>
      </c>
      <c r="DP211" s="19">
        <v>0</v>
      </c>
      <c r="DQ211" s="19">
        <v>0</v>
      </c>
      <c r="DR211" s="19">
        <v>0</v>
      </c>
      <c r="DS211" s="19">
        <v>0</v>
      </c>
      <c r="DT211" s="19">
        <v>0</v>
      </c>
      <c r="DU211" s="19">
        <v>0</v>
      </c>
      <c r="DV211" s="19">
        <v>0</v>
      </c>
      <c r="DW211" s="19">
        <v>0</v>
      </c>
      <c r="DX211" s="19">
        <v>0</v>
      </c>
      <c r="DY211" s="19">
        <v>0</v>
      </c>
      <c r="DZ211" s="19">
        <v>0</v>
      </c>
      <c r="EA211" s="19">
        <v>0</v>
      </c>
      <c r="EB211" s="19">
        <v>0</v>
      </c>
      <c r="EC211" s="19">
        <v>0</v>
      </c>
      <c r="ED211" s="19">
        <v>0</v>
      </c>
      <c r="EE211" s="19">
        <v>0</v>
      </c>
      <c r="EF211" s="19">
        <v>0</v>
      </c>
      <c r="EG211" s="19">
        <v>0</v>
      </c>
      <c r="EH211" s="19">
        <v>0</v>
      </c>
      <c r="EI211" s="19">
        <v>0</v>
      </c>
      <c r="EJ211" s="19">
        <v>0</v>
      </c>
      <c r="EK211" s="19">
        <v>0</v>
      </c>
      <c r="EL211" s="19">
        <v>0</v>
      </c>
      <c r="EM211" s="19">
        <v>0</v>
      </c>
      <c r="EN211" s="19">
        <v>0</v>
      </c>
      <c r="EO211" s="19">
        <v>0</v>
      </c>
      <c r="EP211" s="19">
        <v>0</v>
      </c>
      <c r="EQ211" s="19">
        <v>0</v>
      </c>
      <c r="ER211" s="19">
        <v>0</v>
      </c>
      <c r="ES211" s="119">
        <v>0</v>
      </c>
      <c r="ET211" s="119">
        <v>0</v>
      </c>
    </row>
    <row r="212" spans="1:150" ht="16.5" customHeight="1" x14ac:dyDescent="0.35">
      <c r="A212" s="4">
        <v>207</v>
      </c>
      <c r="B212" s="4" t="str">
        <f>LOOKUP(A212,Lookup!$A$1:$A$34,Lookup!$B$1:$B$34)</f>
        <v>PORK</v>
      </c>
      <c r="C212" s="5">
        <v>12659</v>
      </c>
      <c r="D212" s="6" t="s">
        <v>208</v>
      </c>
      <c r="E212" s="18">
        <v>221.7914268218</v>
      </c>
      <c r="F212" s="18">
        <v>2.9710000000000001</v>
      </c>
      <c r="G212" s="18">
        <v>15747.1913043478</v>
      </c>
      <c r="H212" s="18">
        <v>210.911</v>
      </c>
      <c r="I212" s="19">
        <v>2638.5652173912999</v>
      </c>
      <c r="J212" s="19">
        <v>36.015999999999998</v>
      </c>
      <c r="K212" s="19">
        <v>1706.4347826087001</v>
      </c>
      <c r="L212" s="19">
        <v>21.966000000000001</v>
      </c>
      <c r="M212" s="19">
        <v>751.33913043478299</v>
      </c>
      <c r="N212" s="19">
        <v>9.6020000000000003</v>
      </c>
      <c r="O212" s="19">
        <v>1457.8260869565199</v>
      </c>
      <c r="P212" s="19">
        <v>18.63</v>
      </c>
      <c r="Q212" s="19">
        <v>1387.3913043478301</v>
      </c>
      <c r="R212" s="19">
        <v>17.73</v>
      </c>
      <c r="S212" s="19">
        <v>1315.0608695652199</v>
      </c>
      <c r="T212" s="19">
        <v>17.803999999999998</v>
      </c>
      <c r="U212" s="19">
        <v>1088.20869565217</v>
      </c>
      <c r="V212" s="19">
        <v>16.632000000000001</v>
      </c>
      <c r="W212" s="19">
        <v>1016.86956521739</v>
      </c>
      <c r="X212" s="19">
        <v>15.592000000000001</v>
      </c>
      <c r="Y212" s="19">
        <v>291.91304347826099</v>
      </c>
      <c r="Z212" s="19">
        <v>4.476</v>
      </c>
      <c r="AA212" s="19">
        <v>0</v>
      </c>
      <c r="AB212" s="19">
        <v>0</v>
      </c>
      <c r="AC212" s="19">
        <v>858.70434782608697</v>
      </c>
      <c r="AD212" s="19">
        <v>10.975</v>
      </c>
      <c r="AE212" s="19">
        <v>1432.6608695652201</v>
      </c>
      <c r="AF212" s="19">
        <v>18.358000000000001</v>
      </c>
      <c r="AG212" s="19">
        <v>1273.8869565217401</v>
      </c>
      <c r="AH212" s="19">
        <v>16.28</v>
      </c>
      <c r="AI212" s="19">
        <v>528.33043478260902</v>
      </c>
      <c r="AJ212" s="19">
        <v>6.85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0</v>
      </c>
      <c r="CT212" s="19">
        <v>0</v>
      </c>
      <c r="CU212" s="19">
        <v>0</v>
      </c>
      <c r="CV212" s="19">
        <v>0</v>
      </c>
      <c r="CW212" s="19">
        <v>0</v>
      </c>
      <c r="CX212" s="19">
        <v>0</v>
      </c>
      <c r="CY212" s="19">
        <v>0</v>
      </c>
      <c r="CZ212" s="19">
        <v>0</v>
      </c>
      <c r="DA212" s="19">
        <v>0</v>
      </c>
      <c r="DB212" s="19">
        <v>0</v>
      </c>
      <c r="DC212" s="19">
        <v>0</v>
      </c>
      <c r="DD212" s="19">
        <v>0</v>
      </c>
      <c r="DE212" s="19">
        <v>0</v>
      </c>
      <c r="DF212" s="19">
        <v>0</v>
      </c>
      <c r="DG212" s="19">
        <v>0</v>
      </c>
      <c r="DH212" s="19">
        <v>0</v>
      </c>
      <c r="DI212" s="19">
        <v>0</v>
      </c>
      <c r="DJ212" s="19">
        <v>0</v>
      </c>
      <c r="DK212" s="19">
        <v>0</v>
      </c>
      <c r="DL212" s="19">
        <v>0</v>
      </c>
      <c r="DM212" s="19">
        <v>0</v>
      </c>
      <c r="DN212" s="19">
        <v>0</v>
      </c>
      <c r="DO212" s="19">
        <v>0</v>
      </c>
      <c r="DP212" s="19">
        <v>0</v>
      </c>
      <c r="DQ212" s="19">
        <v>0</v>
      </c>
      <c r="DR212" s="19">
        <v>0</v>
      </c>
      <c r="DS212" s="19">
        <v>0</v>
      </c>
      <c r="DT212" s="19">
        <v>0</v>
      </c>
      <c r="DU212" s="19">
        <v>0</v>
      </c>
      <c r="DV212" s="19">
        <v>0</v>
      </c>
      <c r="DW212" s="19">
        <v>0</v>
      </c>
      <c r="DX212" s="19">
        <v>0</v>
      </c>
      <c r="DY212" s="19">
        <v>0</v>
      </c>
      <c r="DZ212" s="19">
        <v>0</v>
      </c>
      <c r="EA212" s="19">
        <v>0</v>
      </c>
      <c r="EB212" s="19">
        <v>0</v>
      </c>
      <c r="EC212" s="19">
        <v>0</v>
      </c>
      <c r="ED212" s="19">
        <v>0</v>
      </c>
      <c r="EE212" s="19">
        <v>0</v>
      </c>
      <c r="EF212" s="19">
        <v>0</v>
      </c>
      <c r="EG212" s="19">
        <v>0</v>
      </c>
      <c r="EH212" s="19">
        <v>0</v>
      </c>
      <c r="EI212" s="19">
        <v>0</v>
      </c>
      <c r="EJ212" s="19">
        <v>0</v>
      </c>
      <c r="EK212" s="19">
        <v>0</v>
      </c>
      <c r="EL212" s="19">
        <v>0</v>
      </c>
      <c r="EM212" s="19">
        <v>0</v>
      </c>
      <c r="EN212" s="19">
        <v>0</v>
      </c>
      <c r="EO212" s="19">
        <v>0</v>
      </c>
      <c r="EP212" s="19">
        <v>0</v>
      </c>
      <c r="EQ212" s="19">
        <v>0</v>
      </c>
      <c r="ER212" s="19">
        <v>0</v>
      </c>
      <c r="ES212" s="119">
        <v>0</v>
      </c>
      <c r="ET212" s="119">
        <v>0</v>
      </c>
    </row>
    <row r="213" spans="1:150" ht="16.5" customHeight="1" x14ac:dyDescent="0.35">
      <c r="A213" s="4">
        <v>207</v>
      </c>
      <c r="B213" s="4" t="str">
        <f>LOOKUP(A213,Lookup!$A$1:$A$34,Lookup!$B$1:$B$34)</f>
        <v>PORK</v>
      </c>
      <c r="C213" s="5">
        <v>12732</v>
      </c>
      <c r="D213" s="6" t="s">
        <v>209</v>
      </c>
      <c r="E213" s="18">
        <v>0</v>
      </c>
      <c r="F213" s="18">
        <v>0</v>
      </c>
      <c r="G213" s="18">
        <v>0</v>
      </c>
      <c r="H213" s="18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0</v>
      </c>
      <c r="CN213" s="19">
        <v>0</v>
      </c>
      <c r="CO213" s="19">
        <v>0</v>
      </c>
      <c r="CP213" s="19">
        <v>0</v>
      </c>
      <c r="CQ213" s="19">
        <v>0</v>
      </c>
      <c r="CR213" s="19">
        <v>0</v>
      </c>
      <c r="CS213" s="19">
        <v>0</v>
      </c>
      <c r="CT213" s="19">
        <v>0</v>
      </c>
      <c r="CU213" s="19">
        <v>0</v>
      </c>
      <c r="CV213" s="19">
        <v>0</v>
      </c>
      <c r="CW213" s="19">
        <v>0</v>
      </c>
      <c r="CX213" s="19">
        <v>0</v>
      </c>
      <c r="CY213" s="19">
        <v>0</v>
      </c>
      <c r="CZ213" s="19">
        <v>0</v>
      </c>
      <c r="DA213" s="19">
        <v>0</v>
      </c>
      <c r="DB213" s="19">
        <v>0</v>
      </c>
      <c r="DC213" s="19">
        <v>0</v>
      </c>
      <c r="DD213" s="19">
        <v>0</v>
      </c>
      <c r="DE213" s="19">
        <v>0</v>
      </c>
      <c r="DF213" s="19">
        <v>0</v>
      </c>
      <c r="DG213" s="19">
        <v>0</v>
      </c>
      <c r="DH213" s="19">
        <v>0</v>
      </c>
      <c r="DI213" s="19">
        <v>0</v>
      </c>
      <c r="DJ213" s="19">
        <v>0</v>
      </c>
      <c r="DK213" s="19">
        <v>0</v>
      </c>
      <c r="DL213" s="19">
        <v>0</v>
      </c>
      <c r="DM213" s="19">
        <v>0</v>
      </c>
      <c r="DN213" s="19">
        <v>0</v>
      </c>
      <c r="DO213" s="19">
        <v>0</v>
      </c>
      <c r="DP213" s="19">
        <v>0</v>
      </c>
      <c r="DQ213" s="19">
        <v>0</v>
      </c>
      <c r="DR213" s="19">
        <v>0</v>
      </c>
      <c r="DS213" s="19">
        <v>0</v>
      </c>
      <c r="DT213" s="19">
        <v>0</v>
      </c>
      <c r="DU213" s="19">
        <v>0</v>
      </c>
      <c r="DV213" s="19">
        <v>0</v>
      </c>
      <c r="DW213" s="19">
        <v>0</v>
      </c>
      <c r="DX213" s="19">
        <v>0</v>
      </c>
      <c r="DY213" s="19">
        <v>0</v>
      </c>
      <c r="DZ213" s="19">
        <v>0</v>
      </c>
      <c r="EA213" s="19">
        <v>0</v>
      </c>
      <c r="EB213" s="19">
        <v>0</v>
      </c>
      <c r="EC213" s="19">
        <v>0</v>
      </c>
      <c r="ED213" s="19">
        <v>0</v>
      </c>
      <c r="EE213" s="19">
        <v>0</v>
      </c>
      <c r="EF213" s="19">
        <v>0</v>
      </c>
      <c r="EG213" s="19">
        <v>0</v>
      </c>
      <c r="EH213" s="19">
        <v>0</v>
      </c>
      <c r="EI213" s="19">
        <v>0</v>
      </c>
      <c r="EJ213" s="19">
        <v>0</v>
      </c>
      <c r="EK213" s="19">
        <v>0</v>
      </c>
      <c r="EL213" s="19">
        <v>0</v>
      </c>
      <c r="EM213" s="19">
        <v>0</v>
      </c>
      <c r="EN213" s="19">
        <v>0</v>
      </c>
      <c r="EO213" s="19">
        <v>0</v>
      </c>
      <c r="EP213" s="19">
        <v>0</v>
      </c>
      <c r="EQ213" s="19">
        <v>0</v>
      </c>
      <c r="ER213" s="19">
        <v>0</v>
      </c>
      <c r="ES213" s="119">
        <v>0</v>
      </c>
      <c r="ET213" s="119">
        <v>0</v>
      </c>
    </row>
    <row r="214" spans="1:150" ht="16.5" customHeight="1" x14ac:dyDescent="0.35">
      <c r="A214" s="4">
        <v>207</v>
      </c>
      <c r="B214" s="4" t="str">
        <f>LOOKUP(A214,Lookup!$A$1:$A$34,Lookup!$B$1:$B$34)</f>
        <v>PORK</v>
      </c>
      <c r="C214" s="5">
        <v>14922</v>
      </c>
      <c r="D214" s="6" t="s">
        <v>210</v>
      </c>
      <c r="E214" s="18">
        <v>727.15762400489905</v>
      </c>
      <c r="F214" s="18">
        <v>30.465</v>
      </c>
      <c r="G214" s="18">
        <v>51628.191304347798</v>
      </c>
      <c r="H214" s="18">
        <v>2163</v>
      </c>
      <c r="I214" s="19">
        <v>219.05217391304299</v>
      </c>
      <c r="J214" s="19">
        <v>9</v>
      </c>
      <c r="K214" s="19">
        <v>604.82608695652198</v>
      </c>
      <c r="L214" s="19">
        <v>25</v>
      </c>
      <c r="M214" s="19">
        <v>434.452173913043</v>
      </c>
      <c r="N214" s="19">
        <v>18</v>
      </c>
      <c r="O214" s="19">
        <v>681.49565217391296</v>
      </c>
      <c r="P214" s="19">
        <v>28</v>
      </c>
      <c r="Q214" s="19">
        <v>484.34782608695701</v>
      </c>
      <c r="R214" s="19">
        <v>20</v>
      </c>
      <c r="S214" s="19">
        <v>677.84347826087003</v>
      </c>
      <c r="T214" s="19">
        <v>28</v>
      </c>
      <c r="U214" s="19">
        <v>681.49565217391296</v>
      </c>
      <c r="V214" s="19">
        <v>28</v>
      </c>
      <c r="W214" s="19">
        <v>825.09565217391298</v>
      </c>
      <c r="X214" s="19">
        <v>34</v>
      </c>
      <c r="Y214" s="19">
        <v>462.44347826086999</v>
      </c>
      <c r="Z214" s="19">
        <v>19</v>
      </c>
      <c r="AA214" s="19">
        <v>654.72173913043503</v>
      </c>
      <c r="AB214" s="19">
        <v>27</v>
      </c>
      <c r="AC214" s="19">
        <v>918.8</v>
      </c>
      <c r="AD214" s="19">
        <v>38</v>
      </c>
      <c r="AE214" s="19">
        <v>558.58260869565197</v>
      </c>
      <c r="AF214" s="19">
        <v>23</v>
      </c>
      <c r="AG214" s="19">
        <v>754.51304347826101</v>
      </c>
      <c r="AH214" s="19">
        <v>31</v>
      </c>
      <c r="AI214" s="19">
        <v>797.10434782608695</v>
      </c>
      <c r="AJ214" s="19">
        <v>33</v>
      </c>
      <c r="AK214" s="19">
        <v>730.17391304347802</v>
      </c>
      <c r="AL214" s="19">
        <v>30</v>
      </c>
      <c r="AM214" s="19">
        <v>483.13043478260897</v>
      </c>
      <c r="AN214" s="19">
        <v>20</v>
      </c>
      <c r="AO214" s="19">
        <v>705.83478260869595</v>
      </c>
      <c r="AP214" s="19">
        <v>29</v>
      </c>
      <c r="AQ214" s="19">
        <v>681.49565217391296</v>
      </c>
      <c r="AR214" s="19">
        <v>28</v>
      </c>
      <c r="AS214" s="19">
        <v>365.08695652173901</v>
      </c>
      <c r="AT214" s="19">
        <v>15</v>
      </c>
      <c r="AU214" s="19">
        <v>194.713043478261</v>
      </c>
      <c r="AV214" s="19">
        <v>8</v>
      </c>
      <c r="AW214" s="19">
        <v>874.99130434782603</v>
      </c>
      <c r="AX214" s="19">
        <v>36</v>
      </c>
      <c r="AY214" s="19">
        <v>607.26086956521704</v>
      </c>
      <c r="AZ214" s="19">
        <v>25</v>
      </c>
      <c r="BA214" s="19">
        <v>801.97391304347798</v>
      </c>
      <c r="BB214" s="19">
        <v>33</v>
      </c>
      <c r="BC214" s="19">
        <v>632.81739130434801</v>
      </c>
      <c r="BD214" s="19">
        <v>26</v>
      </c>
      <c r="BE214" s="19">
        <v>557.36521739130399</v>
      </c>
      <c r="BF214" s="19">
        <v>23</v>
      </c>
      <c r="BG214" s="19">
        <v>704.61739130434796</v>
      </c>
      <c r="BH214" s="19">
        <v>29</v>
      </c>
      <c r="BI214" s="19">
        <v>900.547826086957</v>
      </c>
      <c r="BJ214" s="19">
        <v>37</v>
      </c>
      <c r="BK214" s="19">
        <v>389.426086956522</v>
      </c>
      <c r="BL214" s="19">
        <v>16</v>
      </c>
      <c r="BM214" s="19">
        <v>557.36521739130399</v>
      </c>
      <c r="BN214" s="19">
        <v>23</v>
      </c>
      <c r="BO214" s="19">
        <v>243.39130434782601</v>
      </c>
      <c r="BP214" s="19">
        <v>10</v>
      </c>
      <c r="BQ214" s="19">
        <v>827.53043478260895</v>
      </c>
      <c r="BR214" s="19">
        <v>34</v>
      </c>
      <c r="BS214" s="19">
        <v>462.44347826086903</v>
      </c>
      <c r="BT214" s="19">
        <v>19</v>
      </c>
      <c r="BU214" s="19">
        <v>750.86086956521694</v>
      </c>
      <c r="BV214" s="19">
        <v>31</v>
      </c>
      <c r="BW214" s="19">
        <v>511.121739130435</v>
      </c>
      <c r="BX214" s="19">
        <v>21</v>
      </c>
      <c r="BY214" s="19">
        <v>681.49565217391296</v>
      </c>
      <c r="BZ214" s="19">
        <v>28</v>
      </c>
      <c r="CA214" s="19">
        <v>754.51304347826101</v>
      </c>
      <c r="CB214" s="19">
        <v>31</v>
      </c>
      <c r="CC214" s="19">
        <v>632.81739130434801</v>
      </c>
      <c r="CD214" s="19">
        <v>26</v>
      </c>
      <c r="CE214" s="19">
        <v>608.47826086956502</v>
      </c>
      <c r="CF214" s="19">
        <v>25</v>
      </c>
      <c r="CG214" s="19">
        <v>486.78260869565202</v>
      </c>
      <c r="CH214" s="19">
        <v>20</v>
      </c>
      <c r="CI214" s="19">
        <v>821.44347826087005</v>
      </c>
      <c r="CJ214" s="19">
        <v>34</v>
      </c>
      <c r="CK214" s="19">
        <v>438.10434782608701</v>
      </c>
      <c r="CL214" s="19">
        <v>18</v>
      </c>
      <c r="CM214" s="19">
        <v>438.10434782608701</v>
      </c>
      <c r="CN214" s="19">
        <v>18</v>
      </c>
      <c r="CO214" s="19">
        <v>606.04347826086996</v>
      </c>
      <c r="CP214" s="19">
        <v>25</v>
      </c>
      <c r="CQ214" s="19">
        <v>753.29565217391303</v>
      </c>
      <c r="CR214" s="19">
        <v>31</v>
      </c>
      <c r="CS214" s="19">
        <v>732.426086956522</v>
      </c>
      <c r="CT214" s="19">
        <v>31</v>
      </c>
      <c r="CU214" s="19">
        <v>680.61739130434796</v>
      </c>
      <c r="CV214" s="19">
        <v>29</v>
      </c>
      <c r="CW214" s="19">
        <v>1008.01739130435</v>
      </c>
      <c r="CX214" s="19">
        <v>43</v>
      </c>
      <c r="CY214" s="19">
        <v>934.08695652173901</v>
      </c>
      <c r="CZ214" s="19">
        <v>40</v>
      </c>
      <c r="DA214" s="19">
        <v>938.78260869565202</v>
      </c>
      <c r="DB214" s="19">
        <v>40</v>
      </c>
      <c r="DC214" s="19">
        <v>586.73913043478296</v>
      </c>
      <c r="DD214" s="19">
        <v>25</v>
      </c>
      <c r="DE214" s="19">
        <v>1195.77391304348</v>
      </c>
      <c r="DF214" s="19">
        <v>51</v>
      </c>
      <c r="DG214" s="19">
        <v>657.14782608695702</v>
      </c>
      <c r="DH214" s="19">
        <v>28</v>
      </c>
      <c r="DI214" s="19">
        <v>539.79999999999995</v>
      </c>
      <c r="DJ214" s="19">
        <v>23</v>
      </c>
      <c r="DK214" s="19">
        <v>820.26086956521704</v>
      </c>
      <c r="DL214" s="19">
        <v>35</v>
      </c>
      <c r="DM214" s="19">
        <v>821.43478260869597</v>
      </c>
      <c r="DN214" s="19">
        <v>35</v>
      </c>
      <c r="DO214" s="19">
        <v>586.73913043478296</v>
      </c>
      <c r="DP214" s="19">
        <v>25</v>
      </c>
      <c r="DQ214" s="19">
        <v>866.02608695652202</v>
      </c>
      <c r="DR214" s="19">
        <v>37</v>
      </c>
      <c r="DS214" s="19">
        <v>697.04347826086996</v>
      </c>
      <c r="DT214" s="19">
        <v>30</v>
      </c>
      <c r="DU214" s="19">
        <v>936.43478260869597</v>
      </c>
      <c r="DV214" s="19">
        <v>40</v>
      </c>
      <c r="DW214" s="19">
        <v>1147.6608695652201</v>
      </c>
      <c r="DX214" s="19">
        <v>49</v>
      </c>
      <c r="DY214" s="19">
        <v>1032.6608695652201</v>
      </c>
      <c r="DZ214" s="19">
        <v>44</v>
      </c>
      <c r="EA214" s="19">
        <v>959.90434782608702</v>
      </c>
      <c r="EB214" s="19">
        <v>41</v>
      </c>
      <c r="EC214" s="19">
        <v>868.37391304347796</v>
      </c>
      <c r="ED214" s="19">
        <v>37</v>
      </c>
      <c r="EE214" s="19">
        <v>1328.3739130434799</v>
      </c>
      <c r="EF214" s="19">
        <v>57</v>
      </c>
      <c r="EG214" s="19">
        <v>1194.5999999999999</v>
      </c>
      <c r="EH214" s="19">
        <v>51</v>
      </c>
      <c r="EI214" s="19">
        <v>1451.5913043478299</v>
      </c>
      <c r="EJ214" s="19">
        <v>62</v>
      </c>
      <c r="EK214" s="19">
        <v>1079.5999999999999</v>
      </c>
      <c r="EL214" s="19">
        <v>46</v>
      </c>
      <c r="EM214" s="19">
        <v>840.20869565217401</v>
      </c>
      <c r="EN214" s="19">
        <v>36</v>
      </c>
      <c r="EO214" s="19">
        <v>983.37391304347796</v>
      </c>
      <c r="EP214" s="19">
        <v>42</v>
      </c>
      <c r="EQ214" s="19">
        <v>1009.1913043478301</v>
      </c>
      <c r="ER214" s="19">
        <v>43</v>
      </c>
      <c r="ES214" s="119">
        <v>961.07826086956504</v>
      </c>
      <c r="ET214" s="119">
        <v>41</v>
      </c>
    </row>
    <row r="215" spans="1:150" ht="16.5" customHeight="1" x14ac:dyDescent="0.35">
      <c r="A215" s="4">
        <v>207</v>
      </c>
      <c r="B215" s="4" t="str">
        <f>LOOKUP(A215,Lookup!$A$1:$A$34,Lookup!$B$1:$B$34)</f>
        <v>PORK</v>
      </c>
      <c r="C215" s="5">
        <v>14923</v>
      </c>
      <c r="D215" s="6" t="s">
        <v>211</v>
      </c>
      <c r="E215" s="18">
        <v>268.35370483772198</v>
      </c>
      <c r="F215" s="18">
        <v>10.028</v>
      </c>
      <c r="G215" s="18">
        <v>19053.113043478301</v>
      </c>
      <c r="H215" s="18">
        <v>712</v>
      </c>
      <c r="I215" s="19">
        <v>27.817391304347801</v>
      </c>
      <c r="J215" s="19">
        <v>1</v>
      </c>
      <c r="K215" s="19">
        <v>165.51304347826101</v>
      </c>
      <c r="L215" s="19">
        <v>6</v>
      </c>
      <c r="M215" s="19">
        <v>83.452173913043495</v>
      </c>
      <c r="N215" s="19">
        <v>3</v>
      </c>
      <c r="O215" s="19">
        <v>83.452173913043495</v>
      </c>
      <c r="P215" s="19">
        <v>3</v>
      </c>
      <c r="Q215" s="19">
        <v>139.08695652173901</v>
      </c>
      <c r="R215" s="19">
        <v>5</v>
      </c>
      <c r="S215" s="19">
        <v>27.817391304347801</v>
      </c>
      <c r="T215" s="19">
        <v>1</v>
      </c>
      <c r="U215" s="19">
        <v>331.02608695652202</v>
      </c>
      <c r="V215" s="19">
        <v>12</v>
      </c>
      <c r="W215" s="19">
        <v>333.80869565217398</v>
      </c>
      <c r="X215" s="19">
        <v>12</v>
      </c>
      <c r="Y215" s="19">
        <v>222.539130434783</v>
      </c>
      <c r="Z215" s="19">
        <v>8</v>
      </c>
      <c r="AA215" s="19">
        <v>139.08695652173901</v>
      </c>
      <c r="AB215" s="19">
        <v>5</v>
      </c>
      <c r="AC215" s="19">
        <v>443.68695652173898</v>
      </c>
      <c r="AD215" s="19">
        <v>16</v>
      </c>
      <c r="AE215" s="19">
        <v>222.539130434783</v>
      </c>
      <c r="AF215" s="19">
        <v>8</v>
      </c>
      <c r="AG215" s="19">
        <v>83.452173913043495</v>
      </c>
      <c r="AH215" s="19">
        <v>3</v>
      </c>
      <c r="AI215" s="19">
        <v>218.36521739130399</v>
      </c>
      <c r="AJ215" s="19">
        <v>8</v>
      </c>
      <c r="AK215" s="19">
        <v>83.452173913043495</v>
      </c>
      <c r="AL215" s="19">
        <v>3</v>
      </c>
      <c r="AM215" s="19">
        <v>139.08695652173901</v>
      </c>
      <c r="AN215" s="19">
        <v>5</v>
      </c>
      <c r="AO215" s="19">
        <v>139.08695652173901</v>
      </c>
      <c r="AP215" s="19">
        <v>5</v>
      </c>
      <c r="AQ215" s="19">
        <v>222.539130434783</v>
      </c>
      <c r="AR215" s="19">
        <v>8</v>
      </c>
      <c r="AS215" s="19">
        <v>27.817391304347801</v>
      </c>
      <c r="AT215" s="19">
        <v>1</v>
      </c>
      <c r="AU215" s="19">
        <v>27.817391304347801</v>
      </c>
      <c r="AV215" s="19">
        <v>1</v>
      </c>
      <c r="AW215" s="19">
        <v>248.96521739130401</v>
      </c>
      <c r="AX215" s="19">
        <v>9</v>
      </c>
      <c r="AY215" s="19">
        <v>361.62608695652199</v>
      </c>
      <c r="AZ215" s="19">
        <v>13</v>
      </c>
      <c r="BA215" s="19">
        <v>388.05217391304302</v>
      </c>
      <c r="BB215" s="19">
        <v>14</v>
      </c>
      <c r="BC215" s="19">
        <v>111.269565217391</v>
      </c>
      <c r="BD215" s="19">
        <v>4</v>
      </c>
      <c r="BE215" s="19">
        <v>111.269565217391</v>
      </c>
      <c r="BF215" s="19">
        <v>4</v>
      </c>
      <c r="BG215" s="19">
        <v>445.07826086956499</v>
      </c>
      <c r="BH215" s="19">
        <v>16</v>
      </c>
      <c r="BI215" s="19">
        <v>415.86956521739103</v>
      </c>
      <c r="BJ215" s="19">
        <v>15</v>
      </c>
      <c r="BK215" s="19">
        <v>194.721739130435</v>
      </c>
      <c r="BL215" s="19">
        <v>7</v>
      </c>
      <c r="BM215" s="19">
        <v>83.452173913043495</v>
      </c>
      <c r="BN215" s="19">
        <v>3</v>
      </c>
      <c r="BO215" s="19">
        <v>83.452173913043495</v>
      </c>
      <c r="BP215" s="19">
        <v>3</v>
      </c>
      <c r="BQ215" s="19">
        <v>111.269565217391</v>
      </c>
      <c r="BR215" s="19">
        <v>4</v>
      </c>
      <c r="BS215" s="19">
        <v>165.51304347826101</v>
      </c>
      <c r="BT215" s="19">
        <v>6</v>
      </c>
      <c r="BU215" s="19">
        <v>248.96521739130401</v>
      </c>
      <c r="BV215" s="19">
        <v>9</v>
      </c>
      <c r="BW215" s="19">
        <v>445.07826086956499</v>
      </c>
      <c r="BX215" s="19">
        <v>16</v>
      </c>
      <c r="BY215" s="19">
        <v>111.269565217391</v>
      </c>
      <c r="BZ215" s="19">
        <v>4</v>
      </c>
      <c r="CA215" s="19">
        <v>222.539130434783</v>
      </c>
      <c r="CB215" s="19">
        <v>8</v>
      </c>
      <c r="CC215" s="19">
        <v>166.90434782608699</v>
      </c>
      <c r="CD215" s="19">
        <v>6</v>
      </c>
      <c r="CE215" s="19">
        <v>194.721739130435</v>
      </c>
      <c r="CF215" s="19">
        <v>7</v>
      </c>
      <c r="CG215" s="19">
        <v>137.695652173913</v>
      </c>
      <c r="CH215" s="19">
        <v>5</v>
      </c>
      <c r="CI215" s="19">
        <v>83.452173913043495</v>
      </c>
      <c r="CJ215" s="19">
        <v>3</v>
      </c>
      <c r="CK215" s="19">
        <v>139.08695652173901</v>
      </c>
      <c r="CL215" s="19">
        <v>5</v>
      </c>
      <c r="CM215" s="19">
        <v>83.452173913043495</v>
      </c>
      <c r="CN215" s="19">
        <v>3</v>
      </c>
      <c r="CO215" s="19">
        <v>278.17391304347802</v>
      </c>
      <c r="CP215" s="19">
        <v>10</v>
      </c>
      <c r="CQ215" s="19">
        <v>278.17391304347802</v>
      </c>
      <c r="CR215" s="19">
        <v>10</v>
      </c>
      <c r="CS215" s="19">
        <v>107.791304347826</v>
      </c>
      <c r="CT215" s="19">
        <v>4</v>
      </c>
      <c r="CU215" s="19">
        <v>155.165217391304</v>
      </c>
      <c r="CV215" s="19">
        <v>6</v>
      </c>
      <c r="CW215" s="19">
        <v>156.46956521739099</v>
      </c>
      <c r="CX215" s="19">
        <v>6</v>
      </c>
      <c r="CY215" s="19">
        <v>286.860869565217</v>
      </c>
      <c r="CZ215" s="19">
        <v>11</v>
      </c>
      <c r="DA215" s="19">
        <v>181.24347826087001</v>
      </c>
      <c r="DB215" s="19">
        <v>7</v>
      </c>
      <c r="DC215" s="19">
        <v>130.39130434782601</v>
      </c>
      <c r="DD215" s="19">
        <v>5</v>
      </c>
      <c r="DE215" s="19">
        <v>234.704347826087</v>
      </c>
      <c r="DF215" s="19">
        <v>9</v>
      </c>
      <c r="DG215" s="19">
        <v>520.26086956521704</v>
      </c>
      <c r="DH215" s="19">
        <v>20</v>
      </c>
      <c r="DI215" s="19">
        <v>573.72173913043503</v>
      </c>
      <c r="DJ215" s="19">
        <v>22</v>
      </c>
      <c r="DK215" s="19">
        <v>547.64347826086998</v>
      </c>
      <c r="DL215" s="19">
        <v>21</v>
      </c>
      <c r="DM215" s="19">
        <v>208.62608695652199</v>
      </c>
      <c r="DN215" s="19">
        <v>8</v>
      </c>
      <c r="DO215" s="19">
        <v>754.96521739130401</v>
      </c>
      <c r="DP215" s="19">
        <v>29</v>
      </c>
      <c r="DQ215" s="19">
        <v>260.78260869565202</v>
      </c>
      <c r="DR215" s="19">
        <v>10</v>
      </c>
      <c r="DS215" s="19">
        <v>495.48695652173899</v>
      </c>
      <c r="DT215" s="19">
        <v>19</v>
      </c>
      <c r="DU215" s="19">
        <v>495.48695652173899</v>
      </c>
      <c r="DV215" s="19">
        <v>19</v>
      </c>
      <c r="DW215" s="19">
        <v>312.93913043478301</v>
      </c>
      <c r="DX215" s="19">
        <v>12</v>
      </c>
      <c r="DY215" s="19">
        <v>361.18260869565199</v>
      </c>
      <c r="DZ215" s="19">
        <v>14</v>
      </c>
      <c r="EA215" s="19">
        <v>443.33043478260902</v>
      </c>
      <c r="EB215" s="19">
        <v>17</v>
      </c>
      <c r="EC215" s="19">
        <v>781.04347826086996</v>
      </c>
      <c r="ED215" s="19">
        <v>30</v>
      </c>
      <c r="EE215" s="19">
        <v>336.408695652174</v>
      </c>
      <c r="EF215" s="19">
        <v>13</v>
      </c>
      <c r="EG215" s="19">
        <v>391.17391304347802</v>
      </c>
      <c r="EH215" s="19">
        <v>15</v>
      </c>
      <c r="EI215" s="19">
        <v>443.33043478260902</v>
      </c>
      <c r="EJ215" s="19">
        <v>17</v>
      </c>
      <c r="EK215" s="19">
        <v>495.48695652173899</v>
      </c>
      <c r="EL215" s="19">
        <v>19</v>
      </c>
      <c r="EM215" s="19">
        <v>625.878260869565</v>
      </c>
      <c r="EN215" s="19">
        <v>24</v>
      </c>
      <c r="EO215" s="19">
        <v>521.56521739130403</v>
      </c>
      <c r="EP215" s="19">
        <v>20</v>
      </c>
      <c r="EQ215" s="19">
        <v>672.81739130434801</v>
      </c>
      <c r="ER215" s="19">
        <v>26</v>
      </c>
      <c r="ES215" s="119">
        <v>339.017391304348</v>
      </c>
      <c r="ET215" s="119">
        <v>13</v>
      </c>
    </row>
    <row r="216" spans="1:150" ht="16.5" customHeight="1" x14ac:dyDescent="0.35">
      <c r="A216" s="4">
        <v>207</v>
      </c>
      <c r="B216" s="4" t="str">
        <f>LOOKUP(A216,Lookup!$A$1:$A$34,Lookup!$B$1:$B$34)</f>
        <v>PORK</v>
      </c>
      <c r="C216" s="5">
        <v>14926</v>
      </c>
      <c r="D216" s="6" t="s">
        <v>212</v>
      </c>
      <c r="E216" s="18">
        <v>218.84384568279199</v>
      </c>
      <c r="F216" s="18">
        <v>7.2539999999999996</v>
      </c>
      <c r="G216" s="18">
        <v>15537.9130434783</v>
      </c>
      <c r="H216" s="18">
        <v>515</v>
      </c>
      <c r="I216" s="19">
        <v>395.53913043478298</v>
      </c>
      <c r="J216" s="19">
        <v>13</v>
      </c>
      <c r="K216" s="19">
        <v>212.982608695652</v>
      </c>
      <c r="L216" s="19">
        <v>7</v>
      </c>
      <c r="M216" s="19">
        <v>121.704347826087</v>
      </c>
      <c r="N216" s="19">
        <v>4</v>
      </c>
      <c r="O216" s="19">
        <v>121.704347826087</v>
      </c>
      <c r="P216" s="19">
        <v>4</v>
      </c>
      <c r="Q216" s="19">
        <v>0</v>
      </c>
      <c r="R216" s="19">
        <v>0</v>
      </c>
      <c r="S216" s="19">
        <v>0</v>
      </c>
      <c r="T216" s="19">
        <v>0</v>
      </c>
      <c r="U216" s="19">
        <v>30.426086956521701</v>
      </c>
      <c r="V216" s="19">
        <v>1</v>
      </c>
      <c r="W216" s="19">
        <v>243.408695652174</v>
      </c>
      <c r="X216" s="19">
        <v>8</v>
      </c>
      <c r="Y216" s="19">
        <v>453.34782608695701</v>
      </c>
      <c r="Z216" s="19">
        <v>15</v>
      </c>
      <c r="AA216" s="19">
        <v>360.54782608695598</v>
      </c>
      <c r="AB216" s="19">
        <v>12</v>
      </c>
      <c r="AC216" s="19">
        <v>272.31304347826102</v>
      </c>
      <c r="AD216" s="19">
        <v>9</v>
      </c>
      <c r="AE216" s="19">
        <v>121.704347826087</v>
      </c>
      <c r="AF216" s="19">
        <v>4</v>
      </c>
      <c r="AG216" s="19">
        <v>456.39130434782601</v>
      </c>
      <c r="AH216" s="19">
        <v>15</v>
      </c>
      <c r="AI216" s="19">
        <v>91.278260869565202</v>
      </c>
      <c r="AJ216" s="19">
        <v>3</v>
      </c>
      <c r="AK216" s="19">
        <v>121.704347826087</v>
      </c>
      <c r="AL216" s="19">
        <v>4</v>
      </c>
      <c r="AM216" s="19">
        <v>333.165217391304</v>
      </c>
      <c r="AN216" s="19">
        <v>11</v>
      </c>
      <c r="AO216" s="19">
        <v>395.53913043478298</v>
      </c>
      <c r="AP216" s="19">
        <v>13</v>
      </c>
      <c r="AQ216" s="19">
        <v>0</v>
      </c>
      <c r="AR216" s="19">
        <v>0</v>
      </c>
      <c r="AS216" s="19">
        <v>91.278260869565202</v>
      </c>
      <c r="AT216" s="19">
        <v>3</v>
      </c>
      <c r="AU216" s="19">
        <v>60.852173913043501</v>
      </c>
      <c r="AV216" s="19">
        <v>2</v>
      </c>
      <c r="AW216" s="19">
        <v>182.55652173913001</v>
      </c>
      <c r="AX216" s="19">
        <v>6</v>
      </c>
      <c r="AY216" s="19">
        <v>263.18260869565199</v>
      </c>
      <c r="AZ216" s="19">
        <v>9</v>
      </c>
      <c r="BA216" s="19">
        <v>91.278260869565202</v>
      </c>
      <c r="BB216" s="19">
        <v>3</v>
      </c>
      <c r="BC216" s="19">
        <v>334.68695652173898</v>
      </c>
      <c r="BD216" s="19">
        <v>11</v>
      </c>
      <c r="BE216" s="19">
        <v>121.704347826087</v>
      </c>
      <c r="BF216" s="19">
        <v>4</v>
      </c>
      <c r="BG216" s="19">
        <v>121.704347826087</v>
      </c>
      <c r="BH216" s="19">
        <v>4</v>
      </c>
      <c r="BI216" s="19">
        <v>456.39130434782601</v>
      </c>
      <c r="BJ216" s="19">
        <v>15</v>
      </c>
      <c r="BK216" s="19">
        <v>212.982608695652</v>
      </c>
      <c r="BL216" s="19">
        <v>7</v>
      </c>
      <c r="BM216" s="19">
        <v>0</v>
      </c>
      <c r="BN216" s="19">
        <v>0</v>
      </c>
      <c r="BO216" s="19">
        <v>152.130434782609</v>
      </c>
      <c r="BP216" s="19">
        <v>5</v>
      </c>
      <c r="BQ216" s="19">
        <v>30.426086956521701</v>
      </c>
      <c r="BR216" s="19">
        <v>1</v>
      </c>
      <c r="BS216" s="19">
        <v>182.55652173913001</v>
      </c>
      <c r="BT216" s="19">
        <v>6</v>
      </c>
      <c r="BU216" s="19">
        <v>241.88695652173899</v>
      </c>
      <c r="BV216" s="19">
        <v>8</v>
      </c>
      <c r="BW216" s="19">
        <v>120.18260869565199</v>
      </c>
      <c r="BX216" s="19">
        <v>4</v>
      </c>
      <c r="BY216" s="19">
        <v>392.49565217391302</v>
      </c>
      <c r="BZ216" s="19">
        <v>13</v>
      </c>
      <c r="CA216" s="19">
        <v>212.982608695652</v>
      </c>
      <c r="CB216" s="19">
        <v>7</v>
      </c>
      <c r="CC216" s="19">
        <v>273.834782608696</v>
      </c>
      <c r="CD216" s="19">
        <v>9</v>
      </c>
      <c r="CE216" s="19">
        <v>30.426086956521701</v>
      </c>
      <c r="CF216" s="19">
        <v>1</v>
      </c>
      <c r="CG216" s="19">
        <v>212.982608695652</v>
      </c>
      <c r="CH216" s="19">
        <v>7</v>
      </c>
      <c r="CI216" s="19">
        <v>243.408695652174</v>
      </c>
      <c r="CJ216" s="19">
        <v>8</v>
      </c>
      <c r="CK216" s="19">
        <v>346.4</v>
      </c>
      <c r="CL216" s="19">
        <v>14</v>
      </c>
      <c r="CM216" s="19">
        <v>381.62608695652199</v>
      </c>
      <c r="CN216" s="19">
        <v>13</v>
      </c>
      <c r="CO216" s="19">
        <v>486.81739130434801</v>
      </c>
      <c r="CP216" s="19">
        <v>16</v>
      </c>
      <c r="CQ216" s="19">
        <v>243.408695652174</v>
      </c>
      <c r="CR216" s="19">
        <v>8</v>
      </c>
      <c r="CS216" s="19">
        <v>666.33043478260902</v>
      </c>
      <c r="CT216" s="19">
        <v>22</v>
      </c>
      <c r="CU216" s="19">
        <v>608.52173913043498</v>
      </c>
      <c r="CV216" s="19">
        <v>20</v>
      </c>
      <c r="CW216" s="19">
        <v>60.852173913043501</v>
      </c>
      <c r="CX216" s="19">
        <v>2</v>
      </c>
      <c r="CY216" s="19">
        <v>273.834782608696</v>
      </c>
      <c r="CZ216" s="19">
        <v>9</v>
      </c>
      <c r="DA216" s="19">
        <v>334.68695652173898</v>
      </c>
      <c r="DB216" s="19">
        <v>11</v>
      </c>
      <c r="DC216" s="19">
        <v>365.11304347826098</v>
      </c>
      <c r="DD216" s="19">
        <v>12</v>
      </c>
      <c r="DE216" s="19">
        <v>182.55652173913001</v>
      </c>
      <c r="DF216" s="19">
        <v>6</v>
      </c>
      <c r="DG216" s="19">
        <v>334.68695652173898</v>
      </c>
      <c r="DH216" s="19">
        <v>11</v>
      </c>
      <c r="DI216" s="19">
        <v>576.573913043478</v>
      </c>
      <c r="DJ216" s="19">
        <v>19</v>
      </c>
      <c r="DK216" s="19">
        <v>243.408695652174</v>
      </c>
      <c r="DL216" s="19">
        <v>8</v>
      </c>
      <c r="DM216" s="19">
        <v>212.982608695652</v>
      </c>
      <c r="DN216" s="19">
        <v>7</v>
      </c>
      <c r="DO216" s="19">
        <v>30.426086956521701</v>
      </c>
      <c r="DP216" s="19">
        <v>1</v>
      </c>
      <c r="DQ216" s="19">
        <v>182.55652173913001</v>
      </c>
      <c r="DR216" s="19">
        <v>6</v>
      </c>
      <c r="DS216" s="19">
        <v>57.808695652173903</v>
      </c>
      <c r="DT216" s="19">
        <v>2</v>
      </c>
      <c r="DU216" s="19">
        <v>152.130434782609</v>
      </c>
      <c r="DV216" s="19">
        <v>5</v>
      </c>
      <c r="DW216" s="19">
        <v>272.31304347826102</v>
      </c>
      <c r="DX216" s="19">
        <v>9</v>
      </c>
      <c r="DY216" s="19">
        <v>152.130434782609</v>
      </c>
      <c r="DZ216" s="19">
        <v>5</v>
      </c>
      <c r="EA216" s="19">
        <v>152.130434782609</v>
      </c>
      <c r="EB216" s="19">
        <v>5</v>
      </c>
      <c r="EC216" s="19">
        <v>182.55652173913001</v>
      </c>
      <c r="ED216" s="19">
        <v>6</v>
      </c>
      <c r="EE216" s="19">
        <v>182.55652173913001</v>
      </c>
      <c r="EF216" s="19">
        <v>6</v>
      </c>
      <c r="EG216" s="19">
        <v>91.278260869565202</v>
      </c>
      <c r="EH216" s="19">
        <v>3</v>
      </c>
      <c r="EI216" s="19">
        <v>150.60869565217399</v>
      </c>
      <c r="EJ216" s="19">
        <v>5</v>
      </c>
      <c r="EK216" s="19">
        <v>121.704347826087</v>
      </c>
      <c r="EL216" s="19">
        <v>4</v>
      </c>
      <c r="EM216" s="19">
        <v>243.408695652174</v>
      </c>
      <c r="EN216" s="19">
        <v>8</v>
      </c>
      <c r="EO216" s="19">
        <v>273.834782608696</v>
      </c>
      <c r="EP216" s="19">
        <v>9</v>
      </c>
      <c r="EQ216" s="19">
        <v>121.704347826087</v>
      </c>
      <c r="ER216" s="19">
        <v>4</v>
      </c>
      <c r="ES216" s="119">
        <v>121.704347826087</v>
      </c>
      <c r="ET216" s="119">
        <v>4</v>
      </c>
    </row>
    <row r="217" spans="1:150" ht="16.5" customHeight="1" x14ac:dyDescent="0.35">
      <c r="A217" s="4">
        <v>207</v>
      </c>
      <c r="B217" s="4" t="str">
        <f>LOOKUP(A217,Lookup!$A$1:$A$34,Lookup!$B$1:$B$34)</f>
        <v>PORK</v>
      </c>
      <c r="C217" s="5">
        <v>34150</v>
      </c>
      <c r="D217" s="6" t="s">
        <v>213</v>
      </c>
      <c r="E217" s="18">
        <v>0</v>
      </c>
      <c r="F217" s="18">
        <v>0</v>
      </c>
      <c r="G217" s="18">
        <v>0</v>
      </c>
      <c r="H217" s="18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0</v>
      </c>
      <c r="CN217" s="19">
        <v>0</v>
      </c>
      <c r="CO217" s="19">
        <v>0</v>
      </c>
      <c r="CP217" s="19">
        <v>0</v>
      </c>
      <c r="CQ217" s="19">
        <v>0</v>
      </c>
      <c r="CR217" s="19">
        <v>0</v>
      </c>
      <c r="CS217" s="19">
        <v>0</v>
      </c>
      <c r="CT217" s="19">
        <v>0</v>
      </c>
      <c r="CU217" s="19">
        <v>0</v>
      </c>
      <c r="CV217" s="19">
        <v>0</v>
      </c>
      <c r="CW217" s="19">
        <v>0</v>
      </c>
      <c r="CX217" s="19">
        <v>0</v>
      </c>
      <c r="CY217" s="19">
        <v>0</v>
      </c>
      <c r="CZ217" s="19">
        <v>0</v>
      </c>
      <c r="DA217" s="19">
        <v>0</v>
      </c>
      <c r="DB217" s="19">
        <v>0</v>
      </c>
      <c r="DC217" s="19">
        <v>0</v>
      </c>
      <c r="DD217" s="19">
        <v>0</v>
      </c>
      <c r="DE217" s="19">
        <v>0</v>
      </c>
      <c r="DF217" s="19">
        <v>0</v>
      </c>
      <c r="DG217" s="19">
        <v>0</v>
      </c>
      <c r="DH217" s="19">
        <v>0</v>
      </c>
      <c r="DI217" s="19">
        <v>0</v>
      </c>
      <c r="DJ217" s="19">
        <v>0</v>
      </c>
      <c r="DK217" s="19">
        <v>0</v>
      </c>
      <c r="DL217" s="19">
        <v>0</v>
      </c>
      <c r="DM217" s="19">
        <v>0</v>
      </c>
      <c r="DN217" s="19">
        <v>0</v>
      </c>
      <c r="DO217" s="19">
        <v>0</v>
      </c>
      <c r="DP217" s="19">
        <v>0</v>
      </c>
      <c r="DQ217" s="19">
        <v>0</v>
      </c>
      <c r="DR217" s="19">
        <v>0</v>
      </c>
      <c r="DS217" s="19">
        <v>0</v>
      </c>
      <c r="DT217" s="19">
        <v>0</v>
      </c>
      <c r="DU217" s="19">
        <v>0</v>
      </c>
      <c r="DV217" s="19">
        <v>0</v>
      </c>
      <c r="DW217" s="19">
        <v>0</v>
      </c>
      <c r="DX217" s="19">
        <v>0</v>
      </c>
      <c r="DY217" s="19">
        <v>0</v>
      </c>
      <c r="DZ217" s="19">
        <v>0</v>
      </c>
      <c r="EA217" s="19">
        <v>0</v>
      </c>
      <c r="EB217" s="19">
        <v>0</v>
      </c>
      <c r="EC217" s="19">
        <v>0</v>
      </c>
      <c r="ED217" s="19">
        <v>0</v>
      </c>
      <c r="EE217" s="19">
        <v>0</v>
      </c>
      <c r="EF217" s="19">
        <v>0</v>
      </c>
      <c r="EG217" s="19">
        <v>0</v>
      </c>
      <c r="EH217" s="19">
        <v>0</v>
      </c>
      <c r="EI217" s="19">
        <v>0</v>
      </c>
      <c r="EJ217" s="19">
        <v>0</v>
      </c>
      <c r="EK217" s="19">
        <v>0</v>
      </c>
      <c r="EL217" s="19">
        <v>0</v>
      </c>
      <c r="EM217" s="19">
        <v>0</v>
      </c>
      <c r="EN217" s="19">
        <v>0</v>
      </c>
      <c r="EO217" s="19">
        <v>0</v>
      </c>
      <c r="EP217" s="19">
        <v>0</v>
      </c>
      <c r="EQ217" s="19">
        <v>0</v>
      </c>
      <c r="ER217" s="19">
        <v>0</v>
      </c>
      <c r="ES217" s="119">
        <v>0</v>
      </c>
      <c r="ET217" s="119">
        <v>0</v>
      </c>
    </row>
    <row r="218" spans="1:150" ht="16.5" customHeight="1" x14ac:dyDescent="0.35">
      <c r="A218" s="4">
        <v>207</v>
      </c>
      <c r="B218" s="4" t="str">
        <f>LOOKUP(A218,Lookup!$A$1:$A$34,Lookup!$B$1:$B$34)</f>
        <v>PORK</v>
      </c>
      <c r="C218" s="5">
        <v>34186</v>
      </c>
      <c r="D218" s="6" t="s">
        <v>214</v>
      </c>
      <c r="E218" s="18">
        <v>0</v>
      </c>
      <c r="F218" s="18">
        <v>0</v>
      </c>
      <c r="G218" s="18">
        <v>0</v>
      </c>
      <c r="H218" s="18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0</v>
      </c>
      <c r="CO218" s="19">
        <v>0</v>
      </c>
      <c r="CP218" s="19">
        <v>0</v>
      </c>
      <c r="CQ218" s="19">
        <v>0</v>
      </c>
      <c r="CR218" s="19">
        <v>0</v>
      </c>
      <c r="CS218" s="19">
        <v>0</v>
      </c>
      <c r="CT218" s="19">
        <v>0</v>
      </c>
      <c r="CU218" s="19">
        <v>0</v>
      </c>
      <c r="CV218" s="19">
        <v>0</v>
      </c>
      <c r="CW218" s="19">
        <v>0</v>
      </c>
      <c r="CX218" s="19">
        <v>0</v>
      </c>
      <c r="CY218" s="19">
        <v>0</v>
      </c>
      <c r="CZ218" s="19">
        <v>0</v>
      </c>
      <c r="DA218" s="19">
        <v>0</v>
      </c>
      <c r="DB218" s="19">
        <v>0</v>
      </c>
      <c r="DC218" s="19">
        <v>0</v>
      </c>
      <c r="DD218" s="19">
        <v>0</v>
      </c>
      <c r="DE218" s="19">
        <v>0</v>
      </c>
      <c r="DF218" s="19">
        <v>0</v>
      </c>
      <c r="DG218" s="19">
        <v>0</v>
      </c>
      <c r="DH218" s="19">
        <v>0</v>
      </c>
      <c r="DI218" s="19">
        <v>0</v>
      </c>
      <c r="DJ218" s="19">
        <v>0</v>
      </c>
      <c r="DK218" s="19">
        <v>0</v>
      </c>
      <c r="DL218" s="19">
        <v>0</v>
      </c>
      <c r="DM218" s="19">
        <v>0</v>
      </c>
      <c r="DN218" s="19">
        <v>0</v>
      </c>
      <c r="DO218" s="19">
        <v>0</v>
      </c>
      <c r="DP218" s="19">
        <v>0</v>
      </c>
      <c r="DQ218" s="19">
        <v>0</v>
      </c>
      <c r="DR218" s="19">
        <v>0</v>
      </c>
      <c r="DS218" s="19">
        <v>0</v>
      </c>
      <c r="DT218" s="19">
        <v>0</v>
      </c>
      <c r="DU218" s="19">
        <v>0</v>
      </c>
      <c r="DV218" s="19">
        <v>0</v>
      </c>
      <c r="DW218" s="19">
        <v>0</v>
      </c>
      <c r="DX218" s="19">
        <v>0</v>
      </c>
      <c r="DY218" s="19">
        <v>0</v>
      </c>
      <c r="DZ218" s="19">
        <v>0</v>
      </c>
      <c r="EA218" s="19">
        <v>0</v>
      </c>
      <c r="EB218" s="19">
        <v>0</v>
      </c>
      <c r="EC218" s="19">
        <v>0</v>
      </c>
      <c r="ED218" s="19">
        <v>0</v>
      </c>
      <c r="EE218" s="19">
        <v>0</v>
      </c>
      <c r="EF218" s="19">
        <v>0</v>
      </c>
      <c r="EG218" s="19">
        <v>0</v>
      </c>
      <c r="EH218" s="19">
        <v>0</v>
      </c>
      <c r="EI218" s="19">
        <v>0</v>
      </c>
      <c r="EJ218" s="19">
        <v>0</v>
      </c>
      <c r="EK218" s="19">
        <v>0</v>
      </c>
      <c r="EL218" s="19">
        <v>0</v>
      </c>
      <c r="EM218" s="19">
        <v>0</v>
      </c>
      <c r="EN218" s="19">
        <v>0</v>
      </c>
      <c r="EO218" s="19">
        <v>0</v>
      </c>
      <c r="EP218" s="19">
        <v>0</v>
      </c>
      <c r="EQ218" s="19">
        <v>0</v>
      </c>
      <c r="ER218" s="19">
        <v>0</v>
      </c>
      <c r="ES218" s="119">
        <v>0</v>
      </c>
      <c r="ET218" s="119">
        <v>0</v>
      </c>
    </row>
    <row r="219" spans="1:150" ht="16.5" customHeight="1" x14ac:dyDescent="0.35">
      <c r="A219" s="4">
        <v>207</v>
      </c>
      <c r="B219" s="4" t="str">
        <f>LOOKUP(A219,Lookup!$A$1:$A$34,Lookup!$B$1:$B$34)</f>
        <v>PORK</v>
      </c>
      <c r="C219" s="5">
        <v>34203</v>
      </c>
      <c r="D219" s="6" t="s">
        <v>215</v>
      </c>
      <c r="E219" s="18">
        <v>0</v>
      </c>
      <c r="F219" s="18">
        <v>0</v>
      </c>
      <c r="G219" s="18">
        <v>0</v>
      </c>
      <c r="H219" s="18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0</v>
      </c>
      <c r="CO219" s="19">
        <v>0</v>
      </c>
      <c r="CP219" s="19">
        <v>0</v>
      </c>
      <c r="CQ219" s="19">
        <v>0</v>
      </c>
      <c r="CR219" s="19">
        <v>0</v>
      </c>
      <c r="CS219" s="19">
        <v>0</v>
      </c>
      <c r="CT219" s="19">
        <v>0</v>
      </c>
      <c r="CU219" s="19">
        <v>0</v>
      </c>
      <c r="CV219" s="19">
        <v>0</v>
      </c>
      <c r="CW219" s="19">
        <v>0</v>
      </c>
      <c r="CX219" s="19">
        <v>0</v>
      </c>
      <c r="CY219" s="19">
        <v>0</v>
      </c>
      <c r="CZ219" s="19">
        <v>0</v>
      </c>
      <c r="DA219" s="19">
        <v>0</v>
      </c>
      <c r="DB219" s="19">
        <v>0</v>
      </c>
      <c r="DC219" s="19">
        <v>0</v>
      </c>
      <c r="DD219" s="19">
        <v>0</v>
      </c>
      <c r="DE219" s="19">
        <v>0</v>
      </c>
      <c r="DF219" s="19">
        <v>0</v>
      </c>
      <c r="DG219" s="19">
        <v>0</v>
      </c>
      <c r="DH219" s="19">
        <v>0</v>
      </c>
      <c r="DI219" s="19">
        <v>0</v>
      </c>
      <c r="DJ219" s="19">
        <v>0</v>
      </c>
      <c r="DK219" s="19">
        <v>0</v>
      </c>
      <c r="DL219" s="19">
        <v>0</v>
      </c>
      <c r="DM219" s="19">
        <v>0</v>
      </c>
      <c r="DN219" s="19">
        <v>0</v>
      </c>
      <c r="DO219" s="19">
        <v>0</v>
      </c>
      <c r="DP219" s="19">
        <v>0</v>
      </c>
      <c r="DQ219" s="19">
        <v>0</v>
      </c>
      <c r="DR219" s="19">
        <v>0</v>
      </c>
      <c r="DS219" s="19">
        <v>0</v>
      </c>
      <c r="DT219" s="19">
        <v>0</v>
      </c>
      <c r="DU219" s="19">
        <v>0</v>
      </c>
      <c r="DV219" s="19">
        <v>0</v>
      </c>
      <c r="DW219" s="19">
        <v>0</v>
      </c>
      <c r="DX219" s="19">
        <v>0</v>
      </c>
      <c r="DY219" s="19">
        <v>0</v>
      </c>
      <c r="DZ219" s="19">
        <v>0</v>
      </c>
      <c r="EA219" s="19">
        <v>0</v>
      </c>
      <c r="EB219" s="19">
        <v>0</v>
      </c>
      <c r="EC219" s="19">
        <v>0</v>
      </c>
      <c r="ED219" s="19">
        <v>0</v>
      </c>
      <c r="EE219" s="19">
        <v>0</v>
      </c>
      <c r="EF219" s="19">
        <v>0</v>
      </c>
      <c r="EG219" s="19">
        <v>0</v>
      </c>
      <c r="EH219" s="19">
        <v>0</v>
      </c>
      <c r="EI219" s="19">
        <v>0</v>
      </c>
      <c r="EJ219" s="19">
        <v>0</v>
      </c>
      <c r="EK219" s="19">
        <v>0</v>
      </c>
      <c r="EL219" s="19">
        <v>0</v>
      </c>
      <c r="EM219" s="19">
        <v>0</v>
      </c>
      <c r="EN219" s="19">
        <v>0</v>
      </c>
      <c r="EO219" s="19">
        <v>0</v>
      </c>
      <c r="EP219" s="19">
        <v>0</v>
      </c>
      <c r="EQ219" s="19">
        <v>0</v>
      </c>
      <c r="ER219" s="19">
        <v>0</v>
      </c>
      <c r="ES219" s="119">
        <v>0</v>
      </c>
      <c r="ET219" s="119">
        <v>0</v>
      </c>
    </row>
    <row r="220" spans="1:150" ht="16.5" customHeight="1" x14ac:dyDescent="0.35">
      <c r="A220" s="4">
        <v>207</v>
      </c>
      <c r="B220" s="4" t="str">
        <f>LOOKUP(A220,Lookup!$A$1:$A$34,Lookup!$B$1:$B$34)</f>
        <v>PORK</v>
      </c>
      <c r="C220" s="5">
        <v>34204</v>
      </c>
      <c r="D220" s="6" t="s">
        <v>216</v>
      </c>
      <c r="E220" s="18">
        <v>0</v>
      </c>
      <c r="F220" s="18">
        <v>0</v>
      </c>
      <c r="G220" s="18">
        <v>0</v>
      </c>
      <c r="H220" s="18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0</v>
      </c>
      <c r="CO220" s="19">
        <v>0</v>
      </c>
      <c r="CP220" s="19">
        <v>0</v>
      </c>
      <c r="CQ220" s="19">
        <v>0</v>
      </c>
      <c r="CR220" s="19">
        <v>0</v>
      </c>
      <c r="CS220" s="19">
        <v>0</v>
      </c>
      <c r="CT220" s="19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  <c r="DH220" s="19">
        <v>0</v>
      </c>
      <c r="DI220" s="19">
        <v>0</v>
      </c>
      <c r="DJ220" s="19">
        <v>0</v>
      </c>
      <c r="DK220" s="19">
        <v>0</v>
      </c>
      <c r="DL220" s="19">
        <v>0</v>
      </c>
      <c r="DM220" s="19">
        <v>0</v>
      </c>
      <c r="DN220" s="19">
        <v>0</v>
      </c>
      <c r="DO220" s="19">
        <v>0</v>
      </c>
      <c r="DP220" s="19">
        <v>0</v>
      </c>
      <c r="DQ220" s="19">
        <v>0</v>
      </c>
      <c r="DR220" s="19">
        <v>0</v>
      </c>
      <c r="DS220" s="19">
        <v>0</v>
      </c>
      <c r="DT220" s="19">
        <v>0</v>
      </c>
      <c r="DU220" s="19">
        <v>0</v>
      </c>
      <c r="DV220" s="19">
        <v>0</v>
      </c>
      <c r="DW220" s="19">
        <v>0</v>
      </c>
      <c r="DX220" s="19">
        <v>0</v>
      </c>
      <c r="DY220" s="19">
        <v>0</v>
      </c>
      <c r="DZ220" s="19">
        <v>0</v>
      </c>
      <c r="EA220" s="19">
        <v>0</v>
      </c>
      <c r="EB220" s="19">
        <v>0</v>
      </c>
      <c r="EC220" s="19">
        <v>0</v>
      </c>
      <c r="ED220" s="19">
        <v>0</v>
      </c>
      <c r="EE220" s="19">
        <v>0</v>
      </c>
      <c r="EF220" s="19">
        <v>0</v>
      </c>
      <c r="EG220" s="19">
        <v>0</v>
      </c>
      <c r="EH220" s="19">
        <v>0</v>
      </c>
      <c r="EI220" s="19">
        <v>0</v>
      </c>
      <c r="EJ220" s="19">
        <v>0</v>
      </c>
      <c r="EK220" s="19">
        <v>0</v>
      </c>
      <c r="EL220" s="19">
        <v>0</v>
      </c>
      <c r="EM220" s="19">
        <v>0</v>
      </c>
      <c r="EN220" s="19">
        <v>0</v>
      </c>
      <c r="EO220" s="19">
        <v>0</v>
      </c>
      <c r="EP220" s="19">
        <v>0</v>
      </c>
      <c r="EQ220" s="19">
        <v>0</v>
      </c>
      <c r="ER220" s="19">
        <v>0</v>
      </c>
      <c r="ES220" s="119">
        <v>0</v>
      </c>
      <c r="ET220" s="119">
        <v>0</v>
      </c>
    </row>
    <row r="221" spans="1:150" ht="16.5" customHeight="1" x14ac:dyDescent="0.35">
      <c r="A221" s="4">
        <v>207</v>
      </c>
      <c r="B221" s="4" t="str">
        <f>LOOKUP(A221,Lookup!$A$1:$A$34,Lookup!$B$1:$B$34)</f>
        <v>PORK</v>
      </c>
      <c r="C221" s="5">
        <v>34232</v>
      </c>
      <c r="D221" s="6" t="s">
        <v>217</v>
      </c>
      <c r="E221" s="18">
        <v>77.612614819350895</v>
      </c>
      <c r="F221" s="18">
        <v>0.92400000000000004</v>
      </c>
      <c r="G221" s="18">
        <v>5510.4956521739095</v>
      </c>
      <c r="H221" s="18">
        <v>65.576999999999998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147.95652173913001</v>
      </c>
      <c r="P221" s="19">
        <v>1.891</v>
      </c>
      <c r="Q221" s="19">
        <v>0</v>
      </c>
      <c r="R221" s="19">
        <v>0</v>
      </c>
      <c r="S221" s="19">
        <v>313.46956521739099</v>
      </c>
      <c r="T221" s="19">
        <v>4.0060000000000002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0</v>
      </c>
      <c r="CN221" s="19">
        <v>0</v>
      </c>
      <c r="CO221" s="19">
        <v>0</v>
      </c>
      <c r="CP221" s="19">
        <v>0</v>
      </c>
      <c r="CQ221" s="19">
        <v>0</v>
      </c>
      <c r="CR221" s="19">
        <v>0</v>
      </c>
      <c r="CS221" s="19">
        <v>0</v>
      </c>
      <c r="CT221" s="19">
        <v>0</v>
      </c>
      <c r="CU221" s="19">
        <v>0</v>
      </c>
      <c r="CV221" s="19">
        <v>0</v>
      </c>
      <c r="CW221" s="19">
        <v>0</v>
      </c>
      <c r="CX221" s="19">
        <v>0</v>
      </c>
      <c r="CY221" s="19">
        <v>535.27826086956497</v>
      </c>
      <c r="CZ221" s="19">
        <v>6.282</v>
      </c>
      <c r="DA221" s="19">
        <v>426.89565217391299</v>
      </c>
      <c r="DB221" s="19">
        <v>5.01</v>
      </c>
      <c r="DC221" s="19">
        <v>154.73913043478299</v>
      </c>
      <c r="DD221" s="19">
        <v>1.8160000000000001</v>
      </c>
      <c r="DE221" s="19">
        <v>1747.6260869565201</v>
      </c>
      <c r="DF221" s="19">
        <v>20.51</v>
      </c>
      <c r="DG221" s="19">
        <v>1777.6173913043499</v>
      </c>
      <c r="DH221" s="19">
        <v>20.861999999999998</v>
      </c>
      <c r="DI221" s="19">
        <v>0</v>
      </c>
      <c r="DJ221" s="19">
        <v>0</v>
      </c>
      <c r="DK221" s="19">
        <v>0</v>
      </c>
      <c r="DL221" s="19">
        <v>0</v>
      </c>
      <c r="DM221" s="19">
        <v>0</v>
      </c>
      <c r="DN221" s="19">
        <v>0</v>
      </c>
      <c r="DO221" s="19">
        <v>0</v>
      </c>
      <c r="DP221" s="19">
        <v>0</v>
      </c>
      <c r="DQ221" s="19">
        <v>0</v>
      </c>
      <c r="DR221" s="19">
        <v>0</v>
      </c>
      <c r="DS221" s="19">
        <v>0</v>
      </c>
      <c r="DT221" s="19">
        <v>0</v>
      </c>
      <c r="DU221" s="19">
        <v>0</v>
      </c>
      <c r="DV221" s="19">
        <v>0</v>
      </c>
      <c r="DW221" s="19">
        <v>0</v>
      </c>
      <c r="DX221" s="19">
        <v>0</v>
      </c>
      <c r="DY221" s="19">
        <v>0</v>
      </c>
      <c r="DZ221" s="19">
        <v>0</v>
      </c>
      <c r="EA221" s="19">
        <v>0</v>
      </c>
      <c r="EB221" s="19">
        <v>0</v>
      </c>
      <c r="EC221" s="19">
        <v>0</v>
      </c>
      <c r="ED221" s="19">
        <v>0</v>
      </c>
      <c r="EE221" s="19">
        <v>0</v>
      </c>
      <c r="EF221" s="19">
        <v>0</v>
      </c>
      <c r="EG221" s="19">
        <v>0</v>
      </c>
      <c r="EH221" s="19">
        <v>0</v>
      </c>
      <c r="EI221" s="19">
        <v>0</v>
      </c>
      <c r="EJ221" s="19">
        <v>0</v>
      </c>
      <c r="EK221" s="19">
        <v>216.91304347826099</v>
      </c>
      <c r="EL221" s="19">
        <v>2.7719999999999998</v>
      </c>
      <c r="EM221" s="19">
        <v>0</v>
      </c>
      <c r="EN221" s="19">
        <v>0</v>
      </c>
      <c r="EO221" s="19">
        <v>0</v>
      </c>
      <c r="EP221" s="19">
        <v>0</v>
      </c>
      <c r="EQ221" s="19">
        <v>0</v>
      </c>
      <c r="ER221" s="19">
        <v>0</v>
      </c>
      <c r="ES221" s="119">
        <v>190</v>
      </c>
      <c r="ET221" s="119">
        <v>2.4279999999999999</v>
      </c>
    </row>
    <row r="222" spans="1:150" ht="16.5" customHeight="1" x14ac:dyDescent="0.35">
      <c r="A222" s="4">
        <v>207</v>
      </c>
      <c r="B222" s="4" t="str">
        <f>LOOKUP(A222,Lookup!$A$1:$A$34,Lookup!$B$1:$B$34)</f>
        <v>PORK</v>
      </c>
      <c r="C222" s="5">
        <v>34272</v>
      </c>
      <c r="D222" s="6" t="s">
        <v>218</v>
      </c>
      <c r="E222" s="18">
        <v>38.1408450704225</v>
      </c>
      <c r="F222" s="18">
        <v>0.47199999999999998</v>
      </c>
      <c r="G222" s="18">
        <v>2708</v>
      </c>
      <c r="H222" s="18">
        <v>33.5</v>
      </c>
      <c r="I222" s="19">
        <v>0</v>
      </c>
      <c r="J222" s="19">
        <v>0</v>
      </c>
      <c r="K222" s="19">
        <v>792.96521739130401</v>
      </c>
      <c r="L222" s="19">
        <v>10.206</v>
      </c>
      <c r="M222" s="19">
        <v>967.36521739130399</v>
      </c>
      <c r="N222" s="19">
        <v>12.362</v>
      </c>
      <c r="O222" s="19">
        <v>107.05217391304301</v>
      </c>
      <c r="P222" s="19">
        <v>0.879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610.00869565217397</v>
      </c>
      <c r="AD222" s="19">
        <v>8.1579999999999995</v>
      </c>
      <c r="AE222" s="19">
        <v>230.60869565217399</v>
      </c>
      <c r="AF222" s="19">
        <v>1.895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0</v>
      </c>
      <c r="CN222" s="19">
        <v>0</v>
      </c>
      <c r="CO222" s="19">
        <v>0</v>
      </c>
      <c r="CP222" s="19">
        <v>0</v>
      </c>
      <c r="CQ222" s="19">
        <v>0</v>
      </c>
      <c r="CR222" s="19">
        <v>0</v>
      </c>
      <c r="CS222" s="19">
        <v>0</v>
      </c>
      <c r="CT222" s="19">
        <v>0</v>
      </c>
      <c r="CU222" s="19">
        <v>0</v>
      </c>
      <c r="CV222" s="19">
        <v>0</v>
      </c>
      <c r="CW222" s="19">
        <v>0</v>
      </c>
      <c r="CX222" s="19">
        <v>0</v>
      </c>
      <c r="CY222" s="19">
        <v>0</v>
      </c>
      <c r="CZ222" s="19">
        <v>0</v>
      </c>
      <c r="DA222" s="19">
        <v>0</v>
      </c>
      <c r="DB222" s="19">
        <v>0</v>
      </c>
      <c r="DC222" s="19">
        <v>0</v>
      </c>
      <c r="DD222" s="19">
        <v>0</v>
      </c>
      <c r="DE222" s="19">
        <v>0</v>
      </c>
      <c r="DF222" s="19">
        <v>0</v>
      </c>
      <c r="DG222" s="19">
        <v>0</v>
      </c>
      <c r="DH222" s="19">
        <v>0</v>
      </c>
      <c r="DI222" s="19">
        <v>0</v>
      </c>
      <c r="DJ222" s="19">
        <v>0</v>
      </c>
      <c r="DK222" s="19">
        <v>0</v>
      </c>
      <c r="DL222" s="19">
        <v>0</v>
      </c>
      <c r="DM222" s="19">
        <v>0</v>
      </c>
      <c r="DN222" s="19">
        <v>0</v>
      </c>
      <c r="DO222" s="19">
        <v>0</v>
      </c>
      <c r="DP222" s="19">
        <v>0</v>
      </c>
      <c r="DQ222" s="19">
        <v>0</v>
      </c>
      <c r="DR222" s="19">
        <v>0</v>
      </c>
      <c r="DS222" s="19">
        <v>0</v>
      </c>
      <c r="DT222" s="19">
        <v>0</v>
      </c>
      <c r="DU222" s="19">
        <v>0</v>
      </c>
      <c r="DV222" s="19">
        <v>0</v>
      </c>
      <c r="DW222" s="19">
        <v>0</v>
      </c>
      <c r="DX222" s="19">
        <v>0</v>
      </c>
      <c r="DY222" s="19">
        <v>0</v>
      </c>
      <c r="DZ222" s="19">
        <v>0</v>
      </c>
      <c r="EA222" s="19">
        <v>0</v>
      </c>
      <c r="EB222" s="19">
        <v>0</v>
      </c>
      <c r="EC222" s="19">
        <v>0</v>
      </c>
      <c r="ED222" s="19">
        <v>0</v>
      </c>
      <c r="EE222" s="19">
        <v>0</v>
      </c>
      <c r="EF222" s="19">
        <v>0</v>
      </c>
      <c r="EG222" s="19">
        <v>0</v>
      </c>
      <c r="EH222" s="19">
        <v>0</v>
      </c>
      <c r="EI222" s="19">
        <v>0</v>
      </c>
      <c r="EJ222" s="19">
        <v>0</v>
      </c>
      <c r="EK222" s="19">
        <v>0</v>
      </c>
      <c r="EL222" s="19">
        <v>0</v>
      </c>
      <c r="EM222" s="19">
        <v>0</v>
      </c>
      <c r="EN222" s="19">
        <v>0</v>
      </c>
      <c r="EO222" s="19">
        <v>0</v>
      </c>
      <c r="EP222" s="19">
        <v>0</v>
      </c>
      <c r="EQ222" s="19">
        <v>0</v>
      </c>
      <c r="ER222" s="19">
        <v>0</v>
      </c>
      <c r="ES222" s="119">
        <v>0</v>
      </c>
      <c r="ET222" s="119">
        <v>0</v>
      </c>
    </row>
    <row r="223" spans="1:150" ht="16.5" customHeight="1" x14ac:dyDescent="0.35">
      <c r="A223" s="4">
        <v>207</v>
      </c>
      <c r="B223" s="4" t="str">
        <f>LOOKUP(A223,Lookup!$A$1:$A$34,Lookup!$B$1:$B$34)</f>
        <v>PORK</v>
      </c>
      <c r="C223" s="5">
        <v>34280</v>
      </c>
      <c r="D223" s="6" t="s">
        <v>219</v>
      </c>
      <c r="E223" s="18">
        <v>0</v>
      </c>
      <c r="F223" s="18">
        <v>0</v>
      </c>
      <c r="G223" s="18">
        <v>0</v>
      </c>
      <c r="H223" s="18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0</v>
      </c>
      <c r="CN223" s="19">
        <v>0</v>
      </c>
      <c r="CO223" s="19">
        <v>0</v>
      </c>
      <c r="CP223" s="19">
        <v>0</v>
      </c>
      <c r="CQ223" s="19">
        <v>0</v>
      </c>
      <c r="CR223" s="19">
        <v>0</v>
      </c>
      <c r="CS223" s="19">
        <v>0</v>
      </c>
      <c r="CT223" s="19">
        <v>0</v>
      </c>
      <c r="CU223" s="19">
        <v>0</v>
      </c>
      <c r="CV223" s="19">
        <v>0</v>
      </c>
      <c r="CW223" s="19">
        <v>0</v>
      </c>
      <c r="CX223" s="19">
        <v>0</v>
      </c>
      <c r="CY223" s="19">
        <v>0</v>
      </c>
      <c r="CZ223" s="19">
        <v>0</v>
      </c>
      <c r="DA223" s="19">
        <v>0</v>
      </c>
      <c r="DB223" s="19">
        <v>0</v>
      </c>
      <c r="DC223" s="19">
        <v>0</v>
      </c>
      <c r="DD223" s="19">
        <v>0</v>
      </c>
      <c r="DE223" s="19">
        <v>0</v>
      </c>
      <c r="DF223" s="19">
        <v>0</v>
      </c>
      <c r="DG223" s="19">
        <v>0</v>
      </c>
      <c r="DH223" s="19">
        <v>0</v>
      </c>
      <c r="DI223" s="19">
        <v>0</v>
      </c>
      <c r="DJ223" s="19">
        <v>0</v>
      </c>
      <c r="DK223" s="19">
        <v>0</v>
      </c>
      <c r="DL223" s="19">
        <v>0</v>
      </c>
      <c r="DM223" s="19">
        <v>0</v>
      </c>
      <c r="DN223" s="19">
        <v>0</v>
      </c>
      <c r="DO223" s="19">
        <v>0</v>
      </c>
      <c r="DP223" s="19">
        <v>0</v>
      </c>
      <c r="DQ223" s="19">
        <v>0</v>
      </c>
      <c r="DR223" s="19">
        <v>0</v>
      </c>
      <c r="DS223" s="19">
        <v>0</v>
      </c>
      <c r="DT223" s="19">
        <v>0</v>
      </c>
      <c r="DU223" s="19">
        <v>0</v>
      </c>
      <c r="DV223" s="19">
        <v>0</v>
      </c>
      <c r="DW223" s="19">
        <v>0</v>
      </c>
      <c r="DX223" s="19">
        <v>0</v>
      </c>
      <c r="DY223" s="19">
        <v>0</v>
      </c>
      <c r="DZ223" s="19">
        <v>0</v>
      </c>
      <c r="EA223" s="19">
        <v>0</v>
      </c>
      <c r="EB223" s="19">
        <v>0</v>
      </c>
      <c r="EC223" s="19">
        <v>0</v>
      </c>
      <c r="ED223" s="19">
        <v>0</v>
      </c>
      <c r="EE223" s="19">
        <v>0</v>
      </c>
      <c r="EF223" s="19">
        <v>0</v>
      </c>
      <c r="EG223" s="19">
        <v>0</v>
      </c>
      <c r="EH223" s="19">
        <v>0</v>
      </c>
      <c r="EI223" s="19">
        <v>0</v>
      </c>
      <c r="EJ223" s="19">
        <v>0</v>
      </c>
      <c r="EK223" s="19">
        <v>0</v>
      </c>
      <c r="EL223" s="19">
        <v>0</v>
      </c>
      <c r="EM223" s="19">
        <v>0</v>
      </c>
      <c r="EN223" s="19">
        <v>0</v>
      </c>
      <c r="EO223" s="19">
        <v>0</v>
      </c>
      <c r="EP223" s="19">
        <v>0</v>
      </c>
      <c r="EQ223" s="19">
        <v>0</v>
      </c>
      <c r="ER223" s="19">
        <v>0</v>
      </c>
      <c r="ES223" s="119">
        <v>0</v>
      </c>
      <c r="ET223" s="119">
        <v>0</v>
      </c>
    </row>
    <row r="224" spans="1:150" ht="16.5" customHeight="1" x14ac:dyDescent="0.35">
      <c r="A224" s="4">
        <v>207</v>
      </c>
      <c r="B224" s="4" t="str">
        <f>LOOKUP(A224,Lookup!$A$1:$A$34,Lookup!$B$1:$B$34)</f>
        <v>PORK</v>
      </c>
      <c r="C224" s="5">
        <v>34281</v>
      </c>
      <c r="D224" s="6" t="s">
        <v>220</v>
      </c>
      <c r="E224" s="18">
        <v>3.8624617268830401</v>
      </c>
      <c r="F224" s="18">
        <v>4.3999999999999997E-2</v>
      </c>
      <c r="G224" s="18">
        <v>274.23478260869598</v>
      </c>
      <c r="H224" s="18">
        <v>3.1539999999999999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96.860869565217399</v>
      </c>
      <c r="AV224" s="19">
        <v>1.1140000000000001</v>
      </c>
      <c r="AW224" s="19">
        <v>177.37391304347801</v>
      </c>
      <c r="AX224" s="19">
        <v>2.04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0</v>
      </c>
      <c r="CN224" s="19">
        <v>0</v>
      </c>
      <c r="CO224" s="19">
        <v>0</v>
      </c>
      <c r="CP224" s="19">
        <v>0</v>
      </c>
      <c r="CQ224" s="19">
        <v>0</v>
      </c>
      <c r="CR224" s="19">
        <v>0</v>
      </c>
      <c r="CS224" s="19">
        <v>0</v>
      </c>
      <c r="CT224" s="19">
        <v>0</v>
      </c>
      <c r="CU224" s="19">
        <v>0</v>
      </c>
      <c r="CV224" s="19">
        <v>0</v>
      </c>
      <c r="CW224" s="19">
        <v>0</v>
      </c>
      <c r="CX224" s="19">
        <v>0</v>
      </c>
      <c r="CY224" s="19">
        <v>0</v>
      </c>
      <c r="CZ224" s="19">
        <v>0</v>
      </c>
      <c r="DA224" s="19">
        <v>0</v>
      </c>
      <c r="DB224" s="19">
        <v>0</v>
      </c>
      <c r="DC224" s="19">
        <v>0</v>
      </c>
      <c r="DD224" s="19">
        <v>0</v>
      </c>
      <c r="DE224" s="19">
        <v>0</v>
      </c>
      <c r="DF224" s="19">
        <v>0</v>
      </c>
      <c r="DG224" s="19">
        <v>0</v>
      </c>
      <c r="DH224" s="19">
        <v>0</v>
      </c>
      <c r="DI224" s="19">
        <v>0</v>
      </c>
      <c r="DJ224" s="19">
        <v>0</v>
      </c>
      <c r="DK224" s="19">
        <v>0</v>
      </c>
      <c r="DL224" s="19">
        <v>0</v>
      </c>
      <c r="DM224" s="19">
        <v>0</v>
      </c>
      <c r="DN224" s="19">
        <v>0</v>
      </c>
      <c r="DO224" s="19">
        <v>0</v>
      </c>
      <c r="DP224" s="19">
        <v>0</v>
      </c>
      <c r="DQ224" s="19">
        <v>0</v>
      </c>
      <c r="DR224" s="19">
        <v>0</v>
      </c>
      <c r="DS224" s="19">
        <v>0</v>
      </c>
      <c r="DT224" s="19">
        <v>0</v>
      </c>
      <c r="DU224" s="19">
        <v>0</v>
      </c>
      <c r="DV224" s="19">
        <v>0</v>
      </c>
      <c r="DW224" s="19">
        <v>0</v>
      </c>
      <c r="DX224" s="19">
        <v>0</v>
      </c>
      <c r="DY224" s="19">
        <v>0</v>
      </c>
      <c r="DZ224" s="19">
        <v>0</v>
      </c>
      <c r="EA224" s="19">
        <v>0</v>
      </c>
      <c r="EB224" s="19">
        <v>0</v>
      </c>
      <c r="EC224" s="19">
        <v>0</v>
      </c>
      <c r="ED224" s="19">
        <v>0</v>
      </c>
      <c r="EE224" s="19">
        <v>0</v>
      </c>
      <c r="EF224" s="19">
        <v>0</v>
      </c>
      <c r="EG224" s="19">
        <v>0</v>
      </c>
      <c r="EH224" s="19">
        <v>0</v>
      </c>
      <c r="EI224" s="19">
        <v>0</v>
      </c>
      <c r="EJ224" s="19">
        <v>0</v>
      </c>
      <c r="EK224" s="19">
        <v>0</v>
      </c>
      <c r="EL224" s="19">
        <v>0</v>
      </c>
      <c r="EM224" s="19">
        <v>0</v>
      </c>
      <c r="EN224" s="19">
        <v>0</v>
      </c>
      <c r="EO224" s="19">
        <v>0</v>
      </c>
      <c r="EP224" s="19">
        <v>0</v>
      </c>
      <c r="EQ224" s="19">
        <v>0</v>
      </c>
      <c r="ER224" s="19">
        <v>0</v>
      </c>
      <c r="ES224" s="119">
        <v>0</v>
      </c>
      <c r="ET224" s="119">
        <v>0</v>
      </c>
    </row>
    <row r="225" spans="1:150" ht="16.5" customHeight="1" x14ac:dyDescent="0.35">
      <c r="A225" s="4">
        <v>207</v>
      </c>
      <c r="B225" s="4" t="str">
        <f>LOOKUP(A225,Lookup!$A$1:$A$34,Lookup!$B$1:$B$34)</f>
        <v>PORK</v>
      </c>
      <c r="C225" s="5">
        <v>34283</v>
      </c>
      <c r="D225" s="6" t="s">
        <v>215</v>
      </c>
      <c r="E225" s="18">
        <v>1722.81004286589</v>
      </c>
      <c r="F225" s="18">
        <v>26.234000000000002</v>
      </c>
      <c r="G225" s="18">
        <v>122319.513043478</v>
      </c>
      <c r="H225" s="18">
        <v>1862.5930000000001</v>
      </c>
      <c r="I225" s="19">
        <v>7103.6260869565203</v>
      </c>
      <c r="J225" s="19">
        <v>102.128</v>
      </c>
      <c r="K225" s="19">
        <v>6025.0695652173899</v>
      </c>
      <c r="L225" s="19">
        <v>86.622</v>
      </c>
      <c r="M225" s="19">
        <v>3381.6869565217398</v>
      </c>
      <c r="N225" s="19">
        <v>48.618000000000002</v>
      </c>
      <c r="O225" s="19">
        <v>4844.5565217391304</v>
      </c>
      <c r="P225" s="19">
        <v>69.694000000000003</v>
      </c>
      <c r="Q225" s="19">
        <v>6754.95652173913</v>
      </c>
      <c r="R225" s="19">
        <v>97.114999999999995</v>
      </c>
      <c r="S225" s="19">
        <v>7566.1217391304299</v>
      </c>
      <c r="T225" s="19">
        <v>108.812</v>
      </c>
      <c r="U225" s="19">
        <v>6552.2521739130398</v>
      </c>
      <c r="V225" s="19">
        <v>94.24</v>
      </c>
      <c r="W225" s="19">
        <v>7825.9391304347801</v>
      </c>
      <c r="X225" s="19">
        <v>112.512</v>
      </c>
      <c r="Y225" s="19">
        <v>5553.9130434782601</v>
      </c>
      <c r="Z225" s="19">
        <v>79.847999999999999</v>
      </c>
      <c r="AA225" s="19">
        <v>4666.2695652173898</v>
      </c>
      <c r="AB225" s="19">
        <v>67.085999999999999</v>
      </c>
      <c r="AC225" s="19">
        <v>7720.8</v>
      </c>
      <c r="AD225" s="19">
        <v>111.038</v>
      </c>
      <c r="AE225" s="19">
        <v>5020.1652173912998</v>
      </c>
      <c r="AF225" s="19">
        <v>72.174000000000007</v>
      </c>
      <c r="AG225" s="19">
        <v>8609.3217391304406</v>
      </c>
      <c r="AH225" s="19">
        <v>163.88</v>
      </c>
      <c r="AI225" s="19">
        <v>14202.573913043499</v>
      </c>
      <c r="AJ225" s="19">
        <v>267.91300000000001</v>
      </c>
      <c r="AK225" s="19">
        <v>6794.8956521739101</v>
      </c>
      <c r="AL225" s="19">
        <v>97.688999999999993</v>
      </c>
      <c r="AM225" s="19">
        <v>10232.2260869565</v>
      </c>
      <c r="AN225" s="19">
        <v>147.108</v>
      </c>
      <c r="AO225" s="19">
        <v>9465.1391304347799</v>
      </c>
      <c r="AP225" s="19">
        <v>136.11600000000001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0</v>
      </c>
      <c r="CO225" s="19">
        <v>0</v>
      </c>
      <c r="CP225" s="19">
        <v>0</v>
      </c>
      <c r="CQ225" s="19">
        <v>0</v>
      </c>
      <c r="CR225" s="19">
        <v>0</v>
      </c>
      <c r="CS225" s="19">
        <v>0</v>
      </c>
      <c r="CT225" s="19">
        <v>0</v>
      </c>
      <c r="CU225" s="19">
        <v>0</v>
      </c>
      <c r="CV225" s="19">
        <v>0</v>
      </c>
      <c r="CW225" s="19">
        <v>0</v>
      </c>
      <c r="CX225" s="19">
        <v>0</v>
      </c>
      <c r="CY225" s="19">
        <v>0</v>
      </c>
      <c r="CZ225" s="19">
        <v>0</v>
      </c>
      <c r="DA225" s="19">
        <v>0</v>
      </c>
      <c r="DB225" s="19">
        <v>0</v>
      </c>
      <c r="DC225" s="19">
        <v>0</v>
      </c>
      <c r="DD225" s="19">
        <v>0</v>
      </c>
      <c r="DE225" s="19">
        <v>0</v>
      </c>
      <c r="DF225" s="19">
        <v>0</v>
      </c>
      <c r="DG225" s="19">
        <v>0</v>
      </c>
      <c r="DH225" s="19">
        <v>0</v>
      </c>
      <c r="DI225" s="19">
        <v>0</v>
      </c>
      <c r="DJ225" s="19">
        <v>0</v>
      </c>
      <c r="DK225" s="19">
        <v>0</v>
      </c>
      <c r="DL225" s="19">
        <v>0</v>
      </c>
      <c r="DM225" s="19">
        <v>0</v>
      </c>
      <c r="DN225" s="19">
        <v>0</v>
      </c>
      <c r="DO225" s="19">
        <v>0</v>
      </c>
      <c r="DP225" s="19">
        <v>0</v>
      </c>
      <c r="DQ225" s="19">
        <v>0</v>
      </c>
      <c r="DR225" s="19">
        <v>0</v>
      </c>
      <c r="DS225" s="19">
        <v>0</v>
      </c>
      <c r="DT225" s="19">
        <v>0</v>
      </c>
      <c r="DU225" s="19">
        <v>0</v>
      </c>
      <c r="DV225" s="19">
        <v>0</v>
      </c>
      <c r="DW225" s="19">
        <v>0</v>
      </c>
      <c r="DX225" s="19">
        <v>0</v>
      </c>
      <c r="DY225" s="19">
        <v>0</v>
      </c>
      <c r="DZ225" s="19">
        <v>0</v>
      </c>
      <c r="EA225" s="19">
        <v>0</v>
      </c>
      <c r="EB225" s="19">
        <v>0</v>
      </c>
      <c r="EC225" s="19">
        <v>0</v>
      </c>
      <c r="ED225" s="19">
        <v>0</v>
      </c>
      <c r="EE225" s="19">
        <v>0</v>
      </c>
      <c r="EF225" s="19">
        <v>0</v>
      </c>
      <c r="EG225" s="19">
        <v>0</v>
      </c>
      <c r="EH225" s="19">
        <v>0</v>
      </c>
      <c r="EI225" s="19">
        <v>0</v>
      </c>
      <c r="EJ225" s="19">
        <v>0</v>
      </c>
      <c r="EK225" s="19">
        <v>0</v>
      </c>
      <c r="EL225" s="19">
        <v>0</v>
      </c>
      <c r="EM225" s="19">
        <v>0</v>
      </c>
      <c r="EN225" s="19">
        <v>0</v>
      </c>
      <c r="EO225" s="19">
        <v>0</v>
      </c>
      <c r="EP225" s="19">
        <v>0</v>
      </c>
      <c r="EQ225" s="19">
        <v>0</v>
      </c>
      <c r="ER225" s="19">
        <v>0</v>
      </c>
      <c r="ES225" s="119">
        <v>0</v>
      </c>
      <c r="ET225" s="119">
        <v>0</v>
      </c>
    </row>
    <row r="226" spans="1:150" ht="16.5" customHeight="1" x14ac:dyDescent="0.35">
      <c r="A226" s="4">
        <v>207</v>
      </c>
      <c r="B226" s="4" t="str">
        <f>LOOKUP(A226,Lookup!$A$1:$A$34,Lookup!$B$1:$B$34)</f>
        <v>PORK</v>
      </c>
      <c r="C226" s="5">
        <v>34285</v>
      </c>
      <c r="D226" s="6" t="s">
        <v>221</v>
      </c>
      <c r="E226" s="18">
        <v>6.3251684017146399</v>
      </c>
      <c r="F226" s="18">
        <v>7.5999999999999998E-2</v>
      </c>
      <c r="G226" s="18">
        <v>449.08695652173901</v>
      </c>
      <c r="H226" s="18">
        <v>5.38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38.226086956521698</v>
      </c>
      <c r="BV226" s="19">
        <v>0.45800000000000002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0</v>
      </c>
      <c r="CO226" s="19">
        <v>0</v>
      </c>
      <c r="CP226" s="19">
        <v>0</v>
      </c>
      <c r="CQ226" s="19">
        <v>0</v>
      </c>
      <c r="CR226" s="19">
        <v>0</v>
      </c>
      <c r="CS226" s="19">
        <v>0</v>
      </c>
      <c r="CT226" s="19">
        <v>0</v>
      </c>
      <c r="CU226" s="19">
        <v>0</v>
      </c>
      <c r="CV226" s="19">
        <v>0</v>
      </c>
      <c r="CW226" s="19">
        <v>0</v>
      </c>
      <c r="CX226" s="19">
        <v>0</v>
      </c>
      <c r="CY226" s="19">
        <v>0</v>
      </c>
      <c r="CZ226" s="19">
        <v>0</v>
      </c>
      <c r="DA226" s="19">
        <v>0</v>
      </c>
      <c r="DB226" s="19">
        <v>0</v>
      </c>
      <c r="DC226" s="19">
        <v>0</v>
      </c>
      <c r="DD226" s="19">
        <v>0</v>
      </c>
      <c r="DE226" s="19">
        <v>0</v>
      </c>
      <c r="DF226" s="19">
        <v>0</v>
      </c>
      <c r="DG226" s="19">
        <v>0</v>
      </c>
      <c r="DH226" s="19">
        <v>0</v>
      </c>
      <c r="DI226" s="19">
        <v>0</v>
      </c>
      <c r="DJ226" s="19">
        <v>0</v>
      </c>
      <c r="DK226" s="19">
        <v>0</v>
      </c>
      <c r="DL226" s="19">
        <v>0</v>
      </c>
      <c r="DM226" s="19">
        <v>0</v>
      </c>
      <c r="DN226" s="19">
        <v>0</v>
      </c>
      <c r="DO226" s="19">
        <v>0</v>
      </c>
      <c r="DP226" s="19">
        <v>0</v>
      </c>
      <c r="DQ226" s="19">
        <v>0</v>
      </c>
      <c r="DR226" s="19">
        <v>0</v>
      </c>
      <c r="DS226" s="19">
        <v>0</v>
      </c>
      <c r="DT226" s="19">
        <v>0</v>
      </c>
      <c r="DU226" s="19">
        <v>0</v>
      </c>
      <c r="DV226" s="19">
        <v>0</v>
      </c>
      <c r="DW226" s="19">
        <v>0</v>
      </c>
      <c r="DX226" s="19">
        <v>0</v>
      </c>
      <c r="DY226" s="19">
        <v>0</v>
      </c>
      <c r="DZ226" s="19">
        <v>0</v>
      </c>
      <c r="EA226" s="19">
        <v>0</v>
      </c>
      <c r="EB226" s="19">
        <v>0</v>
      </c>
      <c r="EC226" s="19">
        <v>0</v>
      </c>
      <c r="ED226" s="19">
        <v>0</v>
      </c>
      <c r="EE226" s="19">
        <v>0</v>
      </c>
      <c r="EF226" s="19">
        <v>0</v>
      </c>
      <c r="EG226" s="19">
        <v>0</v>
      </c>
      <c r="EH226" s="19">
        <v>0</v>
      </c>
      <c r="EI226" s="19">
        <v>0</v>
      </c>
      <c r="EJ226" s="19">
        <v>0</v>
      </c>
      <c r="EK226" s="19">
        <v>0</v>
      </c>
      <c r="EL226" s="19">
        <v>0</v>
      </c>
      <c r="EM226" s="19">
        <v>410.860869565217</v>
      </c>
      <c r="EN226" s="19">
        <v>4.9219999999999997</v>
      </c>
      <c r="EO226" s="19">
        <v>0</v>
      </c>
      <c r="EP226" s="19">
        <v>0</v>
      </c>
      <c r="EQ226" s="19">
        <v>0</v>
      </c>
      <c r="ER226" s="19">
        <v>0</v>
      </c>
      <c r="ES226" s="119">
        <v>0</v>
      </c>
      <c r="ET226" s="119">
        <v>0</v>
      </c>
    </row>
    <row r="227" spans="1:150" ht="16.5" customHeight="1" x14ac:dyDescent="0.35">
      <c r="A227" s="4">
        <v>207</v>
      </c>
      <c r="B227" s="4" t="str">
        <f>LOOKUP(A227,Lookup!$A$1:$A$34,Lookup!$B$1:$B$34)</f>
        <v>PORK</v>
      </c>
      <c r="C227" s="5">
        <v>34288</v>
      </c>
      <c r="D227" s="6" t="s">
        <v>222</v>
      </c>
      <c r="E227" s="18">
        <v>199.14917330067399</v>
      </c>
      <c r="F227" s="18">
        <v>1.5349999999999999</v>
      </c>
      <c r="G227" s="18">
        <v>14139.591304347799</v>
      </c>
      <c r="H227" s="18">
        <v>108.955</v>
      </c>
      <c r="I227" s="19">
        <v>1221.0347826087</v>
      </c>
      <c r="J227" s="19">
        <v>9.3620000000000001</v>
      </c>
      <c r="K227" s="19">
        <v>672.46956521739105</v>
      </c>
      <c r="L227" s="19">
        <v>5.1559999999999997</v>
      </c>
      <c r="M227" s="19">
        <v>546.21739130434798</v>
      </c>
      <c r="N227" s="19">
        <v>4.1879999999999997</v>
      </c>
      <c r="O227" s="19">
        <v>320.426086956522</v>
      </c>
      <c r="P227" s="19">
        <v>2.5680000000000001</v>
      </c>
      <c r="Q227" s="19">
        <v>712.83478260869595</v>
      </c>
      <c r="R227" s="19">
        <v>5.8559999999999999</v>
      </c>
      <c r="S227" s="19">
        <v>282.89565217391299</v>
      </c>
      <c r="T227" s="19">
        <v>2.3239999999999998</v>
      </c>
      <c r="U227" s="19">
        <v>998.66086956521701</v>
      </c>
      <c r="V227" s="19">
        <v>8.2040000000000006</v>
      </c>
      <c r="W227" s="19">
        <v>516.61739130434796</v>
      </c>
      <c r="X227" s="19">
        <v>3.714</v>
      </c>
      <c r="Y227" s="19">
        <v>322.36521739130399</v>
      </c>
      <c r="Z227" s="19">
        <v>2.3580000000000001</v>
      </c>
      <c r="AA227" s="19">
        <v>97.382608695652195</v>
      </c>
      <c r="AB227" s="19">
        <v>0.7</v>
      </c>
      <c r="AC227" s="19">
        <v>620.73913043478296</v>
      </c>
      <c r="AD227" s="19">
        <v>4.4619999999999997</v>
      </c>
      <c r="AE227" s="19">
        <v>0</v>
      </c>
      <c r="AF227" s="19">
        <v>0</v>
      </c>
      <c r="AG227" s="19">
        <v>485.80869565217398</v>
      </c>
      <c r="AH227" s="19">
        <v>3.492</v>
      </c>
      <c r="AI227" s="19">
        <v>699.77391304347805</v>
      </c>
      <c r="AJ227" s="19">
        <v>5.03</v>
      </c>
      <c r="AK227" s="19">
        <v>249.304347826087</v>
      </c>
      <c r="AL227" s="19">
        <v>1.792</v>
      </c>
      <c r="AM227" s="19">
        <v>367.55652173913001</v>
      </c>
      <c r="AN227" s="19">
        <v>2.6419999999999999</v>
      </c>
      <c r="AO227" s="19">
        <v>0</v>
      </c>
      <c r="AP227" s="19">
        <v>0</v>
      </c>
      <c r="AQ227" s="19">
        <v>679.13913043478306</v>
      </c>
      <c r="AR227" s="19">
        <v>5.3860000000000001</v>
      </c>
      <c r="AS227" s="19">
        <v>0</v>
      </c>
      <c r="AT227" s="19">
        <v>0</v>
      </c>
      <c r="AU227" s="19">
        <v>385.8</v>
      </c>
      <c r="AV227" s="19">
        <v>3.06</v>
      </c>
      <c r="AW227" s="19">
        <v>210.8</v>
      </c>
      <c r="AX227" s="19">
        <v>1.6719999999999999</v>
      </c>
      <c r="AY227" s="19">
        <v>202.982608695652</v>
      </c>
      <c r="AZ227" s="19">
        <v>1.61</v>
      </c>
      <c r="BA227" s="19">
        <v>0</v>
      </c>
      <c r="BB227" s="19">
        <v>0</v>
      </c>
      <c r="BC227" s="19">
        <v>529.01739130434805</v>
      </c>
      <c r="BD227" s="19">
        <v>4.1959999999999997</v>
      </c>
      <c r="BE227" s="19">
        <v>112.208695652174</v>
      </c>
      <c r="BF227" s="19">
        <v>0.89</v>
      </c>
      <c r="BG227" s="19">
        <v>450.165217391304</v>
      </c>
      <c r="BH227" s="19">
        <v>3.492</v>
      </c>
      <c r="BI227" s="19">
        <v>117.64347826087</v>
      </c>
      <c r="BJ227" s="19">
        <v>0.90200000000000002</v>
      </c>
      <c r="BK227" s="19">
        <v>347.19130434782602</v>
      </c>
      <c r="BL227" s="19">
        <v>2.6619999999999999</v>
      </c>
      <c r="BM227" s="19">
        <v>404.573913043478</v>
      </c>
      <c r="BN227" s="19">
        <v>3.1019999999999999</v>
      </c>
      <c r="BO227" s="19">
        <v>688.84347826087003</v>
      </c>
      <c r="BP227" s="19">
        <v>5.32</v>
      </c>
      <c r="BQ227" s="19">
        <v>619.77391304347805</v>
      </c>
      <c r="BR227" s="19">
        <v>4.7519999999999998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228.49565217391299</v>
      </c>
      <c r="CF227" s="19">
        <v>2.0209999999999999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0</v>
      </c>
      <c r="CN227" s="19">
        <v>0</v>
      </c>
      <c r="CO227" s="19">
        <v>214.93913043478301</v>
      </c>
      <c r="CP227" s="19">
        <v>1.6479999999999999</v>
      </c>
      <c r="CQ227" s="19">
        <v>330.75652173912999</v>
      </c>
      <c r="CR227" s="19">
        <v>2.536</v>
      </c>
      <c r="CS227" s="19">
        <v>503.17391304347802</v>
      </c>
      <c r="CT227" s="19">
        <v>3.8580000000000001</v>
      </c>
      <c r="CU227" s="19">
        <v>0</v>
      </c>
      <c r="CV227" s="19">
        <v>0</v>
      </c>
      <c r="CW227" s="19">
        <v>0</v>
      </c>
      <c r="CX227" s="19">
        <v>0</v>
      </c>
      <c r="CY227" s="19">
        <v>0</v>
      </c>
      <c r="CZ227" s="19">
        <v>0</v>
      </c>
      <c r="DA227" s="19">
        <v>0</v>
      </c>
      <c r="DB227" s="19">
        <v>0</v>
      </c>
      <c r="DC227" s="19">
        <v>0</v>
      </c>
      <c r="DD227" s="19">
        <v>0</v>
      </c>
      <c r="DE227" s="19">
        <v>0</v>
      </c>
      <c r="DF227" s="19">
        <v>0</v>
      </c>
      <c r="DG227" s="19">
        <v>0</v>
      </c>
      <c r="DH227" s="19">
        <v>0</v>
      </c>
      <c r="DI227" s="19">
        <v>0</v>
      </c>
      <c r="DJ227" s="19">
        <v>0</v>
      </c>
      <c r="DK227" s="19">
        <v>0</v>
      </c>
      <c r="DL227" s="19">
        <v>0</v>
      </c>
      <c r="DM227" s="19">
        <v>0</v>
      </c>
      <c r="DN227" s="19">
        <v>0</v>
      </c>
      <c r="DO227" s="19">
        <v>0</v>
      </c>
      <c r="DP227" s="19">
        <v>0</v>
      </c>
      <c r="DQ227" s="19">
        <v>0</v>
      </c>
      <c r="DR227" s="19">
        <v>0</v>
      </c>
      <c r="DS227" s="19">
        <v>0</v>
      </c>
      <c r="DT227" s="19">
        <v>0</v>
      </c>
      <c r="DU227" s="19">
        <v>0</v>
      </c>
      <c r="DV227" s="19">
        <v>0</v>
      </c>
      <c r="DW227" s="19">
        <v>0</v>
      </c>
      <c r="DX227" s="19">
        <v>0</v>
      </c>
      <c r="DY227" s="19">
        <v>0</v>
      </c>
      <c r="DZ227" s="19">
        <v>0</v>
      </c>
      <c r="EA227" s="19">
        <v>0</v>
      </c>
      <c r="EB227" s="19">
        <v>0</v>
      </c>
      <c r="EC227" s="19">
        <v>0</v>
      </c>
      <c r="ED227" s="19">
        <v>0</v>
      </c>
      <c r="EE227" s="19">
        <v>0</v>
      </c>
      <c r="EF227" s="19">
        <v>0</v>
      </c>
      <c r="EG227" s="19">
        <v>0</v>
      </c>
      <c r="EH227" s="19">
        <v>0</v>
      </c>
      <c r="EI227" s="19">
        <v>0</v>
      </c>
      <c r="EJ227" s="19">
        <v>0</v>
      </c>
      <c r="EK227" s="19">
        <v>0</v>
      </c>
      <c r="EL227" s="19">
        <v>0</v>
      </c>
      <c r="EM227" s="19">
        <v>0</v>
      </c>
      <c r="EN227" s="19">
        <v>0</v>
      </c>
      <c r="EO227" s="19">
        <v>0</v>
      </c>
      <c r="EP227" s="19">
        <v>0</v>
      </c>
      <c r="EQ227" s="19">
        <v>0</v>
      </c>
      <c r="ER227" s="19">
        <v>0</v>
      </c>
      <c r="ES227" s="119">
        <v>0</v>
      </c>
      <c r="ET227" s="119">
        <v>0</v>
      </c>
    </row>
    <row r="228" spans="1:150" ht="16.5" customHeight="1" x14ac:dyDescent="0.35">
      <c r="A228" s="4">
        <v>207</v>
      </c>
      <c r="B228" s="4" t="str">
        <f>LOOKUP(A228,Lookup!$A$1:$A$34,Lookup!$B$1:$B$34)</f>
        <v>PORK</v>
      </c>
      <c r="C228" s="5">
        <v>34289</v>
      </c>
      <c r="D228" s="6" t="s">
        <v>223</v>
      </c>
      <c r="E228" s="18">
        <v>625.77330067360697</v>
      </c>
      <c r="F228" s="18">
        <v>13.519</v>
      </c>
      <c r="G228" s="18">
        <v>44429.904347826101</v>
      </c>
      <c r="H228" s="18">
        <v>959.81500000000005</v>
      </c>
      <c r="I228" s="19">
        <v>1948.8782608695701</v>
      </c>
      <c r="J228" s="19">
        <v>32.021000000000001</v>
      </c>
      <c r="K228" s="19">
        <v>1279.71304347826</v>
      </c>
      <c r="L228" s="19">
        <v>21.062999999999999</v>
      </c>
      <c r="M228" s="19">
        <v>810.4</v>
      </c>
      <c r="N228" s="19">
        <v>13.314</v>
      </c>
      <c r="O228" s="19">
        <v>1339.69565217391</v>
      </c>
      <c r="P228" s="19">
        <v>22.013000000000002</v>
      </c>
      <c r="Q228" s="19">
        <v>1737.6869565217401</v>
      </c>
      <c r="R228" s="19">
        <v>28.626999999999999</v>
      </c>
      <c r="S228" s="19">
        <v>1514.1565217391301</v>
      </c>
      <c r="T228" s="19">
        <v>24.917000000000002</v>
      </c>
      <c r="U228" s="19">
        <v>1871.69565217391</v>
      </c>
      <c r="V228" s="19">
        <v>30.773</v>
      </c>
      <c r="W228" s="19">
        <v>1793.1043478260899</v>
      </c>
      <c r="X228" s="19">
        <v>29.501999999999999</v>
      </c>
      <c r="Y228" s="19">
        <v>4266.6782608695603</v>
      </c>
      <c r="Z228" s="19">
        <v>122.80200000000001</v>
      </c>
      <c r="AA228" s="19">
        <v>2684.8347826087002</v>
      </c>
      <c r="AB228" s="19">
        <v>77.412999999999997</v>
      </c>
      <c r="AC228" s="19">
        <v>1872.3739130434799</v>
      </c>
      <c r="AD228" s="19">
        <v>35.173000000000002</v>
      </c>
      <c r="AE228" s="19">
        <v>1041.4173913043501</v>
      </c>
      <c r="AF228" s="19">
        <v>19.998000000000001</v>
      </c>
      <c r="AG228" s="19">
        <v>2411.9652173913</v>
      </c>
      <c r="AH228" s="19">
        <v>46.237000000000002</v>
      </c>
      <c r="AI228" s="19">
        <v>2012.70434782609</v>
      </c>
      <c r="AJ228" s="19">
        <v>38.695999999999998</v>
      </c>
      <c r="AK228" s="19">
        <v>1093.6869565217401</v>
      </c>
      <c r="AL228" s="19">
        <v>21.053000000000001</v>
      </c>
      <c r="AM228" s="19">
        <v>1922.05217391304</v>
      </c>
      <c r="AN228" s="19">
        <v>36.844999999999999</v>
      </c>
      <c r="AO228" s="19">
        <v>1975.4086956521701</v>
      </c>
      <c r="AP228" s="19">
        <v>37.869</v>
      </c>
      <c r="AQ228" s="19">
        <v>1558.20869565217</v>
      </c>
      <c r="AR228" s="19">
        <v>29.890999999999998</v>
      </c>
      <c r="AS228" s="19">
        <v>2480.2173913043498</v>
      </c>
      <c r="AT228" s="19">
        <v>47.588999999999999</v>
      </c>
      <c r="AU228" s="19">
        <v>1010.37391304348</v>
      </c>
      <c r="AV228" s="19">
        <v>19.45</v>
      </c>
      <c r="AW228" s="19">
        <v>2565.7478260869598</v>
      </c>
      <c r="AX228" s="19">
        <v>73.831000000000003</v>
      </c>
      <c r="AY228" s="19">
        <v>3355.1391304347799</v>
      </c>
      <c r="AZ228" s="19">
        <v>96.483999999999995</v>
      </c>
      <c r="BA228" s="19">
        <v>1883.7652173913</v>
      </c>
      <c r="BB228" s="19">
        <v>54.253999999999998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0</v>
      </c>
      <c r="CO228" s="19">
        <v>0</v>
      </c>
      <c r="CP228" s="19">
        <v>0</v>
      </c>
      <c r="CQ228" s="19">
        <v>0</v>
      </c>
      <c r="CR228" s="19">
        <v>0</v>
      </c>
      <c r="CS228" s="19">
        <v>0</v>
      </c>
      <c r="CT228" s="19">
        <v>0</v>
      </c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  <c r="DH228" s="19">
        <v>0</v>
      </c>
      <c r="DI228" s="19">
        <v>0</v>
      </c>
      <c r="DJ228" s="19">
        <v>0</v>
      </c>
      <c r="DK228" s="19">
        <v>0</v>
      </c>
      <c r="DL228" s="19">
        <v>0</v>
      </c>
      <c r="DM228" s="19">
        <v>0</v>
      </c>
      <c r="DN228" s="19">
        <v>0</v>
      </c>
      <c r="DO228" s="19">
        <v>0</v>
      </c>
      <c r="DP228" s="19">
        <v>0</v>
      </c>
      <c r="DQ228" s="19">
        <v>0</v>
      </c>
      <c r="DR228" s="19">
        <v>0</v>
      </c>
      <c r="DS228" s="19">
        <v>0</v>
      </c>
      <c r="DT228" s="19">
        <v>0</v>
      </c>
      <c r="DU228" s="19">
        <v>0</v>
      </c>
      <c r="DV228" s="19">
        <v>0</v>
      </c>
      <c r="DW228" s="19">
        <v>0</v>
      </c>
      <c r="DX228" s="19">
        <v>0</v>
      </c>
      <c r="DY228" s="19">
        <v>0</v>
      </c>
      <c r="DZ228" s="19">
        <v>0</v>
      </c>
      <c r="EA228" s="19">
        <v>0</v>
      </c>
      <c r="EB228" s="19">
        <v>0</v>
      </c>
      <c r="EC228" s="19">
        <v>0</v>
      </c>
      <c r="ED228" s="19">
        <v>0</v>
      </c>
      <c r="EE228" s="19">
        <v>0</v>
      </c>
      <c r="EF228" s="19">
        <v>0</v>
      </c>
      <c r="EG228" s="19">
        <v>0</v>
      </c>
      <c r="EH228" s="19">
        <v>0</v>
      </c>
      <c r="EI228" s="19">
        <v>0</v>
      </c>
      <c r="EJ228" s="19">
        <v>0</v>
      </c>
      <c r="EK228" s="19">
        <v>0</v>
      </c>
      <c r="EL228" s="19">
        <v>0</v>
      </c>
      <c r="EM228" s="19">
        <v>0</v>
      </c>
      <c r="EN228" s="19">
        <v>0</v>
      </c>
      <c r="EO228" s="19">
        <v>0</v>
      </c>
      <c r="EP228" s="19">
        <v>0</v>
      </c>
      <c r="EQ228" s="19">
        <v>0</v>
      </c>
      <c r="ER228" s="19">
        <v>0</v>
      </c>
      <c r="ES228" s="119">
        <v>0</v>
      </c>
      <c r="ET228" s="119">
        <v>0</v>
      </c>
    </row>
    <row r="229" spans="1:150" ht="16.5" customHeight="1" x14ac:dyDescent="0.35">
      <c r="A229" s="4">
        <v>207</v>
      </c>
      <c r="B229" s="4" t="str">
        <f>LOOKUP(A229,Lookup!$A$1:$A$34,Lookup!$B$1:$B$34)</f>
        <v>PORK</v>
      </c>
      <c r="C229" s="5">
        <v>34290</v>
      </c>
      <c r="D229" s="6" t="s">
        <v>224</v>
      </c>
      <c r="E229" s="18">
        <v>0</v>
      </c>
      <c r="F229" s="18">
        <v>0</v>
      </c>
      <c r="G229" s="18">
        <v>0</v>
      </c>
      <c r="H229" s="18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0</v>
      </c>
      <c r="CN229" s="19">
        <v>0</v>
      </c>
      <c r="CO229" s="19">
        <v>0</v>
      </c>
      <c r="CP229" s="19">
        <v>0</v>
      </c>
      <c r="CQ229" s="19">
        <v>0</v>
      </c>
      <c r="CR229" s="19">
        <v>0</v>
      </c>
      <c r="CS229" s="19">
        <v>0</v>
      </c>
      <c r="CT229" s="19">
        <v>0</v>
      </c>
      <c r="CU229" s="19">
        <v>0</v>
      </c>
      <c r="CV229" s="19">
        <v>0</v>
      </c>
      <c r="CW229" s="19">
        <v>0</v>
      </c>
      <c r="CX229" s="19">
        <v>0</v>
      </c>
      <c r="CY229" s="19">
        <v>0</v>
      </c>
      <c r="CZ229" s="19">
        <v>0</v>
      </c>
      <c r="DA229" s="19">
        <v>0</v>
      </c>
      <c r="DB229" s="19">
        <v>0</v>
      </c>
      <c r="DC229" s="19">
        <v>0</v>
      </c>
      <c r="DD229" s="19">
        <v>0</v>
      </c>
      <c r="DE229" s="19">
        <v>0</v>
      </c>
      <c r="DF229" s="19">
        <v>0</v>
      </c>
      <c r="DG229" s="19">
        <v>0</v>
      </c>
      <c r="DH229" s="19">
        <v>0</v>
      </c>
      <c r="DI229" s="19">
        <v>0</v>
      </c>
      <c r="DJ229" s="19">
        <v>0</v>
      </c>
      <c r="DK229" s="19">
        <v>0</v>
      </c>
      <c r="DL229" s="19">
        <v>0</v>
      </c>
      <c r="DM229" s="19">
        <v>0</v>
      </c>
      <c r="DN229" s="19">
        <v>0</v>
      </c>
      <c r="DO229" s="19">
        <v>0</v>
      </c>
      <c r="DP229" s="19">
        <v>0</v>
      </c>
      <c r="DQ229" s="19">
        <v>0</v>
      </c>
      <c r="DR229" s="19">
        <v>0</v>
      </c>
      <c r="DS229" s="19">
        <v>0</v>
      </c>
      <c r="DT229" s="19">
        <v>0</v>
      </c>
      <c r="DU229" s="19">
        <v>0</v>
      </c>
      <c r="DV229" s="19">
        <v>0</v>
      </c>
      <c r="DW229" s="19">
        <v>0</v>
      </c>
      <c r="DX229" s="19">
        <v>0</v>
      </c>
      <c r="DY229" s="19">
        <v>0</v>
      </c>
      <c r="DZ229" s="19">
        <v>0</v>
      </c>
      <c r="EA229" s="19">
        <v>0</v>
      </c>
      <c r="EB229" s="19">
        <v>0</v>
      </c>
      <c r="EC229" s="19">
        <v>0</v>
      </c>
      <c r="ED229" s="19">
        <v>0</v>
      </c>
      <c r="EE229" s="19">
        <v>0</v>
      </c>
      <c r="EF229" s="19">
        <v>0</v>
      </c>
      <c r="EG229" s="19">
        <v>0</v>
      </c>
      <c r="EH229" s="19">
        <v>0</v>
      </c>
      <c r="EI229" s="19">
        <v>0</v>
      </c>
      <c r="EJ229" s="19">
        <v>0</v>
      </c>
      <c r="EK229" s="19">
        <v>0</v>
      </c>
      <c r="EL229" s="19">
        <v>0</v>
      </c>
      <c r="EM229" s="19">
        <v>0</v>
      </c>
      <c r="EN229" s="19">
        <v>0</v>
      </c>
      <c r="EO229" s="19">
        <v>0</v>
      </c>
      <c r="EP229" s="19">
        <v>0</v>
      </c>
      <c r="EQ229" s="19">
        <v>0</v>
      </c>
      <c r="ER229" s="19">
        <v>0</v>
      </c>
      <c r="ES229" s="119">
        <v>0</v>
      </c>
      <c r="ET229" s="119">
        <v>0</v>
      </c>
    </row>
    <row r="230" spans="1:150" ht="16.5" customHeight="1" x14ac:dyDescent="0.35">
      <c r="A230" s="4">
        <v>207</v>
      </c>
      <c r="B230" s="4" t="str">
        <f>LOOKUP(A230,Lookup!$A$1:$A$34,Lookup!$B$1:$B$34)</f>
        <v>PORK</v>
      </c>
      <c r="C230" s="5">
        <v>34304</v>
      </c>
      <c r="D230" s="6" t="s">
        <v>225</v>
      </c>
      <c r="E230" s="18">
        <v>104.357868952847</v>
      </c>
      <c r="F230" s="18">
        <v>6.01</v>
      </c>
      <c r="G230" s="18">
        <v>7409.4086956521696</v>
      </c>
      <c r="H230" s="18">
        <v>426.67500000000001</v>
      </c>
      <c r="I230" s="19">
        <v>278.27826086956497</v>
      </c>
      <c r="J230" s="19">
        <v>16.010000000000002</v>
      </c>
      <c r="K230" s="19">
        <v>454.91304347826099</v>
      </c>
      <c r="L230" s="19">
        <v>26.370999999999999</v>
      </c>
      <c r="M230" s="19">
        <v>167.860869565217</v>
      </c>
      <c r="N230" s="19">
        <v>9.7430000000000003</v>
      </c>
      <c r="O230" s="19">
        <v>122.426086956522</v>
      </c>
      <c r="P230" s="19">
        <v>7.0439999999999996</v>
      </c>
      <c r="Q230" s="19">
        <v>69.521739130434796</v>
      </c>
      <c r="R230" s="19">
        <v>4</v>
      </c>
      <c r="S230" s="19">
        <v>129.278260869565</v>
      </c>
      <c r="T230" s="19">
        <v>7.4379999999999997</v>
      </c>
      <c r="U230" s="19">
        <v>33.130434782608702</v>
      </c>
      <c r="V230" s="19">
        <v>1.9059999999999999</v>
      </c>
      <c r="W230" s="19">
        <v>35.913043478260903</v>
      </c>
      <c r="X230" s="19">
        <v>2.0659999999999998</v>
      </c>
      <c r="Y230" s="19">
        <v>93.269565217391303</v>
      </c>
      <c r="Z230" s="19">
        <v>5.3659999999999997</v>
      </c>
      <c r="AA230" s="19">
        <v>143.21739130434801</v>
      </c>
      <c r="AB230" s="19">
        <v>8.2390000000000008</v>
      </c>
      <c r="AC230" s="19">
        <v>94.121739130434804</v>
      </c>
      <c r="AD230" s="19">
        <v>5.415</v>
      </c>
      <c r="AE230" s="19">
        <v>80.895652173913007</v>
      </c>
      <c r="AF230" s="19">
        <v>4.6539999999999999</v>
      </c>
      <c r="AG230" s="19">
        <v>87.173913043478294</v>
      </c>
      <c r="AH230" s="19">
        <v>5.0149999999999997</v>
      </c>
      <c r="AI230" s="19">
        <v>153.38260869565201</v>
      </c>
      <c r="AJ230" s="19">
        <v>8.8239999999999998</v>
      </c>
      <c r="AK230" s="19">
        <v>147.991304347826</v>
      </c>
      <c r="AL230" s="19">
        <v>8.5139999999999993</v>
      </c>
      <c r="AM230" s="19">
        <v>0</v>
      </c>
      <c r="AN230" s="19">
        <v>0</v>
      </c>
      <c r="AO230" s="19">
        <v>79.599999999999994</v>
      </c>
      <c r="AP230" s="19">
        <v>4.5789999999999997</v>
      </c>
      <c r="AQ230" s="19">
        <v>95.982608695652203</v>
      </c>
      <c r="AR230" s="19">
        <v>5.5220000000000002</v>
      </c>
      <c r="AS230" s="19">
        <v>16.478260869565201</v>
      </c>
      <c r="AT230" s="19">
        <v>0.94799999999999995</v>
      </c>
      <c r="AU230" s="19">
        <v>275.50434782608698</v>
      </c>
      <c r="AV230" s="19">
        <v>15.849</v>
      </c>
      <c r="AW230" s="19">
        <v>90.486956521739103</v>
      </c>
      <c r="AX230" s="19">
        <v>5.2060000000000004</v>
      </c>
      <c r="AY230" s="19">
        <v>77.330434782608705</v>
      </c>
      <c r="AZ230" s="19">
        <v>4.4489999999999998</v>
      </c>
      <c r="BA230" s="19">
        <v>90.052173913043504</v>
      </c>
      <c r="BB230" s="19">
        <v>5.181</v>
      </c>
      <c r="BC230" s="19">
        <v>74</v>
      </c>
      <c r="BD230" s="19">
        <v>4.2569999999999997</v>
      </c>
      <c r="BE230" s="19">
        <v>162.62608695652199</v>
      </c>
      <c r="BF230" s="19">
        <v>9.3559999999999999</v>
      </c>
      <c r="BG230" s="19">
        <v>43.095652173913003</v>
      </c>
      <c r="BH230" s="19">
        <v>2.4790000000000001</v>
      </c>
      <c r="BI230" s="19">
        <v>26.486956521739099</v>
      </c>
      <c r="BJ230" s="19">
        <v>1.524</v>
      </c>
      <c r="BK230" s="19">
        <v>0</v>
      </c>
      <c r="BL230" s="19">
        <v>0</v>
      </c>
      <c r="BM230" s="19">
        <v>12.582608695652199</v>
      </c>
      <c r="BN230" s="19">
        <v>0.72399999999999998</v>
      </c>
      <c r="BO230" s="19">
        <v>23.773913043478299</v>
      </c>
      <c r="BP230" s="19">
        <v>1.3680000000000001</v>
      </c>
      <c r="BQ230" s="19">
        <v>61.252173913043499</v>
      </c>
      <c r="BR230" s="19">
        <v>3.524</v>
      </c>
      <c r="BS230" s="19">
        <v>18.008695652173898</v>
      </c>
      <c r="BT230" s="19">
        <v>1.036</v>
      </c>
      <c r="BU230" s="19">
        <v>15.747826086956501</v>
      </c>
      <c r="BV230" s="19">
        <v>0.90600000000000003</v>
      </c>
      <c r="BW230" s="19">
        <v>37.365217391304299</v>
      </c>
      <c r="BX230" s="19">
        <v>2.15</v>
      </c>
      <c r="BY230" s="19">
        <v>16.721739130434798</v>
      </c>
      <c r="BZ230" s="19">
        <v>0.96199999999999997</v>
      </c>
      <c r="CA230" s="19">
        <v>45.452173913043502</v>
      </c>
      <c r="CB230" s="19">
        <v>2.6150000000000002</v>
      </c>
      <c r="CC230" s="19">
        <v>6.4347826086956497</v>
      </c>
      <c r="CD230" s="19">
        <v>0.37</v>
      </c>
      <c r="CE230" s="19">
        <v>45.460869565217401</v>
      </c>
      <c r="CF230" s="19">
        <v>2.6150000000000002</v>
      </c>
      <c r="CG230" s="19">
        <v>297.695652173913</v>
      </c>
      <c r="CH230" s="19">
        <v>17.126000000000001</v>
      </c>
      <c r="CI230" s="19">
        <v>69.313043478260894</v>
      </c>
      <c r="CJ230" s="19">
        <v>3.9870000000000001</v>
      </c>
      <c r="CK230" s="19">
        <v>79.556521739130403</v>
      </c>
      <c r="CL230" s="19">
        <v>4.577</v>
      </c>
      <c r="CM230" s="19">
        <v>102.017391304348</v>
      </c>
      <c r="CN230" s="19">
        <v>5.8680000000000003</v>
      </c>
      <c r="CO230" s="19">
        <v>42.243478260869601</v>
      </c>
      <c r="CP230" s="19">
        <v>2.4300000000000002</v>
      </c>
      <c r="CQ230" s="19">
        <v>45.721739130434798</v>
      </c>
      <c r="CR230" s="19">
        <v>2.63</v>
      </c>
      <c r="CS230" s="19">
        <v>100.878260869565</v>
      </c>
      <c r="CT230" s="19">
        <v>5.8040000000000003</v>
      </c>
      <c r="CU230" s="19">
        <v>37.973913043478298</v>
      </c>
      <c r="CV230" s="19">
        <v>2.1840000000000002</v>
      </c>
      <c r="CW230" s="19">
        <v>74.608695652173907</v>
      </c>
      <c r="CX230" s="19">
        <v>4.2919999999999998</v>
      </c>
      <c r="CY230" s="19">
        <v>141.860869565217</v>
      </c>
      <c r="CZ230" s="19">
        <v>8.2309999999999999</v>
      </c>
      <c r="DA230" s="19">
        <v>80.0695652173913</v>
      </c>
      <c r="DB230" s="19">
        <v>4.6059999999999999</v>
      </c>
      <c r="DC230" s="19">
        <v>140.35652173912999</v>
      </c>
      <c r="DD230" s="19">
        <v>8.0749999999999993</v>
      </c>
      <c r="DE230" s="19">
        <v>30.4</v>
      </c>
      <c r="DF230" s="19">
        <v>1.8080000000000001</v>
      </c>
      <c r="DG230" s="19">
        <v>97.304347826086996</v>
      </c>
      <c r="DH230" s="19">
        <v>5.5979999999999999</v>
      </c>
      <c r="DI230" s="19">
        <v>161.591304347826</v>
      </c>
      <c r="DJ230" s="19">
        <v>9.2959999999999994</v>
      </c>
      <c r="DK230" s="19">
        <v>122.67826086956499</v>
      </c>
      <c r="DL230" s="19">
        <v>7.0579999999999998</v>
      </c>
      <c r="DM230" s="19">
        <v>87.817391304347794</v>
      </c>
      <c r="DN230" s="19">
        <v>5.0519999999999996</v>
      </c>
      <c r="DO230" s="19">
        <v>95.886956521739094</v>
      </c>
      <c r="DP230" s="19">
        <v>5.516</v>
      </c>
      <c r="DQ230" s="19">
        <v>52.913043478260903</v>
      </c>
      <c r="DR230" s="19">
        <v>3.044</v>
      </c>
      <c r="DS230" s="19">
        <v>126.704347826087</v>
      </c>
      <c r="DT230" s="19">
        <v>7.2889999999999997</v>
      </c>
      <c r="DU230" s="19">
        <v>61.913043478260903</v>
      </c>
      <c r="DV230" s="19">
        <v>3.5619999999999998</v>
      </c>
      <c r="DW230" s="19">
        <v>84.817391304347794</v>
      </c>
      <c r="DX230" s="19">
        <v>4.88</v>
      </c>
      <c r="DY230" s="19">
        <v>204.02608695652199</v>
      </c>
      <c r="DZ230" s="19">
        <v>11.738</v>
      </c>
      <c r="EA230" s="19">
        <v>63.269565217391303</v>
      </c>
      <c r="EB230" s="19">
        <v>3.64</v>
      </c>
      <c r="EC230" s="19">
        <v>53.330434782608698</v>
      </c>
      <c r="ED230" s="19">
        <v>3.0680000000000001</v>
      </c>
      <c r="EE230" s="19">
        <v>489.47826086956502</v>
      </c>
      <c r="EF230" s="19">
        <v>28.158000000000001</v>
      </c>
      <c r="EG230" s="19">
        <v>44.669565217391302</v>
      </c>
      <c r="EH230" s="19">
        <v>2.57</v>
      </c>
      <c r="EI230" s="19">
        <v>571.86956521739103</v>
      </c>
      <c r="EJ230" s="19">
        <v>32.898000000000003</v>
      </c>
      <c r="EK230" s="19">
        <v>23.3913043478261</v>
      </c>
      <c r="EL230" s="19">
        <v>1.3460000000000001</v>
      </c>
      <c r="EM230" s="19">
        <v>129.63478260869601</v>
      </c>
      <c r="EN230" s="19">
        <v>7.4580000000000002</v>
      </c>
      <c r="EO230" s="19">
        <v>274.51304347826101</v>
      </c>
      <c r="EP230" s="19">
        <v>15.792999999999999</v>
      </c>
      <c r="EQ230" s="19">
        <v>15.086956521739101</v>
      </c>
      <c r="ER230" s="19">
        <v>0.86799999999999999</v>
      </c>
      <c r="ES230" s="119">
        <v>0</v>
      </c>
      <c r="ET230" s="119">
        <v>0</v>
      </c>
    </row>
    <row r="231" spans="1:150" ht="16.5" customHeight="1" x14ac:dyDescent="0.35">
      <c r="A231" s="4">
        <v>207</v>
      </c>
      <c r="B231" s="4" t="str">
        <f>LOOKUP(A231,Lookup!$A$1:$A$34,Lookup!$B$1:$B$34)</f>
        <v>PORK</v>
      </c>
      <c r="C231" s="5">
        <v>38927</v>
      </c>
      <c r="D231" s="6" t="s">
        <v>226</v>
      </c>
      <c r="E231" s="18">
        <v>144.067605633803</v>
      </c>
      <c r="F231" s="18">
        <v>1.944</v>
      </c>
      <c r="G231" s="18">
        <v>10228.799999999999</v>
      </c>
      <c r="H231" s="18">
        <v>138</v>
      </c>
      <c r="I231" s="19">
        <v>226.93043478260901</v>
      </c>
      <c r="J231" s="19">
        <v>3</v>
      </c>
      <c r="K231" s="19">
        <v>75.6434782608696</v>
      </c>
      <c r="L231" s="19">
        <v>1</v>
      </c>
      <c r="M231" s="19">
        <v>374.43478260869603</v>
      </c>
      <c r="N231" s="19">
        <v>5</v>
      </c>
      <c r="O231" s="19">
        <v>302.573913043478</v>
      </c>
      <c r="P231" s="19">
        <v>4</v>
      </c>
      <c r="Q231" s="19">
        <v>75.6434782608696</v>
      </c>
      <c r="R231" s="19">
        <v>1</v>
      </c>
      <c r="S231" s="19">
        <v>302.573913043478</v>
      </c>
      <c r="T231" s="19">
        <v>4</v>
      </c>
      <c r="U231" s="19">
        <v>75.6434782608696</v>
      </c>
      <c r="V231" s="19">
        <v>1</v>
      </c>
      <c r="W231" s="19">
        <v>378.21739130434798</v>
      </c>
      <c r="X231" s="19">
        <v>5</v>
      </c>
      <c r="Y231" s="19">
        <v>453.860869565217</v>
      </c>
      <c r="Z231" s="19">
        <v>6</v>
      </c>
      <c r="AA231" s="19">
        <v>226.93043478260901</v>
      </c>
      <c r="AB231" s="19">
        <v>3</v>
      </c>
      <c r="AC231" s="19">
        <v>151.286956521739</v>
      </c>
      <c r="AD231" s="19">
        <v>2</v>
      </c>
      <c r="AE231" s="19">
        <v>302.573913043478</v>
      </c>
      <c r="AF231" s="19">
        <v>4</v>
      </c>
      <c r="AG231" s="19">
        <v>374.43478260869603</v>
      </c>
      <c r="AH231" s="19">
        <v>5</v>
      </c>
      <c r="AI231" s="19">
        <v>226.93043478260901</v>
      </c>
      <c r="AJ231" s="19">
        <v>3</v>
      </c>
      <c r="AK231" s="19">
        <v>302.573913043478</v>
      </c>
      <c r="AL231" s="19">
        <v>4</v>
      </c>
      <c r="AM231" s="19">
        <v>295.00869565217403</v>
      </c>
      <c r="AN231" s="19">
        <v>4</v>
      </c>
      <c r="AO231" s="19">
        <v>0</v>
      </c>
      <c r="AP231" s="19">
        <v>0</v>
      </c>
      <c r="AQ231" s="19">
        <v>374.43478260869603</v>
      </c>
      <c r="AR231" s="19">
        <v>5</v>
      </c>
      <c r="AS231" s="19">
        <v>151.286956521739</v>
      </c>
      <c r="AT231" s="19">
        <v>2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226.93043478260901</v>
      </c>
      <c r="BH231" s="19">
        <v>3</v>
      </c>
      <c r="BI231" s="19">
        <v>75.6434782608696</v>
      </c>
      <c r="BJ231" s="19">
        <v>1</v>
      </c>
      <c r="BK231" s="19">
        <v>151.286956521739</v>
      </c>
      <c r="BL231" s="19">
        <v>2</v>
      </c>
      <c r="BM231" s="19">
        <v>151.286956521739</v>
      </c>
      <c r="BN231" s="19">
        <v>2</v>
      </c>
      <c r="BO231" s="19">
        <v>75.6434782608696</v>
      </c>
      <c r="BP231" s="19">
        <v>1</v>
      </c>
      <c r="BQ231" s="19">
        <v>226.93043478260901</v>
      </c>
      <c r="BR231" s="19">
        <v>3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352.99130434782597</v>
      </c>
      <c r="BZ231" s="19">
        <v>6</v>
      </c>
      <c r="CA231" s="19">
        <v>60.860869565217399</v>
      </c>
      <c r="CB231" s="19">
        <v>1</v>
      </c>
      <c r="CC231" s="19">
        <v>348.65217391304299</v>
      </c>
      <c r="CD231" s="19">
        <v>5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0</v>
      </c>
      <c r="CN231" s="19">
        <v>0</v>
      </c>
      <c r="CO231" s="19">
        <v>313.00869565217403</v>
      </c>
      <c r="CP231" s="19">
        <v>4</v>
      </c>
      <c r="CQ231" s="19">
        <v>309.09565217391298</v>
      </c>
      <c r="CR231" s="19">
        <v>4</v>
      </c>
      <c r="CS231" s="19">
        <v>313.00869565217403</v>
      </c>
      <c r="CT231" s="19">
        <v>4</v>
      </c>
      <c r="CU231" s="19">
        <v>0</v>
      </c>
      <c r="CV231" s="19">
        <v>0</v>
      </c>
      <c r="CW231" s="19">
        <v>0</v>
      </c>
      <c r="CX231" s="19">
        <v>0</v>
      </c>
      <c r="CY231" s="19">
        <v>0</v>
      </c>
      <c r="CZ231" s="19">
        <v>0</v>
      </c>
      <c r="DA231" s="19">
        <v>0</v>
      </c>
      <c r="DB231" s="19">
        <v>0</v>
      </c>
      <c r="DC231" s="19">
        <v>443.426086956522</v>
      </c>
      <c r="DD231" s="19">
        <v>6</v>
      </c>
      <c r="DE231" s="19">
        <v>739.04347826086996</v>
      </c>
      <c r="DF231" s="19">
        <v>10</v>
      </c>
      <c r="DG231" s="19">
        <v>443.426086956522</v>
      </c>
      <c r="DH231" s="19">
        <v>6</v>
      </c>
      <c r="DI231" s="19">
        <v>665.13913043478306</v>
      </c>
      <c r="DJ231" s="19">
        <v>9</v>
      </c>
      <c r="DK231" s="19">
        <v>221.713043478261</v>
      </c>
      <c r="DL231" s="19">
        <v>3</v>
      </c>
      <c r="DM231" s="19">
        <v>295.61739130434802</v>
      </c>
      <c r="DN231" s="19">
        <v>4</v>
      </c>
      <c r="DO231" s="19">
        <v>0</v>
      </c>
      <c r="DP231" s="19">
        <v>0</v>
      </c>
      <c r="DQ231" s="19">
        <v>70.208695652173901</v>
      </c>
      <c r="DR231" s="19">
        <v>1</v>
      </c>
      <c r="DS231" s="19">
        <v>73.904347826086905</v>
      </c>
      <c r="DT231" s="19">
        <v>1</v>
      </c>
      <c r="DU231" s="19">
        <v>0</v>
      </c>
      <c r="DV231" s="19">
        <v>0</v>
      </c>
      <c r="DW231" s="19">
        <v>0</v>
      </c>
      <c r="DX231" s="19">
        <v>0</v>
      </c>
      <c r="DY231" s="19">
        <v>0</v>
      </c>
      <c r="DZ231" s="19">
        <v>0</v>
      </c>
      <c r="EA231" s="19">
        <v>0</v>
      </c>
      <c r="EB231" s="19">
        <v>0</v>
      </c>
      <c r="EC231" s="19">
        <v>0</v>
      </c>
      <c r="ED231" s="19">
        <v>0</v>
      </c>
      <c r="EE231" s="19">
        <v>0</v>
      </c>
      <c r="EF231" s="19">
        <v>0</v>
      </c>
      <c r="EG231" s="19">
        <v>0</v>
      </c>
      <c r="EH231" s="19">
        <v>0</v>
      </c>
      <c r="EI231" s="19">
        <v>0</v>
      </c>
      <c r="EJ231" s="19">
        <v>0</v>
      </c>
      <c r="EK231" s="19">
        <v>0</v>
      </c>
      <c r="EL231" s="19">
        <v>0</v>
      </c>
      <c r="EM231" s="19">
        <v>0</v>
      </c>
      <c r="EN231" s="19">
        <v>0</v>
      </c>
      <c r="EO231" s="19">
        <v>0</v>
      </c>
      <c r="EP231" s="19">
        <v>0</v>
      </c>
      <c r="EQ231" s="19">
        <v>0</v>
      </c>
      <c r="ER231" s="19">
        <v>0</v>
      </c>
      <c r="ES231" s="119">
        <v>0</v>
      </c>
      <c r="ET231" s="119">
        <v>0</v>
      </c>
    </row>
    <row r="232" spans="1:150" ht="16.5" customHeight="1" x14ac:dyDescent="0.35">
      <c r="A232" s="4">
        <v>207</v>
      </c>
      <c r="B232" s="4" t="str">
        <f>LOOKUP(A232,Lookup!$A$1:$A$34,Lookup!$B$1:$B$34)</f>
        <v>PORK</v>
      </c>
      <c r="C232" s="5">
        <v>38928</v>
      </c>
      <c r="D232" s="6" t="s">
        <v>227</v>
      </c>
      <c r="E232" s="18">
        <v>47.275688916105302</v>
      </c>
      <c r="F232" s="18">
        <v>0.30499999999999999</v>
      </c>
      <c r="G232" s="18">
        <v>3356.5739130434799</v>
      </c>
      <c r="H232" s="18">
        <v>21.638000000000002</v>
      </c>
      <c r="I232" s="19">
        <v>131.05217391304299</v>
      </c>
      <c r="J232" s="19">
        <v>0.81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200.547826086957</v>
      </c>
      <c r="AD232" s="19">
        <v>1.24</v>
      </c>
      <c r="AE232" s="19">
        <v>202.48695652173899</v>
      </c>
      <c r="AF232" s="19">
        <v>1.252</v>
      </c>
      <c r="AG232" s="19">
        <v>571.878260869565</v>
      </c>
      <c r="AH232" s="19">
        <v>3.536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0</v>
      </c>
      <c r="CO232" s="19">
        <v>0</v>
      </c>
      <c r="CP232" s="19">
        <v>0</v>
      </c>
      <c r="CQ232" s="19">
        <v>404.43478260869603</v>
      </c>
      <c r="CR232" s="19">
        <v>2.448</v>
      </c>
      <c r="CS232" s="19">
        <v>400.139130434783</v>
      </c>
      <c r="CT232" s="19">
        <v>2.4220000000000002</v>
      </c>
      <c r="CU232" s="19">
        <v>0</v>
      </c>
      <c r="CV232" s="19">
        <v>0</v>
      </c>
      <c r="CW232" s="19">
        <v>0</v>
      </c>
      <c r="CX232" s="19">
        <v>0</v>
      </c>
      <c r="CY232" s="19">
        <v>207.173913043478</v>
      </c>
      <c r="CZ232" s="19">
        <v>1.254</v>
      </c>
      <c r="DA232" s="19">
        <v>201.55652173913001</v>
      </c>
      <c r="DB232" s="19">
        <v>1.22</v>
      </c>
      <c r="DC232" s="19">
        <v>345.02608695652202</v>
      </c>
      <c r="DD232" s="19">
        <v>2.48</v>
      </c>
      <c r="DE232" s="19">
        <v>516.70434782608697</v>
      </c>
      <c r="DF232" s="19">
        <v>3.714</v>
      </c>
      <c r="DG232" s="19">
        <v>175.573913043478</v>
      </c>
      <c r="DH232" s="19">
        <v>1.262</v>
      </c>
      <c r="DI232" s="19">
        <v>0</v>
      </c>
      <c r="DJ232" s="19">
        <v>0</v>
      </c>
      <c r="DK232" s="19">
        <v>0</v>
      </c>
      <c r="DL232" s="19">
        <v>0</v>
      </c>
      <c r="DM232" s="19">
        <v>0</v>
      </c>
      <c r="DN232" s="19">
        <v>0</v>
      </c>
      <c r="DO232" s="19">
        <v>0</v>
      </c>
      <c r="DP232" s="19">
        <v>0</v>
      </c>
      <c r="DQ232" s="19">
        <v>0</v>
      </c>
      <c r="DR232" s="19">
        <v>0</v>
      </c>
      <c r="DS232" s="19">
        <v>0</v>
      </c>
      <c r="DT232" s="19">
        <v>0</v>
      </c>
      <c r="DU232" s="19">
        <v>0</v>
      </c>
      <c r="DV232" s="19">
        <v>0</v>
      </c>
      <c r="DW232" s="19">
        <v>0</v>
      </c>
      <c r="DX232" s="19">
        <v>0</v>
      </c>
      <c r="DY232" s="19">
        <v>0</v>
      </c>
      <c r="DZ232" s="19">
        <v>0</v>
      </c>
      <c r="EA232" s="19">
        <v>0</v>
      </c>
      <c r="EB232" s="19">
        <v>0</v>
      </c>
      <c r="EC232" s="19">
        <v>0</v>
      </c>
      <c r="ED232" s="19">
        <v>0</v>
      </c>
      <c r="EE232" s="19">
        <v>0</v>
      </c>
      <c r="EF232" s="19">
        <v>0</v>
      </c>
      <c r="EG232" s="19">
        <v>0</v>
      </c>
      <c r="EH232" s="19">
        <v>0</v>
      </c>
      <c r="EI232" s="19">
        <v>0</v>
      </c>
      <c r="EJ232" s="19">
        <v>0</v>
      </c>
      <c r="EK232" s="19">
        <v>0</v>
      </c>
      <c r="EL232" s="19">
        <v>0</v>
      </c>
      <c r="EM232" s="19">
        <v>0</v>
      </c>
      <c r="EN232" s="19">
        <v>0</v>
      </c>
      <c r="EO232" s="19">
        <v>0</v>
      </c>
      <c r="EP232" s="19">
        <v>0</v>
      </c>
      <c r="EQ232" s="19">
        <v>0</v>
      </c>
      <c r="ER232" s="19">
        <v>0</v>
      </c>
      <c r="ES232" s="119">
        <v>0</v>
      </c>
      <c r="ET232" s="119">
        <v>0</v>
      </c>
    </row>
    <row r="233" spans="1:150" ht="16.5" customHeight="1" x14ac:dyDescent="0.35">
      <c r="A233" s="4">
        <v>207</v>
      </c>
      <c r="B233" s="4" t="str">
        <f>LOOKUP(A233,Lookup!$A$1:$A$34,Lookup!$B$1:$B$34)</f>
        <v>PORK</v>
      </c>
      <c r="C233" s="5">
        <v>38929</v>
      </c>
      <c r="D233" s="6" t="s">
        <v>228</v>
      </c>
      <c r="E233" s="18">
        <v>0</v>
      </c>
      <c r="F233" s="18">
        <v>0</v>
      </c>
      <c r="G233" s="18">
        <v>0</v>
      </c>
      <c r="H233" s="18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0</v>
      </c>
      <c r="CO233" s="19">
        <v>0</v>
      </c>
      <c r="CP233" s="19">
        <v>0</v>
      </c>
      <c r="CQ233" s="19">
        <v>0</v>
      </c>
      <c r="CR233" s="19">
        <v>0</v>
      </c>
      <c r="CS233" s="19">
        <v>0</v>
      </c>
      <c r="CT233" s="19">
        <v>0</v>
      </c>
      <c r="CU233" s="19">
        <v>0</v>
      </c>
      <c r="CV233" s="19">
        <v>0</v>
      </c>
      <c r="CW233" s="19">
        <v>0</v>
      </c>
      <c r="CX233" s="19">
        <v>0</v>
      </c>
      <c r="CY233" s="19">
        <v>0</v>
      </c>
      <c r="CZ233" s="19">
        <v>0</v>
      </c>
      <c r="DA233" s="19">
        <v>0</v>
      </c>
      <c r="DB233" s="19">
        <v>0</v>
      </c>
      <c r="DC233" s="19">
        <v>0</v>
      </c>
      <c r="DD233" s="19">
        <v>0</v>
      </c>
      <c r="DE233" s="19">
        <v>0</v>
      </c>
      <c r="DF233" s="19">
        <v>0</v>
      </c>
      <c r="DG233" s="19">
        <v>0</v>
      </c>
      <c r="DH233" s="19">
        <v>0</v>
      </c>
      <c r="DI233" s="19">
        <v>0</v>
      </c>
      <c r="DJ233" s="19">
        <v>0</v>
      </c>
      <c r="DK233" s="19">
        <v>0</v>
      </c>
      <c r="DL233" s="19">
        <v>0</v>
      </c>
      <c r="DM233" s="19">
        <v>0</v>
      </c>
      <c r="DN233" s="19">
        <v>0</v>
      </c>
      <c r="DO233" s="19">
        <v>0</v>
      </c>
      <c r="DP233" s="19">
        <v>0</v>
      </c>
      <c r="DQ233" s="19">
        <v>0</v>
      </c>
      <c r="DR233" s="19">
        <v>0</v>
      </c>
      <c r="DS233" s="19">
        <v>0</v>
      </c>
      <c r="DT233" s="19">
        <v>0</v>
      </c>
      <c r="DU233" s="19">
        <v>0</v>
      </c>
      <c r="DV233" s="19">
        <v>0</v>
      </c>
      <c r="DW233" s="19">
        <v>0</v>
      </c>
      <c r="DX233" s="19">
        <v>0</v>
      </c>
      <c r="DY233" s="19">
        <v>0</v>
      </c>
      <c r="DZ233" s="19">
        <v>0</v>
      </c>
      <c r="EA233" s="19">
        <v>0</v>
      </c>
      <c r="EB233" s="19">
        <v>0</v>
      </c>
      <c r="EC233" s="19">
        <v>0</v>
      </c>
      <c r="ED233" s="19">
        <v>0</v>
      </c>
      <c r="EE233" s="19">
        <v>0</v>
      </c>
      <c r="EF233" s="19">
        <v>0</v>
      </c>
      <c r="EG233" s="19">
        <v>0</v>
      </c>
      <c r="EH233" s="19">
        <v>0</v>
      </c>
      <c r="EI233" s="19">
        <v>0</v>
      </c>
      <c r="EJ233" s="19">
        <v>0</v>
      </c>
      <c r="EK233" s="19">
        <v>0</v>
      </c>
      <c r="EL233" s="19">
        <v>0</v>
      </c>
      <c r="EM233" s="19">
        <v>0</v>
      </c>
      <c r="EN233" s="19">
        <v>0</v>
      </c>
      <c r="EO233" s="19">
        <v>0</v>
      </c>
      <c r="EP233" s="19">
        <v>0</v>
      </c>
      <c r="EQ233" s="19">
        <v>0</v>
      </c>
      <c r="ER233" s="19">
        <v>0</v>
      </c>
      <c r="ES233" s="119">
        <v>0</v>
      </c>
      <c r="ET233" s="119">
        <v>0</v>
      </c>
    </row>
    <row r="234" spans="1:150" ht="16.5" customHeight="1" x14ac:dyDescent="0.35">
      <c r="A234" s="4">
        <v>207</v>
      </c>
      <c r="B234" s="4" t="str">
        <f>LOOKUP(A234,Lookup!$A$1:$A$34,Lookup!$B$1:$B$34)</f>
        <v>PORK</v>
      </c>
      <c r="C234" s="5">
        <v>39397</v>
      </c>
      <c r="D234" s="6" t="s">
        <v>229</v>
      </c>
      <c r="E234" s="18">
        <v>325.539497856705</v>
      </c>
      <c r="F234" s="18">
        <v>4.0659999999999998</v>
      </c>
      <c r="G234" s="18">
        <v>23113.304347826099</v>
      </c>
      <c r="H234" s="18">
        <v>288.68799999999999</v>
      </c>
      <c r="I234" s="19">
        <v>694.730434782609</v>
      </c>
      <c r="J234" s="19">
        <v>8.8780000000000001</v>
      </c>
      <c r="K234" s="19">
        <v>177.32173913043499</v>
      </c>
      <c r="L234" s="19">
        <v>1.6990000000000001</v>
      </c>
      <c r="M234" s="19">
        <v>163.23478260869601</v>
      </c>
      <c r="N234" s="19">
        <v>1.5640000000000001</v>
      </c>
      <c r="O234" s="19">
        <v>183.89565217391299</v>
      </c>
      <c r="P234" s="19">
        <v>1.762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37.095652173913003</v>
      </c>
      <c r="AF234" s="19">
        <v>0.47399999999999998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200.79130434782601</v>
      </c>
      <c r="AT234" s="19">
        <v>2.0990000000000002</v>
      </c>
      <c r="AU234" s="19">
        <v>0</v>
      </c>
      <c r="AV234" s="19">
        <v>0</v>
      </c>
      <c r="AW234" s="19">
        <v>140.6</v>
      </c>
      <c r="AX234" s="19">
        <v>1.47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149.39130434782601</v>
      </c>
      <c r="BJ234" s="19">
        <v>1.909</v>
      </c>
      <c r="BK234" s="19">
        <v>0</v>
      </c>
      <c r="BL234" s="19">
        <v>0</v>
      </c>
      <c r="BM234" s="19">
        <v>0</v>
      </c>
      <c r="BN234" s="19">
        <v>0</v>
      </c>
      <c r="BO234" s="19">
        <v>150.869565217391</v>
      </c>
      <c r="BP234" s="19">
        <v>1.9279999999999999</v>
      </c>
      <c r="BQ234" s="19">
        <v>153.286956521739</v>
      </c>
      <c r="BR234" s="19">
        <v>2.0619999999999998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183.02608695652199</v>
      </c>
      <c r="BZ234" s="19">
        <v>2.4620000000000002</v>
      </c>
      <c r="CA234" s="19">
        <v>0</v>
      </c>
      <c r="CB234" s="19">
        <v>0</v>
      </c>
      <c r="CC234" s="19">
        <v>177.165217391304</v>
      </c>
      <c r="CD234" s="19">
        <v>1.698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0</v>
      </c>
      <c r="CN234" s="19">
        <v>0</v>
      </c>
      <c r="CO234" s="19">
        <v>0</v>
      </c>
      <c r="CP234" s="19">
        <v>0</v>
      </c>
      <c r="CQ234" s="19">
        <v>0</v>
      </c>
      <c r="CR234" s="19">
        <v>0</v>
      </c>
      <c r="CS234" s="19">
        <v>0</v>
      </c>
      <c r="CT234" s="19">
        <v>0</v>
      </c>
      <c r="CU234" s="19">
        <v>0</v>
      </c>
      <c r="CV234" s="19">
        <v>0</v>
      </c>
      <c r="CW234" s="19">
        <v>206.06086956521699</v>
      </c>
      <c r="CX234" s="19">
        <v>2.37</v>
      </c>
      <c r="CY234" s="19">
        <v>826.71304347826106</v>
      </c>
      <c r="CZ234" s="19">
        <v>9.5079999999999991</v>
      </c>
      <c r="DA234" s="19">
        <v>1557.75652173913</v>
      </c>
      <c r="DB234" s="19">
        <v>17.916</v>
      </c>
      <c r="DC234" s="19">
        <v>3819.6608695652199</v>
      </c>
      <c r="DD234" s="19">
        <v>49.055999999999997</v>
      </c>
      <c r="DE234" s="19">
        <v>6998.5739130434804</v>
      </c>
      <c r="DF234" s="19">
        <v>89.831999999999994</v>
      </c>
      <c r="DG234" s="19">
        <v>6197.4521739130396</v>
      </c>
      <c r="DH234" s="19">
        <v>79.198999999999998</v>
      </c>
      <c r="DI234" s="19">
        <v>161.826086956522</v>
      </c>
      <c r="DJ234" s="19">
        <v>1.915</v>
      </c>
      <c r="DK234" s="19">
        <v>161.35652173912999</v>
      </c>
      <c r="DL234" s="19">
        <v>1.909</v>
      </c>
      <c r="DM234" s="19">
        <v>0</v>
      </c>
      <c r="DN234" s="19">
        <v>0</v>
      </c>
      <c r="DO234" s="19">
        <v>0</v>
      </c>
      <c r="DP234" s="19">
        <v>0</v>
      </c>
      <c r="DQ234" s="19">
        <v>228.32173913043499</v>
      </c>
      <c r="DR234" s="19">
        <v>2.6259999999999999</v>
      </c>
      <c r="DS234" s="19">
        <v>0</v>
      </c>
      <c r="DT234" s="19">
        <v>0</v>
      </c>
      <c r="DU234" s="19">
        <v>0</v>
      </c>
      <c r="DV234" s="19">
        <v>0</v>
      </c>
      <c r="DW234" s="19">
        <v>0</v>
      </c>
      <c r="DX234" s="19">
        <v>0</v>
      </c>
      <c r="DY234" s="19">
        <v>0</v>
      </c>
      <c r="DZ234" s="19">
        <v>0</v>
      </c>
      <c r="EA234" s="19">
        <v>355.84347826086997</v>
      </c>
      <c r="EB234" s="19">
        <v>4.1859999999999999</v>
      </c>
      <c r="EC234" s="19">
        <v>188.33043478260899</v>
      </c>
      <c r="ED234" s="19">
        <v>2.1659999999999999</v>
      </c>
      <c r="EE234" s="19">
        <v>0</v>
      </c>
      <c r="EF234" s="19">
        <v>0</v>
      </c>
      <c r="EG234" s="19">
        <v>0</v>
      </c>
      <c r="EH234" s="19">
        <v>0</v>
      </c>
      <c r="EI234" s="19">
        <v>0</v>
      </c>
      <c r="EJ234" s="19">
        <v>0</v>
      </c>
      <c r="EK234" s="19">
        <v>0</v>
      </c>
      <c r="EL234" s="19">
        <v>0</v>
      </c>
      <c r="EM234" s="19">
        <v>0</v>
      </c>
      <c r="EN234" s="19">
        <v>0</v>
      </c>
      <c r="EO234" s="19">
        <v>0</v>
      </c>
      <c r="EP234" s="19">
        <v>0</v>
      </c>
      <c r="EQ234" s="19">
        <v>0</v>
      </c>
      <c r="ER234" s="19">
        <v>0</v>
      </c>
      <c r="ES234" s="119">
        <v>0</v>
      </c>
      <c r="ET234" s="119">
        <v>0</v>
      </c>
    </row>
    <row r="235" spans="1:150" ht="16.5" customHeight="1" x14ac:dyDescent="0.35">
      <c r="A235" s="4">
        <v>207</v>
      </c>
      <c r="B235" s="4" t="str">
        <f>LOOKUP(A235,Lookup!$A$1:$A$34,Lookup!$B$1:$B$34)</f>
        <v>PORK</v>
      </c>
      <c r="C235" s="5">
        <v>39411</v>
      </c>
      <c r="D235" s="6" t="s">
        <v>230</v>
      </c>
      <c r="E235" s="18">
        <v>0</v>
      </c>
      <c r="F235" s="18">
        <v>0</v>
      </c>
      <c r="G235" s="18">
        <v>0</v>
      </c>
      <c r="H235" s="18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0</v>
      </c>
      <c r="CN235" s="19">
        <v>0</v>
      </c>
      <c r="CO235" s="19">
        <v>0</v>
      </c>
      <c r="CP235" s="19">
        <v>0</v>
      </c>
      <c r="CQ235" s="19">
        <v>0</v>
      </c>
      <c r="CR235" s="19">
        <v>0</v>
      </c>
      <c r="CS235" s="19">
        <v>0</v>
      </c>
      <c r="CT235" s="19">
        <v>0</v>
      </c>
      <c r="CU235" s="19">
        <v>0</v>
      </c>
      <c r="CV235" s="19">
        <v>0</v>
      </c>
      <c r="CW235" s="19">
        <v>0</v>
      </c>
      <c r="CX235" s="19">
        <v>0</v>
      </c>
      <c r="CY235" s="19">
        <v>0</v>
      </c>
      <c r="CZ235" s="19">
        <v>0</v>
      </c>
      <c r="DA235" s="19">
        <v>0</v>
      </c>
      <c r="DB235" s="19">
        <v>0</v>
      </c>
      <c r="DC235" s="19">
        <v>0</v>
      </c>
      <c r="DD235" s="19">
        <v>0</v>
      </c>
      <c r="DE235" s="19">
        <v>0</v>
      </c>
      <c r="DF235" s="19">
        <v>0</v>
      </c>
      <c r="DG235" s="19">
        <v>0</v>
      </c>
      <c r="DH235" s="19">
        <v>0</v>
      </c>
      <c r="DI235" s="19">
        <v>0</v>
      </c>
      <c r="DJ235" s="19">
        <v>0</v>
      </c>
      <c r="DK235" s="19">
        <v>0</v>
      </c>
      <c r="DL235" s="19">
        <v>0</v>
      </c>
      <c r="DM235" s="19">
        <v>0</v>
      </c>
      <c r="DN235" s="19">
        <v>0</v>
      </c>
      <c r="DO235" s="19">
        <v>0</v>
      </c>
      <c r="DP235" s="19">
        <v>0</v>
      </c>
      <c r="DQ235" s="19">
        <v>0</v>
      </c>
      <c r="DR235" s="19">
        <v>0</v>
      </c>
      <c r="DS235" s="19">
        <v>0</v>
      </c>
      <c r="DT235" s="19">
        <v>0</v>
      </c>
      <c r="DU235" s="19">
        <v>0</v>
      </c>
      <c r="DV235" s="19">
        <v>0</v>
      </c>
      <c r="DW235" s="19">
        <v>0</v>
      </c>
      <c r="DX235" s="19">
        <v>0</v>
      </c>
      <c r="DY235" s="19">
        <v>0</v>
      </c>
      <c r="DZ235" s="19">
        <v>0</v>
      </c>
      <c r="EA235" s="19">
        <v>0</v>
      </c>
      <c r="EB235" s="19">
        <v>0</v>
      </c>
      <c r="EC235" s="19">
        <v>0</v>
      </c>
      <c r="ED235" s="19">
        <v>0</v>
      </c>
      <c r="EE235" s="19">
        <v>0</v>
      </c>
      <c r="EF235" s="19">
        <v>0</v>
      </c>
      <c r="EG235" s="19">
        <v>0</v>
      </c>
      <c r="EH235" s="19">
        <v>0</v>
      </c>
      <c r="EI235" s="19">
        <v>0</v>
      </c>
      <c r="EJ235" s="19">
        <v>0</v>
      </c>
      <c r="EK235" s="19">
        <v>0</v>
      </c>
      <c r="EL235" s="19">
        <v>0</v>
      </c>
      <c r="EM235" s="19">
        <v>0</v>
      </c>
      <c r="EN235" s="19">
        <v>0</v>
      </c>
      <c r="EO235" s="19">
        <v>0</v>
      </c>
      <c r="EP235" s="19">
        <v>0</v>
      </c>
      <c r="EQ235" s="19">
        <v>0</v>
      </c>
      <c r="ER235" s="19">
        <v>0</v>
      </c>
      <c r="ES235" s="119">
        <v>0</v>
      </c>
      <c r="ET235" s="119">
        <v>0</v>
      </c>
    </row>
    <row r="236" spans="1:150" ht="16.5" customHeight="1" x14ac:dyDescent="0.35">
      <c r="A236" s="4">
        <v>207</v>
      </c>
      <c r="B236" s="4" t="str">
        <f>LOOKUP(A236,Lookup!$A$1:$A$34,Lookup!$B$1:$B$34)</f>
        <v>PORK</v>
      </c>
      <c r="C236" s="5">
        <v>40148</v>
      </c>
      <c r="D236" s="6" t="s">
        <v>231</v>
      </c>
      <c r="E236" s="18">
        <v>0</v>
      </c>
      <c r="F236" s="18">
        <v>0</v>
      </c>
      <c r="G236" s="18">
        <v>0</v>
      </c>
      <c r="H236" s="18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0</v>
      </c>
      <c r="CO236" s="19">
        <v>0</v>
      </c>
      <c r="CP236" s="19">
        <v>0</v>
      </c>
      <c r="CQ236" s="19">
        <v>0</v>
      </c>
      <c r="CR236" s="19">
        <v>0</v>
      </c>
      <c r="CS236" s="19">
        <v>0</v>
      </c>
      <c r="CT236" s="19">
        <v>0</v>
      </c>
      <c r="CU236" s="19">
        <v>0</v>
      </c>
      <c r="CV236" s="19">
        <v>0</v>
      </c>
      <c r="CW236" s="19">
        <v>0</v>
      </c>
      <c r="CX236" s="19">
        <v>0</v>
      </c>
      <c r="CY236" s="19">
        <v>0</v>
      </c>
      <c r="CZ236" s="19">
        <v>0</v>
      </c>
      <c r="DA236" s="19">
        <v>0</v>
      </c>
      <c r="DB236" s="19">
        <v>0</v>
      </c>
      <c r="DC236" s="19">
        <v>0</v>
      </c>
      <c r="DD236" s="19">
        <v>0</v>
      </c>
      <c r="DE236" s="19">
        <v>0</v>
      </c>
      <c r="DF236" s="19">
        <v>0</v>
      </c>
      <c r="DG236" s="19">
        <v>0</v>
      </c>
      <c r="DH236" s="19">
        <v>0</v>
      </c>
      <c r="DI236" s="19">
        <v>0</v>
      </c>
      <c r="DJ236" s="19">
        <v>0</v>
      </c>
      <c r="DK236" s="19">
        <v>0</v>
      </c>
      <c r="DL236" s="19">
        <v>0</v>
      </c>
      <c r="DM236" s="19">
        <v>0</v>
      </c>
      <c r="DN236" s="19">
        <v>0</v>
      </c>
      <c r="DO236" s="19">
        <v>0</v>
      </c>
      <c r="DP236" s="19">
        <v>0</v>
      </c>
      <c r="DQ236" s="19">
        <v>0</v>
      </c>
      <c r="DR236" s="19">
        <v>0</v>
      </c>
      <c r="DS236" s="19">
        <v>0</v>
      </c>
      <c r="DT236" s="19">
        <v>0</v>
      </c>
      <c r="DU236" s="19">
        <v>0</v>
      </c>
      <c r="DV236" s="19">
        <v>0</v>
      </c>
      <c r="DW236" s="19">
        <v>0</v>
      </c>
      <c r="DX236" s="19">
        <v>0</v>
      </c>
      <c r="DY236" s="19">
        <v>0</v>
      </c>
      <c r="DZ236" s="19">
        <v>0</v>
      </c>
      <c r="EA236" s="19">
        <v>0</v>
      </c>
      <c r="EB236" s="19">
        <v>0</v>
      </c>
      <c r="EC236" s="19">
        <v>0</v>
      </c>
      <c r="ED236" s="19">
        <v>0</v>
      </c>
      <c r="EE236" s="19">
        <v>0</v>
      </c>
      <c r="EF236" s="19">
        <v>0</v>
      </c>
      <c r="EG236" s="19">
        <v>0</v>
      </c>
      <c r="EH236" s="19">
        <v>0</v>
      </c>
      <c r="EI236" s="19">
        <v>0</v>
      </c>
      <c r="EJ236" s="19">
        <v>0</v>
      </c>
      <c r="EK236" s="19">
        <v>0</v>
      </c>
      <c r="EL236" s="19">
        <v>0</v>
      </c>
      <c r="EM236" s="19">
        <v>0</v>
      </c>
      <c r="EN236" s="19">
        <v>0</v>
      </c>
      <c r="EO236" s="19">
        <v>0</v>
      </c>
      <c r="EP236" s="19">
        <v>0</v>
      </c>
      <c r="EQ236" s="19">
        <v>0</v>
      </c>
      <c r="ER236" s="19">
        <v>0</v>
      </c>
      <c r="ES236" s="119">
        <v>0</v>
      </c>
      <c r="ET236" s="119">
        <v>0</v>
      </c>
    </row>
    <row r="237" spans="1:150" ht="16.5" customHeight="1" x14ac:dyDescent="0.35">
      <c r="A237" s="4">
        <v>207</v>
      </c>
      <c r="B237" s="4" t="str">
        <f>LOOKUP(A237,Lookup!$A$1:$A$34,Lookup!$B$1:$B$34)</f>
        <v>PORK</v>
      </c>
      <c r="C237" s="5">
        <v>41260</v>
      </c>
      <c r="D237" s="6" t="s">
        <v>215</v>
      </c>
      <c r="E237" s="18">
        <v>0</v>
      </c>
      <c r="F237" s="18">
        <v>0</v>
      </c>
      <c r="G237" s="18">
        <v>0</v>
      </c>
      <c r="H237" s="18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0</v>
      </c>
      <c r="CN237" s="19">
        <v>0</v>
      </c>
      <c r="CO237" s="19">
        <v>0</v>
      </c>
      <c r="CP237" s="19">
        <v>0</v>
      </c>
      <c r="CQ237" s="19">
        <v>0</v>
      </c>
      <c r="CR237" s="19">
        <v>0</v>
      </c>
      <c r="CS237" s="19">
        <v>0</v>
      </c>
      <c r="CT237" s="19">
        <v>0</v>
      </c>
      <c r="CU237" s="19">
        <v>0</v>
      </c>
      <c r="CV237" s="19">
        <v>0</v>
      </c>
      <c r="CW237" s="19">
        <v>0</v>
      </c>
      <c r="CX237" s="19">
        <v>0</v>
      </c>
      <c r="CY237" s="19">
        <v>0</v>
      </c>
      <c r="CZ237" s="19">
        <v>0</v>
      </c>
      <c r="DA237" s="19">
        <v>0</v>
      </c>
      <c r="DB237" s="19">
        <v>0</v>
      </c>
      <c r="DC237" s="19">
        <v>0</v>
      </c>
      <c r="DD237" s="19">
        <v>0</v>
      </c>
      <c r="DE237" s="19">
        <v>0</v>
      </c>
      <c r="DF237" s="19">
        <v>0</v>
      </c>
      <c r="DG237" s="19">
        <v>0</v>
      </c>
      <c r="DH237" s="19">
        <v>0</v>
      </c>
      <c r="DI237" s="19">
        <v>0</v>
      </c>
      <c r="DJ237" s="19">
        <v>0</v>
      </c>
      <c r="DK237" s="19">
        <v>0</v>
      </c>
      <c r="DL237" s="19">
        <v>0</v>
      </c>
      <c r="DM237" s="19">
        <v>0</v>
      </c>
      <c r="DN237" s="19">
        <v>0</v>
      </c>
      <c r="DO237" s="19">
        <v>0</v>
      </c>
      <c r="DP237" s="19">
        <v>0</v>
      </c>
      <c r="DQ237" s="19">
        <v>0</v>
      </c>
      <c r="DR237" s="19">
        <v>0</v>
      </c>
      <c r="DS237" s="19">
        <v>0</v>
      </c>
      <c r="DT237" s="19">
        <v>0</v>
      </c>
      <c r="DU237" s="19">
        <v>0</v>
      </c>
      <c r="DV237" s="19">
        <v>0</v>
      </c>
      <c r="DW237" s="19">
        <v>0</v>
      </c>
      <c r="DX237" s="19">
        <v>0</v>
      </c>
      <c r="DY237" s="19">
        <v>0</v>
      </c>
      <c r="DZ237" s="19">
        <v>0</v>
      </c>
      <c r="EA237" s="19">
        <v>0</v>
      </c>
      <c r="EB237" s="19">
        <v>0</v>
      </c>
      <c r="EC237" s="19">
        <v>0</v>
      </c>
      <c r="ED237" s="19">
        <v>0</v>
      </c>
      <c r="EE237" s="19">
        <v>0</v>
      </c>
      <c r="EF237" s="19">
        <v>0</v>
      </c>
      <c r="EG237" s="19">
        <v>0</v>
      </c>
      <c r="EH237" s="19">
        <v>0</v>
      </c>
      <c r="EI237" s="19">
        <v>0</v>
      </c>
      <c r="EJ237" s="19">
        <v>0</v>
      </c>
      <c r="EK237" s="19">
        <v>0</v>
      </c>
      <c r="EL237" s="19">
        <v>0</v>
      </c>
      <c r="EM237" s="19">
        <v>0</v>
      </c>
      <c r="EN237" s="19">
        <v>0</v>
      </c>
      <c r="EO237" s="19">
        <v>0</v>
      </c>
      <c r="EP237" s="19">
        <v>0</v>
      </c>
      <c r="EQ237" s="19">
        <v>0</v>
      </c>
      <c r="ER237" s="19">
        <v>0</v>
      </c>
      <c r="ES237" s="119">
        <v>0</v>
      </c>
      <c r="ET237" s="119">
        <v>0</v>
      </c>
    </row>
    <row r="238" spans="1:150" ht="16.5" customHeight="1" x14ac:dyDescent="0.35">
      <c r="A238" s="4">
        <v>207</v>
      </c>
      <c r="B238" s="4" t="str">
        <f>LOOKUP(A238,Lookup!$A$1:$A$34,Lookup!$B$1:$B$34)</f>
        <v>PORK</v>
      </c>
      <c r="C238" s="5">
        <v>46391</v>
      </c>
      <c r="D238" s="6" t="s">
        <v>232</v>
      </c>
      <c r="E238" s="18">
        <v>112.814819350888</v>
      </c>
      <c r="F238" s="18">
        <v>2.101</v>
      </c>
      <c r="G238" s="18">
        <v>8009.8521739130401</v>
      </c>
      <c r="H238" s="18">
        <v>149.202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842.89565217391305</v>
      </c>
      <c r="Z238" s="19">
        <v>16.158000000000001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2480.8086956521702</v>
      </c>
      <c r="BH238" s="19">
        <v>47.786000000000001</v>
      </c>
      <c r="BI238" s="19">
        <v>2292.2869565217402</v>
      </c>
      <c r="BJ238" s="19">
        <v>44.118000000000002</v>
      </c>
      <c r="BK238" s="19">
        <v>642.51304347826101</v>
      </c>
      <c r="BL238" s="19">
        <v>12.364000000000001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1202.6260869565201</v>
      </c>
      <c r="BZ238" s="19">
        <v>19.760000000000002</v>
      </c>
      <c r="CA238" s="19">
        <v>548.72173913043503</v>
      </c>
      <c r="CB238" s="19">
        <v>9.016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0</v>
      </c>
      <c r="CN238" s="19">
        <v>0</v>
      </c>
      <c r="CO238" s="19">
        <v>0</v>
      </c>
      <c r="CP238" s="19">
        <v>0</v>
      </c>
      <c r="CQ238" s="19">
        <v>0</v>
      </c>
      <c r="CR238" s="19">
        <v>0</v>
      </c>
      <c r="CS238" s="19">
        <v>0</v>
      </c>
      <c r="CT238" s="19">
        <v>0</v>
      </c>
      <c r="CU238" s="19">
        <v>0</v>
      </c>
      <c r="CV238" s="19">
        <v>0</v>
      </c>
      <c r="CW238" s="19">
        <v>0</v>
      </c>
      <c r="CX238" s="19">
        <v>0</v>
      </c>
      <c r="CY238" s="19">
        <v>0</v>
      </c>
      <c r="CZ238" s="19">
        <v>0</v>
      </c>
      <c r="DA238" s="19">
        <v>0</v>
      </c>
      <c r="DB238" s="19">
        <v>0</v>
      </c>
      <c r="DC238" s="19">
        <v>0</v>
      </c>
      <c r="DD238" s="19">
        <v>0</v>
      </c>
      <c r="DE238" s="19">
        <v>0</v>
      </c>
      <c r="DF238" s="19">
        <v>0</v>
      </c>
      <c r="DG238" s="19">
        <v>0</v>
      </c>
      <c r="DH238" s="19">
        <v>0</v>
      </c>
      <c r="DI238" s="19">
        <v>0</v>
      </c>
      <c r="DJ238" s="19">
        <v>0</v>
      </c>
      <c r="DK238" s="19">
        <v>0</v>
      </c>
      <c r="DL238" s="19">
        <v>0</v>
      </c>
      <c r="DM238" s="19">
        <v>0</v>
      </c>
      <c r="DN238" s="19">
        <v>0</v>
      </c>
      <c r="DO238" s="19">
        <v>0</v>
      </c>
      <c r="DP238" s="19">
        <v>0</v>
      </c>
      <c r="DQ238" s="19">
        <v>0</v>
      </c>
      <c r="DR238" s="19">
        <v>0</v>
      </c>
      <c r="DS238" s="19">
        <v>0</v>
      </c>
      <c r="DT238" s="19">
        <v>0</v>
      </c>
      <c r="DU238" s="19">
        <v>0</v>
      </c>
      <c r="DV238" s="19">
        <v>0</v>
      </c>
      <c r="DW238" s="19">
        <v>0</v>
      </c>
      <c r="DX238" s="19">
        <v>0</v>
      </c>
      <c r="DY238" s="19">
        <v>0</v>
      </c>
      <c r="DZ238" s="19">
        <v>0</v>
      </c>
      <c r="EA238" s="19">
        <v>0</v>
      </c>
      <c r="EB238" s="19">
        <v>0</v>
      </c>
      <c r="EC238" s="19">
        <v>0</v>
      </c>
      <c r="ED238" s="19">
        <v>0</v>
      </c>
      <c r="EE238" s="19">
        <v>0</v>
      </c>
      <c r="EF238" s="19">
        <v>0</v>
      </c>
      <c r="EG238" s="19">
        <v>0</v>
      </c>
      <c r="EH238" s="19">
        <v>0</v>
      </c>
      <c r="EI238" s="19">
        <v>0</v>
      </c>
      <c r="EJ238" s="19">
        <v>0</v>
      </c>
      <c r="EK238" s="19">
        <v>0</v>
      </c>
      <c r="EL238" s="19">
        <v>0</v>
      </c>
      <c r="EM238" s="19">
        <v>0</v>
      </c>
      <c r="EN238" s="19">
        <v>0</v>
      </c>
      <c r="EO238" s="19">
        <v>0</v>
      </c>
      <c r="EP238" s="19">
        <v>0</v>
      </c>
      <c r="EQ238" s="19">
        <v>0</v>
      </c>
      <c r="ER238" s="19">
        <v>0</v>
      </c>
      <c r="ES238" s="119">
        <v>0</v>
      </c>
      <c r="ET238" s="119">
        <v>0</v>
      </c>
    </row>
    <row r="239" spans="1:150" ht="16.5" customHeight="1" x14ac:dyDescent="0.35">
      <c r="A239" s="4">
        <v>207</v>
      </c>
      <c r="B239" s="4" t="str">
        <f>LOOKUP(A239,Lookup!$A$1:$A$34,Lookup!$B$1:$B$34)</f>
        <v>PORK</v>
      </c>
      <c r="C239" s="5">
        <v>48338</v>
      </c>
      <c r="D239" s="6" t="s">
        <v>228</v>
      </c>
      <c r="E239" s="18">
        <v>0</v>
      </c>
      <c r="F239" s="18">
        <v>0</v>
      </c>
      <c r="G239" s="18">
        <v>0</v>
      </c>
      <c r="H239" s="18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0</v>
      </c>
      <c r="CO239" s="19">
        <v>0</v>
      </c>
      <c r="CP239" s="19">
        <v>0</v>
      </c>
      <c r="CQ239" s="19">
        <v>0</v>
      </c>
      <c r="CR239" s="19">
        <v>0</v>
      </c>
      <c r="CS239" s="19">
        <v>0</v>
      </c>
      <c r="CT239" s="19">
        <v>0</v>
      </c>
      <c r="CU239" s="19">
        <v>0</v>
      </c>
      <c r="CV239" s="19">
        <v>0</v>
      </c>
      <c r="CW239" s="19">
        <v>0</v>
      </c>
      <c r="CX239" s="19">
        <v>0</v>
      </c>
      <c r="CY239" s="19">
        <v>0</v>
      </c>
      <c r="CZ239" s="19">
        <v>0</v>
      </c>
      <c r="DA239" s="19">
        <v>0</v>
      </c>
      <c r="DB239" s="19">
        <v>0</v>
      </c>
      <c r="DC239" s="19">
        <v>0</v>
      </c>
      <c r="DD239" s="19">
        <v>0</v>
      </c>
      <c r="DE239" s="19">
        <v>0</v>
      </c>
      <c r="DF239" s="19">
        <v>0</v>
      </c>
      <c r="DG239" s="19">
        <v>0</v>
      </c>
      <c r="DH239" s="19">
        <v>0</v>
      </c>
      <c r="DI239" s="19">
        <v>0</v>
      </c>
      <c r="DJ239" s="19">
        <v>0</v>
      </c>
      <c r="DK239" s="19">
        <v>0</v>
      </c>
      <c r="DL239" s="19">
        <v>0</v>
      </c>
      <c r="DM239" s="19">
        <v>0</v>
      </c>
      <c r="DN239" s="19">
        <v>0</v>
      </c>
      <c r="DO239" s="19">
        <v>0</v>
      </c>
      <c r="DP239" s="19">
        <v>0</v>
      </c>
      <c r="DQ239" s="19">
        <v>0</v>
      </c>
      <c r="DR239" s="19">
        <v>0</v>
      </c>
      <c r="DS239" s="19">
        <v>0</v>
      </c>
      <c r="DT239" s="19">
        <v>0</v>
      </c>
      <c r="DU239" s="19">
        <v>0</v>
      </c>
      <c r="DV239" s="19">
        <v>0</v>
      </c>
      <c r="DW239" s="19">
        <v>0</v>
      </c>
      <c r="DX239" s="19">
        <v>0</v>
      </c>
      <c r="DY239" s="19">
        <v>0</v>
      </c>
      <c r="DZ239" s="19">
        <v>0</v>
      </c>
      <c r="EA239" s="19">
        <v>0</v>
      </c>
      <c r="EB239" s="19">
        <v>0</v>
      </c>
      <c r="EC239" s="19">
        <v>0</v>
      </c>
      <c r="ED239" s="19">
        <v>0</v>
      </c>
      <c r="EE239" s="19">
        <v>0</v>
      </c>
      <c r="EF239" s="19">
        <v>0</v>
      </c>
      <c r="EG239" s="19">
        <v>0</v>
      </c>
      <c r="EH239" s="19">
        <v>0</v>
      </c>
      <c r="EI239" s="19">
        <v>0</v>
      </c>
      <c r="EJ239" s="19">
        <v>0</v>
      </c>
      <c r="EK239" s="19">
        <v>0</v>
      </c>
      <c r="EL239" s="19">
        <v>0</v>
      </c>
      <c r="EM239" s="19">
        <v>0</v>
      </c>
      <c r="EN239" s="19">
        <v>0</v>
      </c>
      <c r="EO239" s="19">
        <v>0</v>
      </c>
      <c r="EP239" s="19">
        <v>0</v>
      </c>
      <c r="EQ239" s="19">
        <v>0</v>
      </c>
      <c r="ER239" s="19">
        <v>0</v>
      </c>
      <c r="ES239" s="119">
        <v>0</v>
      </c>
      <c r="ET239" s="119">
        <v>0</v>
      </c>
    </row>
    <row r="240" spans="1:150" ht="16.5" customHeight="1" x14ac:dyDescent="0.35">
      <c r="A240" s="4">
        <v>207</v>
      </c>
      <c r="B240" s="4" t="str">
        <f>LOOKUP(A240,Lookup!$A$1:$A$34,Lookup!$B$1:$B$34)</f>
        <v>PORK</v>
      </c>
      <c r="C240" s="5">
        <v>48771</v>
      </c>
      <c r="D240" s="6" t="s">
        <v>233</v>
      </c>
      <c r="E240" s="18">
        <v>212.69846907532099</v>
      </c>
      <c r="F240" s="18">
        <v>2.165</v>
      </c>
      <c r="G240" s="18">
        <v>15101.591304347799</v>
      </c>
      <c r="H240" s="18">
        <v>153.74</v>
      </c>
      <c r="I240" s="19">
        <v>203.460869565217</v>
      </c>
      <c r="J240" s="19">
        <v>1.8</v>
      </c>
      <c r="K240" s="19">
        <v>-97.173913043478294</v>
      </c>
      <c r="L240" s="19">
        <v>-0.86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155.44347826086999</v>
      </c>
      <c r="V240" s="19">
        <v>1.64</v>
      </c>
      <c r="W240" s="19">
        <v>261.41739130434797</v>
      </c>
      <c r="X240" s="19">
        <v>2.758</v>
      </c>
      <c r="Y240" s="19">
        <v>0</v>
      </c>
      <c r="Z240" s="19">
        <v>0</v>
      </c>
      <c r="AA240" s="19">
        <v>296.286956521739</v>
      </c>
      <c r="AB240" s="19">
        <v>3.1259999999999999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448.304347826087</v>
      </c>
      <c r="AL240" s="19">
        <v>5.1559999999999997</v>
      </c>
      <c r="AM240" s="19">
        <v>559.06956521739096</v>
      </c>
      <c r="AN240" s="19">
        <v>6.43</v>
      </c>
      <c r="AO240" s="19">
        <v>785.426086956522</v>
      </c>
      <c r="AP240" s="19">
        <v>8.4610000000000003</v>
      </c>
      <c r="AQ240" s="19">
        <v>438.27826086956497</v>
      </c>
      <c r="AR240" s="19">
        <v>4.6239999999999997</v>
      </c>
      <c r="AS240" s="19">
        <v>439.982608695652</v>
      </c>
      <c r="AT240" s="19">
        <v>4.6420000000000003</v>
      </c>
      <c r="AU240" s="19">
        <v>0</v>
      </c>
      <c r="AV240" s="19">
        <v>0</v>
      </c>
      <c r="AW240" s="19">
        <v>466.54782608695598</v>
      </c>
      <c r="AX240" s="19">
        <v>5.9619999999999997</v>
      </c>
      <c r="AY240" s="19">
        <v>537.43478260869597</v>
      </c>
      <c r="AZ240" s="19">
        <v>6.8680000000000003</v>
      </c>
      <c r="BA240" s="19">
        <v>102.04347826087</v>
      </c>
      <c r="BB240" s="19">
        <v>1.304</v>
      </c>
      <c r="BC240" s="19">
        <v>0</v>
      </c>
      <c r="BD240" s="19">
        <v>0</v>
      </c>
      <c r="BE240" s="19">
        <v>400.73913043478302</v>
      </c>
      <c r="BF240" s="19">
        <v>4.2279999999999998</v>
      </c>
      <c r="BG240" s="19">
        <v>643.00869565217397</v>
      </c>
      <c r="BH240" s="19">
        <v>6.7839999999999998</v>
      </c>
      <c r="BI240" s="19">
        <v>872.56521739130403</v>
      </c>
      <c r="BJ240" s="19">
        <v>9.2059999999999995</v>
      </c>
      <c r="BK240" s="19">
        <v>167.66086956521701</v>
      </c>
      <c r="BL240" s="19">
        <v>1.8620000000000001</v>
      </c>
      <c r="BM240" s="19">
        <v>0</v>
      </c>
      <c r="BN240" s="19">
        <v>0</v>
      </c>
      <c r="BO240" s="19">
        <v>0</v>
      </c>
      <c r="BP240" s="19">
        <v>0</v>
      </c>
      <c r="BQ240" s="19">
        <v>754.66086956521804</v>
      </c>
      <c r="BR240" s="19">
        <v>7.9619999999999997</v>
      </c>
      <c r="BS240" s="19">
        <v>234.76521739130399</v>
      </c>
      <c r="BT240" s="19">
        <v>2.16</v>
      </c>
      <c r="BU240" s="19">
        <v>869.27826086956497</v>
      </c>
      <c r="BV240" s="19">
        <v>7.9980000000000002</v>
      </c>
      <c r="BW240" s="19">
        <v>381.05217391304302</v>
      </c>
      <c r="BX240" s="19">
        <v>3.5059999999999998</v>
      </c>
      <c r="BY240" s="19">
        <v>0</v>
      </c>
      <c r="BZ240" s="19">
        <v>0</v>
      </c>
      <c r="CA240" s="19">
        <v>168.460869565217</v>
      </c>
      <c r="CB240" s="19">
        <v>1.55</v>
      </c>
      <c r="CC240" s="19">
        <v>302.80869565217398</v>
      </c>
      <c r="CD240" s="19">
        <v>2.786</v>
      </c>
      <c r="CE240" s="19">
        <v>0</v>
      </c>
      <c r="CF240" s="19">
        <v>0</v>
      </c>
      <c r="CG240" s="19">
        <v>0</v>
      </c>
      <c r="CH240" s="19">
        <v>0</v>
      </c>
      <c r="CI240" s="19">
        <v>652.36521739130399</v>
      </c>
      <c r="CJ240" s="19">
        <v>6.468</v>
      </c>
      <c r="CK240" s="19">
        <v>293.90434782608702</v>
      </c>
      <c r="CL240" s="19">
        <v>2.8090000000000002</v>
      </c>
      <c r="CM240" s="19">
        <v>205.852173913043</v>
      </c>
      <c r="CN240" s="19">
        <v>1.8939999999999999</v>
      </c>
      <c r="CO240" s="19">
        <v>0</v>
      </c>
      <c r="CP240" s="19">
        <v>0</v>
      </c>
      <c r="CQ240" s="19">
        <v>0</v>
      </c>
      <c r="CR240" s="19">
        <v>0</v>
      </c>
      <c r="CS240" s="19">
        <v>436.08695652173901</v>
      </c>
      <c r="CT240" s="19">
        <v>3.8580000000000001</v>
      </c>
      <c r="CU240" s="19">
        <v>115.52173913043499</v>
      </c>
      <c r="CV240" s="19">
        <v>1.022</v>
      </c>
      <c r="CW240" s="19">
        <v>0</v>
      </c>
      <c r="CX240" s="19">
        <v>0</v>
      </c>
      <c r="CY240" s="19">
        <v>266.99130434782597</v>
      </c>
      <c r="CZ240" s="19">
        <v>2.3620000000000001</v>
      </c>
      <c r="DA240" s="19">
        <v>201.878260869565</v>
      </c>
      <c r="DB240" s="19">
        <v>1.786</v>
      </c>
      <c r="DC240" s="19">
        <v>0</v>
      </c>
      <c r="DD240" s="19">
        <v>0</v>
      </c>
      <c r="DE240" s="19">
        <v>0</v>
      </c>
      <c r="DF240" s="19">
        <v>0</v>
      </c>
      <c r="DG240" s="19">
        <v>0</v>
      </c>
      <c r="DH240" s="19">
        <v>0</v>
      </c>
      <c r="DI240" s="19">
        <v>0</v>
      </c>
      <c r="DJ240" s="19">
        <v>0</v>
      </c>
      <c r="DK240" s="19">
        <v>0</v>
      </c>
      <c r="DL240" s="19">
        <v>0</v>
      </c>
      <c r="DM240" s="19">
        <v>0</v>
      </c>
      <c r="DN240" s="19">
        <v>0</v>
      </c>
      <c r="DO240" s="19">
        <v>0</v>
      </c>
      <c r="DP240" s="19">
        <v>0</v>
      </c>
      <c r="DQ240" s="19">
        <v>0</v>
      </c>
      <c r="DR240" s="19">
        <v>0</v>
      </c>
      <c r="DS240" s="19">
        <v>0</v>
      </c>
      <c r="DT240" s="19">
        <v>0</v>
      </c>
      <c r="DU240" s="19">
        <v>0</v>
      </c>
      <c r="DV240" s="19">
        <v>0</v>
      </c>
      <c r="DW240" s="19">
        <v>0</v>
      </c>
      <c r="DX240" s="19">
        <v>0</v>
      </c>
      <c r="DY240" s="19">
        <v>0</v>
      </c>
      <c r="DZ240" s="19">
        <v>0</v>
      </c>
      <c r="EA240" s="19">
        <v>542.33043478260902</v>
      </c>
      <c r="EB240" s="19">
        <v>4.798</v>
      </c>
      <c r="EC240" s="19">
        <v>496.45217391304402</v>
      </c>
      <c r="ED240" s="19">
        <v>4.3920000000000003</v>
      </c>
      <c r="EE240" s="19">
        <v>0</v>
      </c>
      <c r="EF240" s="19">
        <v>0</v>
      </c>
      <c r="EG240" s="19">
        <v>779.86956521739103</v>
      </c>
      <c r="EH240" s="19">
        <v>8.1539999999999999</v>
      </c>
      <c r="EI240" s="19">
        <v>269.90434782608702</v>
      </c>
      <c r="EJ240" s="19">
        <v>2.8220000000000001</v>
      </c>
      <c r="EK240" s="19">
        <v>282.91304347826099</v>
      </c>
      <c r="EL240" s="19">
        <v>2.9580000000000002</v>
      </c>
      <c r="EM240" s="19">
        <v>0</v>
      </c>
      <c r="EN240" s="19">
        <v>0</v>
      </c>
      <c r="EO240" s="19">
        <v>466.53913043478298</v>
      </c>
      <c r="EP240" s="19">
        <v>4.2759999999999998</v>
      </c>
      <c r="EQ240" s="19">
        <v>180.852173913043</v>
      </c>
      <c r="ER240" s="19">
        <v>1.6</v>
      </c>
      <c r="ES240" s="119">
        <v>671.20869565217401</v>
      </c>
      <c r="ET240" s="119">
        <v>5.9379999999999997</v>
      </c>
    </row>
    <row r="241" spans="1:150" ht="16.5" customHeight="1" x14ac:dyDescent="0.35">
      <c r="A241" s="4">
        <v>207</v>
      </c>
      <c r="B241" s="4" t="str">
        <f>LOOKUP(A241,Lookup!$A$1:$A$34,Lookup!$B$1:$B$34)</f>
        <v>PORK</v>
      </c>
      <c r="C241" s="5">
        <v>48944</v>
      </c>
      <c r="D241" s="6" t="s">
        <v>234</v>
      </c>
      <c r="E241" s="18">
        <v>0</v>
      </c>
      <c r="F241" s="18">
        <v>0</v>
      </c>
      <c r="G241" s="18">
        <v>0</v>
      </c>
      <c r="H241" s="18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>
        <v>0</v>
      </c>
      <c r="BW241" s="19">
        <v>0</v>
      </c>
      <c r="BX241" s="19">
        <v>0</v>
      </c>
      <c r="BY241" s="19">
        <v>0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19">
        <v>0</v>
      </c>
      <c r="CL241" s="19">
        <v>0</v>
      </c>
      <c r="CM241" s="19">
        <v>0</v>
      </c>
      <c r="CN241" s="19">
        <v>0</v>
      </c>
      <c r="CO241" s="19">
        <v>0</v>
      </c>
      <c r="CP241" s="19">
        <v>0</v>
      </c>
      <c r="CQ241" s="19">
        <v>0</v>
      </c>
      <c r="CR241" s="19">
        <v>0</v>
      </c>
      <c r="CS241" s="19">
        <v>0</v>
      </c>
      <c r="CT241" s="19">
        <v>0</v>
      </c>
      <c r="CU241" s="19">
        <v>0</v>
      </c>
      <c r="CV241" s="19">
        <v>0</v>
      </c>
      <c r="CW241" s="19">
        <v>0</v>
      </c>
      <c r="CX241" s="19">
        <v>0</v>
      </c>
      <c r="CY241" s="19">
        <v>0</v>
      </c>
      <c r="CZ241" s="19">
        <v>0</v>
      </c>
      <c r="DA241" s="19">
        <v>0</v>
      </c>
      <c r="DB241" s="19">
        <v>0</v>
      </c>
      <c r="DC241" s="19">
        <v>0</v>
      </c>
      <c r="DD241" s="19">
        <v>0</v>
      </c>
      <c r="DE241" s="19">
        <v>0</v>
      </c>
      <c r="DF241" s="19">
        <v>0</v>
      </c>
      <c r="DG241" s="19">
        <v>0</v>
      </c>
      <c r="DH241" s="19">
        <v>0</v>
      </c>
      <c r="DI241" s="19">
        <v>0</v>
      </c>
      <c r="DJ241" s="19">
        <v>0</v>
      </c>
      <c r="DK241" s="19">
        <v>0</v>
      </c>
      <c r="DL241" s="19">
        <v>0</v>
      </c>
      <c r="DM241" s="19">
        <v>0</v>
      </c>
      <c r="DN241" s="19">
        <v>0</v>
      </c>
      <c r="DO241" s="19">
        <v>0</v>
      </c>
      <c r="DP241" s="19">
        <v>0</v>
      </c>
      <c r="DQ241" s="19">
        <v>0</v>
      </c>
      <c r="DR241" s="19">
        <v>0</v>
      </c>
      <c r="DS241" s="19">
        <v>0</v>
      </c>
      <c r="DT241" s="19">
        <v>0</v>
      </c>
      <c r="DU241" s="19">
        <v>0</v>
      </c>
      <c r="DV241" s="19">
        <v>0</v>
      </c>
      <c r="DW241" s="19">
        <v>0</v>
      </c>
      <c r="DX241" s="19">
        <v>0</v>
      </c>
      <c r="DY241" s="19">
        <v>0</v>
      </c>
      <c r="DZ241" s="19">
        <v>0</v>
      </c>
      <c r="EA241" s="19">
        <v>0</v>
      </c>
      <c r="EB241" s="19">
        <v>0</v>
      </c>
      <c r="EC241" s="19">
        <v>0</v>
      </c>
      <c r="ED241" s="19">
        <v>0</v>
      </c>
      <c r="EE241" s="19">
        <v>0</v>
      </c>
      <c r="EF241" s="19">
        <v>0</v>
      </c>
      <c r="EG241" s="19">
        <v>0</v>
      </c>
      <c r="EH241" s="19">
        <v>0</v>
      </c>
      <c r="EI241" s="19">
        <v>0</v>
      </c>
      <c r="EJ241" s="19">
        <v>0</v>
      </c>
      <c r="EK241" s="19">
        <v>0</v>
      </c>
      <c r="EL241" s="19">
        <v>0</v>
      </c>
      <c r="EM241" s="19">
        <v>0</v>
      </c>
      <c r="EN241" s="19">
        <v>0</v>
      </c>
      <c r="EO241" s="19">
        <v>0</v>
      </c>
      <c r="EP241" s="19">
        <v>0</v>
      </c>
      <c r="EQ241" s="19">
        <v>0</v>
      </c>
      <c r="ER241" s="19">
        <v>0</v>
      </c>
      <c r="ES241" s="119">
        <v>0</v>
      </c>
      <c r="ET241" s="119">
        <v>0</v>
      </c>
    </row>
    <row r="242" spans="1:150" ht="16.5" customHeight="1" x14ac:dyDescent="0.35">
      <c r="A242" s="4">
        <v>207</v>
      </c>
      <c r="B242" s="4" t="str">
        <f>LOOKUP(A242,Lookup!$A$1:$A$34,Lookup!$B$1:$B$34)</f>
        <v>PORK</v>
      </c>
      <c r="C242" s="5">
        <v>51066</v>
      </c>
      <c r="D242" s="6" t="s">
        <v>235</v>
      </c>
      <c r="E242" s="18">
        <v>0</v>
      </c>
      <c r="F242" s="18">
        <v>0</v>
      </c>
      <c r="G242" s="18">
        <v>0</v>
      </c>
      <c r="H242" s="18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>
        <v>0</v>
      </c>
      <c r="BW242" s="19">
        <v>0</v>
      </c>
      <c r="BX242" s="19">
        <v>0</v>
      </c>
      <c r="BY242" s="19">
        <v>0</v>
      </c>
      <c r="BZ242" s="19">
        <v>0</v>
      </c>
      <c r="CA242" s="19">
        <v>0</v>
      </c>
      <c r="CB242" s="19">
        <v>0</v>
      </c>
      <c r="CC242" s="19">
        <v>0</v>
      </c>
      <c r="CD242" s="19">
        <v>0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19">
        <v>0</v>
      </c>
      <c r="CL242" s="19">
        <v>0</v>
      </c>
      <c r="CM242" s="19">
        <v>0</v>
      </c>
      <c r="CN242" s="19">
        <v>0</v>
      </c>
      <c r="CO242" s="19">
        <v>0</v>
      </c>
      <c r="CP242" s="19">
        <v>0</v>
      </c>
      <c r="CQ242" s="19">
        <v>0</v>
      </c>
      <c r="CR242" s="19">
        <v>0</v>
      </c>
      <c r="CS242" s="19">
        <v>0</v>
      </c>
      <c r="CT242" s="19">
        <v>0</v>
      </c>
      <c r="CU242" s="19">
        <v>0</v>
      </c>
      <c r="CV242" s="19">
        <v>0</v>
      </c>
      <c r="CW242" s="19">
        <v>0</v>
      </c>
      <c r="CX242" s="19">
        <v>0</v>
      </c>
      <c r="CY242" s="19">
        <v>0</v>
      </c>
      <c r="CZ242" s="19">
        <v>0</v>
      </c>
      <c r="DA242" s="19">
        <v>0</v>
      </c>
      <c r="DB242" s="19">
        <v>0</v>
      </c>
      <c r="DC242" s="19">
        <v>0</v>
      </c>
      <c r="DD242" s="19">
        <v>0</v>
      </c>
      <c r="DE242" s="19">
        <v>0</v>
      </c>
      <c r="DF242" s="19">
        <v>0</v>
      </c>
      <c r="DG242" s="19">
        <v>0</v>
      </c>
      <c r="DH242" s="19">
        <v>0</v>
      </c>
      <c r="DI242" s="19">
        <v>0</v>
      </c>
      <c r="DJ242" s="19">
        <v>0</v>
      </c>
      <c r="DK242" s="19">
        <v>0</v>
      </c>
      <c r="DL242" s="19">
        <v>0</v>
      </c>
      <c r="DM242" s="19">
        <v>0</v>
      </c>
      <c r="DN242" s="19">
        <v>0</v>
      </c>
      <c r="DO242" s="19">
        <v>0</v>
      </c>
      <c r="DP242" s="19">
        <v>0</v>
      </c>
      <c r="DQ242" s="19">
        <v>0</v>
      </c>
      <c r="DR242" s="19">
        <v>0</v>
      </c>
      <c r="DS242" s="19">
        <v>0</v>
      </c>
      <c r="DT242" s="19">
        <v>0</v>
      </c>
      <c r="DU242" s="19">
        <v>0</v>
      </c>
      <c r="DV242" s="19">
        <v>0</v>
      </c>
      <c r="DW242" s="19">
        <v>0</v>
      </c>
      <c r="DX242" s="19">
        <v>0</v>
      </c>
      <c r="DY242" s="19">
        <v>0</v>
      </c>
      <c r="DZ242" s="19">
        <v>0</v>
      </c>
      <c r="EA242" s="19">
        <v>0</v>
      </c>
      <c r="EB242" s="19">
        <v>0</v>
      </c>
      <c r="EC242" s="19">
        <v>0</v>
      </c>
      <c r="ED242" s="19">
        <v>0</v>
      </c>
      <c r="EE242" s="19">
        <v>0</v>
      </c>
      <c r="EF242" s="19">
        <v>0</v>
      </c>
      <c r="EG242" s="19">
        <v>0</v>
      </c>
      <c r="EH242" s="19">
        <v>0</v>
      </c>
      <c r="EI242" s="19">
        <v>0</v>
      </c>
      <c r="EJ242" s="19">
        <v>0</v>
      </c>
      <c r="EK242" s="19">
        <v>0</v>
      </c>
      <c r="EL242" s="19">
        <v>0</v>
      </c>
      <c r="EM242" s="19">
        <v>0</v>
      </c>
      <c r="EN242" s="19">
        <v>0</v>
      </c>
      <c r="EO242" s="19">
        <v>0</v>
      </c>
      <c r="EP242" s="19">
        <v>0</v>
      </c>
      <c r="EQ242" s="19">
        <v>0</v>
      </c>
      <c r="ER242" s="19">
        <v>0</v>
      </c>
      <c r="ES242" s="119">
        <v>0</v>
      </c>
      <c r="ET242" s="119">
        <v>0</v>
      </c>
    </row>
    <row r="243" spans="1:150" ht="16.5" customHeight="1" x14ac:dyDescent="0.35">
      <c r="A243" s="4">
        <v>207</v>
      </c>
      <c r="B243" s="4" t="str">
        <f>LOOKUP(A243,Lookup!$A$1:$A$34,Lookup!$B$1:$B$34)</f>
        <v>PORK</v>
      </c>
      <c r="C243" s="5">
        <v>51067</v>
      </c>
      <c r="D243" s="6" t="s">
        <v>236</v>
      </c>
      <c r="E243" s="18">
        <v>0</v>
      </c>
      <c r="F243" s="18">
        <v>0</v>
      </c>
      <c r="G243" s="18">
        <v>0</v>
      </c>
      <c r="H243" s="18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>
        <v>0</v>
      </c>
      <c r="BW243" s="19">
        <v>0</v>
      </c>
      <c r="BX243" s="19">
        <v>0</v>
      </c>
      <c r="BY243" s="19">
        <v>0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19">
        <v>0</v>
      </c>
      <c r="CL243" s="19">
        <v>0</v>
      </c>
      <c r="CM243" s="19">
        <v>0</v>
      </c>
      <c r="CN243" s="19">
        <v>0</v>
      </c>
      <c r="CO243" s="19">
        <v>0</v>
      </c>
      <c r="CP243" s="19">
        <v>0</v>
      </c>
      <c r="CQ243" s="19">
        <v>0</v>
      </c>
      <c r="CR243" s="19">
        <v>0</v>
      </c>
      <c r="CS243" s="19">
        <v>0</v>
      </c>
      <c r="CT243" s="19">
        <v>0</v>
      </c>
      <c r="CU243" s="19">
        <v>0</v>
      </c>
      <c r="CV243" s="19">
        <v>0</v>
      </c>
      <c r="CW243" s="19">
        <v>0</v>
      </c>
      <c r="CX243" s="19">
        <v>0</v>
      </c>
      <c r="CY243" s="19">
        <v>0</v>
      </c>
      <c r="CZ243" s="19">
        <v>0</v>
      </c>
      <c r="DA243" s="19">
        <v>0</v>
      </c>
      <c r="DB243" s="19">
        <v>0</v>
      </c>
      <c r="DC243" s="19">
        <v>0</v>
      </c>
      <c r="DD243" s="19">
        <v>0</v>
      </c>
      <c r="DE243" s="19">
        <v>0</v>
      </c>
      <c r="DF243" s="19">
        <v>0</v>
      </c>
      <c r="DG243" s="19">
        <v>0</v>
      </c>
      <c r="DH243" s="19">
        <v>0</v>
      </c>
      <c r="DI243" s="19">
        <v>0</v>
      </c>
      <c r="DJ243" s="19">
        <v>0</v>
      </c>
      <c r="DK243" s="19">
        <v>0</v>
      </c>
      <c r="DL243" s="19">
        <v>0</v>
      </c>
      <c r="DM243" s="19">
        <v>0</v>
      </c>
      <c r="DN243" s="19">
        <v>0</v>
      </c>
      <c r="DO243" s="19">
        <v>0</v>
      </c>
      <c r="DP243" s="19">
        <v>0</v>
      </c>
      <c r="DQ243" s="19">
        <v>0</v>
      </c>
      <c r="DR243" s="19">
        <v>0</v>
      </c>
      <c r="DS243" s="19">
        <v>0</v>
      </c>
      <c r="DT243" s="19">
        <v>0</v>
      </c>
      <c r="DU243" s="19">
        <v>0</v>
      </c>
      <c r="DV243" s="19">
        <v>0</v>
      </c>
      <c r="DW243" s="19">
        <v>0</v>
      </c>
      <c r="DX243" s="19">
        <v>0</v>
      </c>
      <c r="DY243" s="19">
        <v>0</v>
      </c>
      <c r="DZ243" s="19">
        <v>0</v>
      </c>
      <c r="EA243" s="19">
        <v>0</v>
      </c>
      <c r="EB243" s="19">
        <v>0</v>
      </c>
      <c r="EC243" s="19">
        <v>0</v>
      </c>
      <c r="ED243" s="19">
        <v>0</v>
      </c>
      <c r="EE243" s="19">
        <v>0</v>
      </c>
      <c r="EF243" s="19">
        <v>0</v>
      </c>
      <c r="EG243" s="19">
        <v>0</v>
      </c>
      <c r="EH243" s="19">
        <v>0</v>
      </c>
      <c r="EI243" s="19">
        <v>0</v>
      </c>
      <c r="EJ243" s="19">
        <v>0</v>
      </c>
      <c r="EK243" s="19">
        <v>0</v>
      </c>
      <c r="EL243" s="19">
        <v>0</v>
      </c>
      <c r="EM243" s="19">
        <v>0</v>
      </c>
      <c r="EN243" s="19">
        <v>0</v>
      </c>
      <c r="EO243" s="19">
        <v>0</v>
      </c>
      <c r="EP243" s="19">
        <v>0</v>
      </c>
      <c r="EQ243" s="19">
        <v>0</v>
      </c>
      <c r="ER243" s="19">
        <v>0</v>
      </c>
      <c r="ES243" s="119">
        <v>0</v>
      </c>
      <c r="ET243" s="119">
        <v>0</v>
      </c>
    </row>
    <row r="244" spans="1:150" ht="16.5" customHeight="1" x14ac:dyDescent="0.35">
      <c r="A244" s="4">
        <v>207</v>
      </c>
      <c r="B244" s="4" t="str">
        <f>LOOKUP(A244,Lookup!$A$1:$A$34,Lookup!$B$1:$B$34)</f>
        <v>PORK</v>
      </c>
      <c r="C244" s="5">
        <v>54107</v>
      </c>
      <c r="D244" s="6" t="s">
        <v>237</v>
      </c>
      <c r="E244" s="18">
        <v>90.453643600734793</v>
      </c>
      <c r="F244" s="18">
        <v>0.64300000000000002</v>
      </c>
      <c r="G244" s="18">
        <v>6422.2086956521698</v>
      </c>
      <c r="H244" s="18">
        <v>45.665999999999997</v>
      </c>
      <c r="I244" s="19">
        <v>510.47826086956502</v>
      </c>
      <c r="J244" s="19">
        <v>3.9140000000000001</v>
      </c>
      <c r="K244" s="19">
        <v>300.52173913043498</v>
      </c>
      <c r="L244" s="19">
        <v>2.3039999999999998</v>
      </c>
      <c r="M244" s="19">
        <v>318.24347826087001</v>
      </c>
      <c r="N244" s="19">
        <v>2.44</v>
      </c>
      <c r="O244" s="19">
        <v>317.64347826086998</v>
      </c>
      <c r="P244" s="19">
        <v>2.5430000000000001</v>
      </c>
      <c r="Q244" s="19">
        <v>156.539130434783</v>
      </c>
      <c r="R244" s="19">
        <v>1.286</v>
      </c>
      <c r="S244" s="19">
        <v>218.64347826087001</v>
      </c>
      <c r="T244" s="19">
        <v>1.8240000000000001</v>
      </c>
      <c r="U244" s="19">
        <v>17.3739130434783</v>
      </c>
      <c r="V244" s="19">
        <v>0.13300000000000001</v>
      </c>
      <c r="W244" s="19">
        <v>151.03478260869599</v>
      </c>
      <c r="X244" s="19">
        <v>1.0860000000000001</v>
      </c>
      <c r="Y244" s="19">
        <v>282.695652173913</v>
      </c>
      <c r="Z244" s="19">
        <v>2.032</v>
      </c>
      <c r="AA244" s="19">
        <v>469.66086956521701</v>
      </c>
      <c r="AB244" s="19">
        <v>3.3759999999999999</v>
      </c>
      <c r="AC244" s="19">
        <v>215.91304347826099</v>
      </c>
      <c r="AD244" s="19">
        <v>1.552</v>
      </c>
      <c r="AE244" s="19">
        <v>357.24347826087001</v>
      </c>
      <c r="AF244" s="19">
        <v>2.5680000000000001</v>
      </c>
      <c r="AG244" s="19">
        <v>70.669565217391295</v>
      </c>
      <c r="AH244" s="19">
        <v>0.50800000000000001</v>
      </c>
      <c r="AI244" s="19">
        <v>236.21739130434801</v>
      </c>
      <c r="AJ244" s="19">
        <v>1.698</v>
      </c>
      <c r="AK244" s="19">
        <v>0</v>
      </c>
      <c r="AL244" s="19">
        <v>0</v>
      </c>
      <c r="AM244" s="19">
        <v>77.0695652173913</v>
      </c>
      <c r="AN244" s="19">
        <v>0.55400000000000005</v>
      </c>
      <c r="AO244" s="19">
        <v>200.05217391304299</v>
      </c>
      <c r="AP244" s="19">
        <v>1.4379999999999999</v>
      </c>
      <c r="AQ244" s="19">
        <v>212.826086956522</v>
      </c>
      <c r="AR244" s="19">
        <v>1.5680000000000001</v>
      </c>
      <c r="AS244" s="19">
        <v>81.8</v>
      </c>
      <c r="AT244" s="19">
        <v>0.58799999999999997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392.02608695652202</v>
      </c>
      <c r="BB244" s="19">
        <v>2.2320000000000002</v>
      </c>
      <c r="BC244" s="19">
        <v>545.20000000000005</v>
      </c>
      <c r="BD244" s="19">
        <v>3.1040000000000001</v>
      </c>
      <c r="BE244" s="19">
        <v>0</v>
      </c>
      <c r="BF244" s="19">
        <v>0</v>
      </c>
      <c r="BG244" s="19">
        <v>260.02608695652202</v>
      </c>
      <c r="BH244" s="19">
        <v>1.4239999999999999</v>
      </c>
      <c r="BI244" s="19">
        <v>87.2869565217391</v>
      </c>
      <c r="BJ244" s="19">
        <v>0.47799999999999998</v>
      </c>
      <c r="BK244" s="19">
        <v>0</v>
      </c>
      <c r="BL244" s="19">
        <v>0</v>
      </c>
      <c r="BM244" s="19">
        <v>0</v>
      </c>
      <c r="BN244" s="19">
        <v>0</v>
      </c>
      <c r="BO244" s="19">
        <v>0</v>
      </c>
      <c r="BP244" s="19">
        <v>0</v>
      </c>
      <c r="BQ244" s="19">
        <v>80.339130434782604</v>
      </c>
      <c r="BR244" s="19">
        <v>0.61599999999999999</v>
      </c>
      <c r="BS244" s="19">
        <v>148.15652173913</v>
      </c>
      <c r="BT244" s="19">
        <v>1.1359999999999999</v>
      </c>
      <c r="BU244" s="19">
        <v>132.77391304347799</v>
      </c>
      <c r="BV244" s="19">
        <v>1.018</v>
      </c>
      <c r="BW244" s="19">
        <v>134.07826086956501</v>
      </c>
      <c r="BX244" s="19">
        <v>1.028</v>
      </c>
      <c r="BY244" s="19">
        <v>0</v>
      </c>
      <c r="BZ244" s="19">
        <v>0</v>
      </c>
      <c r="CA244" s="19">
        <v>0</v>
      </c>
      <c r="CB244" s="19">
        <v>0</v>
      </c>
      <c r="CC244" s="19">
        <v>0</v>
      </c>
      <c r="CD244" s="19">
        <v>0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19">
        <v>0</v>
      </c>
      <c r="CL244" s="19">
        <v>0</v>
      </c>
      <c r="CM244" s="19">
        <v>0</v>
      </c>
      <c r="CN244" s="19">
        <v>0</v>
      </c>
      <c r="CO244" s="19">
        <v>0</v>
      </c>
      <c r="CP244" s="19">
        <v>0</v>
      </c>
      <c r="CQ244" s="19">
        <v>144.121739130435</v>
      </c>
      <c r="CR244" s="19">
        <v>1.036</v>
      </c>
      <c r="CS244" s="19">
        <v>185.03478260869599</v>
      </c>
      <c r="CT244" s="19">
        <v>1.33</v>
      </c>
      <c r="CU244" s="19">
        <v>63.721739130434798</v>
      </c>
      <c r="CV244" s="19">
        <v>0.45800000000000002</v>
      </c>
      <c r="CW244" s="19">
        <v>54.817391304347801</v>
      </c>
      <c r="CX244" s="19">
        <v>0.39400000000000002</v>
      </c>
      <c r="CY244" s="19">
        <v>0</v>
      </c>
      <c r="CZ244" s="19">
        <v>0</v>
      </c>
      <c r="DA244" s="19">
        <v>0</v>
      </c>
      <c r="DB244" s="19">
        <v>0</v>
      </c>
      <c r="DC244" s="19">
        <v>0</v>
      </c>
      <c r="DD244" s="19">
        <v>0</v>
      </c>
      <c r="DE244" s="19">
        <v>0</v>
      </c>
      <c r="DF244" s="19">
        <v>0</v>
      </c>
      <c r="DG244" s="19">
        <v>0</v>
      </c>
      <c r="DH244" s="19">
        <v>0</v>
      </c>
      <c r="DI244" s="19">
        <v>0</v>
      </c>
      <c r="DJ244" s="19">
        <v>0</v>
      </c>
      <c r="DK244" s="19">
        <v>0</v>
      </c>
      <c r="DL244" s="19">
        <v>0</v>
      </c>
      <c r="DM244" s="19">
        <v>0</v>
      </c>
      <c r="DN244" s="19">
        <v>0</v>
      </c>
      <c r="DO244" s="19">
        <v>0</v>
      </c>
      <c r="DP244" s="19">
        <v>0</v>
      </c>
      <c r="DQ244" s="19">
        <v>0</v>
      </c>
      <c r="DR244" s="19">
        <v>0</v>
      </c>
      <c r="DS244" s="19">
        <v>0</v>
      </c>
      <c r="DT244" s="19">
        <v>0</v>
      </c>
      <c r="DU244" s="19">
        <v>0</v>
      </c>
      <c r="DV244" s="19">
        <v>0</v>
      </c>
      <c r="DW244" s="19">
        <v>0</v>
      </c>
      <c r="DX244" s="19">
        <v>0</v>
      </c>
      <c r="DY244" s="19">
        <v>0</v>
      </c>
      <c r="DZ244" s="19">
        <v>0</v>
      </c>
      <c r="EA244" s="19">
        <v>0</v>
      </c>
      <c r="EB244" s="19">
        <v>0</v>
      </c>
      <c r="EC244" s="19">
        <v>0</v>
      </c>
      <c r="ED244" s="19">
        <v>0</v>
      </c>
      <c r="EE244" s="19">
        <v>0</v>
      </c>
      <c r="EF244" s="19">
        <v>0</v>
      </c>
      <c r="EG244" s="19">
        <v>0</v>
      </c>
      <c r="EH244" s="19">
        <v>0</v>
      </c>
      <c r="EI244" s="19">
        <v>0</v>
      </c>
      <c r="EJ244" s="19">
        <v>0</v>
      </c>
      <c r="EK244" s="19">
        <v>0</v>
      </c>
      <c r="EL244" s="19">
        <v>0</v>
      </c>
      <c r="EM244" s="19">
        <v>0</v>
      </c>
      <c r="EN244" s="19">
        <v>0</v>
      </c>
      <c r="EO244" s="19">
        <v>0</v>
      </c>
      <c r="EP244" s="19">
        <v>0</v>
      </c>
      <c r="EQ244" s="19">
        <v>0</v>
      </c>
      <c r="ER244" s="19">
        <v>0</v>
      </c>
      <c r="ES244" s="119">
        <v>0</v>
      </c>
      <c r="ET244" s="119">
        <v>0</v>
      </c>
    </row>
    <row r="245" spans="1:150" ht="16.5" customHeight="1" x14ac:dyDescent="0.35">
      <c r="A245" s="4">
        <v>207</v>
      </c>
      <c r="B245" s="4" t="str">
        <f>LOOKUP(A245,Lookup!$A$1:$A$34,Lookup!$B$1:$B$34)</f>
        <v>PORK</v>
      </c>
      <c r="C245" s="5">
        <v>54562</v>
      </c>
      <c r="D245" s="6" t="s">
        <v>238</v>
      </c>
      <c r="E245" s="18">
        <v>2111.7472137170798</v>
      </c>
      <c r="F245" s="18">
        <v>17.62</v>
      </c>
      <c r="G245" s="18">
        <v>149934.05217391299</v>
      </c>
      <c r="H245" s="18">
        <v>1251</v>
      </c>
      <c r="I245" s="19">
        <v>1982.4434782608701</v>
      </c>
      <c r="J245" s="19">
        <v>19</v>
      </c>
      <c r="K245" s="19">
        <v>2655.4347826087001</v>
      </c>
      <c r="L245" s="19">
        <v>25</v>
      </c>
      <c r="M245" s="19">
        <v>906.46086956521697</v>
      </c>
      <c r="N245" s="19">
        <v>7</v>
      </c>
      <c r="O245" s="19">
        <v>3437.97391304348</v>
      </c>
      <c r="P245" s="19">
        <v>33</v>
      </c>
      <c r="Q245" s="19">
        <v>2712.8173913043502</v>
      </c>
      <c r="R245" s="19">
        <v>26</v>
      </c>
      <c r="S245" s="19">
        <v>3860.54782608696</v>
      </c>
      <c r="T245" s="19">
        <v>37</v>
      </c>
      <c r="U245" s="19">
        <v>2608.47826086957</v>
      </c>
      <c r="V245" s="19">
        <v>25</v>
      </c>
      <c r="W245" s="19">
        <v>2538.9304347826101</v>
      </c>
      <c r="X245" s="19">
        <v>23</v>
      </c>
      <c r="Y245" s="19">
        <v>2712.8347826087002</v>
      </c>
      <c r="Z245" s="19">
        <v>24</v>
      </c>
      <c r="AA245" s="19">
        <v>3886.6347826086999</v>
      </c>
      <c r="AB245" s="19">
        <v>37</v>
      </c>
      <c r="AC245" s="19">
        <v>1043.3913043478301</v>
      </c>
      <c r="AD245" s="19">
        <v>10</v>
      </c>
      <c r="AE245" s="19">
        <v>1872.8869565217401</v>
      </c>
      <c r="AF245" s="19">
        <v>18</v>
      </c>
      <c r="AG245" s="19">
        <v>2288.52173913043</v>
      </c>
      <c r="AH245" s="19">
        <v>20</v>
      </c>
      <c r="AI245" s="19">
        <v>914.72173913043503</v>
      </c>
      <c r="AJ245" s="19">
        <v>7</v>
      </c>
      <c r="AK245" s="19">
        <v>2582.4260869565201</v>
      </c>
      <c r="AL245" s="19">
        <v>21</v>
      </c>
      <c r="AM245" s="19">
        <v>2825.8695652173901</v>
      </c>
      <c r="AN245" s="19">
        <v>25</v>
      </c>
      <c r="AO245" s="19">
        <v>1345.1130434782599</v>
      </c>
      <c r="AP245" s="19">
        <v>12</v>
      </c>
      <c r="AQ245" s="19">
        <v>1582.48695652174</v>
      </c>
      <c r="AR245" s="19">
        <v>14</v>
      </c>
      <c r="AS245" s="19">
        <v>1689.8695652173899</v>
      </c>
      <c r="AT245" s="19">
        <v>15</v>
      </c>
      <c r="AU245" s="19">
        <v>2368.0782608695699</v>
      </c>
      <c r="AV245" s="19">
        <v>21</v>
      </c>
      <c r="AW245" s="19">
        <v>1808.5565217391299</v>
      </c>
      <c r="AX245" s="19">
        <v>16</v>
      </c>
      <c r="AY245" s="19">
        <v>1625.99130434783</v>
      </c>
      <c r="AZ245" s="19">
        <v>11</v>
      </c>
      <c r="BA245" s="19">
        <v>730.38260869565204</v>
      </c>
      <c r="BB245" s="19">
        <v>6</v>
      </c>
      <c r="BC245" s="19">
        <v>1156.45217391304</v>
      </c>
      <c r="BD245" s="19">
        <v>8</v>
      </c>
      <c r="BE245" s="19">
        <v>739.08695652173901</v>
      </c>
      <c r="BF245" s="19">
        <v>5</v>
      </c>
      <c r="BG245" s="19">
        <v>3069.3130434782602</v>
      </c>
      <c r="BH245" s="19">
        <v>29</v>
      </c>
      <c r="BI245" s="19">
        <v>2498.9217391304401</v>
      </c>
      <c r="BJ245" s="19">
        <v>24</v>
      </c>
      <c r="BK245" s="19">
        <v>1817.24347826087</v>
      </c>
      <c r="BL245" s="19">
        <v>17</v>
      </c>
      <c r="BM245" s="19">
        <v>2660.7130434782598</v>
      </c>
      <c r="BN245" s="19">
        <v>18</v>
      </c>
      <c r="BO245" s="19">
        <v>3504.0782608695699</v>
      </c>
      <c r="BP245" s="19">
        <v>31</v>
      </c>
      <c r="BQ245" s="19">
        <v>3391.04347826087</v>
      </c>
      <c r="BR245" s="19">
        <v>30</v>
      </c>
      <c r="BS245" s="19">
        <v>2052.0347826087</v>
      </c>
      <c r="BT245" s="19">
        <v>16</v>
      </c>
      <c r="BU245" s="19">
        <v>886.90434782608702</v>
      </c>
      <c r="BV245" s="19">
        <v>6</v>
      </c>
      <c r="BW245" s="19">
        <v>295.63478260869601</v>
      </c>
      <c r="BX245" s="19">
        <v>2</v>
      </c>
      <c r="BY245" s="19">
        <v>3512.8</v>
      </c>
      <c r="BZ245" s="19">
        <v>28</v>
      </c>
      <c r="CA245" s="19">
        <v>2191.1478260869599</v>
      </c>
      <c r="CB245" s="19">
        <v>18</v>
      </c>
      <c r="CC245" s="19">
        <v>1182.53913043478</v>
      </c>
      <c r="CD245" s="19">
        <v>8</v>
      </c>
      <c r="CE245" s="19">
        <v>443.45217391304402</v>
      </c>
      <c r="CF245" s="19">
        <v>3</v>
      </c>
      <c r="CG245" s="19">
        <v>4747.4608695652196</v>
      </c>
      <c r="CH245" s="19">
        <v>42</v>
      </c>
      <c r="CI245" s="19">
        <v>3040.6347826086999</v>
      </c>
      <c r="CJ245" s="19">
        <v>27</v>
      </c>
      <c r="CK245" s="19">
        <v>1356.4173913043501</v>
      </c>
      <c r="CL245" s="19">
        <v>12</v>
      </c>
      <c r="CM245" s="19">
        <v>1034.72173913043</v>
      </c>
      <c r="CN245" s="19">
        <v>7</v>
      </c>
      <c r="CO245" s="19">
        <v>1921.5913043478299</v>
      </c>
      <c r="CP245" s="19">
        <v>17</v>
      </c>
      <c r="CQ245" s="19">
        <v>1365.1304347826101</v>
      </c>
      <c r="CR245" s="19">
        <v>10</v>
      </c>
      <c r="CS245" s="19">
        <v>1112.97391304348</v>
      </c>
      <c r="CT245" s="19">
        <v>8</v>
      </c>
      <c r="CU245" s="19">
        <v>1669.46086956522</v>
      </c>
      <c r="CV245" s="19">
        <v>12</v>
      </c>
      <c r="CW245" s="19">
        <v>1530.3391304347799</v>
      </c>
      <c r="CX245" s="19">
        <v>11</v>
      </c>
      <c r="CY245" s="19">
        <v>3130.2608695652202</v>
      </c>
      <c r="CZ245" s="19">
        <v>20</v>
      </c>
      <c r="DA245" s="19">
        <v>1878.1565217391301</v>
      </c>
      <c r="DB245" s="19">
        <v>12</v>
      </c>
      <c r="DC245" s="19">
        <v>2834.5826086956499</v>
      </c>
      <c r="DD245" s="19">
        <v>23</v>
      </c>
      <c r="DE245" s="19">
        <v>5356.1391304347799</v>
      </c>
      <c r="DF245" s="19">
        <v>44</v>
      </c>
      <c r="DG245" s="19">
        <v>3639.7391304347798</v>
      </c>
      <c r="DH245" s="19">
        <v>30</v>
      </c>
      <c r="DI245" s="19">
        <v>4138.8347826087002</v>
      </c>
      <c r="DJ245" s="19">
        <v>34</v>
      </c>
      <c r="DK245" s="19">
        <v>1941.6</v>
      </c>
      <c r="DL245" s="19">
        <v>16</v>
      </c>
      <c r="DM245" s="19">
        <v>1825.95652173913</v>
      </c>
      <c r="DN245" s="19">
        <v>15</v>
      </c>
      <c r="DO245" s="19">
        <v>2063.3304347826102</v>
      </c>
      <c r="DP245" s="19">
        <v>17</v>
      </c>
      <c r="DQ245" s="19">
        <v>1391.20869565217</v>
      </c>
      <c r="DR245" s="19">
        <v>11</v>
      </c>
      <c r="DS245" s="19">
        <v>1173.8347826086999</v>
      </c>
      <c r="DT245" s="19">
        <v>9</v>
      </c>
      <c r="DU245" s="19">
        <v>2469.9304347826101</v>
      </c>
      <c r="DV245" s="19">
        <v>21</v>
      </c>
      <c r="DW245" s="19">
        <v>886.90434782608702</v>
      </c>
      <c r="DX245" s="19">
        <v>6</v>
      </c>
      <c r="DY245" s="19">
        <v>2512.8956521739101</v>
      </c>
      <c r="DZ245" s="19">
        <v>17</v>
      </c>
      <c r="EA245" s="19">
        <v>918.20869565217401</v>
      </c>
      <c r="EB245" s="19">
        <v>6</v>
      </c>
      <c r="EC245" s="19">
        <v>2684.6</v>
      </c>
      <c r="ED245" s="19">
        <v>25</v>
      </c>
      <c r="EE245" s="19">
        <v>0</v>
      </c>
      <c r="EF245" s="19">
        <v>0</v>
      </c>
      <c r="EG245" s="19">
        <v>3895.3739130434801</v>
      </c>
      <c r="EH245" s="19">
        <v>32</v>
      </c>
      <c r="EI245" s="19">
        <v>4126.6608695652203</v>
      </c>
      <c r="EJ245" s="19">
        <v>34</v>
      </c>
      <c r="EK245" s="19">
        <v>434.75652173912999</v>
      </c>
      <c r="EL245" s="19">
        <v>3</v>
      </c>
      <c r="EM245" s="19">
        <v>782.56521739130403</v>
      </c>
      <c r="EN245" s="19">
        <v>5</v>
      </c>
      <c r="EO245" s="19">
        <v>2347.6956521739098</v>
      </c>
      <c r="EP245" s="19">
        <v>15</v>
      </c>
      <c r="EQ245" s="19">
        <v>1870.3304347826099</v>
      </c>
      <c r="ER245" s="19">
        <v>12</v>
      </c>
      <c r="ES245" s="119">
        <v>782.56521739130403</v>
      </c>
      <c r="ET245" s="119">
        <v>5</v>
      </c>
    </row>
    <row r="246" spans="1:150" ht="16.5" customHeight="1" x14ac:dyDescent="0.35">
      <c r="A246" s="4">
        <v>207</v>
      </c>
      <c r="B246" s="4" t="str">
        <f>LOOKUP(A246,Lookup!$A$1:$A$34,Lookup!$B$1:$B$34)</f>
        <v>PORK</v>
      </c>
      <c r="C246" s="5">
        <v>54629</v>
      </c>
      <c r="D246" s="6" t="s">
        <v>239</v>
      </c>
      <c r="E246" s="18">
        <v>1461.1315370483801</v>
      </c>
      <c r="F246" s="18">
        <v>12.225</v>
      </c>
      <c r="G246" s="18">
        <v>103740.33913043499</v>
      </c>
      <c r="H246" s="18">
        <v>868</v>
      </c>
      <c r="I246" s="19">
        <v>2191.1217391304299</v>
      </c>
      <c r="J246" s="19">
        <v>21</v>
      </c>
      <c r="K246" s="19">
        <v>730.37391304347796</v>
      </c>
      <c r="L246" s="19">
        <v>7</v>
      </c>
      <c r="M246" s="19">
        <v>3025.8347826087002</v>
      </c>
      <c r="N246" s="19">
        <v>29</v>
      </c>
      <c r="O246" s="19">
        <v>1773.7652173913</v>
      </c>
      <c r="P246" s="19">
        <v>17</v>
      </c>
      <c r="Q246" s="19">
        <v>2086.7826086956502</v>
      </c>
      <c r="R246" s="19">
        <v>20</v>
      </c>
      <c r="S246" s="19">
        <v>1147.73043478261</v>
      </c>
      <c r="T246" s="19">
        <v>11</v>
      </c>
      <c r="U246" s="19">
        <v>1147.73043478261</v>
      </c>
      <c r="V246" s="19">
        <v>11</v>
      </c>
      <c r="W246" s="19">
        <v>1512.9217391304301</v>
      </c>
      <c r="X246" s="19">
        <v>14</v>
      </c>
      <c r="Y246" s="19">
        <v>1243.3826086956501</v>
      </c>
      <c r="Z246" s="19">
        <v>11</v>
      </c>
      <c r="AA246" s="19">
        <v>1382.49565217391</v>
      </c>
      <c r="AB246" s="19">
        <v>13</v>
      </c>
      <c r="AC246" s="19">
        <v>417.35652173913002</v>
      </c>
      <c r="AD246" s="19">
        <v>4</v>
      </c>
      <c r="AE246" s="19">
        <v>417.35652173913002</v>
      </c>
      <c r="AF246" s="19">
        <v>4</v>
      </c>
      <c r="AG246" s="19">
        <v>1539.00869565217</v>
      </c>
      <c r="AH246" s="19">
        <v>14</v>
      </c>
      <c r="AI246" s="19">
        <v>528.66086956521701</v>
      </c>
      <c r="AJ246" s="19">
        <v>4</v>
      </c>
      <c r="AK246" s="19">
        <v>1571.1826086956501</v>
      </c>
      <c r="AL246" s="19">
        <v>14</v>
      </c>
      <c r="AM246" s="19">
        <v>1808.5565217391299</v>
      </c>
      <c r="AN246" s="19">
        <v>16</v>
      </c>
      <c r="AO246" s="19">
        <v>2147.6608695652199</v>
      </c>
      <c r="AP246" s="19">
        <v>19</v>
      </c>
      <c r="AQ246" s="19">
        <v>1130.3478260869599</v>
      </c>
      <c r="AR246" s="19">
        <v>10</v>
      </c>
      <c r="AS246" s="19">
        <v>1017.3130434782601</v>
      </c>
      <c r="AT246" s="19">
        <v>9</v>
      </c>
      <c r="AU246" s="19">
        <v>565.17391304347802</v>
      </c>
      <c r="AV246" s="19">
        <v>5</v>
      </c>
      <c r="AW246" s="19">
        <v>904.27826086956497</v>
      </c>
      <c r="AX246" s="19">
        <v>8</v>
      </c>
      <c r="AY246" s="19">
        <v>1556.4260869565201</v>
      </c>
      <c r="AZ246" s="19">
        <v>11</v>
      </c>
      <c r="BA246" s="19">
        <v>608.65217391304304</v>
      </c>
      <c r="BB246" s="19">
        <v>5</v>
      </c>
      <c r="BC246" s="19">
        <v>147.81739130434801</v>
      </c>
      <c r="BD246" s="19">
        <v>1</v>
      </c>
      <c r="BE246" s="19">
        <v>1034.72173913043</v>
      </c>
      <c r="BF246" s="19">
        <v>7</v>
      </c>
      <c r="BG246" s="19">
        <v>2712.8173913043502</v>
      </c>
      <c r="BH246" s="19">
        <v>26</v>
      </c>
      <c r="BI246" s="19">
        <v>2191.1217391304299</v>
      </c>
      <c r="BJ246" s="19">
        <v>21</v>
      </c>
      <c r="BK246" s="19">
        <v>1339.02608695652</v>
      </c>
      <c r="BL246" s="19">
        <v>12</v>
      </c>
      <c r="BM246" s="19">
        <v>2025.9652173913</v>
      </c>
      <c r="BN246" s="19">
        <v>14</v>
      </c>
      <c r="BO246" s="19">
        <v>2594.1478260869599</v>
      </c>
      <c r="BP246" s="19">
        <v>23</v>
      </c>
      <c r="BQ246" s="19">
        <v>3391.04347826087</v>
      </c>
      <c r="BR246" s="19">
        <v>30</v>
      </c>
      <c r="BS246" s="19">
        <v>712.99130434782603</v>
      </c>
      <c r="BT246" s="19">
        <v>6</v>
      </c>
      <c r="BU246" s="19">
        <v>591.269565217391</v>
      </c>
      <c r="BV246" s="19">
        <v>4</v>
      </c>
      <c r="BW246" s="19">
        <v>1182.53913043478</v>
      </c>
      <c r="BX246" s="19">
        <v>8</v>
      </c>
      <c r="BY246" s="19">
        <v>513.00869565217397</v>
      </c>
      <c r="BZ246" s="19">
        <v>4</v>
      </c>
      <c r="CA246" s="19">
        <v>1582.49565217391</v>
      </c>
      <c r="CB246" s="19">
        <v>13</v>
      </c>
      <c r="CC246" s="19">
        <v>886.90434782608702</v>
      </c>
      <c r="CD246" s="19">
        <v>6</v>
      </c>
      <c r="CE246" s="19">
        <v>443.45217391304402</v>
      </c>
      <c r="CF246" s="19">
        <v>3</v>
      </c>
      <c r="CG246" s="19">
        <v>3730.1478260869599</v>
      </c>
      <c r="CH246" s="19">
        <v>33</v>
      </c>
      <c r="CI246" s="19">
        <v>2825.8695652173901</v>
      </c>
      <c r="CJ246" s="19">
        <v>25</v>
      </c>
      <c r="CK246" s="19">
        <v>565.17391304347802</v>
      </c>
      <c r="CL246" s="19">
        <v>5</v>
      </c>
      <c r="CM246" s="19">
        <v>113.03478260869601</v>
      </c>
      <c r="CN246" s="19">
        <v>1</v>
      </c>
      <c r="CO246" s="19">
        <v>1915.9391304347801</v>
      </c>
      <c r="CP246" s="19">
        <v>17</v>
      </c>
      <c r="CQ246" s="19">
        <v>1226.00869565217</v>
      </c>
      <c r="CR246" s="19">
        <v>9</v>
      </c>
      <c r="CS246" s="19">
        <v>556.48695652173899</v>
      </c>
      <c r="CT246" s="19">
        <v>4</v>
      </c>
      <c r="CU246" s="19">
        <v>2243.3304347826102</v>
      </c>
      <c r="CV246" s="19">
        <v>17</v>
      </c>
      <c r="CW246" s="19">
        <v>1947.6869565217401</v>
      </c>
      <c r="CX246" s="19">
        <v>16</v>
      </c>
      <c r="CY246" s="19">
        <v>1060.8086956521699</v>
      </c>
      <c r="CZ246" s="19">
        <v>7</v>
      </c>
      <c r="DA246" s="19">
        <v>1199.9217391304301</v>
      </c>
      <c r="DB246" s="19">
        <v>9</v>
      </c>
      <c r="DC246" s="19">
        <v>1947.6869565217401</v>
      </c>
      <c r="DD246" s="19">
        <v>16</v>
      </c>
      <c r="DE246" s="19">
        <v>2799.8</v>
      </c>
      <c r="DF246" s="19">
        <v>23</v>
      </c>
      <c r="DG246" s="19">
        <v>4376.2086956521698</v>
      </c>
      <c r="DH246" s="19">
        <v>36</v>
      </c>
      <c r="DI246" s="19">
        <v>3773.6434782608699</v>
      </c>
      <c r="DJ246" s="19">
        <v>31</v>
      </c>
      <c r="DK246" s="19">
        <v>1947.6869565217401</v>
      </c>
      <c r="DL246" s="19">
        <v>16</v>
      </c>
      <c r="DM246" s="19">
        <v>1339.0347826087</v>
      </c>
      <c r="DN246" s="19">
        <v>11</v>
      </c>
      <c r="DO246" s="19">
        <v>1095.5739130434799</v>
      </c>
      <c r="DP246" s="19">
        <v>9</v>
      </c>
      <c r="DQ246" s="19">
        <v>878.2</v>
      </c>
      <c r="DR246" s="19">
        <v>7</v>
      </c>
      <c r="DS246" s="19">
        <v>130.426086956522</v>
      </c>
      <c r="DT246" s="19">
        <v>1</v>
      </c>
      <c r="DU246" s="19">
        <v>703.15652173913099</v>
      </c>
      <c r="DV246" s="19">
        <v>6</v>
      </c>
      <c r="DW246" s="19">
        <v>1692.0695652173899</v>
      </c>
      <c r="DX246" s="19">
        <v>12</v>
      </c>
      <c r="DY246" s="19">
        <v>1034.72173913043</v>
      </c>
      <c r="DZ246" s="19">
        <v>7</v>
      </c>
      <c r="EA246" s="19">
        <v>724.304347826087</v>
      </c>
      <c r="EB246" s="19">
        <v>5</v>
      </c>
      <c r="EC246" s="19">
        <v>1162.8521739130399</v>
      </c>
      <c r="ED246" s="19">
        <v>10</v>
      </c>
      <c r="EE246" s="19">
        <v>739.08695652173901</v>
      </c>
      <c r="EF246" s="19">
        <v>5</v>
      </c>
      <c r="EG246" s="19">
        <v>2799.8</v>
      </c>
      <c r="EH246" s="19">
        <v>23</v>
      </c>
      <c r="EI246" s="19">
        <v>2434.6086956521699</v>
      </c>
      <c r="EJ246" s="19">
        <v>20</v>
      </c>
      <c r="EK246" s="19">
        <v>278.24347826087001</v>
      </c>
      <c r="EL246" s="19">
        <v>2</v>
      </c>
      <c r="EM246" s="19">
        <v>313.02608695652202</v>
      </c>
      <c r="EN246" s="19">
        <v>2</v>
      </c>
      <c r="EO246" s="19">
        <v>2191.1826086956498</v>
      </c>
      <c r="EP246" s="19">
        <v>14</v>
      </c>
      <c r="EQ246" s="19">
        <v>2191.1826086956498</v>
      </c>
      <c r="ER246" s="19">
        <v>14</v>
      </c>
      <c r="ES246" s="119">
        <v>313.02608695652202</v>
      </c>
      <c r="ET246" s="119">
        <v>2</v>
      </c>
    </row>
    <row r="247" spans="1:150" ht="16.5" customHeight="1" x14ac:dyDescent="0.35">
      <c r="A247" s="4">
        <v>207</v>
      </c>
      <c r="B247" s="4" t="str">
        <f>LOOKUP(A247,Lookup!$A$1:$A$34,Lookup!$B$1:$B$34)</f>
        <v>PORK</v>
      </c>
      <c r="C247" s="5">
        <v>54630</v>
      </c>
      <c r="D247" s="6" t="s">
        <v>240</v>
      </c>
      <c r="E247" s="18">
        <v>27.555052051439102</v>
      </c>
      <c r="F247" s="18">
        <v>0.183</v>
      </c>
      <c r="G247" s="18">
        <v>1956.4086956521701</v>
      </c>
      <c r="H247" s="18">
        <v>13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v>0</v>
      </c>
      <c r="CL247" s="19">
        <v>0</v>
      </c>
      <c r="CM247" s="19">
        <v>0</v>
      </c>
      <c r="CN247" s="19">
        <v>0</v>
      </c>
      <c r="CO247" s="19">
        <v>0</v>
      </c>
      <c r="CP247" s="19">
        <v>0</v>
      </c>
      <c r="CQ247" s="19">
        <v>0</v>
      </c>
      <c r="CR247" s="19">
        <v>0</v>
      </c>
      <c r="CS247" s="19">
        <v>0</v>
      </c>
      <c r="CT247" s="19">
        <v>0</v>
      </c>
      <c r="CU247" s="19">
        <v>0</v>
      </c>
      <c r="CV247" s="19">
        <v>0</v>
      </c>
      <c r="CW247" s="19">
        <v>0</v>
      </c>
      <c r="CX247" s="19">
        <v>0</v>
      </c>
      <c r="CY247" s="19">
        <v>0</v>
      </c>
      <c r="CZ247" s="19">
        <v>0</v>
      </c>
      <c r="DA247" s="19">
        <v>0</v>
      </c>
      <c r="DB247" s="19">
        <v>0</v>
      </c>
      <c r="DC247" s="19">
        <v>0</v>
      </c>
      <c r="DD247" s="19">
        <v>0</v>
      </c>
      <c r="DE247" s="19">
        <v>0</v>
      </c>
      <c r="DF247" s="19">
        <v>0</v>
      </c>
      <c r="DG247" s="19">
        <v>0</v>
      </c>
      <c r="DH247" s="19">
        <v>0</v>
      </c>
      <c r="DI247" s="19">
        <v>0</v>
      </c>
      <c r="DJ247" s="19">
        <v>0</v>
      </c>
      <c r="DK247" s="19">
        <v>0</v>
      </c>
      <c r="DL247" s="19">
        <v>0</v>
      </c>
      <c r="DM247" s="19">
        <v>0</v>
      </c>
      <c r="DN247" s="19">
        <v>0</v>
      </c>
      <c r="DO247" s="19">
        <v>0</v>
      </c>
      <c r="DP247" s="19">
        <v>0</v>
      </c>
      <c r="DQ247" s="19">
        <v>0</v>
      </c>
      <c r="DR247" s="19">
        <v>0</v>
      </c>
      <c r="DS247" s="19">
        <v>0</v>
      </c>
      <c r="DT247" s="19">
        <v>0</v>
      </c>
      <c r="DU247" s="19">
        <v>0</v>
      </c>
      <c r="DV247" s="19">
        <v>0</v>
      </c>
      <c r="DW247" s="19">
        <v>0</v>
      </c>
      <c r="DX247" s="19">
        <v>0</v>
      </c>
      <c r="DY247" s="19">
        <v>0</v>
      </c>
      <c r="DZ247" s="19">
        <v>0</v>
      </c>
      <c r="EA247" s="19">
        <v>0</v>
      </c>
      <c r="EB247" s="19">
        <v>0</v>
      </c>
      <c r="EC247" s="19">
        <v>0</v>
      </c>
      <c r="ED247" s="19">
        <v>0</v>
      </c>
      <c r="EE247" s="19">
        <v>260.85217391304298</v>
      </c>
      <c r="EF247" s="19">
        <v>2</v>
      </c>
      <c r="EG247" s="19">
        <v>912.99130434782603</v>
      </c>
      <c r="EH247" s="19">
        <v>6</v>
      </c>
      <c r="EI247" s="19">
        <v>313.02608695652202</v>
      </c>
      <c r="EJ247" s="19">
        <v>2</v>
      </c>
      <c r="EK247" s="19">
        <v>156.51304347826101</v>
      </c>
      <c r="EL247" s="19">
        <v>1</v>
      </c>
      <c r="EM247" s="19">
        <v>156.51304347826101</v>
      </c>
      <c r="EN247" s="19">
        <v>1</v>
      </c>
      <c r="EO247" s="19">
        <v>0</v>
      </c>
      <c r="EP247" s="19">
        <v>0</v>
      </c>
      <c r="EQ247" s="19">
        <v>156.51304347826101</v>
      </c>
      <c r="ER247" s="19">
        <v>1</v>
      </c>
      <c r="ES247" s="119">
        <v>0</v>
      </c>
      <c r="ET247" s="119">
        <v>0</v>
      </c>
    </row>
    <row r="248" spans="1:150" ht="16.5" customHeight="1" x14ac:dyDescent="0.35">
      <c r="A248" s="4">
        <v>207</v>
      </c>
      <c r="B248" s="4" t="str">
        <f>LOOKUP(A248,Lookup!$A$1:$A$34,Lookup!$B$1:$B$34)</f>
        <v>PORK</v>
      </c>
      <c r="C248" s="5">
        <v>54631</v>
      </c>
      <c r="D248" s="6" t="s">
        <v>241</v>
      </c>
      <c r="E248" s="18">
        <v>46.916962645437799</v>
      </c>
      <c r="F248" s="18">
        <v>0.32400000000000001</v>
      </c>
      <c r="G248" s="18">
        <v>3331.1043478260899</v>
      </c>
      <c r="H248" s="18">
        <v>23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0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>
        <v>0</v>
      </c>
      <c r="BW248" s="19">
        <v>0</v>
      </c>
      <c r="BX248" s="19">
        <v>0</v>
      </c>
      <c r="BY248" s="19">
        <v>0</v>
      </c>
      <c r="BZ248" s="19">
        <v>0</v>
      </c>
      <c r="CA248" s="19">
        <v>0</v>
      </c>
      <c r="CB248" s="19">
        <v>0</v>
      </c>
      <c r="CC248" s="19">
        <v>0</v>
      </c>
      <c r="CD248" s="19">
        <v>0</v>
      </c>
      <c r="CE248" s="19">
        <v>0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19">
        <v>0</v>
      </c>
      <c r="CL248" s="19">
        <v>0</v>
      </c>
      <c r="CM248" s="19">
        <v>0</v>
      </c>
      <c r="CN248" s="19">
        <v>0</v>
      </c>
      <c r="CO248" s="19">
        <v>0</v>
      </c>
      <c r="CP248" s="19">
        <v>0</v>
      </c>
      <c r="CQ248" s="19">
        <v>0</v>
      </c>
      <c r="CR248" s="19">
        <v>0</v>
      </c>
      <c r="CS248" s="19">
        <v>0</v>
      </c>
      <c r="CT248" s="19">
        <v>0</v>
      </c>
      <c r="CU248" s="19">
        <v>0</v>
      </c>
      <c r="CV248" s="19">
        <v>0</v>
      </c>
      <c r="CW248" s="19">
        <v>0</v>
      </c>
      <c r="CX248" s="19">
        <v>0</v>
      </c>
      <c r="CY248" s="19">
        <v>0</v>
      </c>
      <c r="CZ248" s="19">
        <v>0</v>
      </c>
      <c r="DA248" s="19">
        <v>0</v>
      </c>
      <c r="DB248" s="19">
        <v>0</v>
      </c>
      <c r="DC248" s="19">
        <v>0</v>
      </c>
      <c r="DD248" s="19">
        <v>0</v>
      </c>
      <c r="DE248" s="19">
        <v>0</v>
      </c>
      <c r="DF248" s="19">
        <v>0</v>
      </c>
      <c r="DG248" s="19">
        <v>0</v>
      </c>
      <c r="DH248" s="19">
        <v>0</v>
      </c>
      <c r="DI248" s="19">
        <v>0</v>
      </c>
      <c r="DJ248" s="19">
        <v>0</v>
      </c>
      <c r="DK248" s="19">
        <v>0</v>
      </c>
      <c r="DL248" s="19">
        <v>0</v>
      </c>
      <c r="DM248" s="19">
        <v>0</v>
      </c>
      <c r="DN248" s="19">
        <v>0</v>
      </c>
      <c r="DO248" s="19">
        <v>0</v>
      </c>
      <c r="DP248" s="19">
        <v>0</v>
      </c>
      <c r="DQ248" s="19">
        <v>0</v>
      </c>
      <c r="DR248" s="19">
        <v>0</v>
      </c>
      <c r="DS248" s="19">
        <v>0</v>
      </c>
      <c r="DT248" s="19">
        <v>0</v>
      </c>
      <c r="DU248" s="19">
        <v>0</v>
      </c>
      <c r="DV248" s="19">
        <v>0</v>
      </c>
      <c r="DW248" s="19">
        <v>0</v>
      </c>
      <c r="DX248" s="19">
        <v>0</v>
      </c>
      <c r="DY248" s="19">
        <v>0</v>
      </c>
      <c r="DZ248" s="19">
        <v>0</v>
      </c>
      <c r="EA248" s="19">
        <v>0</v>
      </c>
      <c r="EB248" s="19">
        <v>0</v>
      </c>
      <c r="EC248" s="19">
        <v>0</v>
      </c>
      <c r="ED248" s="19">
        <v>0</v>
      </c>
      <c r="EE248" s="19">
        <v>1304.26086956522</v>
      </c>
      <c r="EF248" s="19">
        <v>10</v>
      </c>
      <c r="EG248" s="19">
        <v>313.02608695652202</v>
      </c>
      <c r="EH248" s="19">
        <v>2</v>
      </c>
      <c r="EI248" s="19">
        <v>774.73913043478296</v>
      </c>
      <c r="EJ248" s="19">
        <v>5</v>
      </c>
      <c r="EK248" s="19">
        <v>313.02608695652202</v>
      </c>
      <c r="EL248" s="19">
        <v>2</v>
      </c>
      <c r="EM248" s="19">
        <v>469.53913043478298</v>
      </c>
      <c r="EN248" s="19">
        <v>3</v>
      </c>
      <c r="EO248" s="19">
        <v>156.51304347826101</v>
      </c>
      <c r="EP248" s="19">
        <v>1</v>
      </c>
      <c r="EQ248" s="19">
        <v>0</v>
      </c>
      <c r="ER248" s="19">
        <v>0</v>
      </c>
      <c r="ES248" s="119">
        <v>0</v>
      </c>
      <c r="ET248" s="119">
        <v>0</v>
      </c>
    </row>
    <row r="249" spans="1:150" ht="16.5" customHeight="1" x14ac:dyDescent="0.35">
      <c r="A249" s="4">
        <v>207</v>
      </c>
      <c r="B249" s="4" t="str">
        <f>LOOKUP(A249,Lookup!$A$1:$A$34,Lookup!$B$1:$B$34)</f>
        <v>PORK</v>
      </c>
      <c r="C249" s="5">
        <v>55173</v>
      </c>
      <c r="D249" s="6" t="s">
        <v>242</v>
      </c>
      <c r="E249" s="18">
        <v>1.7146356399265199</v>
      </c>
      <c r="F249" s="18">
        <v>2.8000000000000001E-2</v>
      </c>
      <c r="G249" s="18">
        <v>121.73913043478299</v>
      </c>
      <c r="H249" s="18">
        <v>2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0</v>
      </c>
      <c r="BW249" s="19">
        <v>60.869565217391298</v>
      </c>
      <c r="BX249" s="19">
        <v>1</v>
      </c>
      <c r="BY249" s="19">
        <v>0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0</v>
      </c>
      <c r="CN249" s="19">
        <v>0</v>
      </c>
      <c r="CO249" s="19">
        <v>0</v>
      </c>
      <c r="CP249" s="19">
        <v>0</v>
      </c>
      <c r="CQ249" s="19">
        <v>0</v>
      </c>
      <c r="CR249" s="19">
        <v>0</v>
      </c>
      <c r="CS249" s="19">
        <v>60.869565217391298</v>
      </c>
      <c r="CT249" s="19">
        <v>1</v>
      </c>
      <c r="CU249" s="19">
        <v>0</v>
      </c>
      <c r="CV249" s="19">
        <v>0</v>
      </c>
      <c r="CW249" s="19">
        <v>0</v>
      </c>
      <c r="CX249" s="19">
        <v>0</v>
      </c>
      <c r="CY249" s="19">
        <v>0</v>
      </c>
      <c r="CZ249" s="19">
        <v>0</v>
      </c>
      <c r="DA249" s="19">
        <v>0</v>
      </c>
      <c r="DB249" s="19">
        <v>0</v>
      </c>
      <c r="DC249" s="19">
        <v>0</v>
      </c>
      <c r="DD249" s="19">
        <v>0</v>
      </c>
      <c r="DE249" s="19">
        <v>0</v>
      </c>
      <c r="DF249" s="19">
        <v>0</v>
      </c>
      <c r="DG249" s="19">
        <v>0</v>
      </c>
      <c r="DH249" s="19">
        <v>0</v>
      </c>
      <c r="DI249" s="19">
        <v>0</v>
      </c>
      <c r="DJ249" s="19">
        <v>0</v>
      </c>
      <c r="DK249" s="19">
        <v>0</v>
      </c>
      <c r="DL249" s="19">
        <v>0</v>
      </c>
      <c r="DM249" s="19">
        <v>0</v>
      </c>
      <c r="DN249" s="19">
        <v>0</v>
      </c>
      <c r="DO249" s="19">
        <v>0</v>
      </c>
      <c r="DP249" s="19">
        <v>0</v>
      </c>
      <c r="DQ249" s="19">
        <v>0</v>
      </c>
      <c r="DR249" s="19">
        <v>0</v>
      </c>
      <c r="DS249" s="19">
        <v>0</v>
      </c>
      <c r="DT249" s="19">
        <v>0</v>
      </c>
      <c r="DU249" s="19">
        <v>0</v>
      </c>
      <c r="DV249" s="19">
        <v>0</v>
      </c>
      <c r="DW249" s="19">
        <v>0</v>
      </c>
      <c r="DX249" s="19">
        <v>0</v>
      </c>
      <c r="DY249" s="19">
        <v>0</v>
      </c>
      <c r="DZ249" s="19">
        <v>0</v>
      </c>
      <c r="EA249" s="19">
        <v>0</v>
      </c>
      <c r="EB249" s="19">
        <v>0</v>
      </c>
      <c r="EC249" s="19">
        <v>0</v>
      </c>
      <c r="ED249" s="19">
        <v>0</v>
      </c>
      <c r="EE249" s="19">
        <v>0</v>
      </c>
      <c r="EF249" s="19">
        <v>0</v>
      </c>
      <c r="EG249" s="19">
        <v>0</v>
      </c>
      <c r="EH249" s="19">
        <v>0</v>
      </c>
      <c r="EI249" s="19">
        <v>0</v>
      </c>
      <c r="EJ249" s="19">
        <v>0</v>
      </c>
      <c r="EK249" s="19">
        <v>0</v>
      </c>
      <c r="EL249" s="19">
        <v>0</v>
      </c>
      <c r="EM249" s="19">
        <v>0</v>
      </c>
      <c r="EN249" s="19">
        <v>0</v>
      </c>
      <c r="EO249" s="19">
        <v>0</v>
      </c>
      <c r="EP249" s="19">
        <v>0</v>
      </c>
      <c r="EQ249" s="19">
        <v>0</v>
      </c>
      <c r="ER249" s="19">
        <v>0</v>
      </c>
      <c r="ES249" s="119">
        <v>0</v>
      </c>
      <c r="ET249" s="119">
        <v>0</v>
      </c>
    </row>
    <row r="250" spans="1:150" ht="16.5" customHeight="1" x14ac:dyDescent="0.35">
      <c r="A250" s="4">
        <v>207</v>
      </c>
      <c r="B250" s="4" t="str">
        <f>LOOKUP(A250,Lookup!$A$1:$A$34,Lookup!$B$1:$B$34)</f>
        <v>PORK</v>
      </c>
      <c r="C250" s="5">
        <v>56774</v>
      </c>
      <c r="D250" s="6" t="s">
        <v>243</v>
      </c>
      <c r="E250" s="18">
        <v>0</v>
      </c>
      <c r="F250" s="18">
        <v>0</v>
      </c>
      <c r="G250" s="18">
        <v>0</v>
      </c>
      <c r="H250" s="18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>
        <v>0</v>
      </c>
      <c r="BW250" s="19">
        <v>0</v>
      </c>
      <c r="BX250" s="19">
        <v>0</v>
      </c>
      <c r="BY250" s="19">
        <v>0</v>
      </c>
      <c r="BZ250" s="19">
        <v>0</v>
      </c>
      <c r="CA250" s="19">
        <v>0</v>
      </c>
      <c r="CB250" s="19">
        <v>0</v>
      </c>
      <c r="CC250" s="19">
        <v>0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0</v>
      </c>
      <c r="CN250" s="19">
        <v>0</v>
      </c>
      <c r="CO250" s="19">
        <v>0</v>
      </c>
      <c r="CP250" s="19">
        <v>0</v>
      </c>
      <c r="CQ250" s="19">
        <v>0</v>
      </c>
      <c r="CR250" s="19">
        <v>0</v>
      </c>
      <c r="CS250" s="19">
        <v>0</v>
      </c>
      <c r="CT250" s="19">
        <v>0</v>
      </c>
      <c r="CU250" s="19">
        <v>0</v>
      </c>
      <c r="CV250" s="19">
        <v>0</v>
      </c>
      <c r="CW250" s="19">
        <v>0</v>
      </c>
      <c r="CX250" s="19">
        <v>0</v>
      </c>
      <c r="CY250" s="19">
        <v>0</v>
      </c>
      <c r="CZ250" s="19">
        <v>0</v>
      </c>
      <c r="DA250" s="19">
        <v>0</v>
      </c>
      <c r="DB250" s="19">
        <v>0</v>
      </c>
      <c r="DC250" s="19">
        <v>0</v>
      </c>
      <c r="DD250" s="19">
        <v>0</v>
      </c>
      <c r="DE250" s="19">
        <v>0</v>
      </c>
      <c r="DF250" s="19">
        <v>0</v>
      </c>
      <c r="DG250" s="19">
        <v>0</v>
      </c>
      <c r="DH250" s="19">
        <v>0</v>
      </c>
      <c r="DI250" s="19">
        <v>0</v>
      </c>
      <c r="DJ250" s="19">
        <v>0</v>
      </c>
      <c r="DK250" s="19">
        <v>0</v>
      </c>
      <c r="DL250" s="19">
        <v>0</v>
      </c>
      <c r="DM250" s="19">
        <v>0</v>
      </c>
      <c r="DN250" s="19">
        <v>0</v>
      </c>
      <c r="DO250" s="19">
        <v>0</v>
      </c>
      <c r="DP250" s="19">
        <v>0</v>
      </c>
      <c r="DQ250" s="19">
        <v>0</v>
      </c>
      <c r="DR250" s="19">
        <v>0</v>
      </c>
      <c r="DS250" s="19">
        <v>0</v>
      </c>
      <c r="DT250" s="19">
        <v>0</v>
      </c>
      <c r="DU250" s="19">
        <v>0</v>
      </c>
      <c r="DV250" s="19">
        <v>0</v>
      </c>
      <c r="DW250" s="19">
        <v>0</v>
      </c>
      <c r="DX250" s="19">
        <v>0</v>
      </c>
      <c r="DY250" s="19">
        <v>0</v>
      </c>
      <c r="DZ250" s="19">
        <v>0</v>
      </c>
      <c r="EA250" s="19">
        <v>0</v>
      </c>
      <c r="EB250" s="19">
        <v>0</v>
      </c>
      <c r="EC250" s="19">
        <v>0</v>
      </c>
      <c r="ED250" s="19">
        <v>0</v>
      </c>
      <c r="EE250" s="19">
        <v>0</v>
      </c>
      <c r="EF250" s="19">
        <v>0</v>
      </c>
      <c r="EG250" s="19">
        <v>0</v>
      </c>
      <c r="EH250" s="19">
        <v>0</v>
      </c>
      <c r="EI250" s="19">
        <v>0</v>
      </c>
      <c r="EJ250" s="19">
        <v>0</v>
      </c>
      <c r="EK250" s="19">
        <v>0</v>
      </c>
      <c r="EL250" s="19">
        <v>0</v>
      </c>
      <c r="EM250" s="19">
        <v>0</v>
      </c>
      <c r="EN250" s="19">
        <v>0</v>
      </c>
      <c r="EO250" s="19">
        <v>0</v>
      </c>
      <c r="EP250" s="19">
        <v>0</v>
      </c>
      <c r="EQ250" s="19">
        <v>0</v>
      </c>
      <c r="ER250" s="19">
        <v>0</v>
      </c>
      <c r="ES250" s="119">
        <v>0</v>
      </c>
      <c r="ET250" s="119">
        <v>0</v>
      </c>
    </row>
    <row r="251" spans="1:150" ht="16.5" customHeight="1" x14ac:dyDescent="0.35">
      <c r="A251" s="4">
        <v>207</v>
      </c>
      <c r="B251" s="4" t="str">
        <f>LOOKUP(A251,Lookup!$A$1:$A$34,Lookup!$B$1:$B$34)</f>
        <v>PORK</v>
      </c>
      <c r="C251" s="5">
        <v>58095</v>
      </c>
      <c r="D251" s="6" t="s">
        <v>244</v>
      </c>
      <c r="E251" s="18">
        <v>0</v>
      </c>
      <c r="F251" s="18">
        <v>0</v>
      </c>
      <c r="G251" s="18">
        <v>0</v>
      </c>
      <c r="H251" s="18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0</v>
      </c>
      <c r="CN251" s="19">
        <v>0</v>
      </c>
      <c r="CO251" s="19">
        <v>0</v>
      </c>
      <c r="CP251" s="19">
        <v>0</v>
      </c>
      <c r="CQ251" s="19">
        <v>0</v>
      </c>
      <c r="CR251" s="19">
        <v>0</v>
      </c>
      <c r="CS251" s="19">
        <v>0</v>
      </c>
      <c r="CT251" s="19">
        <v>0</v>
      </c>
      <c r="CU251" s="19">
        <v>0</v>
      </c>
      <c r="CV251" s="19">
        <v>0</v>
      </c>
      <c r="CW251" s="19">
        <v>0</v>
      </c>
      <c r="CX251" s="19">
        <v>0</v>
      </c>
      <c r="CY251" s="19">
        <v>0</v>
      </c>
      <c r="CZ251" s="19">
        <v>0</v>
      </c>
      <c r="DA251" s="19">
        <v>0</v>
      </c>
      <c r="DB251" s="19">
        <v>0</v>
      </c>
      <c r="DC251" s="19">
        <v>0</v>
      </c>
      <c r="DD251" s="19">
        <v>0</v>
      </c>
      <c r="DE251" s="19">
        <v>0</v>
      </c>
      <c r="DF251" s="19">
        <v>0</v>
      </c>
      <c r="DG251" s="19">
        <v>0</v>
      </c>
      <c r="DH251" s="19">
        <v>0</v>
      </c>
      <c r="DI251" s="19">
        <v>0</v>
      </c>
      <c r="DJ251" s="19">
        <v>0</v>
      </c>
      <c r="DK251" s="19">
        <v>0</v>
      </c>
      <c r="DL251" s="19">
        <v>0</v>
      </c>
      <c r="DM251" s="19">
        <v>0</v>
      </c>
      <c r="DN251" s="19">
        <v>0</v>
      </c>
      <c r="DO251" s="19">
        <v>0</v>
      </c>
      <c r="DP251" s="19">
        <v>0</v>
      </c>
      <c r="DQ251" s="19">
        <v>0</v>
      </c>
      <c r="DR251" s="19">
        <v>0</v>
      </c>
      <c r="DS251" s="19">
        <v>0</v>
      </c>
      <c r="DT251" s="19">
        <v>0</v>
      </c>
      <c r="DU251" s="19">
        <v>0</v>
      </c>
      <c r="DV251" s="19">
        <v>0</v>
      </c>
      <c r="DW251" s="19">
        <v>0</v>
      </c>
      <c r="DX251" s="19">
        <v>0</v>
      </c>
      <c r="DY251" s="19">
        <v>0</v>
      </c>
      <c r="DZ251" s="19">
        <v>0</v>
      </c>
      <c r="EA251" s="19">
        <v>0</v>
      </c>
      <c r="EB251" s="19">
        <v>0</v>
      </c>
      <c r="EC251" s="19">
        <v>0</v>
      </c>
      <c r="ED251" s="19">
        <v>0</v>
      </c>
      <c r="EE251" s="19">
        <v>0</v>
      </c>
      <c r="EF251" s="19">
        <v>0</v>
      </c>
      <c r="EG251" s="19">
        <v>0</v>
      </c>
      <c r="EH251" s="19">
        <v>0</v>
      </c>
      <c r="EI251" s="19">
        <v>0</v>
      </c>
      <c r="EJ251" s="19">
        <v>0</v>
      </c>
      <c r="EK251" s="19">
        <v>0</v>
      </c>
      <c r="EL251" s="19">
        <v>0</v>
      </c>
      <c r="EM251" s="19">
        <v>0</v>
      </c>
      <c r="EN251" s="19">
        <v>0</v>
      </c>
      <c r="EO251" s="19">
        <v>0</v>
      </c>
      <c r="EP251" s="19">
        <v>0</v>
      </c>
      <c r="EQ251" s="19">
        <v>0</v>
      </c>
      <c r="ER251" s="19">
        <v>0</v>
      </c>
      <c r="ES251" s="119">
        <v>0</v>
      </c>
      <c r="ET251" s="119">
        <v>0</v>
      </c>
    </row>
    <row r="252" spans="1:150" ht="16.5" customHeight="1" x14ac:dyDescent="0.35">
      <c r="A252" s="4">
        <v>207</v>
      </c>
      <c r="B252" s="4" t="str">
        <f>LOOKUP(A252,Lookup!$A$1:$A$34,Lookup!$B$1:$B$34)</f>
        <v>PORK</v>
      </c>
      <c r="C252" s="5">
        <v>58405</v>
      </c>
      <c r="D252" s="6" t="s">
        <v>245</v>
      </c>
      <c r="E252" s="18">
        <v>262.34047764849998</v>
      </c>
      <c r="F252" s="18">
        <v>1.63</v>
      </c>
      <c r="G252" s="18">
        <v>18626.173913043502</v>
      </c>
      <c r="H252" s="18">
        <v>115.758</v>
      </c>
      <c r="I252" s="19">
        <v>1949.1565217391301</v>
      </c>
      <c r="J252" s="19">
        <v>12.454000000000001</v>
      </c>
      <c r="K252" s="19">
        <v>1003.52173913043</v>
      </c>
      <c r="L252" s="19">
        <v>6.4119999999999999</v>
      </c>
      <c r="M252" s="19">
        <v>1131.25217391304</v>
      </c>
      <c r="N252" s="19">
        <v>7.2279999999999998</v>
      </c>
      <c r="O252" s="19">
        <v>1606.73043478261</v>
      </c>
      <c r="P252" s="19">
        <v>10.266</v>
      </c>
      <c r="Q252" s="19">
        <v>1059.26956521739</v>
      </c>
      <c r="R252" s="19">
        <v>6.7939999999999996</v>
      </c>
      <c r="S252" s="19">
        <v>1472.1391304347801</v>
      </c>
      <c r="T252" s="19">
        <v>9.4060000000000006</v>
      </c>
      <c r="U252" s="19">
        <v>1147.70434782609</v>
      </c>
      <c r="V252" s="19">
        <v>6.9820000000000002</v>
      </c>
      <c r="W252" s="19">
        <v>301</v>
      </c>
      <c r="X252" s="19">
        <v>1.8220000000000001</v>
      </c>
      <c r="Y252" s="19">
        <v>1675.51304347826</v>
      </c>
      <c r="Z252" s="19">
        <v>10.141999999999999</v>
      </c>
      <c r="AA252" s="19">
        <v>1006.41739130435</v>
      </c>
      <c r="AB252" s="19">
        <v>6.0919999999999996</v>
      </c>
      <c r="AC252" s="19">
        <v>731.22608695652195</v>
      </c>
      <c r="AD252" s="19">
        <v>4.4260000000000002</v>
      </c>
      <c r="AE252" s="19">
        <v>411.38260869565198</v>
      </c>
      <c r="AF252" s="19">
        <v>2.4900000000000002</v>
      </c>
      <c r="AG252" s="19">
        <v>1120.1652173913001</v>
      </c>
      <c r="AH252" s="19">
        <v>6.78</v>
      </c>
      <c r="AI252" s="19">
        <v>1025.6782608695701</v>
      </c>
      <c r="AJ252" s="19">
        <v>6.7320000000000002</v>
      </c>
      <c r="AK252" s="19">
        <v>0</v>
      </c>
      <c r="AL252" s="19">
        <v>0</v>
      </c>
      <c r="AM252" s="19">
        <v>0</v>
      </c>
      <c r="AN252" s="19">
        <v>0</v>
      </c>
      <c r="AO252" s="19">
        <v>1655.2</v>
      </c>
      <c r="AP252" s="19">
        <v>10.038</v>
      </c>
      <c r="AQ252" s="19">
        <v>579.95652173913004</v>
      </c>
      <c r="AR252" s="19">
        <v>3.3820000000000001</v>
      </c>
      <c r="AS252" s="19">
        <v>501.86956521739103</v>
      </c>
      <c r="AT252" s="19">
        <v>2.8860000000000001</v>
      </c>
      <c r="AU252" s="19">
        <v>247.991304347826</v>
      </c>
      <c r="AV252" s="19">
        <v>1.4259999999999999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>
        <v>0</v>
      </c>
      <c r="BW252" s="19">
        <v>0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0</v>
      </c>
      <c r="CO252" s="19">
        <v>0</v>
      </c>
      <c r="CP252" s="19">
        <v>0</v>
      </c>
      <c r="CQ252" s="19">
        <v>0</v>
      </c>
      <c r="CR252" s="19">
        <v>0</v>
      </c>
      <c r="CS252" s="19">
        <v>0</v>
      </c>
      <c r="CT252" s="19">
        <v>0</v>
      </c>
      <c r="CU252" s="19">
        <v>0</v>
      </c>
      <c r="CV252" s="19">
        <v>0</v>
      </c>
      <c r="CW252" s="19">
        <v>0</v>
      </c>
      <c r="CX252" s="19">
        <v>0</v>
      </c>
      <c r="CY252" s="19">
        <v>0</v>
      </c>
      <c r="CZ252" s="19">
        <v>0</v>
      </c>
      <c r="DA252" s="19">
        <v>0</v>
      </c>
      <c r="DB252" s="19">
        <v>0</v>
      </c>
      <c r="DC252" s="19">
        <v>0</v>
      </c>
      <c r="DD252" s="19">
        <v>0</v>
      </c>
      <c r="DE252" s="19">
        <v>0</v>
      </c>
      <c r="DF252" s="19">
        <v>0</v>
      </c>
      <c r="DG252" s="19">
        <v>0</v>
      </c>
      <c r="DH252" s="19">
        <v>0</v>
      </c>
      <c r="DI252" s="19">
        <v>0</v>
      </c>
      <c r="DJ252" s="19">
        <v>0</v>
      </c>
      <c r="DK252" s="19">
        <v>0</v>
      </c>
      <c r="DL252" s="19">
        <v>0</v>
      </c>
      <c r="DM252" s="19">
        <v>0</v>
      </c>
      <c r="DN252" s="19">
        <v>0</v>
      </c>
      <c r="DO252" s="19">
        <v>0</v>
      </c>
      <c r="DP252" s="19">
        <v>0</v>
      </c>
      <c r="DQ252" s="19">
        <v>0</v>
      </c>
      <c r="DR252" s="19">
        <v>0</v>
      </c>
      <c r="DS252" s="19">
        <v>0</v>
      </c>
      <c r="DT252" s="19">
        <v>0</v>
      </c>
      <c r="DU252" s="19">
        <v>0</v>
      </c>
      <c r="DV252" s="19">
        <v>0</v>
      </c>
      <c r="DW252" s="19">
        <v>0</v>
      </c>
      <c r="DX252" s="19">
        <v>0</v>
      </c>
      <c r="DY252" s="19">
        <v>0</v>
      </c>
      <c r="DZ252" s="19">
        <v>0</v>
      </c>
      <c r="EA252" s="19">
        <v>0</v>
      </c>
      <c r="EB252" s="19">
        <v>0</v>
      </c>
      <c r="EC252" s="19">
        <v>0</v>
      </c>
      <c r="ED252" s="19">
        <v>0</v>
      </c>
      <c r="EE252" s="19">
        <v>0</v>
      </c>
      <c r="EF252" s="19">
        <v>0</v>
      </c>
      <c r="EG252" s="19">
        <v>0</v>
      </c>
      <c r="EH252" s="19">
        <v>0</v>
      </c>
      <c r="EI252" s="19">
        <v>0</v>
      </c>
      <c r="EJ252" s="19">
        <v>0</v>
      </c>
      <c r="EK252" s="19">
        <v>0</v>
      </c>
      <c r="EL252" s="19">
        <v>0</v>
      </c>
      <c r="EM252" s="19">
        <v>0</v>
      </c>
      <c r="EN252" s="19">
        <v>0</v>
      </c>
      <c r="EO252" s="19">
        <v>0</v>
      </c>
      <c r="EP252" s="19">
        <v>0</v>
      </c>
      <c r="EQ252" s="19">
        <v>0</v>
      </c>
      <c r="ER252" s="19">
        <v>0</v>
      </c>
      <c r="ES252" s="119">
        <v>0</v>
      </c>
      <c r="ET252" s="119">
        <v>0</v>
      </c>
    </row>
    <row r="253" spans="1:150" ht="16.5" customHeight="1" x14ac:dyDescent="0.35">
      <c r="A253" s="4">
        <v>207</v>
      </c>
      <c r="B253" s="4" t="str">
        <f>LOOKUP(A253,Lookup!$A$1:$A$34,Lookup!$B$1:$B$34)</f>
        <v>PORK</v>
      </c>
      <c r="C253" s="5">
        <v>61369</v>
      </c>
      <c r="D253" s="6" t="s">
        <v>246</v>
      </c>
      <c r="E253" s="18">
        <v>448.666714183892</v>
      </c>
      <c r="F253" s="18">
        <v>5.8650000000000002</v>
      </c>
      <c r="G253" s="18">
        <v>27368.669565217398</v>
      </c>
      <c r="H253" s="18">
        <v>357.786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1378.3130434782599</v>
      </c>
      <c r="AL253" s="19">
        <v>19.815999999999999</v>
      </c>
      <c r="AM253" s="19">
        <v>1920.1478260869601</v>
      </c>
      <c r="AN253" s="19">
        <v>27.606000000000002</v>
      </c>
      <c r="AO253" s="19">
        <v>2057.45217391304</v>
      </c>
      <c r="AP253" s="19">
        <v>29.58</v>
      </c>
      <c r="AQ253" s="19">
        <v>1296.5565217391299</v>
      </c>
      <c r="AR253" s="19">
        <v>15.923</v>
      </c>
      <c r="AS253" s="19">
        <v>1366.2347826087</v>
      </c>
      <c r="AT253" s="19">
        <v>15.791</v>
      </c>
      <c r="AU253" s="19">
        <v>590.79999999999995</v>
      </c>
      <c r="AV253" s="19">
        <v>7.0780000000000003</v>
      </c>
      <c r="AW253" s="19">
        <v>1728.79130434783</v>
      </c>
      <c r="AX253" s="19">
        <v>24.898</v>
      </c>
      <c r="AY253" s="19">
        <v>2250.53913043478</v>
      </c>
      <c r="AZ253" s="19">
        <v>32.398000000000003</v>
      </c>
      <c r="BA253" s="19">
        <v>977.80869565217404</v>
      </c>
      <c r="BB253" s="19">
        <v>14.058</v>
      </c>
      <c r="BC253" s="19">
        <v>1056.26956521739</v>
      </c>
      <c r="BD253" s="19">
        <v>12.81</v>
      </c>
      <c r="BE253" s="19">
        <v>1026.6869565217401</v>
      </c>
      <c r="BF253" s="19">
        <v>12.3</v>
      </c>
      <c r="BG253" s="19">
        <v>1418.2</v>
      </c>
      <c r="BH253" s="19">
        <v>17.036999999999999</v>
      </c>
      <c r="BI253" s="19">
        <v>1236.3391304347799</v>
      </c>
      <c r="BJ253" s="19">
        <v>14.852</v>
      </c>
      <c r="BK253" s="19">
        <v>2188.9130434782601</v>
      </c>
      <c r="BL253" s="19">
        <v>31.47</v>
      </c>
      <c r="BM253" s="19">
        <v>958.06086956521699</v>
      </c>
      <c r="BN253" s="19">
        <v>13.773999999999999</v>
      </c>
      <c r="BO253" s="19">
        <v>1447.1043478260899</v>
      </c>
      <c r="BP253" s="19">
        <v>16.852</v>
      </c>
      <c r="BQ253" s="19">
        <v>1302.0956521739099</v>
      </c>
      <c r="BR253" s="19">
        <v>15.016</v>
      </c>
      <c r="BS253" s="19">
        <v>1273.4086956521701</v>
      </c>
      <c r="BT253" s="19">
        <v>14.728</v>
      </c>
      <c r="BU253" s="19">
        <v>1852.51304347826</v>
      </c>
      <c r="BV253" s="19">
        <v>21.306000000000001</v>
      </c>
      <c r="BW253" s="19">
        <v>42.434782608695599</v>
      </c>
      <c r="BX253" s="19">
        <v>0.49299999999999999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0</v>
      </c>
      <c r="CO253" s="19">
        <v>0</v>
      </c>
      <c r="CP253" s="19">
        <v>0</v>
      </c>
      <c r="CQ253" s="19">
        <v>0</v>
      </c>
      <c r="CR253" s="19">
        <v>0</v>
      </c>
      <c r="CS253" s="19">
        <v>0</v>
      </c>
      <c r="CT253" s="19">
        <v>0</v>
      </c>
      <c r="CU253" s="19">
        <v>0</v>
      </c>
      <c r="CV253" s="19">
        <v>0</v>
      </c>
      <c r="CW253" s="19">
        <v>0</v>
      </c>
      <c r="CX253" s="19">
        <v>0</v>
      </c>
      <c r="CY253" s="19">
        <v>0</v>
      </c>
      <c r="CZ253" s="19">
        <v>0</v>
      </c>
      <c r="DA253" s="19">
        <v>0</v>
      </c>
      <c r="DB253" s="19">
        <v>0</v>
      </c>
      <c r="DC253" s="19">
        <v>0</v>
      </c>
      <c r="DD253" s="19">
        <v>0</v>
      </c>
      <c r="DE253" s="19">
        <v>0</v>
      </c>
      <c r="DF253" s="19">
        <v>0</v>
      </c>
      <c r="DG253" s="19">
        <v>0</v>
      </c>
      <c r="DH253" s="19">
        <v>0</v>
      </c>
      <c r="DI253" s="19">
        <v>0</v>
      </c>
      <c r="DJ253" s="19">
        <v>0</v>
      </c>
      <c r="DK253" s="19">
        <v>0</v>
      </c>
      <c r="DL253" s="19">
        <v>0</v>
      </c>
      <c r="DM253" s="19">
        <v>0</v>
      </c>
      <c r="DN253" s="19">
        <v>0</v>
      </c>
      <c r="DO253" s="19">
        <v>0</v>
      </c>
      <c r="DP253" s="19">
        <v>0</v>
      </c>
      <c r="DQ253" s="19">
        <v>0</v>
      </c>
      <c r="DR253" s="19">
        <v>0</v>
      </c>
      <c r="DS253" s="19">
        <v>0</v>
      </c>
      <c r="DT253" s="19">
        <v>0</v>
      </c>
      <c r="DU253" s="19">
        <v>0</v>
      </c>
      <c r="DV253" s="19">
        <v>0</v>
      </c>
      <c r="DW253" s="19">
        <v>0</v>
      </c>
      <c r="DX253" s="19">
        <v>0</v>
      </c>
      <c r="DY253" s="19">
        <v>0</v>
      </c>
      <c r="DZ253" s="19">
        <v>0</v>
      </c>
      <c r="EA253" s="19">
        <v>0</v>
      </c>
      <c r="EB253" s="19">
        <v>0</v>
      </c>
      <c r="EC253" s="19">
        <v>0</v>
      </c>
      <c r="ED253" s="19">
        <v>0</v>
      </c>
      <c r="EE253" s="19">
        <v>0</v>
      </c>
      <c r="EF253" s="19">
        <v>0</v>
      </c>
      <c r="EG253" s="19">
        <v>0</v>
      </c>
      <c r="EH253" s="19">
        <v>0</v>
      </c>
      <c r="EI253" s="19">
        <v>0</v>
      </c>
      <c r="EJ253" s="19">
        <v>0</v>
      </c>
      <c r="EK253" s="19">
        <v>0</v>
      </c>
      <c r="EL253" s="19">
        <v>0</v>
      </c>
      <c r="EM253" s="19">
        <v>0</v>
      </c>
      <c r="EN253" s="19">
        <v>0</v>
      </c>
      <c r="EO253" s="19">
        <v>0</v>
      </c>
      <c r="EP253" s="19">
        <v>0</v>
      </c>
      <c r="EQ253" s="19">
        <v>0</v>
      </c>
      <c r="ER253" s="19">
        <v>0</v>
      </c>
      <c r="ES253" s="119">
        <v>0</v>
      </c>
      <c r="ET253" s="119">
        <v>0</v>
      </c>
    </row>
    <row r="254" spans="1:150" ht="16.5" customHeight="1" x14ac:dyDescent="0.35">
      <c r="A254" s="4">
        <v>207</v>
      </c>
      <c r="B254" s="4" t="str">
        <f>LOOKUP(A254,Lookup!$A$1:$A$34,Lookup!$B$1:$B$34)</f>
        <v>PORK</v>
      </c>
      <c r="C254" s="5">
        <v>61768</v>
      </c>
      <c r="D254" s="6" t="s">
        <v>247</v>
      </c>
      <c r="E254" s="18">
        <v>32.338680659670203</v>
      </c>
      <c r="F254" s="18">
        <v>0.23200000000000001</v>
      </c>
      <c r="G254" s="18">
        <v>1875.6434782608701</v>
      </c>
      <c r="H254" s="18">
        <v>13.481999999999999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65.391304347826093</v>
      </c>
      <c r="AL254" s="19">
        <v>0.47</v>
      </c>
      <c r="AM254" s="19">
        <v>382.04347826087002</v>
      </c>
      <c r="AN254" s="19">
        <v>2.746</v>
      </c>
      <c r="AO254" s="19">
        <v>57.6</v>
      </c>
      <c r="AP254" s="19">
        <v>0.41399999999999998</v>
      </c>
      <c r="AQ254" s="19">
        <v>62.330434782608698</v>
      </c>
      <c r="AR254" s="19">
        <v>0.44800000000000001</v>
      </c>
      <c r="AS254" s="19">
        <v>160.539130434783</v>
      </c>
      <c r="AT254" s="19">
        <v>1.1539999999999999</v>
      </c>
      <c r="AU254" s="19">
        <v>157.75652173912999</v>
      </c>
      <c r="AV254" s="19">
        <v>1.1339999999999999</v>
      </c>
      <c r="AW254" s="19">
        <v>0</v>
      </c>
      <c r="AX254" s="19">
        <v>0</v>
      </c>
      <c r="AY254" s="19">
        <v>525.86086956521694</v>
      </c>
      <c r="AZ254" s="19">
        <v>3.78</v>
      </c>
      <c r="BA254" s="19">
        <v>0</v>
      </c>
      <c r="BB254" s="19">
        <v>0</v>
      </c>
      <c r="BC254" s="19">
        <v>241.53043478260901</v>
      </c>
      <c r="BD254" s="19">
        <v>1.736</v>
      </c>
      <c r="BE254" s="19">
        <v>85.695652173913004</v>
      </c>
      <c r="BF254" s="19">
        <v>0.61599999999999999</v>
      </c>
      <c r="BG254" s="19">
        <v>0</v>
      </c>
      <c r="BH254" s="19">
        <v>0</v>
      </c>
      <c r="BI254" s="19">
        <v>0</v>
      </c>
      <c r="BJ254" s="19">
        <v>0</v>
      </c>
      <c r="BK254" s="19">
        <v>136.89565217391299</v>
      </c>
      <c r="BL254" s="19">
        <v>0.98399999999999999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>
        <v>0</v>
      </c>
      <c r="BW254" s="19">
        <v>0</v>
      </c>
      <c r="BX254" s="19">
        <v>0</v>
      </c>
      <c r="BY254" s="19">
        <v>0</v>
      </c>
      <c r="BZ254" s="19">
        <v>0</v>
      </c>
      <c r="CA254" s="19">
        <v>0</v>
      </c>
      <c r="CB254" s="19">
        <v>0</v>
      </c>
      <c r="CC254" s="19">
        <v>0</v>
      </c>
      <c r="CD254" s="19">
        <v>0</v>
      </c>
      <c r="CE254" s="19">
        <v>0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0</v>
      </c>
      <c r="CO254" s="19">
        <v>0</v>
      </c>
      <c r="CP254" s="19">
        <v>0</v>
      </c>
      <c r="CQ254" s="19">
        <v>0</v>
      </c>
      <c r="CR254" s="19">
        <v>0</v>
      </c>
      <c r="CS254" s="19">
        <v>0</v>
      </c>
      <c r="CT254" s="19">
        <v>0</v>
      </c>
      <c r="CU254" s="19">
        <v>0</v>
      </c>
      <c r="CV254" s="19">
        <v>0</v>
      </c>
      <c r="CW254" s="19">
        <v>0</v>
      </c>
      <c r="CX254" s="19">
        <v>0</v>
      </c>
      <c r="CY254" s="19">
        <v>0</v>
      </c>
      <c r="CZ254" s="19">
        <v>0</v>
      </c>
      <c r="DA254" s="19">
        <v>0</v>
      </c>
      <c r="DB254" s="19">
        <v>0</v>
      </c>
      <c r="DC254" s="19">
        <v>0</v>
      </c>
      <c r="DD254" s="19">
        <v>0</v>
      </c>
      <c r="DE254" s="19">
        <v>0</v>
      </c>
      <c r="DF254" s="19">
        <v>0</v>
      </c>
      <c r="DG254" s="19">
        <v>0</v>
      </c>
      <c r="DH254" s="19">
        <v>0</v>
      </c>
      <c r="DI254" s="19">
        <v>0</v>
      </c>
      <c r="DJ254" s="19">
        <v>0</v>
      </c>
      <c r="DK254" s="19">
        <v>0</v>
      </c>
      <c r="DL254" s="19">
        <v>0</v>
      </c>
      <c r="DM254" s="19">
        <v>0</v>
      </c>
      <c r="DN254" s="19">
        <v>0</v>
      </c>
      <c r="DO254" s="19">
        <v>0</v>
      </c>
      <c r="DP254" s="19">
        <v>0</v>
      </c>
      <c r="DQ254" s="19">
        <v>0</v>
      </c>
      <c r="DR254" s="19">
        <v>0</v>
      </c>
      <c r="DS254" s="19">
        <v>0</v>
      </c>
      <c r="DT254" s="19">
        <v>0</v>
      </c>
      <c r="DU254" s="19">
        <v>0</v>
      </c>
      <c r="DV254" s="19">
        <v>0</v>
      </c>
      <c r="DW254" s="19">
        <v>0</v>
      </c>
      <c r="DX254" s="19">
        <v>0</v>
      </c>
      <c r="DY254" s="19">
        <v>0</v>
      </c>
      <c r="DZ254" s="19">
        <v>0</v>
      </c>
      <c r="EA254" s="19">
        <v>0</v>
      </c>
      <c r="EB254" s="19">
        <v>0</v>
      </c>
      <c r="EC254" s="19">
        <v>0</v>
      </c>
      <c r="ED254" s="19">
        <v>0</v>
      </c>
      <c r="EE254" s="19">
        <v>0</v>
      </c>
      <c r="EF254" s="19">
        <v>0</v>
      </c>
      <c r="EG254" s="19">
        <v>0</v>
      </c>
      <c r="EH254" s="19">
        <v>0</v>
      </c>
      <c r="EI254" s="19">
        <v>0</v>
      </c>
      <c r="EJ254" s="19">
        <v>0</v>
      </c>
      <c r="EK254" s="19">
        <v>0</v>
      </c>
      <c r="EL254" s="19">
        <v>0</v>
      </c>
      <c r="EM254" s="19">
        <v>0</v>
      </c>
      <c r="EN254" s="19">
        <v>0</v>
      </c>
      <c r="EO254" s="19">
        <v>0</v>
      </c>
      <c r="EP254" s="19">
        <v>0</v>
      </c>
      <c r="EQ254" s="19">
        <v>0</v>
      </c>
      <c r="ER254" s="19">
        <v>0</v>
      </c>
      <c r="ES254" s="119">
        <v>0</v>
      </c>
      <c r="ET254" s="119">
        <v>0</v>
      </c>
    </row>
    <row r="255" spans="1:150" ht="16.5" customHeight="1" x14ac:dyDescent="0.35">
      <c r="A255" s="4">
        <v>207</v>
      </c>
      <c r="B255" s="4" t="str">
        <f>LOOKUP(A255,Lookup!$A$1:$A$34,Lookup!$B$1:$B$34)</f>
        <v>PORK</v>
      </c>
      <c r="C255" s="5">
        <v>61769</v>
      </c>
      <c r="D255" s="6" t="s">
        <v>248</v>
      </c>
      <c r="E255" s="18">
        <v>63.223688155921998</v>
      </c>
      <c r="F255" s="18">
        <v>0.45600000000000002</v>
      </c>
      <c r="G255" s="18">
        <v>3666.97391304348</v>
      </c>
      <c r="H255" s="18">
        <v>26.431999999999999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318.02608695652202</v>
      </c>
      <c r="AJ255" s="19">
        <v>2.286</v>
      </c>
      <c r="AK255" s="19">
        <v>226.48695652173899</v>
      </c>
      <c r="AL255" s="19">
        <v>1.6279999999999999</v>
      </c>
      <c r="AM255" s="19">
        <v>0</v>
      </c>
      <c r="AN255" s="19">
        <v>0</v>
      </c>
      <c r="AO255" s="19">
        <v>474.4</v>
      </c>
      <c r="AP255" s="19">
        <v>3.41</v>
      </c>
      <c r="AQ255" s="19">
        <v>454.64347826086902</v>
      </c>
      <c r="AR255" s="19">
        <v>3.2679999999999998</v>
      </c>
      <c r="AS255" s="19">
        <v>107.95652173913</v>
      </c>
      <c r="AT255" s="19">
        <v>0.77600000000000002</v>
      </c>
      <c r="AU255" s="19">
        <v>217.05217391304399</v>
      </c>
      <c r="AV255" s="19">
        <v>1.6</v>
      </c>
      <c r="AW255" s="19">
        <v>107.4</v>
      </c>
      <c r="AX255" s="19">
        <v>0.77200000000000002</v>
      </c>
      <c r="AY255" s="19">
        <v>212.017391304348</v>
      </c>
      <c r="AZ255" s="19">
        <v>1.524</v>
      </c>
      <c r="BA255" s="19">
        <v>210.34782608695701</v>
      </c>
      <c r="BB255" s="19">
        <v>1.512</v>
      </c>
      <c r="BC255" s="19">
        <v>0</v>
      </c>
      <c r="BD255" s="19">
        <v>0</v>
      </c>
      <c r="BE255" s="19">
        <v>262.93043478260898</v>
      </c>
      <c r="BF255" s="19">
        <v>1.89</v>
      </c>
      <c r="BG255" s="19">
        <v>0</v>
      </c>
      <c r="BH255" s="19">
        <v>0</v>
      </c>
      <c r="BI255" s="19">
        <v>356.74782608695699</v>
      </c>
      <c r="BJ255" s="19">
        <v>2.5979999999999999</v>
      </c>
      <c r="BK255" s="19">
        <v>191.982608695652</v>
      </c>
      <c r="BL255" s="19">
        <v>1.38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215.07826086956501</v>
      </c>
      <c r="BV255" s="19">
        <v>1.546</v>
      </c>
      <c r="BW255" s="19">
        <v>311.90434782608702</v>
      </c>
      <c r="BX255" s="19">
        <v>2.242</v>
      </c>
      <c r="BY255" s="19">
        <v>0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9">
        <v>0</v>
      </c>
      <c r="CH255" s="19">
        <v>0</v>
      </c>
      <c r="CI255" s="19">
        <v>0</v>
      </c>
      <c r="CJ255" s="19">
        <v>0</v>
      </c>
      <c r="CK255" s="19">
        <v>0</v>
      </c>
      <c r="CL255" s="19">
        <v>0</v>
      </c>
      <c r="CM255" s="19">
        <v>0</v>
      </c>
      <c r="CN255" s="19">
        <v>0</v>
      </c>
      <c r="CO255" s="19">
        <v>0</v>
      </c>
      <c r="CP255" s="19">
        <v>0</v>
      </c>
      <c r="CQ255" s="19">
        <v>0</v>
      </c>
      <c r="CR255" s="19">
        <v>0</v>
      </c>
      <c r="CS255" s="19">
        <v>0</v>
      </c>
      <c r="CT255" s="19">
        <v>0</v>
      </c>
      <c r="CU255" s="19">
        <v>0</v>
      </c>
      <c r="CV255" s="19">
        <v>0</v>
      </c>
      <c r="CW255" s="19">
        <v>0</v>
      </c>
      <c r="CX255" s="19">
        <v>0</v>
      </c>
      <c r="CY255" s="19">
        <v>0</v>
      </c>
      <c r="CZ255" s="19">
        <v>0</v>
      </c>
      <c r="DA255" s="19">
        <v>0</v>
      </c>
      <c r="DB255" s="19">
        <v>0</v>
      </c>
      <c r="DC255" s="19">
        <v>0</v>
      </c>
      <c r="DD255" s="19">
        <v>0</v>
      </c>
      <c r="DE255" s="19">
        <v>0</v>
      </c>
      <c r="DF255" s="19">
        <v>0</v>
      </c>
      <c r="DG255" s="19">
        <v>0</v>
      </c>
      <c r="DH255" s="19">
        <v>0</v>
      </c>
      <c r="DI255" s="19">
        <v>0</v>
      </c>
      <c r="DJ255" s="19">
        <v>0</v>
      </c>
      <c r="DK255" s="19">
        <v>0</v>
      </c>
      <c r="DL255" s="19">
        <v>0</v>
      </c>
      <c r="DM255" s="19">
        <v>0</v>
      </c>
      <c r="DN255" s="19">
        <v>0</v>
      </c>
      <c r="DO255" s="19">
        <v>0</v>
      </c>
      <c r="DP255" s="19">
        <v>0</v>
      </c>
      <c r="DQ255" s="19">
        <v>0</v>
      </c>
      <c r="DR255" s="19">
        <v>0</v>
      </c>
      <c r="DS255" s="19">
        <v>0</v>
      </c>
      <c r="DT255" s="19">
        <v>0</v>
      </c>
      <c r="DU255" s="19">
        <v>0</v>
      </c>
      <c r="DV255" s="19">
        <v>0</v>
      </c>
      <c r="DW255" s="19">
        <v>0</v>
      </c>
      <c r="DX255" s="19">
        <v>0</v>
      </c>
      <c r="DY255" s="19">
        <v>0</v>
      </c>
      <c r="DZ255" s="19">
        <v>0</v>
      </c>
      <c r="EA255" s="19">
        <v>0</v>
      </c>
      <c r="EB255" s="19">
        <v>0</v>
      </c>
      <c r="EC255" s="19">
        <v>0</v>
      </c>
      <c r="ED255" s="19">
        <v>0</v>
      </c>
      <c r="EE255" s="19">
        <v>0</v>
      </c>
      <c r="EF255" s="19">
        <v>0</v>
      </c>
      <c r="EG255" s="19">
        <v>0</v>
      </c>
      <c r="EH255" s="19">
        <v>0</v>
      </c>
      <c r="EI255" s="19">
        <v>0</v>
      </c>
      <c r="EJ255" s="19">
        <v>0</v>
      </c>
      <c r="EK255" s="19">
        <v>0</v>
      </c>
      <c r="EL255" s="19">
        <v>0</v>
      </c>
      <c r="EM255" s="19">
        <v>0</v>
      </c>
      <c r="EN255" s="19">
        <v>0</v>
      </c>
      <c r="EO255" s="19">
        <v>0</v>
      </c>
      <c r="EP255" s="19">
        <v>0</v>
      </c>
      <c r="EQ255" s="19">
        <v>0</v>
      </c>
      <c r="ER255" s="19">
        <v>0</v>
      </c>
      <c r="ES255" s="119">
        <v>0</v>
      </c>
      <c r="ET255" s="119">
        <v>0</v>
      </c>
    </row>
    <row r="256" spans="1:150" ht="16.5" customHeight="1" x14ac:dyDescent="0.35">
      <c r="A256" s="4">
        <v>207</v>
      </c>
      <c r="B256" s="4" t="str">
        <f>LOOKUP(A256,Lookup!$A$1:$A$34,Lookup!$B$1:$B$34)</f>
        <v>PORK</v>
      </c>
      <c r="C256" s="5">
        <v>62213</v>
      </c>
      <c r="D256" s="6" t="s">
        <v>249</v>
      </c>
      <c r="E256" s="18">
        <v>148.387038556194</v>
      </c>
      <c r="F256" s="18">
        <v>7.2830000000000004</v>
      </c>
      <c r="G256" s="18">
        <v>7864.5130434782604</v>
      </c>
      <c r="H256" s="18">
        <v>386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172.09565217391301</v>
      </c>
      <c r="AT256" s="19">
        <v>9</v>
      </c>
      <c r="AU256" s="19">
        <v>266.74782608695699</v>
      </c>
      <c r="AV256" s="19">
        <v>14</v>
      </c>
      <c r="AW256" s="19">
        <v>726.62608695652204</v>
      </c>
      <c r="AX256" s="19">
        <v>38</v>
      </c>
      <c r="AY256" s="19">
        <v>324.11304347826098</v>
      </c>
      <c r="AZ256" s="19">
        <v>17</v>
      </c>
      <c r="BA256" s="19">
        <v>534.452173913043</v>
      </c>
      <c r="BB256" s="19">
        <v>28</v>
      </c>
      <c r="BC256" s="19">
        <v>191.21739130434801</v>
      </c>
      <c r="BD256" s="19">
        <v>10</v>
      </c>
      <c r="BE256" s="19">
        <v>152.97391304347801</v>
      </c>
      <c r="BF256" s="19">
        <v>8</v>
      </c>
      <c r="BG256" s="19">
        <v>611.89565217391305</v>
      </c>
      <c r="BH256" s="19">
        <v>32</v>
      </c>
      <c r="BI256" s="19">
        <v>233.80869565217401</v>
      </c>
      <c r="BJ256" s="19">
        <v>12</v>
      </c>
      <c r="BK256" s="19">
        <v>278.878260869565</v>
      </c>
      <c r="BL256" s="19">
        <v>14</v>
      </c>
      <c r="BM256" s="19">
        <v>199.91304347826099</v>
      </c>
      <c r="BN256" s="19">
        <v>10</v>
      </c>
      <c r="BO256" s="19">
        <v>119.94782608695699</v>
      </c>
      <c r="BP256" s="19">
        <v>6</v>
      </c>
      <c r="BQ256" s="19">
        <v>239.89565217391299</v>
      </c>
      <c r="BR256" s="19">
        <v>12</v>
      </c>
      <c r="BS256" s="19">
        <v>402.44347826086999</v>
      </c>
      <c r="BT256" s="19">
        <v>19</v>
      </c>
      <c r="BU256" s="19">
        <v>304.22608695652201</v>
      </c>
      <c r="BV256" s="19">
        <v>14</v>
      </c>
      <c r="BW256" s="19">
        <v>304.22608695652201</v>
      </c>
      <c r="BX256" s="19">
        <v>14</v>
      </c>
      <c r="BY256" s="19">
        <v>216.21739130434801</v>
      </c>
      <c r="BZ256" s="19">
        <v>10</v>
      </c>
      <c r="CA256" s="19">
        <v>130.38260869565201</v>
      </c>
      <c r="CB256" s="19">
        <v>6</v>
      </c>
      <c r="CC256" s="19">
        <v>152.11304347826101</v>
      </c>
      <c r="CD256" s="19">
        <v>7</v>
      </c>
      <c r="CE256" s="19">
        <v>194.48695652173899</v>
      </c>
      <c r="CF256" s="19">
        <v>9</v>
      </c>
      <c r="CG256" s="19">
        <v>282.49565217391302</v>
      </c>
      <c r="CH256" s="19">
        <v>13</v>
      </c>
      <c r="CI256" s="19">
        <v>43.460869565217401</v>
      </c>
      <c r="CJ256" s="19">
        <v>2</v>
      </c>
      <c r="CK256" s="19">
        <v>347.68695652173898</v>
      </c>
      <c r="CL256" s="19">
        <v>16</v>
      </c>
      <c r="CM256" s="19">
        <v>217.304347826087</v>
      </c>
      <c r="CN256" s="19">
        <v>10</v>
      </c>
      <c r="CO256" s="19">
        <v>260.76521739130402</v>
      </c>
      <c r="CP256" s="19">
        <v>12</v>
      </c>
      <c r="CQ256" s="19">
        <v>86.921739130434801</v>
      </c>
      <c r="CR256" s="19">
        <v>4</v>
      </c>
      <c r="CS256" s="19">
        <v>43.460869565217401</v>
      </c>
      <c r="CT256" s="19">
        <v>2</v>
      </c>
      <c r="CU256" s="19">
        <v>86.921739130434801</v>
      </c>
      <c r="CV256" s="19">
        <v>4</v>
      </c>
      <c r="CW256" s="19">
        <v>86.921739130434801</v>
      </c>
      <c r="CX256" s="19">
        <v>4</v>
      </c>
      <c r="CY256" s="19">
        <v>65.191304347826105</v>
      </c>
      <c r="CZ256" s="19">
        <v>3</v>
      </c>
      <c r="DA256" s="19">
        <v>499.8</v>
      </c>
      <c r="DB256" s="19">
        <v>23</v>
      </c>
      <c r="DC256" s="19">
        <v>86.921739130434801</v>
      </c>
      <c r="DD256" s="19">
        <v>4</v>
      </c>
      <c r="DE256" s="19">
        <v>0</v>
      </c>
      <c r="DF256" s="19">
        <v>0</v>
      </c>
      <c r="DG256" s="19">
        <v>0</v>
      </c>
      <c r="DH256" s="19">
        <v>0</v>
      </c>
      <c r="DI256" s="19">
        <v>0</v>
      </c>
      <c r="DJ256" s="19">
        <v>0</v>
      </c>
      <c r="DK256" s="19">
        <v>0</v>
      </c>
      <c r="DL256" s="19">
        <v>0</v>
      </c>
      <c r="DM256" s="19">
        <v>0</v>
      </c>
      <c r="DN256" s="19">
        <v>0</v>
      </c>
      <c r="DO256" s="19">
        <v>0</v>
      </c>
      <c r="DP256" s="19">
        <v>0</v>
      </c>
      <c r="DQ256" s="19">
        <v>0</v>
      </c>
      <c r="DR256" s="19">
        <v>0</v>
      </c>
      <c r="DS256" s="19">
        <v>0</v>
      </c>
      <c r="DT256" s="19">
        <v>0</v>
      </c>
      <c r="DU256" s="19">
        <v>0</v>
      </c>
      <c r="DV256" s="19">
        <v>0</v>
      </c>
      <c r="DW256" s="19">
        <v>0</v>
      </c>
      <c r="DX256" s="19">
        <v>0</v>
      </c>
      <c r="DY256" s="19">
        <v>0</v>
      </c>
      <c r="DZ256" s="19">
        <v>0</v>
      </c>
      <c r="EA256" s="19">
        <v>0</v>
      </c>
      <c r="EB256" s="19">
        <v>0</v>
      </c>
      <c r="EC256" s="19">
        <v>0</v>
      </c>
      <c r="ED256" s="19">
        <v>0</v>
      </c>
      <c r="EE256" s="19">
        <v>0</v>
      </c>
      <c r="EF256" s="19">
        <v>0</v>
      </c>
      <c r="EG256" s="19">
        <v>0</v>
      </c>
      <c r="EH256" s="19">
        <v>0</v>
      </c>
      <c r="EI256" s="19">
        <v>0</v>
      </c>
      <c r="EJ256" s="19">
        <v>0</v>
      </c>
      <c r="EK256" s="19">
        <v>0</v>
      </c>
      <c r="EL256" s="19">
        <v>0</v>
      </c>
      <c r="EM256" s="19">
        <v>0</v>
      </c>
      <c r="EN256" s="19">
        <v>0</v>
      </c>
      <c r="EO256" s="19">
        <v>0</v>
      </c>
      <c r="EP256" s="19">
        <v>0</v>
      </c>
      <c r="EQ256" s="19">
        <v>0</v>
      </c>
      <c r="ER256" s="19">
        <v>0</v>
      </c>
      <c r="ES256" s="119">
        <v>0</v>
      </c>
      <c r="ET256" s="119">
        <v>0</v>
      </c>
    </row>
    <row r="257" spans="1:150" ht="16.5" customHeight="1" x14ac:dyDescent="0.35">
      <c r="A257" s="4">
        <v>207</v>
      </c>
      <c r="B257" s="4" t="str">
        <f>LOOKUP(A257,Lookup!$A$1:$A$34,Lookup!$B$1:$B$34)</f>
        <v>PORK</v>
      </c>
      <c r="C257" s="5">
        <v>63025</v>
      </c>
      <c r="D257" s="6" t="s">
        <v>250</v>
      </c>
      <c r="E257" s="18">
        <v>10.646511627907</v>
      </c>
      <c r="F257" s="18">
        <v>0.53500000000000003</v>
      </c>
      <c r="G257" s="18">
        <v>457.8</v>
      </c>
      <c r="H257" s="18">
        <v>23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>
        <v>0</v>
      </c>
      <c r="BM257" s="19">
        <v>39.982608695652203</v>
      </c>
      <c r="BN257" s="19">
        <v>2</v>
      </c>
      <c r="BO257" s="19">
        <v>59.973913043478298</v>
      </c>
      <c r="BP257" s="19">
        <v>3</v>
      </c>
      <c r="BQ257" s="19">
        <v>98.956521739130395</v>
      </c>
      <c r="BR257" s="19">
        <v>5</v>
      </c>
      <c r="BS257" s="19">
        <v>0</v>
      </c>
      <c r="BT257" s="19">
        <v>0</v>
      </c>
      <c r="BU257" s="19">
        <v>99.956521739130395</v>
      </c>
      <c r="BV257" s="19">
        <v>5</v>
      </c>
      <c r="BW257" s="19">
        <v>99.956521739130395</v>
      </c>
      <c r="BX257" s="19">
        <v>5</v>
      </c>
      <c r="BY257" s="19">
        <v>58.973913043478298</v>
      </c>
      <c r="BZ257" s="19">
        <v>3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9">
        <v>0</v>
      </c>
      <c r="CH257" s="19">
        <v>0</v>
      </c>
      <c r="CI257" s="19">
        <v>0</v>
      </c>
      <c r="CJ257" s="19">
        <v>0</v>
      </c>
      <c r="CK257" s="19">
        <v>0</v>
      </c>
      <c r="CL257" s="19">
        <v>0</v>
      </c>
      <c r="CM257" s="19">
        <v>0</v>
      </c>
      <c r="CN257" s="19">
        <v>0</v>
      </c>
      <c r="CO257" s="19">
        <v>0</v>
      </c>
      <c r="CP257" s="19">
        <v>0</v>
      </c>
      <c r="CQ257" s="19">
        <v>0</v>
      </c>
      <c r="CR257" s="19">
        <v>0</v>
      </c>
      <c r="CS257" s="19">
        <v>0</v>
      </c>
      <c r="CT257" s="19">
        <v>0</v>
      </c>
      <c r="CU257" s="19">
        <v>0</v>
      </c>
      <c r="CV257" s="19">
        <v>0</v>
      </c>
      <c r="CW257" s="19">
        <v>0</v>
      </c>
      <c r="CX257" s="19">
        <v>0</v>
      </c>
      <c r="CY257" s="19">
        <v>0</v>
      </c>
      <c r="CZ257" s="19">
        <v>0</v>
      </c>
      <c r="DA257" s="19">
        <v>0</v>
      </c>
      <c r="DB257" s="19">
        <v>0</v>
      </c>
      <c r="DC257" s="19">
        <v>0</v>
      </c>
      <c r="DD257" s="19">
        <v>0</v>
      </c>
      <c r="DE257" s="19">
        <v>0</v>
      </c>
      <c r="DF257" s="19">
        <v>0</v>
      </c>
      <c r="DG257" s="19">
        <v>0</v>
      </c>
      <c r="DH257" s="19">
        <v>0</v>
      </c>
      <c r="DI257" s="19">
        <v>0</v>
      </c>
      <c r="DJ257" s="19">
        <v>0</v>
      </c>
      <c r="DK257" s="19">
        <v>0</v>
      </c>
      <c r="DL257" s="19">
        <v>0</v>
      </c>
      <c r="DM257" s="19">
        <v>0</v>
      </c>
      <c r="DN257" s="19">
        <v>0</v>
      </c>
      <c r="DO257" s="19">
        <v>0</v>
      </c>
      <c r="DP257" s="19">
        <v>0</v>
      </c>
      <c r="DQ257" s="19">
        <v>0</v>
      </c>
      <c r="DR257" s="19">
        <v>0</v>
      </c>
      <c r="DS257" s="19">
        <v>0</v>
      </c>
      <c r="DT257" s="19">
        <v>0</v>
      </c>
      <c r="DU257" s="19">
        <v>0</v>
      </c>
      <c r="DV257" s="19">
        <v>0</v>
      </c>
      <c r="DW257" s="19">
        <v>0</v>
      </c>
      <c r="DX257" s="19">
        <v>0</v>
      </c>
      <c r="DY257" s="19">
        <v>0</v>
      </c>
      <c r="DZ257" s="19">
        <v>0</v>
      </c>
      <c r="EA257" s="19">
        <v>0</v>
      </c>
      <c r="EB257" s="19">
        <v>0</v>
      </c>
      <c r="EC257" s="19">
        <v>0</v>
      </c>
      <c r="ED257" s="19">
        <v>0</v>
      </c>
      <c r="EE257" s="19">
        <v>0</v>
      </c>
      <c r="EF257" s="19">
        <v>0</v>
      </c>
      <c r="EG257" s="19">
        <v>0</v>
      </c>
      <c r="EH257" s="19">
        <v>0</v>
      </c>
      <c r="EI257" s="19">
        <v>0</v>
      </c>
      <c r="EJ257" s="19">
        <v>0</v>
      </c>
      <c r="EK257" s="19">
        <v>0</v>
      </c>
      <c r="EL257" s="19">
        <v>0</v>
      </c>
      <c r="EM257" s="19">
        <v>0</v>
      </c>
      <c r="EN257" s="19">
        <v>0</v>
      </c>
      <c r="EO257" s="19">
        <v>0</v>
      </c>
      <c r="EP257" s="19">
        <v>0</v>
      </c>
      <c r="EQ257" s="19">
        <v>0</v>
      </c>
      <c r="ER257" s="19">
        <v>0</v>
      </c>
      <c r="ES257" s="119">
        <v>0</v>
      </c>
      <c r="ET257" s="119">
        <v>0</v>
      </c>
    </row>
    <row r="258" spans="1:150" ht="16.5" customHeight="1" x14ac:dyDescent="0.35">
      <c r="A258" s="4">
        <v>207</v>
      </c>
      <c r="B258" s="4" t="str">
        <f>LOOKUP(A258,Lookup!$A$1:$A$34,Lookup!$B$1:$B$34)</f>
        <v>PORK</v>
      </c>
      <c r="C258" s="5">
        <v>63363</v>
      </c>
      <c r="D258" s="6" t="s">
        <v>251</v>
      </c>
      <c r="E258" s="18">
        <v>0</v>
      </c>
      <c r="F258" s="18">
        <v>0</v>
      </c>
      <c r="G258" s="18">
        <v>0</v>
      </c>
      <c r="H258" s="18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>
        <v>0</v>
      </c>
      <c r="BW258" s="19">
        <v>0</v>
      </c>
      <c r="BX258" s="19">
        <v>0</v>
      </c>
      <c r="BY258" s="19">
        <v>0</v>
      </c>
      <c r="BZ258" s="19">
        <v>0</v>
      </c>
      <c r="CA258" s="19">
        <v>0</v>
      </c>
      <c r="CB258" s="19">
        <v>0</v>
      </c>
      <c r="CC258" s="19">
        <v>0</v>
      </c>
      <c r="CD258" s="19">
        <v>0</v>
      </c>
      <c r="CE258" s="19">
        <v>0</v>
      </c>
      <c r="CF258" s="19">
        <v>0</v>
      </c>
      <c r="CG258" s="19">
        <v>0</v>
      </c>
      <c r="CH258" s="19">
        <v>0</v>
      </c>
      <c r="CI258" s="19">
        <v>0</v>
      </c>
      <c r="CJ258" s="19">
        <v>0</v>
      </c>
      <c r="CK258" s="19">
        <v>0</v>
      </c>
      <c r="CL258" s="19">
        <v>0</v>
      </c>
      <c r="CM258" s="19">
        <v>0</v>
      </c>
      <c r="CN258" s="19">
        <v>0</v>
      </c>
      <c r="CO258" s="19">
        <v>0</v>
      </c>
      <c r="CP258" s="19">
        <v>0</v>
      </c>
      <c r="CQ258" s="19">
        <v>0</v>
      </c>
      <c r="CR258" s="19">
        <v>0</v>
      </c>
      <c r="CS258" s="19">
        <v>0</v>
      </c>
      <c r="CT258" s="19">
        <v>0</v>
      </c>
      <c r="CU258" s="19">
        <v>0</v>
      </c>
      <c r="CV258" s="19">
        <v>0</v>
      </c>
      <c r="CW258" s="19">
        <v>0</v>
      </c>
      <c r="CX258" s="19">
        <v>0</v>
      </c>
      <c r="CY258" s="19">
        <v>0</v>
      </c>
      <c r="CZ258" s="19">
        <v>0</v>
      </c>
      <c r="DA258" s="19">
        <v>0</v>
      </c>
      <c r="DB258" s="19">
        <v>0</v>
      </c>
      <c r="DC258" s="19">
        <v>0</v>
      </c>
      <c r="DD258" s="19">
        <v>0</v>
      </c>
      <c r="DE258" s="19">
        <v>0</v>
      </c>
      <c r="DF258" s="19">
        <v>0</v>
      </c>
      <c r="DG258" s="19">
        <v>0</v>
      </c>
      <c r="DH258" s="19">
        <v>0</v>
      </c>
      <c r="DI258" s="19">
        <v>0</v>
      </c>
      <c r="DJ258" s="19">
        <v>0</v>
      </c>
      <c r="DK258" s="19">
        <v>0</v>
      </c>
      <c r="DL258" s="19">
        <v>0</v>
      </c>
      <c r="DM258" s="19">
        <v>0</v>
      </c>
      <c r="DN258" s="19">
        <v>0</v>
      </c>
      <c r="DO258" s="19">
        <v>0</v>
      </c>
      <c r="DP258" s="19">
        <v>0</v>
      </c>
      <c r="DQ258" s="19">
        <v>0</v>
      </c>
      <c r="DR258" s="19">
        <v>0</v>
      </c>
      <c r="DS258" s="19">
        <v>0</v>
      </c>
      <c r="DT258" s="19">
        <v>0</v>
      </c>
      <c r="DU258" s="19">
        <v>0</v>
      </c>
      <c r="DV258" s="19">
        <v>0</v>
      </c>
      <c r="DW258" s="19">
        <v>0</v>
      </c>
      <c r="DX258" s="19">
        <v>0</v>
      </c>
      <c r="DY258" s="19">
        <v>0</v>
      </c>
      <c r="DZ258" s="19">
        <v>0</v>
      </c>
      <c r="EA258" s="19">
        <v>0</v>
      </c>
      <c r="EB258" s="19">
        <v>0</v>
      </c>
      <c r="EC258" s="19">
        <v>0</v>
      </c>
      <c r="ED258" s="19">
        <v>0</v>
      </c>
      <c r="EE258" s="19">
        <v>0</v>
      </c>
      <c r="EF258" s="19">
        <v>0</v>
      </c>
      <c r="EG258" s="19">
        <v>0</v>
      </c>
      <c r="EH258" s="19">
        <v>0</v>
      </c>
      <c r="EI258" s="19">
        <v>0</v>
      </c>
      <c r="EJ258" s="19">
        <v>0</v>
      </c>
      <c r="EK258" s="19">
        <v>0</v>
      </c>
      <c r="EL258" s="19">
        <v>0</v>
      </c>
      <c r="EM258" s="19">
        <v>0</v>
      </c>
      <c r="EN258" s="19">
        <v>0</v>
      </c>
      <c r="EO258" s="19">
        <v>0</v>
      </c>
      <c r="EP258" s="19">
        <v>0</v>
      </c>
      <c r="EQ258" s="19">
        <v>0</v>
      </c>
      <c r="ER258" s="19">
        <v>0</v>
      </c>
      <c r="ES258" s="119">
        <v>0</v>
      </c>
      <c r="ET258" s="119">
        <v>0</v>
      </c>
    </row>
    <row r="259" spans="1:150" ht="16.5" customHeight="1" x14ac:dyDescent="0.35">
      <c r="A259" s="4">
        <v>207</v>
      </c>
      <c r="B259" s="4" t="str">
        <f>LOOKUP(A259,Lookup!$A$1:$A$34,Lookup!$B$1:$B$34)</f>
        <v>PORK</v>
      </c>
      <c r="C259" s="5">
        <v>63364</v>
      </c>
      <c r="D259" s="6" t="s">
        <v>252</v>
      </c>
      <c r="E259" s="18">
        <v>16.908807134894101</v>
      </c>
      <c r="F259" s="18">
        <v>0.10100000000000001</v>
      </c>
      <c r="G259" s="18">
        <v>659.44347826087005</v>
      </c>
      <c r="H259" s="18">
        <v>3.95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>
        <v>0</v>
      </c>
      <c r="BW259" s="19">
        <v>0</v>
      </c>
      <c r="BX259" s="19">
        <v>0</v>
      </c>
      <c r="BY259" s="19">
        <v>0</v>
      </c>
      <c r="BZ259" s="19">
        <v>0</v>
      </c>
      <c r="CA259" s="19">
        <v>176.96521739130401</v>
      </c>
      <c r="CB259" s="19">
        <v>1.06</v>
      </c>
      <c r="CC259" s="19">
        <v>231.05217391304299</v>
      </c>
      <c r="CD259" s="19">
        <v>1.3839999999999999</v>
      </c>
      <c r="CE259" s="19">
        <v>251.426086956522</v>
      </c>
      <c r="CF259" s="19">
        <v>1.506</v>
      </c>
      <c r="CG259" s="19">
        <v>0</v>
      </c>
      <c r="CH259" s="19">
        <v>0</v>
      </c>
      <c r="CI259" s="19">
        <v>0</v>
      </c>
      <c r="CJ259" s="19">
        <v>0</v>
      </c>
      <c r="CK259" s="19">
        <v>0</v>
      </c>
      <c r="CL259" s="19">
        <v>0</v>
      </c>
      <c r="CM259" s="19">
        <v>0</v>
      </c>
      <c r="CN259" s="19">
        <v>0</v>
      </c>
      <c r="CO259" s="19">
        <v>0</v>
      </c>
      <c r="CP259" s="19">
        <v>0</v>
      </c>
      <c r="CQ259" s="19">
        <v>0</v>
      </c>
      <c r="CR259" s="19">
        <v>0</v>
      </c>
      <c r="CS259" s="19">
        <v>0</v>
      </c>
      <c r="CT259" s="19">
        <v>0</v>
      </c>
      <c r="CU259" s="19">
        <v>0</v>
      </c>
      <c r="CV259" s="19">
        <v>0</v>
      </c>
      <c r="CW259" s="19">
        <v>0</v>
      </c>
      <c r="CX259" s="19">
        <v>0</v>
      </c>
      <c r="CY259" s="19">
        <v>0</v>
      </c>
      <c r="CZ259" s="19">
        <v>0</v>
      </c>
      <c r="DA259" s="19">
        <v>0</v>
      </c>
      <c r="DB259" s="19">
        <v>0</v>
      </c>
      <c r="DC259" s="19">
        <v>0</v>
      </c>
      <c r="DD259" s="19">
        <v>0</v>
      </c>
      <c r="DE259" s="19">
        <v>0</v>
      </c>
      <c r="DF259" s="19">
        <v>0</v>
      </c>
      <c r="DG259" s="19">
        <v>0</v>
      </c>
      <c r="DH259" s="19">
        <v>0</v>
      </c>
      <c r="DI259" s="19">
        <v>0</v>
      </c>
      <c r="DJ259" s="19">
        <v>0</v>
      </c>
      <c r="DK259" s="19">
        <v>0</v>
      </c>
      <c r="DL259" s="19">
        <v>0</v>
      </c>
      <c r="DM259" s="19">
        <v>0</v>
      </c>
      <c r="DN259" s="19">
        <v>0</v>
      </c>
      <c r="DO259" s="19">
        <v>0</v>
      </c>
      <c r="DP259" s="19">
        <v>0</v>
      </c>
      <c r="DQ259" s="19">
        <v>0</v>
      </c>
      <c r="DR259" s="19">
        <v>0</v>
      </c>
      <c r="DS259" s="19">
        <v>0</v>
      </c>
      <c r="DT259" s="19">
        <v>0</v>
      </c>
      <c r="DU259" s="19">
        <v>0</v>
      </c>
      <c r="DV259" s="19">
        <v>0</v>
      </c>
      <c r="DW259" s="19">
        <v>0</v>
      </c>
      <c r="DX259" s="19">
        <v>0</v>
      </c>
      <c r="DY259" s="19">
        <v>0</v>
      </c>
      <c r="DZ259" s="19">
        <v>0</v>
      </c>
      <c r="EA259" s="19">
        <v>0</v>
      </c>
      <c r="EB259" s="19">
        <v>0</v>
      </c>
      <c r="EC259" s="19">
        <v>0</v>
      </c>
      <c r="ED259" s="19">
        <v>0</v>
      </c>
      <c r="EE259" s="19">
        <v>0</v>
      </c>
      <c r="EF259" s="19">
        <v>0</v>
      </c>
      <c r="EG259" s="19">
        <v>0</v>
      </c>
      <c r="EH259" s="19">
        <v>0</v>
      </c>
      <c r="EI259" s="19">
        <v>0</v>
      </c>
      <c r="EJ259" s="19">
        <v>0</v>
      </c>
      <c r="EK259" s="19">
        <v>0</v>
      </c>
      <c r="EL259" s="19">
        <v>0</v>
      </c>
      <c r="EM259" s="19">
        <v>0</v>
      </c>
      <c r="EN259" s="19">
        <v>0</v>
      </c>
      <c r="EO259" s="19">
        <v>0</v>
      </c>
      <c r="EP259" s="19">
        <v>0</v>
      </c>
      <c r="EQ259" s="19">
        <v>0</v>
      </c>
      <c r="ER259" s="19">
        <v>0</v>
      </c>
      <c r="ES259" s="119">
        <v>0</v>
      </c>
      <c r="ET259" s="119">
        <v>0</v>
      </c>
    </row>
    <row r="260" spans="1:150" ht="16.5" customHeight="1" x14ac:dyDescent="0.35">
      <c r="A260" s="4">
        <v>207</v>
      </c>
      <c r="B260" s="4" t="str">
        <f>LOOKUP(A260,Lookup!$A$1:$A$34,Lookup!$B$1:$B$34)</f>
        <v>PORK</v>
      </c>
      <c r="C260" s="5">
        <v>63365</v>
      </c>
      <c r="D260" s="6" t="s">
        <v>253</v>
      </c>
      <c r="E260" s="18">
        <v>78.724191750278706</v>
      </c>
      <c r="F260" s="18">
        <v>0.39200000000000002</v>
      </c>
      <c r="G260" s="18">
        <v>3070.2434782608698</v>
      </c>
      <c r="H260" s="18">
        <v>15.273999999999999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77.791304347826099</v>
      </c>
      <c r="CB260" s="19">
        <v>0.42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0</v>
      </c>
      <c r="CU260" s="19">
        <v>0</v>
      </c>
      <c r="CV260" s="19">
        <v>0</v>
      </c>
      <c r="CW260" s="19">
        <v>0</v>
      </c>
      <c r="CX260" s="19">
        <v>0</v>
      </c>
      <c r="CY260" s="19">
        <v>0</v>
      </c>
      <c r="CZ260" s="19">
        <v>0</v>
      </c>
      <c r="DA260" s="19">
        <v>0</v>
      </c>
      <c r="DB260" s="19">
        <v>0</v>
      </c>
      <c r="DC260" s="19">
        <v>0</v>
      </c>
      <c r="DD260" s="19">
        <v>0</v>
      </c>
      <c r="DE260" s="19">
        <v>0</v>
      </c>
      <c r="DF260" s="19">
        <v>0</v>
      </c>
      <c r="DG260" s="19">
        <v>0</v>
      </c>
      <c r="DH260" s="19">
        <v>0</v>
      </c>
      <c r="DI260" s="19">
        <v>0</v>
      </c>
      <c r="DJ260" s="19">
        <v>0</v>
      </c>
      <c r="DK260" s="19">
        <v>0</v>
      </c>
      <c r="DL260" s="19">
        <v>0</v>
      </c>
      <c r="DM260" s="19">
        <v>0</v>
      </c>
      <c r="DN260" s="19">
        <v>0</v>
      </c>
      <c r="DO260" s="19">
        <v>0</v>
      </c>
      <c r="DP260" s="19">
        <v>0</v>
      </c>
      <c r="DQ260" s="19">
        <v>0</v>
      </c>
      <c r="DR260" s="19">
        <v>0</v>
      </c>
      <c r="DS260" s="19">
        <v>0</v>
      </c>
      <c r="DT260" s="19">
        <v>0</v>
      </c>
      <c r="DU260" s="19">
        <v>0</v>
      </c>
      <c r="DV260" s="19">
        <v>0</v>
      </c>
      <c r="DW260" s="19">
        <v>0</v>
      </c>
      <c r="DX260" s="19">
        <v>0</v>
      </c>
      <c r="DY260" s="19">
        <v>0</v>
      </c>
      <c r="DZ260" s="19">
        <v>0</v>
      </c>
      <c r="EA260" s="19">
        <v>0</v>
      </c>
      <c r="EB260" s="19">
        <v>0</v>
      </c>
      <c r="EC260" s="19">
        <v>0</v>
      </c>
      <c r="ED260" s="19">
        <v>0</v>
      </c>
      <c r="EE260" s="19">
        <v>0</v>
      </c>
      <c r="EF260" s="19">
        <v>0</v>
      </c>
      <c r="EG260" s="19">
        <v>76.991304347826102</v>
      </c>
      <c r="EH260" s="19">
        <v>0.46600000000000003</v>
      </c>
      <c r="EI260" s="19">
        <v>672.43478260869597</v>
      </c>
      <c r="EJ260" s="19">
        <v>4.07</v>
      </c>
      <c r="EK260" s="19">
        <v>460</v>
      </c>
      <c r="EL260" s="19">
        <v>2.1160000000000001</v>
      </c>
      <c r="EM260" s="19">
        <v>793.91304347826099</v>
      </c>
      <c r="EN260" s="19">
        <v>3.6520000000000001</v>
      </c>
      <c r="EO260" s="19">
        <v>89.565217391304301</v>
      </c>
      <c r="EP260" s="19">
        <v>0.41199999999999998</v>
      </c>
      <c r="EQ260" s="19">
        <v>899.547826086957</v>
      </c>
      <c r="ER260" s="19">
        <v>4.1379999999999999</v>
      </c>
      <c r="ES260" s="119">
        <v>0</v>
      </c>
      <c r="ET260" s="119">
        <v>0</v>
      </c>
    </row>
    <row r="261" spans="1:150" ht="16.5" customHeight="1" x14ac:dyDescent="0.35">
      <c r="A261" s="4">
        <v>207</v>
      </c>
      <c r="B261" s="4" t="str">
        <f>LOOKUP(A261,Lookup!$A$1:$A$34,Lookup!$B$1:$B$34)</f>
        <v>PORK</v>
      </c>
      <c r="C261" s="5">
        <v>63366</v>
      </c>
      <c r="D261" s="6" t="s">
        <v>254</v>
      </c>
      <c r="E261" s="18">
        <v>20.9328874024526</v>
      </c>
      <c r="F261" s="18">
        <v>0.17199999999999999</v>
      </c>
      <c r="G261" s="18">
        <v>816.38260869565204</v>
      </c>
      <c r="H261" s="18">
        <v>6.7060000000000004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648.38260869565204</v>
      </c>
      <c r="CB261" s="19">
        <v>5.3259999999999996</v>
      </c>
      <c r="CC261" s="19">
        <v>168</v>
      </c>
      <c r="CD261" s="19">
        <v>1.38</v>
      </c>
      <c r="CE261" s="19">
        <v>0</v>
      </c>
      <c r="CF261" s="19">
        <v>0</v>
      </c>
      <c r="CG261" s="19">
        <v>0</v>
      </c>
      <c r="CH261" s="19">
        <v>0</v>
      </c>
      <c r="CI261" s="19">
        <v>0</v>
      </c>
      <c r="CJ261" s="19">
        <v>0</v>
      </c>
      <c r="CK261" s="19">
        <v>0</v>
      </c>
      <c r="CL261" s="19">
        <v>0</v>
      </c>
      <c r="CM261" s="19">
        <v>0</v>
      </c>
      <c r="CN261" s="19">
        <v>0</v>
      </c>
      <c r="CO261" s="19">
        <v>0</v>
      </c>
      <c r="CP261" s="19">
        <v>0</v>
      </c>
      <c r="CQ261" s="19">
        <v>0</v>
      </c>
      <c r="CR261" s="19">
        <v>0</v>
      </c>
      <c r="CS261" s="19">
        <v>0</v>
      </c>
      <c r="CT261" s="19">
        <v>0</v>
      </c>
      <c r="CU261" s="19">
        <v>0</v>
      </c>
      <c r="CV261" s="19">
        <v>0</v>
      </c>
      <c r="CW261" s="19">
        <v>0</v>
      </c>
      <c r="CX261" s="19">
        <v>0</v>
      </c>
      <c r="CY261" s="19">
        <v>0</v>
      </c>
      <c r="CZ261" s="19">
        <v>0</v>
      </c>
      <c r="DA261" s="19">
        <v>0</v>
      </c>
      <c r="DB261" s="19">
        <v>0</v>
      </c>
      <c r="DC261" s="19">
        <v>0</v>
      </c>
      <c r="DD261" s="19">
        <v>0</v>
      </c>
      <c r="DE261" s="19">
        <v>0</v>
      </c>
      <c r="DF261" s="19">
        <v>0</v>
      </c>
      <c r="DG261" s="19">
        <v>0</v>
      </c>
      <c r="DH261" s="19">
        <v>0</v>
      </c>
      <c r="DI261" s="19">
        <v>0</v>
      </c>
      <c r="DJ261" s="19">
        <v>0</v>
      </c>
      <c r="DK261" s="19">
        <v>0</v>
      </c>
      <c r="DL261" s="19">
        <v>0</v>
      </c>
      <c r="DM261" s="19">
        <v>0</v>
      </c>
      <c r="DN261" s="19">
        <v>0</v>
      </c>
      <c r="DO261" s="19">
        <v>0</v>
      </c>
      <c r="DP261" s="19">
        <v>0</v>
      </c>
      <c r="DQ261" s="19">
        <v>0</v>
      </c>
      <c r="DR261" s="19">
        <v>0</v>
      </c>
      <c r="DS261" s="19">
        <v>0</v>
      </c>
      <c r="DT261" s="19">
        <v>0</v>
      </c>
      <c r="DU261" s="19">
        <v>0</v>
      </c>
      <c r="DV261" s="19">
        <v>0</v>
      </c>
      <c r="DW261" s="19">
        <v>0</v>
      </c>
      <c r="DX261" s="19">
        <v>0</v>
      </c>
      <c r="DY261" s="19">
        <v>0</v>
      </c>
      <c r="DZ261" s="19">
        <v>0</v>
      </c>
      <c r="EA261" s="19">
        <v>0</v>
      </c>
      <c r="EB261" s="19">
        <v>0</v>
      </c>
      <c r="EC261" s="19">
        <v>0</v>
      </c>
      <c r="ED261" s="19">
        <v>0</v>
      </c>
      <c r="EE261" s="19">
        <v>0</v>
      </c>
      <c r="EF261" s="19">
        <v>0</v>
      </c>
      <c r="EG261" s="19">
        <v>0</v>
      </c>
      <c r="EH261" s="19">
        <v>0</v>
      </c>
      <c r="EI261" s="19">
        <v>0</v>
      </c>
      <c r="EJ261" s="19">
        <v>0</v>
      </c>
      <c r="EK261" s="19">
        <v>0</v>
      </c>
      <c r="EL261" s="19">
        <v>0</v>
      </c>
      <c r="EM261" s="19">
        <v>0</v>
      </c>
      <c r="EN261" s="19">
        <v>0</v>
      </c>
      <c r="EO261" s="19">
        <v>0</v>
      </c>
      <c r="EP261" s="19">
        <v>0</v>
      </c>
      <c r="EQ261" s="19">
        <v>0</v>
      </c>
      <c r="ER261" s="19">
        <v>0</v>
      </c>
      <c r="ES261" s="119">
        <v>0</v>
      </c>
      <c r="ET261" s="119">
        <v>0</v>
      </c>
    </row>
    <row r="262" spans="1:150" ht="16.5" customHeight="1" x14ac:dyDescent="0.35">
      <c r="A262" s="4">
        <v>207</v>
      </c>
      <c r="B262" s="4" t="str">
        <f>LOOKUP(A262,Lookup!$A$1:$A$34,Lookup!$B$1:$B$34)</f>
        <v>PORK</v>
      </c>
      <c r="C262" s="5">
        <v>63367</v>
      </c>
      <c r="D262" s="6" t="s">
        <v>255</v>
      </c>
      <c r="E262" s="18">
        <v>208.94715719063501</v>
      </c>
      <c r="F262" s="18">
        <v>1.3759999999999999</v>
      </c>
      <c r="G262" s="18">
        <v>8148.9391304347801</v>
      </c>
      <c r="H262" s="18">
        <v>53.658000000000001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>
        <v>0</v>
      </c>
      <c r="BW262" s="19">
        <v>0</v>
      </c>
      <c r="BX262" s="19">
        <v>0</v>
      </c>
      <c r="BY262" s="19">
        <v>0</v>
      </c>
      <c r="BZ262" s="19">
        <v>0</v>
      </c>
      <c r="CA262" s="19">
        <v>540.31304347826097</v>
      </c>
      <c r="CB262" s="19">
        <v>3.452</v>
      </c>
      <c r="CC262" s="19">
        <v>474.88695652173902</v>
      </c>
      <c r="CD262" s="19">
        <v>3.0339999999999998</v>
      </c>
      <c r="CE262" s="19">
        <v>122.086956521739</v>
      </c>
      <c r="CF262" s="19">
        <v>0.78</v>
      </c>
      <c r="CG262" s="19">
        <v>809.84347826086901</v>
      </c>
      <c r="CH262" s="19">
        <v>5.1740000000000004</v>
      </c>
      <c r="CI262" s="19">
        <v>268.90434782608702</v>
      </c>
      <c r="CJ262" s="19">
        <v>1.718</v>
      </c>
      <c r="CK262" s="19">
        <v>0</v>
      </c>
      <c r="CL262" s="19">
        <v>0</v>
      </c>
      <c r="CM262" s="19">
        <v>0</v>
      </c>
      <c r="CN262" s="19">
        <v>0</v>
      </c>
      <c r="CO262" s="19">
        <v>0</v>
      </c>
      <c r="CP262" s="19">
        <v>0</v>
      </c>
      <c r="CQ262" s="19">
        <v>0</v>
      </c>
      <c r="CR262" s="19">
        <v>0</v>
      </c>
      <c r="CS262" s="19">
        <v>0</v>
      </c>
      <c r="CT262" s="19">
        <v>0</v>
      </c>
      <c r="CU262" s="19">
        <v>0</v>
      </c>
      <c r="CV262" s="19">
        <v>0</v>
      </c>
      <c r="CW262" s="19">
        <v>0</v>
      </c>
      <c r="CX262" s="19">
        <v>0</v>
      </c>
      <c r="CY262" s="19">
        <v>0</v>
      </c>
      <c r="CZ262" s="19">
        <v>0</v>
      </c>
      <c r="DA262" s="19">
        <v>0</v>
      </c>
      <c r="DB262" s="19">
        <v>0</v>
      </c>
      <c r="DC262" s="19">
        <v>0</v>
      </c>
      <c r="DD262" s="19">
        <v>0</v>
      </c>
      <c r="DE262" s="19">
        <v>0</v>
      </c>
      <c r="DF262" s="19">
        <v>0</v>
      </c>
      <c r="DG262" s="19">
        <v>0</v>
      </c>
      <c r="DH262" s="19">
        <v>0</v>
      </c>
      <c r="DI262" s="19">
        <v>0</v>
      </c>
      <c r="DJ262" s="19">
        <v>0</v>
      </c>
      <c r="DK262" s="19">
        <v>0</v>
      </c>
      <c r="DL262" s="19">
        <v>0</v>
      </c>
      <c r="DM262" s="19">
        <v>0</v>
      </c>
      <c r="DN262" s="19">
        <v>0</v>
      </c>
      <c r="DO262" s="19">
        <v>0</v>
      </c>
      <c r="DP262" s="19">
        <v>0</v>
      </c>
      <c r="DQ262" s="19">
        <v>0</v>
      </c>
      <c r="DR262" s="19">
        <v>0</v>
      </c>
      <c r="DS262" s="19">
        <v>0</v>
      </c>
      <c r="DT262" s="19">
        <v>0</v>
      </c>
      <c r="DU262" s="19">
        <v>0</v>
      </c>
      <c r="DV262" s="19">
        <v>0</v>
      </c>
      <c r="DW262" s="19">
        <v>0</v>
      </c>
      <c r="DX262" s="19">
        <v>0</v>
      </c>
      <c r="DY262" s="19">
        <v>0</v>
      </c>
      <c r="DZ262" s="19">
        <v>0</v>
      </c>
      <c r="EA262" s="19">
        <v>0</v>
      </c>
      <c r="EB262" s="19">
        <v>0</v>
      </c>
      <c r="EC262" s="19">
        <v>0</v>
      </c>
      <c r="ED262" s="19">
        <v>0</v>
      </c>
      <c r="EE262" s="19">
        <v>0</v>
      </c>
      <c r="EF262" s="19">
        <v>0</v>
      </c>
      <c r="EG262" s="19">
        <v>1391.01739130435</v>
      </c>
      <c r="EH262" s="19">
        <v>9.9979999999999993</v>
      </c>
      <c r="EI262" s="19">
        <v>1764.4260869565201</v>
      </c>
      <c r="EJ262" s="19">
        <v>12.682</v>
      </c>
      <c r="EK262" s="19">
        <v>512.83478260869595</v>
      </c>
      <c r="EL262" s="19">
        <v>3.6859999999999999</v>
      </c>
      <c r="EM262" s="19">
        <v>781.16521739130405</v>
      </c>
      <c r="EN262" s="19">
        <v>4.6040000000000001</v>
      </c>
      <c r="EO262" s="19">
        <v>711.29565217391303</v>
      </c>
      <c r="EP262" s="19">
        <v>4.09</v>
      </c>
      <c r="EQ262" s="19">
        <v>772.16521739130405</v>
      </c>
      <c r="ER262" s="19">
        <v>4.4400000000000004</v>
      </c>
      <c r="ES262" s="119">
        <v>0</v>
      </c>
      <c r="ET262" s="119">
        <v>0</v>
      </c>
    </row>
    <row r="263" spans="1:150" ht="16.5" customHeight="1" x14ac:dyDescent="0.35">
      <c r="A263" s="4">
        <v>207</v>
      </c>
      <c r="B263" s="4" t="str">
        <f>LOOKUP(A263,Lookup!$A$1:$A$34,Lookup!$B$1:$B$34)</f>
        <v>PORK</v>
      </c>
      <c r="C263" s="5">
        <v>63368</v>
      </c>
      <c r="D263" s="6" t="s">
        <v>256</v>
      </c>
      <c r="E263" s="18">
        <v>0</v>
      </c>
      <c r="F263" s="18">
        <v>0</v>
      </c>
      <c r="G263" s="18">
        <v>0</v>
      </c>
      <c r="H263" s="18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>
        <v>0</v>
      </c>
      <c r="BW263" s="19">
        <v>0</v>
      </c>
      <c r="BX263" s="19">
        <v>0</v>
      </c>
      <c r="BY263" s="19">
        <v>0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9">
        <v>0</v>
      </c>
      <c r="CH263" s="19">
        <v>0</v>
      </c>
      <c r="CI263" s="19">
        <v>0</v>
      </c>
      <c r="CJ263" s="19">
        <v>0</v>
      </c>
      <c r="CK263" s="19">
        <v>0</v>
      </c>
      <c r="CL263" s="19">
        <v>0</v>
      </c>
      <c r="CM263" s="19">
        <v>0</v>
      </c>
      <c r="CN263" s="19">
        <v>0</v>
      </c>
      <c r="CO263" s="19">
        <v>0</v>
      </c>
      <c r="CP263" s="19">
        <v>0</v>
      </c>
      <c r="CQ263" s="19">
        <v>0</v>
      </c>
      <c r="CR263" s="19">
        <v>0</v>
      </c>
      <c r="CS263" s="19">
        <v>0</v>
      </c>
      <c r="CT263" s="19">
        <v>0</v>
      </c>
      <c r="CU263" s="19">
        <v>0</v>
      </c>
      <c r="CV263" s="19">
        <v>0</v>
      </c>
      <c r="CW263" s="19">
        <v>0</v>
      </c>
      <c r="CX263" s="19">
        <v>0</v>
      </c>
      <c r="CY263" s="19">
        <v>0</v>
      </c>
      <c r="CZ263" s="19">
        <v>0</v>
      </c>
      <c r="DA263" s="19">
        <v>0</v>
      </c>
      <c r="DB263" s="19">
        <v>0</v>
      </c>
      <c r="DC263" s="19">
        <v>0</v>
      </c>
      <c r="DD263" s="19">
        <v>0</v>
      </c>
      <c r="DE263" s="19">
        <v>0</v>
      </c>
      <c r="DF263" s="19">
        <v>0</v>
      </c>
      <c r="DG263" s="19">
        <v>0</v>
      </c>
      <c r="DH263" s="19">
        <v>0</v>
      </c>
      <c r="DI263" s="19">
        <v>0</v>
      </c>
      <c r="DJ263" s="19">
        <v>0</v>
      </c>
      <c r="DK263" s="19">
        <v>0</v>
      </c>
      <c r="DL263" s="19">
        <v>0</v>
      </c>
      <c r="DM263" s="19">
        <v>0</v>
      </c>
      <c r="DN263" s="19">
        <v>0</v>
      </c>
      <c r="DO263" s="19">
        <v>0</v>
      </c>
      <c r="DP263" s="19">
        <v>0</v>
      </c>
      <c r="DQ263" s="19">
        <v>0</v>
      </c>
      <c r="DR263" s="19">
        <v>0</v>
      </c>
      <c r="DS263" s="19">
        <v>0</v>
      </c>
      <c r="DT263" s="19">
        <v>0</v>
      </c>
      <c r="DU263" s="19">
        <v>0</v>
      </c>
      <c r="DV263" s="19">
        <v>0</v>
      </c>
      <c r="DW263" s="19">
        <v>0</v>
      </c>
      <c r="DX263" s="19">
        <v>0</v>
      </c>
      <c r="DY263" s="19">
        <v>0</v>
      </c>
      <c r="DZ263" s="19">
        <v>0</v>
      </c>
      <c r="EA263" s="19">
        <v>0</v>
      </c>
      <c r="EB263" s="19">
        <v>0</v>
      </c>
      <c r="EC263" s="19">
        <v>0</v>
      </c>
      <c r="ED263" s="19">
        <v>0</v>
      </c>
      <c r="EE263" s="19">
        <v>0</v>
      </c>
      <c r="EF263" s="19">
        <v>0</v>
      </c>
      <c r="EG263" s="19">
        <v>0</v>
      </c>
      <c r="EH263" s="19">
        <v>0</v>
      </c>
      <c r="EI263" s="19">
        <v>0</v>
      </c>
      <c r="EJ263" s="19">
        <v>0</v>
      </c>
      <c r="EK263" s="19">
        <v>0</v>
      </c>
      <c r="EL263" s="19">
        <v>0</v>
      </c>
      <c r="EM263" s="19">
        <v>0</v>
      </c>
      <c r="EN263" s="19">
        <v>0</v>
      </c>
      <c r="EO263" s="19">
        <v>0</v>
      </c>
      <c r="EP263" s="19">
        <v>0</v>
      </c>
      <c r="EQ263" s="19">
        <v>0</v>
      </c>
      <c r="ER263" s="19">
        <v>0</v>
      </c>
      <c r="ES263" s="119">
        <v>0</v>
      </c>
      <c r="ET263" s="119">
        <v>0</v>
      </c>
    </row>
    <row r="264" spans="1:150" ht="16.5" customHeight="1" x14ac:dyDescent="0.35">
      <c r="A264" s="4">
        <v>207</v>
      </c>
      <c r="B264" s="4" t="str">
        <f>LOOKUP(A264,Lookup!$A$1:$A$34,Lookup!$B$1:$B$34)</f>
        <v>PORK</v>
      </c>
      <c r="C264" s="5">
        <v>63414</v>
      </c>
      <c r="D264" s="6" t="s">
        <v>257</v>
      </c>
      <c r="E264" s="18">
        <v>304.44972129320001</v>
      </c>
      <c r="F264" s="18">
        <v>2.9529999999999998</v>
      </c>
      <c r="G264" s="18">
        <v>11873.5391304348</v>
      </c>
      <c r="H264" s="18">
        <v>115.166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0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1145.2347826087</v>
      </c>
      <c r="BV264" s="19">
        <v>11.866</v>
      </c>
      <c r="BW264" s="19">
        <v>72.382608695652195</v>
      </c>
      <c r="BX264" s="19">
        <v>0.75</v>
      </c>
      <c r="BY264" s="19">
        <v>2074.2608695652202</v>
      </c>
      <c r="BZ264" s="19">
        <v>21.492000000000001</v>
      </c>
      <c r="CA264" s="19">
        <v>1022.8347826087</v>
      </c>
      <c r="CB264" s="19">
        <v>9.92</v>
      </c>
      <c r="CC264" s="19">
        <v>852.46956521739105</v>
      </c>
      <c r="CD264" s="19">
        <v>8.17</v>
      </c>
      <c r="CE264" s="19">
        <v>871.23478260869604</v>
      </c>
      <c r="CF264" s="19">
        <v>8.35</v>
      </c>
      <c r="CG264" s="19">
        <v>665.269565217391</v>
      </c>
      <c r="CH264" s="19">
        <v>6.3760000000000003</v>
      </c>
      <c r="CI264" s="19">
        <v>640.01739130434805</v>
      </c>
      <c r="CJ264" s="19">
        <v>6.1340000000000003</v>
      </c>
      <c r="CK264" s="19">
        <v>1248.3130434782599</v>
      </c>
      <c r="CL264" s="19">
        <v>11.964</v>
      </c>
      <c r="CM264" s="19">
        <v>311.79130434782599</v>
      </c>
      <c r="CN264" s="19">
        <v>2.91</v>
      </c>
      <c r="CO264" s="19">
        <v>730.73913043478296</v>
      </c>
      <c r="CP264" s="19">
        <v>6.67</v>
      </c>
      <c r="CQ264" s="19">
        <v>0</v>
      </c>
      <c r="CR264" s="19">
        <v>0</v>
      </c>
      <c r="CS264" s="19">
        <v>0</v>
      </c>
      <c r="CT264" s="19">
        <v>0</v>
      </c>
      <c r="CU264" s="19">
        <v>0</v>
      </c>
      <c r="CV264" s="19">
        <v>0</v>
      </c>
      <c r="CW264" s="19">
        <v>0</v>
      </c>
      <c r="CX264" s="19">
        <v>0</v>
      </c>
      <c r="CY264" s="19">
        <v>330.85217391304298</v>
      </c>
      <c r="CZ264" s="19">
        <v>3.0619999999999998</v>
      </c>
      <c r="DA264" s="19">
        <v>0</v>
      </c>
      <c r="DB264" s="19">
        <v>0</v>
      </c>
      <c r="DC264" s="19">
        <v>0</v>
      </c>
      <c r="DD264" s="19">
        <v>0</v>
      </c>
      <c r="DE264" s="19">
        <v>0</v>
      </c>
      <c r="DF264" s="19">
        <v>0</v>
      </c>
      <c r="DG264" s="19">
        <v>0</v>
      </c>
      <c r="DH264" s="19">
        <v>0</v>
      </c>
      <c r="DI264" s="19">
        <v>0</v>
      </c>
      <c r="DJ264" s="19">
        <v>0</v>
      </c>
      <c r="DK264" s="19">
        <v>0</v>
      </c>
      <c r="DL264" s="19">
        <v>0</v>
      </c>
      <c r="DM264" s="19">
        <v>0</v>
      </c>
      <c r="DN264" s="19">
        <v>0</v>
      </c>
      <c r="DO264" s="19">
        <v>558.52173913043498</v>
      </c>
      <c r="DP264" s="19">
        <v>5.0979999999999999</v>
      </c>
      <c r="DQ264" s="19">
        <v>1100.70434782609</v>
      </c>
      <c r="DR264" s="19">
        <v>10.132</v>
      </c>
      <c r="DS264" s="19">
        <v>248.91304347826099</v>
      </c>
      <c r="DT264" s="19">
        <v>2.2719999999999998</v>
      </c>
      <c r="DU264" s="19">
        <v>0</v>
      </c>
      <c r="DV264" s="19">
        <v>0</v>
      </c>
      <c r="DW264" s="19">
        <v>0</v>
      </c>
      <c r="DX264" s="19">
        <v>0</v>
      </c>
      <c r="DY264" s="19">
        <v>0</v>
      </c>
      <c r="DZ264" s="19">
        <v>0</v>
      </c>
      <c r="EA264" s="19">
        <v>0</v>
      </c>
      <c r="EB264" s="19">
        <v>0</v>
      </c>
      <c r="EC264" s="19">
        <v>0</v>
      </c>
      <c r="ED264" s="19">
        <v>0</v>
      </c>
      <c r="EE264" s="19">
        <v>0</v>
      </c>
      <c r="EF264" s="19">
        <v>0</v>
      </c>
      <c r="EG264" s="19">
        <v>0</v>
      </c>
      <c r="EH264" s="19">
        <v>0</v>
      </c>
      <c r="EI264" s="19">
        <v>0</v>
      </c>
      <c r="EJ264" s="19">
        <v>0</v>
      </c>
      <c r="EK264" s="19">
        <v>0</v>
      </c>
      <c r="EL264" s="19">
        <v>0</v>
      </c>
      <c r="EM264" s="19">
        <v>0</v>
      </c>
      <c r="EN264" s="19">
        <v>0</v>
      </c>
      <c r="EO264" s="19">
        <v>0</v>
      </c>
      <c r="EP264" s="19">
        <v>0</v>
      </c>
      <c r="EQ264" s="19">
        <v>0</v>
      </c>
      <c r="ER264" s="19">
        <v>0</v>
      </c>
      <c r="ES264" s="119">
        <v>0</v>
      </c>
      <c r="ET264" s="119">
        <v>0</v>
      </c>
    </row>
    <row r="265" spans="1:150" ht="16.5" customHeight="1" x14ac:dyDescent="0.35">
      <c r="A265" s="4">
        <v>207</v>
      </c>
      <c r="B265" s="4" t="str">
        <f>LOOKUP(A265,Lookup!$A$1:$A$34,Lookup!$B$1:$B$34)</f>
        <v>PORK</v>
      </c>
      <c r="C265" s="5">
        <v>63470</v>
      </c>
      <c r="D265" s="6" t="s">
        <v>258</v>
      </c>
      <c r="E265" s="18">
        <v>7880.27070938215</v>
      </c>
      <c r="F265" s="18">
        <v>101.074</v>
      </c>
      <c r="G265" s="18">
        <v>299450.28695652197</v>
      </c>
      <c r="H265" s="18">
        <v>3840.8130000000001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>
        <v>0</v>
      </c>
      <c r="BW265" s="19">
        <v>8183.7304347826102</v>
      </c>
      <c r="BX265" s="19">
        <v>105.044</v>
      </c>
      <c r="BY265" s="19">
        <v>8875.2782608695707</v>
      </c>
      <c r="BZ265" s="19">
        <v>157.048</v>
      </c>
      <c r="CA265" s="19">
        <v>10037.373913043501</v>
      </c>
      <c r="CB265" s="19">
        <v>177.69399999999999</v>
      </c>
      <c r="CC265" s="19">
        <v>10891.4869565217</v>
      </c>
      <c r="CD265" s="19">
        <v>179.042</v>
      </c>
      <c r="CE265" s="19">
        <v>6244.6956521739103</v>
      </c>
      <c r="CF265" s="19">
        <v>102.654</v>
      </c>
      <c r="CG265" s="19">
        <v>12198.391304347801</v>
      </c>
      <c r="CH265" s="19">
        <v>156.09299999999999</v>
      </c>
      <c r="CI265" s="19">
        <v>2472.4086956521701</v>
      </c>
      <c r="CJ265" s="19">
        <v>31.687999999999999</v>
      </c>
      <c r="CK265" s="19">
        <v>5510.7739130434802</v>
      </c>
      <c r="CL265" s="19">
        <v>70.62</v>
      </c>
      <c r="CM265" s="19">
        <v>4143.6956521739103</v>
      </c>
      <c r="CN265" s="19">
        <v>52.954000000000001</v>
      </c>
      <c r="CO265" s="19">
        <v>8491.4608695652205</v>
      </c>
      <c r="CP265" s="19">
        <v>108.514</v>
      </c>
      <c r="CQ265" s="19">
        <v>7461.6521739130403</v>
      </c>
      <c r="CR265" s="19">
        <v>95.451999999999998</v>
      </c>
      <c r="CS265" s="19">
        <v>6409.4347826086996</v>
      </c>
      <c r="CT265" s="19">
        <v>82.001999999999995</v>
      </c>
      <c r="CU265" s="19">
        <v>5752.8434782608701</v>
      </c>
      <c r="CV265" s="19">
        <v>73.516999999999996</v>
      </c>
      <c r="CW265" s="19">
        <v>6511.7913043478302</v>
      </c>
      <c r="CX265" s="19">
        <v>83.215999999999994</v>
      </c>
      <c r="CY265" s="19">
        <v>12258.4869565217</v>
      </c>
      <c r="CZ265" s="19">
        <v>156.738</v>
      </c>
      <c r="DA265" s="19">
        <v>9567.4521739130396</v>
      </c>
      <c r="DB265" s="19">
        <v>122.297</v>
      </c>
      <c r="DC265" s="19">
        <v>8079.2173913043498</v>
      </c>
      <c r="DD265" s="19">
        <v>103.246</v>
      </c>
      <c r="DE265" s="19">
        <v>10883.113043478301</v>
      </c>
      <c r="DF265" s="19">
        <v>139.078</v>
      </c>
      <c r="DG265" s="19">
        <v>15631.947826087</v>
      </c>
      <c r="DH265" s="19">
        <v>199.89599999999999</v>
      </c>
      <c r="DI265" s="19">
        <v>7854.3217391304297</v>
      </c>
      <c r="DJ265" s="19">
        <v>100.373</v>
      </c>
      <c r="DK265" s="19">
        <v>5763.94782608696</v>
      </c>
      <c r="DL265" s="19">
        <v>68.227000000000004</v>
      </c>
      <c r="DM265" s="19">
        <v>3980.1565217391299</v>
      </c>
      <c r="DN265" s="19">
        <v>45.856000000000002</v>
      </c>
      <c r="DO265" s="19">
        <v>6228.8521739130401</v>
      </c>
      <c r="DP265" s="19">
        <v>67.162000000000006</v>
      </c>
      <c r="DQ265" s="19">
        <v>6694.3478260869597</v>
      </c>
      <c r="DR265" s="19">
        <v>69.992999999999995</v>
      </c>
      <c r="DS265" s="19">
        <v>4977.1478260869599</v>
      </c>
      <c r="DT265" s="19">
        <v>54.531999999999996</v>
      </c>
      <c r="DU265" s="19">
        <v>5422.6434782608703</v>
      </c>
      <c r="DV265" s="19">
        <v>67.787000000000006</v>
      </c>
      <c r="DW265" s="19">
        <v>6915.5739130434804</v>
      </c>
      <c r="DX265" s="19">
        <v>88.376999999999995</v>
      </c>
      <c r="DY265" s="19">
        <v>11856.956521739099</v>
      </c>
      <c r="DZ265" s="19">
        <v>151.65</v>
      </c>
      <c r="EA265" s="19">
        <v>5545.4</v>
      </c>
      <c r="EB265" s="19">
        <v>70.956000000000003</v>
      </c>
      <c r="EC265" s="19">
        <v>8221.05217391304</v>
      </c>
      <c r="ED265" s="19">
        <v>95.289000000000001</v>
      </c>
      <c r="EE265" s="19">
        <v>5938.1130434782599</v>
      </c>
      <c r="EF265" s="19">
        <v>68.403999999999996</v>
      </c>
      <c r="EG265" s="19">
        <v>12018.7391304348</v>
      </c>
      <c r="EH265" s="19">
        <v>138.262</v>
      </c>
      <c r="EI265" s="19">
        <v>11056.286956521701</v>
      </c>
      <c r="EJ265" s="19">
        <v>127.212</v>
      </c>
      <c r="EK265" s="19">
        <v>6036.04347826087</v>
      </c>
      <c r="EL265" s="19">
        <v>69.421999999999997</v>
      </c>
      <c r="EM265" s="19">
        <v>4407.6956521739103</v>
      </c>
      <c r="EN265" s="19">
        <v>50.694000000000003</v>
      </c>
      <c r="EO265" s="19">
        <v>7146.3130434782597</v>
      </c>
      <c r="EP265" s="19">
        <v>82.191000000000003</v>
      </c>
      <c r="EQ265" s="19">
        <v>11511.408695652201</v>
      </c>
      <c r="ER265" s="19">
        <v>132.43299999999999</v>
      </c>
      <c r="ES265" s="119">
        <v>10268.947826087</v>
      </c>
      <c r="ET265" s="119">
        <v>118.19</v>
      </c>
    </row>
    <row r="266" spans="1:150" ht="16.5" customHeight="1" x14ac:dyDescent="0.35">
      <c r="A266" s="4">
        <v>207</v>
      </c>
      <c r="B266" s="4" t="str">
        <f>LOOKUP(A266,Lookup!$A$1:$A$34,Lookup!$B$1:$B$34)</f>
        <v>PORK</v>
      </c>
      <c r="C266" s="5">
        <v>63471</v>
      </c>
      <c r="D266" s="6" t="s">
        <v>259</v>
      </c>
      <c r="E266" s="18">
        <v>6383.5748283752901</v>
      </c>
      <c r="F266" s="18">
        <v>75.781999999999996</v>
      </c>
      <c r="G266" s="18">
        <v>242575.843478261</v>
      </c>
      <c r="H266" s="18">
        <v>2879.7150000000001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0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>
        <v>0</v>
      </c>
      <c r="BW266" s="19">
        <v>4081.6086956521699</v>
      </c>
      <c r="BX266" s="19">
        <v>43.74</v>
      </c>
      <c r="BY266" s="19">
        <v>7998.3739130434797</v>
      </c>
      <c r="BZ266" s="19">
        <v>115.044</v>
      </c>
      <c r="CA266" s="19">
        <v>5791.5043478260905</v>
      </c>
      <c r="CB266" s="19">
        <v>83.308000000000007</v>
      </c>
      <c r="CC266" s="19">
        <v>5034.7913043478302</v>
      </c>
      <c r="CD266" s="19">
        <v>52.74</v>
      </c>
      <c r="CE266" s="19">
        <v>5650.8956521739101</v>
      </c>
      <c r="CF266" s="19">
        <v>77.951999999999998</v>
      </c>
      <c r="CG266" s="19">
        <v>10585.1391304348</v>
      </c>
      <c r="CH266" s="19">
        <v>110.773</v>
      </c>
      <c r="CI266" s="19">
        <v>5611.2521739130398</v>
      </c>
      <c r="CJ266" s="19">
        <v>58.777999999999999</v>
      </c>
      <c r="CK266" s="19">
        <v>5719.6782608695603</v>
      </c>
      <c r="CL266" s="19">
        <v>59.802</v>
      </c>
      <c r="CM266" s="19">
        <v>4674.4608695652196</v>
      </c>
      <c r="CN266" s="19">
        <v>48.874000000000002</v>
      </c>
      <c r="CO266" s="19">
        <v>9198.1478260869608</v>
      </c>
      <c r="CP266" s="19">
        <v>128.816</v>
      </c>
      <c r="CQ266" s="19">
        <v>7978.5652173913004</v>
      </c>
      <c r="CR266" s="19">
        <v>114.764</v>
      </c>
      <c r="CS266" s="19">
        <v>8559.2869565217406</v>
      </c>
      <c r="CT266" s="19">
        <v>123.498</v>
      </c>
      <c r="CU266" s="19">
        <v>5843.6347826086903</v>
      </c>
      <c r="CV266" s="19">
        <v>74.805999999999997</v>
      </c>
      <c r="CW266" s="19">
        <v>4844.2869565217397</v>
      </c>
      <c r="CX266" s="19">
        <v>61.95</v>
      </c>
      <c r="CY266" s="19">
        <v>10433.678260869599</v>
      </c>
      <c r="CZ266" s="19">
        <v>133.334</v>
      </c>
      <c r="DA266" s="19">
        <v>6144.4347826086996</v>
      </c>
      <c r="DB266" s="19">
        <v>78.569999999999993</v>
      </c>
      <c r="DC266" s="19">
        <v>2333.7304347826098</v>
      </c>
      <c r="DD266" s="19">
        <v>24.4</v>
      </c>
      <c r="DE266" s="19">
        <v>8433.95652173913</v>
      </c>
      <c r="DF266" s="19">
        <v>96.024000000000001</v>
      </c>
      <c r="DG266" s="19">
        <v>17573.191304347802</v>
      </c>
      <c r="DH266" s="19">
        <v>202.256</v>
      </c>
      <c r="DI266" s="19">
        <v>9547.4956521739095</v>
      </c>
      <c r="DJ266" s="19">
        <v>122.15300000000001</v>
      </c>
      <c r="DK266" s="19">
        <v>6748.8086956521702</v>
      </c>
      <c r="DL266" s="19">
        <v>84.492999999999995</v>
      </c>
      <c r="DM266" s="19">
        <v>4670.2260869565198</v>
      </c>
      <c r="DN266" s="19">
        <v>59.712000000000003</v>
      </c>
      <c r="DO266" s="19">
        <v>6265.5739130434804</v>
      </c>
      <c r="DP266" s="19">
        <v>79.590999999999994</v>
      </c>
      <c r="DQ266" s="19">
        <v>6288.9043478260901</v>
      </c>
      <c r="DR266" s="19">
        <v>80.418000000000006</v>
      </c>
      <c r="DS266" s="19">
        <v>5786.3913043478296</v>
      </c>
      <c r="DT266" s="19">
        <v>73.945999999999998</v>
      </c>
      <c r="DU266" s="19">
        <v>5207.3130434782597</v>
      </c>
      <c r="DV266" s="19">
        <v>55.097000000000001</v>
      </c>
      <c r="DW266" s="19">
        <v>3691.1391304347799</v>
      </c>
      <c r="DX266" s="19">
        <v>36.968000000000004</v>
      </c>
      <c r="DY266" s="19">
        <v>7204.8608695652201</v>
      </c>
      <c r="DZ266" s="19">
        <v>71.518000000000001</v>
      </c>
      <c r="EA266" s="19">
        <v>8207.9391304347791</v>
      </c>
      <c r="EB266" s="19">
        <v>91.760999999999996</v>
      </c>
      <c r="EC266" s="19">
        <v>4366.5043478260905</v>
      </c>
      <c r="ED266" s="19">
        <v>43.34</v>
      </c>
      <c r="EE266" s="19">
        <v>5646.98260869565</v>
      </c>
      <c r="EF266" s="19">
        <v>69.355000000000004</v>
      </c>
      <c r="EG266" s="19">
        <v>4320.7913043478302</v>
      </c>
      <c r="EH266" s="19">
        <v>42.884</v>
      </c>
      <c r="EI266" s="19">
        <v>6108.5130434782604</v>
      </c>
      <c r="EJ266" s="19">
        <v>55.756999999999998</v>
      </c>
      <c r="EK266" s="19">
        <v>6087</v>
      </c>
      <c r="EL266" s="19">
        <v>65.11</v>
      </c>
      <c r="EM266" s="19">
        <v>4623.7565217391302</v>
      </c>
      <c r="EN266" s="19">
        <v>53.246000000000002</v>
      </c>
      <c r="EO266" s="19">
        <v>4659.8260869565202</v>
      </c>
      <c r="EP266" s="19">
        <v>45.9</v>
      </c>
      <c r="EQ266" s="19">
        <v>3410.49565217391</v>
      </c>
      <c r="ER266" s="19">
        <v>30.349</v>
      </c>
      <c r="ES266" s="119">
        <v>4170.7130434782603</v>
      </c>
      <c r="ET266" s="119">
        <v>36.898000000000003</v>
      </c>
    </row>
    <row r="267" spans="1:150" ht="16.5" customHeight="1" x14ac:dyDescent="0.35">
      <c r="A267" s="4">
        <v>207</v>
      </c>
      <c r="B267" s="4" t="str">
        <f>LOOKUP(A267,Lookup!$A$1:$A$34,Lookup!$B$1:$B$34)</f>
        <v>PORK</v>
      </c>
      <c r="C267" s="5">
        <v>63472</v>
      </c>
      <c r="D267" s="6" t="s">
        <v>246</v>
      </c>
      <c r="E267" s="18">
        <v>1924.58672768879</v>
      </c>
      <c r="F267" s="18">
        <v>22.498999999999999</v>
      </c>
      <c r="G267" s="18">
        <v>73134.295652173896</v>
      </c>
      <c r="H267" s="18">
        <v>854.94299999999998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2455.5565217391299</v>
      </c>
      <c r="BX267" s="19">
        <v>28.241</v>
      </c>
      <c r="BY267" s="19">
        <v>3391.3043478260902</v>
      </c>
      <c r="BZ267" s="19">
        <v>48.805999999999997</v>
      </c>
      <c r="CA267" s="19">
        <v>2966.3391304347801</v>
      </c>
      <c r="CB267" s="19">
        <v>42.69</v>
      </c>
      <c r="CC267" s="19">
        <v>1183.1043478260899</v>
      </c>
      <c r="CD267" s="19">
        <v>13.654</v>
      </c>
      <c r="CE267" s="19">
        <v>1419.50434782609</v>
      </c>
      <c r="CF267" s="19">
        <v>16.326000000000001</v>
      </c>
      <c r="CG267" s="19">
        <v>1791.7652173913</v>
      </c>
      <c r="CH267" s="19">
        <v>22.77</v>
      </c>
      <c r="CI267" s="19">
        <v>2037.54782608696</v>
      </c>
      <c r="CJ267" s="19">
        <v>26.077999999999999</v>
      </c>
      <c r="CK267" s="19">
        <v>1468.8434782608699</v>
      </c>
      <c r="CL267" s="19">
        <v>17.518000000000001</v>
      </c>
      <c r="CM267" s="19">
        <v>1851.6086956521699</v>
      </c>
      <c r="CN267" s="19">
        <v>21.295999999999999</v>
      </c>
      <c r="CO267" s="19">
        <v>2222.3826086956501</v>
      </c>
      <c r="CP267" s="19">
        <v>25.56</v>
      </c>
      <c r="CQ267" s="19">
        <v>2063.95652173913</v>
      </c>
      <c r="CR267" s="19">
        <v>23.738</v>
      </c>
      <c r="CS267" s="19">
        <v>1953.9043478260901</v>
      </c>
      <c r="CT267" s="19">
        <v>22.51</v>
      </c>
      <c r="CU267" s="19">
        <v>1407.27826086957</v>
      </c>
      <c r="CV267" s="19">
        <v>18.591999999999999</v>
      </c>
      <c r="CW267" s="19">
        <v>1070.1391304347801</v>
      </c>
      <c r="CX267" s="19">
        <v>12.308</v>
      </c>
      <c r="CY267" s="19">
        <v>3228.3652173913101</v>
      </c>
      <c r="CZ267" s="19">
        <v>37.159999999999997</v>
      </c>
      <c r="DA267" s="19">
        <v>2094.7130434782598</v>
      </c>
      <c r="DB267" s="19">
        <v>24.196000000000002</v>
      </c>
      <c r="DC267" s="19">
        <v>2355.94782608696</v>
      </c>
      <c r="DD267" s="19">
        <v>27.096</v>
      </c>
      <c r="DE267" s="19">
        <v>3936.48695652174</v>
      </c>
      <c r="DF267" s="19">
        <v>45.274000000000001</v>
      </c>
      <c r="DG267" s="19">
        <v>4264.3130434782597</v>
      </c>
      <c r="DH267" s="19">
        <v>49.043999999999997</v>
      </c>
      <c r="DI267" s="19">
        <v>3156.3565217391301</v>
      </c>
      <c r="DJ267" s="19">
        <v>36.484000000000002</v>
      </c>
      <c r="DK267" s="19">
        <v>1532.71304347826</v>
      </c>
      <c r="DL267" s="19">
        <v>17.628</v>
      </c>
      <c r="DM267" s="19">
        <v>164.67826086956501</v>
      </c>
      <c r="DN267" s="19">
        <v>1.8939999999999999</v>
      </c>
      <c r="DO267" s="19">
        <v>2013.52173913043</v>
      </c>
      <c r="DP267" s="19">
        <v>23.158000000000001</v>
      </c>
      <c r="DQ267" s="19">
        <v>1939.26956521739</v>
      </c>
      <c r="DR267" s="19">
        <v>22.303999999999998</v>
      </c>
      <c r="DS267" s="19">
        <v>2266.2347826086998</v>
      </c>
      <c r="DT267" s="19">
        <v>26.114000000000001</v>
      </c>
      <c r="DU267" s="19">
        <v>1560.3565217391299</v>
      </c>
      <c r="DV267" s="19">
        <v>17.946000000000002</v>
      </c>
      <c r="DW267" s="19">
        <v>750.91304347826099</v>
      </c>
      <c r="DX267" s="19">
        <v>8.69</v>
      </c>
      <c r="DY267" s="19">
        <v>2305.3217391304302</v>
      </c>
      <c r="DZ267" s="19">
        <v>26.513999999999999</v>
      </c>
      <c r="EA267" s="19">
        <v>2282.2434782608698</v>
      </c>
      <c r="EB267" s="19">
        <v>22.337</v>
      </c>
      <c r="EC267" s="19">
        <v>1067.5913043478299</v>
      </c>
      <c r="ED267" s="19">
        <v>10.231999999999999</v>
      </c>
      <c r="EE267" s="19">
        <v>1129.3652173912999</v>
      </c>
      <c r="EF267" s="19">
        <v>10.824</v>
      </c>
      <c r="EG267" s="19">
        <v>2411.2434782608698</v>
      </c>
      <c r="EH267" s="19">
        <v>27.731999999999999</v>
      </c>
      <c r="EI267" s="19">
        <v>3176.02608695652</v>
      </c>
      <c r="EJ267" s="19">
        <v>36.527999999999999</v>
      </c>
      <c r="EK267" s="19">
        <v>1450.77391304348</v>
      </c>
      <c r="EL267" s="19">
        <v>14.391</v>
      </c>
      <c r="EM267" s="19">
        <v>1220.30434782609</v>
      </c>
      <c r="EN267" s="19">
        <v>11.696</v>
      </c>
      <c r="EO267" s="19">
        <v>1544.3217391304299</v>
      </c>
      <c r="EP267" s="19">
        <v>17.614000000000001</v>
      </c>
      <c r="EQ267" s="19">
        <v>0</v>
      </c>
      <c r="ER267" s="19">
        <v>0</v>
      </c>
      <c r="ES267" s="119">
        <v>0</v>
      </c>
      <c r="ET267" s="119">
        <v>0</v>
      </c>
    </row>
    <row r="268" spans="1:150" ht="16.5" customHeight="1" x14ac:dyDescent="0.35">
      <c r="A268" s="4">
        <v>207</v>
      </c>
      <c r="B268" s="4" t="str">
        <f>LOOKUP(A268,Lookup!$A$1:$A$34,Lookup!$B$1:$B$34)</f>
        <v>PORK</v>
      </c>
      <c r="C268" s="5">
        <v>63474</v>
      </c>
      <c r="D268" s="6" t="s">
        <v>197</v>
      </c>
      <c r="E268" s="18">
        <v>3442.0745995423299</v>
      </c>
      <c r="F268" s="18">
        <v>33.606999999999999</v>
      </c>
      <c r="G268" s="18">
        <v>130798.834782609</v>
      </c>
      <c r="H268" s="18">
        <v>1277.0609999999999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2075.7304347826098</v>
      </c>
      <c r="BX268" s="19">
        <v>20.49</v>
      </c>
      <c r="BY268" s="19">
        <v>4478.5739130434804</v>
      </c>
      <c r="BZ268" s="19">
        <v>57.298000000000002</v>
      </c>
      <c r="CA268" s="19">
        <v>5017.7130434782603</v>
      </c>
      <c r="CB268" s="19">
        <v>64.41</v>
      </c>
      <c r="CC268" s="19">
        <v>1949.8956521739101</v>
      </c>
      <c r="CD268" s="19">
        <v>18.687999999999999</v>
      </c>
      <c r="CE268" s="19">
        <v>2383.4086956521701</v>
      </c>
      <c r="CF268" s="19">
        <v>29.364999999999998</v>
      </c>
      <c r="CG268" s="19">
        <v>2958.9217391304301</v>
      </c>
      <c r="CH268" s="19">
        <v>28.402000000000001</v>
      </c>
      <c r="CI268" s="19">
        <v>3318.1739130434798</v>
      </c>
      <c r="CJ268" s="19">
        <v>31.802</v>
      </c>
      <c r="CK268" s="19">
        <v>1571.77391304348</v>
      </c>
      <c r="CL268" s="19">
        <v>15.064</v>
      </c>
      <c r="CM268" s="19">
        <v>4183.6173913043503</v>
      </c>
      <c r="CN268" s="19">
        <v>51.683999999999997</v>
      </c>
      <c r="CO268" s="19">
        <v>5688.6782608695603</v>
      </c>
      <c r="CP268" s="19">
        <v>54.694000000000003</v>
      </c>
      <c r="CQ268" s="19">
        <v>4342.7739130434802</v>
      </c>
      <c r="CR268" s="19">
        <v>41.665999999999997</v>
      </c>
      <c r="CS268" s="19">
        <v>3477.8434782608701</v>
      </c>
      <c r="CT268" s="19">
        <v>39.825000000000003</v>
      </c>
      <c r="CU268" s="19">
        <v>4344.3478260869597</v>
      </c>
      <c r="CV268" s="19">
        <v>41.682000000000002</v>
      </c>
      <c r="CW268" s="19">
        <v>3521.4260869565201</v>
      </c>
      <c r="CX268" s="19">
        <v>33.75</v>
      </c>
      <c r="CY268" s="19">
        <v>4011.94782608696</v>
      </c>
      <c r="CZ268" s="19">
        <v>38.485999999999997</v>
      </c>
      <c r="DA268" s="19">
        <v>5278.3739130434797</v>
      </c>
      <c r="DB268" s="19">
        <v>57.807000000000002</v>
      </c>
      <c r="DC268" s="19">
        <v>4715.5391304347804</v>
      </c>
      <c r="DD268" s="19">
        <v>45.231999999999999</v>
      </c>
      <c r="DE268" s="19">
        <v>6594.6521739130403</v>
      </c>
      <c r="DF268" s="19">
        <v>63.375999999999998</v>
      </c>
      <c r="DG268" s="19">
        <v>2186.0782608695699</v>
      </c>
      <c r="DH268" s="19">
        <v>20.952000000000002</v>
      </c>
      <c r="DI268" s="19">
        <v>4235.8869565217401</v>
      </c>
      <c r="DJ268" s="19">
        <v>37.588000000000001</v>
      </c>
      <c r="DK268" s="19">
        <v>2475.2173913043498</v>
      </c>
      <c r="DL268" s="19">
        <v>21.898</v>
      </c>
      <c r="DM268" s="19">
        <v>4096.0869565217399</v>
      </c>
      <c r="DN268" s="19">
        <v>38.713000000000001</v>
      </c>
      <c r="DO268" s="19">
        <v>2404.3304347826102</v>
      </c>
      <c r="DP268" s="19">
        <v>21.271000000000001</v>
      </c>
      <c r="DQ268" s="19">
        <v>2180.2260869565198</v>
      </c>
      <c r="DR268" s="19">
        <v>19.288</v>
      </c>
      <c r="DS268" s="19">
        <v>1607.5739130434799</v>
      </c>
      <c r="DT268" s="19">
        <v>14.222</v>
      </c>
      <c r="DU268" s="19">
        <v>4266.97391304348</v>
      </c>
      <c r="DV268" s="19">
        <v>37.802</v>
      </c>
      <c r="DW268" s="19">
        <v>3213.53913043478</v>
      </c>
      <c r="DX268" s="19">
        <v>28.43</v>
      </c>
      <c r="DY268" s="19">
        <v>5359.1826086956498</v>
      </c>
      <c r="DZ268" s="19">
        <v>47.497999999999998</v>
      </c>
      <c r="EA268" s="19">
        <v>3489.54782608696</v>
      </c>
      <c r="EB268" s="19">
        <v>30.96</v>
      </c>
      <c r="EC268" s="19">
        <v>3157.97391304348</v>
      </c>
      <c r="ED268" s="19">
        <v>27.937999999999999</v>
      </c>
      <c r="EE268" s="19">
        <v>3648.7391304347798</v>
      </c>
      <c r="EF268" s="19">
        <v>32.28</v>
      </c>
      <c r="EG268" s="19">
        <v>4552.2434782608698</v>
      </c>
      <c r="EH268" s="19">
        <v>40.274000000000001</v>
      </c>
      <c r="EI268" s="19">
        <v>2282.50434782609</v>
      </c>
      <c r="EJ268" s="19">
        <v>20.263999999999999</v>
      </c>
      <c r="EK268" s="19">
        <v>3071.1478260869599</v>
      </c>
      <c r="EL268" s="19">
        <v>27.17</v>
      </c>
      <c r="EM268" s="19">
        <v>4156.7478260869602</v>
      </c>
      <c r="EN268" s="19">
        <v>36.774000000000001</v>
      </c>
      <c r="EO268" s="19">
        <v>2156.1826086956498</v>
      </c>
      <c r="EP268" s="19">
        <v>19.13</v>
      </c>
      <c r="EQ268" s="19">
        <v>0</v>
      </c>
      <c r="ER268" s="19">
        <v>0</v>
      </c>
      <c r="ES268" s="119">
        <v>2345.2608695652202</v>
      </c>
      <c r="ET268" s="119">
        <v>20.888000000000002</v>
      </c>
    </row>
    <row r="269" spans="1:150" ht="16.5" customHeight="1" x14ac:dyDescent="0.35">
      <c r="A269" s="4">
        <v>207</v>
      </c>
      <c r="B269" s="4" t="str">
        <f>LOOKUP(A269,Lookup!$A$1:$A$34,Lookup!$B$1:$B$34)</f>
        <v>PORK</v>
      </c>
      <c r="C269" s="5">
        <v>63497</v>
      </c>
      <c r="D269" s="6" t="s">
        <v>260</v>
      </c>
      <c r="E269" s="18">
        <v>757.76659038901596</v>
      </c>
      <c r="F269" s="18">
        <v>6.6189999999999998</v>
      </c>
      <c r="G269" s="18">
        <v>28795.130434782601</v>
      </c>
      <c r="H269" s="18">
        <v>251.529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>
        <v>0</v>
      </c>
      <c r="BW269" s="19">
        <v>117.6</v>
      </c>
      <c r="BX269" s="19">
        <v>1.0820000000000001</v>
      </c>
      <c r="BY269" s="19">
        <v>1048.8347826086999</v>
      </c>
      <c r="BZ269" s="19">
        <v>9.65</v>
      </c>
      <c r="CA269" s="19">
        <v>1860.6869565217401</v>
      </c>
      <c r="CB269" s="19">
        <v>17.132000000000001</v>
      </c>
      <c r="CC269" s="19">
        <v>871.71304347826106</v>
      </c>
      <c r="CD269" s="19">
        <v>8.0380000000000003</v>
      </c>
      <c r="CE269" s="19">
        <v>650.43478260869597</v>
      </c>
      <c r="CF269" s="19">
        <v>5.984</v>
      </c>
      <c r="CG269" s="19">
        <v>199.130434782609</v>
      </c>
      <c r="CH269" s="19">
        <v>1.9379999999999999</v>
      </c>
      <c r="CI269" s="19">
        <v>1414.48695652174</v>
      </c>
      <c r="CJ269" s="19">
        <v>14.023999999999999</v>
      </c>
      <c r="CK269" s="19">
        <v>0</v>
      </c>
      <c r="CL269" s="19">
        <v>0</v>
      </c>
      <c r="CM269" s="19">
        <v>788.695652173913</v>
      </c>
      <c r="CN269" s="19">
        <v>7.2679999999999998</v>
      </c>
      <c r="CO269" s="19">
        <v>1674.50434782609</v>
      </c>
      <c r="CP269" s="19">
        <v>14.821</v>
      </c>
      <c r="CQ269" s="19">
        <v>107.382608695652</v>
      </c>
      <c r="CR269" s="19">
        <v>0.95</v>
      </c>
      <c r="CS269" s="19">
        <v>1648.77391304348</v>
      </c>
      <c r="CT269" s="19">
        <v>14.586</v>
      </c>
      <c r="CU269" s="19">
        <v>1296.8173913043499</v>
      </c>
      <c r="CV269" s="19">
        <v>11.472</v>
      </c>
      <c r="CW269" s="19">
        <v>146.50434782608701</v>
      </c>
      <c r="CX269" s="19">
        <v>1.296</v>
      </c>
      <c r="CY269" s="19">
        <v>1450.4434782608701</v>
      </c>
      <c r="CZ269" s="19">
        <v>12.848000000000001</v>
      </c>
      <c r="DA269" s="19">
        <v>1094.8956521739101</v>
      </c>
      <c r="DB269" s="19">
        <v>8.9939999999999998</v>
      </c>
      <c r="DC269" s="19">
        <v>815.16521739130405</v>
      </c>
      <c r="DD269" s="19">
        <v>6.6959999999999997</v>
      </c>
      <c r="DE269" s="19">
        <v>0</v>
      </c>
      <c r="DF269" s="19">
        <v>0</v>
      </c>
      <c r="DG269" s="19">
        <v>0</v>
      </c>
      <c r="DH269" s="19">
        <v>0</v>
      </c>
      <c r="DI269" s="19">
        <v>445.80869565217398</v>
      </c>
      <c r="DJ269" s="19">
        <v>3.6619999999999999</v>
      </c>
      <c r="DK269" s="19">
        <v>874.81739130434801</v>
      </c>
      <c r="DL269" s="19">
        <v>7.1859999999999999</v>
      </c>
      <c r="DM269" s="19">
        <v>406.121739130435</v>
      </c>
      <c r="DN269" s="19">
        <v>3.3359999999999999</v>
      </c>
      <c r="DO269" s="19">
        <v>1439.4434782608701</v>
      </c>
      <c r="DP269" s="19">
        <v>11.824</v>
      </c>
      <c r="DQ269" s="19">
        <v>2056.8695652173901</v>
      </c>
      <c r="DR269" s="19">
        <v>16.896000000000001</v>
      </c>
      <c r="DS269" s="19">
        <v>0</v>
      </c>
      <c r="DT269" s="19">
        <v>0</v>
      </c>
      <c r="DU269" s="19">
        <v>1002.6347826087</v>
      </c>
      <c r="DV269" s="19">
        <v>8.2360000000000007</v>
      </c>
      <c r="DW269" s="19">
        <v>884.31304347826097</v>
      </c>
      <c r="DX269" s="19">
        <v>7.2640000000000002</v>
      </c>
      <c r="DY269" s="19">
        <v>320.41739130434797</v>
      </c>
      <c r="DZ269" s="19">
        <v>2.6320000000000001</v>
      </c>
      <c r="EA269" s="19">
        <v>1898.9391304347801</v>
      </c>
      <c r="EB269" s="19">
        <v>15.6</v>
      </c>
      <c r="EC269" s="19">
        <v>1444</v>
      </c>
      <c r="ED269" s="19">
        <v>12.8</v>
      </c>
      <c r="EE269" s="19">
        <v>1533.6173913043499</v>
      </c>
      <c r="EF269" s="19">
        <v>13.568</v>
      </c>
      <c r="EG269" s="19">
        <v>0</v>
      </c>
      <c r="EH269" s="19">
        <v>0</v>
      </c>
      <c r="EI269" s="19">
        <v>0</v>
      </c>
      <c r="EJ269" s="19">
        <v>0</v>
      </c>
      <c r="EK269" s="19">
        <v>0</v>
      </c>
      <c r="EL269" s="19">
        <v>0</v>
      </c>
      <c r="EM269" s="19">
        <v>0</v>
      </c>
      <c r="EN269" s="19">
        <v>0</v>
      </c>
      <c r="EO269" s="19">
        <v>0</v>
      </c>
      <c r="EP269" s="19">
        <v>0</v>
      </c>
      <c r="EQ269" s="19">
        <v>308.2</v>
      </c>
      <c r="ER269" s="19">
        <v>2.9540000000000002</v>
      </c>
      <c r="ES269" s="119">
        <v>1110.53913043478</v>
      </c>
      <c r="ET269" s="119">
        <v>9.8239999999999998</v>
      </c>
    </row>
    <row r="270" spans="1:150" ht="16.5" customHeight="1" x14ac:dyDescent="0.35">
      <c r="A270" s="4">
        <v>207</v>
      </c>
      <c r="B270" s="4" t="str">
        <f>LOOKUP(A270,Lookup!$A$1:$A$34,Lookup!$B$1:$B$34)</f>
        <v>PORK</v>
      </c>
      <c r="C270" s="5">
        <v>63523</v>
      </c>
      <c r="D270" s="6" t="s">
        <v>198</v>
      </c>
      <c r="E270" s="18">
        <v>2165.4366627497102</v>
      </c>
      <c r="F270" s="18">
        <v>38.353000000000002</v>
      </c>
      <c r="G270" s="18">
        <v>80121.156521739205</v>
      </c>
      <c r="H270" s="18">
        <v>1419.077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>
        <v>0</v>
      </c>
      <c r="BW270" s="19">
        <v>0</v>
      </c>
      <c r="BX270" s="19">
        <v>0</v>
      </c>
      <c r="BY270" s="19">
        <v>2947.8434782608701</v>
      </c>
      <c r="BZ270" s="19">
        <v>73.784000000000006</v>
      </c>
      <c r="CA270" s="19">
        <v>3251.1217391304299</v>
      </c>
      <c r="CB270" s="19">
        <v>81.48</v>
      </c>
      <c r="CC270" s="19">
        <v>1080.8</v>
      </c>
      <c r="CD270" s="19">
        <v>27.050999999999998</v>
      </c>
      <c r="CE270" s="19">
        <v>3469.1565217391299</v>
      </c>
      <c r="CF270" s="19">
        <v>78.683000000000007</v>
      </c>
      <c r="CG270" s="19">
        <v>1043.1826086956501</v>
      </c>
      <c r="CH270" s="19">
        <v>20.114999999999998</v>
      </c>
      <c r="CI270" s="19">
        <v>3277.97391304348</v>
      </c>
      <c r="CJ270" s="19">
        <v>62.838000000000001</v>
      </c>
      <c r="CK270" s="19">
        <v>2271.2695652173902</v>
      </c>
      <c r="CL270" s="19">
        <v>43.563000000000002</v>
      </c>
      <c r="CM270" s="19">
        <v>2613.9652173913</v>
      </c>
      <c r="CN270" s="19">
        <v>50.158000000000001</v>
      </c>
      <c r="CO270" s="19">
        <v>2131.00869565217</v>
      </c>
      <c r="CP270" s="19">
        <v>40.85</v>
      </c>
      <c r="CQ270" s="19">
        <v>2308.2434782608698</v>
      </c>
      <c r="CR270" s="19">
        <v>44.274000000000001</v>
      </c>
      <c r="CS270" s="19">
        <v>3636.8869565217401</v>
      </c>
      <c r="CT270" s="19">
        <v>69.945999999999998</v>
      </c>
      <c r="CU270" s="19">
        <v>1994.00869565217</v>
      </c>
      <c r="CV270" s="19">
        <v>38.295999999999999</v>
      </c>
      <c r="CW270" s="19">
        <v>863.33913043478299</v>
      </c>
      <c r="CX270" s="19">
        <v>16.55</v>
      </c>
      <c r="CY270" s="19">
        <v>2896.4347826087001</v>
      </c>
      <c r="CZ270" s="19">
        <v>52.082000000000001</v>
      </c>
      <c r="DA270" s="19">
        <v>2529.94782608696</v>
      </c>
      <c r="DB270" s="19">
        <v>44.161999999999999</v>
      </c>
      <c r="DC270" s="19">
        <v>2977.6695652173898</v>
      </c>
      <c r="DD270" s="19">
        <v>51.921999999999997</v>
      </c>
      <c r="DE270" s="19">
        <v>1680.6347826087001</v>
      </c>
      <c r="DF270" s="19">
        <v>29.288</v>
      </c>
      <c r="DG270" s="19">
        <v>2459.3304347826102</v>
      </c>
      <c r="DH270" s="19">
        <v>42.857999999999997</v>
      </c>
      <c r="DI270" s="19">
        <v>2101.95652173913</v>
      </c>
      <c r="DJ270" s="19">
        <v>36.630000000000003</v>
      </c>
      <c r="DK270" s="19">
        <v>1039.8956521739101</v>
      </c>
      <c r="DL270" s="19">
        <v>18.196000000000002</v>
      </c>
      <c r="DM270" s="19">
        <v>1786.6434782608701</v>
      </c>
      <c r="DN270" s="19">
        <v>31.155999999999999</v>
      </c>
      <c r="DO270" s="19">
        <v>1919.1043478260899</v>
      </c>
      <c r="DP270" s="19">
        <v>30.794</v>
      </c>
      <c r="DQ270" s="19">
        <v>1351.54782608696</v>
      </c>
      <c r="DR270" s="19">
        <v>20.454000000000001</v>
      </c>
      <c r="DS270" s="19">
        <v>2339.3217391304402</v>
      </c>
      <c r="DT270" s="19">
        <v>35.454000000000001</v>
      </c>
      <c r="DU270" s="19">
        <v>2684.6608695652199</v>
      </c>
      <c r="DV270" s="19">
        <v>40.628999999999998</v>
      </c>
      <c r="DW270" s="19">
        <v>1563.71304347826</v>
      </c>
      <c r="DX270" s="19">
        <v>22.481000000000002</v>
      </c>
      <c r="DY270" s="19">
        <v>3221.02608695652</v>
      </c>
      <c r="DZ270" s="19">
        <v>46.328000000000003</v>
      </c>
      <c r="EA270" s="19">
        <v>1853.6260869565201</v>
      </c>
      <c r="EB270" s="19">
        <v>26.849</v>
      </c>
      <c r="EC270" s="19">
        <v>1224.6782608695701</v>
      </c>
      <c r="ED270" s="19">
        <v>17.606000000000002</v>
      </c>
      <c r="EE270" s="19">
        <v>1593.29565217391</v>
      </c>
      <c r="EF270" s="19">
        <v>22.905999999999999</v>
      </c>
      <c r="EG270" s="19">
        <v>2108.8608695652201</v>
      </c>
      <c r="EH270" s="19">
        <v>30.344000000000001</v>
      </c>
      <c r="EI270" s="19">
        <v>2077.53913043478</v>
      </c>
      <c r="EJ270" s="19">
        <v>29.928999999999998</v>
      </c>
      <c r="EK270" s="19">
        <v>1159.1304347826101</v>
      </c>
      <c r="EL270" s="19">
        <v>16.768999999999998</v>
      </c>
      <c r="EM270" s="19">
        <v>923.38260869565204</v>
      </c>
      <c r="EN270" s="19">
        <v>13.275</v>
      </c>
      <c r="EO270" s="19">
        <v>3506.7478260869598</v>
      </c>
      <c r="EP270" s="19">
        <v>50.457999999999998</v>
      </c>
      <c r="EQ270" s="19">
        <v>2041.05217391304</v>
      </c>
      <c r="ER270" s="19">
        <v>29.361999999999998</v>
      </c>
      <c r="ES270" s="119">
        <v>2393.3391304347801</v>
      </c>
      <c r="ET270" s="119">
        <v>34.448999999999998</v>
      </c>
    </row>
    <row r="271" spans="1:150" ht="16.5" customHeight="1" x14ac:dyDescent="0.35">
      <c r="A271" s="4">
        <v>207</v>
      </c>
      <c r="B271" s="4" t="str">
        <f>LOOKUP(A271,Lookup!$A$1:$A$34,Lookup!$B$1:$B$34)</f>
        <v>PORK</v>
      </c>
      <c r="C271" s="5">
        <v>64053</v>
      </c>
      <c r="D271" s="6" t="s">
        <v>261</v>
      </c>
      <c r="E271" s="18">
        <v>745.07615283267398</v>
      </c>
      <c r="F271" s="18">
        <v>7.1520000000000001</v>
      </c>
      <c r="G271" s="18">
        <v>24587.5130434782</v>
      </c>
      <c r="H271" s="18">
        <v>236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>
        <v>0</v>
      </c>
      <c r="BW271" s="19">
        <v>0</v>
      </c>
      <c r="BX271" s="19">
        <v>0</v>
      </c>
      <c r="BY271" s="19">
        <v>0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9">
        <v>730.37391304347796</v>
      </c>
      <c r="CH271" s="19">
        <v>7</v>
      </c>
      <c r="CI271" s="19">
        <v>1043.3913043478301</v>
      </c>
      <c r="CJ271" s="19">
        <v>10</v>
      </c>
      <c r="CK271" s="19">
        <v>521.695652173913</v>
      </c>
      <c r="CL271" s="19">
        <v>5</v>
      </c>
      <c r="CM271" s="19">
        <v>516.47826086956502</v>
      </c>
      <c r="CN271" s="19">
        <v>5</v>
      </c>
      <c r="CO271" s="19">
        <v>1460.74782608696</v>
      </c>
      <c r="CP271" s="19">
        <v>14</v>
      </c>
      <c r="CQ271" s="19">
        <v>725.15652173912997</v>
      </c>
      <c r="CR271" s="19">
        <v>7</v>
      </c>
      <c r="CS271" s="19">
        <v>516.47826086956502</v>
      </c>
      <c r="CT271" s="19">
        <v>5</v>
      </c>
      <c r="CU271" s="19">
        <v>208.67826086956501</v>
      </c>
      <c r="CV271" s="19">
        <v>2</v>
      </c>
      <c r="CW271" s="19">
        <v>725.15652173913099</v>
      </c>
      <c r="CX271" s="19">
        <v>7</v>
      </c>
      <c r="CY271" s="19">
        <v>1669.4260869565201</v>
      </c>
      <c r="CZ271" s="19">
        <v>16</v>
      </c>
      <c r="DA271" s="19">
        <v>1982.4434782608701</v>
      </c>
      <c r="DB271" s="19">
        <v>19</v>
      </c>
      <c r="DC271" s="19">
        <v>928.61739130434796</v>
      </c>
      <c r="DD271" s="19">
        <v>9</v>
      </c>
      <c r="DE271" s="19">
        <v>626.03478260869599</v>
      </c>
      <c r="DF271" s="19">
        <v>6</v>
      </c>
      <c r="DG271" s="19">
        <v>1565.0869565217399</v>
      </c>
      <c r="DH271" s="19">
        <v>15</v>
      </c>
      <c r="DI271" s="19">
        <v>412.139130434783</v>
      </c>
      <c r="DJ271" s="19">
        <v>4</v>
      </c>
      <c r="DK271" s="19">
        <v>834.71304347826106</v>
      </c>
      <c r="DL271" s="19">
        <v>8</v>
      </c>
      <c r="DM271" s="19">
        <v>313.017391304348</v>
      </c>
      <c r="DN271" s="19">
        <v>3</v>
      </c>
      <c r="DO271" s="19">
        <v>730.37391304347796</v>
      </c>
      <c r="DP271" s="19">
        <v>7</v>
      </c>
      <c r="DQ271" s="19">
        <v>0</v>
      </c>
      <c r="DR271" s="19">
        <v>0</v>
      </c>
      <c r="DS271" s="19">
        <v>417.35652173913002</v>
      </c>
      <c r="DT271" s="19">
        <v>4</v>
      </c>
      <c r="DU271" s="19">
        <v>730.37391304347796</v>
      </c>
      <c r="DV271" s="19">
        <v>7</v>
      </c>
      <c r="DW271" s="19">
        <v>939.05217391304302</v>
      </c>
      <c r="DX271" s="19">
        <v>9</v>
      </c>
      <c r="DY271" s="19">
        <v>1043.3913043478301</v>
      </c>
      <c r="DZ271" s="19">
        <v>10</v>
      </c>
      <c r="EA271" s="19">
        <v>417.35652173913002</v>
      </c>
      <c r="EB271" s="19">
        <v>4</v>
      </c>
      <c r="EC271" s="19">
        <v>521.695652173913</v>
      </c>
      <c r="ED271" s="19">
        <v>5</v>
      </c>
      <c r="EE271" s="19">
        <v>834.71304347826106</v>
      </c>
      <c r="EF271" s="19">
        <v>8</v>
      </c>
      <c r="EG271" s="19">
        <v>834.71304347826106</v>
      </c>
      <c r="EH271" s="19">
        <v>8</v>
      </c>
      <c r="EI271" s="19">
        <v>730.37391304347796</v>
      </c>
      <c r="EJ271" s="19">
        <v>7</v>
      </c>
      <c r="EK271" s="19">
        <v>626.03478260869599</v>
      </c>
      <c r="EL271" s="19">
        <v>6</v>
      </c>
      <c r="EM271" s="19">
        <v>417.35652173913002</v>
      </c>
      <c r="EN271" s="19">
        <v>4</v>
      </c>
      <c r="EO271" s="19">
        <v>730.37391304347796</v>
      </c>
      <c r="EP271" s="19">
        <v>7</v>
      </c>
      <c r="EQ271" s="19">
        <v>521.695652173913</v>
      </c>
      <c r="ER271" s="19">
        <v>5</v>
      </c>
      <c r="ES271" s="119">
        <v>313.017391304348</v>
      </c>
      <c r="ET271" s="119">
        <v>3</v>
      </c>
    </row>
    <row r="272" spans="1:150" ht="16.5" customHeight="1" x14ac:dyDescent="0.35">
      <c r="A272" s="4">
        <v>207</v>
      </c>
      <c r="B272" s="4" t="str">
        <f>LOOKUP(A272,Lookup!$A$1:$A$34,Lookup!$B$1:$B$34)</f>
        <v>PORK</v>
      </c>
      <c r="C272" s="5">
        <v>64126</v>
      </c>
      <c r="D272" s="6" t="s">
        <v>262</v>
      </c>
      <c r="E272" s="18">
        <v>154.93969144459999</v>
      </c>
      <c r="F272" s="18">
        <v>1.4850000000000001</v>
      </c>
      <c r="G272" s="18">
        <v>4803.1304347826099</v>
      </c>
      <c r="H272" s="18">
        <v>46.033999999999999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>
        <v>0</v>
      </c>
      <c r="BW272" s="19">
        <v>0</v>
      </c>
      <c r="BX272" s="19">
        <v>0</v>
      </c>
      <c r="BY272" s="19">
        <v>0</v>
      </c>
      <c r="BZ272" s="19">
        <v>0</v>
      </c>
      <c r="CA272" s="19">
        <v>0</v>
      </c>
      <c r="CB272" s="19">
        <v>0</v>
      </c>
      <c r="CC272" s="19">
        <v>0</v>
      </c>
      <c r="CD272" s="19">
        <v>0</v>
      </c>
      <c r="CE272" s="19">
        <v>0</v>
      </c>
      <c r="CF272" s="19">
        <v>0</v>
      </c>
      <c r="CG272" s="19">
        <v>0</v>
      </c>
      <c r="CH272" s="19">
        <v>0</v>
      </c>
      <c r="CI272" s="19">
        <v>0</v>
      </c>
      <c r="CJ272" s="19">
        <v>0</v>
      </c>
      <c r="CK272" s="19">
        <v>4026.8521739130401</v>
      </c>
      <c r="CL272" s="19">
        <v>38.594000000000001</v>
      </c>
      <c r="CM272" s="19">
        <v>776.27826086956497</v>
      </c>
      <c r="CN272" s="19">
        <v>7.44</v>
      </c>
      <c r="CO272" s="19">
        <v>0</v>
      </c>
      <c r="CP272" s="19">
        <v>0</v>
      </c>
      <c r="CQ272" s="19">
        <v>0</v>
      </c>
      <c r="CR272" s="19">
        <v>0</v>
      </c>
      <c r="CS272" s="19">
        <v>0</v>
      </c>
      <c r="CT272" s="19">
        <v>0</v>
      </c>
      <c r="CU272" s="19">
        <v>0</v>
      </c>
      <c r="CV272" s="19">
        <v>0</v>
      </c>
      <c r="CW272" s="19">
        <v>0</v>
      </c>
      <c r="CX272" s="19">
        <v>0</v>
      </c>
      <c r="CY272" s="19">
        <v>0</v>
      </c>
      <c r="CZ272" s="19">
        <v>0</v>
      </c>
      <c r="DA272" s="19">
        <v>0</v>
      </c>
      <c r="DB272" s="19">
        <v>0</v>
      </c>
      <c r="DC272" s="19">
        <v>0</v>
      </c>
      <c r="DD272" s="19">
        <v>0</v>
      </c>
      <c r="DE272" s="19">
        <v>0</v>
      </c>
      <c r="DF272" s="19">
        <v>0</v>
      </c>
      <c r="DG272" s="19">
        <v>0</v>
      </c>
      <c r="DH272" s="19">
        <v>0</v>
      </c>
      <c r="DI272" s="19">
        <v>0</v>
      </c>
      <c r="DJ272" s="19">
        <v>0</v>
      </c>
      <c r="DK272" s="19">
        <v>0</v>
      </c>
      <c r="DL272" s="19">
        <v>0</v>
      </c>
      <c r="DM272" s="19">
        <v>0</v>
      </c>
      <c r="DN272" s="19">
        <v>0</v>
      </c>
      <c r="DO272" s="19">
        <v>0</v>
      </c>
      <c r="DP272" s="19">
        <v>0</v>
      </c>
      <c r="DQ272" s="19">
        <v>0</v>
      </c>
      <c r="DR272" s="19">
        <v>0</v>
      </c>
      <c r="DS272" s="19">
        <v>0</v>
      </c>
      <c r="DT272" s="19">
        <v>0</v>
      </c>
      <c r="DU272" s="19">
        <v>0</v>
      </c>
      <c r="DV272" s="19">
        <v>0</v>
      </c>
      <c r="DW272" s="19">
        <v>0</v>
      </c>
      <c r="DX272" s="19">
        <v>0</v>
      </c>
      <c r="DY272" s="19">
        <v>0</v>
      </c>
      <c r="DZ272" s="19">
        <v>0</v>
      </c>
      <c r="EA272" s="19">
        <v>0</v>
      </c>
      <c r="EB272" s="19">
        <v>0</v>
      </c>
      <c r="EC272" s="19">
        <v>0</v>
      </c>
      <c r="ED272" s="19">
        <v>0</v>
      </c>
      <c r="EE272" s="19">
        <v>0</v>
      </c>
      <c r="EF272" s="19">
        <v>0</v>
      </c>
      <c r="EG272" s="19">
        <v>0</v>
      </c>
      <c r="EH272" s="19">
        <v>0</v>
      </c>
      <c r="EI272" s="19">
        <v>0</v>
      </c>
      <c r="EJ272" s="19">
        <v>0</v>
      </c>
      <c r="EK272" s="19">
        <v>0</v>
      </c>
      <c r="EL272" s="19">
        <v>0</v>
      </c>
      <c r="EM272" s="19">
        <v>0</v>
      </c>
      <c r="EN272" s="19">
        <v>0</v>
      </c>
      <c r="EO272" s="19">
        <v>0</v>
      </c>
      <c r="EP272" s="19">
        <v>0</v>
      </c>
      <c r="EQ272" s="19">
        <v>0</v>
      </c>
      <c r="ER272" s="19">
        <v>0</v>
      </c>
      <c r="ES272" s="119">
        <v>0</v>
      </c>
      <c r="ET272" s="119">
        <v>0</v>
      </c>
    </row>
    <row r="273" spans="1:150" ht="16.5" customHeight="1" x14ac:dyDescent="0.35">
      <c r="A273" s="4">
        <v>207</v>
      </c>
      <c r="B273" s="4" t="str">
        <f>LOOKUP(A273,Lookup!$A$1:$A$34,Lookup!$B$1:$B$34)</f>
        <v>PORK</v>
      </c>
      <c r="C273" s="5">
        <v>66630</v>
      </c>
      <c r="D273" s="6" t="s">
        <v>215</v>
      </c>
      <c r="E273" s="18">
        <v>1966.5014492753601</v>
      </c>
      <c r="F273" s="18">
        <v>26.042999999999999</v>
      </c>
      <c r="G273" s="18">
        <v>5899.5043478260905</v>
      </c>
      <c r="H273" s="18">
        <v>78.128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>
        <v>0</v>
      </c>
      <c r="BW273" s="19">
        <v>0</v>
      </c>
      <c r="BX273" s="19">
        <v>0</v>
      </c>
      <c r="BY273" s="19">
        <v>0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9">
        <v>0</v>
      </c>
      <c r="CH273" s="19">
        <v>0</v>
      </c>
      <c r="CI273" s="19">
        <v>0</v>
      </c>
      <c r="CJ273" s="19">
        <v>0</v>
      </c>
      <c r="CK273" s="19">
        <v>0</v>
      </c>
      <c r="CL273" s="19">
        <v>0</v>
      </c>
      <c r="CM273" s="19">
        <v>0</v>
      </c>
      <c r="CN273" s="19">
        <v>0</v>
      </c>
      <c r="CO273" s="19">
        <v>0</v>
      </c>
      <c r="CP273" s="19">
        <v>0</v>
      </c>
      <c r="CQ273" s="19">
        <v>0</v>
      </c>
      <c r="CR273" s="19">
        <v>0</v>
      </c>
      <c r="CS273" s="19">
        <v>0</v>
      </c>
      <c r="CT273" s="19">
        <v>0</v>
      </c>
      <c r="CU273" s="19">
        <v>0</v>
      </c>
      <c r="CV273" s="19">
        <v>0</v>
      </c>
      <c r="CW273" s="19">
        <v>0</v>
      </c>
      <c r="CX273" s="19">
        <v>0</v>
      </c>
      <c r="CY273" s="19">
        <v>0</v>
      </c>
      <c r="CZ273" s="19">
        <v>0</v>
      </c>
      <c r="DA273" s="19">
        <v>0</v>
      </c>
      <c r="DB273" s="19">
        <v>0</v>
      </c>
      <c r="DC273" s="19">
        <v>0</v>
      </c>
      <c r="DD273" s="19">
        <v>0</v>
      </c>
      <c r="DE273" s="19">
        <v>0</v>
      </c>
      <c r="DF273" s="19">
        <v>0</v>
      </c>
      <c r="DG273" s="19">
        <v>0</v>
      </c>
      <c r="DH273" s="19">
        <v>0</v>
      </c>
      <c r="DI273" s="19">
        <v>0</v>
      </c>
      <c r="DJ273" s="19">
        <v>0</v>
      </c>
      <c r="DK273" s="19">
        <v>0</v>
      </c>
      <c r="DL273" s="19">
        <v>0</v>
      </c>
      <c r="DM273" s="19">
        <v>0</v>
      </c>
      <c r="DN273" s="19">
        <v>0</v>
      </c>
      <c r="DO273" s="19">
        <v>0</v>
      </c>
      <c r="DP273" s="19">
        <v>0</v>
      </c>
      <c r="DQ273" s="19">
        <v>0</v>
      </c>
      <c r="DR273" s="19">
        <v>0</v>
      </c>
      <c r="DS273" s="19">
        <v>0</v>
      </c>
      <c r="DT273" s="19">
        <v>0</v>
      </c>
      <c r="DU273" s="19">
        <v>0</v>
      </c>
      <c r="DV273" s="19">
        <v>0</v>
      </c>
      <c r="DW273" s="19">
        <v>0</v>
      </c>
      <c r="DX273" s="19">
        <v>0</v>
      </c>
      <c r="DY273" s="19">
        <v>0</v>
      </c>
      <c r="DZ273" s="19">
        <v>0</v>
      </c>
      <c r="EA273" s="19">
        <v>0</v>
      </c>
      <c r="EB273" s="19">
        <v>0</v>
      </c>
      <c r="EC273" s="19">
        <v>0</v>
      </c>
      <c r="ED273" s="19">
        <v>0</v>
      </c>
      <c r="EE273" s="19">
        <v>0</v>
      </c>
      <c r="EF273" s="19">
        <v>0</v>
      </c>
      <c r="EG273" s="19">
        <v>0</v>
      </c>
      <c r="EH273" s="19">
        <v>0</v>
      </c>
      <c r="EI273" s="19">
        <v>0</v>
      </c>
      <c r="EJ273" s="19">
        <v>0</v>
      </c>
      <c r="EK273" s="19">
        <v>0</v>
      </c>
      <c r="EL273" s="19">
        <v>0</v>
      </c>
      <c r="EM273" s="19">
        <v>0</v>
      </c>
      <c r="EN273" s="19">
        <v>0</v>
      </c>
      <c r="EO273" s="19">
        <v>4602.3217391304297</v>
      </c>
      <c r="EP273" s="19">
        <v>61.55</v>
      </c>
      <c r="EQ273" s="19">
        <v>1297.1826086956501</v>
      </c>
      <c r="ER273" s="19">
        <v>16.577999999999999</v>
      </c>
      <c r="ES273" s="119">
        <v>0</v>
      </c>
      <c r="ET273" s="119">
        <v>0</v>
      </c>
    </row>
    <row r="274" spans="1:150" ht="16.5" customHeight="1" x14ac:dyDescent="0.35">
      <c r="A274" s="4">
        <v>207</v>
      </c>
      <c r="B274" s="4" t="str">
        <f>LOOKUP(A274,Lookup!$A$1:$A$34,Lookup!$B$1:$B$34)</f>
        <v>PORK</v>
      </c>
      <c r="C274" s="5">
        <v>99990207</v>
      </c>
      <c r="D274" s="6" t="s">
        <v>263</v>
      </c>
      <c r="E274" s="18">
        <v>0</v>
      </c>
      <c r="F274" s="18">
        <v>0</v>
      </c>
      <c r="G274" s="18">
        <v>0</v>
      </c>
      <c r="H274" s="18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>
        <v>0</v>
      </c>
      <c r="BW274" s="19">
        <v>0</v>
      </c>
      <c r="BX274" s="19">
        <v>0</v>
      </c>
      <c r="BY274" s="19">
        <v>0</v>
      </c>
      <c r="BZ274" s="19">
        <v>0</v>
      </c>
      <c r="CA274" s="19">
        <v>0</v>
      </c>
      <c r="CB274" s="19">
        <v>0</v>
      </c>
      <c r="CC274" s="19">
        <v>0</v>
      </c>
      <c r="CD274" s="19">
        <v>0</v>
      </c>
      <c r="CE274" s="19">
        <v>0</v>
      </c>
      <c r="CF274" s="19">
        <v>0</v>
      </c>
      <c r="CG274" s="19">
        <v>0</v>
      </c>
      <c r="CH274" s="19">
        <v>0</v>
      </c>
      <c r="CI274" s="19">
        <v>0</v>
      </c>
      <c r="CJ274" s="19">
        <v>0</v>
      </c>
      <c r="CK274" s="19">
        <v>0</v>
      </c>
      <c r="CL274" s="19">
        <v>0</v>
      </c>
      <c r="CM274" s="19">
        <v>0</v>
      </c>
      <c r="CN274" s="19">
        <v>0</v>
      </c>
      <c r="CO274" s="19">
        <v>0</v>
      </c>
      <c r="CP274" s="19">
        <v>0</v>
      </c>
      <c r="CQ274" s="19">
        <v>0</v>
      </c>
      <c r="CR274" s="19">
        <v>0</v>
      </c>
      <c r="CS274" s="19">
        <v>0</v>
      </c>
      <c r="CT274" s="19">
        <v>0</v>
      </c>
      <c r="CU274" s="19">
        <v>0</v>
      </c>
      <c r="CV274" s="19">
        <v>0</v>
      </c>
      <c r="CW274" s="19">
        <v>0</v>
      </c>
      <c r="CX274" s="19">
        <v>0</v>
      </c>
      <c r="CY274" s="19">
        <v>0</v>
      </c>
      <c r="CZ274" s="19">
        <v>0</v>
      </c>
      <c r="DA274" s="19">
        <v>0</v>
      </c>
      <c r="DB274" s="19">
        <v>0</v>
      </c>
      <c r="DC274" s="19">
        <v>0</v>
      </c>
      <c r="DD274" s="19">
        <v>0</v>
      </c>
      <c r="DE274" s="19">
        <v>0</v>
      </c>
      <c r="DF274" s="19">
        <v>0</v>
      </c>
      <c r="DG274" s="19">
        <v>0</v>
      </c>
      <c r="DH274" s="19">
        <v>0</v>
      </c>
      <c r="DI274" s="19">
        <v>0</v>
      </c>
      <c r="DJ274" s="19">
        <v>0</v>
      </c>
      <c r="DK274" s="19">
        <v>0</v>
      </c>
      <c r="DL274" s="19">
        <v>0</v>
      </c>
      <c r="DM274" s="19">
        <v>0</v>
      </c>
      <c r="DN274" s="19">
        <v>0</v>
      </c>
      <c r="DO274" s="19">
        <v>0</v>
      </c>
      <c r="DP274" s="19">
        <v>0</v>
      </c>
      <c r="DQ274" s="19">
        <v>0</v>
      </c>
      <c r="DR274" s="19">
        <v>0</v>
      </c>
      <c r="DS274" s="19">
        <v>0</v>
      </c>
      <c r="DT274" s="19">
        <v>0</v>
      </c>
      <c r="DU274" s="19">
        <v>0</v>
      </c>
      <c r="DV274" s="19">
        <v>0</v>
      </c>
      <c r="DW274" s="19">
        <v>0</v>
      </c>
      <c r="DX274" s="19">
        <v>0</v>
      </c>
      <c r="DY274" s="19">
        <v>0</v>
      </c>
      <c r="DZ274" s="19">
        <v>0</v>
      </c>
      <c r="EA274" s="19">
        <v>0</v>
      </c>
      <c r="EB274" s="19">
        <v>0</v>
      </c>
      <c r="EC274" s="19">
        <v>0</v>
      </c>
      <c r="ED274" s="19">
        <v>0</v>
      </c>
      <c r="EE274" s="19">
        <v>0</v>
      </c>
      <c r="EF274" s="19">
        <v>0</v>
      </c>
      <c r="EG274" s="19">
        <v>0</v>
      </c>
      <c r="EH274" s="19">
        <v>0</v>
      </c>
      <c r="EI274" s="19">
        <v>0</v>
      </c>
      <c r="EJ274" s="19">
        <v>0</v>
      </c>
      <c r="EK274" s="19">
        <v>0</v>
      </c>
      <c r="EL274" s="19">
        <v>0</v>
      </c>
      <c r="EM274" s="19">
        <v>0</v>
      </c>
      <c r="EN274" s="19">
        <v>0</v>
      </c>
      <c r="EO274" s="19">
        <v>0</v>
      </c>
      <c r="EP274" s="19">
        <v>0</v>
      </c>
      <c r="EQ274" s="19">
        <v>0</v>
      </c>
      <c r="ER274" s="19">
        <v>0</v>
      </c>
      <c r="ES274" s="119">
        <v>0</v>
      </c>
      <c r="ET274" s="119">
        <v>0</v>
      </c>
    </row>
    <row r="275" spans="1:150" ht="16.5" customHeight="1" x14ac:dyDescent="0.35">
      <c r="A275" s="4">
        <v>210</v>
      </c>
      <c r="B275" s="4" t="str">
        <f>LOOKUP(A275,Lookup!$A$1:$A$34,Lookup!$B$1:$B$34)</f>
        <v>INGREDIENTS</v>
      </c>
      <c r="C275" s="5">
        <v>2749</v>
      </c>
      <c r="D275" s="6" t="s">
        <v>264</v>
      </c>
      <c r="E275" s="18">
        <v>0</v>
      </c>
      <c r="F275" s="18">
        <v>0</v>
      </c>
      <c r="G275" s="18">
        <v>0</v>
      </c>
      <c r="H275" s="18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9">
        <v>0</v>
      </c>
      <c r="CH275" s="19">
        <v>0</v>
      </c>
      <c r="CI275" s="19">
        <v>0</v>
      </c>
      <c r="CJ275" s="19">
        <v>0</v>
      </c>
      <c r="CK275" s="19">
        <v>0</v>
      </c>
      <c r="CL275" s="19">
        <v>0</v>
      </c>
      <c r="CM275" s="19">
        <v>0</v>
      </c>
      <c r="CN275" s="19">
        <v>0</v>
      </c>
      <c r="CO275" s="19">
        <v>0</v>
      </c>
      <c r="CP275" s="19">
        <v>0</v>
      </c>
      <c r="CQ275" s="19">
        <v>0</v>
      </c>
      <c r="CR275" s="19">
        <v>0</v>
      </c>
      <c r="CS275" s="19">
        <v>0</v>
      </c>
      <c r="CT275" s="19">
        <v>0</v>
      </c>
      <c r="CU275" s="19">
        <v>0</v>
      </c>
      <c r="CV275" s="19">
        <v>0</v>
      </c>
      <c r="CW275" s="19">
        <v>0</v>
      </c>
      <c r="CX275" s="19">
        <v>0</v>
      </c>
      <c r="CY275" s="19">
        <v>0</v>
      </c>
      <c r="CZ275" s="19">
        <v>0</v>
      </c>
      <c r="DA275" s="19">
        <v>0</v>
      </c>
      <c r="DB275" s="19">
        <v>0</v>
      </c>
      <c r="DC275" s="19">
        <v>0</v>
      </c>
      <c r="DD275" s="19">
        <v>0</v>
      </c>
      <c r="DE275" s="19">
        <v>0</v>
      </c>
      <c r="DF275" s="19">
        <v>0</v>
      </c>
      <c r="DG275" s="19">
        <v>0</v>
      </c>
      <c r="DH275" s="19">
        <v>0</v>
      </c>
      <c r="DI275" s="19">
        <v>0</v>
      </c>
      <c r="DJ275" s="19">
        <v>0</v>
      </c>
      <c r="DK275" s="19">
        <v>0</v>
      </c>
      <c r="DL275" s="19">
        <v>0</v>
      </c>
      <c r="DM275" s="19">
        <v>0</v>
      </c>
      <c r="DN275" s="19">
        <v>0</v>
      </c>
      <c r="DO275" s="19">
        <v>0</v>
      </c>
      <c r="DP275" s="19">
        <v>0</v>
      </c>
      <c r="DQ275" s="19">
        <v>0</v>
      </c>
      <c r="DR275" s="19">
        <v>0</v>
      </c>
      <c r="DS275" s="19">
        <v>0</v>
      </c>
      <c r="DT275" s="19">
        <v>0</v>
      </c>
      <c r="DU275" s="19">
        <v>0</v>
      </c>
      <c r="DV275" s="19">
        <v>0</v>
      </c>
      <c r="DW275" s="19">
        <v>0</v>
      </c>
      <c r="DX275" s="19">
        <v>0</v>
      </c>
      <c r="DY275" s="19">
        <v>0</v>
      </c>
      <c r="DZ275" s="19">
        <v>0</v>
      </c>
      <c r="EA275" s="19">
        <v>0</v>
      </c>
      <c r="EB275" s="19">
        <v>0</v>
      </c>
      <c r="EC275" s="19">
        <v>0</v>
      </c>
      <c r="ED275" s="19">
        <v>0</v>
      </c>
      <c r="EE275" s="19">
        <v>0</v>
      </c>
      <c r="EF275" s="19">
        <v>0</v>
      </c>
      <c r="EG275" s="19">
        <v>0</v>
      </c>
      <c r="EH275" s="19">
        <v>0</v>
      </c>
      <c r="EI275" s="19">
        <v>0</v>
      </c>
      <c r="EJ275" s="19">
        <v>0</v>
      </c>
      <c r="EK275" s="19">
        <v>0</v>
      </c>
      <c r="EL275" s="19">
        <v>0</v>
      </c>
      <c r="EM275" s="19">
        <v>0</v>
      </c>
      <c r="EN275" s="19">
        <v>0</v>
      </c>
      <c r="EO275" s="19">
        <v>0</v>
      </c>
      <c r="EP275" s="19">
        <v>0</v>
      </c>
      <c r="EQ275" s="19">
        <v>0</v>
      </c>
      <c r="ER275" s="19">
        <v>0</v>
      </c>
      <c r="ES275" s="119">
        <v>0</v>
      </c>
      <c r="ET275" s="119">
        <v>0</v>
      </c>
    </row>
    <row r="276" spans="1:150" ht="16.5" customHeight="1" x14ac:dyDescent="0.35">
      <c r="A276" s="4">
        <v>210</v>
      </c>
      <c r="B276" s="4" t="str">
        <f>LOOKUP(A276,Lookup!$A$1:$A$34,Lookup!$B$1:$B$34)</f>
        <v>INGREDIENTS</v>
      </c>
      <c r="C276" s="5">
        <v>11140</v>
      </c>
      <c r="D276" s="6" t="s">
        <v>265</v>
      </c>
      <c r="E276" s="18">
        <v>197.926883037355</v>
      </c>
      <c r="F276" s="18">
        <v>2.0390000000000001</v>
      </c>
      <c r="G276" s="18">
        <v>14052.8086956522</v>
      </c>
      <c r="H276" s="18">
        <v>144.75399999999999</v>
      </c>
      <c r="I276" s="19">
        <v>0</v>
      </c>
      <c r="J276" s="19">
        <v>0</v>
      </c>
      <c r="K276" s="19">
        <v>0</v>
      </c>
      <c r="L276" s="19">
        <v>0</v>
      </c>
      <c r="M276" s="19">
        <v>155.32173913043499</v>
      </c>
      <c r="N276" s="19">
        <v>1.3740000000000001</v>
      </c>
      <c r="O276" s="19">
        <v>114.852173913043</v>
      </c>
      <c r="P276" s="19">
        <v>1.016</v>
      </c>
      <c r="Q276" s="19">
        <v>321.94782608695698</v>
      </c>
      <c r="R276" s="19">
        <v>2.8479999999999999</v>
      </c>
      <c r="S276" s="19">
        <v>0</v>
      </c>
      <c r="T276" s="19">
        <v>0</v>
      </c>
      <c r="U276" s="19">
        <v>460.36521739130399</v>
      </c>
      <c r="V276" s="19">
        <v>4.8739999999999997</v>
      </c>
      <c r="W276" s="19">
        <v>564.53043478260895</v>
      </c>
      <c r="X276" s="19">
        <v>5.9560000000000004</v>
      </c>
      <c r="Y276" s="19">
        <v>390.121739130435</v>
      </c>
      <c r="Z276" s="19">
        <v>4.1159999999999997</v>
      </c>
      <c r="AA276" s="19">
        <v>661.89565217391305</v>
      </c>
      <c r="AB276" s="19">
        <v>6.907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977.35652173913002</v>
      </c>
      <c r="AL276" s="19">
        <v>10.218999999999999</v>
      </c>
      <c r="AM276" s="19">
        <v>483.45217391304402</v>
      </c>
      <c r="AN276" s="19">
        <v>5.0999999999999996</v>
      </c>
      <c r="AO276" s="19">
        <v>119.94782608695699</v>
      </c>
      <c r="AP276" s="19">
        <v>1.3140000000000001</v>
      </c>
      <c r="AQ276" s="19">
        <v>998.09565217391298</v>
      </c>
      <c r="AR276" s="19">
        <v>11.212</v>
      </c>
      <c r="AS276" s="19">
        <v>0</v>
      </c>
      <c r="AT276" s="19">
        <v>0</v>
      </c>
      <c r="AU276" s="19">
        <v>0</v>
      </c>
      <c r="AV276" s="19">
        <v>0</v>
      </c>
      <c r="AW276" s="19">
        <v>1277.99130434783</v>
      </c>
      <c r="AX276" s="19">
        <v>16.379000000000001</v>
      </c>
      <c r="AY276" s="19">
        <v>683.53043478260895</v>
      </c>
      <c r="AZ276" s="19">
        <v>8.734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1333.3565217391299</v>
      </c>
      <c r="BL276" s="19">
        <v>12.778</v>
      </c>
      <c r="BM276" s="19">
        <v>1766.5565217391299</v>
      </c>
      <c r="BN276" s="19">
        <v>16.974</v>
      </c>
      <c r="BO276" s="19">
        <v>29.843478260869599</v>
      </c>
      <c r="BP276" s="19">
        <v>0.28599999999999998</v>
      </c>
      <c r="BQ276" s="19">
        <v>743.15652173913099</v>
      </c>
      <c r="BR276" s="19">
        <v>7.1219999999999999</v>
      </c>
      <c r="BS276" s="19">
        <v>1166.8086956521699</v>
      </c>
      <c r="BT276" s="19">
        <v>10.903</v>
      </c>
      <c r="BU276" s="19">
        <v>1378.51304347826</v>
      </c>
      <c r="BV276" s="19">
        <v>12.704000000000001</v>
      </c>
      <c r="BW276" s="19">
        <v>425.165217391304</v>
      </c>
      <c r="BX276" s="19">
        <v>3.9380000000000002</v>
      </c>
      <c r="BY276" s="19">
        <v>0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0</v>
      </c>
      <c r="CN276" s="19">
        <v>0</v>
      </c>
      <c r="CO276" s="19">
        <v>0</v>
      </c>
      <c r="CP276" s="19">
        <v>0</v>
      </c>
      <c r="CQ276" s="19">
        <v>0</v>
      </c>
      <c r="CR276" s="19">
        <v>0</v>
      </c>
      <c r="CS276" s="19">
        <v>0</v>
      </c>
      <c r="CT276" s="19">
        <v>0</v>
      </c>
      <c r="CU276" s="19">
        <v>0</v>
      </c>
      <c r="CV276" s="19">
        <v>0</v>
      </c>
      <c r="CW276" s="19">
        <v>0</v>
      </c>
      <c r="CX276" s="19">
        <v>0</v>
      </c>
      <c r="CY276" s="19">
        <v>0</v>
      </c>
      <c r="CZ276" s="19">
        <v>0</v>
      </c>
      <c r="DA276" s="19">
        <v>0</v>
      </c>
      <c r="DB276" s="19">
        <v>0</v>
      </c>
      <c r="DC276" s="19">
        <v>0</v>
      </c>
      <c r="DD276" s="19">
        <v>0</v>
      </c>
      <c r="DE276" s="19">
        <v>0</v>
      </c>
      <c r="DF276" s="19">
        <v>0</v>
      </c>
      <c r="DG276" s="19">
        <v>0</v>
      </c>
      <c r="DH276" s="19">
        <v>0</v>
      </c>
      <c r="DI276" s="19">
        <v>0</v>
      </c>
      <c r="DJ276" s="19">
        <v>0</v>
      </c>
      <c r="DK276" s="19">
        <v>0</v>
      </c>
      <c r="DL276" s="19">
        <v>0</v>
      </c>
      <c r="DM276" s="19">
        <v>0</v>
      </c>
      <c r="DN276" s="19">
        <v>0</v>
      </c>
      <c r="DO276" s="19">
        <v>0</v>
      </c>
      <c r="DP276" s="19">
        <v>0</v>
      </c>
      <c r="DQ276" s="19">
        <v>0</v>
      </c>
      <c r="DR276" s="19">
        <v>0</v>
      </c>
      <c r="DS276" s="19">
        <v>0</v>
      </c>
      <c r="DT276" s="19">
        <v>0</v>
      </c>
      <c r="DU276" s="19">
        <v>0</v>
      </c>
      <c r="DV276" s="19">
        <v>0</v>
      </c>
      <c r="DW276" s="19">
        <v>0</v>
      </c>
      <c r="DX276" s="19">
        <v>0</v>
      </c>
      <c r="DY276" s="19">
        <v>0</v>
      </c>
      <c r="DZ276" s="19">
        <v>0</v>
      </c>
      <c r="EA276" s="19">
        <v>0</v>
      </c>
      <c r="EB276" s="19">
        <v>0</v>
      </c>
      <c r="EC276" s="19">
        <v>0</v>
      </c>
      <c r="ED276" s="19">
        <v>0</v>
      </c>
      <c r="EE276" s="19">
        <v>0</v>
      </c>
      <c r="EF276" s="19">
        <v>0</v>
      </c>
      <c r="EG276" s="19">
        <v>0</v>
      </c>
      <c r="EH276" s="19">
        <v>0</v>
      </c>
      <c r="EI276" s="19">
        <v>0</v>
      </c>
      <c r="EJ276" s="19">
        <v>0</v>
      </c>
      <c r="EK276" s="19">
        <v>0</v>
      </c>
      <c r="EL276" s="19">
        <v>0</v>
      </c>
      <c r="EM276" s="19">
        <v>0</v>
      </c>
      <c r="EN276" s="19">
        <v>0</v>
      </c>
      <c r="EO276" s="19">
        <v>0</v>
      </c>
      <c r="EP276" s="19">
        <v>0</v>
      </c>
      <c r="EQ276" s="19">
        <v>0</v>
      </c>
      <c r="ER276" s="19">
        <v>0</v>
      </c>
      <c r="ES276" s="119">
        <v>0</v>
      </c>
      <c r="ET276" s="119">
        <v>0</v>
      </c>
    </row>
    <row r="277" spans="1:150" ht="16.5" customHeight="1" x14ac:dyDescent="0.35">
      <c r="A277" s="4">
        <v>210</v>
      </c>
      <c r="B277" s="4" t="str">
        <f>LOOKUP(A277,Lookup!$A$1:$A$34,Lookup!$B$1:$B$34)</f>
        <v>INGREDIENTS</v>
      </c>
      <c r="C277" s="5">
        <v>12135</v>
      </c>
      <c r="D277" s="6" t="s">
        <v>266</v>
      </c>
      <c r="E277" s="18">
        <v>2.01959583588487</v>
      </c>
      <c r="F277" s="18">
        <v>1.7000000000000001E-2</v>
      </c>
      <c r="G277" s="18">
        <v>143.39130434782601</v>
      </c>
      <c r="H277" s="18">
        <v>1.2130000000000001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143.39130434782601</v>
      </c>
      <c r="BH277" s="19">
        <v>1.2130000000000001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>
        <v>0</v>
      </c>
      <c r="BW277" s="19">
        <v>0</v>
      </c>
      <c r="BX277" s="19">
        <v>0</v>
      </c>
      <c r="BY277" s="19">
        <v>0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9">
        <v>0</v>
      </c>
      <c r="CH277" s="19">
        <v>0</v>
      </c>
      <c r="CI277" s="19">
        <v>0</v>
      </c>
      <c r="CJ277" s="19">
        <v>0</v>
      </c>
      <c r="CK277" s="19">
        <v>0</v>
      </c>
      <c r="CL277" s="19">
        <v>0</v>
      </c>
      <c r="CM277" s="19">
        <v>0</v>
      </c>
      <c r="CN277" s="19">
        <v>0</v>
      </c>
      <c r="CO277" s="19">
        <v>0</v>
      </c>
      <c r="CP277" s="19">
        <v>0</v>
      </c>
      <c r="CQ277" s="19">
        <v>0</v>
      </c>
      <c r="CR277" s="19">
        <v>0</v>
      </c>
      <c r="CS277" s="19">
        <v>0</v>
      </c>
      <c r="CT277" s="19">
        <v>0</v>
      </c>
      <c r="CU277" s="19">
        <v>0</v>
      </c>
      <c r="CV277" s="19">
        <v>0</v>
      </c>
      <c r="CW277" s="19">
        <v>0</v>
      </c>
      <c r="CX277" s="19">
        <v>0</v>
      </c>
      <c r="CY277" s="19">
        <v>0</v>
      </c>
      <c r="CZ277" s="19">
        <v>0</v>
      </c>
      <c r="DA277" s="19">
        <v>0</v>
      </c>
      <c r="DB277" s="19">
        <v>0</v>
      </c>
      <c r="DC277" s="19">
        <v>0</v>
      </c>
      <c r="DD277" s="19">
        <v>0</v>
      </c>
      <c r="DE277" s="19">
        <v>0</v>
      </c>
      <c r="DF277" s="19">
        <v>0</v>
      </c>
      <c r="DG277" s="19">
        <v>0</v>
      </c>
      <c r="DH277" s="19">
        <v>0</v>
      </c>
      <c r="DI277" s="19">
        <v>0</v>
      </c>
      <c r="DJ277" s="19">
        <v>0</v>
      </c>
      <c r="DK277" s="19">
        <v>0</v>
      </c>
      <c r="DL277" s="19">
        <v>0</v>
      </c>
      <c r="DM277" s="19">
        <v>0</v>
      </c>
      <c r="DN277" s="19">
        <v>0</v>
      </c>
      <c r="DO277" s="19">
        <v>0</v>
      </c>
      <c r="DP277" s="19">
        <v>0</v>
      </c>
      <c r="DQ277" s="19">
        <v>0</v>
      </c>
      <c r="DR277" s="19">
        <v>0</v>
      </c>
      <c r="DS277" s="19">
        <v>0</v>
      </c>
      <c r="DT277" s="19">
        <v>0</v>
      </c>
      <c r="DU277" s="19">
        <v>0</v>
      </c>
      <c r="DV277" s="19">
        <v>0</v>
      </c>
      <c r="DW277" s="19">
        <v>0</v>
      </c>
      <c r="DX277" s="19">
        <v>0</v>
      </c>
      <c r="DY277" s="19">
        <v>0</v>
      </c>
      <c r="DZ277" s="19">
        <v>0</v>
      </c>
      <c r="EA277" s="19">
        <v>0</v>
      </c>
      <c r="EB277" s="19">
        <v>0</v>
      </c>
      <c r="EC277" s="19">
        <v>0</v>
      </c>
      <c r="ED277" s="19">
        <v>0</v>
      </c>
      <c r="EE277" s="19">
        <v>0</v>
      </c>
      <c r="EF277" s="19">
        <v>0</v>
      </c>
      <c r="EG277" s="19">
        <v>0</v>
      </c>
      <c r="EH277" s="19">
        <v>0</v>
      </c>
      <c r="EI277" s="19">
        <v>0</v>
      </c>
      <c r="EJ277" s="19">
        <v>0</v>
      </c>
      <c r="EK277" s="19">
        <v>0</v>
      </c>
      <c r="EL277" s="19">
        <v>0</v>
      </c>
      <c r="EM277" s="19">
        <v>0</v>
      </c>
      <c r="EN277" s="19">
        <v>0</v>
      </c>
      <c r="EO277" s="19">
        <v>0</v>
      </c>
      <c r="EP277" s="19">
        <v>0</v>
      </c>
      <c r="EQ277" s="19">
        <v>0</v>
      </c>
      <c r="ER277" s="19">
        <v>0</v>
      </c>
      <c r="ES277" s="119">
        <v>0</v>
      </c>
      <c r="ET277" s="119">
        <v>0</v>
      </c>
    </row>
    <row r="278" spans="1:150" ht="16.5" customHeight="1" x14ac:dyDescent="0.35">
      <c r="A278" s="4">
        <v>210</v>
      </c>
      <c r="B278" s="4" t="str">
        <f>LOOKUP(A278,Lookup!$A$1:$A$34,Lookup!$B$1:$B$34)</f>
        <v>INGREDIENTS</v>
      </c>
      <c r="C278" s="5">
        <v>38903</v>
      </c>
      <c r="D278" s="6" t="s">
        <v>267</v>
      </c>
      <c r="E278" s="18">
        <v>0</v>
      </c>
      <c r="F278" s="18">
        <v>0</v>
      </c>
      <c r="G278" s="18">
        <v>0</v>
      </c>
      <c r="H278" s="18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</v>
      </c>
      <c r="BH278" s="19">
        <v>0</v>
      </c>
      <c r="BI278" s="19">
        <v>0</v>
      </c>
      <c r="BJ278" s="19">
        <v>0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  <c r="BT278" s="19">
        <v>0</v>
      </c>
      <c r="BU278" s="19">
        <v>0</v>
      </c>
      <c r="BV278" s="19">
        <v>0</v>
      </c>
      <c r="BW278" s="19">
        <v>0</v>
      </c>
      <c r="BX278" s="19">
        <v>0</v>
      </c>
      <c r="BY278" s="19">
        <v>0</v>
      </c>
      <c r="BZ278" s="19">
        <v>0</v>
      </c>
      <c r="CA278" s="19">
        <v>0</v>
      </c>
      <c r="CB278" s="19">
        <v>0</v>
      </c>
      <c r="CC278" s="19">
        <v>0</v>
      </c>
      <c r="CD278" s="19">
        <v>0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19">
        <v>0</v>
      </c>
      <c r="CL278" s="19">
        <v>0</v>
      </c>
      <c r="CM278" s="19">
        <v>0</v>
      </c>
      <c r="CN278" s="19">
        <v>0</v>
      </c>
      <c r="CO278" s="19">
        <v>0</v>
      </c>
      <c r="CP278" s="19">
        <v>0</v>
      </c>
      <c r="CQ278" s="19">
        <v>0</v>
      </c>
      <c r="CR278" s="19">
        <v>0</v>
      </c>
      <c r="CS278" s="19">
        <v>0</v>
      </c>
      <c r="CT278" s="19">
        <v>0</v>
      </c>
      <c r="CU278" s="19">
        <v>0</v>
      </c>
      <c r="CV278" s="19">
        <v>0</v>
      </c>
      <c r="CW278" s="19">
        <v>0</v>
      </c>
      <c r="CX278" s="19">
        <v>0</v>
      </c>
      <c r="CY278" s="19">
        <v>0</v>
      </c>
      <c r="CZ278" s="19">
        <v>0</v>
      </c>
      <c r="DA278" s="19">
        <v>0</v>
      </c>
      <c r="DB278" s="19">
        <v>0</v>
      </c>
      <c r="DC278" s="19">
        <v>0</v>
      </c>
      <c r="DD278" s="19">
        <v>0</v>
      </c>
      <c r="DE278" s="19">
        <v>0</v>
      </c>
      <c r="DF278" s="19">
        <v>0</v>
      </c>
      <c r="DG278" s="19">
        <v>0</v>
      </c>
      <c r="DH278" s="19">
        <v>0</v>
      </c>
      <c r="DI278" s="19">
        <v>0</v>
      </c>
      <c r="DJ278" s="19">
        <v>0</v>
      </c>
      <c r="DK278" s="19">
        <v>0</v>
      </c>
      <c r="DL278" s="19">
        <v>0</v>
      </c>
      <c r="DM278" s="19">
        <v>0</v>
      </c>
      <c r="DN278" s="19">
        <v>0</v>
      </c>
      <c r="DO278" s="19">
        <v>0</v>
      </c>
      <c r="DP278" s="19">
        <v>0</v>
      </c>
      <c r="DQ278" s="19">
        <v>0</v>
      </c>
      <c r="DR278" s="19">
        <v>0</v>
      </c>
      <c r="DS278" s="19">
        <v>0</v>
      </c>
      <c r="DT278" s="19">
        <v>0</v>
      </c>
      <c r="DU278" s="19">
        <v>0</v>
      </c>
      <c r="DV278" s="19">
        <v>0</v>
      </c>
      <c r="DW278" s="19">
        <v>0</v>
      </c>
      <c r="DX278" s="19">
        <v>0</v>
      </c>
      <c r="DY278" s="19">
        <v>0</v>
      </c>
      <c r="DZ278" s="19">
        <v>0</v>
      </c>
      <c r="EA278" s="19">
        <v>0</v>
      </c>
      <c r="EB278" s="19">
        <v>0</v>
      </c>
      <c r="EC278" s="19">
        <v>0</v>
      </c>
      <c r="ED278" s="19">
        <v>0</v>
      </c>
      <c r="EE278" s="19">
        <v>0</v>
      </c>
      <c r="EF278" s="19">
        <v>0</v>
      </c>
      <c r="EG278" s="19">
        <v>0</v>
      </c>
      <c r="EH278" s="19">
        <v>0</v>
      </c>
      <c r="EI278" s="19">
        <v>0</v>
      </c>
      <c r="EJ278" s="19">
        <v>0</v>
      </c>
      <c r="EK278" s="19">
        <v>0</v>
      </c>
      <c r="EL278" s="19">
        <v>0</v>
      </c>
      <c r="EM278" s="19">
        <v>0</v>
      </c>
      <c r="EN278" s="19">
        <v>0</v>
      </c>
      <c r="EO278" s="19">
        <v>0</v>
      </c>
      <c r="EP278" s="19">
        <v>0</v>
      </c>
      <c r="EQ278" s="19">
        <v>0</v>
      </c>
      <c r="ER278" s="19">
        <v>0</v>
      </c>
      <c r="ES278" s="119">
        <v>0</v>
      </c>
      <c r="ET278" s="119">
        <v>0</v>
      </c>
    </row>
    <row r="279" spans="1:150" ht="16.5" customHeight="1" x14ac:dyDescent="0.35">
      <c r="A279" s="4">
        <v>210</v>
      </c>
      <c r="B279" s="4" t="str">
        <f>LOOKUP(A279,Lookup!$A$1:$A$34,Lookup!$B$1:$B$34)</f>
        <v>INGREDIENTS</v>
      </c>
      <c r="C279" s="5">
        <v>39402</v>
      </c>
      <c r="D279" s="6" t="s">
        <v>268</v>
      </c>
      <c r="E279" s="18">
        <v>0</v>
      </c>
      <c r="F279" s="18">
        <v>0</v>
      </c>
      <c r="G279" s="18">
        <v>0</v>
      </c>
      <c r="H279" s="18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  <c r="BT279" s="19">
        <v>0</v>
      </c>
      <c r="BU279" s="19">
        <v>0</v>
      </c>
      <c r="BV279" s="19">
        <v>0</v>
      </c>
      <c r="BW279" s="19">
        <v>0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19">
        <v>0</v>
      </c>
      <c r="CL279" s="19">
        <v>0</v>
      </c>
      <c r="CM279" s="19">
        <v>0</v>
      </c>
      <c r="CN279" s="19">
        <v>0</v>
      </c>
      <c r="CO279" s="19">
        <v>0</v>
      </c>
      <c r="CP279" s="19">
        <v>0</v>
      </c>
      <c r="CQ279" s="19">
        <v>0</v>
      </c>
      <c r="CR279" s="19">
        <v>0</v>
      </c>
      <c r="CS279" s="19">
        <v>0</v>
      </c>
      <c r="CT279" s="19">
        <v>0</v>
      </c>
      <c r="CU279" s="19">
        <v>0</v>
      </c>
      <c r="CV279" s="19">
        <v>0</v>
      </c>
      <c r="CW279" s="19">
        <v>0</v>
      </c>
      <c r="CX279" s="19">
        <v>0</v>
      </c>
      <c r="CY279" s="19">
        <v>0</v>
      </c>
      <c r="CZ279" s="19">
        <v>0</v>
      </c>
      <c r="DA279" s="19">
        <v>0</v>
      </c>
      <c r="DB279" s="19">
        <v>0</v>
      </c>
      <c r="DC279" s="19">
        <v>0</v>
      </c>
      <c r="DD279" s="19">
        <v>0</v>
      </c>
      <c r="DE279" s="19">
        <v>0</v>
      </c>
      <c r="DF279" s="19">
        <v>0</v>
      </c>
      <c r="DG279" s="19">
        <v>0</v>
      </c>
      <c r="DH279" s="19">
        <v>0</v>
      </c>
      <c r="DI279" s="19">
        <v>0</v>
      </c>
      <c r="DJ279" s="19">
        <v>0</v>
      </c>
      <c r="DK279" s="19">
        <v>0</v>
      </c>
      <c r="DL279" s="19">
        <v>0</v>
      </c>
      <c r="DM279" s="19">
        <v>0</v>
      </c>
      <c r="DN279" s="19">
        <v>0</v>
      </c>
      <c r="DO279" s="19">
        <v>0</v>
      </c>
      <c r="DP279" s="19">
        <v>0</v>
      </c>
      <c r="DQ279" s="19">
        <v>0</v>
      </c>
      <c r="DR279" s="19">
        <v>0</v>
      </c>
      <c r="DS279" s="19">
        <v>0</v>
      </c>
      <c r="DT279" s="19">
        <v>0</v>
      </c>
      <c r="DU279" s="19">
        <v>0</v>
      </c>
      <c r="DV279" s="19">
        <v>0</v>
      </c>
      <c r="DW279" s="19">
        <v>0</v>
      </c>
      <c r="DX279" s="19">
        <v>0</v>
      </c>
      <c r="DY279" s="19">
        <v>0</v>
      </c>
      <c r="DZ279" s="19">
        <v>0</v>
      </c>
      <c r="EA279" s="19">
        <v>0</v>
      </c>
      <c r="EB279" s="19">
        <v>0</v>
      </c>
      <c r="EC279" s="19">
        <v>0</v>
      </c>
      <c r="ED279" s="19">
        <v>0</v>
      </c>
      <c r="EE279" s="19">
        <v>0</v>
      </c>
      <c r="EF279" s="19">
        <v>0</v>
      </c>
      <c r="EG279" s="19">
        <v>0</v>
      </c>
      <c r="EH279" s="19">
        <v>0</v>
      </c>
      <c r="EI279" s="19">
        <v>0</v>
      </c>
      <c r="EJ279" s="19">
        <v>0</v>
      </c>
      <c r="EK279" s="19">
        <v>0</v>
      </c>
      <c r="EL279" s="19">
        <v>0</v>
      </c>
      <c r="EM279" s="19">
        <v>0</v>
      </c>
      <c r="EN279" s="19">
        <v>0</v>
      </c>
      <c r="EO279" s="19">
        <v>0</v>
      </c>
      <c r="EP279" s="19">
        <v>0</v>
      </c>
      <c r="EQ279" s="19">
        <v>0</v>
      </c>
      <c r="ER279" s="19">
        <v>0</v>
      </c>
      <c r="ES279" s="119">
        <v>0</v>
      </c>
      <c r="ET279" s="119">
        <v>0</v>
      </c>
    </row>
    <row r="280" spans="1:150" ht="16.5" customHeight="1" x14ac:dyDescent="0.35">
      <c r="A280" s="4">
        <v>210</v>
      </c>
      <c r="B280" s="4" t="str">
        <f>LOOKUP(A280,Lookup!$A$1:$A$34,Lookup!$B$1:$B$34)</f>
        <v>INGREDIENTS</v>
      </c>
      <c r="C280" s="5">
        <v>39412</v>
      </c>
      <c r="D280" s="6" t="s">
        <v>269</v>
      </c>
      <c r="E280" s="18">
        <v>0</v>
      </c>
      <c r="F280" s="18">
        <v>0</v>
      </c>
      <c r="G280" s="18">
        <v>0</v>
      </c>
      <c r="H280" s="18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  <c r="BT280" s="19">
        <v>0</v>
      </c>
      <c r="BU280" s="19">
        <v>0</v>
      </c>
      <c r="BV280" s="19">
        <v>0</v>
      </c>
      <c r="BW280" s="19">
        <v>0</v>
      </c>
      <c r="BX280" s="19">
        <v>0</v>
      </c>
      <c r="BY280" s="19">
        <v>0</v>
      </c>
      <c r="BZ280" s="19">
        <v>0</v>
      </c>
      <c r="CA280" s="19">
        <v>0</v>
      </c>
      <c r="CB280" s="19">
        <v>0</v>
      </c>
      <c r="CC280" s="19">
        <v>0</v>
      </c>
      <c r="CD280" s="19">
        <v>0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19">
        <v>0</v>
      </c>
      <c r="CL280" s="19">
        <v>0</v>
      </c>
      <c r="CM280" s="19">
        <v>0</v>
      </c>
      <c r="CN280" s="19">
        <v>0</v>
      </c>
      <c r="CO280" s="19">
        <v>0</v>
      </c>
      <c r="CP280" s="19">
        <v>0</v>
      </c>
      <c r="CQ280" s="19">
        <v>0</v>
      </c>
      <c r="CR280" s="19">
        <v>0</v>
      </c>
      <c r="CS280" s="19">
        <v>0</v>
      </c>
      <c r="CT280" s="19">
        <v>0</v>
      </c>
      <c r="CU280" s="19">
        <v>0</v>
      </c>
      <c r="CV280" s="19">
        <v>0</v>
      </c>
      <c r="CW280" s="19">
        <v>0</v>
      </c>
      <c r="CX280" s="19">
        <v>0</v>
      </c>
      <c r="CY280" s="19">
        <v>0</v>
      </c>
      <c r="CZ280" s="19">
        <v>0</v>
      </c>
      <c r="DA280" s="19">
        <v>0</v>
      </c>
      <c r="DB280" s="19">
        <v>0</v>
      </c>
      <c r="DC280" s="19">
        <v>0</v>
      </c>
      <c r="DD280" s="19">
        <v>0</v>
      </c>
      <c r="DE280" s="19">
        <v>0</v>
      </c>
      <c r="DF280" s="19">
        <v>0</v>
      </c>
      <c r="DG280" s="19">
        <v>0</v>
      </c>
      <c r="DH280" s="19">
        <v>0</v>
      </c>
      <c r="DI280" s="19">
        <v>0</v>
      </c>
      <c r="DJ280" s="19">
        <v>0</v>
      </c>
      <c r="DK280" s="19">
        <v>0</v>
      </c>
      <c r="DL280" s="19">
        <v>0</v>
      </c>
      <c r="DM280" s="19">
        <v>0</v>
      </c>
      <c r="DN280" s="19">
        <v>0</v>
      </c>
      <c r="DO280" s="19">
        <v>0</v>
      </c>
      <c r="DP280" s="19">
        <v>0</v>
      </c>
      <c r="DQ280" s="19">
        <v>0</v>
      </c>
      <c r="DR280" s="19">
        <v>0</v>
      </c>
      <c r="DS280" s="19">
        <v>0</v>
      </c>
      <c r="DT280" s="19">
        <v>0</v>
      </c>
      <c r="DU280" s="19">
        <v>0</v>
      </c>
      <c r="DV280" s="19">
        <v>0</v>
      </c>
      <c r="DW280" s="19">
        <v>0</v>
      </c>
      <c r="DX280" s="19">
        <v>0</v>
      </c>
      <c r="DY280" s="19">
        <v>0</v>
      </c>
      <c r="DZ280" s="19">
        <v>0</v>
      </c>
      <c r="EA280" s="19">
        <v>0</v>
      </c>
      <c r="EB280" s="19">
        <v>0</v>
      </c>
      <c r="EC280" s="19">
        <v>0</v>
      </c>
      <c r="ED280" s="19">
        <v>0</v>
      </c>
      <c r="EE280" s="19">
        <v>0</v>
      </c>
      <c r="EF280" s="19">
        <v>0</v>
      </c>
      <c r="EG280" s="19">
        <v>0</v>
      </c>
      <c r="EH280" s="19">
        <v>0</v>
      </c>
      <c r="EI280" s="19">
        <v>0</v>
      </c>
      <c r="EJ280" s="19">
        <v>0</v>
      </c>
      <c r="EK280" s="19">
        <v>0</v>
      </c>
      <c r="EL280" s="19">
        <v>0</v>
      </c>
      <c r="EM280" s="19">
        <v>0</v>
      </c>
      <c r="EN280" s="19">
        <v>0</v>
      </c>
      <c r="EO280" s="19">
        <v>0</v>
      </c>
      <c r="EP280" s="19">
        <v>0</v>
      </c>
      <c r="EQ280" s="19">
        <v>0</v>
      </c>
      <c r="ER280" s="19">
        <v>0</v>
      </c>
      <c r="ES280" s="119">
        <v>0</v>
      </c>
      <c r="ET280" s="119">
        <v>0</v>
      </c>
    </row>
    <row r="281" spans="1:150" ht="16.5" customHeight="1" x14ac:dyDescent="0.35">
      <c r="A281" s="4">
        <v>210</v>
      </c>
      <c r="B281" s="4" t="str">
        <f>LOOKUP(A281,Lookup!$A$1:$A$34,Lookup!$B$1:$B$34)</f>
        <v>INGREDIENTS</v>
      </c>
      <c r="C281" s="5">
        <v>39414</v>
      </c>
      <c r="D281" s="6" t="s">
        <v>270</v>
      </c>
      <c r="E281" s="18">
        <v>0</v>
      </c>
      <c r="F281" s="18">
        <v>0</v>
      </c>
      <c r="G281" s="18">
        <v>0</v>
      </c>
      <c r="H281" s="18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19">
        <v>0</v>
      </c>
      <c r="CL281" s="19">
        <v>0</v>
      </c>
      <c r="CM281" s="19">
        <v>0</v>
      </c>
      <c r="CN281" s="19">
        <v>0</v>
      </c>
      <c r="CO281" s="19">
        <v>0</v>
      </c>
      <c r="CP281" s="19">
        <v>0</v>
      </c>
      <c r="CQ281" s="19">
        <v>0</v>
      </c>
      <c r="CR281" s="19">
        <v>0</v>
      </c>
      <c r="CS281" s="19">
        <v>0</v>
      </c>
      <c r="CT281" s="19">
        <v>0</v>
      </c>
      <c r="CU281" s="19">
        <v>0</v>
      </c>
      <c r="CV281" s="19">
        <v>0</v>
      </c>
      <c r="CW281" s="19">
        <v>0</v>
      </c>
      <c r="CX281" s="19">
        <v>0</v>
      </c>
      <c r="CY281" s="19">
        <v>0</v>
      </c>
      <c r="CZ281" s="19">
        <v>0</v>
      </c>
      <c r="DA281" s="19">
        <v>0</v>
      </c>
      <c r="DB281" s="19">
        <v>0</v>
      </c>
      <c r="DC281" s="19">
        <v>0</v>
      </c>
      <c r="DD281" s="19">
        <v>0</v>
      </c>
      <c r="DE281" s="19">
        <v>0</v>
      </c>
      <c r="DF281" s="19">
        <v>0</v>
      </c>
      <c r="DG281" s="19">
        <v>0</v>
      </c>
      <c r="DH281" s="19">
        <v>0</v>
      </c>
      <c r="DI281" s="19">
        <v>0</v>
      </c>
      <c r="DJ281" s="19">
        <v>0</v>
      </c>
      <c r="DK281" s="19">
        <v>0</v>
      </c>
      <c r="DL281" s="19">
        <v>0</v>
      </c>
      <c r="DM281" s="19">
        <v>0</v>
      </c>
      <c r="DN281" s="19">
        <v>0</v>
      </c>
      <c r="DO281" s="19">
        <v>0</v>
      </c>
      <c r="DP281" s="19">
        <v>0</v>
      </c>
      <c r="DQ281" s="19">
        <v>0</v>
      </c>
      <c r="DR281" s="19">
        <v>0</v>
      </c>
      <c r="DS281" s="19">
        <v>0</v>
      </c>
      <c r="DT281" s="19">
        <v>0</v>
      </c>
      <c r="DU281" s="19">
        <v>0</v>
      </c>
      <c r="DV281" s="19">
        <v>0</v>
      </c>
      <c r="DW281" s="19">
        <v>0</v>
      </c>
      <c r="DX281" s="19">
        <v>0</v>
      </c>
      <c r="DY281" s="19">
        <v>0</v>
      </c>
      <c r="DZ281" s="19">
        <v>0</v>
      </c>
      <c r="EA281" s="19">
        <v>0</v>
      </c>
      <c r="EB281" s="19">
        <v>0</v>
      </c>
      <c r="EC281" s="19">
        <v>0</v>
      </c>
      <c r="ED281" s="19">
        <v>0</v>
      </c>
      <c r="EE281" s="19">
        <v>0</v>
      </c>
      <c r="EF281" s="19">
        <v>0</v>
      </c>
      <c r="EG281" s="19">
        <v>0</v>
      </c>
      <c r="EH281" s="19">
        <v>0</v>
      </c>
      <c r="EI281" s="19">
        <v>0</v>
      </c>
      <c r="EJ281" s="19">
        <v>0</v>
      </c>
      <c r="EK281" s="19">
        <v>0</v>
      </c>
      <c r="EL281" s="19">
        <v>0</v>
      </c>
      <c r="EM281" s="19">
        <v>0</v>
      </c>
      <c r="EN281" s="19">
        <v>0</v>
      </c>
      <c r="EO281" s="19">
        <v>0</v>
      </c>
      <c r="EP281" s="19">
        <v>0</v>
      </c>
      <c r="EQ281" s="19">
        <v>0</v>
      </c>
      <c r="ER281" s="19">
        <v>0</v>
      </c>
      <c r="ES281" s="119">
        <v>0</v>
      </c>
      <c r="ET281" s="119">
        <v>0</v>
      </c>
    </row>
    <row r="282" spans="1:150" ht="16.5" customHeight="1" x14ac:dyDescent="0.35">
      <c r="A282" s="4">
        <v>210</v>
      </c>
      <c r="B282" s="4" t="str">
        <f>LOOKUP(A282,Lookup!$A$1:$A$34,Lookup!$B$1:$B$34)</f>
        <v>INGREDIENTS</v>
      </c>
      <c r="C282" s="5">
        <v>39415</v>
      </c>
      <c r="D282" s="6" t="s">
        <v>271</v>
      </c>
      <c r="E282" s="18">
        <v>0</v>
      </c>
      <c r="F282" s="18">
        <v>0</v>
      </c>
      <c r="G282" s="18">
        <v>0</v>
      </c>
      <c r="H282" s="18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0</v>
      </c>
      <c r="BZ282" s="19">
        <v>0</v>
      </c>
      <c r="CA282" s="19">
        <v>0</v>
      </c>
      <c r="CB282" s="19">
        <v>0</v>
      </c>
      <c r="CC282" s="19">
        <v>0</v>
      </c>
      <c r="CD282" s="19">
        <v>0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19">
        <v>0</v>
      </c>
      <c r="CL282" s="19">
        <v>0</v>
      </c>
      <c r="CM282" s="19">
        <v>0</v>
      </c>
      <c r="CN282" s="19">
        <v>0</v>
      </c>
      <c r="CO282" s="19">
        <v>0</v>
      </c>
      <c r="CP282" s="19">
        <v>0</v>
      </c>
      <c r="CQ282" s="19">
        <v>0</v>
      </c>
      <c r="CR282" s="19">
        <v>0</v>
      </c>
      <c r="CS282" s="19">
        <v>0</v>
      </c>
      <c r="CT282" s="19">
        <v>0</v>
      </c>
      <c r="CU282" s="19">
        <v>0</v>
      </c>
      <c r="CV282" s="19">
        <v>0</v>
      </c>
      <c r="CW282" s="19">
        <v>0</v>
      </c>
      <c r="CX282" s="19">
        <v>0</v>
      </c>
      <c r="CY282" s="19">
        <v>0</v>
      </c>
      <c r="CZ282" s="19">
        <v>0</v>
      </c>
      <c r="DA282" s="19">
        <v>0</v>
      </c>
      <c r="DB282" s="19">
        <v>0</v>
      </c>
      <c r="DC282" s="19">
        <v>0</v>
      </c>
      <c r="DD282" s="19">
        <v>0</v>
      </c>
      <c r="DE282" s="19">
        <v>0</v>
      </c>
      <c r="DF282" s="19">
        <v>0</v>
      </c>
      <c r="DG282" s="19">
        <v>0</v>
      </c>
      <c r="DH282" s="19">
        <v>0</v>
      </c>
      <c r="DI282" s="19">
        <v>0</v>
      </c>
      <c r="DJ282" s="19">
        <v>0</v>
      </c>
      <c r="DK282" s="19">
        <v>0</v>
      </c>
      <c r="DL282" s="19">
        <v>0</v>
      </c>
      <c r="DM282" s="19">
        <v>0</v>
      </c>
      <c r="DN282" s="19">
        <v>0</v>
      </c>
      <c r="DO282" s="19">
        <v>0</v>
      </c>
      <c r="DP282" s="19">
        <v>0</v>
      </c>
      <c r="DQ282" s="19">
        <v>0</v>
      </c>
      <c r="DR282" s="19">
        <v>0</v>
      </c>
      <c r="DS282" s="19">
        <v>0</v>
      </c>
      <c r="DT282" s="19">
        <v>0</v>
      </c>
      <c r="DU282" s="19">
        <v>0</v>
      </c>
      <c r="DV282" s="19">
        <v>0</v>
      </c>
      <c r="DW282" s="19">
        <v>0</v>
      </c>
      <c r="DX282" s="19">
        <v>0</v>
      </c>
      <c r="DY282" s="19">
        <v>0</v>
      </c>
      <c r="DZ282" s="19">
        <v>0</v>
      </c>
      <c r="EA282" s="19">
        <v>0</v>
      </c>
      <c r="EB282" s="19">
        <v>0</v>
      </c>
      <c r="EC282" s="19">
        <v>0</v>
      </c>
      <c r="ED282" s="19">
        <v>0</v>
      </c>
      <c r="EE282" s="19">
        <v>0</v>
      </c>
      <c r="EF282" s="19">
        <v>0</v>
      </c>
      <c r="EG282" s="19">
        <v>0</v>
      </c>
      <c r="EH282" s="19">
        <v>0</v>
      </c>
      <c r="EI282" s="19">
        <v>0</v>
      </c>
      <c r="EJ282" s="19">
        <v>0</v>
      </c>
      <c r="EK282" s="19">
        <v>0</v>
      </c>
      <c r="EL282" s="19">
        <v>0</v>
      </c>
      <c r="EM282" s="19">
        <v>0</v>
      </c>
      <c r="EN282" s="19">
        <v>0</v>
      </c>
      <c r="EO282" s="19">
        <v>0</v>
      </c>
      <c r="EP282" s="19">
        <v>0</v>
      </c>
      <c r="EQ282" s="19">
        <v>0</v>
      </c>
      <c r="ER282" s="19">
        <v>0</v>
      </c>
      <c r="ES282" s="119">
        <v>0</v>
      </c>
      <c r="ET282" s="119">
        <v>0</v>
      </c>
    </row>
    <row r="283" spans="1:150" ht="16.5" customHeight="1" x14ac:dyDescent="0.35">
      <c r="A283" s="4">
        <v>210</v>
      </c>
      <c r="B283" s="4" t="str">
        <f>LOOKUP(A283,Lookup!$A$1:$A$34,Lookup!$B$1:$B$34)</f>
        <v>INGREDIENTS</v>
      </c>
      <c r="C283" s="5">
        <v>39417</v>
      </c>
      <c r="D283" s="6" t="s">
        <v>272</v>
      </c>
      <c r="E283" s="18">
        <v>0</v>
      </c>
      <c r="F283" s="18">
        <v>0</v>
      </c>
      <c r="G283" s="18">
        <v>0</v>
      </c>
      <c r="H283" s="18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  <c r="BT283" s="19">
        <v>0</v>
      </c>
      <c r="BU283" s="19">
        <v>0</v>
      </c>
      <c r="BV283" s="19">
        <v>0</v>
      </c>
      <c r="BW283" s="19">
        <v>0</v>
      </c>
      <c r="BX283" s="19">
        <v>0</v>
      </c>
      <c r="BY283" s="19">
        <v>0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19">
        <v>0</v>
      </c>
      <c r="CL283" s="19">
        <v>0</v>
      </c>
      <c r="CM283" s="19">
        <v>0</v>
      </c>
      <c r="CN283" s="19">
        <v>0</v>
      </c>
      <c r="CO283" s="19">
        <v>0</v>
      </c>
      <c r="CP283" s="19">
        <v>0</v>
      </c>
      <c r="CQ283" s="19">
        <v>0</v>
      </c>
      <c r="CR283" s="19">
        <v>0</v>
      </c>
      <c r="CS283" s="19">
        <v>0</v>
      </c>
      <c r="CT283" s="19">
        <v>0</v>
      </c>
      <c r="CU283" s="19">
        <v>0</v>
      </c>
      <c r="CV283" s="19">
        <v>0</v>
      </c>
      <c r="CW283" s="19">
        <v>0</v>
      </c>
      <c r="CX283" s="19">
        <v>0</v>
      </c>
      <c r="CY283" s="19">
        <v>0</v>
      </c>
      <c r="CZ283" s="19">
        <v>0</v>
      </c>
      <c r="DA283" s="19">
        <v>0</v>
      </c>
      <c r="DB283" s="19">
        <v>0</v>
      </c>
      <c r="DC283" s="19">
        <v>0</v>
      </c>
      <c r="DD283" s="19">
        <v>0</v>
      </c>
      <c r="DE283" s="19">
        <v>0</v>
      </c>
      <c r="DF283" s="19">
        <v>0</v>
      </c>
      <c r="DG283" s="19">
        <v>0</v>
      </c>
      <c r="DH283" s="19">
        <v>0</v>
      </c>
      <c r="DI283" s="19">
        <v>0</v>
      </c>
      <c r="DJ283" s="19">
        <v>0</v>
      </c>
      <c r="DK283" s="19">
        <v>0</v>
      </c>
      <c r="DL283" s="19">
        <v>0</v>
      </c>
      <c r="DM283" s="19">
        <v>0</v>
      </c>
      <c r="DN283" s="19">
        <v>0</v>
      </c>
      <c r="DO283" s="19">
        <v>0</v>
      </c>
      <c r="DP283" s="19">
        <v>0</v>
      </c>
      <c r="DQ283" s="19">
        <v>0</v>
      </c>
      <c r="DR283" s="19">
        <v>0</v>
      </c>
      <c r="DS283" s="19">
        <v>0</v>
      </c>
      <c r="DT283" s="19">
        <v>0</v>
      </c>
      <c r="DU283" s="19">
        <v>0</v>
      </c>
      <c r="DV283" s="19">
        <v>0</v>
      </c>
      <c r="DW283" s="19">
        <v>0</v>
      </c>
      <c r="DX283" s="19">
        <v>0</v>
      </c>
      <c r="DY283" s="19">
        <v>0</v>
      </c>
      <c r="DZ283" s="19">
        <v>0</v>
      </c>
      <c r="EA283" s="19">
        <v>0</v>
      </c>
      <c r="EB283" s="19">
        <v>0</v>
      </c>
      <c r="EC283" s="19">
        <v>0</v>
      </c>
      <c r="ED283" s="19">
        <v>0</v>
      </c>
      <c r="EE283" s="19">
        <v>0</v>
      </c>
      <c r="EF283" s="19">
        <v>0</v>
      </c>
      <c r="EG283" s="19">
        <v>0</v>
      </c>
      <c r="EH283" s="19">
        <v>0</v>
      </c>
      <c r="EI283" s="19">
        <v>0</v>
      </c>
      <c r="EJ283" s="19">
        <v>0</v>
      </c>
      <c r="EK283" s="19">
        <v>0</v>
      </c>
      <c r="EL283" s="19">
        <v>0</v>
      </c>
      <c r="EM283" s="19">
        <v>0</v>
      </c>
      <c r="EN283" s="19">
        <v>0</v>
      </c>
      <c r="EO283" s="19">
        <v>0</v>
      </c>
      <c r="EP283" s="19">
        <v>0</v>
      </c>
      <c r="EQ283" s="19">
        <v>0</v>
      </c>
      <c r="ER283" s="19">
        <v>0</v>
      </c>
      <c r="ES283" s="119">
        <v>0</v>
      </c>
      <c r="ET283" s="119">
        <v>0</v>
      </c>
    </row>
    <row r="284" spans="1:150" ht="16.5" customHeight="1" x14ac:dyDescent="0.35">
      <c r="A284" s="4">
        <v>210</v>
      </c>
      <c r="B284" s="4" t="str">
        <f>LOOKUP(A284,Lookup!$A$1:$A$34,Lookup!$B$1:$B$34)</f>
        <v>INGREDIENTS</v>
      </c>
      <c r="C284" s="5">
        <v>39495</v>
      </c>
      <c r="D284" s="6" t="s">
        <v>273</v>
      </c>
      <c r="E284" s="18">
        <v>0</v>
      </c>
      <c r="F284" s="18">
        <v>0</v>
      </c>
      <c r="G284" s="18">
        <v>0</v>
      </c>
      <c r="H284" s="18">
        <v>0</v>
      </c>
      <c r="I284" s="19">
        <v>0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v>0</v>
      </c>
      <c r="P284" s="19">
        <v>0</v>
      </c>
      <c r="Q284" s="19">
        <v>0</v>
      </c>
      <c r="R284" s="19">
        <v>0</v>
      </c>
      <c r="S284" s="19">
        <v>0</v>
      </c>
      <c r="T284" s="19">
        <v>0</v>
      </c>
      <c r="U284" s="19">
        <v>0</v>
      </c>
      <c r="V284" s="19">
        <v>0</v>
      </c>
      <c r="W284" s="19">
        <v>0</v>
      </c>
      <c r="X284" s="19">
        <v>0</v>
      </c>
      <c r="Y284" s="19">
        <v>0</v>
      </c>
      <c r="Z284" s="19">
        <v>0</v>
      </c>
      <c r="AA284" s="19">
        <v>0</v>
      </c>
      <c r="AB284" s="19">
        <v>0</v>
      </c>
      <c r="AC284" s="19">
        <v>0</v>
      </c>
      <c r="AD284" s="19">
        <v>0</v>
      </c>
      <c r="AE284" s="19">
        <v>0</v>
      </c>
      <c r="AF284" s="19">
        <v>0</v>
      </c>
      <c r="AG284" s="19">
        <v>0</v>
      </c>
      <c r="AH284" s="19">
        <v>0</v>
      </c>
      <c r="AI284" s="19">
        <v>0</v>
      </c>
      <c r="AJ284" s="19">
        <v>0</v>
      </c>
      <c r="AK284" s="19">
        <v>0</v>
      </c>
      <c r="AL284" s="19">
        <v>0</v>
      </c>
      <c r="AM284" s="19">
        <v>0</v>
      </c>
      <c r="AN284" s="19">
        <v>0</v>
      </c>
      <c r="AO284" s="19">
        <v>0</v>
      </c>
      <c r="AP284" s="19">
        <v>0</v>
      </c>
      <c r="AQ284" s="19">
        <v>0</v>
      </c>
      <c r="AR284" s="19">
        <v>0</v>
      </c>
      <c r="AS284" s="19">
        <v>0</v>
      </c>
      <c r="AT284" s="19">
        <v>0</v>
      </c>
      <c r="AU284" s="19">
        <v>0</v>
      </c>
      <c r="AV284" s="19">
        <v>0</v>
      </c>
      <c r="AW284" s="19">
        <v>0</v>
      </c>
      <c r="AX284" s="19">
        <v>0</v>
      </c>
      <c r="AY284" s="19">
        <v>0</v>
      </c>
      <c r="AZ284" s="19">
        <v>0</v>
      </c>
      <c r="BA284" s="19">
        <v>0</v>
      </c>
      <c r="BB284" s="19">
        <v>0</v>
      </c>
      <c r="BC284" s="19">
        <v>0</v>
      </c>
      <c r="BD284" s="19">
        <v>0</v>
      </c>
      <c r="BE284" s="19">
        <v>0</v>
      </c>
      <c r="BF284" s="19">
        <v>0</v>
      </c>
      <c r="BG284" s="19">
        <v>0</v>
      </c>
      <c r="BH284" s="19">
        <v>0</v>
      </c>
      <c r="BI284" s="19">
        <v>0</v>
      </c>
      <c r="BJ284" s="19">
        <v>0</v>
      </c>
      <c r="BK284" s="19">
        <v>0</v>
      </c>
      <c r="BL284" s="19">
        <v>0</v>
      </c>
      <c r="BM284" s="19">
        <v>0</v>
      </c>
      <c r="BN284" s="19">
        <v>0</v>
      </c>
      <c r="BO284" s="19">
        <v>0</v>
      </c>
      <c r="BP284" s="19">
        <v>0</v>
      </c>
      <c r="BQ284" s="19">
        <v>0</v>
      </c>
      <c r="BR284" s="19">
        <v>0</v>
      </c>
      <c r="BS284" s="19">
        <v>0</v>
      </c>
      <c r="BT284" s="19">
        <v>0</v>
      </c>
      <c r="BU284" s="19">
        <v>0</v>
      </c>
      <c r="BV284" s="19">
        <v>0</v>
      </c>
      <c r="BW284" s="19">
        <v>0</v>
      </c>
      <c r="BX284" s="19">
        <v>0</v>
      </c>
      <c r="BY284" s="19">
        <v>0</v>
      </c>
      <c r="BZ284" s="19">
        <v>0</v>
      </c>
      <c r="CA284" s="19">
        <v>0</v>
      </c>
      <c r="CB284" s="19">
        <v>0</v>
      </c>
      <c r="CC284" s="19">
        <v>0</v>
      </c>
      <c r="CD284" s="19">
        <v>0</v>
      </c>
      <c r="CE284" s="19">
        <v>0</v>
      </c>
      <c r="CF284" s="19">
        <v>0</v>
      </c>
      <c r="CG284" s="19">
        <v>0</v>
      </c>
      <c r="CH284" s="19">
        <v>0</v>
      </c>
      <c r="CI284" s="19">
        <v>0</v>
      </c>
      <c r="CJ284" s="19">
        <v>0</v>
      </c>
      <c r="CK284" s="19">
        <v>0</v>
      </c>
      <c r="CL284" s="19">
        <v>0</v>
      </c>
      <c r="CM284" s="19">
        <v>0</v>
      </c>
      <c r="CN284" s="19">
        <v>0</v>
      </c>
      <c r="CO284" s="19">
        <v>0</v>
      </c>
      <c r="CP284" s="19">
        <v>0</v>
      </c>
      <c r="CQ284" s="19">
        <v>0</v>
      </c>
      <c r="CR284" s="19">
        <v>0</v>
      </c>
      <c r="CS284" s="19">
        <v>0</v>
      </c>
      <c r="CT284" s="19">
        <v>0</v>
      </c>
      <c r="CU284" s="19">
        <v>0</v>
      </c>
      <c r="CV284" s="19">
        <v>0</v>
      </c>
      <c r="CW284" s="19">
        <v>0</v>
      </c>
      <c r="CX284" s="19">
        <v>0</v>
      </c>
      <c r="CY284" s="19">
        <v>0</v>
      </c>
      <c r="CZ284" s="19">
        <v>0</v>
      </c>
      <c r="DA284" s="19">
        <v>0</v>
      </c>
      <c r="DB284" s="19">
        <v>0</v>
      </c>
      <c r="DC284" s="19">
        <v>0</v>
      </c>
      <c r="DD284" s="19">
        <v>0</v>
      </c>
      <c r="DE284" s="19">
        <v>0</v>
      </c>
      <c r="DF284" s="19">
        <v>0</v>
      </c>
      <c r="DG284" s="19">
        <v>0</v>
      </c>
      <c r="DH284" s="19">
        <v>0</v>
      </c>
      <c r="DI284" s="19">
        <v>0</v>
      </c>
      <c r="DJ284" s="19">
        <v>0</v>
      </c>
      <c r="DK284" s="19">
        <v>0</v>
      </c>
      <c r="DL284" s="19">
        <v>0</v>
      </c>
      <c r="DM284" s="19">
        <v>0</v>
      </c>
      <c r="DN284" s="19">
        <v>0</v>
      </c>
      <c r="DO284" s="19">
        <v>0</v>
      </c>
      <c r="DP284" s="19">
        <v>0</v>
      </c>
      <c r="DQ284" s="19">
        <v>0</v>
      </c>
      <c r="DR284" s="19">
        <v>0</v>
      </c>
      <c r="DS284" s="19">
        <v>0</v>
      </c>
      <c r="DT284" s="19">
        <v>0</v>
      </c>
      <c r="DU284" s="19">
        <v>0</v>
      </c>
      <c r="DV284" s="19">
        <v>0</v>
      </c>
      <c r="DW284" s="19">
        <v>0</v>
      </c>
      <c r="DX284" s="19">
        <v>0</v>
      </c>
      <c r="DY284" s="19">
        <v>0</v>
      </c>
      <c r="DZ284" s="19">
        <v>0</v>
      </c>
      <c r="EA284" s="19">
        <v>0</v>
      </c>
      <c r="EB284" s="19">
        <v>0</v>
      </c>
      <c r="EC284" s="19">
        <v>0</v>
      </c>
      <c r="ED284" s="19">
        <v>0</v>
      </c>
      <c r="EE284" s="19">
        <v>0</v>
      </c>
      <c r="EF284" s="19">
        <v>0</v>
      </c>
      <c r="EG284" s="19">
        <v>0</v>
      </c>
      <c r="EH284" s="19">
        <v>0</v>
      </c>
      <c r="EI284" s="19">
        <v>0</v>
      </c>
      <c r="EJ284" s="19">
        <v>0</v>
      </c>
      <c r="EK284" s="19">
        <v>0</v>
      </c>
      <c r="EL284" s="19">
        <v>0</v>
      </c>
      <c r="EM284" s="19">
        <v>0</v>
      </c>
      <c r="EN284" s="19">
        <v>0</v>
      </c>
      <c r="EO284" s="19">
        <v>0</v>
      </c>
      <c r="EP284" s="19">
        <v>0</v>
      </c>
      <c r="EQ284" s="19">
        <v>0</v>
      </c>
      <c r="ER284" s="19">
        <v>0</v>
      </c>
      <c r="ES284" s="119">
        <v>0</v>
      </c>
      <c r="ET284" s="119">
        <v>0</v>
      </c>
    </row>
    <row r="285" spans="1:150" ht="16.5" customHeight="1" x14ac:dyDescent="0.35">
      <c r="A285" s="4">
        <v>210</v>
      </c>
      <c r="B285" s="4" t="str">
        <f>LOOKUP(A285,Lookup!$A$1:$A$34,Lookup!$B$1:$B$34)</f>
        <v>INGREDIENTS</v>
      </c>
      <c r="C285" s="5">
        <v>39496</v>
      </c>
      <c r="D285" s="6" t="s">
        <v>274</v>
      </c>
      <c r="E285" s="18">
        <v>0</v>
      </c>
      <c r="F285" s="18">
        <v>0</v>
      </c>
      <c r="G285" s="18">
        <v>0</v>
      </c>
      <c r="H285" s="18">
        <v>0</v>
      </c>
      <c r="I285" s="19">
        <v>0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9">
        <v>0</v>
      </c>
      <c r="Q285" s="19">
        <v>0</v>
      </c>
      <c r="R285" s="19">
        <v>0</v>
      </c>
      <c r="S285" s="19">
        <v>0</v>
      </c>
      <c r="T285" s="19">
        <v>0</v>
      </c>
      <c r="U285" s="19">
        <v>0</v>
      </c>
      <c r="V285" s="19">
        <v>0</v>
      </c>
      <c r="W285" s="19">
        <v>0</v>
      </c>
      <c r="X285" s="19">
        <v>0</v>
      </c>
      <c r="Y285" s="19">
        <v>0</v>
      </c>
      <c r="Z285" s="19">
        <v>0</v>
      </c>
      <c r="AA285" s="19">
        <v>0</v>
      </c>
      <c r="AB285" s="19">
        <v>0</v>
      </c>
      <c r="AC285" s="19">
        <v>0</v>
      </c>
      <c r="AD285" s="19">
        <v>0</v>
      </c>
      <c r="AE285" s="19">
        <v>0</v>
      </c>
      <c r="AF285" s="19">
        <v>0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0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>
        <v>0</v>
      </c>
      <c r="BE285" s="19">
        <v>0</v>
      </c>
      <c r="BF285" s="19">
        <v>0</v>
      </c>
      <c r="BG285" s="19">
        <v>0</v>
      </c>
      <c r="BH285" s="19">
        <v>0</v>
      </c>
      <c r="BI285" s="19">
        <v>0</v>
      </c>
      <c r="BJ285" s="19">
        <v>0</v>
      </c>
      <c r="BK285" s="19">
        <v>0</v>
      </c>
      <c r="BL285" s="19">
        <v>0</v>
      </c>
      <c r="BM285" s="19">
        <v>0</v>
      </c>
      <c r="BN285" s="19">
        <v>0</v>
      </c>
      <c r="BO285" s="19">
        <v>0</v>
      </c>
      <c r="BP285" s="19">
        <v>0</v>
      </c>
      <c r="BQ285" s="19">
        <v>0</v>
      </c>
      <c r="BR285" s="19">
        <v>0</v>
      </c>
      <c r="BS285" s="19">
        <v>0</v>
      </c>
      <c r="BT285" s="19">
        <v>0</v>
      </c>
      <c r="BU285" s="19">
        <v>0</v>
      </c>
      <c r="BV285" s="19">
        <v>0</v>
      </c>
      <c r="BW285" s="19">
        <v>0</v>
      </c>
      <c r="BX285" s="19">
        <v>0</v>
      </c>
      <c r="BY285" s="19">
        <v>0</v>
      </c>
      <c r="BZ285" s="19">
        <v>0</v>
      </c>
      <c r="CA285" s="19">
        <v>0</v>
      </c>
      <c r="CB285" s="19">
        <v>0</v>
      </c>
      <c r="CC285" s="19">
        <v>0</v>
      </c>
      <c r="CD285" s="19">
        <v>0</v>
      </c>
      <c r="CE285" s="19">
        <v>0</v>
      </c>
      <c r="CF285" s="19">
        <v>0</v>
      </c>
      <c r="CG285" s="19">
        <v>0</v>
      </c>
      <c r="CH285" s="19">
        <v>0</v>
      </c>
      <c r="CI285" s="19">
        <v>0</v>
      </c>
      <c r="CJ285" s="19">
        <v>0</v>
      </c>
      <c r="CK285" s="19">
        <v>0</v>
      </c>
      <c r="CL285" s="19">
        <v>0</v>
      </c>
      <c r="CM285" s="19">
        <v>0</v>
      </c>
      <c r="CN285" s="19">
        <v>0</v>
      </c>
      <c r="CO285" s="19">
        <v>0</v>
      </c>
      <c r="CP285" s="19">
        <v>0</v>
      </c>
      <c r="CQ285" s="19">
        <v>0</v>
      </c>
      <c r="CR285" s="19">
        <v>0</v>
      </c>
      <c r="CS285" s="19">
        <v>0</v>
      </c>
      <c r="CT285" s="19">
        <v>0</v>
      </c>
      <c r="CU285" s="19">
        <v>0</v>
      </c>
      <c r="CV285" s="19">
        <v>0</v>
      </c>
      <c r="CW285" s="19">
        <v>0</v>
      </c>
      <c r="CX285" s="19">
        <v>0</v>
      </c>
      <c r="CY285" s="19">
        <v>0</v>
      </c>
      <c r="CZ285" s="19">
        <v>0</v>
      </c>
      <c r="DA285" s="19">
        <v>0</v>
      </c>
      <c r="DB285" s="19">
        <v>0</v>
      </c>
      <c r="DC285" s="19">
        <v>0</v>
      </c>
      <c r="DD285" s="19">
        <v>0</v>
      </c>
      <c r="DE285" s="19">
        <v>0</v>
      </c>
      <c r="DF285" s="19">
        <v>0</v>
      </c>
      <c r="DG285" s="19">
        <v>0</v>
      </c>
      <c r="DH285" s="19">
        <v>0</v>
      </c>
      <c r="DI285" s="19">
        <v>0</v>
      </c>
      <c r="DJ285" s="19">
        <v>0</v>
      </c>
      <c r="DK285" s="19">
        <v>0</v>
      </c>
      <c r="DL285" s="19">
        <v>0</v>
      </c>
      <c r="DM285" s="19">
        <v>0</v>
      </c>
      <c r="DN285" s="19">
        <v>0</v>
      </c>
      <c r="DO285" s="19">
        <v>0</v>
      </c>
      <c r="DP285" s="19">
        <v>0</v>
      </c>
      <c r="DQ285" s="19">
        <v>0</v>
      </c>
      <c r="DR285" s="19">
        <v>0</v>
      </c>
      <c r="DS285" s="19">
        <v>0</v>
      </c>
      <c r="DT285" s="19">
        <v>0</v>
      </c>
      <c r="DU285" s="19">
        <v>0</v>
      </c>
      <c r="DV285" s="19">
        <v>0</v>
      </c>
      <c r="DW285" s="19">
        <v>0</v>
      </c>
      <c r="DX285" s="19">
        <v>0</v>
      </c>
      <c r="DY285" s="19">
        <v>0</v>
      </c>
      <c r="DZ285" s="19">
        <v>0</v>
      </c>
      <c r="EA285" s="19">
        <v>0</v>
      </c>
      <c r="EB285" s="19">
        <v>0</v>
      </c>
      <c r="EC285" s="19">
        <v>0</v>
      </c>
      <c r="ED285" s="19">
        <v>0</v>
      </c>
      <c r="EE285" s="19">
        <v>0</v>
      </c>
      <c r="EF285" s="19">
        <v>0</v>
      </c>
      <c r="EG285" s="19">
        <v>0</v>
      </c>
      <c r="EH285" s="19">
        <v>0</v>
      </c>
      <c r="EI285" s="19">
        <v>0</v>
      </c>
      <c r="EJ285" s="19">
        <v>0</v>
      </c>
      <c r="EK285" s="19">
        <v>0</v>
      </c>
      <c r="EL285" s="19">
        <v>0</v>
      </c>
      <c r="EM285" s="19">
        <v>0</v>
      </c>
      <c r="EN285" s="19">
        <v>0</v>
      </c>
      <c r="EO285" s="19">
        <v>0</v>
      </c>
      <c r="EP285" s="19">
        <v>0</v>
      </c>
      <c r="EQ285" s="19">
        <v>0</v>
      </c>
      <c r="ER285" s="19">
        <v>0</v>
      </c>
      <c r="ES285" s="119">
        <v>0</v>
      </c>
      <c r="ET285" s="119">
        <v>0</v>
      </c>
    </row>
    <row r="286" spans="1:150" ht="16.5" customHeight="1" x14ac:dyDescent="0.35">
      <c r="A286" s="4">
        <v>210</v>
      </c>
      <c r="B286" s="4" t="str">
        <f>LOOKUP(A286,Lookup!$A$1:$A$34,Lookup!$B$1:$B$34)</f>
        <v>INGREDIENTS</v>
      </c>
      <c r="C286" s="5">
        <v>39500</v>
      </c>
      <c r="D286" s="6" t="s">
        <v>275</v>
      </c>
      <c r="E286" s="18">
        <v>0</v>
      </c>
      <c r="F286" s="18">
        <v>0</v>
      </c>
      <c r="G286" s="18">
        <v>0</v>
      </c>
      <c r="H286" s="18">
        <v>0</v>
      </c>
      <c r="I286" s="19">
        <v>0</v>
      </c>
      <c r="J286" s="19">
        <v>0</v>
      </c>
      <c r="K286" s="19">
        <v>0</v>
      </c>
      <c r="L286" s="19">
        <v>0</v>
      </c>
      <c r="M286" s="19">
        <v>0</v>
      </c>
      <c r="N286" s="19">
        <v>0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0</v>
      </c>
      <c r="AU286" s="19">
        <v>0</v>
      </c>
      <c r="AV286" s="19">
        <v>0</v>
      </c>
      <c r="AW286" s="19">
        <v>0</v>
      </c>
      <c r="AX286" s="19">
        <v>0</v>
      </c>
      <c r="AY286" s="19">
        <v>0</v>
      </c>
      <c r="AZ286" s="19">
        <v>0</v>
      </c>
      <c r="BA286" s="19">
        <v>0</v>
      </c>
      <c r="BB286" s="19">
        <v>0</v>
      </c>
      <c r="BC286" s="19">
        <v>0</v>
      </c>
      <c r="BD286" s="19">
        <v>0</v>
      </c>
      <c r="BE286" s="19">
        <v>0</v>
      </c>
      <c r="BF286" s="19">
        <v>0</v>
      </c>
      <c r="BG286" s="19">
        <v>0</v>
      </c>
      <c r="BH286" s="19">
        <v>0</v>
      </c>
      <c r="BI286" s="19">
        <v>0</v>
      </c>
      <c r="BJ286" s="19">
        <v>0</v>
      </c>
      <c r="BK286" s="19">
        <v>0</v>
      </c>
      <c r="BL286" s="19">
        <v>0</v>
      </c>
      <c r="BM286" s="19">
        <v>0</v>
      </c>
      <c r="BN286" s="19">
        <v>0</v>
      </c>
      <c r="BO286" s="19">
        <v>0</v>
      </c>
      <c r="BP286" s="19">
        <v>0</v>
      </c>
      <c r="BQ286" s="19">
        <v>0</v>
      </c>
      <c r="BR286" s="19">
        <v>0</v>
      </c>
      <c r="BS286" s="19">
        <v>0</v>
      </c>
      <c r="BT286" s="19">
        <v>0</v>
      </c>
      <c r="BU286" s="19">
        <v>0</v>
      </c>
      <c r="BV286" s="19">
        <v>0</v>
      </c>
      <c r="BW286" s="19">
        <v>0</v>
      </c>
      <c r="BX286" s="19">
        <v>0</v>
      </c>
      <c r="BY286" s="19">
        <v>0</v>
      </c>
      <c r="BZ286" s="19">
        <v>0</v>
      </c>
      <c r="CA286" s="19">
        <v>0</v>
      </c>
      <c r="CB286" s="19">
        <v>0</v>
      </c>
      <c r="CC286" s="19">
        <v>0</v>
      </c>
      <c r="CD286" s="19">
        <v>0</v>
      </c>
      <c r="CE286" s="19">
        <v>0</v>
      </c>
      <c r="CF286" s="19">
        <v>0</v>
      </c>
      <c r="CG286" s="19">
        <v>0</v>
      </c>
      <c r="CH286" s="19">
        <v>0</v>
      </c>
      <c r="CI286" s="19">
        <v>0</v>
      </c>
      <c r="CJ286" s="19">
        <v>0</v>
      </c>
      <c r="CK286" s="19">
        <v>0</v>
      </c>
      <c r="CL286" s="19">
        <v>0</v>
      </c>
      <c r="CM286" s="19">
        <v>0</v>
      </c>
      <c r="CN286" s="19">
        <v>0</v>
      </c>
      <c r="CO286" s="19">
        <v>0</v>
      </c>
      <c r="CP286" s="19">
        <v>0</v>
      </c>
      <c r="CQ286" s="19">
        <v>0</v>
      </c>
      <c r="CR286" s="19">
        <v>0</v>
      </c>
      <c r="CS286" s="19">
        <v>0</v>
      </c>
      <c r="CT286" s="19">
        <v>0</v>
      </c>
      <c r="CU286" s="19">
        <v>0</v>
      </c>
      <c r="CV286" s="19">
        <v>0</v>
      </c>
      <c r="CW286" s="19">
        <v>0</v>
      </c>
      <c r="CX286" s="19">
        <v>0</v>
      </c>
      <c r="CY286" s="19">
        <v>0</v>
      </c>
      <c r="CZ286" s="19">
        <v>0</v>
      </c>
      <c r="DA286" s="19">
        <v>0</v>
      </c>
      <c r="DB286" s="19">
        <v>0</v>
      </c>
      <c r="DC286" s="19">
        <v>0</v>
      </c>
      <c r="DD286" s="19">
        <v>0</v>
      </c>
      <c r="DE286" s="19">
        <v>0</v>
      </c>
      <c r="DF286" s="19">
        <v>0</v>
      </c>
      <c r="DG286" s="19">
        <v>0</v>
      </c>
      <c r="DH286" s="19">
        <v>0</v>
      </c>
      <c r="DI286" s="19">
        <v>0</v>
      </c>
      <c r="DJ286" s="19">
        <v>0</v>
      </c>
      <c r="DK286" s="19">
        <v>0</v>
      </c>
      <c r="DL286" s="19">
        <v>0</v>
      </c>
      <c r="DM286" s="19">
        <v>0</v>
      </c>
      <c r="DN286" s="19">
        <v>0</v>
      </c>
      <c r="DO286" s="19">
        <v>0</v>
      </c>
      <c r="DP286" s="19">
        <v>0</v>
      </c>
      <c r="DQ286" s="19">
        <v>0</v>
      </c>
      <c r="DR286" s="19">
        <v>0</v>
      </c>
      <c r="DS286" s="19">
        <v>0</v>
      </c>
      <c r="DT286" s="19">
        <v>0</v>
      </c>
      <c r="DU286" s="19">
        <v>0</v>
      </c>
      <c r="DV286" s="19">
        <v>0</v>
      </c>
      <c r="DW286" s="19">
        <v>0</v>
      </c>
      <c r="DX286" s="19">
        <v>0</v>
      </c>
      <c r="DY286" s="19">
        <v>0</v>
      </c>
      <c r="DZ286" s="19">
        <v>0</v>
      </c>
      <c r="EA286" s="19">
        <v>0</v>
      </c>
      <c r="EB286" s="19">
        <v>0</v>
      </c>
      <c r="EC286" s="19">
        <v>0</v>
      </c>
      <c r="ED286" s="19">
        <v>0</v>
      </c>
      <c r="EE286" s="19">
        <v>0</v>
      </c>
      <c r="EF286" s="19">
        <v>0</v>
      </c>
      <c r="EG286" s="19">
        <v>0</v>
      </c>
      <c r="EH286" s="19">
        <v>0</v>
      </c>
      <c r="EI286" s="19">
        <v>0</v>
      </c>
      <c r="EJ286" s="19">
        <v>0</v>
      </c>
      <c r="EK286" s="19">
        <v>0</v>
      </c>
      <c r="EL286" s="19">
        <v>0</v>
      </c>
      <c r="EM286" s="19">
        <v>0</v>
      </c>
      <c r="EN286" s="19">
        <v>0</v>
      </c>
      <c r="EO286" s="19">
        <v>0</v>
      </c>
      <c r="EP286" s="19">
        <v>0</v>
      </c>
      <c r="EQ286" s="19">
        <v>0</v>
      </c>
      <c r="ER286" s="19">
        <v>0</v>
      </c>
      <c r="ES286" s="119">
        <v>0</v>
      </c>
      <c r="ET286" s="119">
        <v>0</v>
      </c>
    </row>
    <row r="287" spans="1:150" ht="16.5" customHeight="1" x14ac:dyDescent="0.35">
      <c r="A287" s="4">
        <v>210</v>
      </c>
      <c r="B287" s="4" t="str">
        <f>LOOKUP(A287,Lookup!$A$1:$A$34,Lookup!$B$1:$B$34)</f>
        <v>INGREDIENTS</v>
      </c>
      <c r="C287" s="5">
        <v>39597</v>
      </c>
      <c r="D287" s="6" t="s">
        <v>276</v>
      </c>
      <c r="E287" s="18">
        <v>0</v>
      </c>
      <c r="F287" s="18">
        <v>0</v>
      </c>
      <c r="G287" s="18">
        <v>0</v>
      </c>
      <c r="H287" s="18">
        <v>0</v>
      </c>
      <c r="I287" s="19">
        <v>0</v>
      </c>
      <c r="J287" s="19">
        <v>0</v>
      </c>
      <c r="K287" s="19">
        <v>0</v>
      </c>
      <c r="L287" s="19">
        <v>0</v>
      </c>
      <c r="M287" s="19">
        <v>0</v>
      </c>
      <c r="N287" s="19">
        <v>0</v>
      </c>
      <c r="O287" s="19">
        <v>0</v>
      </c>
      <c r="P287" s="19">
        <v>0</v>
      </c>
      <c r="Q287" s="19">
        <v>0</v>
      </c>
      <c r="R287" s="19">
        <v>0</v>
      </c>
      <c r="S287" s="19">
        <v>0</v>
      </c>
      <c r="T287" s="19">
        <v>0</v>
      </c>
      <c r="U287" s="19">
        <v>0</v>
      </c>
      <c r="V287" s="19">
        <v>0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0</v>
      </c>
      <c r="AH287" s="19">
        <v>0</v>
      </c>
      <c r="AI287" s="19">
        <v>0</v>
      </c>
      <c r="AJ287" s="19">
        <v>0</v>
      </c>
      <c r="AK287" s="19">
        <v>0</v>
      </c>
      <c r="AL287" s="19">
        <v>0</v>
      </c>
      <c r="AM287" s="19">
        <v>0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0</v>
      </c>
      <c r="AT287" s="19">
        <v>0</v>
      </c>
      <c r="AU287" s="19">
        <v>0</v>
      </c>
      <c r="AV287" s="19">
        <v>0</v>
      </c>
      <c r="AW287" s="19">
        <v>0</v>
      </c>
      <c r="AX287" s="19">
        <v>0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>
        <v>0</v>
      </c>
      <c r="BE287" s="19">
        <v>0</v>
      </c>
      <c r="BF287" s="19">
        <v>0</v>
      </c>
      <c r="BG287" s="19">
        <v>0</v>
      </c>
      <c r="BH287" s="19">
        <v>0</v>
      </c>
      <c r="BI287" s="19">
        <v>0</v>
      </c>
      <c r="BJ287" s="19">
        <v>0</v>
      </c>
      <c r="BK287" s="19">
        <v>0</v>
      </c>
      <c r="BL287" s="19">
        <v>0</v>
      </c>
      <c r="BM287" s="19">
        <v>0</v>
      </c>
      <c r="BN287" s="19">
        <v>0</v>
      </c>
      <c r="BO287" s="19">
        <v>0</v>
      </c>
      <c r="BP287" s="19">
        <v>0</v>
      </c>
      <c r="BQ287" s="19">
        <v>0</v>
      </c>
      <c r="BR287" s="19">
        <v>0</v>
      </c>
      <c r="BS287" s="19">
        <v>0</v>
      </c>
      <c r="BT287" s="19">
        <v>0</v>
      </c>
      <c r="BU287" s="19">
        <v>0</v>
      </c>
      <c r="BV287" s="19">
        <v>0</v>
      </c>
      <c r="BW287" s="19">
        <v>0</v>
      </c>
      <c r="BX287" s="19">
        <v>0</v>
      </c>
      <c r="BY287" s="19">
        <v>0</v>
      </c>
      <c r="BZ287" s="19">
        <v>0</v>
      </c>
      <c r="CA287" s="19">
        <v>0</v>
      </c>
      <c r="CB287" s="19">
        <v>0</v>
      </c>
      <c r="CC287" s="19">
        <v>0</v>
      </c>
      <c r="CD287" s="19">
        <v>0</v>
      </c>
      <c r="CE287" s="19">
        <v>0</v>
      </c>
      <c r="CF287" s="19">
        <v>0</v>
      </c>
      <c r="CG287" s="19">
        <v>0</v>
      </c>
      <c r="CH287" s="19">
        <v>0</v>
      </c>
      <c r="CI287" s="19">
        <v>0</v>
      </c>
      <c r="CJ287" s="19">
        <v>0</v>
      </c>
      <c r="CK287" s="19">
        <v>0</v>
      </c>
      <c r="CL287" s="19">
        <v>0</v>
      </c>
      <c r="CM287" s="19">
        <v>0</v>
      </c>
      <c r="CN287" s="19">
        <v>0</v>
      </c>
      <c r="CO287" s="19">
        <v>0</v>
      </c>
      <c r="CP287" s="19">
        <v>0</v>
      </c>
      <c r="CQ287" s="19">
        <v>0</v>
      </c>
      <c r="CR287" s="19">
        <v>0</v>
      </c>
      <c r="CS287" s="19">
        <v>0</v>
      </c>
      <c r="CT287" s="19">
        <v>0</v>
      </c>
      <c r="CU287" s="19">
        <v>0</v>
      </c>
      <c r="CV287" s="19">
        <v>0</v>
      </c>
      <c r="CW287" s="19">
        <v>0</v>
      </c>
      <c r="CX287" s="19">
        <v>0</v>
      </c>
      <c r="CY287" s="19">
        <v>0</v>
      </c>
      <c r="CZ287" s="19">
        <v>0</v>
      </c>
      <c r="DA287" s="19">
        <v>0</v>
      </c>
      <c r="DB287" s="19">
        <v>0</v>
      </c>
      <c r="DC287" s="19">
        <v>0</v>
      </c>
      <c r="DD287" s="19">
        <v>0</v>
      </c>
      <c r="DE287" s="19">
        <v>0</v>
      </c>
      <c r="DF287" s="19">
        <v>0</v>
      </c>
      <c r="DG287" s="19">
        <v>0</v>
      </c>
      <c r="DH287" s="19">
        <v>0</v>
      </c>
      <c r="DI287" s="19">
        <v>0</v>
      </c>
      <c r="DJ287" s="19">
        <v>0</v>
      </c>
      <c r="DK287" s="19">
        <v>0</v>
      </c>
      <c r="DL287" s="19">
        <v>0</v>
      </c>
      <c r="DM287" s="19">
        <v>0</v>
      </c>
      <c r="DN287" s="19">
        <v>0</v>
      </c>
      <c r="DO287" s="19">
        <v>0</v>
      </c>
      <c r="DP287" s="19">
        <v>0</v>
      </c>
      <c r="DQ287" s="19">
        <v>0</v>
      </c>
      <c r="DR287" s="19">
        <v>0</v>
      </c>
      <c r="DS287" s="19">
        <v>0</v>
      </c>
      <c r="DT287" s="19">
        <v>0</v>
      </c>
      <c r="DU287" s="19">
        <v>0</v>
      </c>
      <c r="DV287" s="19">
        <v>0</v>
      </c>
      <c r="DW287" s="19">
        <v>0</v>
      </c>
      <c r="DX287" s="19">
        <v>0</v>
      </c>
      <c r="DY287" s="19">
        <v>0</v>
      </c>
      <c r="DZ287" s="19">
        <v>0</v>
      </c>
      <c r="EA287" s="19">
        <v>0</v>
      </c>
      <c r="EB287" s="19">
        <v>0</v>
      </c>
      <c r="EC287" s="19">
        <v>0</v>
      </c>
      <c r="ED287" s="19">
        <v>0</v>
      </c>
      <c r="EE287" s="19">
        <v>0</v>
      </c>
      <c r="EF287" s="19">
        <v>0</v>
      </c>
      <c r="EG287" s="19">
        <v>0</v>
      </c>
      <c r="EH287" s="19">
        <v>0</v>
      </c>
      <c r="EI287" s="19">
        <v>0</v>
      </c>
      <c r="EJ287" s="19">
        <v>0</v>
      </c>
      <c r="EK287" s="19">
        <v>0</v>
      </c>
      <c r="EL287" s="19">
        <v>0</v>
      </c>
      <c r="EM287" s="19">
        <v>0</v>
      </c>
      <c r="EN287" s="19">
        <v>0</v>
      </c>
      <c r="EO287" s="19">
        <v>0</v>
      </c>
      <c r="EP287" s="19">
        <v>0</v>
      </c>
      <c r="EQ287" s="19">
        <v>0</v>
      </c>
      <c r="ER287" s="19">
        <v>0</v>
      </c>
      <c r="ES287" s="119">
        <v>0</v>
      </c>
      <c r="ET287" s="119">
        <v>0</v>
      </c>
    </row>
    <row r="288" spans="1:150" ht="16.5" customHeight="1" x14ac:dyDescent="0.35">
      <c r="A288" s="4">
        <v>210</v>
      </c>
      <c r="B288" s="4" t="str">
        <f>LOOKUP(A288,Lookup!$A$1:$A$34,Lookup!$B$1:$B$34)</f>
        <v>INGREDIENTS</v>
      </c>
      <c r="C288" s="5">
        <v>39737</v>
      </c>
      <c r="D288" s="6" t="s">
        <v>277</v>
      </c>
      <c r="E288" s="18">
        <v>0</v>
      </c>
      <c r="F288" s="18">
        <v>0</v>
      </c>
      <c r="G288" s="18">
        <v>0</v>
      </c>
      <c r="H288" s="18">
        <v>0</v>
      </c>
      <c r="I288" s="19">
        <v>0</v>
      </c>
      <c r="J288" s="19">
        <v>0</v>
      </c>
      <c r="K288" s="19">
        <v>0</v>
      </c>
      <c r="L288" s="19">
        <v>0</v>
      </c>
      <c r="M288" s="19">
        <v>0</v>
      </c>
      <c r="N288" s="19">
        <v>0</v>
      </c>
      <c r="O288" s="19">
        <v>0</v>
      </c>
      <c r="P288" s="19">
        <v>0</v>
      </c>
      <c r="Q288" s="19">
        <v>0</v>
      </c>
      <c r="R288" s="19">
        <v>0</v>
      </c>
      <c r="S288" s="19">
        <v>0</v>
      </c>
      <c r="T288" s="19">
        <v>0</v>
      </c>
      <c r="U288" s="19">
        <v>0</v>
      </c>
      <c r="V288" s="19">
        <v>0</v>
      </c>
      <c r="W288" s="19">
        <v>0</v>
      </c>
      <c r="X288" s="19">
        <v>0</v>
      </c>
      <c r="Y288" s="19">
        <v>0</v>
      </c>
      <c r="Z288" s="19">
        <v>0</v>
      </c>
      <c r="AA288" s="19">
        <v>0</v>
      </c>
      <c r="AB288" s="19">
        <v>0</v>
      </c>
      <c r="AC288" s="19">
        <v>0</v>
      </c>
      <c r="AD288" s="19">
        <v>0</v>
      </c>
      <c r="AE288" s="19">
        <v>0</v>
      </c>
      <c r="AF288" s="19">
        <v>0</v>
      </c>
      <c r="AG288" s="19">
        <v>0</v>
      </c>
      <c r="AH288" s="19">
        <v>0</v>
      </c>
      <c r="AI288" s="19">
        <v>0</v>
      </c>
      <c r="AJ288" s="19">
        <v>0</v>
      </c>
      <c r="AK288" s="19">
        <v>0</v>
      </c>
      <c r="AL288" s="19">
        <v>0</v>
      </c>
      <c r="AM288" s="19">
        <v>0</v>
      </c>
      <c r="AN288" s="19">
        <v>0</v>
      </c>
      <c r="AO288" s="19">
        <v>0</v>
      </c>
      <c r="AP288" s="19">
        <v>0</v>
      </c>
      <c r="AQ288" s="19">
        <v>0</v>
      </c>
      <c r="AR288" s="19">
        <v>0</v>
      </c>
      <c r="AS288" s="19">
        <v>0</v>
      </c>
      <c r="AT288" s="19">
        <v>0</v>
      </c>
      <c r="AU288" s="19">
        <v>0</v>
      </c>
      <c r="AV288" s="19">
        <v>0</v>
      </c>
      <c r="AW288" s="19">
        <v>0</v>
      </c>
      <c r="AX288" s="19">
        <v>0</v>
      </c>
      <c r="AY288" s="19">
        <v>0</v>
      </c>
      <c r="AZ288" s="19">
        <v>0</v>
      </c>
      <c r="BA288" s="19">
        <v>0</v>
      </c>
      <c r="BB288" s="19">
        <v>0</v>
      </c>
      <c r="BC288" s="19">
        <v>0</v>
      </c>
      <c r="BD288" s="19">
        <v>0</v>
      </c>
      <c r="BE288" s="19">
        <v>0</v>
      </c>
      <c r="BF288" s="19">
        <v>0</v>
      </c>
      <c r="BG288" s="19">
        <v>0</v>
      </c>
      <c r="BH288" s="19">
        <v>0</v>
      </c>
      <c r="BI288" s="19">
        <v>0</v>
      </c>
      <c r="BJ288" s="19">
        <v>0</v>
      </c>
      <c r="BK288" s="19">
        <v>0</v>
      </c>
      <c r="BL288" s="19">
        <v>0</v>
      </c>
      <c r="BM288" s="19">
        <v>0</v>
      </c>
      <c r="BN288" s="19">
        <v>0</v>
      </c>
      <c r="BO288" s="19">
        <v>0</v>
      </c>
      <c r="BP288" s="19">
        <v>0</v>
      </c>
      <c r="BQ288" s="19">
        <v>0</v>
      </c>
      <c r="BR288" s="19">
        <v>0</v>
      </c>
      <c r="BS288" s="19">
        <v>0</v>
      </c>
      <c r="BT288" s="19">
        <v>0</v>
      </c>
      <c r="BU288" s="19">
        <v>0</v>
      </c>
      <c r="BV288" s="19">
        <v>0</v>
      </c>
      <c r="BW288" s="19">
        <v>0</v>
      </c>
      <c r="BX288" s="19">
        <v>0</v>
      </c>
      <c r="BY288" s="19">
        <v>0</v>
      </c>
      <c r="BZ288" s="19">
        <v>0</v>
      </c>
      <c r="CA288" s="19">
        <v>0</v>
      </c>
      <c r="CB288" s="19">
        <v>0</v>
      </c>
      <c r="CC288" s="19">
        <v>0</v>
      </c>
      <c r="CD288" s="19">
        <v>0</v>
      </c>
      <c r="CE288" s="19">
        <v>0</v>
      </c>
      <c r="CF288" s="19">
        <v>0</v>
      </c>
      <c r="CG288" s="19">
        <v>0</v>
      </c>
      <c r="CH288" s="19">
        <v>0</v>
      </c>
      <c r="CI288" s="19">
        <v>0</v>
      </c>
      <c r="CJ288" s="19">
        <v>0</v>
      </c>
      <c r="CK288" s="19">
        <v>0</v>
      </c>
      <c r="CL288" s="19">
        <v>0</v>
      </c>
      <c r="CM288" s="19">
        <v>0</v>
      </c>
      <c r="CN288" s="19">
        <v>0</v>
      </c>
      <c r="CO288" s="19">
        <v>0</v>
      </c>
      <c r="CP288" s="19">
        <v>0</v>
      </c>
      <c r="CQ288" s="19">
        <v>0</v>
      </c>
      <c r="CR288" s="19">
        <v>0</v>
      </c>
      <c r="CS288" s="19">
        <v>0</v>
      </c>
      <c r="CT288" s="19">
        <v>0</v>
      </c>
      <c r="CU288" s="19">
        <v>0</v>
      </c>
      <c r="CV288" s="19">
        <v>0</v>
      </c>
      <c r="CW288" s="19">
        <v>0</v>
      </c>
      <c r="CX288" s="19">
        <v>0</v>
      </c>
      <c r="CY288" s="19">
        <v>0</v>
      </c>
      <c r="CZ288" s="19">
        <v>0</v>
      </c>
      <c r="DA288" s="19">
        <v>0</v>
      </c>
      <c r="DB288" s="19">
        <v>0</v>
      </c>
      <c r="DC288" s="19">
        <v>0</v>
      </c>
      <c r="DD288" s="19">
        <v>0</v>
      </c>
      <c r="DE288" s="19">
        <v>0</v>
      </c>
      <c r="DF288" s="19">
        <v>0</v>
      </c>
      <c r="DG288" s="19">
        <v>0</v>
      </c>
      <c r="DH288" s="19">
        <v>0</v>
      </c>
      <c r="DI288" s="19">
        <v>0</v>
      </c>
      <c r="DJ288" s="19">
        <v>0</v>
      </c>
      <c r="DK288" s="19">
        <v>0</v>
      </c>
      <c r="DL288" s="19">
        <v>0</v>
      </c>
      <c r="DM288" s="19">
        <v>0</v>
      </c>
      <c r="DN288" s="19">
        <v>0</v>
      </c>
      <c r="DO288" s="19">
        <v>0</v>
      </c>
      <c r="DP288" s="19">
        <v>0</v>
      </c>
      <c r="DQ288" s="19">
        <v>0</v>
      </c>
      <c r="DR288" s="19">
        <v>0</v>
      </c>
      <c r="DS288" s="19">
        <v>0</v>
      </c>
      <c r="DT288" s="19">
        <v>0</v>
      </c>
      <c r="DU288" s="19">
        <v>0</v>
      </c>
      <c r="DV288" s="19">
        <v>0</v>
      </c>
      <c r="DW288" s="19">
        <v>0</v>
      </c>
      <c r="DX288" s="19">
        <v>0</v>
      </c>
      <c r="DY288" s="19">
        <v>0</v>
      </c>
      <c r="DZ288" s="19">
        <v>0</v>
      </c>
      <c r="EA288" s="19">
        <v>0</v>
      </c>
      <c r="EB288" s="19">
        <v>0</v>
      </c>
      <c r="EC288" s="19">
        <v>0</v>
      </c>
      <c r="ED288" s="19">
        <v>0</v>
      </c>
      <c r="EE288" s="19">
        <v>0</v>
      </c>
      <c r="EF288" s="19">
        <v>0</v>
      </c>
      <c r="EG288" s="19">
        <v>0</v>
      </c>
      <c r="EH288" s="19">
        <v>0</v>
      </c>
      <c r="EI288" s="19">
        <v>0</v>
      </c>
      <c r="EJ288" s="19">
        <v>0</v>
      </c>
      <c r="EK288" s="19">
        <v>0</v>
      </c>
      <c r="EL288" s="19">
        <v>0</v>
      </c>
      <c r="EM288" s="19">
        <v>0</v>
      </c>
      <c r="EN288" s="19">
        <v>0</v>
      </c>
      <c r="EO288" s="19">
        <v>0</v>
      </c>
      <c r="EP288" s="19">
        <v>0</v>
      </c>
      <c r="EQ288" s="19">
        <v>0</v>
      </c>
      <c r="ER288" s="19">
        <v>0</v>
      </c>
      <c r="ES288" s="119">
        <v>0</v>
      </c>
      <c r="ET288" s="119">
        <v>0</v>
      </c>
    </row>
    <row r="289" spans="1:150" ht="16.5" customHeight="1" x14ac:dyDescent="0.35">
      <c r="A289" s="4">
        <v>210</v>
      </c>
      <c r="B289" s="4" t="str">
        <f>LOOKUP(A289,Lookup!$A$1:$A$34,Lookup!$B$1:$B$34)</f>
        <v>INGREDIENTS</v>
      </c>
      <c r="C289" s="5">
        <v>39742</v>
      </c>
      <c r="D289" s="6" t="s">
        <v>278</v>
      </c>
      <c r="E289" s="18">
        <v>0</v>
      </c>
      <c r="F289" s="18">
        <v>0</v>
      </c>
      <c r="G289" s="18">
        <v>0</v>
      </c>
      <c r="H289" s="18">
        <v>0</v>
      </c>
      <c r="I289" s="19">
        <v>0</v>
      </c>
      <c r="J289" s="19">
        <v>0</v>
      </c>
      <c r="K289" s="19">
        <v>0</v>
      </c>
      <c r="L289" s="19">
        <v>0</v>
      </c>
      <c r="M289" s="19">
        <v>0</v>
      </c>
      <c r="N289" s="19">
        <v>0</v>
      </c>
      <c r="O289" s="19">
        <v>0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0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19">
        <v>0</v>
      </c>
      <c r="BC289" s="19">
        <v>0</v>
      </c>
      <c r="BD289" s="19">
        <v>0</v>
      </c>
      <c r="BE289" s="19">
        <v>0</v>
      </c>
      <c r="BF289" s="19">
        <v>0</v>
      </c>
      <c r="BG289" s="19">
        <v>0</v>
      </c>
      <c r="BH289" s="19">
        <v>0</v>
      </c>
      <c r="BI289" s="19">
        <v>0</v>
      </c>
      <c r="BJ289" s="19">
        <v>0</v>
      </c>
      <c r="BK289" s="19">
        <v>0</v>
      </c>
      <c r="BL289" s="19">
        <v>0</v>
      </c>
      <c r="BM289" s="19">
        <v>0</v>
      </c>
      <c r="BN289" s="19">
        <v>0</v>
      </c>
      <c r="BO289" s="19">
        <v>0</v>
      </c>
      <c r="BP289" s="19">
        <v>0</v>
      </c>
      <c r="BQ289" s="19">
        <v>0</v>
      </c>
      <c r="BR289" s="19">
        <v>0</v>
      </c>
      <c r="BS289" s="19">
        <v>0</v>
      </c>
      <c r="BT289" s="19">
        <v>0</v>
      </c>
      <c r="BU289" s="19">
        <v>0</v>
      </c>
      <c r="BV289" s="19">
        <v>0</v>
      </c>
      <c r="BW289" s="19">
        <v>0</v>
      </c>
      <c r="BX289" s="19">
        <v>0</v>
      </c>
      <c r="BY289" s="19">
        <v>0</v>
      </c>
      <c r="BZ289" s="19">
        <v>0</v>
      </c>
      <c r="CA289" s="19">
        <v>0</v>
      </c>
      <c r="CB289" s="19">
        <v>0</v>
      </c>
      <c r="CC289" s="19">
        <v>0</v>
      </c>
      <c r="CD289" s="19">
        <v>0</v>
      </c>
      <c r="CE289" s="19">
        <v>0</v>
      </c>
      <c r="CF289" s="19">
        <v>0</v>
      </c>
      <c r="CG289" s="19">
        <v>0</v>
      </c>
      <c r="CH289" s="19">
        <v>0</v>
      </c>
      <c r="CI289" s="19">
        <v>0</v>
      </c>
      <c r="CJ289" s="19">
        <v>0</v>
      </c>
      <c r="CK289" s="19">
        <v>0</v>
      </c>
      <c r="CL289" s="19">
        <v>0</v>
      </c>
      <c r="CM289" s="19">
        <v>0</v>
      </c>
      <c r="CN289" s="19">
        <v>0</v>
      </c>
      <c r="CO289" s="19">
        <v>0</v>
      </c>
      <c r="CP289" s="19">
        <v>0</v>
      </c>
      <c r="CQ289" s="19">
        <v>0</v>
      </c>
      <c r="CR289" s="19">
        <v>0</v>
      </c>
      <c r="CS289" s="19">
        <v>0</v>
      </c>
      <c r="CT289" s="19">
        <v>0</v>
      </c>
      <c r="CU289" s="19">
        <v>0</v>
      </c>
      <c r="CV289" s="19">
        <v>0</v>
      </c>
      <c r="CW289" s="19">
        <v>0</v>
      </c>
      <c r="CX289" s="19">
        <v>0</v>
      </c>
      <c r="CY289" s="19">
        <v>0</v>
      </c>
      <c r="CZ289" s="19">
        <v>0</v>
      </c>
      <c r="DA289" s="19">
        <v>0</v>
      </c>
      <c r="DB289" s="19">
        <v>0</v>
      </c>
      <c r="DC289" s="19">
        <v>0</v>
      </c>
      <c r="DD289" s="19">
        <v>0</v>
      </c>
      <c r="DE289" s="19">
        <v>0</v>
      </c>
      <c r="DF289" s="19">
        <v>0</v>
      </c>
      <c r="DG289" s="19">
        <v>0</v>
      </c>
      <c r="DH289" s="19">
        <v>0</v>
      </c>
      <c r="DI289" s="19">
        <v>0</v>
      </c>
      <c r="DJ289" s="19">
        <v>0</v>
      </c>
      <c r="DK289" s="19">
        <v>0</v>
      </c>
      <c r="DL289" s="19">
        <v>0</v>
      </c>
      <c r="DM289" s="19">
        <v>0</v>
      </c>
      <c r="DN289" s="19">
        <v>0</v>
      </c>
      <c r="DO289" s="19">
        <v>0</v>
      </c>
      <c r="DP289" s="19">
        <v>0</v>
      </c>
      <c r="DQ289" s="19">
        <v>0</v>
      </c>
      <c r="DR289" s="19">
        <v>0</v>
      </c>
      <c r="DS289" s="19">
        <v>0</v>
      </c>
      <c r="DT289" s="19">
        <v>0</v>
      </c>
      <c r="DU289" s="19">
        <v>0</v>
      </c>
      <c r="DV289" s="19">
        <v>0</v>
      </c>
      <c r="DW289" s="19">
        <v>0</v>
      </c>
      <c r="DX289" s="19">
        <v>0</v>
      </c>
      <c r="DY289" s="19">
        <v>0</v>
      </c>
      <c r="DZ289" s="19">
        <v>0</v>
      </c>
      <c r="EA289" s="19">
        <v>0</v>
      </c>
      <c r="EB289" s="19">
        <v>0</v>
      </c>
      <c r="EC289" s="19">
        <v>0</v>
      </c>
      <c r="ED289" s="19">
        <v>0</v>
      </c>
      <c r="EE289" s="19">
        <v>0</v>
      </c>
      <c r="EF289" s="19">
        <v>0</v>
      </c>
      <c r="EG289" s="19">
        <v>0</v>
      </c>
      <c r="EH289" s="19">
        <v>0</v>
      </c>
      <c r="EI289" s="19">
        <v>0</v>
      </c>
      <c r="EJ289" s="19">
        <v>0</v>
      </c>
      <c r="EK289" s="19">
        <v>0</v>
      </c>
      <c r="EL289" s="19">
        <v>0</v>
      </c>
      <c r="EM289" s="19">
        <v>0</v>
      </c>
      <c r="EN289" s="19">
        <v>0</v>
      </c>
      <c r="EO289" s="19">
        <v>0</v>
      </c>
      <c r="EP289" s="19">
        <v>0</v>
      </c>
      <c r="EQ289" s="19">
        <v>0</v>
      </c>
      <c r="ER289" s="19">
        <v>0</v>
      </c>
      <c r="ES289" s="119">
        <v>0</v>
      </c>
      <c r="ET289" s="119">
        <v>0</v>
      </c>
    </row>
    <row r="290" spans="1:150" ht="16.5" customHeight="1" x14ac:dyDescent="0.35">
      <c r="A290" s="4">
        <v>210</v>
      </c>
      <c r="B290" s="4" t="str">
        <f>LOOKUP(A290,Lookup!$A$1:$A$34,Lookup!$B$1:$B$34)</f>
        <v>INGREDIENTS</v>
      </c>
      <c r="C290" s="5">
        <v>39743</v>
      </c>
      <c r="D290" s="6" t="s">
        <v>279</v>
      </c>
      <c r="E290" s="18">
        <v>0</v>
      </c>
      <c r="F290" s="18">
        <v>0</v>
      </c>
      <c r="G290" s="18">
        <v>0</v>
      </c>
      <c r="H290" s="18">
        <v>0</v>
      </c>
      <c r="I290" s="19">
        <v>0</v>
      </c>
      <c r="J290" s="19">
        <v>0</v>
      </c>
      <c r="K290" s="19">
        <v>0</v>
      </c>
      <c r="L290" s="19">
        <v>0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0</v>
      </c>
      <c r="AO290" s="19">
        <v>0</v>
      </c>
      <c r="AP290" s="19">
        <v>0</v>
      </c>
      <c r="AQ290" s="19">
        <v>0</v>
      </c>
      <c r="AR290" s="19">
        <v>0</v>
      </c>
      <c r="AS290" s="19">
        <v>0</v>
      </c>
      <c r="AT290" s="19">
        <v>0</v>
      </c>
      <c r="AU290" s="19">
        <v>0</v>
      </c>
      <c r="AV290" s="19">
        <v>0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0</v>
      </c>
      <c r="BG290" s="19">
        <v>0</v>
      </c>
      <c r="BH290" s="19">
        <v>0</v>
      </c>
      <c r="BI290" s="19">
        <v>0</v>
      </c>
      <c r="BJ290" s="19">
        <v>0</v>
      </c>
      <c r="BK290" s="19">
        <v>0</v>
      </c>
      <c r="BL290" s="19">
        <v>0</v>
      </c>
      <c r="BM290" s="19">
        <v>0</v>
      </c>
      <c r="BN290" s="19">
        <v>0</v>
      </c>
      <c r="BO290" s="19">
        <v>0</v>
      </c>
      <c r="BP290" s="19">
        <v>0</v>
      </c>
      <c r="BQ290" s="19">
        <v>0</v>
      </c>
      <c r="BR290" s="19">
        <v>0</v>
      </c>
      <c r="BS290" s="19">
        <v>0</v>
      </c>
      <c r="BT290" s="19">
        <v>0</v>
      </c>
      <c r="BU290" s="19">
        <v>0</v>
      </c>
      <c r="BV290" s="19">
        <v>0</v>
      </c>
      <c r="BW290" s="19">
        <v>0</v>
      </c>
      <c r="BX290" s="19">
        <v>0</v>
      </c>
      <c r="BY290" s="19">
        <v>0</v>
      </c>
      <c r="BZ290" s="19">
        <v>0</v>
      </c>
      <c r="CA290" s="19">
        <v>0</v>
      </c>
      <c r="CB290" s="19">
        <v>0</v>
      </c>
      <c r="CC290" s="19">
        <v>0</v>
      </c>
      <c r="CD290" s="19">
        <v>0</v>
      </c>
      <c r="CE290" s="19">
        <v>0</v>
      </c>
      <c r="CF290" s="19">
        <v>0</v>
      </c>
      <c r="CG290" s="19">
        <v>0</v>
      </c>
      <c r="CH290" s="19">
        <v>0</v>
      </c>
      <c r="CI290" s="19">
        <v>0</v>
      </c>
      <c r="CJ290" s="19">
        <v>0</v>
      </c>
      <c r="CK290" s="19">
        <v>0</v>
      </c>
      <c r="CL290" s="19">
        <v>0</v>
      </c>
      <c r="CM290" s="19">
        <v>0</v>
      </c>
      <c r="CN290" s="19">
        <v>0</v>
      </c>
      <c r="CO290" s="19">
        <v>0</v>
      </c>
      <c r="CP290" s="19">
        <v>0</v>
      </c>
      <c r="CQ290" s="19">
        <v>0</v>
      </c>
      <c r="CR290" s="19">
        <v>0</v>
      </c>
      <c r="CS290" s="19">
        <v>0</v>
      </c>
      <c r="CT290" s="19">
        <v>0</v>
      </c>
      <c r="CU290" s="19">
        <v>0</v>
      </c>
      <c r="CV290" s="19">
        <v>0</v>
      </c>
      <c r="CW290" s="19">
        <v>0</v>
      </c>
      <c r="CX290" s="19">
        <v>0</v>
      </c>
      <c r="CY290" s="19">
        <v>0</v>
      </c>
      <c r="CZ290" s="19">
        <v>0</v>
      </c>
      <c r="DA290" s="19">
        <v>0</v>
      </c>
      <c r="DB290" s="19">
        <v>0</v>
      </c>
      <c r="DC290" s="19">
        <v>0</v>
      </c>
      <c r="DD290" s="19">
        <v>0</v>
      </c>
      <c r="DE290" s="19">
        <v>0</v>
      </c>
      <c r="DF290" s="19">
        <v>0</v>
      </c>
      <c r="DG290" s="19">
        <v>0</v>
      </c>
      <c r="DH290" s="19">
        <v>0</v>
      </c>
      <c r="DI290" s="19">
        <v>0</v>
      </c>
      <c r="DJ290" s="19">
        <v>0</v>
      </c>
      <c r="DK290" s="19">
        <v>0</v>
      </c>
      <c r="DL290" s="19">
        <v>0</v>
      </c>
      <c r="DM290" s="19">
        <v>0</v>
      </c>
      <c r="DN290" s="19">
        <v>0</v>
      </c>
      <c r="DO290" s="19">
        <v>0</v>
      </c>
      <c r="DP290" s="19">
        <v>0</v>
      </c>
      <c r="DQ290" s="19">
        <v>0</v>
      </c>
      <c r="DR290" s="19">
        <v>0</v>
      </c>
      <c r="DS290" s="19">
        <v>0</v>
      </c>
      <c r="DT290" s="19">
        <v>0</v>
      </c>
      <c r="DU290" s="19">
        <v>0</v>
      </c>
      <c r="DV290" s="19">
        <v>0</v>
      </c>
      <c r="DW290" s="19">
        <v>0</v>
      </c>
      <c r="DX290" s="19">
        <v>0</v>
      </c>
      <c r="DY290" s="19">
        <v>0</v>
      </c>
      <c r="DZ290" s="19">
        <v>0</v>
      </c>
      <c r="EA290" s="19">
        <v>0</v>
      </c>
      <c r="EB290" s="19">
        <v>0</v>
      </c>
      <c r="EC290" s="19">
        <v>0</v>
      </c>
      <c r="ED290" s="19">
        <v>0</v>
      </c>
      <c r="EE290" s="19">
        <v>0</v>
      </c>
      <c r="EF290" s="19">
        <v>0</v>
      </c>
      <c r="EG290" s="19">
        <v>0</v>
      </c>
      <c r="EH290" s="19">
        <v>0</v>
      </c>
      <c r="EI290" s="19">
        <v>0</v>
      </c>
      <c r="EJ290" s="19">
        <v>0</v>
      </c>
      <c r="EK290" s="19">
        <v>0</v>
      </c>
      <c r="EL290" s="19">
        <v>0</v>
      </c>
      <c r="EM290" s="19">
        <v>0</v>
      </c>
      <c r="EN290" s="19">
        <v>0</v>
      </c>
      <c r="EO290" s="19">
        <v>0</v>
      </c>
      <c r="EP290" s="19">
        <v>0</v>
      </c>
      <c r="EQ290" s="19">
        <v>0</v>
      </c>
      <c r="ER290" s="19">
        <v>0</v>
      </c>
      <c r="ES290" s="119">
        <v>0</v>
      </c>
      <c r="ET290" s="119">
        <v>0</v>
      </c>
    </row>
    <row r="291" spans="1:150" ht="16.5" customHeight="1" x14ac:dyDescent="0.35">
      <c r="A291" s="4">
        <v>210</v>
      </c>
      <c r="B291" s="4" t="str">
        <f>LOOKUP(A291,Lookup!$A$1:$A$34,Lookup!$B$1:$B$34)</f>
        <v>INGREDIENTS</v>
      </c>
      <c r="C291" s="5">
        <v>40199</v>
      </c>
      <c r="D291" s="6" t="s">
        <v>280</v>
      </c>
      <c r="E291" s="18">
        <v>0</v>
      </c>
      <c r="F291" s="18">
        <v>0</v>
      </c>
      <c r="G291" s="18">
        <v>0</v>
      </c>
      <c r="H291" s="18">
        <v>0</v>
      </c>
      <c r="I291" s="19">
        <v>0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v>0</v>
      </c>
      <c r="P291" s="19">
        <v>0</v>
      </c>
      <c r="Q291" s="19">
        <v>0</v>
      </c>
      <c r="R291" s="19">
        <v>0</v>
      </c>
      <c r="S291" s="19">
        <v>0</v>
      </c>
      <c r="T291" s="19">
        <v>0</v>
      </c>
      <c r="U291" s="19">
        <v>0</v>
      </c>
      <c r="V291" s="19">
        <v>0</v>
      </c>
      <c r="W291" s="19">
        <v>0</v>
      </c>
      <c r="X291" s="19">
        <v>0</v>
      </c>
      <c r="Y291" s="19">
        <v>0</v>
      </c>
      <c r="Z291" s="19">
        <v>0</v>
      </c>
      <c r="AA291" s="19">
        <v>0</v>
      </c>
      <c r="AB291" s="19">
        <v>0</v>
      </c>
      <c r="AC291" s="19">
        <v>0</v>
      </c>
      <c r="AD291" s="19">
        <v>0</v>
      </c>
      <c r="AE291" s="19">
        <v>0</v>
      </c>
      <c r="AF291" s="19">
        <v>0</v>
      </c>
      <c r="AG291" s="19">
        <v>0</v>
      </c>
      <c r="AH291" s="19">
        <v>0</v>
      </c>
      <c r="AI291" s="19">
        <v>0</v>
      </c>
      <c r="AJ291" s="19">
        <v>0</v>
      </c>
      <c r="AK291" s="19">
        <v>0</v>
      </c>
      <c r="AL291" s="19">
        <v>0</v>
      </c>
      <c r="AM291" s="19">
        <v>0</v>
      </c>
      <c r="AN291" s="19">
        <v>0</v>
      </c>
      <c r="AO291" s="19">
        <v>0</v>
      </c>
      <c r="AP291" s="19">
        <v>0</v>
      </c>
      <c r="AQ291" s="19">
        <v>0</v>
      </c>
      <c r="AR291" s="19">
        <v>0</v>
      </c>
      <c r="AS291" s="19">
        <v>0</v>
      </c>
      <c r="AT291" s="19">
        <v>0</v>
      </c>
      <c r="AU291" s="19">
        <v>0</v>
      </c>
      <c r="AV291" s="19">
        <v>0</v>
      </c>
      <c r="AW291" s="19">
        <v>0</v>
      </c>
      <c r="AX291" s="19">
        <v>0</v>
      </c>
      <c r="AY291" s="19">
        <v>0</v>
      </c>
      <c r="AZ291" s="19">
        <v>0</v>
      </c>
      <c r="BA291" s="19">
        <v>0</v>
      </c>
      <c r="BB291" s="19">
        <v>0</v>
      </c>
      <c r="BC291" s="19">
        <v>0</v>
      </c>
      <c r="BD291" s="19">
        <v>0</v>
      </c>
      <c r="BE291" s="19">
        <v>0</v>
      </c>
      <c r="BF291" s="19">
        <v>0</v>
      </c>
      <c r="BG291" s="19">
        <v>0</v>
      </c>
      <c r="BH291" s="19">
        <v>0</v>
      </c>
      <c r="BI291" s="19">
        <v>0</v>
      </c>
      <c r="BJ291" s="19">
        <v>0</v>
      </c>
      <c r="BK291" s="19">
        <v>0</v>
      </c>
      <c r="BL291" s="19">
        <v>0</v>
      </c>
      <c r="BM291" s="19">
        <v>0</v>
      </c>
      <c r="BN291" s="19">
        <v>0</v>
      </c>
      <c r="BO291" s="19">
        <v>0</v>
      </c>
      <c r="BP291" s="19">
        <v>0</v>
      </c>
      <c r="BQ291" s="19">
        <v>0</v>
      </c>
      <c r="BR291" s="19">
        <v>0</v>
      </c>
      <c r="BS291" s="19">
        <v>0</v>
      </c>
      <c r="BT291" s="19">
        <v>0</v>
      </c>
      <c r="BU291" s="19">
        <v>0</v>
      </c>
      <c r="BV291" s="19">
        <v>0</v>
      </c>
      <c r="BW291" s="19">
        <v>0</v>
      </c>
      <c r="BX291" s="19">
        <v>0</v>
      </c>
      <c r="BY291" s="19">
        <v>0</v>
      </c>
      <c r="BZ291" s="19">
        <v>0</v>
      </c>
      <c r="CA291" s="19">
        <v>0</v>
      </c>
      <c r="CB291" s="19">
        <v>0</v>
      </c>
      <c r="CC291" s="19">
        <v>0</v>
      </c>
      <c r="CD291" s="19">
        <v>0</v>
      </c>
      <c r="CE291" s="19">
        <v>0</v>
      </c>
      <c r="CF291" s="19">
        <v>0</v>
      </c>
      <c r="CG291" s="19">
        <v>0</v>
      </c>
      <c r="CH291" s="19">
        <v>0</v>
      </c>
      <c r="CI291" s="19">
        <v>0</v>
      </c>
      <c r="CJ291" s="19">
        <v>0</v>
      </c>
      <c r="CK291" s="19">
        <v>0</v>
      </c>
      <c r="CL291" s="19">
        <v>0</v>
      </c>
      <c r="CM291" s="19">
        <v>0</v>
      </c>
      <c r="CN291" s="19">
        <v>0</v>
      </c>
      <c r="CO291" s="19">
        <v>0</v>
      </c>
      <c r="CP291" s="19">
        <v>0</v>
      </c>
      <c r="CQ291" s="19">
        <v>0</v>
      </c>
      <c r="CR291" s="19">
        <v>0</v>
      </c>
      <c r="CS291" s="19">
        <v>0</v>
      </c>
      <c r="CT291" s="19">
        <v>0</v>
      </c>
      <c r="CU291" s="19">
        <v>0</v>
      </c>
      <c r="CV291" s="19">
        <v>0</v>
      </c>
      <c r="CW291" s="19">
        <v>0</v>
      </c>
      <c r="CX291" s="19">
        <v>0</v>
      </c>
      <c r="CY291" s="19">
        <v>0</v>
      </c>
      <c r="CZ291" s="19">
        <v>0</v>
      </c>
      <c r="DA291" s="19">
        <v>0</v>
      </c>
      <c r="DB291" s="19">
        <v>0</v>
      </c>
      <c r="DC291" s="19">
        <v>0</v>
      </c>
      <c r="DD291" s="19">
        <v>0</v>
      </c>
      <c r="DE291" s="19">
        <v>0</v>
      </c>
      <c r="DF291" s="19">
        <v>0</v>
      </c>
      <c r="DG291" s="19">
        <v>0</v>
      </c>
      <c r="DH291" s="19">
        <v>0</v>
      </c>
      <c r="DI291" s="19">
        <v>0</v>
      </c>
      <c r="DJ291" s="19">
        <v>0</v>
      </c>
      <c r="DK291" s="19">
        <v>0</v>
      </c>
      <c r="DL291" s="19">
        <v>0</v>
      </c>
      <c r="DM291" s="19">
        <v>0</v>
      </c>
      <c r="DN291" s="19">
        <v>0</v>
      </c>
      <c r="DO291" s="19">
        <v>0</v>
      </c>
      <c r="DP291" s="19">
        <v>0</v>
      </c>
      <c r="DQ291" s="19">
        <v>0</v>
      </c>
      <c r="DR291" s="19">
        <v>0</v>
      </c>
      <c r="DS291" s="19">
        <v>0</v>
      </c>
      <c r="DT291" s="19">
        <v>0</v>
      </c>
      <c r="DU291" s="19">
        <v>0</v>
      </c>
      <c r="DV291" s="19">
        <v>0</v>
      </c>
      <c r="DW291" s="19">
        <v>0</v>
      </c>
      <c r="DX291" s="19">
        <v>0</v>
      </c>
      <c r="DY291" s="19">
        <v>0</v>
      </c>
      <c r="DZ291" s="19">
        <v>0</v>
      </c>
      <c r="EA291" s="19">
        <v>0</v>
      </c>
      <c r="EB291" s="19">
        <v>0</v>
      </c>
      <c r="EC291" s="19">
        <v>0</v>
      </c>
      <c r="ED291" s="19">
        <v>0</v>
      </c>
      <c r="EE291" s="19">
        <v>0</v>
      </c>
      <c r="EF291" s="19">
        <v>0</v>
      </c>
      <c r="EG291" s="19">
        <v>0</v>
      </c>
      <c r="EH291" s="19">
        <v>0</v>
      </c>
      <c r="EI291" s="19">
        <v>0</v>
      </c>
      <c r="EJ291" s="19">
        <v>0</v>
      </c>
      <c r="EK291" s="19">
        <v>0</v>
      </c>
      <c r="EL291" s="19">
        <v>0</v>
      </c>
      <c r="EM291" s="19">
        <v>0</v>
      </c>
      <c r="EN291" s="19">
        <v>0</v>
      </c>
      <c r="EO291" s="19">
        <v>0</v>
      </c>
      <c r="EP291" s="19">
        <v>0</v>
      </c>
      <c r="EQ291" s="19">
        <v>0</v>
      </c>
      <c r="ER291" s="19">
        <v>0</v>
      </c>
      <c r="ES291" s="119">
        <v>0</v>
      </c>
      <c r="ET291" s="119">
        <v>0</v>
      </c>
    </row>
    <row r="292" spans="1:150" ht="16.5" customHeight="1" x14ac:dyDescent="0.35">
      <c r="A292" s="4">
        <v>210</v>
      </c>
      <c r="B292" s="4" t="str">
        <f>LOOKUP(A292,Lookup!$A$1:$A$34,Lookup!$B$1:$B$34)</f>
        <v>INGREDIENTS</v>
      </c>
      <c r="C292" s="5">
        <v>40200</v>
      </c>
      <c r="D292" s="6" t="s">
        <v>281</v>
      </c>
      <c r="E292" s="18">
        <v>0</v>
      </c>
      <c r="F292" s="18">
        <v>0</v>
      </c>
      <c r="G292" s="18">
        <v>0</v>
      </c>
      <c r="H292" s="18">
        <v>0</v>
      </c>
      <c r="I292" s="19">
        <v>0</v>
      </c>
      <c r="J292" s="19">
        <v>0</v>
      </c>
      <c r="K292" s="19">
        <v>0</v>
      </c>
      <c r="L292" s="19">
        <v>0</v>
      </c>
      <c r="M292" s="19">
        <v>0</v>
      </c>
      <c r="N292" s="19">
        <v>0</v>
      </c>
      <c r="O292" s="19">
        <v>0</v>
      </c>
      <c r="P292" s="19">
        <v>0</v>
      </c>
      <c r="Q292" s="19">
        <v>0</v>
      </c>
      <c r="R292" s="19">
        <v>0</v>
      </c>
      <c r="S292" s="19">
        <v>0</v>
      </c>
      <c r="T292" s="19">
        <v>0</v>
      </c>
      <c r="U292" s="19">
        <v>0</v>
      </c>
      <c r="V292" s="19">
        <v>0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0</v>
      </c>
      <c r="AH292" s="19">
        <v>0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v>0</v>
      </c>
      <c r="AO292" s="19">
        <v>0</v>
      </c>
      <c r="AP292" s="19">
        <v>0</v>
      </c>
      <c r="AQ292" s="19">
        <v>0</v>
      </c>
      <c r="AR292" s="19">
        <v>0</v>
      </c>
      <c r="AS292" s="19">
        <v>0</v>
      </c>
      <c r="AT292" s="19">
        <v>0</v>
      </c>
      <c r="AU292" s="19">
        <v>0</v>
      </c>
      <c r="AV292" s="19">
        <v>0</v>
      </c>
      <c r="AW292" s="19">
        <v>0</v>
      </c>
      <c r="AX292" s="19">
        <v>0</v>
      </c>
      <c r="AY292" s="19">
        <v>0</v>
      </c>
      <c r="AZ292" s="19">
        <v>0</v>
      </c>
      <c r="BA292" s="19">
        <v>0</v>
      </c>
      <c r="BB292" s="19">
        <v>0</v>
      </c>
      <c r="BC292" s="19">
        <v>0</v>
      </c>
      <c r="BD292" s="19">
        <v>0</v>
      </c>
      <c r="BE292" s="19">
        <v>0</v>
      </c>
      <c r="BF292" s="19">
        <v>0</v>
      </c>
      <c r="BG292" s="19">
        <v>0</v>
      </c>
      <c r="BH292" s="19">
        <v>0</v>
      </c>
      <c r="BI292" s="19">
        <v>0</v>
      </c>
      <c r="BJ292" s="19">
        <v>0</v>
      </c>
      <c r="BK292" s="19">
        <v>0</v>
      </c>
      <c r="BL292" s="19">
        <v>0</v>
      </c>
      <c r="BM292" s="19">
        <v>0</v>
      </c>
      <c r="BN292" s="19">
        <v>0</v>
      </c>
      <c r="BO292" s="19">
        <v>0</v>
      </c>
      <c r="BP292" s="19">
        <v>0</v>
      </c>
      <c r="BQ292" s="19">
        <v>0</v>
      </c>
      <c r="BR292" s="19">
        <v>0</v>
      </c>
      <c r="BS292" s="19">
        <v>0</v>
      </c>
      <c r="BT292" s="19">
        <v>0</v>
      </c>
      <c r="BU292" s="19">
        <v>0</v>
      </c>
      <c r="BV292" s="19">
        <v>0</v>
      </c>
      <c r="BW292" s="19">
        <v>0</v>
      </c>
      <c r="BX292" s="19">
        <v>0</v>
      </c>
      <c r="BY292" s="19">
        <v>0</v>
      </c>
      <c r="BZ292" s="19">
        <v>0</v>
      </c>
      <c r="CA292" s="19">
        <v>0</v>
      </c>
      <c r="CB292" s="19">
        <v>0</v>
      </c>
      <c r="CC292" s="19">
        <v>0</v>
      </c>
      <c r="CD292" s="19">
        <v>0</v>
      </c>
      <c r="CE292" s="19">
        <v>0</v>
      </c>
      <c r="CF292" s="19">
        <v>0</v>
      </c>
      <c r="CG292" s="19">
        <v>0</v>
      </c>
      <c r="CH292" s="19">
        <v>0</v>
      </c>
      <c r="CI292" s="19">
        <v>0</v>
      </c>
      <c r="CJ292" s="19">
        <v>0</v>
      </c>
      <c r="CK292" s="19">
        <v>0</v>
      </c>
      <c r="CL292" s="19">
        <v>0</v>
      </c>
      <c r="CM292" s="19">
        <v>0</v>
      </c>
      <c r="CN292" s="19">
        <v>0</v>
      </c>
      <c r="CO292" s="19">
        <v>0</v>
      </c>
      <c r="CP292" s="19">
        <v>0</v>
      </c>
      <c r="CQ292" s="19">
        <v>0</v>
      </c>
      <c r="CR292" s="19">
        <v>0</v>
      </c>
      <c r="CS292" s="19">
        <v>0</v>
      </c>
      <c r="CT292" s="19">
        <v>0</v>
      </c>
      <c r="CU292" s="19">
        <v>0</v>
      </c>
      <c r="CV292" s="19">
        <v>0</v>
      </c>
      <c r="CW292" s="19">
        <v>0</v>
      </c>
      <c r="CX292" s="19">
        <v>0</v>
      </c>
      <c r="CY292" s="19">
        <v>0</v>
      </c>
      <c r="CZ292" s="19">
        <v>0</v>
      </c>
      <c r="DA292" s="19">
        <v>0</v>
      </c>
      <c r="DB292" s="19">
        <v>0</v>
      </c>
      <c r="DC292" s="19">
        <v>0</v>
      </c>
      <c r="DD292" s="19">
        <v>0</v>
      </c>
      <c r="DE292" s="19">
        <v>0</v>
      </c>
      <c r="DF292" s="19">
        <v>0</v>
      </c>
      <c r="DG292" s="19">
        <v>0</v>
      </c>
      <c r="DH292" s="19">
        <v>0</v>
      </c>
      <c r="DI292" s="19">
        <v>0</v>
      </c>
      <c r="DJ292" s="19">
        <v>0</v>
      </c>
      <c r="DK292" s="19">
        <v>0</v>
      </c>
      <c r="DL292" s="19">
        <v>0</v>
      </c>
      <c r="DM292" s="19">
        <v>0</v>
      </c>
      <c r="DN292" s="19">
        <v>0</v>
      </c>
      <c r="DO292" s="19">
        <v>0</v>
      </c>
      <c r="DP292" s="19">
        <v>0</v>
      </c>
      <c r="DQ292" s="19">
        <v>0</v>
      </c>
      <c r="DR292" s="19">
        <v>0</v>
      </c>
      <c r="DS292" s="19">
        <v>0</v>
      </c>
      <c r="DT292" s="19">
        <v>0</v>
      </c>
      <c r="DU292" s="19">
        <v>0</v>
      </c>
      <c r="DV292" s="19">
        <v>0</v>
      </c>
      <c r="DW292" s="19">
        <v>0</v>
      </c>
      <c r="DX292" s="19">
        <v>0</v>
      </c>
      <c r="DY292" s="19">
        <v>0</v>
      </c>
      <c r="DZ292" s="19">
        <v>0</v>
      </c>
      <c r="EA292" s="19">
        <v>0</v>
      </c>
      <c r="EB292" s="19">
        <v>0</v>
      </c>
      <c r="EC292" s="19">
        <v>0</v>
      </c>
      <c r="ED292" s="19">
        <v>0</v>
      </c>
      <c r="EE292" s="19">
        <v>0</v>
      </c>
      <c r="EF292" s="19">
        <v>0</v>
      </c>
      <c r="EG292" s="19">
        <v>0</v>
      </c>
      <c r="EH292" s="19">
        <v>0</v>
      </c>
      <c r="EI292" s="19">
        <v>0</v>
      </c>
      <c r="EJ292" s="19">
        <v>0</v>
      </c>
      <c r="EK292" s="19">
        <v>0</v>
      </c>
      <c r="EL292" s="19">
        <v>0</v>
      </c>
      <c r="EM292" s="19">
        <v>0</v>
      </c>
      <c r="EN292" s="19">
        <v>0</v>
      </c>
      <c r="EO292" s="19">
        <v>0</v>
      </c>
      <c r="EP292" s="19">
        <v>0</v>
      </c>
      <c r="EQ292" s="19">
        <v>0</v>
      </c>
      <c r="ER292" s="19">
        <v>0</v>
      </c>
      <c r="ES292" s="119">
        <v>0</v>
      </c>
      <c r="ET292" s="119">
        <v>0</v>
      </c>
    </row>
    <row r="293" spans="1:150" ht="16.5" customHeight="1" x14ac:dyDescent="0.35">
      <c r="A293" s="4">
        <v>210</v>
      </c>
      <c r="B293" s="4" t="str">
        <f>LOOKUP(A293,Lookup!$A$1:$A$34,Lookup!$B$1:$B$34)</f>
        <v>INGREDIENTS</v>
      </c>
      <c r="C293" s="5">
        <v>40208</v>
      </c>
      <c r="D293" s="6" t="s">
        <v>282</v>
      </c>
      <c r="E293" s="18">
        <v>0</v>
      </c>
      <c r="F293" s="18">
        <v>0</v>
      </c>
      <c r="G293" s="18">
        <v>0</v>
      </c>
      <c r="H293" s="18">
        <v>0</v>
      </c>
      <c r="I293" s="19">
        <v>0</v>
      </c>
      <c r="J293" s="19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0</v>
      </c>
      <c r="P293" s="19">
        <v>0</v>
      </c>
      <c r="Q293" s="19">
        <v>0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>
        <v>0</v>
      </c>
      <c r="BE293" s="19">
        <v>0</v>
      </c>
      <c r="BF293" s="19">
        <v>0</v>
      </c>
      <c r="BG293" s="19">
        <v>0</v>
      </c>
      <c r="BH293" s="19">
        <v>0</v>
      </c>
      <c r="BI293" s="19">
        <v>0</v>
      </c>
      <c r="BJ293" s="19">
        <v>0</v>
      </c>
      <c r="BK293" s="19">
        <v>0</v>
      </c>
      <c r="BL293" s="19">
        <v>0</v>
      </c>
      <c r="BM293" s="19">
        <v>0</v>
      </c>
      <c r="BN293" s="19">
        <v>0</v>
      </c>
      <c r="BO293" s="19">
        <v>0</v>
      </c>
      <c r="BP293" s="19">
        <v>0</v>
      </c>
      <c r="BQ293" s="19">
        <v>0</v>
      </c>
      <c r="BR293" s="19">
        <v>0</v>
      </c>
      <c r="BS293" s="19">
        <v>0</v>
      </c>
      <c r="BT293" s="19">
        <v>0</v>
      </c>
      <c r="BU293" s="19">
        <v>0</v>
      </c>
      <c r="BV293" s="19">
        <v>0</v>
      </c>
      <c r="BW293" s="19">
        <v>0</v>
      </c>
      <c r="BX293" s="19">
        <v>0</v>
      </c>
      <c r="BY293" s="19">
        <v>0</v>
      </c>
      <c r="BZ293" s="19">
        <v>0</v>
      </c>
      <c r="CA293" s="19">
        <v>0</v>
      </c>
      <c r="CB293" s="19">
        <v>0</v>
      </c>
      <c r="CC293" s="19">
        <v>0</v>
      </c>
      <c r="CD293" s="19">
        <v>0</v>
      </c>
      <c r="CE293" s="19">
        <v>0</v>
      </c>
      <c r="CF293" s="19">
        <v>0</v>
      </c>
      <c r="CG293" s="19">
        <v>0</v>
      </c>
      <c r="CH293" s="19">
        <v>0</v>
      </c>
      <c r="CI293" s="19">
        <v>0</v>
      </c>
      <c r="CJ293" s="19">
        <v>0</v>
      </c>
      <c r="CK293" s="19">
        <v>0</v>
      </c>
      <c r="CL293" s="19">
        <v>0</v>
      </c>
      <c r="CM293" s="19">
        <v>0</v>
      </c>
      <c r="CN293" s="19">
        <v>0</v>
      </c>
      <c r="CO293" s="19">
        <v>0</v>
      </c>
      <c r="CP293" s="19">
        <v>0</v>
      </c>
      <c r="CQ293" s="19">
        <v>0</v>
      </c>
      <c r="CR293" s="19">
        <v>0</v>
      </c>
      <c r="CS293" s="19">
        <v>0</v>
      </c>
      <c r="CT293" s="19">
        <v>0</v>
      </c>
      <c r="CU293" s="19">
        <v>0</v>
      </c>
      <c r="CV293" s="19">
        <v>0</v>
      </c>
      <c r="CW293" s="19">
        <v>0</v>
      </c>
      <c r="CX293" s="19">
        <v>0</v>
      </c>
      <c r="CY293" s="19">
        <v>0</v>
      </c>
      <c r="CZ293" s="19">
        <v>0</v>
      </c>
      <c r="DA293" s="19">
        <v>0</v>
      </c>
      <c r="DB293" s="19">
        <v>0</v>
      </c>
      <c r="DC293" s="19">
        <v>0</v>
      </c>
      <c r="DD293" s="19">
        <v>0</v>
      </c>
      <c r="DE293" s="19">
        <v>0</v>
      </c>
      <c r="DF293" s="19">
        <v>0</v>
      </c>
      <c r="DG293" s="19">
        <v>0</v>
      </c>
      <c r="DH293" s="19">
        <v>0</v>
      </c>
      <c r="DI293" s="19">
        <v>0</v>
      </c>
      <c r="DJ293" s="19">
        <v>0</v>
      </c>
      <c r="DK293" s="19">
        <v>0</v>
      </c>
      <c r="DL293" s="19">
        <v>0</v>
      </c>
      <c r="DM293" s="19">
        <v>0</v>
      </c>
      <c r="DN293" s="19">
        <v>0</v>
      </c>
      <c r="DO293" s="19">
        <v>0</v>
      </c>
      <c r="DP293" s="19">
        <v>0</v>
      </c>
      <c r="DQ293" s="19">
        <v>0</v>
      </c>
      <c r="DR293" s="19">
        <v>0</v>
      </c>
      <c r="DS293" s="19">
        <v>0</v>
      </c>
      <c r="DT293" s="19">
        <v>0</v>
      </c>
      <c r="DU293" s="19">
        <v>0</v>
      </c>
      <c r="DV293" s="19">
        <v>0</v>
      </c>
      <c r="DW293" s="19">
        <v>0</v>
      </c>
      <c r="DX293" s="19">
        <v>0</v>
      </c>
      <c r="DY293" s="19">
        <v>0</v>
      </c>
      <c r="DZ293" s="19">
        <v>0</v>
      </c>
      <c r="EA293" s="19">
        <v>0</v>
      </c>
      <c r="EB293" s="19">
        <v>0</v>
      </c>
      <c r="EC293" s="19">
        <v>0</v>
      </c>
      <c r="ED293" s="19">
        <v>0</v>
      </c>
      <c r="EE293" s="19">
        <v>0</v>
      </c>
      <c r="EF293" s="19">
        <v>0</v>
      </c>
      <c r="EG293" s="19">
        <v>0</v>
      </c>
      <c r="EH293" s="19">
        <v>0</v>
      </c>
      <c r="EI293" s="19">
        <v>0</v>
      </c>
      <c r="EJ293" s="19">
        <v>0</v>
      </c>
      <c r="EK293" s="19">
        <v>0</v>
      </c>
      <c r="EL293" s="19">
        <v>0</v>
      </c>
      <c r="EM293" s="19">
        <v>0</v>
      </c>
      <c r="EN293" s="19">
        <v>0</v>
      </c>
      <c r="EO293" s="19">
        <v>0</v>
      </c>
      <c r="EP293" s="19">
        <v>0</v>
      </c>
      <c r="EQ293" s="19">
        <v>0</v>
      </c>
      <c r="ER293" s="19">
        <v>0</v>
      </c>
      <c r="ES293" s="119">
        <v>0</v>
      </c>
      <c r="ET293" s="119">
        <v>0</v>
      </c>
    </row>
    <row r="294" spans="1:150" ht="16.5" customHeight="1" x14ac:dyDescent="0.35">
      <c r="A294" s="4">
        <v>210</v>
      </c>
      <c r="B294" s="4" t="str">
        <f>LOOKUP(A294,Lookup!$A$1:$A$34,Lookup!$B$1:$B$34)</f>
        <v>INGREDIENTS</v>
      </c>
      <c r="C294" s="5">
        <v>40209</v>
      </c>
      <c r="D294" s="6" t="s">
        <v>283</v>
      </c>
      <c r="E294" s="18">
        <v>0</v>
      </c>
      <c r="F294" s="18">
        <v>0</v>
      </c>
      <c r="G294" s="18">
        <v>0</v>
      </c>
      <c r="H294" s="18">
        <v>0</v>
      </c>
      <c r="I294" s="19">
        <v>0</v>
      </c>
      <c r="J294" s="19">
        <v>0</v>
      </c>
      <c r="K294" s="19">
        <v>0</v>
      </c>
      <c r="L294" s="19">
        <v>0</v>
      </c>
      <c r="M294" s="19">
        <v>0</v>
      </c>
      <c r="N294" s="19">
        <v>0</v>
      </c>
      <c r="O294" s="19">
        <v>0</v>
      </c>
      <c r="P294" s="19">
        <v>0</v>
      </c>
      <c r="Q294" s="19">
        <v>0</v>
      </c>
      <c r="R294" s="19">
        <v>0</v>
      </c>
      <c r="S294" s="19">
        <v>0</v>
      </c>
      <c r="T294" s="19">
        <v>0</v>
      </c>
      <c r="U294" s="19">
        <v>0</v>
      </c>
      <c r="V294" s="19">
        <v>0</v>
      </c>
      <c r="W294" s="19">
        <v>0</v>
      </c>
      <c r="X294" s="19">
        <v>0</v>
      </c>
      <c r="Y294" s="19">
        <v>0</v>
      </c>
      <c r="Z294" s="19">
        <v>0</v>
      </c>
      <c r="AA294" s="19">
        <v>0</v>
      </c>
      <c r="AB294" s="19">
        <v>0</v>
      </c>
      <c r="AC294" s="19">
        <v>0</v>
      </c>
      <c r="AD294" s="19">
        <v>0</v>
      </c>
      <c r="AE294" s="19">
        <v>0</v>
      </c>
      <c r="AF294" s="19">
        <v>0</v>
      </c>
      <c r="AG294" s="19">
        <v>0</v>
      </c>
      <c r="AH294" s="19">
        <v>0</v>
      </c>
      <c r="AI294" s="19">
        <v>0</v>
      </c>
      <c r="AJ294" s="19">
        <v>0</v>
      </c>
      <c r="AK294" s="19">
        <v>0</v>
      </c>
      <c r="AL294" s="19">
        <v>0</v>
      </c>
      <c r="AM294" s="19">
        <v>0</v>
      </c>
      <c r="AN294" s="19">
        <v>0</v>
      </c>
      <c r="AO294" s="19">
        <v>0</v>
      </c>
      <c r="AP294" s="19">
        <v>0</v>
      </c>
      <c r="AQ294" s="19">
        <v>0</v>
      </c>
      <c r="AR294" s="19">
        <v>0</v>
      </c>
      <c r="AS294" s="19">
        <v>0</v>
      </c>
      <c r="AT294" s="19">
        <v>0</v>
      </c>
      <c r="AU294" s="19">
        <v>0</v>
      </c>
      <c r="AV294" s="19">
        <v>0</v>
      </c>
      <c r="AW294" s="19">
        <v>0</v>
      </c>
      <c r="AX294" s="19">
        <v>0</v>
      </c>
      <c r="AY294" s="19">
        <v>0</v>
      </c>
      <c r="AZ294" s="19">
        <v>0</v>
      </c>
      <c r="BA294" s="19">
        <v>0</v>
      </c>
      <c r="BB294" s="19">
        <v>0</v>
      </c>
      <c r="BC294" s="19">
        <v>0</v>
      </c>
      <c r="BD294" s="19">
        <v>0</v>
      </c>
      <c r="BE294" s="19">
        <v>0</v>
      </c>
      <c r="BF294" s="19">
        <v>0</v>
      </c>
      <c r="BG294" s="19">
        <v>0</v>
      </c>
      <c r="BH294" s="19">
        <v>0</v>
      </c>
      <c r="BI294" s="19">
        <v>0</v>
      </c>
      <c r="BJ294" s="19">
        <v>0</v>
      </c>
      <c r="BK294" s="19">
        <v>0</v>
      </c>
      <c r="BL294" s="19">
        <v>0</v>
      </c>
      <c r="BM294" s="19">
        <v>0</v>
      </c>
      <c r="BN294" s="19">
        <v>0</v>
      </c>
      <c r="BO294" s="19">
        <v>0</v>
      </c>
      <c r="BP294" s="19">
        <v>0</v>
      </c>
      <c r="BQ294" s="19">
        <v>0</v>
      </c>
      <c r="BR294" s="19">
        <v>0</v>
      </c>
      <c r="BS294" s="19">
        <v>0</v>
      </c>
      <c r="BT294" s="19">
        <v>0</v>
      </c>
      <c r="BU294" s="19">
        <v>0</v>
      </c>
      <c r="BV294" s="19">
        <v>0</v>
      </c>
      <c r="BW294" s="19">
        <v>0</v>
      </c>
      <c r="BX294" s="19">
        <v>0</v>
      </c>
      <c r="BY294" s="19">
        <v>0</v>
      </c>
      <c r="BZ294" s="19">
        <v>0</v>
      </c>
      <c r="CA294" s="19">
        <v>0</v>
      </c>
      <c r="CB294" s="19">
        <v>0</v>
      </c>
      <c r="CC294" s="19">
        <v>0</v>
      </c>
      <c r="CD294" s="19">
        <v>0</v>
      </c>
      <c r="CE294" s="19">
        <v>0</v>
      </c>
      <c r="CF294" s="19">
        <v>0</v>
      </c>
      <c r="CG294" s="19">
        <v>0</v>
      </c>
      <c r="CH294" s="19">
        <v>0</v>
      </c>
      <c r="CI294" s="19">
        <v>0</v>
      </c>
      <c r="CJ294" s="19">
        <v>0</v>
      </c>
      <c r="CK294" s="19">
        <v>0</v>
      </c>
      <c r="CL294" s="19">
        <v>0</v>
      </c>
      <c r="CM294" s="19">
        <v>0</v>
      </c>
      <c r="CN294" s="19">
        <v>0</v>
      </c>
      <c r="CO294" s="19">
        <v>0</v>
      </c>
      <c r="CP294" s="19">
        <v>0</v>
      </c>
      <c r="CQ294" s="19">
        <v>0</v>
      </c>
      <c r="CR294" s="19">
        <v>0</v>
      </c>
      <c r="CS294" s="19">
        <v>0</v>
      </c>
      <c r="CT294" s="19">
        <v>0</v>
      </c>
      <c r="CU294" s="19">
        <v>0</v>
      </c>
      <c r="CV294" s="19">
        <v>0</v>
      </c>
      <c r="CW294" s="19">
        <v>0</v>
      </c>
      <c r="CX294" s="19">
        <v>0</v>
      </c>
      <c r="CY294" s="19">
        <v>0</v>
      </c>
      <c r="CZ294" s="19">
        <v>0</v>
      </c>
      <c r="DA294" s="19">
        <v>0</v>
      </c>
      <c r="DB294" s="19">
        <v>0</v>
      </c>
      <c r="DC294" s="19">
        <v>0</v>
      </c>
      <c r="DD294" s="19">
        <v>0</v>
      </c>
      <c r="DE294" s="19">
        <v>0</v>
      </c>
      <c r="DF294" s="19">
        <v>0</v>
      </c>
      <c r="DG294" s="19">
        <v>0</v>
      </c>
      <c r="DH294" s="19">
        <v>0</v>
      </c>
      <c r="DI294" s="19">
        <v>0</v>
      </c>
      <c r="DJ294" s="19">
        <v>0</v>
      </c>
      <c r="DK294" s="19">
        <v>0</v>
      </c>
      <c r="DL294" s="19">
        <v>0</v>
      </c>
      <c r="DM294" s="19">
        <v>0</v>
      </c>
      <c r="DN294" s="19">
        <v>0</v>
      </c>
      <c r="DO294" s="19">
        <v>0</v>
      </c>
      <c r="DP294" s="19">
        <v>0</v>
      </c>
      <c r="DQ294" s="19">
        <v>0</v>
      </c>
      <c r="DR294" s="19">
        <v>0</v>
      </c>
      <c r="DS294" s="19">
        <v>0</v>
      </c>
      <c r="DT294" s="19">
        <v>0</v>
      </c>
      <c r="DU294" s="19">
        <v>0</v>
      </c>
      <c r="DV294" s="19">
        <v>0</v>
      </c>
      <c r="DW294" s="19">
        <v>0</v>
      </c>
      <c r="DX294" s="19">
        <v>0</v>
      </c>
      <c r="DY294" s="19">
        <v>0</v>
      </c>
      <c r="DZ294" s="19">
        <v>0</v>
      </c>
      <c r="EA294" s="19">
        <v>0</v>
      </c>
      <c r="EB294" s="19">
        <v>0</v>
      </c>
      <c r="EC294" s="19">
        <v>0</v>
      </c>
      <c r="ED294" s="19">
        <v>0</v>
      </c>
      <c r="EE294" s="19">
        <v>0</v>
      </c>
      <c r="EF294" s="19">
        <v>0</v>
      </c>
      <c r="EG294" s="19">
        <v>0</v>
      </c>
      <c r="EH294" s="19">
        <v>0</v>
      </c>
      <c r="EI294" s="19">
        <v>0</v>
      </c>
      <c r="EJ294" s="19">
        <v>0</v>
      </c>
      <c r="EK294" s="19">
        <v>0</v>
      </c>
      <c r="EL294" s="19">
        <v>0</v>
      </c>
      <c r="EM294" s="19">
        <v>0</v>
      </c>
      <c r="EN294" s="19">
        <v>0</v>
      </c>
      <c r="EO294" s="19">
        <v>0</v>
      </c>
      <c r="EP294" s="19">
        <v>0</v>
      </c>
      <c r="EQ294" s="19">
        <v>0</v>
      </c>
      <c r="ER294" s="19">
        <v>0</v>
      </c>
      <c r="ES294" s="119">
        <v>0</v>
      </c>
      <c r="ET294" s="119">
        <v>0</v>
      </c>
    </row>
    <row r="295" spans="1:150" ht="16.5" customHeight="1" x14ac:dyDescent="0.35">
      <c r="A295" s="4">
        <v>210</v>
      </c>
      <c r="B295" s="4" t="str">
        <f>LOOKUP(A295,Lookup!$A$1:$A$34,Lookup!$B$1:$B$34)</f>
        <v>INGREDIENTS</v>
      </c>
      <c r="C295" s="5">
        <v>40253</v>
      </c>
      <c r="D295" s="6" t="s">
        <v>284</v>
      </c>
      <c r="E295" s="18">
        <v>0</v>
      </c>
      <c r="F295" s="18">
        <v>0</v>
      </c>
      <c r="G295" s="18">
        <v>0</v>
      </c>
      <c r="H295" s="18">
        <v>0</v>
      </c>
      <c r="I295" s="19">
        <v>0</v>
      </c>
      <c r="J295" s="19">
        <v>0</v>
      </c>
      <c r="K295" s="19">
        <v>0</v>
      </c>
      <c r="L295" s="19">
        <v>0</v>
      </c>
      <c r="M295" s="19">
        <v>0</v>
      </c>
      <c r="N295" s="19">
        <v>0</v>
      </c>
      <c r="O295" s="19">
        <v>0</v>
      </c>
      <c r="P295" s="19">
        <v>0</v>
      </c>
      <c r="Q295" s="19">
        <v>0</v>
      </c>
      <c r="R295" s="19">
        <v>0</v>
      </c>
      <c r="S295" s="19">
        <v>0</v>
      </c>
      <c r="T295" s="19">
        <v>0</v>
      </c>
      <c r="U295" s="19">
        <v>0</v>
      </c>
      <c r="V295" s="19">
        <v>0</v>
      </c>
      <c r="W295" s="19">
        <v>0</v>
      </c>
      <c r="X295" s="19">
        <v>0</v>
      </c>
      <c r="Y295" s="19">
        <v>0</v>
      </c>
      <c r="Z295" s="19">
        <v>0</v>
      </c>
      <c r="AA295" s="19">
        <v>0</v>
      </c>
      <c r="AB295" s="19">
        <v>0</v>
      </c>
      <c r="AC295" s="19">
        <v>0</v>
      </c>
      <c r="AD295" s="19">
        <v>0</v>
      </c>
      <c r="AE295" s="19">
        <v>0</v>
      </c>
      <c r="AF295" s="19">
        <v>0</v>
      </c>
      <c r="AG295" s="19">
        <v>0</v>
      </c>
      <c r="AH295" s="19">
        <v>0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0</v>
      </c>
      <c r="AO295" s="19">
        <v>0</v>
      </c>
      <c r="AP295" s="19">
        <v>0</v>
      </c>
      <c r="AQ295" s="19">
        <v>0</v>
      </c>
      <c r="AR295" s="19">
        <v>0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0</v>
      </c>
      <c r="BA295" s="19">
        <v>0</v>
      </c>
      <c r="BB295" s="19">
        <v>0</v>
      </c>
      <c r="BC295" s="19">
        <v>0</v>
      </c>
      <c r="BD295" s="19">
        <v>0</v>
      </c>
      <c r="BE295" s="19">
        <v>0</v>
      </c>
      <c r="BF295" s="19">
        <v>0</v>
      </c>
      <c r="BG295" s="19">
        <v>0</v>
      </c>
      <c r="BH295" s="19">
        <v>0</v>
      </c>
      <c r="BI295" s="19">
        <v>0</v>
      </c>
      <c r="BJ295" s="19">
        <v>0</v>
      </c>
      <c r="BK295" s="19">
        <v>0</v>
      </c>
      <c r="BL295" s="19">
        <v>0</v>
      </c>
      <c r="BM295" s="19">
        <v>0</v>
      </c>
      <c r="BN295" s="19">
        <v>0</v>
      </c>
      <c r="BO295" s="19">
        <v>0</v>
      </c>
      <c r="BP295" s="19">
        <v>0</v>
      </c>
      <c r="BQ295" s="19">
        <v>0</v>
      </c>
      <c r="BR295" s="19">
        <v>0</v>
      </c>
      <c r="BS295" s="19">
        <v>0</v>
      </c>
      <c r="BT295" s="19">
        <v>0</v>
      </c>
      <c r="BU295" s="19">
        <v>0</v>
      </c>
      <c r="BV295" s="19">
        <v>0</v>
      </c>
      <c r="BW295" s="19">
        <v>0</v>
      </c>
      <c r="BX295" s="19">
        <v>0</v>
      </c>
      <c r="BY295" s="19">
        <v>0</v>
      </c>
      <c r="BZ295" s="19">
        <v>0</v>
      </c>
      <c r="CA295" s="19">
        <v>0</v>
      </c>
      <c r="CB295" s="19">
        <v>0</v>
      </c>
      <c r="CC295" s="19">
        <v>0</v>
      </c>
      <c r="CD295" s="19">
        <v>0</v>
      </c>
      <c r="CE295" s="19">
        <v>0</v>
      </c>
      <c r="CF295" s="19">
        <v>0</v>
      </c>
      <c r="CG295" s="19">
        <v>0</v>
      </c>
      <c r="CH295" s="19">
        <v>0</v>
      </c>
      <c r="CI295" s="19">
        <v>0</v>
      </c>
      <c r="CJ295" s="19">
        <v>0</v>
      </c>
      <c r="CK295" s="19">
        <v>0</v>
      </c>
      <c r="CL295" s="19">
        <v>0</v>
      </c>
      <c r="CM295" s="19">
        <v>0</v>
      </c>
      <c r="CN295" s="19">
        <v>0</v>
      </c>
      <c r="CO295" s="19">
        <v>0</v>
      </c>
      <c r="CP295" s="19">
        <v>0</v>
      </c>
      <c r="CQ295" s="19">
        <v>0</v>
      </c>
      <c r="CR295" s="19">
        <v>0</v>
      </c>
      <c r="CS295" s="19">
        <v>0</v>
      </c>
      <c r="CT295" s="19">
        <v>0</v>
      </c>
      <c r="CU295" s="19">
        <v>0</v>
      </c>
      <c r="CV295" s="19">
        <v>0</v>
      </c>
      <c r="CW295" s="19">
        <v>0</v>
      </c>
      <c r="CX295" s="19">
        <v>0</v>
      </c>
      <c r="CY295" s="19">
        <v>0</v>
      </c>
      <c r="CZ295" s="19">
        <v>0</v>
      </c>
      <c r="DA295" s="19">
        <v>0</v>
      </c>
      <c r="DB295" s="19">
        <v>0</v>
      </c>
      <c r="DC295" s="19">
        <v>0</v>
      </c>
      <c r="DD295" s="19">
        <v>0</v>
      </c>
      <c r="DE295" s="19">
        <v>0</v>
      </c>
      <c r="DF295" s="19">
        <v>0</v>
      </c>
      <c r="DG295" s="19">
        <v>0</v>
      </c>
      <c r="DH295" s="19">
        <v>0</v>
      </c>
      <c r="DI295" s="19">
        <v>0</v>
      </c>
      <c r="DJ295" s="19">
        <v>0</v>
      </c>
      <c r="DK295" s="19">
        <v>0</v>
      </c>
      <c r="DL295" s="19">
        <v>0</v>
      </c>
      <c r="DM295" s="19">
        <v>0</v>
      </c>
      <c r="DN295" s="19">
        <v>0</v>
      </c>
      <c r="DO295" s="19">
        <v>0</v>
      </c>
      <c r="DP295" s="19">
        <v>0</v>
      </c>
      <c r="DQ295" s="19">
        <v>0</v>
      </c>
      <c r="DR295" s="19">
        <v>0</v>
      </c>
      <c r="DS295" s="19">
        <v>0</v>
      </c>
      <c r="DT295" s="19">
        <v>0</v>
      </c>
      <c r="DU295" s="19">
        <v>0</v>
      </c>
      <c r="DV295" s="19">
        <v>0</v>
      </c>
      <c r="DW295" s="19">
        <v>0</v>
      </c>
      <c r="DX295" s="19">
        <v>0</v>
      </c>
      <c r="DY295" s="19">
        <v>0</v>
      </c>
      <c r="DZ295" s="19">
        <v>0</v>
      </c>
      <c r="EA295" s="19">
        <v>0</v>
      </c>
      <c r="EB295" s="19">
        <v>0</v>
      </c>
      <c r="EC295" s="19">
        <v>0</v>
      </c>
      <c r="ED295" s="19">
        <v>0</v>
      </c>
      <c r="EE295" s="19">
        <v>0</v>
      </c>
      <c r="EF295" s="19">
        <v>0</v>
      </c>
      <c r="EG295" s="19">
        <v>0</v>
      </c>
      <c r="EH295" s="19">
        <v>0</v>
      </c>
      <c r="EI295" s="19">
        <v>0</v>
      </c>
      <c r="EJ295" s="19">
        <v>0</v>
      </c>
      <c r="EK295" s="19">
        <v>0</v>
      </c>
      <c r="EL295" s="19">
        <v>0</v>
      </c>
      <c r="EM295" s="19">
        <v>0</v>
      </c>
      <c r="EN295" s="19">
        <v>0</v>
      </c>
      <c r="EO295" s="19">
        <v>0</v>
      </c>
      <c r="EP295" s="19">
        <v>0</v>
      </c>
      <c r="EQ295" s="19">
        <v>0</v>
      </c>
      <c r="ER295" s="19">
        <v>0</v>
      </c>
      <c r="ES295" s="119">
        <v>0</v>
      </c>
      <c r="ET295" s="119">
        <v>0</v>
      </c>
    </row>
    <row r="296" spans="1:150" ht="16.5" customHeight="1" x14ac:dyDescent="0.35">
      <c r="A296" s="4">
        <v>210</v>
      </c>
      <c r="B296" s="4" t="str">
        <f>LOOKUP(A296,Lookup!$A$1:$A$34,Lookup!$B$1:$B$34)</f>
        <v>INGREDIENTS</v>
      </c>
      <c r="C296" s="5">
        <v>40361</v>
      </c>
      <c r="D296" s="6" t="s">
        <v>285</v>
      </c>
      <c r="E296" s="18">
        <v>0</v>
      </c>
      <c r="F296" s="18">
        <v>0</v>
      </c>
      <c r="G296" s="18">
        <v>0</v>
      </c>
      <c r="H296" s="18">
        <v>0</v>
      </c>
      <c r="I296" s="19">
        <v>0</v>
      </c>
      <c r="J296" s="19">
        <v>0</v>
      </c>
      <c r="K296" s="19">
        <v>0</v>
      </c>
      <c r="L296" s="19">
        <v>0</v>
      </c>
      <c r="M296" s="19">
        <v>0</v>
      </c>
      <c r="N296" s="19">
        <v>0</v>
      </c>
      <c r="O296" s="19">
        <v>0</v>
      </c>
      <c r="P296" s="19">
        <v>0</v>
      </c>
      <c r="Q296" s="19">
        <v>0</v>
      </c>
      <c r="R296" s="19">
        <v>0</v>
      </c>
      <c r="S296" s="19">
        <v>0</v>
      </c>
      <c r="T296" s="19">
        <v>0</v>
      </c>
      <c r="U296" s="19">
        <v>0</v>
      </c>
      <c r="V296" s="19">
        <v>0</v>
      </c>
      <c r="W296" s="19">
        <v>0</v>
      </c>
      <c r="X296" s="19">
        <v>0</v>
      </c>
      <c r="Y296" s="19">
        <v>0</v>
      </c>
      <c r="Z296" s="19">
        <v>0</v>
      </c>
      <c r="AA296" s="19">
        <v>0</v>
      </c>
      <c r="AB296" s="19">
        <v>0</v>
      </c>
      <c r="AC296" s="19">
        <v>0</v>
      </c>
      <c r="AD296" s="19">
        <v>0</v>
      </c>
      <c r="AE296" s="19">
        <v>0</v>
      </c>
      <c r="AF296" s="19">
        <v>0</v>
      </c>
      <c r="AG296" s="19">
        <v>0</v>
      </c>
      <c r="AH296" s="19">
        <v>0</v>
      </c>
      <c r="AI296" s="19">
        <v>0</v>
      </c>
      <c r="AJ296" s="19">
        <v>0</v>
      </c>
      <c r="AK296" s="19">
        <v>0</v>
      </c>
      <c r="AL296" s="19">
        <v>0</v>
      </c>
      <c r="AM296" s="19">
        <v>0</v>
      </c>
      <c r="AN296" s="19">
        <v>0</v>
      </c>
      <c r="AO296" s="19">
        <v>0</v>
      </c>
      <c r="AP296" s="19">
        <v>0</v>
      </c>
      <c r="AQ296" s="19">
        <v>0</v>
      </c>
      <c r="AR296" s="19">
        <v>0</v>
      </c>
      <c r="AS296" s="19">
        <v>0</v>
      </c>
      <c r="AT296" s="19">
        <v>0</v>
      </c>
      <c r="AU296" s="19">
        <v>0</v>
      </c>
      <c r="AV296" s="19">
        <v>0</v>
      </c>
      <c r="AW296" s="19">
        <v>0</v>
      </c>
      <c r="AX296" s="19">
        <v>0</v>
      </c>
      <c r="AY296" s="19">
        <v>0</v>
      </c>
      <c r="AZ296" s="19">
        <v>0</v>
      </c>
      <c r="BA296" s="19">
        <v>0</v>
      </c>
      <c r="BB296" s="19">
        <v>0</v>
      </c>
      <c r="BC296" s="19">
        <v>0</v>
      </c>
      <c r="BD296" s="19">
        <v>0</v>
      </c>
      <c r="BE296" s="19">
        <v>0</v>
      </c>
      <c r="BF296" s="19">
        <v>0</v>
      </c>
      <c r="BG296" s="19">
        <v>0</v>
      </c>
      <c r="BH296" s="19">
        <v>0</v>
      </c>
      <c r="BI296" s="19">
        <v>0</v>
      </c>
      <c r="BJ296" s="19">
        <v>0</v>
      </c>
      <c r="BK296" s="19">
        <v>0</v>
      </c>
      <c r="BL296" s="19">
        <v>0</v>
      </c>
      <c r="BM296" s="19">
        <v>0</v>
      </c>
      <c r="BN296" s="19">
        <v>0</v>
      </c>
      <c r="BO296" s="19">
        <v>0</v>
      </c>
      <c r="BP296" s="19">
        <v>0</v>
      </c>
      <c r="BQ296" s="19">
        <v>0</v>
      </c>
      <c r="BR296" s="19">
        <v>0</v>
      </c>
      <c r="BS296" s="19">
        <v>0</v>
      </c>
      <c r="BT296" s="19">
        <v>0</v>
      </c>
      <c r="BU296" s="19">
        <v>0</v>
      </c>
      <c r="BV296" s="19">
        <v>0</v>
      </c>
      <c r="BW296" s="19">
        <v>0</v>
      </c>
      <c r="BX296" s="19">
        <v>0</v>
      </c>
      <c r="BY296" s="19">
        <v>0</v>
      </c>
      <c r="BZ296" s="19">
        <v>0</v>
      </c>
      <c r="CA296" s="19">
        <v>0</v>
      </c>
      <c r="CB296" s="19">
        <v>0</v>
      </c>
      <c r="CC296" s="19">
        <v>0</v>
      </c>
      <c r="CD296" s="19">
        <v>0</v>
      </c>
      <c r="CE296" s="19">
        <v>0</v>
      </c>
      <c r="CF296" s="19">
        <v>0</v>
      </c>
      <c r="CG296" s="19">
        <v>0</v>
      </c>
      <c r="CH296" s="19">
        <v>0</v>
      </c>
      <c r="CI296" s="19">
        <v>0</v>
      </c>
      <c r="CJ296" s="19">
        <v>0</v>
      </c>
      <c r="CK296" s="19">
        <v>0</v>
      </c>
      <c r="CL296" s="19">
        <v>0</v>
      </c>
      <c r="CM296" s="19">
        <v>0</v>
      </c>
      <c r="CN296" s="19">
        <v>0</v>
      </c>
      <c r="CO296" s="19">
        <v>0</v>
      </c>
      <c r="CP296" s="19">
        <v>0</v>
      </c>
      <c r="CQ296" s="19">
        <v>0</v>
      </c>
      <c r="CR296" s="19">
        <v>0</v>
      </c>
      <c r="CS296" s="19">
        <v>0</v>
      </c>
      <c r="CT296" s="19">
        <v>0</v>
      </c>
      <c r="CU296" s="19">
        <v>0</v>
      </c>
      <c r="CV296" s="19">
        <v>0</v>
      </c>
      <c r="CW296" s="19">
        <v>0</v>
      </c>
      <c r="CX296" s="19">
        <v>0</v>
      </c>
      <c r="CY296" s="19">
        <v>0</v>
      </c>
      <c r="CZ296" s="19">
        <v>0</v>
      </c>
      <c r="DA296" s="19">
        <v>0</v>
      </c>
      <c r="DB296" s="19">
        <v>0</v>
      </c>
      <c r="DC296" s="19">
        <v>0</v>
      </c>
      <c r="DD296" s="19">
        <v>0</v>
      </c>
      <c r="DE296" s="19">
        <v>0</v>
      </c>
      <c r="DF296" s="19">
        <v>0</v>
      </c>
      <c r="DG296" s="19">
        <v>0</v>
      </c>
      <c r="DH296" s="19">
        <v>0</v>
      </c>
      <c r="DI296" s="19">
        <v>0</v>
      </c>
      <c r="DJ296" s="19">
        <v>0</v>
      </c>
      <c r="DK296" s="19">
        <v>0</v>
      </c>
      <c r="DL296" s="19">
        <v>0</v>
      </c>
      <c r="DM296" s="19">
        <v>0</v>
      </c>
      <c r="DN296" s="19">
        <v>0</v>
      </c>
      <c r="DO296" s="19">
        <v>0</v>
      </c>
      <c r="DP296" s="19">
        <v>0</v>
      </c>
      <c r="DQ296" s="19">
        <v>0</v>
      </c>
      <c r="DR296" s="19">
        <v>0</v>
      </c>
      <c r="DS296" s="19">
        <v>0</v>
      </c>
      <c r="DT296" s="19">
        <v>0</v>
      </c>
      <c r="DU296" s="19">
        <v>0</v>
      </c>
      <c r="DV296" s="19">
        <v>0</v>
      </c>
      <c r="DW296" s="19">
        <v>0</v>
      </c>
      <c r="DX296" s="19">
        <v>0</v>
      </c>
      <c r="DY296" s="19">
        <v>0</v>
      </c>
      <c r="DZ296" s="19">
        <v>0</v>
      </c>
      <c r="EA296" s="19">
        <v>0</v>
      </c>
      <c r="EB296" s="19">
        <v>0</v>
      </c>
      <c r="EC296" s="19">
        <v>0</v>
      </c>
      <c r="ED296" s="19">
        <v>0</v>
      </c>
      <c r="EE296" s="19">
        <v>0</v>
      </c>
      <c r="EF296" s="19">
        <v>0</v>
      </c>
      <c r="EG296" s="19">
        <v>0</v>
      </c>
      <c r="EH296" s="19">
        <v>0</v>
      </c>
      <c r="EI296" s="19">
        <v>0</v>
      </c>
      <c r="EJ296" s="19">
        <v>0</v>
      </c>
      <c r="EK296" s="19">
        <v>0</v>
      </c>
      <c r="EL296" s="19">
        <v>0</v>
      </c>
      <c r="EM296" s="19">
        <v>0</v>
      </c>
      <c r="EN296" s="19">
        <v>0</v>
      </c>
      <c r="EO296" s="19">
        <v>0</v>
      </c>
      <c r="EP296" s="19">
        <v>0</v>
      </c>
      <c r="EQ296" s="19">
        <v>0</v>
      </c>
      <c r="ER296" s="19">
        <v>0</v>
      </c>
      <c r="ES296" s="119">
        <v>0</v>
      </c>
      <c r="ET296" s="119">
        <v>0</v>
      </c>
    </row>
    <row r="297" spans="1:150" ht="16.5" customHeight="1" x14ac:dyDescent="0.35">
      <c r="A297" s="4">
        <v>210</v>
      </c>
      <c r="B297" s="4" t="str">
        <f>LOOKUP(A297,Lookup!$A$1:$A$34,Lookup!$B$1:$B$34)</f>
        <v>INGREDIENTS</v>
      </c>
      <c r="C297" s="5">
        <v>41084</v>
      </c>
      <c r="D297" s="6" t="s">
        <v>286</v>
      </c>
      <c r="E297" s="18">
        <v>0</v>
      </c>
      <c r="F297" s="18">
        <v>0</v>
      </c>
      <c r="G297" s="18">
        <v>0</v>
      </c>
      <c r="H297" s="18">
        <v>0</v>
      </c>
      <c r="I297" s="19">
        <v>0</v>
      </c>
      <c r="J297" s="19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0</v>
      </c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0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>
        <v>0</v>
      </c>
      <c r="BE297" s="19">
        <v>0</v>
      </c>
      <c r="BF297" s="19">
        <v>0</v>
      </c>
      <c r="BG297" s="19">
        <v>0</v>
      </c>
      <c r="BH297" s="19">
        <v>0</v>
      </c>
      <c r="BI297" s="19">
        <v>0</v>
      </c>
      <c r="BJ297" s="19">
        <v>0</v>
      </c>
      <c r="BK297" s="19">
        <v>0</v>
      </c>
      <c r="BL297" s="19">
        <v>0</v>
      </c>
      <c r="BM297" s="19">
        <v>0</v>
      </c>
      <c r="BN297" s="19">
        <v>0</v>
      </c>
      <c r="BO297" s="19">
        <v>0</v>
      </c>
      <c r="BP297" s="19">
        <v>0</v>
      </c>
      <c r="BQ297" s="19">
        <v>0</v>
      </c>
      <c r="BR297" s="19">
        <v>0</v>
      </c>
      <c r="BS297" s="19">
        <v>0</v>
      </c>
      <c r="BT297" s="19">
        <v>0</v>
      </c>
      <c r="BU297" s="19">
        <v>0</v>
      </c>
      <c r="BV297" s="19">
        <v>0</v>
      </c>
      <c r="BW297" s="19">
        <v>0</v>
      </c>
      <c r="BX297" s="19">
        <v>0</v>
      </c>
      <c r="BY297" s="19">
        <v>0</v>
      </c>
      <c r="BZ297" s="19">
        <v>0</v>
      </c>
      <c r="CA297" s="19">
        <v>0</v>
      </c>
      <c r="CB297" s="19">
        <v>0</v>
      </c>
      <c r="CC297" s="19">
        <v>0</v>
      </c>
      <c r="CD297" s="19">
        <v>0</v>
      </c>
      <c r="CE297" s="19">
        <v>0</v>
      </c>
      <c r="CF297" s="19">
        <v>0</v>
      </c>
      <c r="CG297" s="19">
        <v>0</v>
      </c>
      <c r="CH297" s="19">
        <v>0</v>
      </c>
      <c r="CI297" s="19">
        <v>0</v>
      </c>
      <c r="CJ297" s="19">
        <v>0</v>
      </c>
      <c r="CK297" s="19">
        <v>0</v>
      </c>
      <c r="CL297" s="19">
        <v>0</v>
      </c>
      <c r="CM297" s="19">
        <v>0</v>
      </c>
      <c r="CN297" s="19">
        <v>0</v>
      </c>
      <c r="CO297" s="19">
        <v>0</v>
      </c>
      <c r="CP297" s="19">
        <v>0</v>
      </c>
      <c r="CQ297" s="19">
        <v>0</v>
      </c>
      <c r="CR297" s="19">
        <v>0</v>
      </c>
      <c r="CS297" s="19">
        <v>0</v>
      </c>
      <c r="CT297" s="19">
        <v>0</v>
      </c>
      <c r="CU297" s="19">
        <v>0</v>
      </c>
      <c r="CV297" s="19">
        <v>0</v>
      </c>
      <c r="CW297" s="19">
        <v>0</v>
      </c>
      <c r="CX297" s="19">
        <v>0</v>
      </c>
      <c r="CY297" s="19">
        <v>0</v>
      </c>
      <c r="CZ297" s="19">
        <v>0</v>
      </c>
      <c r="DA297" s="19">
        <v>0</v>
      </c>
      <c r="DB297" s="19">
        <v>0</v>
      </c>
      <c r="DC297" s="19">
        <v>0</v>
      </c>
      <c r="DD297" s="19">
        <v>0</v>
      </c>
      <c r="DE297" s="19">
        <v>0</v>
      </c>
      <c r="DF297" s="19">
        <v>0</v>
      </c>
      <c r="DG297" s="19">
        <v>0</v>
      </c>
      <c r="DH297" s="19">
        <v>0</v>
      </c>
      <c r="DI297" s="19">
        <v>0</v>
      </c>
      <c r="DJ297" s="19">
        <v>0</v>
      </c>
      <c r="DK297" s="19">
        <v>0</v>
      </c>
      <c r="DL297" s="19">
        <v>0</v>
      </c>
      <c r="DM297" s="19">
        <v>0</v>
      </c>
      <c r="DN297" s="19">
        <v>0</v>
      </c>
      <c r="DO297" s="19">
        <v>0</v>
      </c>
      <c r="DP297" s="19">
        <v>0</v>
      </c>
      <c r="DQ297" s="19">
        <v>0</v>
      </c>
      <c r="DR297" s="19">
        <v>0</v>
      </c>
      <c r="DS297" s="19">
        <v>0</v>
      </c>
      <c r="DT297" s="19">
        <v>0</v>
      </c>
      <c r="DU297" s="19">
        <v>0</v>
      </c>
      <c r="DV297" s="19">
        <v>0</v>
      </c>
      <c r="DW297" s="19">
        <v>0</v>
      </c>
      <c r="DX297" s="19">
        <v>0</v>
      </c>
      <c r="DY297" s="19">
        <v>0</v>
      </c>
      <c r="DZ297" s="19">
        <v>0</v>
      </c>
      <c r="EA297" s="19">
        <v>0</v>
      </c>
      <c r="EB297" s="19">
        <v>0</v>
      </c>
      <c r="EC297" s="19">
        <v>0</v>
      </c>
      <c r="ED297" s="19">
        <v>0</v>
      </c>
      <c r="EE297" s="19">
        <v>0</v>
      </c>
      <c r="EF297" s="19">
        <v>0</v>
      </c>
      <c r="EG297" s="19">
        <v>0</v>
      </c>
      <c r="EH297" s="19">
        <v>0</v>
      </c>
      <c r="EI297" s="19">
        <v>0</v>
      </c>
      <c r="EJ297" s="19">
        <v>0</v>
      </c>
      <c r="EK297" s="19">
        <v>0</v>
      </c>
      <c r="EL297" s="19">
        <v>0</v>
      </c>
      <c r="EM297" s="19">
        <v>0</v>
      </c>
      <c r="EN297" s="19">
        <v>0</v>
      </c>
      <c r="EO297" s="19">
        <v>0</v>
      </c>
      <c r="EP297" s="19">
        <v>0</v>
      </c>
      <c r="EQ297" s="19">
        <v>0</v>
      </c>
      <c r="ER297" s="19">
        <v>0</v>
      </c>
      <c r="ES297" s="119">
        <v>0</v>
      </c>
      <c r="ET297" s="119">
        <v>0</v>
      </c>
    </row>
    <row r="298" spans="1:150" ht="16.5" customHeight="1" x14ac:dyDescent="0.35">
      <c r="A298" s="4">
        <v>210</v>
      </c>
      <c r="B298" s="4" t="str">
        <f>LOOKUP(A298,Lookup!$A$1:$A$34,Lookup!$B$1:$B$34)</f>
        <v>INGREDIENTS</v>
      </c>
      <c r="C298" s="5">
        <v>41085</v>
      </c>
      <c r="D298" s="6" t="s">
        <v>287</v>
      </c>
      <c r="E298" s="18">
        <v>0</v>
      </c>
      <c r="F298" s="18">
        <v>0</v>
      </c>
      <c r="G298" s="18">
        <v>0</v>
      </c>
      <c r="H298" s="18">
        <v>0</v>
      </c>
      <c r="I298" s="19">
        <v>0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v>0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0</v>
      </c>
      <c r="AS298" s="19">
        <v>0</v>
      </c>
      <c r="AT298" s="19">
        <v>0</v>
      </c>
      <c r="AU298" s="19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9">
        <v>0</v>
      </c>
      <c r="BB298" s="19">
        <v>0</v>
      </c>
      <c r="BC298" s="19">
        <v>0</v>
      </c>
      <c r="BD298" s="19">
        <v>0</v>
      </c>
      <c r="BE298" s="19">
        <v>0</v>
      </c>
      <c r="BF298" s="19">
        <v>0</v>
      </c>
      <c r="BG298" s="19">
        <v>0</v>
      </c>
      <c r="BH298" s="19">
        <v>0</v>
      </c>
      <c r="BI298" s="19">
        <v>0</v>
      </c>
      <c r="BJ298" s="19">
        <v>0</v>
      </c>
      <c r="BK298" s="19">
        <v>0</v>
      </c>
      <c r="BL298" s="19">
        <v>0</v>
      </c>
      <c r="BM298" s="19">
        <v>0</v>
      </c>
      <c r="BN298" s="19">
        <v>0</v>
      </c>
      <c r="BO298" s="19">
        <v>0</v>
      </c>
      <c r="BP298" s="19">
        <v>0</v>
      </c>
      <c r="BQ298" s="19">
        <v>0</v>
      </c>
      <c r="BR298" s="19">
        <v>0</v>
      </c>
      <c r="BS298" s="19">
        <v>0</v>
      </c>
      <c r="BT298" s="19">
        <v>0</v>
      </c>
      <c r="BU298" s="19">
        <v>0</v>
      </c>
      <c r="BV298" s="19">
        <v>0</v>
      </c>
      <c r="BW298" s="19">
        <v>0</v>
      </c>
      <c r="BX298" s="19">
        <v>0</v>
      </c>
      <c r="BY298" s="19">
        <v>0</v>
      </c>
      <c r="BZ298" s="19">
        <v>0</v>
      </c>
      <c r="CA298" s="19">
        <v>0</v>
      </c>
      <c r="CB298" s="19">
        <v>0</v>
      </c>
      <c r="CC298" s="19">
        <v>0</v>
      </c>
      <c r="CD298" s="19">
        <v>0</v>
      </c>
      <c r="CE298" s="19">
        <v>0</v>
      </c>
      <c r="CF298" s="19">
        <v>0</v>
      </c>
      <c r="CG298" s="19">
        <v>0</v>
      </c>
      <c r="CH298" s="19">
        <v>0</v>
      </c>
      <c r="CI298" s="19">
        <v>0</v>
      </c>
      <c r="CJ298" s="19">
        <v>0</v>
      </c>
      <c r="CK298" s="19">
        <v>0</v>
      </c>
      <c r="CL298" s="19">
        <v>0</v>
      </c>
      <c r="CM298" s="19">
        <v>0</v>
      </c>
      <c r="CN298" s="19">
        <v>0</v>
      </c>
      <c r="CO298" s="19">
        <v>0</v>
      </c>
      <c r="CP298" s="19">
        <v>0</v>
      </c>
      <c r="CQ298" s="19">
        <v>0</v>
      </c>
      <c r="CR298" s="19">
        <v>0</v>
      </c>
      <c r="CS298" s="19">
        <v>0</v>
      </c>
      <c r="CT298" s="19">
        <v>0</v>
      </c>
      <c r="CU298" s="19">
        <v>0</v>
      </c>
      <c r="CV298" s="19">
        <v>0</v>
      </c>
      <c r="CW298" s="19">
        <v>0</v>
      </c>
      <c r="CX298" s="19">
        <v>0</v>
      </c>
      <c r="CY298" s="19">
        <v>0</v>
      </c>
      <c r="CZ298" s="19">
        <v>0</v>
      </c>
      <c r="DA298" s="19">
        <v>0</v>
      </c>
      <c r="DB298" s="19">
        <v>0</v>
      </c>
      <c r="DC298" s="19">
        <v>0</v>
      </c>
      <c r="DD298" s="19">
        <v>0</v>
      </c>
      <c r="DE298" s="19">
        <v>0</v>
      </c>
      <c r="DF298" s="19">
        <v>0</v>
      </c>
      <c r="DG298" s="19">
        <v>0</v>
      </c>
      <c r="DH298" s="19">
        <v>0</v>
      </c>
      <c r="DI298" s="19">
        <v>0</v>
      </c>
      <c r="DJ298" s="19">
        <v>0</v>
      </c>
      <c r="DK298" s="19">
        <v>0</v>
      </c>
      <c r="DL298" s="19">
        <v>0</v>
      </c>
      <c r="DM298" s="19">
        <v>0</v>
      </c>
      <c r="DN298" s="19">
        <v>0</v>
      </c>
      <c r="DO298" s="19">
        <v>0</v>
      </c>
      <c r="DP298" s="19">
        <v>0</v>
      </c>
      <c r="DQ298" s="19">
        <v>0</v>
      </c>
      <c r="DR298" s="19">
        <v>0</v>
      </c>
      <c r="DS298" s="19">
        <v>0</v>
      </c>
      <c r="DT298" s="19">
        <v>0</v>
      </c>
      <c r="DU298" s="19">
        <v>0</v>
      </c>
      <c r="DV298" s="19">
        <v>0</v>
      </c>
      <c r="DW298" s="19">
        <v>0</v>
      </c>
      <c r="DX298" s="19">
        <v>0</v>
      </c>
      <c r="DY298" s="19">
        <v>0</v>
      </c>
      <c r="DZ298" s="19">
        <v>0</v>
      </c>
      <c r="EA298" s="19">
        <v>0</v>
      </c>
      <c r="EB298" s="19">
        <v>0</v>
      </c>
      <c r="EC298" s="19">
        <v>0</v>
      </c>
      <c r="ED298" s="19">
        <v>0</v>
      </c>
      <c r="EE298" s="19">
        <v>0</v>
      </c>
      <c r="EF298" s="19">
        <v>0</v>
      </c>
      <c r="EG298" s="19">
        <v>0</v>
      </c>
      <c r="EH298" s="19">
        <v>0</v>
      </c>
      <c r="EI298" s="19">
        <v>0</v>
      </c>
      <c r="EJ298" s="19">
        <v>0</v>
      </c>
      <c r="EK298" s="19">
        <v>0</v>
      </c>
      <c r="EL298" s="19">
        <v>0</v>
      </c>
      <c r="EM298" s="19">
        <v>0</v>
      </c>
      <c r="EN298" s="19">
        <v>0</v>
      </c>
      <c r="EO298" s="19">
        <v>0</v>
      </c>
      <c r="EP298" s="19">
        <v>0</v>
      </c>
      <c r="EQ298" s="19">
        <v>0</v>
      </c>
      <c r="ER298" s="19">
        <v>0</v>
      </c>
      <c r="ES298" s="119">
        <v>0</v>
      </c>
      <c r="ET298" s="119">
        <v>0</v>
      </c>
    </row>
    <row r="299" spans="1:150" ht="16.5" customHeight="1" x14ac:dyDescent="0.35">
      <c r="A299" s="4">
        <v>210</v>
      </c>
      <c r="B299" s="4" t="str">
        <f>LOOKUP(A299,Lookup!$A$1:$A$34,Lookup!$B$1:$B$34)</f>
        <v>INGREDIENTS</v>
      </c>
      <c r="C299" s="5">
        <v>41212</v>
      </c>
      <c r="D299" s="6" t="s">
        <v>284</v>
      </c>
      <c r="E299" s="18">
        <v>0</v>
      </c>
      <c r="F299" s="18">
        <v>0</v>
      </c>
      <c r="G299" s="18">
        <v>0</v>
      </c>
      <c r="H299" s="18">
        <v>0</v>
      </c>
      <c r="I299" s="19">
        <v>0</v>
      </c>
      <c r="J299" s="19">
        <v>0</v>
      </c>
      <c r="K299" s="19">
        <v>0</v>
      </c>
      <c r="L299" s="19">
        <v>0</v>
      </c>
      <c r="M299" s="19">
        <v>0</v>
      </c>
      <c r="N299" s="19">
        <v>0</v>
      </c>
      <c r="O299" s="19">
        <v>0</v>
      </c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19">
        <v>0</v>
      </c>
      <c r="BC299" s="19">
        <v>0</v>
      </c>
      <c r="BD299" s="19">
        <v>0</v>
      </c>
      <c r="BE299" s="19">
        <v>0</v>
      </c>
      <c r="BF299" s="19">
        <v>0</v>
      </c>
      <c r="BG299" s="19">
        <v>0</v>
      </c>
      <c r="BH299" s="19">
        <v>0</v>
      </c>
      <c r="BI299" s="19">
        <v>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  <c r="BP299" s="19">
        <v>0</v>
      </c>
      <c r="BQ299" s="19">
        <v>0</v>
      </c>
      <c r="BR299" s="19">
        <v>0</v>
      </c>
      <c r="BS299" s="19">
        <v>0</v>
      </c>
      <c r="BT299" s="19">
        <v>0</v>
      </c>
      <c r="BU299" s="19">
        <v>0</v>
      </c>
      <c r="BV299" s="19">
        <v>0</v>
      </c>
      <c r="BW299" s="19">
        <v>0</v>
      </c>
      <c r="BX299" s="19">
        <v>0</v>
      </c>
      <c r="BY299" s="19">
        <v>0</v>
      </c>
      <c r="BZ299" s="19">
        <v>0</v>
      </c>
      <c r="CA299" s="19">
        <v>0</v>
      </c>
      <c r="CB299" s="19">
        <v>0</v>
      </c>
      <c r="CC299" s="19">
        <v>0</v>
      </c>
      <c r="CD299" s="19">
        <v>0</v>
      </c>
      <c r="CE299" s="19">
        <v>0</v>
      </c>
      <c r="CF299" s="19">
        <v>0</v>
      </c>
      <c r="CG299" s="19">
        <v>0</v>
      </c>
      <c r="CH299" s="19">
        <v>0</v>
      </c>
      <c r="CI299" s="19">
        <v>0</v>
      </c>
      <c r="CJ299" s="19">
        <v>0</v>
      </c>
      <c r="CK299" s="19">
        <v>0</v>
      </c>
      <c r="CL299" s="19">
        <v>0</v>
      </c>
      <c r="CM299" s="19">
        <v>0</v>
      </c>
      <c r="CN299" s="19">
        <v>0</v>
      </c>
      <c r="CO299" s="19">
        <v>0</v>
      </c>
      <c r="CP299" s="19">
        <v>0</v>
      </c>
      <c r="CQ299" s="19">
        <v>0</v>
      </c>
      <c r="CR299" s="19">
        <v>0</v>
      </c>
      <c r="CS299" s="19">
        <v>0</v>
      </c>
      <c r="CT299" s="19">
        <v>0</v>
      </c>
      <c r="CU299" s="19">
        <v>0</v>
      </c>
      <c r="CV299" s="19">
        <v>0</v>
      </c>
      <c r="CW299" s="19">
        <v>0</v>
      </c>
      <c r="CX299" s="19">
        <v>0</v>
      </c>
      <c r="CY299" s="19">
        <v>0</v>
      </c>
      <c r="CZ299" s="19">
        <v>0</v>
      </c>
      <c r="DA299" s="19">
        <v>0</v>
      </c>
      <c r="DB299" s="19">
        <v>0</v>
      </c>
      <c r="DC299" s="19">
        <v>0</v>
      </c>
      <c r="DD299" s="19">
        <v>0</v>
      </c>
      <c r="DE299" s="19">
        <v>0</v>
      </c>
      <c r="DF299" s="19">
        <v>0</v>
      </c>
      <c r="DG299" s="19">
        <v>0</v>
      </c>
      <c r="DH299" s="19">
        <v>0</v>
      </c>
      <c r="DI299" s="19">
        <v>0</v>
      </c>
      <c r="DJ299" s="19">
        <v>0</v>
      </c>
      <c r="DK299" s="19">
        <v>0</v>
      </c>
      <c r="DL299" s="19">
        <v>0</v>
      </c>
      <c r="DM299" s="19">
        <v>0</v>
      </c>
      <c r="DN299" s="19">
        <v>0</v>
      </c>
      <c r="DO299" s="19">
        <v>0</v>
      </c>
      <c r="DP299" s="19">
        <v>0</v>
      </c>
      <c r="DQ299" s="19">
        <v>0</v>
      </c>
      <c r="DR299" s="19">
        <v>0</v>
      </c>
      <c r="DS299" s="19">
        <v>0</v>
      </c>
      <c r="DT299" s="19">
        <v>0</v>
      </c>
      <c r="DU299" s="19">
        <v>0</v>
      </c>
      <c r="DV299" s="19">
        <v>0</v>
      </c>
      <c r="DW299" s="19">
        <v>0</v>
      </c>
      <c r="DX299" s="19">
        <v>0</v>
      </c>
      <c r="DY299" s="19">
        <v>0</v>
      </c>
      <c r="DZ299" s="19">
        <v>0</v>
      </c>
      <c r="EA299" s="19">
        <v>0</v>
      </c>
      <c r="EB299" s="19">
        <v>0</v>
      </c>
      <c r="EC299" s="19">
        <v>0</v>
      </c>
      <c r="ED299" s="19">
        <v>0</v>
      </c>
      <c r="EE299" s="19">
        <v>0</v>
      </c>
      <c r="EF299" s="19">
        <v>0</v>
      </c>
      <c r="EG299" s="19">
        <v>0</v>
      </c>
      <c r="EH299" s="19">
        <v>0</v>
      </c>
      <c r="EI299" s="19">
        <v>0</v>
      </c>
      <c r="EJ299" s="19">
        <v>0</v>
      </c>
      <c r="EK299" s="19">
        <v>0</v>
      </c>
      <c r="EL299" s="19">
        <v>0</v>
      </c>
      <c r="EM299" s="19">
        <v>0</v>
      </c>
      <c r="EN299" s="19">
        <v>0</v>
      </c>
      <c r="EO299" s="19">
        <v>0</v>
      </c>
      <c r="EP299" s="19">
        <v>0</v>
      </c>
      <c r="EQ299" s="19">
        <v>0</v>
      </c>
      <c r="ER299" s="19">
        <v>0</v>
      </c>
      <c r="ES299" s="119">
        <v>0</v>
      </c>
      <c r="ET299" s="119">
        <v>0</v>
      </c>
    </row>
    <row r="300" spans="1:150" ht="16.5" customHeight="1" x14ac:dyDescent="0.35">
      <c r="A300" s="4">
        <v>210</v>
      </c>
      <c r="B300" s="4" t="str">
        <f>LOOKUP(A300,Lookup!$A$1:$A$34,Lookup!$B$1:$B$34)</f>
        <v>INGREDIENTS</v>
      </c>
      <c r="C300" s="5">
        <v>41215</v>
      </c>
      <c r="D300" s="6" t="s">
        <v>288</v>
      </c>
      <c r="E300" s="18">
        <v>0</v>
      </c>
      <c r="F300" s="18">
        <v>0</v>
      </c>
      <c r="G300" s="18">
        <v>0</v>
      </c>
      <c r="H300" s="18">
        <v>0</v>
      </c>
      <c r="I300" s="19">
        <v>0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9">
        <v>0</v>
      </c>
      <c r="Q300" s="19">
        <v>0</v>
      </c>
      <c r="R300" s="19">
        <v>0</v>
      </c>
      <c r="S300" s="19">
        <v>0</v>
      </c>
      <c r="T300" s="19">
        <v>0</v>
      </c>
      <c r="U300" s="19">
        <v>0</v>
      </c>
      <c r="V300" s="19">
        <v>0</v>
      </c>
      <c r="W300" s="19">
        <v>0</v>
      </c>
      <c r="X300" s="19">
        <v>0</v>
      </c>
      <c r="Y300" s="19">
        <v>0</v>
      </c>
      <c r="Z300" s="19">
        <v>0</v>
      </c>
      <c r="AA300" s="19">
        <v>0</v>
      </c>
      <c r="AB300" s="19">
        <v>0</v>
      </c>
      <c r="AC300" s="19">
        <v>0</v>
      </c>
      <c r="AD300" s="19">
        <v>0</v>
      </c>
      <c r="AE300" s="19">
        <v>0</v>
      </c>
      <c r="AF300" s="19">
        <v>0</v>
      </c>
      <c r="AG300" s="19">
        <v>0</v>
      </c>
      <c r="AH300" s="19">
        <v>0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v>0</v>
      </c>
      <c r="AO300" s="19">
        <v>0</v>
      </c>
      <c r="AP300" s="19">
        <v>0</v>
      </c>
      <c r="AQ300" s="19">
        <v>0</v>
      </c>
      <c r="AR300" s="19">
        <v>0</v>
      </c>
      <c r="AS300" s="19">
        <v>0</v>
      </c>
      <c r="AT300" s="19">
        <v>0</v>
      </c>
      <c r="AU300" s="19">
        <v>0</v>
      </c>
      <c r="AV300" s="19">
        <v>0</v>
      </c>
      <c r="AW300" s="19">
        <v>0</v>
      </c>
      <c r="AX300" s="19">
        <v>0</v>
      </c>
      <c r="AY300" s="19">
        <v>0</v>
      </c>
      <c r="AZ300" s="19">
        <v>0</v>
      </c>
      <c r="BA300" s="19">
        <v>0</v>
      </c>
      <c r="BB300" s="19">
        <v>0</v>
      </c>
      <c r="BC300" s="19">
        <v>0</v>
      </c>
      <c r="BD300" s="19">
        <v>0</v>
      </c>
      <c r="BE300" s="19">
        <v>0</v>
      </c>
      <c r="BF300" s="19">
        <v>0</v>
      </c>
      <c r="BG300" s="19">
        <v>0</v>
      </c>
      <c r="BH300" s="19">
        <v>0</v>
      </c>
      <c r="BI300" s="19">
        <v>0</v>
      </c>
      <c r="BJ300" s="19">
        <v>0</v>
      </c>
      <c r="BK300" s="19">
        <v>0</v>
      </c>
      <c r="BL300" s="19">
        <v>0</v>
      </c>
      <c r="BM300" s="19">
        <v>0</v>
      </c>
      <c r="BN300" s="19">
        <v>0</v>
      </c>
      <c r="BO300" s="19">
        <v>0</v>
      </c>
      <c r="BP300" s="19">
        <v>0</v>
      </c>
      <c r="BQ300" s="19">
        <v>0</v>
      </c>
      <c r="BR300" s="19">
        <v>0</v>
      </c>
      <c r="BS300" s="19">
        <v>0</v>
      </c>
      <c r="BT300" s="19">
        <v>0</v>
      </c>
      <c r="BU300" s="19">
        <v>0</v>
      </c>
      <c r="BV300" s="19">
        <v>0</v>
      </c>
      <c r="BW300" s="19">
        <v>0</v>
      </c>
      <c r="BX300" s="19">
        <v>0</v>
      </c>
      <c r="BY300" s="19">
        <v>0</v>
      </c>
      <c r="BZ300" s="19">
        <v>0</v>
      </c>
      <c r="CA300" s="19">
        <v>0</v>
      </c>
      <c r="CB300" s="19">
        <v>0</v>
      </c>
      <c r="CC300" s="19">
        <v>0</v>
      </c>
      <c r="CD300" s="19">
        <v>0</v>
      </c>
      <c r="CE300" s="19">
        <v>0</v>
      </c>
      <c r="CF300" s="19">
        <v>0</v>
      </c>
      <c r="CG300" s="19">
        <v>0</v>
      </c>
      <c r="CH300" s="19">
        <v>0</v>
      </c>
      <c r="CI300" s="19">
        <v>0</v>
      </c>
      <c r="CJ300" s="19">
        <v>0</v>
      </c>
      <c r="CK300" s="19">
        <v>0</v>
      </c>
      <c r="CL300" s="19">
        <v>0</v>
      </c>
      <c r="CM300" s="19">
        <v>0</v>
      </c>
      <c r="CN300" s="19">
        <v>0</v>
      </c>
      <c r="CO300" s="19">
        <v>0</v>
      </c>
      <c r="CP300" s="19">
        <v>0</v>
      </c>
      <c r="CQ300" s="19">
        <v>0</v>
      </c>
      <c r="CR300" s="19">
        <v>0</v>
      </c>
      <c r="CS300" s="19">
        <v>0</v>
      </c>
      <c r="CT300" s="19">
        <v>0</v>
      </c>
      <c r="CU300" s="19">
        <v>0</v>
      </c>
      <c r="CV300" s="19">
        <v>0</v>
      </c>
      <c r="CW300" s="19">
        <v>0</v>
      </c>
      <c r="CX300" s="19">
        <v>0</v>
      </c>
      <c r="CY300" s="19">
        <v>0</v>
      </c>
      <c r="CZ300" s="19">
        <v>0</v>
      </c>
      <c r="DA300" s="19">
        <v>0</v>
      </c>
      <c r="DB300" s="19">
        <v>0</v>
      </c>
      <c r="DC300" s="19">
        <v>0</v>
      </c>
      <c r="DD300" s="19">
        <v>0</v>
      </c>
      <c r="DE300" s="19">
        <v>0</v>
      </c>
      <c r="DF300" s="19">
        <v>0</v>
      </c>
      <c r="DG300" s="19">
        <v>0</v>
      </c>
      <c r="DH300" s="19">
        <v>0</v>
      </c>
      <c r="DI300" s="19">
        <v>0</v>
      </c>
      <c r="DJ300" s="19">
        <v>0</v>
      </c>
      <c r="DK300" s="19">
        <v>0</v>
      </c>
      <c r="DL300" s="19">
        <v>0</v>
      </c>
      <c r="DM300" s="19">
        <v>0</v>
      </c>
      <c r="DN300" s="19">
        <v>0</v>
      </c>
      <c r="DO300" s="19">
        <v>0</v>
      </c>
      <c r="DP300" s="19">
        <v>0</v>
      </c>
      <c r="DQ300" s="19">
        <v>0</v>
      </c>
      <c r="DR300" s="19">
        <v>0</v>
      </c>
      <c r="DS300" s="19">
        <v>0</v>
      </c>
      <c r="DT300" s="19">
        <v>0</v>
      </c>
      <c r="DU300" s="19">
        <v>0</v>
      </c>
      <c r="DV300" s="19">
        <v>0</v>
      </c>
      <c r="DW300" s="19">
        <v>0</v>
      </c>
      <c r="DX300" s="19">
        <v>0</v>
      </c>
      <c r="DY300" s="19">
        <v>0</v>
      </c>
      <c r="DZ300" s="19">
        <v>0</v>
      </c>
      <c r="EA300" s="19">
        <v>0</v>
      </c>
      <c r="EB300" s="19">
        <v>0</v>
      </c>
      <c r="EC300" s="19">
        <v>0</v>
      </c>
      <c r="ED300" s="19">
        <v>0</v>
      </c>
      <c r="EE300" s="19">
        <v>0</v>
      </c>
      <c r="EF300" s="19">
        <v>0</v>
      </c>
      <c r="EG300" s="19">
        <v>0</v>
      </c>
      <c r="EH300" s="19">
        <v>0</v>
      </c>
      <c r="EI300" s="19">
        <v>0</v>
      </c>
      <c r="EJ300" s="19">
        <v>0</v>
      </c>
      <c r="EK300" s="19">
        <v>0</v>
      </c>
      <c r="EL300" s="19">
        <v>0</v>
      </c>
      <c r="EM300" s="19">
        <v>0</v>
      </c>
      <c r="EN300" s="19">
        <v>0</v>
      </c>
      <c r="EO300" s="19">
        <v>0</v>
      </c>
      <c r="EP300" s="19">
        <v>0</v>
      </c>
      <c r="EQ300" s="19">
        <v>0</v>
      </c>
      <c r="ER300" s="19">
        <v>0</v>
      </c>
      <c r="ES300" s="119">
        <v>0</v>
      </c>
      <c r="ET300" s="119">
        <v>0</v>
      </c>
    </row>
    <row r="301" spans="1:150" ht="16.5" customHeight="1" x14ac:dyDescent="0.35">
      <c r="A301" s="4">
        <v>210</v>
      </c>
      <c r="B301" s="4" t="str">
        <f>LOOKUP(A301,Lookup!$A$1:$A$34,Lookup!$B$1:$B$34)</f>
        <v>INGREDIENTS</v>
      </c>
      <c r="C301" s="5">
        <v>41220</v>
      </c>
      <c r="D301" s="6" t="s">
        <v>289</v>
      </c>
      <c r="E301" s="18">
        <v>0</v>
      </c>
      <c r="F301" s="18">
        <v>0</v>
      </c>
      <c r="G301" s="18">
        <v>0</v>
      </c>
      <c r="H301" s="18">
        <v>0</v>
      </c>
      <c r="I301" s="19">
        <v>0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9">
        <v>0</v>
      </c>
      <c r="V301" s="19">
        <v>0</v>
      </c>
      <c r="W301" s="19">
        <v>0</v>
      </c>
      <c r="X301" s="19">
        <v>0</v>
      </c>
      <c r="Y301" s="19">
        <v>0</v>
      </c>
      <c r="Z301" s="19">
        <v>0</v>
      </c>
      <c r="AA301" s="19">
        <v>0</v>
      </c>
      <c r="AB301" s="19">
        <v>0</v>
      </c>
      <c r="AC301" s="19">
        <v>0</v>
      </c>
      <c r="AD301" s="19">
        <v>0</v>
      </c>
      <c r="AE301" s="19">
        <v>0</v>
      </c>
      <c r="AF301" s="19">
        <v>0</v>
      </c>
      <c r="AG301" s="19">
        <v>0</v>
      </c>
      <c r="AH301" s="19">
        <v>0</v>
      </c>
      <c r="AI301" s="19">
        <v>0</v>
      </c>
      <c r="AJ301" s="19">
        <v>0</v>
      </c>
      <c r="AK301" s="19">
        <v>0</v>
      </c>
      <c r="AL301" s="19">
        <v>0</v>
      </c>
      <c r="AM301" s="19">
        <v>0</v>
      </c>
      <c r="AN301" s="19">
        <v>0</v>
      </c>
      <c r="AO301" s="19">
        <v>0</v>
      </c>
      <c r="AP301" s="19">
        <v>0</v>
      </c>
      <c r="AQ301" s="19">
        <v>0</v>
      </c>
      <c r="AR301" s="19">
        <v>0</v>
      </c>
      <c r="AS301" s="19">
        <v>0</v>
      </c>
      <c r="AT301" s="19">
        <v>0</v>
      </c>
      <c r="AU301" s="19">
        <v>0</v>
      </c>
      <c r="AV301" s="19">
        <v>0</v>
      </c>
      <c r="AW301" s="19">
        <v>0</v>
      </c>
      <c r="AX301" s="19">
        <v>0</v>
      </c>
      <c r="AY301" s="19">
        <v>0</v>
      </c>
      <c r="AZ301" s="19">
        <v>0</v>
      </c>
      <c r="BA301" s="19">
        <v>0</v>
      </c>
      <c r="BB301" s="19">
        <v>0</v>
      </c>
      <c r="BC301" s="19">
        <v>0</v>
      </c>
      <c r="BD301" s="19">
        <v>0</v>
      </c>
      <c r="BE301" s="19">
        <v>0</v>
      </c>
      <c r="BF301" s="19">
        <v>0</v>
      </c>
      <c r="BG301" s="19">
        <v>0</v>
      </c>
      <c r="BH301" s="19">
        <v>0</v>
      </c>
      <c r="BI301" s="19">
        <v>0</v>
      </c>
      <c r="BJ301" s="19">
        <v>0</v>
      </c>
      <c r="BK301" s="19">
        <v>0</v>
      </c>
      <c r="BL301" s="19">
        <v>0</v>
      </c>
      <c r="BM301" s="19">
        <v>0</v>
      </c>
      <c r="BN301" s="19">
        <v>0</v>
      </c>
      <c r="BO301" s="19">
        <v>0</v>
      </c>
      <c r="BP301" s="19">
        <v>0</v>
      </c>
      <c r="BQ301" s="19">
        <v>0</v>
      </c>
      <c r="BR301" s="19">
        <v>0</v>
      </c>
      <c r="BS301" s="19">
        <v>0</v>
      </c>
      <c r="BT301" s="19">
        <v>0</v>
      </c>
      <c r="BU301" s="19">
        <v>0</v>
      </c>
      <c r="BV301" s="19">
        <v>0</v>
      </c>
      <c r="BW301" s="19">
        <v>0</v>
      </c>
      <c r="BX301" s="19">
        <v>0</v>
      </c>
      <c r="BY301" s="19">
        <v>0</v>
      </c>
      <c r="BZ301" s="19">
        <v>0</v>
      </c>
      <c r="CA301" s="19">
        <v>0</v>
      </c>
      <c r="CB301" s="19">
        <v>0</v>
      </c>
      <c r="CC301" s="19">
        <v>0</v>
      </c>
      <c r="CD301" s="19">
        <v>0</v>
      </c>
      <c r="CE301" s="19">
        <v>0</v>
      </c>
      <c r="CF301" s="19">
        <v>0</v>
      </c>
      <c r="CG301" s="19">
        <v>0</v>
      </c>
      <c r="CH301" s="19">
        <v>0</v>
      </c>
      <c r="CI301" s="19">
        <v>0</v>
      </c>
      <c r="CJ301" s="19">
        <v>0</v>
      </c>
      <c r="CK301" s="19">
        <v>0</v>
      </c>
      <c r="CL301" s="19">
        <v>0</v>
      </c>
      <c r="CM301" s="19">
        <v>0</v>
      </c>
      <c r="CN301" s="19">
        <v>0</v>
      </c>
      <c r="CO301" s="19">
        <v>0</v>
      </c>
      <c r="CP301" s="19">
        <v>0</v>
      </c>
      <c r="CQ301" s="19">
        <v>0</v>
      </c>
      <c r="CR301" s="19">
        <v>0</v>
      </c>
      <c r="CS301" s="19">
        <v>0</v>
      </c>
      <c r="CT301" s="19">
        <v>0</v>
      </c>
      <c r="CU301" s="19">
        <v>0</v>
      </c>
      <c r="CV301" s="19">
        <v>0</v>
      </c>
      <c r="CW301" s="19">
        <v>0</v>
      </c>
      <c r="CX301" s="19">
        <v>0</v>
      </c>
      <c r="CY301" s="19">
        <v>0</v>
      </c>
      <c r="CZ301" s="19">
        <v>0</v>
      </c>
      <c r="DA301" s="19">
        <v>0</v>
      </c>
      <c r="DB301" s="19">
        <v>0</v>
      </c>
      <c r="DC301" s="19">
        <v>0</v>
      </c>
      <c r="DD301" s="19">
        <v>0</v>
      </c>
      <c r="DE301" s="19">
        <v>0</v>
      </c>
      <c r="DF301" s="19">
        <v>0</v>
      </c>
      <c r="DG301" s="19">
        <v>0</v>
      </c>
      <c r="DH301" s="19">
        <v>0</v>
      </c>
      <c r="DI301" s="19">
        <v>0</v>
      </c>
      <c r="DJ301" s="19">
        <v>0</v>
      </c>
      <c r="DK301" s="19">
        <v>0</v>
      </c>
      <c r="DL301" s="19">
        <v>0</v>
      </c>
      <c r="DM301" s="19">
        <v>0</v>
      </c>
      <c r="DN301" s="19">
        <v>0</v>
      </c>
      <c r="DO301" s="19">
        <v>0</v>
      </c>
      <c r="DP301" s="19">
        <v>0</v>
      </c>
      <c r="DQ301" s="19">
        <v>0</v>
      </c>
      <c r="DR301" s="19">
        <v>0</v>
      </c>
      <c r="DS301" s="19">
        <v>0</v>
      </c>
      <c r="DT301" s="19">
        <v>0</v>
      </c>
      <c r="DU301" s="19">
        <v>0</v>
      </c>
      <c r="DV301" s="19">
        <v>0</v>
      </c>
      <c r="DW301" s="19">
        <v>0</v>
      </c>
      <c r="DX301" s="19">
        <v>0</v>
      </c>
      <c r="DY301" s="19">
        <v>0</v>
      </c>
      <c r="DZ301" s="19">
        <v>0</v>
      </c>
      <c r="EA301" s="19">
        <v>0</v>
      </c>
      <c r="EB301" s="19">
        <v>0</v>
      </c>
      <c r="EC301" s="19">
        <v>0</v>
      </c>
      <c r="ED301" s="19">
        <v>0</v>
      </c>
      <c r="EE301" s="19">
        <v>0</v>
      </c>
      <c r="EF301" s="19">
        <v>0</v>
      </c>
      <c r="EG301" s="19">
        <v>0</v>
      </c>
      <c r="EH301" s="19">
        <v>0</v>
      </c>
      <c r="EI301" s="19">
        <v>0</v>
      </c>
      <c r="EJ301" s="19">
        <v>0</v>
      </c>
      <c r="EK301" s="19">
        <v>0</v>
      </c>
      <c r="EL301" s="19">
        <v>0</v>
      </c>
      <c r="EM301" s="19">
        <v>0</v>
      </c>
      <c r="EN301" s="19">
        <v>0</v>
      </c>
      <c r="EO301" s="19">
        <v>0</v>
      </c>
      <c r="EP301" s="19">
        <v>0</v>
      </c>
      <c r="EQ301" s="19">
        <v>0</v>
      </c>
      <c r="ER301" s="19">
        <v>0</v>
      </c>
      <c r="ES301" s="119">
        <v>0</v>
      </c>
      <c r="ET301" s="119">
        <v>0</v>
      </c>
    </row>
    <row r="302" spans="1:150" ht="16.5" customHeight="1" x14ac:dyDescent="0.35">
      <c r="A302" s="4">
        <v>210</v>
      </c>
      <c r="B302" s="4" t="str">
        <f>LOOKUP(A302,Lookup!$A$1:$A$34,Lookup!$B$1:$B$34)</f>
        <v>INGREDIENTS</v>
      </c>
      <c r="C302" s="5">
        <v>41221</v>
      </c>
      <c r="D302" s="6" t="s">
        <v>290</v>
      </c>
      <c r="E302" s="18">
        <v>0</v>
      </c>
      <c r="F302" s="18">
        <v>0</v>
      </c>
      <c r="G302" s="18">
        <v>0</v>
      </c>
      <c r="H302" s="18">
        <v>0</v>
      </c>
      <c r="I302" s="19">
        <v>0</v>
      </c>
      <c r="J302" s="19">
        <v>0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 s="19">
        <v>0</v>
      </c>
      <c r="Q302" s="19">
        <v>0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0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0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19">
        <v>0</v>
      </c>
      <c r="BC302" s="19">
        <v>0</v>
      </c>
      <c r="BD302" s="19">
        <v>0</v>
      </c>
      <c r="BE302" s="19">
        <v>0</v>
      </c>
      <c r="BF302" s="19">
        <v>0</v>
      </c>
      <c r="BG302" s="19">
        <v>0</v>
      </c>
      <c r="BH302" s="19">
        <v>0</v>
      </c>
      <c r="BI302" s="19">
        <v>0</v>
      </c>
      <c r="BJ302" s="19">
        <v>0</v>
      </c>
      <c r="BK302" s="19">
        <v>0</v>
      </c>
      <c r="BL302" s="19">
        <v>0</v>
      </c>
      <c r="BM302" s="19">
        <v>0</v>
      </c>
      <c r="BN302" s="19">
        <v>0</v>
      </c>
      <c r="BO302" s="19">
        <v>0</v>
      </c>
      <c r="BP302" s="19">
        <v>0</v>
      </c>
      <c r="BQ302" s="19">
        <v>0</v>
      </c>
      <c r="BR302" s="19">
        <v>0</v>
      </c>
      <c r="BS302" s="19">
        <v>0</v>
      </c>
      <c r="BT302" s="19">
        <v>0</v>
      </c>
      <c r="BU302" s="19">
        <v>0</v>
      </c>
      <c r="BV302" s="19">
        <v>0</v>
      </c>
      <c r="BW302" s="19">
        <v>0</v>
      </c>
      <c r="BX302" s="19">
        <v>0</v>
      </c>
      <c r="BY302" s="19">
        <v>0</v>
      </c>
      <c r="BZ302" s="19">
        <v>0</v>
      </c>
      <c r="CA302" s="19">
        <v>0</v>
      </c>
      <c r="CB302" s="19">
        <v>0</v>
      </c>
      <c r="CC302" s="19">
        <v>0</v>
      </c>
      <c r="CD302" s="19">
        <v>0</v>
      </c>
      <c r="CE302" s="19">
        <v>0</v>
      </c>
      <c r="CF302" s="19">
        <v>0</v>
      </c>
      <c r="CG302" s="19">
        <v>0</v>
      </c>
      <c r="CH302" s="19">
        <v>0</v>
      </c>
      <c r="CI302" s="19">
        <v>0</v>
      </c>
      <c r="CJ302" s="19">
        <v>0</v>
      </c>
      <c r="CK302" s="19">
        <v>0</v>
      </c>
      <c r="CL302" s="19">
        <v>0</v>
      </c>
      <c r="CM302" s="19">
        <v>0</v>
      </c>
      <c r="CN302" s="19">
        <v>0</v>
      </c>
      <c r="CO302" s="19">
        <v>0</v>
      </c>
      <c r="CP302" s="19">
        <v>0</v>
      </c>
      <c r="CQ302" s="19">
        <v>0</v>
      </c>
      <c r="CR302" s="19">
        <v>0</v>
      </c>
      <c r="CS302" s="19">
        <v>0</v>
      </c>
      <c r="CT302" s="19">
        <v>0</v>
      </c>
      <c r="CU302" s="19">
        <v>0</v>
      </c>
      <c r="CV302" s="19">
        <v>0</v>
      </c>
      <c r="CW302" s="19">
        <v>0</v>
      </c>
      <c r="CX302" s="19">
        <v>0</v>
      </c>
      <c r="CY302" s="19">
        <v>0</v>
      </c>
      <c r="CZ302" s="19">
        <v>0</v>
      </c>
      <c r="DA302" s="19">
        <v>0</v>
      </c>
      <c r="DB302" s="19">
        <v>0</v>
      </c>
      <c r="DC302" s="19">
        <v>0</v>
      </c>
      <c r="DD302" s="19">
        <v>0</v>
      </c>
      <c r="DE302" s="19">
        <v>0</v>
      </c>
      <c r="DF302" s="19">
        <v>0</v>
      </c>
      <c r="DG302" s="19">
        <v>0</v>
      </c>
      <c r="DH302" s="19">
        <v>0</v>
      </c>
      <c r="DI302" s="19">
        <v>0</v>
      </c>
      <c r="DJ302" s="19">
        <v>0</v>
      </c>
      <c r="DK302" s="19">
        <v>0</v>
      </c>
      <c r="DL302" s="19">
        <v>0</v>
      </c>
      <c r="DM302" s="19">
        <v>0</v>
      </c>
      <c r="DN302" s="19">
        <v>0</v>
      </c>
      <c r="DO302" s="19">
        <v>0</v>
      </c>
      <c r="DP302" s="19">
        <v>0</v>
      </c>
      <c r="DQ302" s="19">
        <v>0</v>
      </c>
      <c r="DR302" s="19">
        <v>0</v>
      </c>
      <c r="DS302" s="19">
        <v>0</v>
      </c>
      <c r="DT302" s="19">
        <v>0</v>
      </c>
      <c r="DU302" s="19">
        <v>0</v>
      </c>
      <c r="DV302" s="19">
        <v>0</v>
      </c>
      <c r="DW302" s="19">
        <v>0</v>
      </c>
      <c r="DX302" s="19">
        <v>0</v>
      </c>
      <c r="DY302" s="19">
        <v>0</v>
      </c>
      <c r="DZ302" s="19">
        <v>0</v>
      </c>
      <c r="EA302" s="19">
        <v>0</v>
      </c>
      <c r="EB302" s="19">
        <v>0</v>
      </c>
      <c r="EC302" s="19">
        <v>0</v>
      </c>
      <c r="ED302" s="19">
        <v>0</v>
      </c>
      <c r="EE302" s="19">
        <v>0</v>
      </c>
      <c r="EF302" s="19">
        <v>0</v>
      </c>
      <c r="EG302" s="19">
        <v>0</v>
      </c>
      <c r="EH302" s="19">
        <v>0</v>
      </c>
      <c r="EI302" s="19">
        <v>0</v>
      </c>
      <c r="EJ302" s="19">
        <v>0</v>
      </c>
      <c r="EK302" s="19">
        <v>0</v>
      </c>
      <c r="EL302" s="19">
        <v>0</v>
      </c>
      <c r="EM302" s="19">
        <v>0</v>
      </c>
      <c r="EN302" s="19">
        <v>0</v>
      </c>
      <c r="EO302" s="19">
        <v>0</v>
      </c>
      <c r="EP302" s="19">
        <v>0</v>
      </c>
      <c r="EQ302" s="19">
        <v>0</v>
      </c>
      <c r="ER302" s="19">
        <v>0</v>
      </c>
      <c r="ES302" s="119">
        <v>0</v>
      </c>
      <c r="ET302" s="119">
        <v>0</v>
      </c>
    </row>
    <row r="303" spans="1:150" ht="16.5" customHeight="1" x14ac:dyDescent="0.35">
      <c r="A303" s="4">
        <v>210</v>
      </c>
      <c r="B303" s="4" t="str">
        <f>LOOKUP(A303,Lookup!$A$1:$A$34,Lookup!$B$1:$B$34)</f>
        <v>INGREDIENTS</v>
      </c>
      <c r="C303" s="5">
        <v>41222</v>
      </c>
      <c r="D303" s="6" t="s">
        <v>291</v>
      </c>
      <c r="E303" s="18">
        <v>0</v>
      </c>
      <c r="F303" s="18">
        <v>0</v>
      </c>
      <c r="G303" s="18">
        <v>0</v>
      </c>
      <c r="H303" s="18">
        <v>0</v>
      </c>
      <c r="I303" s="19">
        <v>0</v>
      </c>
      <c r="J303" s="19">
        <v>0</v>
      </c>
      <c r="K303" s="19">
        <v>0</v>
      </c>
      <c r="L303" s="19">
        <v>0</v>
      </c>
      <c r="M303" s="19">
        <v>0</v>
      </c>
      <c r="N303" s="19">
        <v>0</v>
      </c>
      <c r="O303" s="19">
        <v>0</v>
      </c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9">
        <v>0</v>
      </c>
      <c r="V303" s="19">
        <v>0</v>
      </c>
      <c r="W303" s="19">
        <v>0</v>
      </c>
      <c r="X303" s="19">
        <v>0</v>
      </c>
      <c r="Y303" s="19">
        <v>0</v>
      </c>
      <c r="Z303" s="19">
        <v>0</v>
      </c>
      <c r="AA303" s="19">
        <v>0</v>
      </c>
      <c r="AB303" s="19">
        <v>0</v>
      </c>
      <c r="AC303" s="19">
        <v>0</v>
      </c>
      <c r="AD303" s="19">
        <v>0</v>
      </c>
      <c r="AE303" s="19">
        <v>0</v>
      </c>
      <c r="AF303" s="19">
        <v>0</v>
      </c>
      <c r="AG303" s="19">
        <v>0</v>
      </c>
      <c r="AH303" s="19">
        <v>0</v>
      </c>
      <c r="AI303" s="19">
        <v>0</v>
      </c>
      <c r="AJ303" s="19">
        <v>0</v>
      </c>
      <c r="AK303" s="19">
        <v>0</v>
      </c>
      <c r="AL303" s="19">
        <v>0</v>
      </c>
      <c r="AM303" s="19">
        <v>0</v>
      </c>
      <c r="AN303" s="19">
        <v>0</v>
      </c>
      <c r="AO303" s="19">
        <v>0</v>
      </c>
      <c r="AP303" s="19">
        <v>0</v>
      </c>
      <c r="AQ303" s="19">
        <v>0</v>
      </c>
      <c r="AR303" s="19">
        <v>0</v>
      </c>
      <c r="AS303" s="19">
        <v>0</v>
      </c>
      <c r="AT303" s="19">
        <v>0</v>
      </c>
      <c r="AU303" s="19">
        <v>0</v>
      </c>
      <c r="AV303" s="19">
        <v>0</v>
      </c>
      <c r="AW303" s="19">
        <v>0</v>
      </c>
      <c r="AX303" s="19">
        <v>0</v>
      </c>
      <c r="AY303" s="19">
        <v>0</v>
      </c>
      <c r="AZ303" s="19">
        <v>0</v>
      </c>
      <c r="BA303" s="19">
        <v>0</v>
      </c>
      <c r="BB303" s="19">
        <v>0</v>
      </c>
      <c r="BC303" s="19">
        <v>0</v>
      </c>
      <c r="BD303" s="19">
        <v>0</v>
      </c>
      <c r="BE303" s="19">
        <v>0</v>
      </c>
      <c r="BF303" s="19">
        <v>0</v>
      </c>
      <c r="BG303" s="19">
        <v>0</v>
      </c>
      <c r="BH303" s="19">
        <v>0</v>
      </c>
      <c r="BI303" s="19">
        <v>0</v>
      </c>
      <c r="BJ303" s="19">
        <v>0</v>
      </c>
      <c r="BK303" s="19">
        <v>0</v>
      </c>
      <c r="BL303" s="19">
        <v>0</v>
      </c>
      <c r="BM303" s="19">
        <v>0</v>
      </c>
      <c r="BN303" s="19">
        <v>0</v>
      </c>
      <c r="BO303" s="19">
        <v>0</v>
      </c>
      <c r="BP303" s="19">
        <v>0</v>
      </c>
      <c r="BQ303" s="19">
        <v>0</v>
      </c>
      <c r="BR303" s="19">
        <v>0</v>
      </c>
      <c r="BS303" s="19">
        <v>0</v>
      </c>
      <c r="BT303" s="19">
        <v>0</v>
      </c>
      <c r="BU303" s="19">
        <v>0</v>
      </c>
      <c r="BV303" s="19">
        <v>0</v>
      </c>
      <c r="BW303" s="19">
        <v>0</v>
      </c>
      <c r="BX303" s="19">
        <v>0</v>
      </c>
      <c r="BY303" s="19">
        <v>0</v>
      </c>
      <c r="BZ303" s="19">
        <v>0</v>
      </c>
      <c r="CA303" s="19">
        <v>0</v>
      </c>
      <c r="CB303" s="19">
        <v>0</v>
      </c>
      <c r="CC303" s="19">
        <v>0</v>
      </c>
      <c r="CD303" s="19">
        <v>0</v>
      </c>
      <c r="CE303" s="19">
        <v>0</v>
      </c>
      <c r="CF303" s="19">
        <v>0</v>
      </c>
      <c r="CG303" s="19">
        <v>0</v>
      </c>
      <c r="CH303" s="19">
        <v>0</v>
      </c>
      <c r="CI303" s="19">
        <v>0</v>
      </c>
      <c r="CJ303" s="19">
        <v>0</v>
      </c>
      <c r="CK303" s="19">
        <v>0</v>
      </c>
      <c r="CL303" s="19">
        <v>0</v>
      </c>
      <c r="CM303" s="19">
        <v>0</v>
      </c>
      <c r="CN303" s="19">
        <v>0</v>
      </c>
      <c r="CO303" s="19">
        <v>0</v>
      </c>
      <c r="CP303" s="19">
        <v>0</v>
      </c>
      <c r="CQ303" s="19">
        <v>0</v>
      </c>
      <c r="CR303" s="19">
        <v>0</v>
      </c>
      <c r="CS303" s="19">
        <v>0</v>
      </c>
      <c r="CT303" s="19">
        <v>0</v>
      </c>
      <c r="CU303" s="19">
        <v>0</v>
      </c>
      <c r="CV303" s="19">
        <v>0</v>
      </c>
      <c r="CW303" s="19">
        <v>0</v>
      </c>
      <c r="CX303" s="19">
        <v>0</v>
      </c>
      <c r="CY303" s="19">
        <v>0</v>
      </c>
      <c r="CZ303" s="19">
        <v>0</v>
      </c>
      <c r="DA303" s="19">
        <v>0</v>
      </c>
      <c r="DB303" s="19">
        <v>0</v>
      </c>
      <c r="DC303" s="19">
        <v>0</v>
      </c>
      <c r="DD303" s="19">
        <v>0</v>
      </c>
      <c r="DE303" s="19">
        <v>0</v>
      </c>
      <c r="DF303" s="19">
        <v>0</v>
      </c>
      <c r="DG303" s="19">
        <v>0</v>
      </c>
      <c r="DH303" s="19">
        <v>0</v>
      </c>
      <c r="DI303" s="19">
        <v>0</v>
      </c>
      <c r="DJ303" s="19">
        <v>0</v>
      </c>
      <c r="DK303" s="19">
        <v>0</v>
      </c>
      <c r="DL303" s="19">
        <v>0</v>
      </c>
      <c r="DM303" s="19">
        <v>0</v>
      </c>
      <c r="DN303" s="19">
        <v>0</v>
      </c>
      <c r="DO303" s="19">
        <v>0</v>
      </c>
      <c r="DP303" s="19">
        <v>0</v>
      </c>
      <c r="DQ303" s="19">
        <v>0</v>
      </c>
      <c r="DR303" s="19">
        <v>0</v>
      </c>
      <c r="DS303" s="19">
        <v>0</v>
      </c>
      <c r="DT303" s="19">
        <v>0</v>
      </c>
      <c r="DU303" s="19">
        <v>0</v>
      </c>
      <c r="DV303" s="19">
        <v>0</v>
      </c>
      <c r="DW303" s="19">
        <v>0</v>
      </c>
      <c r="DX303" s="19">
        <v>0</v>
      </c>
      <c r="DY303" s="19">
        <v>0</v>
      </c>
      <c r="DZ303" s="19">
        <v>0</v>
      </c>
      <c r="EA303" s="19">
        <v>0</v>
      </c>
      <c r="EB303" s="19">
        <v>0</v>
      </c>
      <c r="EC303" s="19">
        <v>0</v>
      </c>
      <c r="ED303" s="19">
        <v>0</v>
      </c>
      <c r="EE303" s="19">
        <v>0</v>
      </c>
      <c r="EF303" s="19">
        <v>0</v>
      </c>
      <c r="EG303" s="19">
        <v>0</v>
      </c>
      <c r="EH303" s="19">
        <v>0</v>
      </c>
      <c r="EI303" s="19">
        <v>0</v>
      </c>
      <c r="EJ303" s="19">
        <v>0</v>
      </c>
      <c r="EK303" s="19">
        <v>0</v>
      </c>
      <c r="EL303" s="19">
        <v>0</v>
      </c>
      <c r="EM303" s="19">
        <v>0</v>
      </c>
      <c r="EN303" s="19">
        <v>0</v>
      </c>
      <c r="EO303" s="19">
        <v>0</v>
      </c>
      <c r="EP303" s="19">
        <v>0</v>
      </c>
      <c r="EQ303" s="19">
        <v>0</v>
      </c>
      <c r="ER303" s="19">
        <v>0</v>
      </c>
      <c r="ES303" s="119">
        <v>0</v>
      </c>
      <c r="ET303" s="119">
        <v>0</v>
      </c>
    </row>
    <row r="304" spans="1:150" ht="16.5" customHeight="1" x14ac:dyDescent="0.35">
      <c r="A304" s="4">
        <v>210</v>
      </c>
      <c r="B304" s="4" t="str">
        <f>LOOKUP(A304,Lookup!$A$1:$A$34,Lookup!$B$1:$B$34)</f>
        <v>INGREDIENTS</v>
      </c>
      <c r="C304" s="5">
        <v>41223</v>
      </c>
      <c r="D304" s="6" t="s">
        <v>292</v>
      </c>
      <c r="E304" s="18">
        <v>0</v>
      </c>
      <c r="F304" s="18">
        <v>0</v>
      </c>
      <c r="G304" s="18">
        <v>0</v>
      </c>
      <c r="H304" s="18">
        <v>0</v>
      </c>
      <c r="I304" s="19">
        <v>0</v>
      </c>
      <c r="J304" s="19">
        <v>0</v>
      </c>
      <c r="K304" s="19">
        <v>0</v>
      </c>
      <c r="L304" s="19">
        <v>0</v>
      </c>
      <c r="M304" s="19">
        <v>0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0</v>
      </c>
      <c r="AD304" s="19">
        <v>0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0</v>
      </c>
      <c r="AL304" s="19">
        <v>0</v>
      </c>
      <c r="AM304" s="19">
        <v>0</v>
      </c>
      <c r="AN304" s="19">
        <v>0</v>
      </c>
      <c r="AO304" s="19">
        <v>0</v>
      </c>
      <c r="AP304" s="19">
        <v>0</v>
      </c>
      <c r="AQ304" s="19">
        <v>0</v>
      </c>
      <c r="AR304" s="19">
        <v>0</v>
      </c>
      <c r="AS304" s="19">
        <v>0</v>
      </c>
      <c r="AT304" s="19">
        <v>0</v>
      </c>
      <c r="AU304" s="19">
        <v>0</v>
      </c>
      <c r="AV304" s="19">
        <v>0</v>
      </c>
      <c r="AW304" s="19">
        <v>0</v>
      </c>
      <c r="AX304" s="19">
        <v>0</v>
      </c>
      <c r="AY304" s="19">
        <v>0</v>
      </c>
      <c r="AZ304" s="19">
        <v>0</v>
      </c>
      <c r="BA304" s="19">
        <v>0</v>
      </c>
      <c r="BB304" s="19">
        <v>0</v>
      </c>
      <c r="BC304" s="19">
        <v>0</v>
      </c>
      <c r="BD304" s="19">
        <v>0</v>
      </c>
      <c r="BE304" s="19">
        <v>0</v>
      </c>
      <c r="BF304" s="19">
        <v>0</v>
      </c>
      <c r="BG304" s="19">
        <v>0</v>
      </c>
      <c r="BH304" s="19">
        <v>0</v>
      </c>
      <c r="BI304" s="19">
        <v>0</v>
      </c>
      <c r="BJ304" s="19">
        <v>0</v>
      </c>
      <c r="BK304" s="19">
        <v>0</v>
      </c>
      <c r="BL304" s="19">
        <v>0</v>
      </c>
      <c r="BM304" s="19">
        <v>0</v>
      </c>
      <c r="BN304" s="19">
        <v>0</v>
      </c>
      <c r="BO304" s="19">
        <v>0</v>
      </c>
      <c r="BP304" s="19">
        <v>0</v>
      </c>
      <c r="BQ304" s="19">
        <v>0</v>
      </c>
      <c r="BR304" s="19">
        <v>0</v>
      </c>
      <c r="BS304" s="19">
        <v>0</v>
      </c>
      <c r="BT304" s="19">
        <v>0</v>
      </c>
      <c r="BU304" s="19">
        <v>0</v>
      </c>
      <c r="BV304" s="19">
        <v>0</v>
      </c>
      <c r="BW304" s="19">
        <v>0</v>
      </c>
      <c r="BX304" s="19">
        <v>0</v>
      </c>
      <c r="BY304" s="19">
        <v>0</v>
      </c>
      <c r="BZ304" s="19">
        <v>0</v>
      </c>
      <c r="CA304" s="19">
        <v>0</v>
      </c>
      <c r="CB304" s="19">
        <v>0</v>
      </c>
      <c r="CC304" s="19">
        <v>0</v>
      </c>
      <c r="CD304" s="19">
        <v>0</v>
      </c>
      <c r="CE304" s="19">
        <v>0</v>
      </c>
      <c r="CF304" s="19">
        <v>0</v>
      </c>
      <c r="CG304" s="19">
        <v>0</v>
      </c>
      <c r="CH304" s="19">
        <v>0</v>
      </c>
      <c r="CI304" s="19">
        <v>0</v>
      </c>
      <c r="CJ304" s="19">
        <v>0</v>
      </c>
      <c r="CK304" s="19">
        <v>0</v>
      </c>
      <c r="CL304" s="19">
        <v>0</v>
      </c>
      <c r="CM304" s="19">
        <v>0</v>
      </c>
      <c r="CN304" s="19">
        <v>0</v>
      </c>
      <c r="CO304" s="19">
        <v>0</v>
      </c>
      <c r="CP304" s="19">
        <v>0</v>
      </c>
      <c r="CQ304" s="19">
        <v>0</v>
      </c>
      <c r="CR304" s="19">
        <v>0</v>
      </c>
      <c r="CS304" s="19">
        <v>0</v>
      </c>
      <c r="CT304" s="19">
        <v>0</v>
      </c>
      <c r="CU304" s="19">
        <v>0</v>
      </c>
      <c r="CV304" s="19">
        <v>0</v>
      </c>
      <c r="CW304" s="19">
        <v>0</v>
      </c>
      <c r="CX304" s="19">
        <v>0</v>
      </c>
      <c r="CY304" s="19">
        <v>0</v>
      </c>
      <c r="CZ304" s="19">
        <v>0</v>
      </c>
      <c r="DA304" s="19">
        <v>0</v>
      </c>
      <c r="DB304" s="19">
        <v>0</v>
      </c>
      <c r="DC304" s="19">
        <v>0</v>
      </c>
      <c r="DD304" s="19">
        <v>0</v>
      </c>
      <c r="DE304" s="19">
        <v>0</v>
      </c>
      <c r="DF304" s="19">
        <v>0</v>
      </c>
      <c r="DG304" s="19">
        <v>0</v>
      </c>
      <c r="DH304" s="19">
        <v>0</v>
      </c>
      <c r="DI304" s="19">
        <v>0</v>
      </c>
      <c r="DJ304" s="19">
        <v>0</v>
      </c>
      <c r="DK304" s="19">
        <v>0</v>
      </c>
      <c r="DL304" s="19">
        <v>0</v>
      </c>
      <c r="DM304" s="19">
        <v>0</v>
      </c>
      <c r="DN304" s="19">
        <v>0</v>
      </c>
      <c r="DO304" s="19">
        <v>0</v>
      </c>
      <c r="DP304" s="19">
        <v>0</v>
      </c>
      <c r="DQ304" s="19">
        <v>0</v>
      </c>
      <c r="DR304" s="19">
        <v>0</v>
      </c>
      <c r="DS304" s="19">
        <v>0</v>
      </c>
      <c r="DT304" s="19">
        <v>0</v>
      </c>
      <c r="DU304" s="19">
        <v>0</v>
      </c>
      <c r="DV304" s="19">
        <v>0</v>
      </c>
      <c r="DW304" s="19">
        <v>0</v>
      </c>
      <c r="DX304" s="19">
        <v>0</v>
      </c>
      <c r="DY304" s="19">
        <v>0</v>
      </c>
      <c r="DZ304" s="19">
        <v>0</v>
      </c>
      <c r="EA304" s="19">
        <v>0</v>
      </c>
      <c r="EB304" s="19">
        <v>0</v>
      </c>
      <c r="EC304" s="19">
        <v>0</v>
      </c>
      <c r="ED304" s="19">
        <v>0</v>
      </c>
      <c r="EE304" s="19">
        <v>0</v>
      </c>
      <c r="EF304" s="19">
        <v>0</v>
      </c>
      <c r="EG304" s="19">
        <v>0</v>
      </c>
      <c r="EH304" s="19">
        <v>0</v>
      </c>
      <c r="EI304" s="19">
        <v>0</v>
      </c>
      <c r="EJ304" s="19">
        <v>0</v>
      </c>
      <c r="EK304" s="19">
        <v>0</v>
      </c>
      <c r="EL304" s="19">
        <v>0</v>
      </c>
      <c r="EM304" s="19">
        <v>0</v>
      </c>
      <c r="EN304" s="19">
        <v>0</v>
      </c>
      <c r="EO304" s="19">
        <v>0</v>
      </c>
      <c r="EP304" s="19">
        <v>0</v>
      </c>
      <c r="EQ304" s="19">
        <v>0</v>
      </c>
      <c r="ER304" s="19">
        <v>0</v>
      </c>
      <c r="ES304" s="119">
        <v>0</v>
      </c>
      <c r="ET304" s="119">
        <v>0</v>
      </c>
    </row>
    <row r="305" spans="1:150" ht="16.5" customHeight="1" x14ac:dyDescent="0.35">
      <c r="A305" s="4">
        <v>210</v>
      </c>
      <c r="B305" s="4" t="str">
        <f>LOOKUP(A305,Lookup!$A$1:$A$34,Lookup!$B$1:$B$34)</f>
        <v>INGREDIENTS</v>
      </c>
      <c r="C305" s="5">
        <v>41226</v>
      </c>
      <c r="D305" s="6" t="s">
        <v>293</v>
      </c>
      <c r="E305" s="18">
        <v>0</v>
      </c>
      <c r="F305" s="18">
        <v>0</v>
      </c>
      <c r="G305" s="18">
        <v>0</v>
      </c>
      <c r="H305" s="18">
        <v>0</v>
      </c>
      <c r="I305" s="19">
        <v>0</v>
      </c>
      <c r="J305" s="19">
        <v>0</v>
      </c>
      <c r="K305" s="19">
        <v>0</v>
      </c>
      <c r="L305" s="19">
        <v>0</v>
      </c>
      <c r="M305" s="19">
        <v>0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9">
        <v>0</v>
      </c>
      <c r="V305" s="19">
        <v>0</v>
      </c>
      <c r="W305" s="19">
        <v>0</v>
      </c>
      <c r="X305" s="19">
        <v>0</v>
      </c>
      <c r="Y305" s="19">
        <v>0</v>
      </c>
      <c r="Z305" s="19">
        <v>0</v>
      </c>
      <c r="AA305" s="19">
        <v>0</v>
      </c>
      <c r="AB305" s="19">
        <v>0</v>
      </c>
      <c r="AC305" s="19">
        <v>0</v>
      </c>
      <c r="AD305" s="19">
        <v>0</v>
      </c>
      <c r="AE305" s="19">
        <v>0</v>
      </c>
      <c r="AF305" s="19">
        <v>0</v>
      </c>
      <c r="AG305" s="19">
        <v>0</v>
      </c>
      <c r="AH305" s="19">
        <v>0</v>
      </c>
      <c r="AI305" s="19">
        <v>0</v>
      </c>
      <c r="AJ305" s="19">
        <v>0</v>
      </c>
      <c r="AK305" s="19">
        <v>0</v>
      </c>
      <c r="AL305" s="19">
        <v>0</v>
      </c>
      <c r="AM305" s="19">
        <v>0</v>
      </c>
      <c r="AN305" s="19">
        <v>0</v>
      </c>
      <c r="AO305" s="19">
        <v>0</v>
      </c>
      <c r="AP305" s="19">
        <v>0</v>
      </c>
      <c r="AQ305" s="19">
        <v>0</v>
      </c>
      <c r="AR305" s="19">
        <v>0</v>
      </c>
      <c r="AS305" s="19">
        <v>0</v>
      </c>
      <c r="AT305" s="19">
        <v>0</v>
      </c>
      <c r="AU305" s="19">
        <v>0</v>
      </c>
      <c r="AV305" s="19">
        <v>0</v>
      </c>
      <c r="AW305" s="19">
        <v>0</v>
      </c>
      <c r="AX305" s="19">
        <v>0</v>
      </c>
      <c r="AY305" s="19">
        <v>0</v>
      </c>
      <c r="AZ305" s="19">
        <v>0</v>
      </c>
      <c r="BA305" s="19">
        <v>0</v>
      </c>
      <c r="BB305" s="19">
        <v>0</v>
      </c>
      <c r="BC305" s="19">
        <v>0</v>
      </c>
      <c r="BD305" s="19">
        <v>0</v>
      </c>
      <c r="BE305" s="19">
        <v>0</v>
      </c>
      <c r="BF305" s="19">
        <v>0</v>
      </c>
      <c r="BG305" s="19">
        <v>0</v>
      </c>
      <c r="BH305" s="19">
        <v>0</v>
      </c>
      <c r="BI305" s="19">
        <v>0</v>
      </c>
      <c r="BJ305" s="19">
        <v>0</v>
      </c>
      <c r="BK305" s="19">
        <v>0</v>
      </c>
      <c r="BL305" s="19">
        <v>0</v>
      </c>
      <c r="BM305" s="19">
        <v>0</v>
      </c>
      <c r="BN305" s="19">
        <v>0</v>
      </c>
      <c r="BO305" s="19">
        <v>0</v>
      </c>
      <c r="BP305" s="19">
        <v>0</v>
      </c>
      <c r="BQ305" s="19">
        <v>0</v>
      </c>
      <c r="BR305" s="19">
        <v>0</v>
      </c>
      <c r="BS305" s="19">
        <v>0</v>
      </c>
      <c r="BT305" s="19">
        <v>0</v>
      </c>
      <c r="BU305" s="19">
        <v>0</v>
      </c>
      <c r="BV305" s="19">
        <v>0</v>
      </c>
      <c r="BW305" s="19">
        <v>0</v>
      </c>
      <c r="BX305" s="19">
        <v>0</v>
      </c>
      <c r="BY305" s="19">
        <v>0</v>
      </c>
      <c r="BZ305" s="19">
        <v>0</v>
      </c>
      <c r="CA305" s="19">
        <v>0</v>
      </c>
      <c r="CB305" s="19">
        <v>0</v>
      </c>
      <c r="CC305" s="19">
        <v>0</v>
      </c>
      <c r="CD305" s="19">
        <v>0</v>
      </c>
      <c r="CE305" s="19">
        <v>0</v>
      </c>
      <c r="CF305" s="19">
        <v>0</v>
      </c>
      <c r="CG305" s="19">
        <v>0</v>
      </c>
      <c r="CH305" s="19">
        <v>0</v>
      </c>
      <c r="CI305" s="19">
        <v>0</v>
      </c>
      <c r="CJ305" s="19">
        <v>0</v>
      </c>
      <c r="CK305" s="19">
        <v>0</v>
      </c>
      <c r="CL305" s="19">
        <v>0</v>
      </c>
      <c r="CM305" s="19">
        <v>0</v>
      </c>
      <c r="CN305" s="19">
        <v>0</v>
      </c>
      <c r="CO305" s="19">
        <v>0</v>
      </c>
      <c r="CP305" s="19">
        <v>0</v>
      </c>
      <c r="CQ305" s="19">
        <v>0</v>
      </c>
      <c r="CR305" s="19">
        <v>0</v>
      </c>
      <c r="CS305" s="19">
        <v>0</v>
      </c>
      <c r="CT305" s="19">
        <v>0</v>
      </c>
      <c r="CU305" s="19">
        <v>0</v>
      </c>
      <c r="CV305" s="19">
        <v>0</v>
      </c>
      <c r="CW305" s="19">
        <v>0</v>
      </c>
      <c r="CX305" s="19">
        <v>0</v>
      </c>
      <c r="CY305" s="19">
        <v>0</v>
      </c>
      <c r="CZ305" s="19">
        <v>0</v>
      </c>
      <c r="DA305" s="19">
        <v>0</v>
      </c>
      <c r="DB305" s="19">
        <v>0</v>
      </c>
      <c r="DC305" s="19">
        <v>0</v>
      </c>
      <c r="DD305" s="19">
        <v>0</v>
      </c>
      <c r="DE305" s="19">
        <v>0</v>
      </c>
      <c r="DF305" s="19">
        <v>0</v>
      </c>
      <c r="DG305" s="19">
        <v>0</v>
      </c>
      <c r="DH305" s="19">
        <v>0</v>
      </c>
      <c r="DI305" s="19">
        <v>0</v>
      </c>
      <c r="DJ305" s="19">
        <v>0</v>
      </c>
      <c r="DK305" s="19">
        <v>0</v>
      </c>
      <c r="DL305" s="19">
        <v>0</v>
      </c>
      <c r="DM305" s="19">
        <v>0</v>
      </c>
      <c r="DN305" s="19">
        <v>0</v>
      </c>
      <c r="DO305" s="19">
        <v>0</v>
      </c>
      <c r="DP305" s="19">
        <v>0</v>
      </c>
      <c r="DQ305" s="19">
        <v>0</v>
      </c>
      <c r="DR305" s="19">
        <v>0</v>
      </c>
      <c r="DS305" s="19">
        <v>0</v>
      </c>
      <c r="DT305" s="19">
        <v>0</v>
      </c>
      <c r="DU305" s="19">
        <v>0</v>
      </c>
      <c r="DV305" s="19">
        <v>0</v>
      </c>
      <c r="DW305" s="19">
        <v>0</v>
      </c>
      <c r="DX305" s="19">
        <v>0</v>
      </c>
      <c r="DY305" s="19">
        <v>0</v>
      </c>
      <c r="DZ305" s="19">
        <v>0</v>
      </c>
      <c r="EA305" s="19">
        <v>0</v>
      </c>
      <c r="EB305" s="19">
        <v>0</v>
      </c>
      <c r="EC305" s="19">
        <v>0</v>
      </c>
      <c r="ED305" s="19">
        <v>0</v>
      </c>
      <c r="EE305" s="19">
        <v>0</v>
      </c>
      <c r="EF305" s="19">
        <v>0</v>
      </c>
      <c r="EG305" s="19">
        <v>0</v>
      </c>
      <c r="EH305" s="19">
        <v>0</v>
      </c>
      <c r="EI305" s="19">
        <v>0</v>
      </c>
      <c r="EJ305" s="19">
        <v>0</v>
      </c>
      <c r="EK305" s="19">
        <v>0</v>
      </c>
      <c r="EL305" s="19">
        <v>0</v>
      </c>
      <c r="EM305" s="19">
        <v>0</v>
      </c>
      <c r="EN305" s="19">
        <v>0</v>
      </c>
      <c r="EO305" s="19">
        <v>0</v>
      </c>
      <c r="EP305" s="19">
        <v>0</v>
      </c>
      <c r="EQ305" s="19">
        <v>0</v>
      </c>
      <c r="ER305" s="19">
        <v>0</v>
      </c>
      <c r="ES305" s="119">
        <v>0</v>
      </c>
      <c r="ET305" s="119">
        <v>0</v>
      </c>
    </row>
    <row r="306" spans="1:150" ht="16.5" customHeight="1" x14ac:dyDescent="0.35">
      <c r="A306" s="4">
        <v>210</v>
      </c>
      <c r="B306" s="4" t="str">
        <f>LOOKUP(A306,Lookup!$A$1:$A$34,Lookup!$B$1:$B$34)</f>
        <v>INGREDIENTS</v>
      </c>
      <c r="C306" s="5">
        <v>41244</v>
      </c>
      <c r="D306" s="6" t="s">
        <v>294</v>
      </c>
      <c r="E306" s="18">
        <v>0</v>
      </c>
      <c r="F306" s="18">
        <v>0</v>
      </c>
      <c r="G306" s="18">
        <v>0</v>
      </c>
      <c r="H306" s="18">
        <v>0</v>
      </c>
      <c r="I306" s="19">
        <v>0</v>
      </c>
      <c r="J306" s="19">
        <v>0</v>
      </c>
      <c r="K306" s="19">
        <v>0</v>
      </c>
      <c r="L306" s="19">
        <v>0</v>
      </c>
      <c r="M306" s="19">
        <v>0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0</v>
      </c>
      <c r="AF306" s="19">
        <v>0</v>
      </c>
      <c r="AG306" s="19">
        <v>0</v>
      </c>
      <c r="AH306" s="19">
        <v>0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0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19">
        <v>0</v>
      </c>
      <c r="BC306" s="19">
        <v>0</v>
      </c>
      <c r="BD306" s="19">
        <v>0</v>
      </c>
      <c r="BE306" s="19">
        <v>0</v>
      </c>
      <c r="BF306" s="19">
        <v>0</v>
      </c>
      <c r="BG306" s="19">
        <v>0</v>
      </c>
      <c r="BH306" s="19">
        <v>0</v>
      </c>
      <c r="BI306" s="19">
        <v>0</v>
      </c>
      <c r="BJ306" s="19">
        <v>0</v>
      </c>
      <c r="BK306" s="19">
        <v>0</v>
      </c>
      <c r="BL306" s="19">
        <v>0</v>
      </c>
      <c r="BM306" s="19">
        <v>0</v>
      </c>
      <c r="BN306" s="19">
        <v>0</v>
      </c>
      <c r="BO306" s="19">
        <v>0</v>
      </c>
      <c r="BP306" s="19">
        <v>0</v>
      </c>
      <c r="BQ306" s="19">
        <v>0</v>
      </c>
      <c r="BR306" s="19">
        <v>0</v>
      </c>
      <c r="BS306" s="19">
        <v>0</v>
      </c>
      <c r="BT306" s="19">
        <v>0</v>
      </c>
      <c r="BU306" s="19">
        <v>0</v>
      </c>
      <c r="BV306" s="19">
        <v>0</v>
      </c>
      <c r="BW306" s="19">
        <v>0</v>
      </c>
      <c r="BX306" s="19">
        <v>0</v>
      </c>
      <c r="BY306" s="19">
        <v>0</v>
      </c>
      <c r="BZ306" s="19">
        <v>0</v>
      </c>
      <c r="CA306" s="19">
        <v>0</v>
      </c>
      <c r="CB306" s="19">
        <v>0</v>
      </c>
      <c r="CC306" s="19">
        <v>0</v>
      </c>
      <c r="CD306" s="19">
        <v>0</v>
      </c>
      <c r="CE306" s="19">
        <v>0</v>
      </c>
      <c r="CF306" s="19">
        <v>0</v>
      </c>
      <c r="CG306" s="19">
        <v>0</v>
      </c>
      <c r="CH306" s="19">
        <v>0</v>
      </c>
      <c r="CI306" s="19">
        <v>0</v>
      </c>
      <c r="CJ306" s="19">
        <v>0</v>
      </c>
      <c r="CK306" s="19">
        <v>0</v>
      </c>
      <c r="CL306" s="19">
        <v>0</v>
      </c>
      <c r="CM306" s="19">
        <v>0</v>
      </c>
      <c r="CN306" s="19">
        <v>0</v>
      </c>
      <c r="CO306" s="19">
        <v>0</v>
      </c>
      <c r="CP306" s="19">
        <v>0</v>
      </c>
      <c r="CQ306" s="19">
        <v>0</v>
      </c>
      <c r="CR306" s="19">
        <v>0</v>
      </c>
      <c r="CS306" s="19">
        <v>0</v>
      </c>
      <c r="CT306" s="19">
        <v>0</v>
      </c>
      <c r="CU306" s="19">
        <v>0</v>
      </c>
      <c r="CV306" s="19">
        <v>0</v>
      </c>
      <c r="CW306" s="19">
        <v>0</v>
      </c>
      <c r="CX306" s="19">
        <v>0</v>
      </c>
      <c r="CY306" s="19">
        <v>0</v>
      </c>
      <c r="CZ306" s="19">
        <v>0</v>
      </c>
      <c r="DA306" s="19">
        <v>0</v>
      </c>
      <c r="DB306" s="19">
        <v>0</v>
      </c>
      <c r="DC306" s="19">
        <v>0</v>
      </c>
      <c r="DD306" s="19">
        <v>0</v>
      </c>
      <c r="DE306" s="19">
        <v>0</v>
      </c>
      <c r="DF306" s="19">
        <v>0</v>
      </c>
      <c r="DG306" s="19">
        <v>0</v>
      </c>
      <c r="DH306" s="19">
        <v>0</v>
      </c>
      <c r="DI306" s="19">
        <v>0</v>
      </c>
      <c r="DJ306" s="19">
        <v>0</v>
      </c>
      <c r="DK306" s="19">
        <v>0</v>
      </c>
      <c r="DL306" s="19">
        <v>0</v>
      </c>
      <c r="DM306" s="19">
        <v>0</v>
      </c>
      <c r="DN306" s="19">
        <v>0</v>
      </c>
      <c r="DO306" s="19">
        <v>0</v>
      </c>
      <c r="DP306" s="19">
        <v>0</v>
      </c>
      <c r="DQ306" s="19">
        <v>0</v>
      </c>
      <c r="DR306" s="19">
        <v>0</v>
      </c>
      <c r="DS306" s="19">
        <v>0</v>
      </c>
      <c r="DT306" s="19">
        <v>0</v>
      </c>
      <c r="DU306" s="19">
        <v>0</v>
      </c>
      <c r="DV306" s="19">
        <v>0</v>
      </c>
      <c r="DW306" s="19">
        <v>0</v>
      </c>
      <c r="DX306" s="19">
        <v>0</v>
      </c>
      <c r="DY306" s="19">
        <v>0</v>
      </c>
      <c r="DZ306" s="19">
        <v>0</v>
      </c>
      <c r="EA306" s="19">
        <v>0</v>
      </c>
      <c r="EB306" s="19">
        <v>0</v>
      </c>
      <c r="EC306" s="19">
        <v>0</v>
      </c>
      <c r="ED306" s="19">
        <v>0</v>
      </c>
      <c r="EE306" s="19">
        <v>0</v>
      </c>
      <c r="EF306" s="19">
        <v>0</v>
      </c>
      <c r="EG306" s="19">
        <v>0</v>
      </c>
      <c r="EH306" s="19">
        <v>0</v>
      </c>
      <c r="EI306" s="19">
        <v>0</v>
      </c>
      <c r="EJ306" s="19">
        <v>0</v>
      </c>
      <c r="EK306" s="19">
        <v>0</v>
      </c>
      <c r="EL306" s="19">
        <v>0</v>
      </c>
      <c r="EM306" s="19">
        <v>0</v>
      </c>
      <c r="EN306" s="19">
        <v>0</v>
      </c>
      <c r="EO306" s="19">
        <v>0</v>
      </c>
      <c r="EP306" s="19">
        <v>0</v>
      </c>
      <c r="EQ306" s="19">
        <v>0</v>
      </c>
      <c r="ER306" s="19">
        <v>0</v>
      </c>
      <c r="ES306" s="119">
        <v>0</v>
      </c>
      <c r="ET306" s="119">
        <v>0</v>
      </c>
    </row>
    <row r="307" spans="1:150" ht="16.5" customHeight="1" x14ac:dyDescent="0.35">
      <c r="A307" s="4">
        <v>210</v>
      </c>
      <c r="B307" s="4" t="str">
        <f>LOOKUP(A307,Lookup!$A$1:$A$34,Lookup!$B$1:$B$34)</f>
        <v>INGREDIENTS</v>
      </c>
      <c r="C307" s="5">
        <v>41258</v>
      </c>
      <c r="D307" s="6" t="s">
        <v>295</v>
      </c>
      <c r="E307" s="18">
        <v>32.7486834047765</v>
      </c>
      <c r="F307" s="18">
        <v>0.36899999999999999</v>
      </c>
      <c r="G307" s="18">
        <v>2325.1565217391299</v>
      </c>
      <c r="H307" s="18">
        <v>26.209</v>
      </c>
      <c r="I307" s="19">
        <v>0</v>
      </c>
      <c r="J307" s="19">
        <v>0</v>
      </c>
      <c r="K307" s="19">
        <v>0</v>
      </c>
      <c r="L307" s="19">
        <v>0</v>
      </c>
      <c r="M307" s="19">
        <v>0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0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9">
        <v>0</v>
      </c>
      <c r="AV307" s="19">
        <v>0</v>
      </c>
      <c r="AW307" s="19">
        <v>0</v>
      </c>
      <c r="AX307" s="19">
        <v>0</v>
      </c>
      <c r="AY307" s="19">
        <v>0</v>
      </c>
      <c r="AZ307" s="19">
        <v>0</v>
      </c>
      <c r="BA307" s="19">
        <v>0</v>
      </c>
      <c r="BB307" s="19">
        <v>0</v>
      </c>
      <c r="BC307" s="19">
        <v>0</v>
      </c>
      <c r="BD307" s="19">
        <v>0</v>
      </c>
      <c r="BE307" s="19">
        <v>0</v>
      </c>
      <c r="BF307" s="19">
        <v>0</v>
      </c>
      <c r="BG307" s="19">
        <v>0</v>
      </c>
      <c r="BH307" s="19">
        <v>0</v>
      </c>
      <c r="BI307" s="19">
        <v>0</v>
      </c>
      <c r="BJ307" s="19">
        <v>0</v>
      </c>
      <c r="BK307" s="19">
        <v>0</v>
      </c>
      <c r="BL307" s="19">
        <v>0</v>
      </c>
      <c r="BM307" s="19">
        <v>0</v>
      </c>
      <c r="BN307" s="19">
        <v>0</v>
      </c>
      <c r="BO307" s="19">
        <v>0</v>
      </c>
      <c r="BP307" s="19">
        <v>0</v>
      </c>
      <c r="BQ307" s="19">
        <v>1930.3478260869599</v>
      </c>
      <c r="BR307" s="19">
        <v>22.425000000000001</v>
      </c>
      <c r="BS307" s="19">
        <v>0</v>
      </c>
      <c r="BT307" s="19">
        <v>0</v>
      </c>
      <c r="BU307" s="19">
        <v>238.304347826087</v>
      </c>
      <c r="BV307" s="19">
        <v>2.2839999999999998</v>
      </c>
      <c r="BW307" s="19">
        <v>156.50434782608701</v>
      </c>
      <c r="BX307" s="19">
        <v>1.5</v>
      </c>
      <c r="BY307" s="19">
        <v>0</v>
      </c>
      <c r="BZ307" s="19">
        <v>0</v>
      </c>
      <c r="CA307" s="19">
        <v>0</v>
      </c>
      <c r="CB307" s="19">
        <v>0</v>
      </c>
      <c r="CC307" s="19">
        <v>0</v>
      </c>
      <c r="CD307" s="19">
        <v>0</v>
      </c>
      <c r="CE307" s="19">
        <v>0</v>
      </c>
      <c r="CF307" s="19">
        <v>0</v>
      </c>
      <c r="CG307" s="19">
        <v>0</v>
      </c>
      <c r="CH307" s="19">
        <v>0</v>
      </c>
      <c r="CI307" s="19">
        <v>0</v>
      </c>
      <c r="CJ307" s="19">
        <v>0</v>
      </c>
      <c r="CK307" s="19">
        <v>0</v>
      </c>
      <c r="CL307" s="19">
        <v>0</v>
      </c>
      <c r="CM307" s="19">
        <v>0</v>
      </c>
      <c r="CN307" s="19">
        <v>0</v>
      </c>
      <c r="CO307" s="19">
        <v>0</v>
      </c>
      <c r="CP307" s="19">
        <v>0</v>
      </c>
      <c r="CQ307" s="19">
        <v>0</v>
      </c>
      <c r="CR307" s="19">
        <v>0</v>
      </c>
      <c r="CS307" s="19">
        <v>0</v>
      </c>
      <c r="CT307" s="19">
        <v>0</v>
      </c>
      <c r="CU307" s="19">
        <v>0</v>
      </c>
      <c r="CV307" s="19">
        <v>0</v>
      </c>
      <c r="CW307" s="19">
        <v>0</v>
      </c>
      <c r="CX307" s="19">
        <v>0</v>
      </c>
      <c r="CY307" s="19">
        <v>0</v>
      </c>
      <c r="CZ307" s="19">
        <v>0</v>
      </c>
      <c r="DA307" s="19">
        <v>0</v>
      </c>
      <c r="DB307" s="19">
        <v>0</v>
      </c>
      <c r="DC307" s="19">
        <v>0</v>
      </c>
      <c r="DD307" s="19">
        <v>0</v>
      </c>
      <c r="DE307" s="19">
        <v>0</v>
      </c>
      <c r="DF307" s="19">
        <v>0</v>
      </c>
      <c r="DG307" s="19">
        <v>0</v>
      </c>
      <c r="DH307" s="19">
        <v>0</v>
      </c>
      <c r="DI307" s="19">
        <v>0</v>
      </c>
      <c r="DJ307" s="19">
        <v>0</v>
      </c>
      <c r="DK307" s="19">
        <v>0</v>
      </c>
      <c r="DL307" s="19">
        <v>0</v>
      </c>
      <c r="DM307" s="19">
        <v>0</v>
      </c>
      <c r="DN307" s="19">
        <v>0</v>
      </c>
      <c r="DO307" s="19">
        <v>0</v>
      </c>
      <c r="DP307" s="19">
        <v>0</v>
      </c>
      <c r="DQ307" s="19">
        <v>0</v>
      </c>
      <c r="DR307" s="19">
        <v>0</v>
      </c>
      <c r="DS307" s="19">
        <v>0</v>
      </c>
      <c r="DT307" s="19">
        <v>0</v>
      </c>
      <c r="DU307" s="19">
        <v>0</v>
      </c>
      <c r="DV307" s="19">
        <v>0</v>
      </c>
      <c r="DW307" s="19">
        <v>0</v>
      </c>
      <c r="DX307" s="19">
        <v>0</v>
      </c>
      <c r="DY307" s="19">
        <v>0</v>
      </c>
      <c r="DZ307" s="19">
        <v>0</v>
      </c>
      <c r="EA307" s="19">
        <v>0</v>
      </c>
      <c r="EB307" s="19">
        <v>0</v>
      </c>
      <c r="EC307" s="19">
        <v>0</v>
      </c>
      <c r="ED307" s="19">
        <v>0</v>
      </c>
      <c r="EE307" s="19">
        <v>0</v>
      </c>
      <c r="EF307" s="19">
        <v>0</v>
      </c>
      <c r="EG307" s="19">
        <v>0</v>
      </c>
      <c r="EH307" s="19">
        <v>0</v>
      </c>
      <c r="EI307" s="19">
        <v>0</v>
      </c>
      <c r="EJ307" s="19">
        <v>0</v>
      </c>
      <c r="EK307" s="19">
        <v>0</v>
      </c>
      <c r="EL307" s="19">
        <v>0</v>
      </c>
      <c r="EM307" s="19">
        <v>0</v>
      </c>
      <c r="EN307" s="19">
        <v>0</v>
      </c>
      <c r="EO307" s="19">
        <v>0</v>
      </c>
      <c r="EP307" s="19">
        <v>0</v>
      </c>
      <c r="EQ307" s="19">
        <v>0</v>
      </c>
      <c r="ER307" s="19">
        <v>0</v>
      </c>
      <c r="ES307" s="119">
        <v>0</v>
      </c>
      <c r="ET307" s="119">
        <v>0</v>
      </c>
    </row>
    <row r="308" spans="1:150" ht="16.5" customHeight="1" x14ac:dyDescent="0.35">
      <c r="A308" s="4">
        <v>210</v>
      </c>
      <c r="B308" s="4" t="str">
        <f>LOOKUP(A308,Lookup!$A$1:$A$34,Lookup!$B$1:$B$34)</f>
        <v>INGREDIENTS</v>
      </c>
      <c r="C308" s="5">
        <v>41365</v>
      </c>
      <c r="D308" s="6" t="s">
        <v>296</v>
      </c>
      <c r="E308" s="18">
        <v>0</v>
      </c>
      <c r="F308" s="18">
        <v>0</v>
      </c>
      <c r="G308" s="18">
        <v>0</v>
      </c>
      <c r="H308" s="18">
        <v>0</v>
      </c>
      <c r="I308" s="19">
        <v>0</v>
      </c>
      <c r="J308" s="19">
        <v>0</v>
      </c>
      <c r="K308" s="19">
        <v>0</v>
      </c>
      <c r="L308" s="19">
        <v>0</v>
      </c>
      <c r="M308" s="19">
        <v>0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0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0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19">
        <v>0</v>
      </c>
      <c r="BC308" s="19">
        <v>0</v>
      </c>
      <c r="BD308" s="19">
        <v>0</v>
      </c>
      <c r="BE308" s="19">
        <v>0</v>
      </c>
      <c r="BF308" s="19">
        <v>0</v>
      </c>
      <c r="BG308" s="19">
        <v>0</v>
      </c>
      <c r="BH308" s="19">
        <v>0</v>
      </c>
      <c r="BI308" s="19">
        <v>0</v>
      </c>
      <c r="BJ308" s="19">
        <v>0</v>
      </c>
      <c r="BK308" s="19">
        <v>0</v>
      </c>
      <c r="BL308" s="19">
        <v>0</v>
      </c>
      <c r="BM308" s="19">
        <v>0</v>
      </c>
      <c r="BN308" s="19">
        <v>0</v>
      </c>
      <c r="BO308" s="19">
        <v>0</v>
      </c>
      <c r="BP308" s="19">
        <v>0</v>
      </c>
      <c r="BQ308" s="19">
        <v>0</v>
      </c>
      <c r="BR308" s="19">
        <v>0</v>
      </c>
      <c r="BS308" s="19">
        <v>0</v>
      </c>
      <c r="BT308" s="19">
        <v>0</v>
      </c>
      <c r="BU308" s="19">
        <v>0</v>
      </c>
      <c r="BV308" s="19">
        <v>0</v>
      </c>
      <c r="BW308" s="19">
        <v>0</v>
      </c>
      <c r="BX308" s="19">
        <v>0</v>
      </c>
      <c r="BY308" s="19">
        <v>0</v>
      </c>
      <c r="BZ308" s="19">
        <v>0</v>
      </c>
      <c r="CA308" s="19">
        <v>0</v>
      </c>
      <c r="CB308" s="19">
        <v>0</v>
      </c>
      <c r="CC308" s="19">
        <v>0</v>
      </c>
      <c r="CD308" s="19">
        <v>0</v>
      </c>
      <c r="CE308" s="19">
        <v>0</v>
      </c>
      <c r="CF308" s="19">
        <v>0</v>
      </c>
      <c r="CG308" s="19">
        <v>0</v>
      </c>
      <c r="CH308" s="19">
        <v>0</v>
      </c>
      <c r="CI308" s="19">
        <v>0</v>
      </c>
      <c r="CJ308" s="19">
        <v>0</v>
      </c>
      <c r="CK308" s="19">
        <v>0</v>
      </c>
      <c r="CL308" s="19">
        <v>0</v>
      </c>
      <c r="CM308" s="19">
        <v>0</v>
      </c>
      <c r="CN308" s="19">
        <v>0</v>
      </c>
      <c r="CO308" s="19">
        <v>0</v>
      </c>
      <c r="CP308" s="19">
        <v>0</v>
      </c>
      <c r="CQ308" s="19">
        <v>0</v>
      </c>
      <c r="CR308" s="19">
        <v>0</v>
      </c>
      <c r="CS308" s="19">
        <v>0</v>
      </c>
      <c r="CT308" s="19">
        <v>0</v>
      </c>
      <c r="CU308" s="19">
        <v>0</v>
      </c>
      <c r="CV308" s="19">
        <v>0</v>
      </c>
      <c r="CW308" s="19">
        <v>0</v>
      </c>
      <c r="CX308" s="19">
        <v>0</v>
      </c>
      <c r="CY308" s="19">
        <v>0</v>
      </c>
      <c r="CZ308" s="19">
        <v>0</v>
      </c>
      <c r="DA308" s="19">
        <v>0</v>
      </c>
      <c r="DB308" s="19">
        <v>0</v>
      </c>
      <c r="DC308" s="19">
        <v>0</v>
      </c>
      <c r="DD308" s="19">
        <v>0</v>
      </c>
      <c r="DE308" s="19">
        <v>0</v>
      </c>
      <c r="DF308" s="19">
        <v>0</v>
      </c>
      <c r="DG308" s="19">
        <v>0</v>
      </c>
      <c r="DH308" s="19">
        <v>0</v>
      </c>
      <c r="DI308" s="19">
        <v>0</v>
      </c>
      <c r="DJ308" s="19">
        <v>0</v>
      </c>
      <c r="DK308" s="19">
        <v>0</v>
      </c>
      <c r="DL308" s="19">
        <v>0</v>
      </c>
      <c r="DM308" s="19">
        <v>0</v>
      </c>
      <c r="DN308" s="19">
        <v>0</v>
      </c>
      <c r="DO308" s="19">
        <v>0</v>
      </c>
      <c r="DP308" s="19">
        <v>0</v>
      </c>
      <c r="DQ308" s="19">
        <v>0</v>
      </c>
      <c r="DR308" s="19">
        <v>0</v>
      </c>
      <c r="DS308" s="19">
        <v>0</v>
      </c>
      <c r="DT308" s="19">
        <v>0</v>
      </c>
      <c r="DU308" s="19">
        <v>0</v>
      </c>
      <c r="DV308" s="19">
        <v>0</v>
      </c>
      <c r="DW308" s="19">
        <v>0</v>
      </c>
      <c r="DX308" s="19">
        <v>0</v>
      </c>
      <c r="DY308" s="19">
        <v>0</v>
      </c>
      <c r="DZ308" s="19">
        <v>0</v>
      </c>
      <c r="EA308" s="19">
        <v>0</v>
      </c>
      <c r="EB308" s="19">
        <v>0</v>
      </c>
      <c r="EC308" s="19">
        <v>0</v>
      </c>
      <c r="ED308" s="19">
        <v>0</v>
      </c>
      <c r="EE308" s="19">
        <v>0</v>
      </c>
      <c r="EF308" s="19">
        <v>0</v>
      </c>
      <c r="EG308" s="19">
        <v>0</v>
      </c>
      <c r="EH308" s="19">
        <v>0</v>
      </c>
      <c r="EI308" s="19">
        <v>0</v>
      </c>
      <c r="EJ308" s="19">
        <v>0</v>
      </c>
      <c r="EK308" s="19">
        <v>0</v>
      </c>
      <c r="EL308" s="19">
        <v>0</v>
      </c>
      <c r="EM308" s="19">
        <v>0</v>
      </c>
      <c r="EN308" s="19">
        <v>0</v>
      </c>
      <c r="EO308" s="19">
        <v>0</v>
      </c>
      <c r="EP308" s="19">
        <v>0</v>
      </c>
      <c r="EQ308" s="19">
        <v>0</v>
      </c>
      <c r="ER308" s="19">
        <v>0</v>
      </c>
      <c r="ES308" s="119">
        <v>0</v>
      </c>
      <c r="ET308" s="119">
        <v>0</v>
      </c>
    </row>
    <row r="309" spans="1:150" ht="16.5" customHeight="1" x14ac:dyDescent="0.35">
      <c r="A309" s="4">
        <v>210</v>
      </c>
      <c r="B309" s="4" t="str">
        <f>LOOKUP(A309,Lookup!$A$1:$A$34,Lookup!$B$1:$B$34)</f>
        <v>INGREDIENTS</v>
      </c>
      <c r="C309" s="5">
        <v>41514</v>
      </c>
      <c r="D309" s="6" t="s">
        <v>297</v>
      </c>
      <c r="E309" s="18">
        <v>0</v>
      </c>
      <c r="F309" s="18">
        <v>0</v>
      </c>
      <c r="G309" s="18">
        <v>0</v>
      </c>
      <c r="H309" s="18">
        <v>0</v>
      </c>
      <c r="I309" s="19">
        <v>0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9">
        <v>0</v>
      </c>
      <c r="V309" s="19">
        <v>0</v>
      </c>
      <c r="W309" s="19">
        <v>0</v>
      </c>
      <c r="X309" s="19">
        <v>0</v>
      </c>
      <c r="Y309" s="19">
        <v>0</v>
      </c>
      <c r="Z309" s="19">
        <v>0</v>
      </c>
      <c r="AA309" s="19">
        <v>0</v>
      </c>
      <c r="AB309" s="19">
        <v>0</v>
      </c>
      <c r="AC309" s="19">
        <v>0</v>
      </c>
      <c r="AD309" s="19">
        <v>0</v>
      </c>
      <c r="AE309" s="19">
        <v>0</v>
      </c>
      <c r="AF309" s="19">
        <v>0</v>
      </c>
      <c r="AG309" s="19">
        <v>0</v>
      </c>
      <c r="AH309" s="19">
        <v>0</v>
      </c>
      <c r="AI309" s="19">
        <v>0</v>
      </c>
      <c r="AJ309" s="19">
        <v>0</v>
      </c>
      <c r="AK309" s="19">
        <v>0</v>
      </c>
      <c r="AL309" s="19">
        <v>0</v>
      </c>
      <c r="AM309" s="19">
        <v>0</v>
      </c>
      <c r="AN309" s="19">
        <v>0</v>
      </c>
      <c r="AO309" s="19">
        <v>0</v>
      </c>
      <c r="AP309" s="19">
        <v>0</v>
      </c>
      <c r="AQ309" s="19">
        <v>0</v>
      </c>
      <c r="AR309" s="19">
        <v>0</v>
      </c>
      <c r="AS309" s="19">
        <v>0</v>
      </c>
      <c r="AT309" s="19">
        <v>0</v>
      </c>
      <c r="AU309" s="19">
        <v>0</v>
      </c>
      <c r="AV309" s="19">
        <v>0</v>
      </c>
      <c r="AW309" s="19">
        <v>0</v>
      </c>
      <c r="AX309" s="19">
        <v>0</v>
      </c>
      <c r="AY309" s="19">
        <v>0</v>
      </c>
      <c r="AZ309" s="19">
        <v>0</v>
      </c>
      <c r="BA309" s="19">
        <v>0</v>
      </c>
      <c r="BB309" s="19">
        <v>0</v>
      </c>
      <c r="BC309" s="19">
        <v>0</v>
      </c>
      <c r="BD309" s="19">
        <v>0</v>
      </c>
      <c r="BE309" s="19">
        <v>0</v>
      </c>
      <c r="BF309" s="19">
        <v>0</v>
      </c>
      <c r="BG309" s="19">
        <v>0</v>
      </c>
      <c r="BH309" s="19">
        <v>0</v>
      </c>
      <c r="BI309" s="19">
        <v>0</v>
      </c>
      <c r="BJ309" s="19">
        <v>0</v>
      </c>
      <c r="BK309" s="19">
        <v>0</v>
      </c>
      <c r="BL309" s="19">
        <v>0</v>
      </c>
      <c r="BM309" s="19">
        <v>0</v>
      </c>
      <c r="BN309" s="19">
        <v>0</v>
      </c>
      <c r="BO309" s="19">
        <v>0</v>
      </c>
      <c r="BP309" s="19">
        <v>0</v>
      </c>
      <c r="BQ309" s="19">
        <v>0</v>
      </c>
      <c r="BR309" s="19">
        <v>0</v>
      </c>
      <c r="BS309" s="19">
        <v>0</v>
      </c>
      <c r="BT309" s="19">
        <v>0</v>
      </c>
      <c r="BU309" s="19">
        <v>0</v>
      </c>
      <c r="BV309" s="19">
        <v>0</v>
      </c>
      <c r="BW309" s="19">
        <v>0</v>
      </c>
      <c r="BX309" s="19">
        <v>0</v>
      </c>
      <c r="BY309" s="19">
        <v>0</v>
      </c>
      <c r="BZ309" s="19">
        <v>0</v>
      </c>
      <c r="CA309" s="19">
        <v>0</v>
      </c>
      <c r="CB309" s="19">
        <v>0</v>
      </c>
      <c r="CC309" s="19">
        <v>0</v>
      </c>
      <c r="CD309" s="19">
        <v>0</v>
      </c>
      <c r="CE309" s="19">
        <v>0</v>
      </c>
      <c r="CF309" s="19">
        <v>0</v>
      </c>
      <c r="CG309" s="19">
        <v>0</v>
      </c>
      <c r="CH309" s="19">
        <v>0</v>
      </c>
      <c r="CI309" s="19">
        <v>0</v>
      </c>
      <c r="CJ309" s="19">
        <v>0</v>
      </c>
      <c r="CK309" s="19">
        <v>0</v>
      </c>
      <c r="CL309" s="19">
        <v>0</v>
      </c>
      <c r="CM309" s="19">
        <v>0</v>
      </c>
      <c r="CN309" s="19">
        <v>0</v>
      </c>
      <c r="CO309" s="19">
        <v>0</v>
      </c>
      <c r="CP309" s="19">
        <v>0</v>
      </c>
      <c r="CQ309" s="19">
        <v>0</v>
      </c>
      <c r="CR309" s="19">
        <v>0</v>
      </c>
      <c r="CS309" s="19">
        <v>0</v>
      </c>
      <c r="CT309" s="19">
        <v>0</v>
      </c>
      <c r="CU309" s="19">
        <v>0</v>
      </c>
      <c r="CV309" s="19">
        <v>0</v>
      </c>
      <c r="CW309" s="19">
        <v>0</v>
      </c>
      <c r="CX309" s="19">
        <v>0</v>
      </c>
      <c r="CY309" s="19">
        <v>0</v>
      </c>
      <c r="CZ309" s="19">
        <v>0</v>
      </c>
      <c r="DA309" s="19">
        <v>0</v>
      </c>
      <c r="DB309" s="19">
        <v>0</v>
      </c>
      <c r="DC309" s="19">
        <v>0</v>
      </c>
      <c r="DD309" s="19">
        <v>0</v>
      </c>
      <c r="DE309" s="19">
        <v>0</v>
      </c>
      <c r="DF309" s="19">
        <v>0</v>
      </c>
      <c r="DG309" s="19">
        <v>0</v>
      </c>
      <c r="DH309" s="19">
        <v>0</v>
      </c>
      <c r="DI309" s="19">
        <v>0</v>
      </c>
      <c r="DJ309" s="19">
        <v>0</v>
      </c>
      <c r="DK309" s="19">
        <v>0</v>
      </c>
      <c r="DL309" s="19">
        <v>0</v>
      </c>
      <c r="DM309" s="19">
        <v>0</v>
      </c>
      <c r="DN309" s="19">
        <v>0</v>
      </c>
      <c r="DO309" s="19">
        <v>0</v>
      </c>
      <c r="DP309" s="19">
        <v>0</v>
      </c>
      <c r="DQ309" s="19">
        <v>0</v>
      </c>
      <c r="DR309" s="19">
        <v>0</v>
      </c>
      <c r="DS309" s="19">
        <v>0</v>
      </c>
      <c r="DT309" s="19">
        <v>0</v>
      </c>
      <c r="DU309" s="19">
        <v>0</v>
      </c>
      <c r="DV309" s="19">
        <v>0</v>
      </c>
      <c r="DW309" s="19">
        <v>0</v>
      </c>
      <c r="DX309" s="19">
        <v>0</v>
      </c>
      <c r="DY309" s="19">
        <v>0</v>
      </c>
      <c r="DZ309" s="19">
        <v>0</v>
      </c>
      <c r="EA309" s="19">
        <v>0</v>
      </c>
      <c r="EB309" s="19">
        <v>0</v>
      </c>
      <c r="EC309" s="19">
        <v>0</v>
      </c>
      <c r="ED309" s="19">
        <v>0</v>
      </c>
      <c r="EE309" s="19">
        <v>0</v>
      </c>
      <c r="EF309" s="19">
        <v>0</v>
      </c>
      <c r="EG309" s="19">
        <v>0</v>
      </c>
      <c r="EH309" s="19">
        <v>0</v>
      </c>
      <c r="EI309" s="19">
        <v>0</v>
      </c>
      <c r="EJ309" s="19">
        <v>0</v>
      </c>
      <c r="EK309" s="19">
        <v>0</v>
      </c>
      <c r="EL309" s="19">
        <v>0</v>
      </c>
      <c r="EM309" s="19">
        <v>0</v>
      </c>
      <c r="EN309" s="19">
        <v>0</v>
      </c>
      <c r="EO309" s="19">
        <v>0</v>
      </c>
      <c r="EP309" s="19">
        <v>0</v>
      </c>
      <c r="EQ309" s="19">
        <v>0</v>
      </c>
      <c r="ER309" s="19">
        <v>0</v>
      </c>
      <c r="ES309" s="119">
        <v>0</v>
      </c>
      <c r="ET309" s="119">
        <v>0</v>
      </c>
    </row>
    <row r="310" spans="1:150" ht="16.5" customHeight="1" x14ac:dyDescent="0.35">
      <c r="A310" s="4">
        <v>210</v>
      </c>
      <c r="B310" s="4" t="str">
        <f>LOOKUP(A310,Lookup!$A$1:$A$34,Lookup!$B$1:$B$34)</f>
        <v>INGREDIENTS</v>
      </c>
      <c r="C310" s="5">
        <v>41522</v>
      </c>
      <c r="D310" s="6" t="s">
        <v>298</v>
      </c>
      <c r="E310" s="18">
        <v>0</v>
      </c>
      <c r="F310" s="18">
        <v>0</v>
      </c>
      <c r="G310" s="18">
        <v>0</v>
      </c>
      <c r="H310" s="18">
        <v>0</v>
      </c>
      <c r="I310" s="19">
        <v>0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0</v>
      </c>
      <c r="T310" s="19">
        <v>0</v>
      </c>
      <c r="U310" s="19">
        <v>0</v>
      </c>
      <c r="V310" s="19">
        <v>0</v>
      </c>
      <c r="W310" s="19">
        <v>0</v>
      </c>
      <c r="X310" s="19">
        <v>0</v>
      </c>
      <c r="Y310" s="19">
        <v>0</v>
      </c>
      <c r="Z310" s="19">
        <v>0</v>
      </c>
      <c r="AA310" s="19">
        <v>0</v>
      </c>
      <c r="AB310" s="19">
        <v>0</v>
      </c>
      <c r="AC310" s="19">
        <v>0</v>
      </c>
      <c r="AD310" s="19">
        <v>0</v>
      </c>
      <c r="AE310" s="19">
        <v>0</v>
      </c>
      <c r="AF310" s="19">
        <v>0</v>
      </c>
      <c r="AG310" s="19">
        <v>0</v>
      </c>
      <c r="AH310" s="19">
        <v>0</v>
      </c>
      <c r="AI310" s="19">
        <v>0</v>
      </c>
      <c r="AJ310" s="19">
        <v>0</v>
      </c>
      <c r="AK310" s="19">
        <v>0</v>
      </c>
      <c r="AL310" s="19">
        <v>0</v>
      </c>
      <c r="AM310" s="19">
        <v>0</v>
      </c>
      <c r="AN310" s="19">
        <v>0</v>
      </c>
      <c r="AO310" s="19">
        <v>0</v>
      </c>
      <c r="AP310" s="19">
        <v>0</v>
      </c>
      <c r="AQ310" s="19">
        <v>0</v>
      </c>
      <c r="AR310" s="19">
        <v>0</v>
      </c>
      <c r="AS310" s="19">
        <v>0</v>
      </c>
      <c r="AT310" s="19">
        <v>0</v>
      </c>
      <c r="AU310" s="19">
        <v>0</v>
      </c>
      <c r="AV310" s="19">
        <v>0</v>
      </c>
      <c r="AW310" s="19">
        <v>0</v>
      </c>
      <c r="AX310" s="19">
        <v>0</v>
      </c>
      <c r="AY310" s="19">
        <v>0</v>
      </c>
      <c r="AZ310" s="19">
        <v>0</v>
      </c>
      <c r="BA310" s="19">
        <v>0</v>
      </c>
      <c r="BB310" s="19">
        <v>0</v>
      </c>
      <c r="BC310" s="19">
        <v>0</v>
      </c>
      <c r="BD310" s="19">
        <v>0</v>
      </c>
      <c r="BE310" s="19">
        <v>0</v>
      </c>
      <c r="BF310" s="19">
        <v>0</v>
      </c>
      <c r="BG310" s="19">
        <v>0</v>
      </c>
      <c r="BH310" s="19">
        <v>0</v>
      </c>
      <c r="BI310" s="19">
        <v>0</v>
      </c>
      <c r="BJ310" s="19">
        <v>0</v>
      </c>
      <c r="BK310" s="19">
        <v>0</v>
      </c>
      <c r="BL310" s="19">
        <v>0</v>
      </c>
      <c r="BM310" s="19">
        <v>0</v>
      </c>
      <c r="BN310" s="19">
        <v>0</v>
      </c>
      <c r="BO310" s="19">
        <v>0</v>
      </c>
      <c r="BP310" s="19">
        <v>0</v>
      </c>
      <c r="BQ310" s="19">
        <v>0</v>
      </c>
      <c r="BR310" s="19">
        <v>0</v>
      </c>
      <c r="BS310" s="19">
        <v>0</v>
      </c>
      <c r="BT310" s="19">
        <v>0</v>
      </c>
      <c r="BU310" s="19">
        <v>0</v>
      </c>
      <c r="BV310" s="19">
        <v>0</v>
      </c>
      <c r="BW310" s="19">
        <v>0</v>
      </c>
      <c r="BX310" s="19">
        <v>0</v>
      </c>
      <c r="BY310" s="19">
        <v>0</v>
      </c>
      <c r="BZ310" s="19">
        <v>0</v>
      </c>
      <c r="CA310" s="19">
        <v>0</v>
      </c>
      <c r="CB310" s="19">
        <v>0</v>
      </c>
      <c r="CC310" s="19">
        <v>0</v>
      </c>
      <c r="CD310" s="19">
        <v>0</v>
      </c>
      <c r="CE310" s="19">
        <v>0</v>
      </c>
      <c r="CF310" s="19">
        <v>0</v>
      </c>
      <c r="CG310" s="19">
        <v>0</v>
      </c>
      <c r="CH310" s="19">
        <v>0</v>
      </c>
      <c r="CI310" s="19">
        <v>0</v>
      </c>
      <c r="CJ310" s="19">
        <v>0</v>
      </c>
      <c r="CK310" s="19">
        <v>0</v>
      </c>
      <c r="CL310" s="19">
        <v>0</v>
      </c>
      <c r="CM310" s="19">
        <v>0</v>
      </c>
      <c r="CN310" s="19">
        <v>0</v>
      </c>
      <c r="CO310" s="19">
        <v>0</v>
      </c>
      <c r="CP310" s="19">
        <v>0</v>
      </c>
      <c r="CQ310" s="19">
        <v>0</v>
      </c>
      <c r="CR310" s="19">
        <v>0</v>
      </c>
      <c r="CS310" s="19">
        <v>0</v>
      </c>
      <c r="CT310" s="19">
        <v>0</v>
      </c>
      <c r="CU310" s="19">
        <v>0</v>
      </c>
      <c r="CV310" s="19">
        <v>0</v>
      </c>
      <c r="CW310" s="19">
        <v>0</v>
      </c>
      <c r="CX310" s="19">
        <v>0</v>
      </c>
      <c r="CY310" s="19">
        <v>0</v>
      </c>
      <c r="CZ310" s="19">
        <v>0</v>
      </c>
      <c r="DA310" s="19">
        <v>0</v>
      </c>
      <c r="DB310" s="19">
        <v>0</v>
      </c>
      <c r="DC310" s="19">
        <v>0</v>
      </c>
      <c r="DD310" s="19">
        <v>0</v>
      </c>
      <c r="DE310" s="19">
        <v>0</v>
      </c>
      <c r="DF310" s="19">
        <v>0</v>
      </c>
      <c r="DG310" s="19">
        <v>0</v>
      </c>
      <c r="DH310" s="19">
        <v>0</v>
      </c>
      <c r="DI310" s="19">
        <v>0</v>
      </c>
      <c r="DJ310" s="19">
        <v>0</v>
      </c>
      <c r="DK310" s="19">
        <v>0</v>
      </c>
      <c r="DL310" s="19">
        <v>0</v>
      </c>
      <c r="DM310" s="19">
        <v>0</v>
      </c>
      <c r="DN310" s="19">
        <v>0</v>
      </c>
      <c r="DO310" s="19">
        <v>0</v>
      </c>
      <c r="DP310" s="19">
        <v>0</v>
      </c>
      <c r="DQ310" s="19">
        <v>0</v>
      </c>
      <c r="DR310" s="19">
        <v>0</v>
      </c>
      <c r="DS310" s="19">
        <v>0</v>
      </c>
      <c r="DT310" s="19">
        <v>0</v>
      </c>
      <c r="DU310" s="19">
        <v>0</v>
      </c>
      <c r="DV310" s="19">
        <v>0</v>
      </c>
      <c r="DW310" s="19">
        <v>0</v>
      </c>
      <c r="DX310" s="19">
        <v>0</v>
      </c>
      <c r="DY310" s="19">
        <v>0</v>
      </c>
      <c r="DZ310" s="19">
        <v>0</v>
      </c>
      <c r="EA310" s="19">
        <v>0</v>
      </c>
      <c r="EB310" s="19">
        <v>0</v>
      </c>
      <c r="EC310" s="19">
        <v>0</v>
      </c>
      <c r="ED310" s="19">
        <v>0</v>
      </c>
      <c r="EE310" s="19">
        <v>0</v>
      </c>
      <c r="EF310" s="19">
        <v>0</v>
      </c>
      <c r="EG310" s="19">
        <v>0</v>
      </c>
      <c r="EH310" s="19">
        <v>0</v>
      </c>
      <c r="EI310" s="19">
        <v>0</v>
      </c>
      <c r="EJ310" s="19">
        <v>0</v>
      </c>
      <c r="EK310" s="19">
        <v>0</v>
      </c>
      <c r="EL310" s="19">
        <v>0</v>
      </c>
      <c r="EM310" s="19">
        <v>0</v>
      </c>
      <c r="EN310" s="19">
        <v>0</v>
      </c>
      <c r="EO310" s="19">
        <v>0</v>
      </c>
      <c r="EP310" s="19">
        <v>0</v>
      </c>
      <c r="EQ310" s="19">
        <v>0</v>
      </c>
      <c r="ER310" s="19">
        <v>0</v>
      </c>
      <c r="ES310" s="119">
        <v>0</v>
      </c>
      <c r="ET310" s="119">
        <v>0</v>
      </c>
    </row>
    <row r="311" spans="1:150" ht="16.5" customHeight="1" x14ac:dyDescent="0.35">
      <c r="A311" s="4">
        <v>210</v>
      </c>
      <c r="B311" s="4" t="str">
        <f>LOOKUP(A311,Lookup!$A$1:$A$34,Lookup!$B$1:$B$34)</f>
        <v>INGREDIENTS</v>
      </c>
      <c r="C311" s="5">
        <v>41523</v>
      </c>
      <c r="D311" s="6" t="s">
        <v>299</v>
      </c>
      <c r="E311" s="18">
        <v>0</v>
      </c>
      <c r="F311" s="18">
        <v>0</v>
      </c>
      <c r="G311" s="18">
        <v>0</v>
      </c>
      <c r="H311" s="18">
        <v>0</v>
      </c>
      <c r="I311" s="19">
        <v>0</v>
      </c>
      <c r="J311" s="19">
        <v>0</v>
      </c>
      <c r="K311" s="19">
        <v>0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9">
        <v>0</v>
      </c>
      <c r="V311" s="19">
        <v>0</v>
      </c>
      <c r="W311" s="19">
        <v>0</v>
      </c>
      <c r="X311" s="19">
        <v>0</v>
      </c>
      <c r="Y311" s="19">
        <v>0</v>
      </c>
      <c r="Z311" s="19">
        <v>0</v>
      </c>
      <c r="AA311" s="19">
        <v>0</v>
      </c>
      <c r="AB311" s="19">
        <v>0</v>
      </c>
      <c r="AC311" s="19">
        <v>0</v>
      </c>
      <c r="AD311" s="19">
        <v>0</v>
      </c>
      <c r="AE311" s="19">
        <v>0</v>
      </c>
      <c r="AF311" s="19">
        <v>0</v>
      </c>
      <c r="AG311" s="19">
        <v>0</v>
      </c>
      <c r="AH311" s="19">
        <v>0</v>
      </c>
      <c r="AI311" s="19">
        <v>0</v>
      </c>
      <c r="AJ311" s="19">
        <v>0</v>
      </c>
      <c r="AK311" s="19">
        <v>0</v>
      </c>
      <c r="AL311" s="19">
        <v>0</v>
      </c>
      <c r="AM311" s="19">
        <v>0</v>
      </c>
      <c r="AN311" s="19">
        <v>0</v>
      </c>
      <c r="AO311" s="19">
        <v>0</v>
      </c>
      <c r="AP311" s="19">
        <v>0</v>
      </c>
      <c r="AQ311" s="19">
        <v>0</v>
      </c>
      <c r="AR311" s="19">
        <v>0</v>
      </c>
      <c r="AS311" s="19">
        <v>0</v>
      </c>
      <c r="AT311" s="19">
        <v>0</v>
      </c>
      <c r="AU311" s="19">
        <v>0</v>
      </c>
      <c r="AV311" s="19">
        <v>0</v>
      </c>
      <c r="AW311" s="19">
        <v>0</v>
      </c>
      <c r="AX311" s="19">
        <v>0</v>
      </c>
      <c r="AY311" s="19">
        <v>0</v>
      </c>
      <c r="AZ311" s="19">
        <v>0</v>
      </c>
      <c r="BA311" s="19">
        <v>0</v>
      </c>
      <c r="BB311" s="19">
        <v>0</v>
      </c>
      <c r="BC311" s="19">
        <v>0</v>
      </c>
      <c r="BD311" s="19">
        <v>0</v>
      </c>
      <c r="BE311" s="19">
        <v>0</v>
      </c>
      <c r="BF311" s="19">
        <v>0</v>
      </c>
      <c r="BG311" s="19">
        <v>0</v>
      </c>
      <c r="BH311" s="19">
        <v>0</v>
      </c>
      <c r="BI311" s="19">
        <v>0</v>
      </c>
      <c r="BJ311" s="19">
        <v>0</v>
      </c>
      <c r="BK311" s="19">
        <v>0</v>
      </c>
      <c r="BL311" s="19">
        <v>0</v>
      </c>
      <c r="BM311" s="19">
        <v>0</v>
      </c>
      <c r="BN311" s="19">
        <v>0</v>
      </c>
      <c r="BO311" s="19">
        <v>0</v>
      </c>
      <c r="BP311" s="19">
        <v>0</v>
      </c>
      <c r="BQ311" s="19">
        <v>0</v>
      </c>
      <c r="BR311" s="19">
        <v>0</v>
      </c>
      <c r="BS311" s="19">
        <v>0</v>
      </c>
      <c r="BT311" s="19">
        <v>0</v>
      </c>
      <c r="BU311" s="19">
        <v>0</v>
      </c>
      <c r="BV311" s="19">
        <v>0</v>
      </c>
      <c r="BW311" s="19">
        <v>0</v>
      </c>
      <c r="BX311" s="19">
        <v>0</v>
      </c>
      <c r="BY311" s="19">
        <v>0</v>
      </c>
      <c r="BZ311" s="19">
        <v>0</v>
      </c>
      <c r="CA311" s="19">
        <v>0</v>
      </c>
      <c r="CB311" s="19">
        <v>0</v>
      </c>
      <c r="CC311" s="19">
        <v>0</v>
      </c>
      <c r="CD311" s="19">
        <v>0</v>
      </c>
      <c r="CE311" s="19">
        <v>0</v>
      </c>
      <c r="CF311" s="19">
        <v>0</v>
      </c>
      <c r="CG311" s="19">
        <v>0</v>
      </c>
      <c r="CH311" s="19">
        <v>0</v>
      </c>
      <c r="CI311" s="19">
        <v>0</v>
      </c>
      <c r="CJ311" s="19">
        <v>0</v>
      </c>
      <c r="CK311" s="19">
        <v>0</v>
      </c>
      <c r="CL311" s="19">
        <v>0</v>
      </c>
      <c r="CM311" s="19">
        <v>0</v>
      </c>
      <c r="CN311" s="19">
        <v>0</v>
      </c>
      <c r="CO311" s="19">
        <v>0</v>
      </c>
      <c r="CP311" s="19">
        <v>0</v>
      </c>
      <c r="CQ311" s="19">
        <v>0</v>
      </c>
      <c r="CR311" s="19">
        <v>0</v>
      </c>
      <c r="CS311" s="19">
        <v>0</v>
      </c>
      <c r="CT311" s="19">
        <v>0</v>
      </c>
      <c r="CU311" s="19">
        <v>0</v>
      </c>
      <c r="CV311" s="19">
        <v>0</v>
      </c>
      <c r="CW311" s="19">
        <v>0</v>
      </c>
      <c r="CX311" s="19">
        <v>0</v>
      </c>
      <c r="CY311" s="19">
        <v>0</v>
      </c>
      <c r="CZ311" s="19">
        <v>0</v>
      </c>
      <c r="DA311" s="19">
        <v>0</v>
      </c>
      <c r="DB311" s="19">
        <v>0</v>
      </c>
      <c r="DC311" s="19">
        <v>0</v>
      </c>
      <c r="DD311" s="19">
        <v>0</v>
      </c>
      <c r="DE311" s="19">
        <v>0</v>
      </c>
      <c r="DF311" s="19">
        <v>0</v>
      </c>
      <c r="DG311" s="19">
        <v>0</v>
      </c>
      <c r="DH311" s="19">
        <v>0</v>
      </c>
      <c r="DI311" s="19">
        <v>0</v>
      </c>
      <c r="DJ311" s="19">
        <v>0</v>
      </c>
      <c r="DK311" s="19">
        <v>0</v>
      </c>
      <c r="DL311" s="19">
        <v>0</v>
      </c>
      <c r="DM311" s="19">
        <v>0</v>
      </c>
      <c r="DN311" s="19">
        <v>0</v>
      </c>
      <c r="DO311" s="19">
        <v>0</v>
      </c>
      <c r="DP311" s="19">
        <v>0</v>
      </c>
      <c r="DQ311" s="19">
        <v>0</v>
      </c>
      <c r="DR311" s="19">
        <v>0</v>
      </c>
      <c r="DS311" s="19">
        <v>0</v>
      </c>
      <c r="DT311" s="19">
        <v>0</v>
      </c>
      <c r="DU311" s="19">
        <v>0</v>
      </c>
      <c r="DV311" s="19">
        <v>0</v>
      </c>
      <c r="DW311" s="19">
        <v>0</v>
      </c>
      <c r="DX311" s="19">
        <v>0</v>
      </c>
      <c r="DY311" s="19">
        <v>0</v>
      </c>
      <c r="DZ311" s="19">
        <v>0</v>
      </c>
      <c r="EA311" s="19">
        <v>0</v>
      </c>
      <c r="EB311" s="19">
        <v>0</v>
      </c>
      <c r="EC311" s="19">
        <v>0</v>
      </c>
      <c r="ED311" s="19">
        <v>0</v>
      </c>
      <c r="EE311" s="19">
        <v>0</v>
      </c>
      <c r="EF311" s="19">
        <v>0</v>
      </c>
      <c r="EG311" s="19">
        <v>0</v>
      </c>
      <c r="EH311" s="19">
        <v>0</v>
      </c>
      <c r="EI311" s="19">
        <v>0</v>
      </c>
      <c r="EJ311" s="19">
        <v>0</v>
      </c>
      <c r="EK311" s="19">
        <v>0</v>
      </c>
      <c r="EL311" s="19">
        <v>0</v>
      </c>
      <c r="EM311" s="19">
        <v>0</v>
      </c>
      <c r="EN311" s="19">
        <v>0</v>
      </c>
      <c r="EO311" s="19">
        <v>0</v>
      </c>
      <c r="EP311" s="19">
        <v>0</v>
      </c>
      <c r="EQ311" s="19">
        <v>0</v>
      </c>
      <c r="ER311" s="19">
        <v>0</v>
      </c>
      <c r="ES311" s="119">
        <v>0</v>
      </c>
      <c r="ET311" s="119">
        <v>0</v>
      </c>
    </row>
    <row r="312" spans="1:150" ht="16.5" customHeight="1" x14ac:dyDescent="0.35">
      <c r="A312" s="4">
        <v>210</v>
      </c>
      <c r="B312" s="4" t="str">
        <f>LOOKUP(A312,Lookup!$A$1:$A$34,Lookup!$B$1:$B$34)</f>
        <v>INGREDIENTS</v>
      </c>
      <c r="C312" s="5">
        <v>41566</v>
      </c>
      <c r="D312" s="6" t="s">
        <v>300</v>
      </c>
      <c r="E312" s="18">
        <v>0</v>
      </c>
      <c r="F312" s="18">
        <v>0</v>
      </c>
      <c r="G312" s="18">
        <v>0</v>
      </c>
      <c r="H312" s="18">
        <v>0</v>
      </c>
      <c r="I312" s="19">
        <v>0</v>
      </c>
      <c r="J312" s="19">
        <v>0</v>
      </c>
      <c r="K312" s="19">
        <v>0</v>
      </c>
      <c r="L312" s="19">
        <v>0</v>
      </c>
      <c r="M312" s="19">
        <v>0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0</v>
      </c>
      <c r="T312" s="19">
        <v>0</v>
      </c>
      <c r="U312" s="19">
        <v>0</v>
      </c>
      <c r="V312" s="19">
        <v>0</v>
      </c>
      <c r="W312" s="19">
        <v>0</v>
      </c>
      <c r="X312" s="19">
        <v>0</v>
      </c>
      <c r="Y312" s="19">
        <v>0</v>
      </c>
      <c r="Z312" s="19">
        <v>0</v>
      </c>
      <c r="AA312" s="19">
        <v>0</v>
      </c>
      <c r="AB312" s="19">
        <v>0</v>
      </c>
      <c r="AC312" s="19">
        <v>0</v>
      </c>
      <c r="AD312" s="19">
        <v>0</v>
      </c>
      <c r="AE312" s="19">
        <v>0</v>
      </c>
      <c r="AF312" s="19">
        <v>0</v>
      </c>
      <c r="AG312" s="19">
        <v>0</v>
      </c>
      <c r="AH312" s="19">
        <v>0</v>
      </c>
      <c r="AI312" s="19">
        <v>0</v>
      </c>
      <c r="AJ312" s="19">
        <v>0</v>
      </c>
      <c r="AK312" s="19">
        <v>0</v>
      </c>
      <c r="AL312" s="19">
        <v>0</v>
      </c>
      <c r="AM312" s="19">
        <v>0</v>
      </c>
      <c r="AN312" s="19">
        <v>0</v>
      </c>
      <c r="AO312" s="19">
        <v>0</v>
      </c>
      <c r="AP312" s="19">
        <v>0</v>
      </c>
      <c r="AQ312" s="19">
        <v>0</v>
      </c>
      <c r="AR312" s="19">
        <v>0</v>
      </c>
      <c r="AS312" s="19">
        <v>0</v>
      </c>
      <c r="AT312" s="19">
        <v>0</v>
      </c>
      <c r="AU312" s="19">
        <v>0</v>
      </c>
      <c r="AV312" s="19">
        <v>0</v>
      </c>
      <c r="AW312" s="19">
        <v>0</v>
      </c>
      <c r="AX312" s="19">
        <v>0</v>
      </c>
      <c r="AY312" s="19">
        <v>0</v>
      </c>
      <c r="AZ312" s="19">
        <v>0</v>
      </c>
      <c r="BA312" s="19">
        <v>0</v>
      </c>
      <c r="BB312" s="19">
        <v>0</v>
      </c>
      <c r="BC312" s="19">
        <v>0</v>
      </c>
      <c r="BD312" s="19">
        <v>0</v>
      </c>
      <c r="BE312" s="19">
        <v>0</v>
      </c>
      <c r="BF312" s="19">
        <v>0</v>
      </c>
      <c r="BG312" s="19">
        <v>0</v>
      </c>
      <c r="BH312" s="19">
        <v>0</v>
      </c>
      <c r="BI312" s="19">
        <v>0</v>
      </c>
      <c r="BJ312" s="19">
        <v>0</v>
      </c>
      <c r="BK312" s="19">
        <v>0</v>
      </c>
      <c r="BL312" s="19">
        <v>0</v>
      </c>
      <c r="BM312" s="19">
        <v>0</v>
      </c>
      <c r="BN312" s="19">
        <v>0</v>
      </c>
      <c r="BO312" s="19">
        <v>0</v>
      </c>
      <c r="BP312" s="19">
        <v>0</v>
      </c>
      <c r="BQ312" s="19">
        <v>0</v>
      </c>
      <c r="BR312" s="19">
        <v>0</v>
      </c>
      <c r="BS312" s="19">
        <v>0</v>
      </c>
      <c r="BT312" s="19">
        <v>0</v>
      </c>
      <c r="BU312" s="19">
        <v>0</v>
      </c>
      <c r="BV312" s="19">
        <v>0</v>
      </c>
      <c r="BW312" s="19">
        <v>0</v>
      </c>
      <c r="BX312" s="19">
        <v>0</v>
      </c>
      <c r="BY312" s="19">
        <v>0</v>
      </c>
      <c r="BZ312" s="19">
        <v>0</v>
      </c>
      <c r="CA312" s="19">
        <v>0</v>
      </c>
      <c r="CB312" s="19">
        <v>0</v>
      </c>
      <c r="CC312" s="19">
        <v>0</v>
      </c>
      <c r="CD312" s="19">
        <v>0</v>
      </c>
      <c r="CE312" s="19">
        <v>0</v>
      </c>
      <c r="CF312" s="19">
        <v>0</v>
      </c>
      <c r="CG312" s="19">
        <v>0</v>
      </c>
      <c r="CH312" s="19">
        <v>0</v>
      </c>
      <c r="CI312" s="19">
        <v>0</v>
      </c>
      <c r="CJ312" s="19">
        <v>0</v>
      </c>
      <c r="CK312" s="19">
        <v>0</v>
      </c>
      <c r="CL312" s="19">
        <v>0</v>
      </c>
      <c r="CM312" s="19">
        <v>0</v>
      </c>
      <c r="CN312" s="19">
        <v>0</v>
      </c>
      <c r="CO312" s="19">
        <v>0</v>
      </c>
      <c r="CP312" s="19">
        <v>0</v>
      </c>
      <c r="CQ312" s="19">
        <v>0</v>
      </c>
      <c r="CR312" s="19">
        <v>0</v>
      </c>
      <c r="CS312" s="19">
        <v>0</v>
      </c>
      <c r="CT312" s="19">
        <v>0</v>
      </c>
      <c r="CU312" s="19">
        <v>0</v>
      </c>
      <c r="CV312" s="19">
        <v>0</v>
      </c>
      <c r="CW312" s="19">
        <v>0</v>
      </c>
      <c r="CX312" s="19">
        <v>0</v>
      </c>
      <c r="CY312" s="19">
        <v>0</v>
      </c>
      <c r="CZ312" s="19">
        <v>0</v>
      </c>
      <c r="DA312" s="19">
        <v>0</v>
      </c>
      <c r="DB312" s="19">
        <v>0</v>
      </c>
      <c r="DC312" s="19">
        <v>0</v>
      </c>
      <c r="DD312" s="19">
        <v>0</v>
      </c>
      <c r="DE312" s="19">
        <v>0</v>
      </c>
      <c r="DF312" s="19">
        <v>0</v>
      </c>
      <c r="DG312" s="19">
        <v>0</v>
      </c>
      <c r="DH312" s="19">
        <v>0</v>
      </c>
      <c r="DI312" s="19">
        <v>0</v>
      </c>
      <c r="DJ312" s="19">
        <v>0</v>
      </c>
      <c r="DK312" s="19">
        <v>0</v>
      </c>
      <c r="DL312" s="19">
        <v>0</v>
      </c>
      <c r="DM312" s="19">
        <v>0</v>
      </c>
      <c r="DN312" s="19">
        <v>0</v>
      </c>
      <c r="DO312" s="19">
        <v>0</v>
      </c>
      <c r="DP312" s="19">
        <v>0</v>
      </c>
      <c r="DQ312" s="19">
        <v>0</v>
      </c>
      <c r="DR312" s="19">
        <v>0</v>
      </c>
      <c r="DS312" s="19">
        <v>0</v>
      </c>
      <c r="DT312" s="19">
        <v>0</v>
      </c>
      <c r="DU312" s="19">
        <v>0</v>
      </c>
      <c r="DV312" s="19">
        <v>0</v>
      </c>
      <c r="DW312" s="19">
        <v>0</v>
      </c>
      <c r="DX312" s="19">
        <v>0</v>
      </c>
      <c r="DY312" s="19">
        <v>0</v>
      </c>
      <c r="DZ312" s="19">
        <v>0</v>
      </c>
      <c r="EA312" s="19">
        <v>0</v>
      </c>
      <c r="EB312" s="19">
        <v>0</v>
      </c>
      <c r="EC312" s="19">
        <v>0</v>
      </c>
      <c r="ED312" s="19">
        <v>0</v>
      </c>
      <c r="EE312" s="19">
        <v>0</v>
      </c>
      <c r="EF312" s="19">
        <v>0</v>
      </c>
      <c r="EG312" s="19">
        <v>0</v>
      </c>
      <c r="EH312" s="19">
        <v>0</v>
      </c>
      <c r="EI312" s="19">
        <v>0</v>
      </c>
      <c r="EJ312" s="19">
        <v>0</v>
      </c>
      <c r="EK312" s="19">
        <v>0</v>
      </c>
      <c r="EL312" s="19">
        <v>0</v>
      </c>
      <c r="EM312" s="19">
        <v>0</v>
      </c>
      <c r="EN312" s="19">
        <v>0</v>
      </c>
      <c r="EO312" s="19">
        <v>0</v>
      </c>
      <c r="EP312" s="19">
        <v>0</v>
      </c>
      <c r="EQ312" s="19">
        <v>0</v>
      </c>
      <c r="ER312" s="19">
        <v>0</v>
      </c>
      <c r="ES312" s="119">
        <v>0</v>
      </c>
      <c r="ET312" s="119">
        <v>0</v>
      </c>
    </row>
    <row r="313" spans="1:150" ht="16.5" customHeight="1" x14ac:dyDescent="0.35">
      <c r="A313" s="4">
        <v>210</v>
      </c>
      <c r="B313" s="4" t="str">
        <f>LOOKUP(A313,Lookup!$A$1:$A$34,Lookup!$B$1:$B$34)</f>
        <v>INGREDIENTS</v>
      </c>
      <c r="C313" s="5">
        <v>41567</v>
      </c>
      <c r="D313" s="6" t="s">
        <v>301</v>
      </c>
      <c r="E313" s="18">
        <v>0</v>
      </c>
      <c r="F313" s="18">
        <v>0</v>
      </c>
      <c r="G313" s="18">
        <v>0</v>
      </c>
      <c r="H313" s="18">
        <v>0</v>
      </c>
      <c r="I313" s="19">
        <v>0</v>
      </c>
      <c r="J313" s="19">
        <v>0</v>
      </c>
      <c r="K313" s="19">
        <v>0</v>
      </c>
      <c r="L313" s="19">
        <v>0</v>
      </c>
      <c r="M313" s="19">
        <v>0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0</v>
      </c>
      <c r="T313" s="19">
        <v>0</v>
      </c>
      <c r="U313" s="19">
        <v>0</v>
      </c>
      <c r="V313" s="19">
        <v>0</v>
      </c>
      <c r="W313" s="19">
        <v>0</v>
      </c>
      <c r="X313" s="19">
        <v>0</v>
      </c>
      <c r="Y313" s="19">
        <v>0</v>
      </c>
      <c r="Z313" s="19">
        <v>0</v>
      </c>
      <c r="AA313" s="19">
        <v>0</v>
      </c>
      <c r="AB313" s="19">
        <v>0</v>
      </c>
      <c r="AC313" s="19">
        <v>0</v>
      </c>
      <c r="AD313" s="19">
        <v>0</v>
      </c>
      <c r="AE313" s="19">
        <v>0</v>
      </c>
      <c r="AF313" s="19">
        <v>0</v>
      </c>
      <c r="AG313" s="19">
        <v>0</v>
      </c>
      <c r="AH313" s="19">
        <v>0</v>
      </c>
      <c r="AI313" s="19">
        <v>0</v>
      </c>
      <c r="AJ313" s="19">
        <v>0</v>
      </c>
      <c r="AK313" s="19">
        <v>0</v>
      </c>
      <c r="AL313" s="19">
        <v>0</v>
      </c>
      <c r="AM313" s="19">
        <v>0</v>
      </c>
      <c r="AN313" s="19">
        <v>0</v>
      </c>
      <c r="AO313" s="19">
        <v>0</v>
      </c>
      <c r="AP313" s="19">
        <v>0</v>
      </c>
      <c r="AQ313" s="19">
        <v>0</v>
      </c>
      <c r="AR313" s="19">
        <v>0</v>
      </c>
      <c r="AS313" s="19">
        <v>0</v>
      </c>
      <c r="AT313" s="19">
        <v>0</v>
      </c>
      <c r="AU313" s="19">
        <v>0</v>
      </c>
      <c r="AV313" s="19">
        <v>0</v>
      </c>
      <c r="AW313" s="19">
        <v>0</v>
      </c>
      <c r="AX313" s="19">
        <v>0</v>
      </c>
      <c r="AY313" s="19">
        <v>0</v>
      </c>
      <c r="AZ313" s="19">
        <v>0</v>
      </c>
      <c r="BA313" s="19">
        <v>0</v>
      </c>
      <c r="BB313" s="19">
        <v>0</v>
      </c>
      <c r="BC313" s="19">
        <v>0</v>
      </c>
      <c r="BD313" s="19">
        <v>0</v>
      </c>
      <c r="BE313" s="19">
        <v>0</v>
      </c>
      <c r="BF313" s="19">
        <v>0</v>
      </c>
      <c r="BG313" s="19">
        <v>0</v>
      </c>
      <c r="BH313" s="19">
        <v>0</v>
      </c>
      <c r="BI313" s="19">
        <v>0</v>
      </c>
      <c r="BJ313" s="19">
        <v>0</v>
      </c>
      <c r="BK313" s="19">
        <v>0</v>
      </c>
      <c r="BL313" s="19">
        <v>0</v>
      </c>
      <c r="BM313" s="19">
        <v>0</v>
      </c>
      <c r="BN313" s="19">
        <v>0</v>
      </c>
      <c r="BO313" s="19">
        <v>0</v>
      </c>
      <c r="BP313" s="19">
        <v>0</v>
      </c>
      <c r="BQ313" s="19">
        <v>0</v>
      </c>
      <c r="BR313" s="19">
        <v>0</v>
      </c>
      <c r="BS313" s="19">
        <v>0</v>
      </c>
      <c r="BT313" s="19">
        <v>0</v>
      </c>
      <c r="BU313" s="19">
        <v>0</v>
      </c>
      <c r="BV313" s="19">
        <v>0</v>
      </c>
      <c r="BW313" s="19">
        <v>0</v>
      </c>
      <c r="BX313" s="19">
        <v>0</v>
      </c>
      <c r="BY313" s="19">
        <v>0</v>
      </c>
      <c r="BZ313" s="19">
        <v>0</v>
      </c>
      <c r="CA313" s="19">
        <v>0</v>
      </c>
      <c r="CB313" s="19">
        <v>0</v>
      </c>
      <c r="CC313" s="19">
        <v>0</v>
      </c>
      <c r="CD313" s="19">
        <v>0</v>
      </c>
      <c r="CE313" s="19">
        <v>0</v>
      </c>
      <c r="CF313" s="19">
        <v>0</v>
      </c>
      <c r="CG313" s="19">
        <v>0</v>
      </c>
      <c r="CH313" s="19">
        <v>0</v>
      </c>
      <c r="CI313" s="19">
        <v>0</v>
      </c>
      <c r="CJ313" s="19">
        <v>0</v>
      </c>
      <c r="CK313" s="19">
        <v>0</v>
      </c>
      <c r="CL313" s="19">
        <v>0</v>
      </c>
      <c r="CM313" s="19">
        <v>0</v>
      </c>
      <c r="CN313" s="19">
        <v>0</v>
      </c>
      <c r="CO313" s="19">
        <v>0</v>
      </c>
      <c r="CP313" s="19">
        <v>0</v>
      </c>
      <c r="CQ313" s="19">
        <v>0</v>
      </c>
      <c r="CR313" s="19">
        <v>0</v>
      </c>
      <c r="CS313" s="19">
        <v>0</v>
      </c>
      <c r="CT313" s="19">
        <v>0</v>
      </c>
      <c r="CU313" s="19">
        <v>0</v>
      </c>
      <c r="CV313" s="19">
        <v>0</v>
      </c>
      <c r="CW313" s="19">
        <v>0</v>
      </c>
      <c r="CX313" s="19">
        <v>0</v>
      </c>
      <c r="CY313" s="19">
        <v>0</v>
      </c>
      <c r="CZ313" s="19">
        <v>0</v>
      </c>
      <c r="DA313" s="19">
        <v>0</v>
      </c>
      <c r="DB313" s="19">
        <v>0</v>
      </c>
      <c r="DC313" s="19">
        <v>0</v>
      </c>
      <c r="DD313" s="19">
        <v>0</v>
      </c>
      <c r="DE313" s="19">
        <v>0</v>
      </c>
      <c r="DF313" s="19">
        <v>0</v>
      </c>
      <c r="DG313" s="19">
        <v>0</v>
      </c>
      <c r="DH313" s="19">
        <v>0</v>
      </c>
      <c r="DI313" s="19">
        <v>0</v>
      </c>
      <c r="DJ313" s="19">
        <v>0</v>
      </c>
      <c r="DK313" s="19">
        <v>0</v>
      </c>
      <c r="DL313" s="19">
        <v>0</v>
      </c>
      <c r="DM313" s="19">
        <v>0</v>
      </c>
      <c r="DN313" s="19">
        <v>0</v>
      </c>
      <c r="DO313" s="19">
        <v>0</v>
      </c>
      <c r="DP313" s="19">
        <v>0</v>
      </c>
      <c r="DQ313" s="19">
        <v>0</v>
      </c>
      <c r="DR313" s="19">
        <v>0</v>
      </c>
      <c r="DS313" s="19">
        <v>0</v>
      </c>
      <c r="DT313" s="19">
        <v>0</v>
      </c>
      <c r="DU313" s="19">
        <v>0</v>
      </c>
      <c r="DV313" s="19">
        <v>0</v>
      </c>
      <c r="DW313" s="19">
        <v>0</v>
      </c>
      <c r="DX313" s="19">
        <v>0</v>
      </c>
      <c r="DY313" s="19">
        <v>0</v>
      </c>
      <c r="DZ313" s="19">
        <v>0</v>
      </c>
      <c r="EA313" s="19">
        <v>0</v>
      </c>
      <c r="EB313" s="19">
        <v>0</v>
      </c>
      <c r="EC313" s="19">
        <v>0</v>
      </c>
      <c r="ED313" s="19">
        <v>0</v>
      </c>
      <c r="EE313" s="19">
        <v>0</v>
      </c>
      <c r="EF313" s="19">
        <v>0</v>
      </c>
      <c r="EG313" s="19">
        <v>0</v>
      </c>
      <c r="EH313" s="19">
        <v>0</v>
      </c>
      <c r="EI313" s="19">
        <v>0</v>
      </c>
      <c r="EJ313" s="19">
        <v>0</v>
      </c>
      <c r="EK313" s="19">
        <v>0</v>
      </c>
      <c r="EL313" s="19">
        <v>0</v>
      </c>
      <c r="EM313" s="19">
        <v>0</v>
      </c>
      <c r="EN313" s="19">
        <v>0</v>
      </c>
      <c r="EO313" s="19">
        <v>0</v>
      </c>
      <c r="EP313" s="19">
        <v>0</v>
      </c>
      <c r="EQ313" s="19">
        <v>0</v>
      </c>
      <c r="ER313" s="19">
        <v>0</v>
      </c>
      <c r="ES313" s="119">
        <v>0</v>
      </c>
      <c r="ET313" s="119">
        <v>0</v>
      </c>
    </row>
    <row r="314" spans="1:150" ht="16.5" customHeight="1" x14ac:dyDescent="0.35">
      <c r="A314" s="4">
        <v>210</v>
      </c>
      <c r="B314" s="4" t="str">
        <f>LOOKUP(A314,Lookup!$A$1:$A$34,Lookup!$B$1:$B$34)</f>
        <v>INGREDIENTS</v>
      </c>
      <c r="C314" s="5">
        <v>41614</v>
      </c>
      <c r="D314" s="6" t="s">
        <v>302</v>
      </c>
      <c r="E314" s="18">
        <v>0</v>
      </c>
      <c r="F314" s="18">
        <v>0</v>
      </c>
      <c r="G314" s="18">
        <v>0</v>
      </c>
      <c r="H314" s="18">
        <v>0</v>
      </c>
      <c r="I314" s="19">
        <v>0</v>
      </c>
      <c r="J314" s="19">
        <v>0</v>
      </c>
      <c r="K314" s="19">
        <v>0</v>
      </c>
      <c r="L314" s="19">
        <v>0</v>
      </c>
      <c r="M314" s="19">
        <v>0</v>
      </c>
      <c r="N314" s="19">
        <v>0</v>
      </c>
      <c r="O314" s="19">
        <v>0</v>
      </c>
      <c r="P314" s="19">
        <v>0</v>
      </c>
      <c r="Q314" s="19">
        <v>0</v>
      </c>
      <c r="R314" s="19">
        <v>0</v>
      </c>
      <c r="S314" s="19">
        <v>0</v>
      </c>
      <c r="T314" s="19">
        <v>0</v>
      </c>
      <c r="U314" s="19">
        <v>0</v>
      </c>
      <c r="V314" s="19">
        <v>0</v>
      </c>
      <c r="W314" s="19">
        <v>0</v>
      </c>
      <c r="X314" s="19">
        <v>0</v>
      </c>
      <c r="Y314" s="19">
        <v>0</v>
      </c>
      <c r="Z314" s="19">
        <v>0</v>
      </c>
      <c r="AA314" s="19">
        <v>0</v>
      </c>
      <c r="AB314" s="19">
        <v>0</v>
      </c>
      <c r="AC314" s="19">
        <v>0</v>
      </c>
      <c r="AD314" s="19">
        <v>0</v>
      </c>
      <c r="AE314" s="19">
        <v>0</v>
      </c>
      <c r="AF314" s="19">
        <v>0</v>
      </c>
      <c r="AG314" s="19">
        <v>0</v>
      </c>
      <c r="AH314" s="19">
        <v>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v>0</v>
      </c>
      <c r="AO314" s="19">
        <v>0</v>
      </c>
      <c r="AP314" s="19">
        <v>0</v>
      </c>
      <c r="AQ314" s="19">
        <v>0</v>
      </c>
      <c r="AR314" s="19">
        <v>0</v>
      </c>
      <c r="AS314" s="19">
        <v>0</v>
      </c>
      <c r="AT314" s="19">
        <v>0</v>
      </c>
      <c r="AU314" s="19">
        <v>0</v>
      </c>
      <c r="AV314" s="19">
        <v>0</v>
      </c>
      <c r="AW314" s="19">
        <v>0</v>
      </c>
      <c r="AX314" s="19">
        <v>0</v>
      </c>
      <c r="AY314" s="19">
        <v>0</v>
      </c>
      <c r="AZ314" s="19">
        <v>0</v>
      </c>
      <c r="BA314" s="19">
        <v>0</v>
      </c>
      <c r="BB314" s="19">
        <v>0</v>
      </c>
      <c r="BC314" s="19">
        <v>0</v>
      </c>
      <c r="BD314" s="19">
        <v>0</v>
      </c>
      <c r="BE314" s="19">
        <v>0</v>
      </c>
      <c r="BF314" s="19">
        <v>0</v>
      </c>
      <c r="BG314" s="19">
        <v>0</v>
      </c>
      <c r="BH314" s="19">
        <v>0</v>
      </c>
      <c r="BI314" s="19">
        <v>0</v>
      </c>
      <c r="BJ314" s="19">
        <v>0</v>
      </c>
      <c r="BK314" s="19">
        <v>0</v>
      </c>
      <c r="BL314" s="19">
        <v>0</v>
      </c>
      <c r="BM314" s="19">
        <v>0</v>
      </c>
      <c r="BN314" s="19">
        <v>0</v>
      </c>
      <c r="BO314" s="19">
        <v>0</v>
      </c>
      <c r="BP314" s="19">
        <v>0</v>
      </c>
      <c r="BQ314" s="19">
        <v>0</v>
      </c>
      <c r="BR314" s="19">
        <v>0</v>
      </c>
      <c r="BS314" s="19">
        <v>0</v>
      </c>
      <c r="BT314" s="19">
        <v>0</v>
      </c>
      <c r="BU314" s="19">
        <v>0</v>
      </c>
      <c r="BV314" s="19">
        <v>0</v>
      </c>
      <c r="BW314" s="19">
        <v>0</v>
      </c>
      <c r="BX314" s="19">
        <v>0</v>
      </c>
      <c r="BY314" s="19">
        <v>0</v>
      </c>
      <c r="BZ314" s="19">
        <v>0</v>
      </c>
      <c r="CA314" s="19">
        <v>0</v>
      </c>
      <c r="CB314" s="19">
        <v>0</v>
      </c>
      <c r="CC314" s="19">
        <v>0</v>
      </c>
      <c r="CD314" s="19">
        <v>0</v>
      </c>
      <c r="CE314" s="19">
        <v>0</v>
      </c>
      <c r="CF314" s="19">
        <v>0</v>
      </c>
      <c r="CG314" s="19">
        <v>0</v>
      </c>
      <c r="CH314" s="19">
        <v>0</v>
      </c>
      <c r="CI314" s="19">
        <v>0</v>
      </c>
      <c r="CJ314" s="19">
        <v>0</v>
      </c>
      <c r="CK314" s="19">
        <v>0</v>
      </c>
      <c r="CL314" s="19">
        <v>0</v>
      </c>
      <c r="CM314" s="19">
        <v>0</v>
      </c>
      <c r="CN314" s="19">
        <v>0</v>
      </c>
      <c r="CO314" s="19">
        <v>0</v>
      </c>
      <c r="CP314" s="19">
        <v>0</v>
      </c>
      <c r="CQ314" s="19">
        <v>0</v>
      </c>
      <c r="CR314" s="19">
        <v>0</v>
      </c>
      <c r="CS314" s="19">
        <v>0</v>
      </c>
      <c r="CT314" s="19">
        <v>0</v>
      </c>
      <c r="CU314" s="19">
        <v>0</v>
      </c>
      <c r="CV314" s="19">
        <v>0</v>
      </c>
      <c r="CW314" s="19">
        <v>0</v>
      </c>
      <c r="CX314" s="19">
        <v>0</v>
      </c>
      <c r="CY314" s="19">
        <v>0</v>
      </c>
      <c r="CZ314" s="19">
        <v>0</v>
      </c>
      <c r="DA314" s="19">
        <v>0</v>
      </c>
      <c r="DB314" s="19">
        <v>0</v>
      </c>
      <c r="DC314" s="19">
        <v>0</v>
      </c>
      <c r="DD314" s="19">
        <v>0</v>
      </c>
      <c r="DE314" s="19">
        <v>0</v>
      </c>
      <c r="DF314" s="19">
        <v>0</v>
      </c>
      <c r="DG314" s="19">
        <v>0</v>
      </c>
      <c r="DH314" s="19">
        <v>0</v>
      </c>
      <c r="DI314" s="19">
        <v>0</v>
      </c>
      <c r="DJ314" s="19">
        <v>0</v>
      </c>
      <c r="DK314" s="19">
        <v>0</v>
      </c>
      <c r="DL314" s="19">
        <v>0</v>
      </c>
      <c r="DM314" s="19">
        <v>0</v>
      </c>
      <c r="DN314" s="19">
        <v>0</v>
      </c>
      <c r="DO314" s="19">
        <v>0</v>
      </c>
      <c r="DP314" s="19">
        <v>0</v>
      </c>
      <c r="DQ314" s="19">
        <v>0</v>
      </c>
      <c r="DR314" s="19">
        <v>0</v>
      </c>
      <c r="DS314" s="19">
        <v>0</v>
      </c>
      <c r="DT314" s="19">
        <v>0</v>
      </c>
      <c r="DU314" s="19">
        <v>0</v>
      </c>
      <c r="DV314" s="19">
        <v>0</v>
      </c>
      <c r="DW314" s="19">
        <v>0</v>
      </c>
      <c r="DX314" s="19">
        <v>0</v>
      </c>
      <c r="DY314" s="19">
        <v>0</v>
      </c>
      <c r="DZ314" s="19">
        <v>0</v>
      </c>
      <c r="EA314" s="19">
        <v>0</v>
      </c>
      <c r="EB314" s="19">
        <v>0</v>
      </c>
      <c r="EC314" s="19">
        <v>0</v>
      </c>
      <c r="ED314" s="19">
        <v>0</v>
      </c>
      <c r="EE314" s="19">
        <v>0</v>
      </c>
      <c r="EF314" s="19">
        <v>0</v>
      </c>
      <c r="EG314" s="19">
        <v>0</v>
      </c>
      <c r="EH314" s="19">
        <v>0</v>
      </c>
      <c r="EI314" s="19">
        <v>0</v>
      </c>
      <c r="EJ314" s="19">
        <v>0</v>
      </c>
      <c r="EK314" s="19">
        <v>0</v>
      </c>
      <c r="EL314" s="19">
        <v>0</v>
      </c>
      <c r="EM314" s="19">
        <v>0</v>
      </c>
      <c r="EN314" s="19">
        <v>0</v>
      </c>
      <c r="EO314" s="19">
        <v>0</v>
      </c>
      <c r="EP314" s="19">
        <v>0</v>
      </c>
      <c r="EQ314" s="19">
        <v>0</v>
      </c>
      <c r="ER314" s="19">
        <v>0</v>
      </c>
      <c r="ES314" s="119">
        <v>0</v>
      </c>
      <c r="ET314" s="119">
        <v>0</v>
      </c>
    </row>
    <row r="315" spans="1:150" ht="16.5" customHeight="1" x14ac:dyDescent="0.35">
      <c r="A315" s="4">
        <v>210</v>
      </c>
      <c r="B315" s="4" t="str">
        <f>LOOKUP(A315,Lookup!$A$1:$A$34,Lookup!$B$1:$B$34)</f>
        <v>INGREDIENTS</v>
      </c>
      <c r="C315" s="5">
        <v>41641</v>
      </c>
      <c r="D315" s="6" t="s">
        <v>303</v>
      </c>
      <c r="E315" s="18">
        <v>0</v>
      </c>
      <c r="F315" s="18">
        <v>0</v>
      </c>
      <c r="G315" s="18">
        <v>0</v>
      </c>
      <c r="H315" s="18">
        <v>0</v>
      </c>
      <c r="I315" s="19">
        <v>0</v>
      </c>
      <c r="J315" s="19">
        <v>0</v>
      </c>
      <c r="K315" s="19">
        <v>0</v>
      </c>
      <c r="L315" s="19">
        <v>0</v>
      </c>
      <c r="M315" s="19">
        <v>0</v>
      </c>
      <c r="N315" s="19">
        <v>0</v>
      </c>
      <c r="O315" s="19">
        <v>0</v>
      </c>
      <c r="P315" s="19">
        <v>0</v>
      </c>
      <c r="Q315" s="19">
        <v>0</v>
      </c>
      <c r="R315" s="19">
        <v>0</v>
      </c>
      <c r="S315" s="19">
        <v>0</v>
      </c>
      <c r="T315" s="19">
        <v>0</v>
      </c>
      <c r="U315" s="19">
        <v>0</v>
      </c>
      <c r="V315" s="19">
        <v>0</v>
      </c>
      <c r="W315" s="19">
        <v>0</v>
      </c>
      <c r="X315" s="19">
        <v>0</v>
      </c>
      <c r="Y315" s="19">
        <v>0</v>
      </c>
      <c r="Z315" s="19">
        <v>0</v>
      </c>
      <c r="AA315" s="19">
        <v>0</v>
      </c>
      <c r="AB315" s="19">
        <v>0</v>
      </c>
      <c r="AC315" s="19">
        <v>0</v>
      </c>
      <c r="AD315" s="19">
        <v>0</v>
      </c>
      <c r="AE315" s="19">
        <v>0</v>
      </c>
      <c r="AF315" s="19">
        <v>0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v>0</v>
      </c>
      <c r="AO315" s="19">
        <v>0</v>
      </c>
      <c r="AP315" s="19">
        <v>0</v>
      </c>
      <c r="AQ315" s="19">
        <v>0</v>
      </c>
      <c r="AR315" s="19">
        <v>0</v>
      </c>
      <c r="AS315" s="19">
        <v>0</v>
      </c>
      <c r="AT315" s="19">
        <v>0</v>
      </c>
      <c r="AU315" s="19">
        <v>0</v>
      </c>
      <c r="AV315" s="19">
        <v>0</v>
      </c>
      <c r="AW315" s="19">
        <v>0</v>
      </c>
      <c r="AX315" s="19">
        <v>0</v>
      </c>
      <c r="AY315" s="19">
        <v>0</v>
      </c>
      <c r="AZ315" s="19">
        <v>0</v>
      </c>
      <c r="BA315" s="19">
        <v>0</v>
      </c>
      <c r="BB315" s="19">
        <v>0</v>
      </c>
      <c r="BC315" s="19">
        <v>0</v>
      </c>
      <c r="BD315" s="19">
        <v>0</v>
      </c>
      <c r="BE315" s="19">
        <v>0</v>
      </c>
      <c r="BF315" s="19">
        <v>0</v>
      </c>
      <c r="BG315" s="19">
        <v>0</v>
      </c>
      <c r="BH315" s="19">
        <v>0</v>
      </c>
      <c r="BI315" s="19">
        <v>0</v>
      </c>
      <c r="BJ315" s="19">
        <v>0</v>
      </c>
      <c r="BK315" s="19">
        <v>0</v>
      </c>
      <c r="BL315" s="19">
        <v>0</v>
      </c>
      <c r="BM315" s="19">
        <v>0</v>
      </c>
      <c r="BN315" s="19">
        <v>0</v>
      </c>
      <c r="BO315" s="19">
        <v>0</v>
      </c>
      <c r="BP315" s="19">
        <v>0</v>
      </c>
      <c r="BQ315" s="19">
        <v>0</v>
      </c>
      <c r="BR315" s="19">
        <v>0</v>
      </c>
      <c r="BS315" s="19">
        <v>0</v>
      </c>
      <c r="BT315" s="19">
        <v>0</v>
      </c>
      <c r="BU315" s="19">
        <v>0</v>
      </c>
      <c r="BV315" s="19">
        <v>0</v>
      </c>
      <c r="BW315" s="19">
        <v>0</v>
      </c>
      <c r="BX315" s="19">
        <v>0</v>
      </c>
      <c r="BY315" s="19">
        <v>0</v>
      </c>
      <c r="BZ315" s="19">
        <v>0</v>
      </c>
      <c r="CA315" s="19">
        <v>0</v>
      </c>
      <c r="CB315" s="19">
        <v>0</v>
      </c>
      <c r="CC315" s="19">
        <v>0</v>
      </c>
      <c r="CD315" s="19">
        <v>0</v>
      </c>
      <c r="CE315" s="19">
        <v>0</v>
      </c>
      <c r="CF315" s="19">
        <v>0</v>
      </c>
      <c r="CG315" s="19">
        <v>0</v>
      </c>
      <c r="CH315" s="19">
        <v>0</v>
      </c>
      <c r="CI315" s="19">
        <v>0</v>
      </c>
      <c r="CJ315" s="19">
        <v>0</v>
      </c>
      <c r="CK315" s="19">
        <v>0</v>
      </c>
      <c r="CL315" s="19">
        <v>0</v>
      </c>
      <c r="CM315" s="19">
        <v>0</v>
      </c>
      <c r="CN315" s="19">
        <v>0</v>
      </c>
      <c r="CO315" s="19">
        <v>0</v>
      </c>
      <c r="CP315" s="19">
        <v>0</v>
      </c>
      <c r="CQ315" s="19">
        <v>0</v>
      </c>
      <c r="CR315" s="19">
        <v>0</v>
      </c>
      <c r="CS315" s="19">
        <v>0</v>
      </c>
      <c r="CT315" s="19">
        <v>0</v>
      </c>
      <c r="CU315" s="19">
        <v>0</v>
      </c>
      <c r="CV315" s="19">
        <v>0</v>
      </c>
      <c r="CW315" s="19">
        <v>0</v>
      </c>
      <c r="CX315" s="19">
        <v>0</v>
      </c>
      <c r="CY315" s="19">
        <v>0</v>
      </c>
      <c r="CZ315" s="19">
        <v>0</v>
      </c>
      <c r="DA315" s="19">
        <v>0</v>
      </c>
      <c r="DB315" s="19">
        <v>0</v>
      </c>
      <c r="DC315" s="19">
        <v>0</v>
      </c>
      <c r="DD315" s="19">
        <v>0</v>
      </c>
      <c r="DE315" s="19">
        <v>0</v>
      </c>
      <c r="DF315" s="19">
        <v>0</v>
      </c>
      <c r="DG315" s="19">
        <v>0</v>
      </c>
      <c r="DH315" s="19">
        <v>0</v>
      </c>
      <c r="DI315" s="19">
        <v>0</v>
      </c>
      <c r="DJ315" s="19">
        <v>0</v>
      </c>
      <c r="DK315" s="19">
        <v>0</v>
      </c>
      <c r="DL315" s="19">
        <v>0</v>
      </c>
      <c r="DM315" s="19">
        <v>0</v>
      </c>
      <c r="DN315" s="19">
        <v>0</v>
      </c>
      <c r="DO315" s="19">
        <v>0</v>
      </c>
      <c r="DP315" s="19">
        <v>0</v>
      </c>
      <c r="DQ315" s="19">
        <v>0</v>
      </c>
      <c r="DR315" s="19">
        <v>0</v>
      </c>
      <c r="DS315" s="19">
        <v>0</v>
      </c>
      <c r="DT315" s="19">
        <v>0</v>
      </c>
      <c r="DU315" s="19">
        <v>0</v>
      </c>
      <c r="DV315" s="19">
        <v>0</v>
      </c>
      <c r="DW315" s="19">
        <v>0</v>
      </c>
      <c r="DX315" s="19">
        <v>0</v>
      </c>
      <c r="DY315" s="19">
        <v>0</v>
      </c>
      <c r="DZ315" s="19">
        <v>0</v>
      </c>
      <c r="EA315" s="19">
        <v>0</v>
      </c>
      <c r="EB315" s="19">
        <v>0</v>
      </c>
      <c r="EC315" s="19">
        <v>0</v>
      </c>
      <c r="ED315" s="19">
        <v>0</v>
      </c>
      <c r="EE315" s="19">
        <v>0</v>
      </c>
      <c r="EF315" s="19">
        <v>0</v>
      </c>
      <c r="EG315" s="19">
        <v>0</v>
      </c>
      <c r="EH315" s="19">
        <v>0</v>
      </c>
      <c r="EI315" s="19">
        <v>0</v>
      </c>
      <c r="EJ315" s="19">
        <v>0</v>
      </c>
      <c r="EK315" s="19">
        <v>0</v>
      </c>
      <c r="EL315" s="19">
        <v>0</v>
      </c>
      <c r="EM315" s="19">
        <v>0</v>
      </c>
      <c r="EN315" s="19">
        <v>0</v>
      </c>
      <c r="EO315" s="19">
        <v>0</v>
      </c>
      <c r="EP315" s="19">
        <v>0</v>
      </c>
      <c r="EQ315" s="19">
        <v>0</v>
      </c>
      <c r="ER315" s="19">
        <v>0</v>
      </c>
      <c r="ES315" s="119">
        <v>0</v>
      </c>
      <c r="ET315" s="119">
        <v>0</v>
      </c>
    </row>
    <row r="316" spans="1:150" ht="16.5" customHeight="1" x14ac:dyDescent="0.35">
      <c r="A316" s="4">
        <v>210</v>
      </c>
      <c r="B316" s="4" t="str">
        <f>LOOKUP(A316,Lookup!$A$1:$A$34,Lookup!$B$1:$B$34)</f>
        <v>INGREDIENTS</v>
      </c>
      <c r="C316" s="5">
        <v>41642</v>
      </c>
      <c r="D316" s="6" t="s">
        <v>304</v>
      </c>
      <c r="E316" s="18">
        <v>0</v>
      </c>
      <c r="F316" s="18">
        <v>0</v>
      </c>
      <c r="G316" s="18">
        <v>0</v>
      </c>
      <c r="H316" s="18">
        <v>0</v>
      </c>
      <c r="I316" s="19">
        <v>0</v>
      </c>
      <c r="J316" s="19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0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19">
        <v>0</v>
      </c>
      <c r="AM316" s="19">
        <v>0</v>
      </c>
      <c r="AN316" s="19">
        <v>0</v>
      </c>
      <c r="AO316" s="19">
        <v>0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9">
        <v>0</v>
      </c>
      <c r="AV316" s="19">
        <v>0</v>
      </c>
      <c r="AW316" s="19">
        <v>0</v>
      </c>
      <c r="AX316" s="19">
        <v>0</v>
      </c>
      <c r="AY316" s="19">
        <v>0</v>
      </c>
      <c r="AZ316" s="19">
        <v>0</v>
      </c>
      <c r="BA316" s="19">
        <v>0</v>
      </c>
      <c r="BB316" s="19">
        <v>0</v>
      </c>
      <c r="BC316" s="19">
        <v>0</v>
      </c>
      <c r="BD316" s="19">
        <v>0</v>
      </c>
      <c r="BE316" s="19">
        <v>0</v>
      </c>
      <c r="BF316" s="19">
        <v>0</v>
      </c>
      <c r="BG316" s="19">
        <v>0</v>
      </c>
      <c r="BH316" s="19">
        <v>0</v>
      </c>
      <c r="BI316" s="19">
        <v>0</v>
      </c>
      <c r="BJ316" s="19">
        <v>0</v>
      </c>
      <c r="BK316" s="19">
        <v>0</v>
      </c>
      <c r="BL316" s="19">
        <v>0</v>
      </c>
      <c r="BM316" s="19">
        <v>0</v>
      </c>
      <c r="BN316" s="19">
        <v>0</v>
      </c>
      <c r="BO316" s="19">
        <v>0</v>
      </c>
      <c r="BP316" s="19">
        <v>0</v>
      </c>
      <c r="BQ316" s="19">
        <v>0</v>
      </c>
      <c r="BR316" s="19">
        <v>0</v>
      </c>
      <c r="BS316" s="19">
        <v>0</v>
      </c>
      <c r="BT316" s="19">
        <v>0</v>
      </c>
      <c r="BU316" s="19">
        <v>0</v>
      </c>
      <c r="BV316" s="19">
        <v>0</v>
      </c>
      <c r="BW316" s="19">
        <v>0</v>
      </c>
      <c r="BX316" s="19">
        <v>0</v>
      </c>
      <c r="BY316" s="19">
        <v>0</v>
      </c>
      <c r="BZ316" s="19">
        <v>0</v>
      </c>
      <c r="CA316" s="19">
        <v>0</v>
      </c>
      <c r="CB316" s="19">
        <v>0</v>
      </c>
      <c r="CC316" s="19">
        <v>0</v>
      </c>
      <c r="CD316" s="19">
        <v>0</v>
      </c>
      <c r="CE316" s="19">
        <v>0</v>
      </c>
      <c r="CF316" s="19">
        <v>0</v>
      </c>
      <c r="CG316" s="19">
        <v>0</v>
      </c>
      <c r="CH316" s="19">
        <v>0</v>
      </c>
      <c r="CI316" s="19">
        <v>0</v>
      </c>
      <c r="CJ316" s="19">
        <v>0</v>
      </c>
      <c r="CK316" s="19">
        <v>0</v>
      </c>
      <c r="CL316" s="19">
        <v>0</v>
      </c>
      <c r="CM316" s="19">
        <v>0</v>
      </c>
      <c r="CN316" s="19">
        <v>0</v>
      </c>
      <c r="CO316" s="19">
        <v>0</v>
      </c>
      <c r="CP316" s="19">
        <v>0</v>
      </c>
      <c r="CQ316" s="19">
        <v>0</v>
      </c>
      <c r="CR316" s="19">
        <v>0</v>
      </c>
      <c r="CS316" s="19">
        <v>0</v>
      </c>
      <c r="CT316" s="19">
        <v>0</v>
      </c>
      <c r="CU316" s="19">
        <v>0</v>
      </c>
      <c r="CV316" s="19">
        <v>0</v>
      </c>
      <c r="CW316" s="19">
        <v>0</v>
      </c>
      <c r="CX316" s="19">
        <v>0</v>
      </c>
      <c r="CY316" s="19">
        <v>0</v>
      </c>
      <c r="CZ316" s="19">
        <v>0</v>
      </c>
      <c r="DA316" s="19">
        <v>0</v>
      </c>
      <c r="DB316" s="19">
        <v>0</v>
      </c>
      <c r="DC316" s="19">
        <v>0</v>
      </c>
      <c r="DD316" s="19">
        <v>0</v>
      </c>
      <c r="DE316" s="19">
        <v>0</v>
      </c>
      <c r="DF316" s="19">
        <v>0</v>
      </c>
      <c r="DG316" s="19">
        <v>0</v>
      </c>
      <c r="DH316" s="19">
        <v>0</v>
      </c>
      <c r="DI316" s="19">
        <v>0</v>
      </c>
      <c r="DJ316" s="19">
        <v>0</v>
      </c>
      <c r="DK316" s="19">
        <v>0</v>
      </c>
      <c r="DL316" s="19">
        <v>0</v>
      </c>
      <c r="DM316" s="19">
        <v>0</v>
      </c>
      <c r="DN316" s="19">
        <v>0</v>
      </c>
      <c r="DO316" s="19">
        <v>0</v>
      </c>
      <c r="DP316" s="19">
        <v>0</v>
      </c>
      <c r="DQ316" s="19">
        <v>0</v>
      </c>
      <c r="DR316" s="19">
        <v>0</v>
      </c>
      <c r="DS316" s="19">
        <v>0</v>
      </c>
      <c r="DT316" s="19">
        <v>0</v>
      </c>
      <c r="DU316" s="19">
        <v>0</v>
      </c>
      <c r="DV316" s="19">
        <v>0</v>
      </c>
      <c r="DW316" s="19">
        <v>0</v>
      </c>
      <c r="DX316" s="19">
        <v>0</v>
      </c>
      <c r="DY316" s="19">
        <v>0</v>
      </c>
      <c r="DZ316" s="19">
        <v>0</v>
      </c>
      <c r="EA316" s="19">
        <v>0</v>
      </c>
      <c r="EB316" s="19">
        <v>0</v>
      </c>
      <c r="EC316" s="19">
        <v>0</v>
      </c>
      <c r="ED316" s="19">
        <v>0</v>
      </c>
      <c r="EE316" s="19">
        <v>0</v>
      </c>
      <c r="EF316" s="19">
        <v>0</v>
      </c>
      <c r="EG316" s="19">
        <v>0</v>
      </c>
      <c r="EH316" s="19">
        <v>0</v>
      </c>
      <c r="EI316" s="19">
        <v>0</v>
      </c>
      <c r="EJ316" s="19">
        <v>0</v>
      </c>
      <c r="EK316" s="19">
        <v>0</v>
      </c>
      <c r="EL316" s="19">
        <v>0</v>
      </c>
      <c r="EM316" s="19">
        <v>0</v>
      </c>
      <c r="EN316" s="19">
        <v>0</v>
      </c>
      <c r="EO316" s="19">
        <v>0</v>
      </c>
      <c r="EP316" s="19">
        <v>0</v>
      </c>
      <c r="EQ316" s="19">
        <v>0</v>
      </c>
      <c r="ER316" s="19">
        <v>0</v>
      </c>
      <c r="ES316" s="119">
        <v>0</v>
      </c>
      <c r="ET316" s="119">
        <v>0</v>
      </c>
    </row>
    <row r="317" spans="1:150" ht="16.5" customHeight="1" x14ac:dyDescent="0.35">
      <c r="A317" s="4">
        <v>210</v>
      </c>
      <c r="B317" s="4" t="str">
        <f>LOOKUP(A317,Lookup!$A$1:$A$34,Lookup!$B$1:$B$34)</f>
        <v>INGREDIENTS</v>
      </c>
      <c r="C317" s="5">
        <v>42326</v>
      </c>
      <c r="D317" s="6" t="s">
        <v>305</v>
      </c>
      <c r="E317" s="18">
        <v>0</v>
      </c>
      <c r="F317" s="18">
        <v>0</v>
      </c>
      <c r="G317" s="18">
        <v>0</v>
      </c>
      <c r="H317" s="18">
        <v>0</v>
      </c>
      <c r="I317" s="19">
        <v>0</v>
      </c>
      <c r="J317" s="19">
        <v>0</v>
      </c>
      <c r="K317" s="19">
        <v>0</v>
      </c>
      <c r="L317" s="19">
        <v>0</v>
      </c>
      <c r="M317" s="19">
        <v>0</v>
      </c>
      <c r="N317" s="19">
        <v>0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>
        <v>0</v>
      </c>
      <c r="BC317" s="19">
        <v>0</v>
      </c>
      <c r="BD317" s="19">
        <v>0</v>
      </c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>
        <v>0</v>
      </c>
      <c r="BM317" s="19">
        <v>0</v>
      </c>
      <c r="BN317" s="19">
        <v>0</v>
      </c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>
        <v>0</v>
      </c>
      <c r="BV317" s="19">
        <v>0</v>
      </c>
      <c r="BW317" s="19">
        <v>0</v>
      </c>
      <c r="BX317" s="19">
        <v>0</v>
      </c>
      <c r="BY317" s="19">
        <v>0</v>
      </c>
      <c r="BZ317" s="19">
        <v>0</v>
      </c>
      <c r="CA317" s="19">
        <v>0</v>
      </c>
      <c r="CB317" s="19">
        <v>0</v>
      </c>
      <c r="CC317" s="19">
        <v>0</v>
      </c>
      <c r="CD317" s="19">
        <v>0</v>
      </c>
      <c r="CE317" s="19">
        <v>0</v>
      </c>
      <c r="CF317" s="19">
        <v>0</v>
      </c>
      <c r="CG317" s="19">
        <v>0</v>
      </c>
      <c r="CH317" s="19">
        <v>0</v>
      </c>
      <c r="CI317" s="19">
        <v>0</v>
      </c>
      <c r="CJ317" s="19">
        <v>0</v>
      </c>
      <c r="CK317" s="19">
        <v>0</v>
      </c>
      <c r="CL317" s="19">
        <v>0</v>
      </c>
      <c r="CM317" s="19">
        <v>0</v>
      </c>
      <c r="CN317" s="19">
        <v>0</v>
      </c>
      <c r="CO317" s="19">
        <v>0</v>
      </c>
      <c r="CP317" s="19">
        <v>0</v>
      </c>
      <c r="CQ317" s="19">
        <v>0</v>
      </c>
      <c r="CR317" s="19">
        <v>0</v>
      </c>
      <c r="CS317" s="19">
        <v>0</v>
      </c>
      <c r="CT317" s="19">
        <v>0</v>
      </c>
      <c r="CU317" s="19">
        <v>0</v>
      </c>
      <c r="CV317" s="19">
        <v>0</v>
      </c>
      <c r="CW317" s="19">
        <v>0</v>
      </c>
      <c r="CX317" s="19">
        <v>0</v>
      </c>
      <c r="CY317" s="19">
        <v>0</v>
      </c>
      <c r="CZ317" s="19">
        <v>0</v>
      </c>
      <c r="DA317" s="19">
        <v>0</v>
      </c>
      <c r="DB317" s="19">
        <v>0</v>
      </c>
      <c r="DC317" s="19">
        <v>0</v>
      </c>
      <c r="DD317" s="19">
        <v>0</v>
      </c>
      <c r="DE317" s="19">
        <v>0</v>
      </c>
      <c r="DF317" s="19">
        <v>0</v>
      </c>
      <c r="DG317" s="19">
        <v>0</v>
      </c>
      <c r="DH317" s="19">
        <v>0</v>
      </c>
      <c r="DI317" s="19">
        <v>0</v>
      </c>
      <c r="DJ317" s="19">
        <v>0</v>
      </c>
      <c r="DK317" s="19">
        <v>0</v>
      </c>
      <c r="DL317" s="19">
        <v>0</v>
      </c>
      <c r="DM317" s="19">
        <v>0</v>
      </c>
      <c r="DN317" s="19">
        <v>0</v>
      </c>
      <c r="DO317" s="19">
        <v>0</v>
      </c>
      <c r="DP317" s="19">
        <v>0</v>
      </c>
      <c r="DQ317" s="19">
        <v>0</v>
      </c>
      <c r="DR317" s="19">
        <v>0</v>
      </c>
      <c r="DS317" s="19">
        <v>0</v>
      </c>
      <c r="DT317" s="19">
        <v>0</v>
      </c>
      <c r="DU317" s="19">
        <v>0</v>
      </c>
      <c r="DV317" s="19">
        <v>0</v>
      </c>
      <c r="DW317" s="19">
        <v>0</v>
      </c>
      <c r="DX317" s="19">
        <v>0</v>
      </c>
      <c r="DY317" s="19">
        <v>0</v>
      </c>
      <c r="DZ317" s="19">
        <v>0</v>
      </c>
      <c r="EA317" s="19">
        <v>0</v>
      </c>
      <c r="EB317" s="19">
        <v>0</v>
      </c>
      <c r="EC317" s="19">
        <v>0</v>
      </c>
      <c r="ED317" s="19">
        <v>0</v>
      </c>
      <c r="EE317" s="19">
        <v>0</v>
      </c>
      <c r="EF317" s="19">
        <v>0</v>
      </c>
      <c r="EG317" s="19">
        <v>0</v>
      </c>
      <c r="EH317" s="19">
        <v>0</v>
      </c>
      <c r="EI317" s="19">
        <v>0</v>
      </c>
      <c r="EJ317" s="19">
        <v>0</v>
      </c>
      <c r="EK317" s="19">
        <v>0</v>
      </c>
      <c r="EL317" s="19">
        <v>0</v>
      </c>
      <c r="EM317" s="19">
        <v>0</v>
      </c>
      <c r="EN317" s="19">
        <v>0</v>
      </c>
      <c r="EO317" s="19">
        <v>0</v>
      </c>
      <c r="EP317" s="19">
        <v>0</v>
      </c>
      <c r="EQ317" s="19">
        <v>0</v>
      </c>
      <c r="ER317" s="19">
        <v>0</v>
      </c>
      <c r="ES317" s="119">
        <v>0</v>
      </c>
      <c r="ET317" s="119">
        <v>0</v>
      </c>
    </row>
    <row r="318" spans="1:150" ht="16.5" customHeight="1" x14ac:dyDescent="0.35">
      <c r="A318" s="4">
        <v>210</v>
      </c>
      <c r="B318" s="4" t="str">
        <f>LOOKUP(A318,Lookup!$A$1:$A$34,Lookup!$B$1:$B$34)</f>
        <v>INGREDIENTS</v>
      </c>
      <c r="C318" s="5">
        <v>42328</v>
      </c>
      <c r="D318" s="6" t="s">
        <v>306</v>
      </c>
      <c r="E318" s="18">
        <v>0</v>
      </c>
      <c r="F318" s="18">
        <v>0</v>
      </c>
      <c r="G318" s="18">
        <v>0</v>
      </c>
      <c r="H318" s="18">
        <v>0</v>
      </c>
      <c r="I318" s="19">
        <v>0</v>
      </c>
      <c r="J318" s="19">
        <v>0</v>
      </c>
      <c r="K318" s="19">
        <v>0</v>
      </c>
      <c r="L318" s="19">
        <v>0</v>
      </c>
      <c r="M318" s="19">
        <v>0</v>
      </c>
      <c r="N318" s="19">
        <v>0</v>
      </c>
      <c r="O318" s="19">
        <v>0</v>
      </c>
      <c r="P318" s="19">
        <v>0</v>
      </c>
      <c r="Q318" s="19">
        <v>0</v>
      </c>
      <c r="R318" s="19">
        <v>0</v>
      </c>
      <c r="S318" s="19">
        <v>0</v>
      </c>
      <c r="T318" s="19">
        <v>0</v>
      </c>
      <c r="U318" s="19">
        <v>0</v>
      </c>
      <c r="V318" s="19">
        <v>0</v>
      </c>
      <c r="W318" s="19">
        <v>0</v>
      </c>
      <c r="X318" s="19">
        <v>0</v>
      </c>
      <c r="Y318" s="19">
        <v>0</v>
      </c>
      <c r="Z318" s="19">
        <v>0</v>
      </c>
      <c r="AA318" s="19">
        <v>0</v>
      </c>
      <c r="AB318" s="19">
        <v>0</v>
      </c>
      <c r="AC318" s="19">
        <v>0</v>
      </c>
      <c r="AD318" s="19">
        <v>0</v>
      </c>
      <c r="AE318" s="19">
        <v>0</v>
      </c>
      <c r="AF318" s="19">
        <v>0</v>
      </c>
      <c r="AG318" s="19">
        <v>0</v>
      </c>
      <c r="AH318" s="19">
        <v>0</v>
      </c>
      <c r="AI318" s="19">
        <v>0</v>
      </c>
      <c r="AJ318" s="19">
        <v>0</v>
      </c>
      <c r="AK318" s="19">
        <v>0</v>
      </c>
      <c r="AL318" s="19">
        <v>0</v>
      </c>
      <c r="AM318" s="19">
        <v>0</v>
      </c>
      <c r="AN318" s="19">
        <v>0</v>
      </c>
      <c r="AO318" s="19">
        <v>0</v>
      </c>
      <c r="AP318" s="19">
        <v>0</v>
      </c>
      <c r="AQ318" s="19">
        <v>0</v>
      </c>
      <c r="AR318" s="19">
        <v>0</v>
      </c>
      <c r="AS318" s="19">
        <v>0</v>
      </c>
      <c r="AT318" s="19">
        <v>0</v>
      </c>
      <c r="AU318" s="19">
        <v>0</v>
      </c>
      <c r="AV318" s="19">
        <v>0</v>
      </c>
      <c r="AW318" s="19">
        <v>0</v>
      </c>
      <c r="AX318" s="19">
        <v>0</v>
      </c>
      <c r="AY318" s="19">
        <v>0</v>
      </c>
      <c r="AZ318" s="19">
        <v>0</v>
      </c>
      <c r="BA318" s="19">
        <v>0</v>
      </c>
      <c r="BB318" s="19">
        <v>0</v>
      </c>
      <c r="BC318" s="19">
        <v>0</v>
      </c>
      <c r="BD318" s="19">
        <v>0</v>
      </c>
      <c r="BE318" s="19">
        <v>0</v>
      </c>
      <c r="BF318" s="19">
        <v>0</v>
      </c>
      <c r="BG318" s="19">
        <v>0</v>
      </c>
      <c r="BH318" s="19">
        <v>0</v>
      </c>
      <c r="BI318" s="19">
        <v>0</v>
      </c>
      <c r="BJ318" s="19">
        <v>0</v>
      </c>
      <c r="BK318" s="19">
        <v>0</v>
      </c>
      <c r="BL318" s="19">
        <v>0</v>
      </c>
      <c r="BM318" s="19">
        <v>0</v>
      </c>
      <c r="BN318" s="19">
        <v>0</v>
      </c>
      <c r="BO318" s="19">
        <v>0</v>
      </c>
      <c r="BP318" s="19">
        <v>0</v>
      </c>
      <c r="BQ318" s="19">
        <v>0</v>
      </c>
      <c r="BR318" s="19">
        <v>0</v>
      </c>
      <c r="BS318" s="19">
        <v>0</v>
      </c>
      <c r="BT318" s="19">
        <v>0</v>
      </c>
      <c r="BU318" s="19">
        <v>0</v>
      </c>
      <c r="BV318" s="19">
        <v>0</v>
      </c>
      <c r="BW318" s="19">
        <v>0</v>
      </c>
      <c r="BX318" s="19">
        <v>0</v>
      </c>
      <c r="BY318" s="19">
        <v>0</v>
      </c>
      <c r="BZ318" s="19">
        <v>0</v>
      </c>
      <c r="CA318" s="19">
        <v>0</v>
      </c>
      <c r="CB318" s="19">
        <v>0</v>
      </c>
      <c r="CC318" s="19">
        <v>0</v>
      </c>
      <c r="CD318" s="19">
        <v>0</v>
      </c>
      <c r="CE318" s="19">
        <v>0</v>
      </c>
      <c r="CF318" s="19">
        <v>0</v>
      </c>
      <c r="CG318" s="19">
        <v>0</v>
      </c>
      <c r="CH318" s="19">
        <v>0</v>
      </c>
      <c r="CI318" s="19">
        <v>0</v>
      </c>
      <c r="CJ318" s="19">
        <v>0</v>
      </c>
      <c r="CK318" s="19">
        <v>0</v>
      </c>
      <c r="CL318" s="19">
        <v>0</v>
      </c>
      <c r="CM318" s="19">
        <v>0</v>
      </c>
      <c r="CN318" s="19">
        <v>0</v>
      </c>
      <c r="CO318" s="19">
        <v>0</v>
      </c>
      <c r="CP318" s="19">
        <v>0</v>
      </c>
      <c r="CQ318" s="19">
        <v>0</v>
      </c>
      <c r="CR318" s="19">
        <v>0</v>
      </c>
      <c r="CS318" s="19">
        <v>0</v>
      </c>
      <c r="CT318" s="19">
        <v>0</v>
      </c>
      <c r="CU318" s="19">
        <v>0</v>
      </c>
      <c r="CV318" s="19">
        <v>0</v>
      </c>
      <c r="CW318" s="19">
        <v>0</v>
      </c>
      <c r="CX318" s="19">
        <v>0</v>
      </c>
      <c r="CY318" s="19">
        <v>0</v>
      </c>
      <c r="CZ318" s="19">
        <v>0</v>
      </c>
      <c r="DA318" s="19">
        <v>0</v>
      </c>
      <c r="DB318" s="19">
        <v>0</v>
      </c>
      <c r="DC318" s="19">
        <v>0</v>
      </c>
      <c r="DD318" s="19">
        <v>0</v>
      </c>
      <c r="DE318" s="19">
        <v>0</v>
      </c>
      <c r="DF318" s="19">
        <v>0</v>
      </c>
      <c r="DG318" s="19">
        <v>0</v>
      </c>
      <c r="DH318" s="19">
        <v>0</v>
      </c>
      <c r="DI318" s="19">
        <v>0</v>
      </c>
      <c r="DJ318" s="19">
        <v>0</v>
      </c>
      <c r="DK318" s="19">
        <v>0</v>
      </c>
      <c r="DL318" s="19">
        <v>0</v>
      </c>
      <c r="DM318" s="19">
        <v>0</v>
      </c>
      <c r="DN318" s="19">
        <v>0</v>
      </c>
      <c r="DO318" s="19">
        <v>0</v>
      </c>
      <c r="DP318" s="19">
        <v>0</v>
      </c>
      <c r="DQ318" s="19">
        <v>0</v>
      </c>
      <c r="DR318" s="19">
        <v>0</v>
      </c>
      <c r="DS318" s="19">
        <v>0</v>
      </c>
      <c r="DT318" s="19">
        <v>0</v>
      </c>
      <c r="DU318" s="19">
        <v>0</v>
      </c>
      <c r="DV318" s="19">
        <v>0</v>
      </c>
      <c r="DW318" s="19">
        <v>0</v>
      </c>
      <c r="DX318" s="19">
        <v>0</v>
      </c>
      <c r="DY318" s="19">
        <v>0</v>
      </c>
      <c r="DZ318" s="19">
        <v>0</v>
      </c>
      <c r="EA318" s="19">
        <v>0</v>
      </c>
      <c r="EB318" s="19">
        <v>0</v>
      </c>
      <c r="EC318" s="19">
        <v>0</v>
      </c>
      <c r="ED318" s="19">
        <v>0</v>
      </c>
      <c r="EE318" s="19">
        <v>0</v>
      </c>
      <c r="EF318" s="19">
        <v>0</v>
      </c>
      <c r="EG318" s="19">
        <v>0</v>
      </c>
      <c r="EH318" s="19">
        <v>0</v>
      </c>
      <c r="EI318" s="19">
        <v>0</v>
      </c>
      <c r="EJ318" s="19">
        <v>0</v>
      </c>
      <c r="EK318" s="19">
        <v>0</v>
      </c>
      <c r="EL318" s="19">
        <v>0</v>
      </c>
      <c r="EM318" s="19">
        <v>0</v>
      </c>
      <c r="EN318" s="19">
        <v>0</v>
      </c>
      <c r="EO318" s="19">
        <v>0</v>
      </c>
      <c r="EP318" s="19">
        <v>0</v>
      </c>
      <c r="EQ318" s="19">
        <v>0</v>
      </c>
      <c r="ER318" s="19">
        <v>0</v>
      </c>
      <c r="ES318" s="119">
        <v>0</v>
      </c>
      <c r="ET318" s="119">
        <v>0</v>
      </c>
    </row>
    <row r="319" spans="1:150" ht="16.5" customHeight="1" x14ac:dyDescent="0.35">
      <c r="A319" s="4">
        <v>210</v>
      </c>
      <c r="B319" s="4" t="str">
        <f>LOOKUP(A319,Lookup!$A$1:$A$34,Lookup!$B$1:$B$34)</f>
        <v>INGREDIENTS</v>
      </c>
      <c r="C319" s="5">
        <v>42335</v>
      </c>
      <c r="D319" s="6" t="s">
        <v>304</v>
      </c>
      <c r="E319" s="18">
        <v>0</v>
      </c>
      <c r="F319" s="18">
        <v>0</v>
      </c>
      <c r="G319" s="18">
        <v>0</v>
      </c>
      <c r="H319" s="18">
        <v>0</v>
      </c>
      <c r="I319" s="19">
        <v>0</v>
      </c>
      <c r="J319" s="19">
        <v>0</v>
      </c>
      <c r="K319" s="19">
        <v>0</v>
      </c>
      <c r="L319" s="19">
        <v>0</v>
      </c>
      <c r="M319" s="19">
        <v>0</v>
      </c>
      <c r="N319" s="19">
        <v>0</v>
      </c>
      <c r="O319" s="19">
        <v>0</v>
      </c>
      <c r="P319" s="19">
        <v>0</v>
      </c>
      <c r="Q319" s="19">
        <v>0</v>
      </c>
      <c r="R319" s="19">
        <v>0</v>
      </c>
      <c r="S319" s="19">
        <v>0</v>
      </c>
      <c r="T319" s="19">
        <v>0</v>
      </c>
      <c r="U319" s="19">
        <v>0</v>
      </c>
      <c r="V319" s="19">
        <v>0</v>
      </c>
      <c r="W319" s="19">
        <v>0</v>
      </c>
      <c r="X319" s="19">
        <v>0</v>
      </c>
      <c r="Y319" s="19">
        <v>0</v>
      </c>
      <c r="Z319" s="19">
        <v>0</v>
      </c>
      <c r="AA319" s="19">
        <v>0</v>
      </c>
      <c r="AB319" s="19">
        <v>0</v>
      </c>
      <c r="AC319" s="19">
        <v>0</v>
      </c>
      <c r="AD319" s="19">
        <v>0</v>
      </c>
      <c r="AE319" s="19">
        <v>0</v>
      </c>
      <c r="AF319" s="19">
        <v>0</v>
      </c>
      <c r="AG319" s="19">
        <v>0</v>
      </c>
      <c r="AH319" s="19">
        <v>0</v>
      </c>
      <c r="AI319" s="19">
        <v>0</v>
      </c>
      <c r="AJ319" s="19">
        <v>0</v>
      </c>
      <c r="AK319" s="19">
        <v>0</v>
      </c>
      <c r="AL319" s="19">
        <v>0</v>
      </c>
      <c r="AM319" s="19">
        <v>0</v>
      </c>
      <c r="AN319" s="19">
        <v>0</v>
      </c>
      <c r="AO319" s="19">
        <v>0</v>
      </c>
      <c r="AP319" s="19">
        <v>0</v>
      </c>
      <c r="AQ319" s="19">
        <v>0</v>
      </c>
      <c r="AR319" s="19">
        <v>0</v>
      </c>
      <c r="AS319" s="19">
        <v>0</v>
      </c>
      <c r="AT319" s="19">
        <v>0</v>
      </c>
      <c r="AU319" s="19">
        <v>0</v>
      </c>
      <c r="AV319" s="19">
        <v>0</v>
      </c>
      <c r="AW319" s="19">
        <v>0</v>
      </c>
      <c r="AX319" s="19">
        <v>0</v>
      </c>
      <c r="AY319" s="19">
        <v>0</v>
      </c>
      <c r="AZ319" s="19">
        <v>0</v>
      </c>
      <c r="BA319" s="19">
        <v>0</v>
      </c>
      <c r="BB319" s="19">
        <v>0</v>
      </c>
      <c r="BC319" s="19">
        <v>0</v>
      </c>
      <c r="BD319" s="19">
        <v>0</v>
      </c>
      <c r="BE319" s="19">
        <v>0</v>
      </c>
      <c r="BF319" s="19">
        <v>0</v>
      </c>
      <c r="BG319" s="19">
        <v>0</v>
      </c>
      <c r="BH319" s="19">
        <v>0</v>
      </c>
      <c r="BI319" s="19">
        <v>0</v>
      </c>
      <c r="BJ319" s="19">
        <v>0</v>
      </c>
      <c r="BK319" s="19">
        <v>0</v>
      </c>
      <c r="BL319" s="19">
        <v>0</v>
      </c>
      <c r="BM319" s="19">
        <v>0</v>
      </c>
      <c r="BN319" s="19">
        <v>0</v>
      </c>
      <c r="BO319" s="19">
        <v>0</v>
      </c>
      <c r="BP319" s="19">
        <v>0</v>
      </c>
      <c r="BQ319" s="19">
        <v>0</v>
      </c>
      <c r="BR319" s="19">
        <v>0</v>
      </c>
      <c r="BS319" s="19">
        <v>0</v>
      </c>
      <c r="BT319" s="19">
        <v>0</v>
      </c>
      <c r="BU319" s="19">
        <v>0</v>
      </c>
      <c r="BV319" s="19">
        <v>0</v>
      </c>
      <c r="BW319" s="19">
        <v>0</v>
      </c>
      <c r="BX319" s="19">
        <v>0</v>
      </c>
      <c r="BY319" s="19">
        <v>0</v>
      </c>
      <c r="BZ319" s="19">
        <v>0</v>
      </c>
      <c r="CA319" s="19">
        <v>0</v>
      </c>
      <c r="CB319" s="19">
        <v>0</v>
      </c>
      <c r="CC319" s="19">
        <v>0</v>
      </c>
      <c r="CD319" s="19">
        <v>0</v>
      </c>
      <c r="CE319" s="19">
        <v>0</v>
      </c>
      <c r="CF319" s="19">
        <v>0</v>
      </c>
      <c r="CG319" s="19">
        <v>0</v>
      </c>
      <c r="CH319" s="19">
        <v>0</v>
      </c>
      <c r="CI319" s="19">
        <v>0</v>
      </c>
      <c r="CJ319" s="19">
        <v>0</v>
      </c>
      <c r="CK319" s="19">
        <v>0</v>
      </c>
      <c r="CL319" s="19">
        <v>0</v>
      </c>
      <c r="CM319" s="19">
        <v>0</v>
      </c>
      <c r="CN319" s="19">
        <v>0</v>
      </c>
      <c r="CO319" s="19">
        <v>0</v>
      </c>
      <c r="CP319" s="19">
        <v>0</v>
      </c>
      <c r="CQ319" s="19">
        <v>0</v>
      </c>
      <c r="CR319" s="19">
        <v>0</v>
      </c>
      <c r="CS319" s="19">
        <v>0</v>
      </c>
      <c r="CT319" s="19">
        <v>0</v>
      </c>
      <c r="CU319" s="19">
        <v>0</v>
      </c>
      <c r="CV319" s="19">
        <v>0</v>
      </c>
      <c r="CW319" s="19">
        <v>0</v>
      </c>
      <c r="CX319" s="19">
        <v>0</v>
      </c>
      <c r="CY319" s="19">
        <v>0</v>
      </c>
      <c r="CZ319" s="19">
        <v>0</v>
      </c>
      <c r="DA319" s="19">
        <v>0</v>
      </c>
      <c r="DB319" s="19">
        <v>0</v>
      </c>
      <c r="DC319" s="19">
        <v>0</v>
      </c>
      <c r="DD319" s="19">
        <v>0</v>
      </c>
      <c r="DE319" s="19">
        <v>0</v>
      </c>
      <c r="DF319" s="19">
        <v>0</v>
      </c>
      <c r="DG319" s="19">
        <v>0</v>
      </c>
      <c r="DH319" s="19">
        <v>0</v>
      </c>
      <c r="DI319" s="19">
        <v>0</v>
      </c>
      <c r="DJ319" s="19">
        <v>0</v>
      </c>
      <c r="DK319" s="19">
        <v>0</v>
      </c>
      <c r="DL319" s="19">
        <v>0</v>
      </c>
      <c r="DM319" s="19">
        <v>0</v>
      </c>
      <c r="DN319" s="19">
        <v>0</v>
      </c>
      <c r="DO319" s="19">
        <v>0</v>
      </c>
      <c r="DP319" s="19">
        <v>0</v>
      </c>
      <c r="DQ319" s="19">
        <v>0</v>
      </c>
      <c r="DR319" s="19">
        <v>0</v>
      </c>
      <c r="DS319" s="19">
        <v>0</v>
      </c>
      <c r="DT319" s="19">
        <v>0</v>
      </c>
      <c r="DU319" s="19">
        <v>0</v>
      </c>
      <c r="DV319" s="19">
        <v>0</v>
      </c>
      <c r="DW319" s="19">
        <v>0</v>
      </c>
      <c r="DX319" s="19">
        <v>0</v>
      </c>
      <c r="DY319" s="19">
        <v>0</v>
      </c>
      <c r="DZ319" s="19">
        <v>0</v>
      </c>
      <c r="EA319" s="19">
        <v>0</v>
      </c>
      <c r="EB319" s="19">
        <v>0</v>
      </c>
      <c r="EC319" s="19">
        <v>0</v>
      </c>
      <c r="ED319" s="19">
        <v>0</v>
      </c>
      <c r="EE319" s="19">
        <v>0</v>
      </c>
      <c r="EF319" s="19">
        <v>0</v>
      </c>
      <c r="EG319" s="19">
        <v>0</v>
      </c>
      <c r="EH319" s="19">
        <v>0</v>
      </c>
      <c r="EI319" s="19">
        <v>0</v>
      </c>
      <c r="EJ319" s="19">
        <v>0</v>
      </c>
      <c r="EK319" s="19">
        <v>0</v>
      </c>
      <c r="EL319" s="19">
        <v>0</v>
      </c>
      <c r="EM319" s="19">
        <v>0</v>
      </c>
      <c r="EN319" s="19">
        <v>0</v>
      </c>
      <c r="EO319" s="19">
        <v>0</v>
      </c>
      <c r="EP319" s="19">
        <v>0</v>
      </c>
      <c r="EQ319" s="19">
        <v>0</v>
      </c>
      <c r="ER319" s="19">
        <v>0</v>
      </c>
      <c r="ES319" s="119">
        <v>0</v>
      </c>
      <c r="ET319" s="119">
        <v>0</v>
      </c>
    </row>
    <row r="320" spans="1:150" ht="16.5" customHeight="1" x14ac:dyDescent="0.35">
      <c r="A320" s="4">
        <v>210</v>
      </c>
      <c r="B320" s="4" t="str">
        <f>LOOKUP(A320,Lookup!$A$1:$A$34,Lookup!$B$1:$B$34)</f>
        <v>INGREDIENTS</v>
      </c>
      <c r="C320" s="5">
        <v>42415</v>
      </c>
      <c r="D320" s="6" t="s">
        <v>284</v>
      </c>
      <c r="E320" s="18">
        <v>0</v>
      </c>
      <c r="F320" s="18">
        <v>0</v>
      </c>
      <c r="G320" s="18">
        <v>0</v>
      </c>
      <c r="H320" s="18">
        <v>0</v>
      </c>
      <c r="I320" s="19">
        <v>0</v>
      </c>
      <c r="J320" s="19">
        <v>0</v>
      </c>
      <c r="K320" s="19">
        <v>0</v>
      </c>
      <c r="L320" s="19">
        <v>0</v>
      </c>
      <c r="M320" s="19">
        <v>0</v>
      </c>
      <c r="N320" s="19">
        <v>0</v>
      </c>
      <c r="O320" s="19">
        <v>0</v>
      </c>
      <c r="P320" s="19">
        <v>0</v>
      </c>
      <c r="Q320" s="19">
        <v>0</v>
      </c>
      <c r="R320" s="19">
        <v>0</v>
      </c>
      <c r="S320" s="19">
        <v>0</v>
      </c>
      <c r="T320" s="19">
        <v>0</v>
      </c>
      <c r="U320" s="19">
        <v>0</v>
      </c>
      <c r="V320" s="19">
        <v>0</v>
      </c>
      <c r="W320" s="19">
        <v>0</v>
      </c>
      <c r="X320" s="19">
        <v>0</v>
      </c>
      <c r="Y320" s="19">
        <v>0</v>
      </c>
      <c r="Z320" s="19">
        <v>0</v>
      </c>
      <c r="AA320" s="19">
        <v>0</v>
      </c>
      <c r="AB320" s="19">
        <v>0</v>
      </c>
      <c r="AC320" s="19">
        <v>0</v>
      </c>
      <c r="AD320" s="19">
        <v>0</v>
      </c>
      <c r="AE320" s="19">
        <v>0</v>
      </c>
      <c r="AF320" s="19">
        <v>0</v>
      </c>
      <c r="AG320" s="19">
        <v>0</v>
      </c>
      <c r="AH320" s="19">
        <v>0</v>
      </c>
      <c r="AI320" s="19">
        <v>0</v>
      </c>
      <c r="AJ320" s="19">
        <v>0</v>
      </c>
      <c r="AK320" s="19">
        <v>0</v>
      </c>
      <c r="AL320" s="19">
        <v>0</v>
      </c>
      <c r="AM320" s="19">
        <v>0</v>
      </c>
      <c r="AN320" s="19">
        <v>0</v>
      </c>
      <c r="AO320" s="19">
        <v>0</v>
      </c>
      <c r="AP320" s="19">
        <v>0</v>
      </c>
      <c r="AQ320" s="19">
        <v>0</v>
      </c>
      <c r="AR320" s="19">
        <v>0</v>
      </c>
      <c r="AS320" s="19">
        <v>0</v>
      </c>
      <c r="AT320" s="19">
        <v>0</v>
      </c>
      <c r="AU320" s="19">
        <v>0</v>
      </c>
      <c r="AV320" s="19">
        <v>0</v>
      </c>
      <c r="AW320" s="19">
        <v>0</v>
      </c>
      <c r="AX320" s="19">
        <v>0</v>
      </c>
      <c r="AY320" s="19">
        <v>0</v>
      </c>
      <c r="AZ320" s="19">
        <v>0</v>
      </c>
      <c r="BA320" s="19">
        <v>0</v>
      </c>
      <c r="BB320" s="19">
        <v>0</v>
      </c>
      <c r="BC320" s="19">
        <v>0</v>
      </c>
      <c r="BD320" s="19">
        <v>0</v>
      </c>
      <c r="BE320" s="19">
        <v>0</v>
      </c>
      <c r="BF320" s="19">
        <v>0</v>
      </c>
      <c r="BG320" s="19">
        <v>0</v>
      </c>
      <c r="BH320" s="19">
        <v>0</v>
      </c>
      <c r="BI320" s="19">
        <v>0</v>
      </c>
      <c r="BJ320" s="19">
        <v>0</v>
      </c>
      <c r="BK320" s="19">
        <v>0</v>
      </c>
      <c r="BL320" s="19">
        <v>0</v>
      </c>
      <c r="BM320" s="19">
        <v>0</v>
      </c>
      <c r="BN320" s="19">
        <v>0</v>
      </c>
      <c r="BO320" s="19">
        <v>0</v>
      </c>
      <c r="BP320" s="19">
        <v>0</v>
      </c>
      <c r="BQ320" s="19">
        <v>0</v>
      </c>
      <c r="BR320" s="19">
        <v>0</v>
      </c>
      <c r="BS320" s="19">
        <v>0</v>
      </c>
      <c r="BT320" s="19">
        <v>0</v>
      </c>
      <c r="BU320" s="19">
        <v>0</v>
      </c>
      <c r="BV320" s="19">
        <v>0</v>
      </c>
      <c r="BW320" s="19">
        <v>0</v>
      </c>
      <c r="BX320" s="19">
        <v>0</v>
      </c>
      <c r="BY320" s="19">
        <v>0</v>
      </c>
      <c r="BZ320" s="19">
        <v>0</v>
      </c>
      <c r="CA320" s="19">
        <v>0</v>
      </c>
      <c r="CB320" s="19">
        <v>0</v>
      </c>
      <c r="CC320" s="19">
        <v>0</v>
      </c>
      <c r="CD320" s="19">
        <v>0</v>
      </c>
      <c r="CE320" s="19">
        <v>0</v>
      </c>
      <c r="CF320" s="19">
        <v>0</v>
      </c>
      <c r="CG320" s="19">
        <v>0</v>
      </c>
      <c r="CH320" s="19">
        <v>0</v>
      </c>
      <c r="CI320" s="19">
        <v>0</v>
      </c>
      <c r="CJ320" s="19">
        <v>0</v>
      </c>
      <c r="CK320" s="19">
        <v>0</v>
      </c>
      <c r="CL320" s="19">
        <v>0</v>
      </c>
      <c r="CM320" s="19">
        <v>0</v>
      </c>
      <c r="CN320" s="19">
        <v>0</v>
      </c>
      <c r="CO320" s="19">
        <v>0</v>
      </c>
      <c r="CP320" s="19">
        <v>0</v>
      </c>
      <c r="CQ320" s="19">
        <v>0</v>
      </c>
      <c r="CR320" s="19">
        <v>0</v>
      </c>
      <c r="CS320" s="19">
        <v>0</v>
      </c>
      <c r="CT320" s="19">
        <v>0</v>
      </c>
      <c r="CU320" s="19">
        <v>0</v>
      </c>
      <c r="CV320" s="19">
        <v>0</v>
      </c>
      <c r="CW320" s="19">
        <v>0</v>
      </c>
      <c r="CX320" s="19">
        <v>0</v>
      </c>
      <c r="CY320" s="19">
        <v>0</v>
      </c>
      <c r="CZ320" s="19">
        <v>0</v>
      </c>
      <c r="DA320" s="19">
        <v>0</v>
      </c>
      <c r="DB320" s="19">
        <v>0</v>
      </c>
      <c r="DC320" s="19">
        <v>0</v>
      </c>
      <c r="DD320" s="19">
        <v>0</v>
      </c>
      <c r="DE320" s="19">
        <v>0</v>
      </c>
      <c r="DF320" s="19">
        <v>0</v>
      </c>
      <c r="DG320" s="19">
        <v>0</v>
      </c>
      <c r="DH320" s="19">
        <v>0</v>
      </c>
      <c r="DI320" s="19">
        <v>0</v>
      </c>
      <c r="DJ320" s="19">
        <v>0</v>
      </c>
      <c r="DK320" s="19">
        <v>0</v>
      </c>
      <c r="DL320" s="19">
        <v>0</v>
      </c>
      <c r="DM320" s="19">
        <v>0</v>
      </c>
      <c r="DN320" s="19">
        <v>0</v>
      </c>
      <c r="DO320" s="19">
        <v>0</v>
      </c>
      <c r="DP320" s="19">
        <v>0</v>
      </c>
      <c r="DQ320" s="19">
        <v>0</v>
      </c>
      <c r="DR320" s="19">
        <v>0</v>
      </c>
      <c r="DS320" s="19">
        <v>0</v>
      </c>
      <c r="DT320" s="19">
        <v>0</v>
      </c>
      <c r="DU320" s="19">
        <v>0</v>
      </c>
      <c r="DV320" s="19">
        <v>0</v>
      </c>
      <c r="DW320" s="19">
        <v>0</v>
      </c>
      <c r="DX320" s="19">
        <v>0</v>
      </c>
      <c r="DY320" s="19">
        <v>0</v>
      </c>
      <c r="DZ320" s="19">
        <v>0</v>
      </c>
      <c r="EA320" s="19">
        <v>0</v>
      </c>
      <c r="EB320" s="19">
        <v>0</v>
      </c>
      <c r="EC320" s="19">
        <v>0</v>
      </c>
      <c r="ED320" s="19">
        <v>0</v>
      </c>
      <c r="EE320" s="19">
        <v>0</v>
      </c>
      <c r="EF320" s="19">
        <v>0</v>
      </c>
      <c r="EG320" s="19">
        <v>0</v>
      </c>
      <c r="EH320" s="19">
        <v>0</v>
      </c>
      <c r="EI320" s="19">
        <v>0</v>
      </c>
      <c r="EJ320" s="19">
        <v>0</v>
      </c>
      <c r="EK320" s="19">
        <v>0</v>
      </c>
      <c r="EL320" s="19">
        <v>0</v>
      </c>
      <c r="EM320" s="19">
        <v>0</v>
      </c>
      <c r="EN320" s="19">
        <v>0</v>
      </c>
      <c r="EO320" s="19">
        <v>0</v>
      </c>
      <c r="EP320" s="19">
        <v>0</v>
      </c>
      <c r="EQ320" s="19">
        <v>0</v>
      </c>
      <c r="ER320" s="19">
        <v>0</v>
      </c>
      <c r="ES320" s="119">
        <v>0</v>
      </c>
      <c r="ET320" s="119">
        <v>0</v>
      </c>
    </row>
    <row r="321" spans="1:150" ht="16.5" customHeight="1" x14ac:dyDescent="0.35">
      <c r="A321" s="4">
        <v>210</v>
      </c>
      <c r="B321" s="4" t="str">
        <f>LOOKUP(A321,Lookup!$A$1:$A$34,Lookup!$B$1:$B$34)</f>
        <v>INGREDIENTS</v>
      </c>
      <c r="C321" s="5">
        <v>42416</v>
      </c>
      <c r="D321" s="6" t="s">
        <v>307</v>
      </c>
      <c r="E321" s="18">
        <v>0</v>
      </c>
      <c r="F321" s="18">
        <v>0</v>
      </c>
      <c r="G321" s="18">
        <v>0</v>
      </c>
      <c r="H321" s="18">
        <v>0</v>
      </c>
      <c r="I321" s="19">
        <v>0</v>
      </c>
      <c r="J321" s="19">
        <v>0</v>
      </c>
      <c r="K321" s="19">
        <v>0</v>
      </c>
      <c r="L321" s="19">
        <v>0</v>
      </c>
      <c r="M321" s="19">
        <v>0</v>
      </c>
      <c r="N321" s="19">
        <v>0</v>
      </c>
      <c r="O321" s="19">
        <v>0</v>
      </c>
      <c r="P321" s="19">
        <v>0</v>
      </c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>
        <v>0</v>
      </c>
      <c r="Y321" s="19">
        <v>0</v>
      </c>
      <c r="Z321" s="19">
        <v>0</v>
      </c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>
        <v>0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>
        <v>0</v>
      </c>
      <c r="AS321" s="19">
        <v>0</v>
      </c>
      <c r="AT321" s="19">
        <v>0</v>
      </c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>
        <v>0</v>
      </c>
      <c r="BC321" s="19">
        <v>0</v>
      </c>
      <c r="BD321" s="19">
        <v>0</v>
      </c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>
        <v>0</v>
      </c>
      <c r="BM321" s="19">
        <v>0</v>
      </c>
      <c r="BN321" s="19">
        <v>0</v>
      </c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>
        <v>0</v>
      </c>
      <c r="BV321" s="19">
        <v>0</v>
      </c>
      <c r="BW321" s="19">
        <v>0</v>
      </c>
      <c r="BX321" s="19">
        <v>0</v>
      </c>
      <c r="BY321" s="19">
        <v>0</v>
      </c>
      <c r="BZ321" s="19">
        <v>0</v>
      </c>
      <c r="CA321" s="19">
        <v>0</v>
      </c>
      <c r="CB321" s="19">
        <v>0</v>
      </c>
      <c r="CC321" s="19">
        <v>0</v>
      </c>
      <c r="CD321" s="19">
        <v>0</v>
      </c>
      <c r="CE321" s="19">
        <v>0</v>
      </c>
      <c r="CF321" s="19">
        <v>0</v>
      </c>
      <c r="CG321" s="19">
        <v>0</v>
      </c>
      <c r="CH321" s="19">
        <v>0</v>
      </c>
      <c r="CI321" s="19">
        <v>0</v>
      </c>
      <c r="CJ321" s="19">
        <v>0</v>
      </c>
      <c r="CK321" s="19">
        <v>0</v>
      </c>
      <c r="CL321" s="19">
        <v>0</v>
      </c>
      <c r="CM321" s="19">
        <v>0</v>
      </c>
      <c r="CN321" s="19">
        <v>0</v>
      </c>
      <c r="CO321" s="19">
        <v>0</v>
      </c>
      <c r="CP321" s="19">
        <v>0</v>
      </c>
      <c r="CQ321" s="19">
        <v>0</v>
      </c>
      <c r="CR321" s="19">
        <v>0</v>
      </c>
      <c r="CS321" s="19">
        <v>0</v>
      </c>
      <c r="CT321" s="19">
        <v>0</v>
      </c>
      <c r="CU321" s="19">
        <v>0</v>
      </c>
      <c r="CV321" s="19">
        <v>0</v>
      </c>
      <c r="CW321" s="19">
        <v>0</v>
      </c>
      <c r="CX321" s="19">
        <v>0</v>
      </c>
      <c r="CY321" s="19">
        <v>0</v>
      </c>
      <c r="CZ321" s="19">
        <v>0</v>
      </c>
      <c r="DA321" s="19">
        <v>0</v>
      </c>
      <c r="DB321" s="19">
        <v>0</v>
      </c>
      <c r="DC321" s="19">
        <v>0</v>
      </c>
      <c r="DD321" s="19">
        <v>0</v>
      </c>
      <c r="DE321" s="19">
        <v>0</v>
      </c>
      <c r="DF321" s="19">
        <v>0</v>
      </c>
      <c r="DG321" s="19">
        <v>0</v>
      </c>
      <c r="DH321" s="19">
        <v>0</v>
      </c>
      <c r="DI321" s="19">
        <v>0</v>
      </c>
      <c r="DJ321" s="19">
        <v>0</v>
      </c>
      <c r="DK321" s="19">
        <v>0</v>
      </c>
      <c r="DL321" s="19">
        <v>0</v>
      </c>
      <c r="DM321" s="19">
        <v>0</v>
      </c>
      <c r="DN321" s="19">
        <v>0</v>
      </c>
      <c r="DO321" s="19">
        <v>0</v>
      </c>
      <c r="DP321" s="19">
        <v>0</v>
      </c>
      <c r="DQ321" s="19">
        <v>0</v>
      </c>
      <c r="DR321" s="19">
        <v>0</v>
      </c>
      <c r="DS321" s="19">
        <v>0</v>
      </c>
      <c r="DT321" s="19">
        <v>0</v>
      </c>
      <c r="DU321" s="19">
        <v>0</v>
      </c>
      <c r="DV321" s="19">
        <v>0</v>
      </c>
      <c r="DW321" s="19">
        <v>0</v>
      </c>
      <c r="DX321" s="19">
        <v>0</v>
      </c>
      <c r="DY321" s="19">
        <v>0</v>
      </c>
      <c r="DZ321" s="19">
        <v>0</v>
      </c>
      <c r="EA321" s="19">
        <v>0</v>
      </c>
      <c r="EB321" s="19">
        <v>0</v>
      </c>
      <c r="EC321" s="19">
        <v>0</v>
      </c>
      <c r="ED321" s="19">
        <v>0</v>
      </c>
      <c r="EE321" s="19">
        <v>0</v>
      </c>
      <c r="EF321" s="19">
        <v>0</v>
      </c>
      <c r="EG321" s="19">
        <v>0</v>
      </c>
      <c r="EH321" s="19">
        <v>0</v>
      </c>
      <c r="EI321" s="19">
        <v>0</v>
      </c>
      <c r="EJ321" s="19">
        <v>0</v>
      </c>
      <c r="EK321" s="19">
        <v>0</v>
      </c>
      <c r="EL321" s="19">
        <v>0</v>
      </c>
      <c r="EM321" s="19">
        <v>0</v>
      </c>
      <c r="EN321" s="19">
        <v>0</v>
      </c>
      <c r="EO321" s="19">
        <v>0</v>
      </c>
      <c r="EP321" s="19">
        <v>0</v>
      </c>
      <c r="EQ321" s="19">
        <v>0</v>
      </c>
      <c r="ER321" s="19">
        <v>0</v>
      </c>
      <c r="ES321" s="119">
        <v>0</v>
      </c>
      <c r="ET321" s="119">
        <v>0</v>
      </c>
    </row>
    <row r="322" spans="1:150" ht="16.5" customHeight="1" x14ac:dyDescent="0.35">
      <c r="A322" s="4">
        <v>210</v>
      </c>
      <c r="B322" s="4" t="str">
        <f>LOOKUP(A322,Lookup!$A$1:$A$34,Lookup!$B$1:$B$34)</f>
        <v>INGREDIENTS</v>
      </c>
      <c r="C322" s="5">
        <v>42671</v>
      </c>
      <c r="D322" s="6" t="s">
        <v>308</v>
      </c>
      <c r="E322" s="18">
        <v>0</v>
      </c>
      <c r="F322" s="18">
        <v>0</v>
      </c>
      <c r="G322" s="18">
        <v>0</v>
      </c>
      <c r="H322" s="18">
        <v>0</v>
      </c>
      <c r="I322" s="19">
        <v>0</v>
      </c>
      <c r="J322" s="19">
        <v>0</v>
      </c>
      <c r="K322" s="19">
        <v>0</v>
      </c>
      <c r="L322" s="19">
        <v>0</v>
      </c>
      <c r="M322" s="19">
        <v>0</v>
      </c>
      <c r="N322" s="19">
        <v>0</v>
      </c>
      <c r="O322" s="19">
        <v>0</v>
      </c>
      <c r="P322" s="19">
        <v>0</v>
      </c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>
        <v>0</v>
      </c>
      <c r="Y322" s="19">
        <v>0</v>
      </c>
      <c r="Z322" s="19">
        <v>0</v>
      </c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>
        <v>0</v>
      </c>
      <c r="AS322" s="19">
        <v>0</v>
      </c>
      <c r="AT322" s="19">
        <v>0</v>
      </c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>
        <v>0</v>
      </c>
      <c r="BC322" s="19">
        <v>0</v>
      </c>
      <c r="BD322" s="19">
        <v>0</v>
      </c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>
        <v>0</v>
      </c>
      <c r="BM322" s="19">
        <v>0</v>
      </c>
      <c r="BN322" s="19">
        <v>0</v>
      </c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>
        <v>0</v>
      </c>
      <c r="BV322" s="19">
        <v>0</v>
      </c>
      <c r="BW322" s="19">
        <v>0</v>
      </c>
      <c r="BX322" s="19">
        <v>0</v>
      </c>
      <c r="BY322" s="19">
        <v>0</v>
      </c>
      <c r="BZ322" s="19">
        <v>0</v>
      </c>
      <c r="CA322" s="19">
        <v>0</v>
      </c>
      <c r="CB322" s="19">
        <v>0</v>
      </c>
      <c r="CC322" s="19">
        <v>0</v>
      </c>
      <c r="CD322" s="19">
        <v>0</v>
      </c>
      <c r="CE322" s="19">
        <v>0</v>
      </c>
      <c r="CF322" s="19">
        <v>0</v>
      </c>
      <c r="CG322" s="19">
        <v>0</v>
      </c>
      <c r="CH322" s="19">
        <v>0</v>
      </c>
      <c r="CI322" s="19">
        <v>0</v>
      </c>
      <c r="CJ322" s="19">
        <v>0</v>
      </c>
      <c r="CK322" s="19">
        <v>0</v>
      </c>
      <c r="CL322" s="19">
        <v>0</v>
      </c>
      <c r="CM322" s="19">
        <v>0</v>
      </c>
      <c r="CN322" s="19">
        <v>0</v>
      </c>
      <c r="CO322" s="19">
        <v>0</v>
      </c>
      <c r="CP322" s="19">
        <v>0</v>
      </c>
      <c r="CQ322" s="19">
        <v>0</v>
      </c>
      <c r="CR322" s="19">
        <v>0</v>
      </c>
      <c r="CS322" s="19">
        <v>0</v>
      </c>
      <c r="CT322" s="19">
        <v>0</v>
      </c>
      <c r="CU322" s="19">
        <v>0</v>
      </c>
      <c r="CV322" s="19">
        <v>0</v>
      </c>
      <c r="CW322" s="19">
        <v>0</v>
      </c>
      <c r="CX322" s="19">
        <v>0</v>
      </c>
      <c r="CY322" s="19">
        <v>0</v>
      </c>
      <c r="CZ322" s="19">
        <v>0</v>
      </c>
      <c r="DA322" s="19">
        <v>0</v>
      </c>
      <c r="DB322" s="19">
        <v>0</v>
      </c>
      <c r="DC322" s="19">
        <v>0</v>
      </c>
      <c r="DD322" s="19">
        <v>0</v>
      </c>
      <c r="DE322" s="19">
        <v>0</v>
      </c>
      <c r="DF322" s="19">
        <v>0</v>
      </c>
      <c r="DG322" s="19">
        <v>0</v>
      </c>
      <c r="DH322" s="19">
        <v>0</v>
      </c>
      <c r="DI322" s="19">
        <v>0</v>
      </c>
      <c r="DJ322" s="19">
        <v>0</v>
      </c>
      <c r="DK322" s="19">
        <v>0</v>
      </c>
      <c r="DL322" s="19">
        <v>0</v>
      </c>
      <c r="DM322" s="19">
        <v>0</v>
      </c>
      <c r="DN322" s="19">
        <v>0</v>
      </c>
      <c r="DO322" s="19">
        <v>0</v>
      </c>
      <c r="DP322" s="19">
        <v>0</v>
      </c>
      <c r="DQ322" s="19">
        <v>0</v>
      </c>
      <c r="DR322" s="19">
        <v>0</v>
      </c>
      <c r="DS322" s="19">
        <v>0</v>
      </c>
      <c r="DT322" s="19">
        <v>0</v>
      </c>
      <c r="DU322" s="19">
        <v>0</v>
      </c>
      <c r="DV322" s="19">
        <v>0</v>
      </c>
      <c r="DW322" s="19">
        <v>0</v>
      </c>
      <c r="DX322" s="19">
        <v>0</v>
      </c>
      <c r="DY322" s="19">
        <v>0</v>
      </c>
      <c r="DZ322" s="19">
        <v>0</v>
      </c>
      <c r="EA322" s="19">
        <v>0</v>
      </c>
      <c r="EB322" s="19">
        <v>0</v>
      </c>
      <c r="EC322" s="19">
        <v>0</v>
      </c>
      <c r="ED322" s="19">
        <v>0</v>
      </c>
      <c r="EE322" s="19">
        <v>0</v>
      </c>
      <c r="EF322" s="19">
        <v>0</v>
      </c>
      <c r="EG322" s="19">
        <v>0</v>
      </c>
      <c r="EH322" s="19">
        <v>0</v>
      </c>
      <c r="EI322" s="19">
        <v>0</v>
      </c>
      <c r="EJ322" s="19">
        <v>0</v>
      </c>
      <c r="EK322" s="19">
        <v>0</v>
      </c>
      <c r="EL322" s="19">
        <v>0</v>
      </c>
      <c r="EM322" s="19">
        <v>0</v>
      </c>
      <c r="EN322" s="19">
        <v>0</v>
      </c>
      <c r="EO322" s="19">
        <v>0</v>
      </c>
      <c r="EP322" s="19">
        <v>0</v>
      </c>
      <c r="EQ322" s="19">
        <v>0</v>
      </c>
      <c r="ER322" s="19">
        <v>0</v>
      </c>
      <c r="ES322" s="119">
        <v>0</v>
      </c>
      <c r="ET322" s="119">
        <v>0</v>
      </c>
    </row>
    <row r="323" spans="1:150" ht="16.5" customHeight="1" x14ac:dyDescent="0.35">
      <c r="A323" s="4">
        <v>210</v>
      </c>
      <c r="B323" s="4" t="str">
        <f>LOOKUP(A323,Lookup!$A$1:$A$34,Lookup!$B$1:$B$34)</f>
        <v>INGREDIENTS</v>
      </c>
      <c r="C323" s="5">
        <v>42677</v>
      </c>
      <c r="D323" s="6" t="s">
        <v>276</v>
      </c>
      <c r="E323" s="18">
        <v>0</v>
      </c>
      <c r="F323" s="18">
        <v>0</v>
      </c>
      <c r="G323" s="18">
        <v>0</v>
      </c>
      <c r="H323" s="18">
        <v>0</v>
      </c>
      <c r="I323" s="19">
        <v>0</v>
      </c>
      <c r="J323" s="19">
        <v>0</v>
      </c>
      <c r="K323" s="19">
        <v>0</v>
      </c>
      <c r="L323" s="19">
        <v>0</v>
      </c>
      <c r="M323" s="19">
        <v>0</v>
      </c>
      <c r="N323" s="19">
        <v>0</v>
      </c>
      <c r="O323" s="19">
        <v>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>
        <v>0</v>
      </c>
      <c r="AI323" s="19">
        <v>0</v>
      </c>
      <c r="AJ323" s="19">
        <v>0</v>
      </c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>
        <v>0</v>
      </c>
      <c r="AS323" s="19">
        <v>0</v>
      </c>
      <c r="AT323" s="19">
        <v>0</v>
      </c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>
        <v>0</v>
      </c>
      <c r="BC323" s="19">
        <v>0</v>
      </c>
      <c r="BD323" s="19">
        <v>0</v>
      </c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>
        <v>0</v>
      </c>
      <c r="BM323" s="19">
        <v>0</v>
      </c>
      <c r="BN323" s="19">
        <v>0</v>
      </c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>
        <v>0</v>
      </c>
      <c r="BV323" s="19">
        <v>0</v>
      </c>
      <c r="BW323" s="19">
        <v>0</v>
      </c>
      <c r="BX323" s="19">
        <v>0</v>
      </c>
      <c r="BY323" s="19">
        <v>0</v>
      </c>
      <c r="BZ323" s="19">
        <v>0</v>
      </c>
      <c r="CA323" s="19">
        <v>0</v>
      </c>
      <c r="CB323" s="19">
        <v>0</v>
      </c>
      <c r="CC323" s="19">
        <v>0</v>
      </c>
      <c r="CD323" s="19">
        <v>0</v>
      </c>
      <c r="CE323" s="19">
        <v>0</v>
      </c>
      <c r="CF323" s="19">
        <v>0</v>
      </c>
      <c r="CG323" s="19">
        <v>0</v>
      </c>
      <c r="CH323" s="19">
        <v>0</v>
      </c>
      <c r="CI323" s="19">
        <v>0</v>
      </c>
      <c r="CJ323" s="19">
        <v>0</v>
      </c>
      <c r="CK323" s="19">
        <v>0</v>
      </c>
      <c r="CL323" s="19">
        <v>0</v>
      </c>
      <c r="CM323" s="19">
        <v>0</v>
      </c>
      <c r="CN323" s="19">
        <v>0</v>
      </c>
      <c r="CO323" s="19">
        <v>0</v>
      </c>
      <c r="CP323" s="19">
        <v>0</v>
      </c>
      <c r="CQ323" s="19">
        <v>0</v>
      </c>
      <c r="CR323" s="19">
        <v>0</v>
      </c>
      <c r="CS323" s="19">
        <v>0</v>
      </c>
      <c r="CT323" s="19">
        <v>0</v>
      </c>
      <c r="CU323" s="19">
        <v>0</v>
      </c>
      <c r="CV323" s="19">
        <v>0</v>
      </c>
      <c r="CW323" s="19">
        <v>0</v>
      </c>
      <c r="CX323" s="19">
        <v>0</v>
      </c>
      <c r="CY323" s="19">
        <v>0</v>
      </c>
      <c r="CZ323" s="19">
        <v>0</v>
      </c>
      <c r="DA323" s="19">
        <v>0</v>
      </c>
      <c r="DB323" s="19">
        <v>0</v>
      </c>
      <c r="DC323" s="19">
        <v>0</v>
      </c>
      <c r="DD323" s="19">
        <v>0</v>
      </c>
      <c r="DE323" s="19">
        <v>0</v>
      </c>
      <c r="DF323" s="19">
        <v>0</v>
      </c>
      <c r="DG323" s="19">
        <v>0</v>
      </c>
      <c r="DH323" s="19">
        <v>0</v>
      </c>
      <c r="DI323" s="19">
        <v>0</v>
      </c>
      <c r="DJ323" s="19">
        <v>0</v>
      </c>
      <c r="DK323" s="19">
        <v>0</v>
      </c>
      <c r="DL323" s="19">
        <v>0</v>
      </c>
      <c r="DM323" s="19">
        <v>0</v>
      </c>
      <c r="DN323" s="19">
        <v>0</v>
      </c>
      <c r="DO323" s="19">
        <v>0</v>
      </c>
      <c r="DP323" s="19">
        <v>0</v>
      </c>
      <c r="DQ323" s="19">
        <v>0</v>
      </c>
      <c r="DR323" s="19">
        <v>0</v>
      </c>
      <c r="DS323" s="19">
        <v>0</v>
      </c>
      <c r="DT323" s="19">
        <v>0</v>
      </c>
      <c r="DU323" s="19">
        <v>0</v>
      </c>
      <c r="DV323" s="19">
        <v>0</v>
      </c>
      <c r="DW323" s="19">
        <v>0</v>
      </c>
      <c r="DX323" s="19">
        <v>0</v>
      </c>
      <c r="DY323" s="19">
        <v>0</v>
      </c>
      <c r="DZ323" s="19">
        <v>0</v>
      </c>
      <c r="EA323" s="19">
        <v>0</v>
      </c>
      <c r="EB323" s="19">
        <v>0</v>
      </c>
      <c r="EC323" s="19">
        <v>0</v>
      </c>
      <c r="ED323" s="19">
        <v>0</v>
      </c>
      <c r="EE323" s="19">
        <v>0</v>
      </c>
      <c r="EF323" s="19">
        <v>0</v>
      </c>
      <c r="EG323" s="19">
        <v>0</v>
      </c>
      <c r="EH323" s="19">
        <v>0</v>
      </c>
      <c r="EI323" s="19">
        <v>0</v>
      </c>
      <c r="EJ323" s="19">
        <v>0</v>
      </c>
      <c r="EK323" s="19">
        <v>0</v>
      </c>
      <c r="EL323" s="19">
        <v>0</v>
      </c>
      <c r="EM323" s="19">
        <v>0</v>
      </c>
      <c r="EN323" s="19">
        <v>0</v>
      </c>
      <c r="EO323" s="19">
        <v>0</v>
      </c>
      <c r="EP323" s="19">
        <v>0</v>
      </c>
      <c r="EQ323" s="19">
        <v>0</v>
      </c>
      <c r="ER323" s="19">
        <v>0</v>
      </c>
      <c r="ES323" s="119">
        <v>0</v>
      </c>
      <c r="ET323" s="119">
        <v>0</v>
      </c>
    </row>
    <row r="324" spans="1:150" ht="16.5" customHeight="1" x14ac:dyDescent="0.35">
      <c r="A324" s="4">
        <v>210</v>
      </c>
      <c r="B324" s="4" t="str">
        <f>LOOKUP(A324,Lookup!$A$1:$A$34,Lookup!$B$1:$B$34)</f>
        <v>INGREDIENTS</v>
      </c>
      <c r="C324" s="5">
        <v>42724</v>
      </c>
      <c r="D324" s="6" t="s">
        <v>309</v>
      </c>
      <c r="E324" s="18">
        <v>0</v>
      </c>
      <c r="F324" s="18">
        <v>0</v>
      </c>
      <c r="G324" s="18">
        <v>0</v>
      </c>
      <c r="H324" s="18">
        <v>0</v>
      </c>
      <c r="I324" s="19">
        <v>0</v>
      </c>
      <c r="J324" s="19">
        <v>0</v>
      </c>
      <c r="K324" s="19">
        <v>0</v>
      </c>
      <c r="L324" s="19">
        <v>0</v>
      </c>
      <c r="M324" s="19">
        <v>0</v>
      </c>
      <c r="N324" s="19">
        <v>0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0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>
        <v>0</v>
      </c>
      <c r="BC324" s="19">
        <v>0</v>
      </c>
      <c r="BD324" s="19">
        <v>0</v>
      </c>
      <c r="BE324" s="19">
        <v>0</v>
      </c>
      <c r="BF324" s="19">
        <v>0</v>
      </c>
      <c r="BG324" s="19">
        <v>0</v>
      </c>
      <c r="BH324" s="19">
        <v>0</v>
      </c>
      <c r="BI324" s="19">
        <v>0</v>
      </c>
      <c r="BJ324" s="19">
        <v>0</v>
      </c>
      <c r="BK324" s="19">
        <v>0</v>
      </c>
      <c r="BL324" s="19">
        <v>0</v>
      </c>
      <c r="BM324" s="19">
        <v>0</v>
      </c>
      <c r="BN324" s="19">
        <v>0</v>
      </c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>
        <v>0</v>
      </c>
      <c r="BV324" s="19">
        <v>0</v>
      </c>
      <c r="BW324" s="19">
        <v>0</v>
      </c>
      <c r="BX324" s="19">
        <v>0</v>
      </c>
      <c r="BY324" s="19">
        <v>0</v>
      </c>
      <c r="BZ324" s="19">
        <v>0</v>
      </c>
      <c r="CA324" s="19">
        <v>0</v>
      </c>
      <c r="CB324" s="19">
        <v>0</v>
      </c>
      <c r="CC324" s="19">
        <v>0</v>
      </c>
      <c r="CD324" s="19">
        <v>0</v>
      </c>
      <c r="CE324" s="19">
        <v>0</v>
      </c>
      <c r="CF324" s="19">
        <v>0</v>
      </c>
      <c r="CG324" s="19">
        <v>0</v>
      </c>
      <c r="CH324" s="19">
        <v>0</v>
      </c>
      <c r="CI324" s="19">
        <v>0</v>
      </c>
      <c r="CJ324" s="19">
        <v>0</v>
      </c>
      <c r="CK324" s="19">
        <v>0</v>
      </c>
      <c r="CL324" s="19">
        <v>0</v>
      </c>
      <c r="CM324" s="19">
        <v>0</v>
      </c>
      <c r="CN324" s="19">
        <v>0</v>
      </c>
      <c r="CO324" s="19">
        <v>0</v>
      </c>
      <c r="CP324" s="19">
        <v>0</v>
      </c>
      <c r="CQ324" s="19">
        <v>0</v>
      </c>
      <c r="CR324" s="19">
        <v>0</v>
      </c>
      <c r="CS324" s="19">
        <v>0</v>
      </c>
      <c r="CT324" s="19">
        <v>0</v>
      </c>
      <c r="CU324" s="19">
        <v>0</v>
      </c>
      <c r="CV324" s="19">
        <v>0</v>
      </c>
      <c r="CW324" s="19">
        <v>0</v>
      </c>
      <c r="CX324" s="19">
        <v>0</v>
      </c>
      <c r="CY324" s="19">
        <v>0</v>
      </c>
      <c r="CZ324" s="19">
        <v>0</v>
      </c>
      <c r="DA324" s="19">
        <v>0</v>
      </c>
      <c r="DB324" s="19">
        <v>0</v>
      </c>
      <c r="DC324" s="19">
        <v>0</v>
      </c>
      <c r="DD324" s="19">
        <v>0</v>
      </c>
      <c r="DE324" s="19">
        <v>0</v>
      </c>
      <c r="DF324" s="19">
        <v>0</v>
      </c>
      <c r="DG324" s="19">
        <v>0</v>
      </c>
      <c r="DH324" s="19">
        <v>0</v>
      </c>
      <c r="DI324" s="19">
        <v>0</v>
      </c>
      <c r="DJ324" s="19">
        <v>0</v>
      </c>
      <c r="DK324" s="19">
        <v>0</v>
      </c>
      <c r="DL324" s="19">
        <v>0</v>
      </c>
      <c r="DM324" s="19">
        <v>0</v>
      </c>
      <c r="DN324" s="19">
        <v>0</v>
      </c>
      <c r="DO324" s="19">
        <v>0</v>
      </c>
      <c r="DP324" s="19">
        <v>0</v>
      </c>
      <c r="DQ324" s="19">
        <v>0</v>
      </c>
      <c r="DR324" s="19">
        <v>0</v>
      </c>
      <c r="DS324" s="19">
        <v>0</v>
      </c>
      <c r="DT324" s="19">
        <v>0</v>
      </c>
      <c r="DU324" s="19">
        <v>0</v>
      </c>
      <c r="DV324" s="19">
        <v>0</v>
      </c>
      <c r="DW324" s="19">
        <v>0</v>
      </c>
      <c r="DX324" s="19">
        <v>0</v>
      </c>
      <c r="DY324" s="19">
        <v>0</v>
      </c>
      <c r="DZ324" s="19">
        <v>0</v>
      </c>
      <c r="EA324" s="19">
        <v>0</v>
      </c>
      <c r="EB324" s="19">
        <v>0</v>
      </c>
      <c r="EC324" s="19">
        <v>0</v>
      </c>
      <c r="ED324" s="19">
        <v>0</v>
      </c>
      <c r="EE324" s="19">
        <v>0</v>
      </c>
      <c r="EF324" s="19">
        <v>0</v>
      </c>
      <c r="EG324" s="19">
        <v>0</v>
      </c>
      <c r="EH324" s="19">
        <v>0</v>
      </c>
      <c r="EI324" s="19">
        <v>0</v>
      </c>
      <c r="EJ324" s="19">
        <v>0</v>
      </c>
      <c r="EK324" s="19">
        <v>0</v>
      </c>
      <c r="EL324" s="19">
        <v>0</v>
      </c>
      <c r="EM324" s="19">
        <v>0</v>
      </c>
      <c r="EN324" s="19">
        <v>0</v>
      </c>
      <c r="EO324" s="19">
        <v>0</v>
      </c>
      <c r="EP324" s="19">
        <v>0</v>
      </c>
      <c r="EQ324" s="19">
        <v>0</v>
      </c>
      <c r="ER324" s="19">
        <v>0</v>
      </c>
      <c r="ES324" s="119">
        <v>0</v>
      </c>
      <c r="ET324" s="119">
        <v>0</v>
      </c>
    </row>
    <row r="325" spans="1:150" ht="16.5" customHeight="1" x14ac:dyDescent="0.35">
      <c r="A325" s="4">
        <v>210</v>
      </c>
      <c r="B325" s="4" t="str">
        <f>LOOKUP(A325,Lookup!$A$1:$A$34,Lookup!$B$1:$B$34)</f>
        <v>INGREDIENTS</v>
      </c>
      <c r="C325" s="5">
        <v>42957</v>
      </c>
      <c r="D325" s="6" t="s">
        <v>310</v>
      </c>
      <c r="E325" s="18">
        <v>0</v>
      </c>
      <c r="F325" s="18">
        <v>0</v>
      </c>
      <c r="G325" s="18">
        <v>0</v>
      </c>
      <c r="H325" s="18">
        <v>0</v>
      </c>
      <c r="I325" s="19">
        <v>0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19">
        <v>0</v>
      </c>
      <c r="AM325" s="19">
        <v>0</v>
      </c>
      <c r="AN325" s="19">
        <v>0</v>
      </c>
      <c r="AO325" s="19">
        <v>0</v>
      </c>
      <c r="AP325" s="19">
        <v>0</v>
      </c>
      <c r="AQ325" s="19">
        <v>0</v>
      </c>
      <c r="AR325" s="19">
        <v>0</v>
      </c>
      <c r="AS325" s="19">
        <v>0</v>
      </c>
      <c r="AT325" s="19">
        <v>0</v>
      </c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>
        <v>0</v>
      </c>
      <c r="BC325" s="19">
        <v>0</v>
      </c>
      <c r="BD325" s="19">
        <v>0</v>
      </c>
      <c r="BE325" s="19">
        <v>0</v>
      </c>
      <c r="BF325" s="19">
        <v>0</v>
      </c>
      <c r="BG325" s="19">
        <v>0</v>
      </c>
      <c r="BH325" s="19">
        <v>0</v>
      </c>
      <c r="BI325" s="19">
        <v>0</v>
      </c>
      <c r="BJ325" s="19">
        <v>0</v>
      </c>
      <c r="BK325" s="19">
        <v>0</v>
      </c>
      <c r="BL325" s="19">
        <v>0</v>
      </c>
      <c r="BM325" s="19">
        <v>0</v>
      </c>
      <c r="BN325" s="19">
        <v>0</v>
      </c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>
        <v>0</v>
      </c>
      <c r="BV325" s="19">
        <v>0</v>
      </c>
      <c r="BW325" s="19">
        <v>0</v>
      </c>
      <c r="BX325" s="19">
        <v>0</v>
      </c>
      <c r="BY325" s="19">
        <v>0</v>
      </c>
      <c r="BZ325" s="19">
        <v>0</v>
      </c>
      <c r="CA325" s="19">
        <v>0</v>
      </c>
      <c r="CB325" s="19">
        <v>0</v>
      </c>
      <c r="CC325" s="19">
        <v>0</v>
      </c>
      <c r="CD325" s="19">
        <v>0</v>
      </c>
      <c r="CE325" s="19">
        <v>0</v>
      </c>
      <c r="CF325" s="19">
        <v>0</v>
      </c>
      <c r="CG325" s="19">
        <v>0</v>
      </c>
      <c r="CH325" s="19">
        <v>0</v>
      </c>
      <c r="CI325" s="19">
        <v>0</v>
      </c>
      <c r="CJ325" s="19">
        <v>0</v>
      </c>
      <c r="CK325" s="19">
        <v>0</v>
      </c>
      <c r="CL325" s="19">
        <v>0</v>
      </c>
      <c r="CM325" s="19">
        <v>0</v>
      </c>
      <c r="CN325" s="19">
        <v>0</v>
      </c>
      <c r="CO325" s="19">
        <v>0</v>
      </c>
      <c r="CP325" s="19">
        <v>0</v>
      </c>
      <c r="CQ325" s="19">
        <v>0</v>
      </c>
      <c r="CR325" s="19">
        <v>0</v>
      </c>
      <c r="CS325" s="19">
        <v>0</v>
      </c>
      <c r="CT325" s="19">
        <v>0</v>
      </c>
      <c r="CU325" s="19">
        <v>0</v>
      </c>
      <c r="CV325" s="19">
        <v>0</v>
      </c>
      <c r="CW325" s="19">
        <v>0</v>
      </c>
      <c r="CX325" s="19">
        <v>0</v>
      </c>
      <c r="CY325" s="19">
        <v>0</v>
      </c>
      <c r="CZ325" s="19">
        <v>0</v>
      </c>
      <c r="DA325" s="19">
        <v>0</v>
      </c>
      <c r="DB325" s="19">
        <v>0</v>
      </c>
      <c r="DC325" s="19">
        <v>0</v>
      </c>
      <c r="DD325" s="19">
        <v>0</v>
      </c>
      <c r="DE325" s="19">
        <v>0</v>
      </c>
      <c r="DF325" s="19">
        <v>0</v>
      </c>
      <c r="DG325" s="19">
        <v>0</v>
      </c>
      <c r="DH325" s="19">
        <v>0</v>
      </c>
      <c r="DI325" s="19">
        <v>0</v>
      </c>
      <c r="DJ325" s="19">
        <v>0</v>
      </c>
      <c r="DK325" s="19">
        <v>0</v>
      </c>
      <c r="DL325" s="19">
        <v>0</v>
      </c>
      <c r="DM325" s="19">
        <v>0</v>
      </c>
      <c r="DN325" s="19">
        <v>0</v>
      </c>
      <c r="DO325" s="19">
        <v>0</v>
      </c>
      <c r="DP325" s="19">
        <v>0</v>
      </c>
      <c r="DQ325" s="19">
        <v>0</v>
      </c>
      <c r="DR325" s="19">
        <v>0</v>
      </c>
      <c r="DS325" s="19">
        <v>0</v>
      </c>
      <c r="DT325" s="19">
        <v>0</v>
      </c>
      <c r="DU325" s="19">
        <v>0</v>
      </c>
      <c r="DV325" s="19">
        <v>0</v>
      </c>
      <c r="DW325" s="19">
        <v>0</v>
      </c>
      <c r="DX325" s="19">
        <v>0</v>
      </c>
      <c r="DY325" s="19">
        <v>0</v>
      </c>
      <c r="DZ325" s="19">
        <v>0</v>
      </c>
      <c r="EA325" s="19">
        <v>0</v>
      </c>
      <c r="EB325" s="19">
        <v>0</v>
      </c>
      <c r="EC325" s="19">
        <v>0</v>
      </c>
      <c r="ED325" s="19">
        <v>0</v>
      </c>
      <c r="EE325" s="19">
        <v>0</v>
      </c>
      <c r="EF325" s="19">
        <v>0</v>
      </c>
      <c r="EG325" s="19">
        <v>0</v>
      </c>
      <c r="EH325" s="19">
        <v>0</v>
      </c>
      <c r="EI325" s="19">
        <v>0</v>
      </c>
      <c r="EJ325" s="19">
        <v>0</v>
      </c>
      <c r="EK325" s="19">
        <v>0</v>
      </c>
      <c r="EL325" s="19">
        <v>0</v>
      </c>
      <c r="EM325" s="19">
        <v>0</v>
      </c>
      <c r="EN325" s="19">
        <v>0</v>
      </c>
      <c r="EO325" s="19">
        <v>0</v>
      </c>
      <c r="EP325" s="19">
        <v>0</v>
      </c>
      <c r="EQ325" s="19">
        <v>0</v>
      </c>
      <c r="ER325" s="19">
        <v>0</v>
      </c>
      <c r="ES325" s="119">
        <v>0</v>
      </c>
      <c r="ET325" s="119">
        <v>0</v>
      </c>
    </row>
    <row r="326" spans="1:150" ht="16.5" customHeight="1" x14ac:dyDescent="0.35">
      <c r="A326" s="4">
        <v>210</v>
      </c>
      <c r="B326" s="4" t="str">
        <f>LOOKUP(A326,Lookup!$A$1:$A$34,Lookup!$B$1:$B$34)</f>
        <v>INGREDIENTS</v>
      </c>
      <c r="C326" s="5">
        <v>42958</v>
      </c>
      <c r="D326" s="6" t="s">
        <v>311</v>
      </c>
      <c r="E326" s="18">
        <v>0</v>
      </c>
      <c r="F326" s="18">
        <v>0</v>
      </c>
      <c r="G326" s="18">
        <v>0</v>
      </c>
      <c r="H326" s="18">
        <v>0</v>
      </c>
      <c r="I326" s="19">
        <v>0</v>
      </c>
      <c r="J326" s="19">
        <v>0</v>
      </c>
      <c r="K326" s="19">
        <v>0</v>
      </c>
      <c r="L326" s="19">
        <v>0</v>
      </c>
      <c r="M326" s="19">
        <v>0</v>
      </c>
      <c r="N326" s="19">
        <v>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>
        <v>0</v>
      </c>
      <c r="AI326" s="19">
        <v>0</v>
      </c>
      <c r="AJ326" s="19">
        <v>0</v>
      </c>
      <c r="AK326" s="19">
        <v>0</v>
      </c>
      <c r="AL326" s="19">
        <v>0</v>
      </c>
      <c r="AM326" s="19">
        <v>0</v>
      </c>
      <c r="AN326" s="19">
        <v>0</v>
      </c>
      <c r="AO326" s="19">
        <v>0</v>
      </c>
      <c r="AP326" s="19">
        <v>0</v>
      </c>
      <c r="AQ326" s="19">
        <v>0</v>
      </c>
      <c r="AR326" s="19">
        <v>0</v>
      </c>
      <c r="AS326" s="19">
        <v>0</v>
      </c>
      <c r="AT326" s="19">
        <v>0</v>
      </c>
      <c r="AU326" s="19">
        <v>0</v>
      </c>
      <c r="AV326" s="19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>
        <v>0</v>
      </c>
      <c r="BC326" s="19">
        <v>0</v>
      </c>
      <c r="BD326" s="19">
        <v>0</v>
      </c>
      <c r="BE326" s="19">
        <v>0</v>
      </c>
      <c r="BF326" s="19">
        <v>0</v>
      </c>
      <c r="BG326" s="19">
        <v>0</v>
      </c>
      <c r="BH326" s="19">
        <v>0</v>
      </c>
      <c r="BI326" s="19">
        <v>0</v>
      </c>
      <c r="BJ326" s="19">
        <v>0</v>
      </c>
      <c r="BK326" s="19">
        <v>0</v>
      </c>
      <c r="BL326" s="19">
        <v>0</v>
      </c>
      <c r="BM326" s="19">
        <v>0</v>
      </c>
      <c r="BN326" s="19">
        <v>0</v>
      </c>
      <c r="BO326" s="19">
        <v>0</v>
      </c>
      <c r="BP326" s="19">
        <v>0</v>
      </c>
      <c r="BQ326" s="19">
        <v>0</v>
      </c>
      <c r="BR326" s="19">
        <v>0</v>
      </c>
      <c r="BS326" s="19">
        <v>0</v>
      </c>
      <c r="BT326" s="19">
        <v>0</v>
      </c>
      <c r="BU326" s="19">
        <v>0</v>
      </c>
      <c r="BV326" s="19">
        <v>0</v>
      </c>
      <c r="BW326" s="19">
        <v>0</v>
      </c>
      <c r="BX326" s="19">
        <v>0</v>
      </c>
      <c r="BY326" s="19">
        <v>0</v>
      </c>
      <c r="BZ326" s="19">
        <v>0</v>
      </c>
      <c r="CA326" s="19">
        <v>0</v>
      </c>
      <c r="CB326" s="19">
        <v>0</v>
      </c>
      <c r="CC326" s="19">
        <v>0</v>
      </c>
      <c r="CD326" s="19">
        <v>0</v>
      </c>
      <c r="CE326" s="19">
        <v>0</v>
      </c>
      <c r="CF326" s="19">
        <v>0</v>
      </c>
      <c r="CG326" s="19">
        <v>0</v>
      </c>
      <c r="CH326" s="19">
        <v>0</v>
      </c>
      <c r="CI326" s="19">
        <v>0</v>
      </c>
      <c r="CJ326" s="19">
        <v>0</v>
      </c>
      <c r="CK326" s="19">
        <v>0</v>
      </c>
      <c r="CL326" s="19">
        <v>0</v>
      </c>
      <c r="CM326" s="19">
        <v>0</v>
      </c>
      <c r="CN326" s="19">
        <v>0</v>
      </c>
      <c r="CO326" s="19">
        <v>0</v>
      </c>
      <c r="CP326" s="19">
        <v>0</v>
      </c>
      <c r="CQ326" s="19">
        <v>0</v>
      </c>
      <c r="CR326" s="19">
        <v>0</v>
      </c>
      <c r="CS326" s="19">
        <v>0</v>
      </c>
      <c r="CT326" s="19">
        <v>0</v>
      </c>
      <c r="CU326" s="19">
        <v>0</v>
      </c>
      <c r="CV326" s="19">
        <v>0</v>
      </c>
      <c r="CW326" s="19">
        <v>0</v>
      </c>
      <c r="CX326" s="19">
        <v>0</v>
      </c>
      <c r="CY326" s="19">
        <v>0</v>
      </c>
      <c r="CZ326" s="19">
        <v>0</v>
      </c>
      <c r="DA326" s="19">
        <v>0</v>
      </c>
      <c r="DB326" s="19">
        <v>0</v>
      </c>
      <c r="DC326" s="19">
        <v>0</v>
      </c>
      <c r="DD326" s="19">
        <v>0</v>
      </c>
      <c r="DE326" s="19">
        <v>0</v>
      </c>
      <c r="DF326" s="19">
        <v>0</v>
      </c>
      <c r="DG326" s="19">
        <v>0</v>
      </c>
      <c r="DH326" s="19">
        <v>0</v>
      </c>
      <c r="DI326" s="19">
        <v>0</v>
      </c>
      <c r="DJ326" s="19">
        <v>0</v>
      </c>
      <c r="DK326" s="19">
        <v>0</v>
      </c>
      <c r="DL326" s="19">
        <v>0</v>
      </c>
      <c r="DM326" s="19">
        <v>0</v>
      </c>
      <c r="DN326" s="19">
        <v>0</v>
      </c>
      <c r="DO326" s="19">
        <v>0</v>
      </c>
      <c r="DP326" s="19">
        <v>0</v>
      </c>
      <c r="DQ326" s="19">
        <v>0</v>
      </c>
      <c r="DR326" s="19">
        <v>0</v>
      </c>
      <c r="DS326" s="19">
        <v>0</v>
      </c>
      <c r="DT326" s="19">
        <v>0</v>
      </c>
      <c r="DU326" s="19">
        <v>0</v>
      </c>
      <c r="DV326" s="19">
        <v>0</v>
      </c>
      <c r="DW326" s="19">
        <v>0</v>
      </c>
      <c r="DX326" s="19">
        <v>0</v>
      </c>
      <c r="DY326" s="19">
        <v>0</v>
      </c>
      <c r="DZ326" s="19">
        <v>0</v>
      </c>
      <c r="EA326" s="19">
        <v>0</v>
      </c>
      <c r="EB326" s="19">
        <v>0</v>
      </c>
      <c r="EC326" s="19">
        <v>0</v>
      </c>
      <c r="ED326" s="19">
        <v>0</v>
      </c>
      <c r="EE326" s="19">
        <v>0</v>
      </c>
      <c r="EF326" s="19">
        <v>0</v>
      </c>
      <c r="EG326" s="19">
        <v>0</v>
      </c>
      <c r="EH326" s="19">
        <v>0</v>
      </c>
      <c r="EI326" s="19">
        <v>0</v>
      </c>
      <c r="EJ326" s="19">
        <v>0</v>
      </c>
      <c r="EK326" s="19">
        <v>0</v>
      </c>
      <c r="EL326" s="19">
        <v>0</v>
      </c>
      <c r="EM326" s="19">
        <v>0</v>
      </c>
      <c r="EN326" s="19">
        <v>0</v>
      </c>
      <c r="EO326" s="19">
        <v>0</v>
      </c>
      <c r="EP326" s="19">
        <v>0</v>
      </c>
      <c r="EQ326" s="19">
        <v>0</v>
      </c>
      <c r="ER326" s="19">
        <v>0</v>
      </c>
      <c r="ES326" s="119">
        <v>0</v>
      </c>
      <c r="ET326" s="119">
        <v>0</v>
      </c>
    </row>
    <row r="327" spans="1:150" ht="16.5" customHeight="1" x14ac:dyDescent="0.35">
      <c r="A327" s="4">
        <v>210</v>
      </c>
      <c r="B327" s="4" t="str">
        <f>LOOKUP(A327,Lookup!$A$1:$A$34,Lookup!$B$1:$B$34)</f>
        <v>INGREDIENTS</v>
      </c>
      <c r="C327" s="5">
        <v>43042</v>
      </c>
      <c r="D327" s="6" t="s">
        <v>312</v>
      </c>
      <c r="E327" s="18">
        <v>0</v>
      </c>
      <c r="F327" s="18">
        <v>0</v>
      </c>
      <c r="G327" s="18">
        <v>0</v>
      </c>
      <c r="H327" s="18">
        <v>0</v>
      </c>
      <c r="I327" s="19">
        <v>0</v>
      </c>
      <c r="J327" s="19">
        <v>0</v>
      </c>
      <c r="K327" s="19">
        <v>0</v>
      </c>
      <c r="L327" s="19">
        <v>0</v>
      </c>
      <c r="M327" s="19">
        <v>0</v>
      </c>
      <c r="N327" s="19">
        <v>0</v>
      </c>
      <c r="O327" s="19">
        <v>0</v>
      </c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9">
        <v>0</v>
      </c>
      <c r="V327" s="19">
        <v>0</v>
      </c>
      <c r="W327" s="19">
        <v>0</v>
      </c>
      <c r="X327" s="19">
        <v>0</v>
      </c>
      <c r="Y327" s="19">
        <v>0</v>
      </c>
      <c r="Z327" s="19">
        <v>0</v>
      </c>
      <c r="AA327" s="19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>
        <v>0</v>
      </c>
      <c r="AI327" s="19">
        <v>0</v>
      </c>
      <c r="AJ327" s="19">
        <v>0</v>
      </c>
      <c r="AK327" s="19">
        <v>0</v>
      </c>
      <c r="AL327" s="19">
        <v>0</v>
      </c>
      <c r="AM327" s="19">
        <v>0</v>
      </c>
      <c r="AN327" s="19">
        <v>0</v>
      </c>
      <c r="AO327" s="19">
        <v>0</v>
      </c>
      <c r="AP327" s="19">
        <v>0</v>
      </c>
      <c r="AQ327" s="19">
        <v>0</v>
      </c>
      <c r="AR327" s="19">
        <v>0</v>
      </c>
      <c r="AS327" s="19">
        <v>0</v>
      </c>
      <c r="AT327" s="19">
        <v>0</v>
      </c>
      <c r="AU327" s="19">
        <v>0</v>
      </c>
      <c r="AV327" s="19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>
        <v>0</v>
      </c>
      <c r="BC327" s="19">
        <v>0</v>
      </c>
      <c r="BD327" s="19">
        <v>0</v>
      </c>
      <c r="BE327" s="19">
        <v>0</v>
      </c>
      <c r="BF327" s="19">
        <v>0</v>
      </c>
      <c r="BG327" s="19">
        <v>0</v>
      </c>
      <c r="BH327" s="19">
        <v>0</v>
      </c>
      <c r="BI327" s="19">
        <v>0</v>
      </c>
      <c r="BJ327" s="19">
        <v>0</v>
      </c>
      <c r="BK327" s="19">
        <v>0</v>
      </c>
      <c r="BL327" s="19">
        <v>0</v>
      </c>
      <c r="BM327" s="19">
        <v>0</v>
      </c>
      <c r="BN327" s="19">
        <v>0</v>
      </c>
      <c r="BO327" s="19">
        <v>0</v>
      </c>
      <c r="BP327" s="19">
        <v>0</v>
      </c>
      <c r="BQ327" s="19">
        <v>0</v>
      </c>
      <c r="BR327" s="19">
        <v>0</v>
      </c>
      <c r="BS327" s="19">
        <v>0</v>
      </c>
      <c r="BT327" s="19">
        <v>0</v>
      </c>
      <c r="BU327" s="19">
        <v>0</v>
      </c>
      <c r="BV327" s="19">
        <v>0</v>
      </c>
      <c r="BW327" s="19">
        <v>0</v>
      </c>
      <c r="BX327" s="19">
        <v>0</v>
      </c>
      <c r="BY327" s="19">
        <v>0</v>
      </c>
      <c r="BZ327" s="19">
        <v>0</v>
      </c>
      <c r="CA327" s="19">
        <v>0</v>
      </c>
      <c r="CB327" s="19">
        <v>0</v>
      </c>
      <c r="CC327" s="19">
        <v>0</v>
      </c>
      <c r="CD327" s="19">
        <v>0</v>
      </c>
      <c r="CE327" s="19">
        <v>0</v>
      </c>
      <c r="CF327" s="19">
        <v>0</v>
      </c>
      <c r="CG327" s="19">
        <v>0</v>
      </c>
      <c r="CH327" s="19">
        <v>0</v>
      </c>
      <c r="CI327" s="19">
        <v>0</v>
      </c>
      <c r="CJ327" s="19">
        <v>0</v>
      </c>
      <c r="CK327" s="19">
        <v>0</v>
      </c>
      <c r="CL327" s="19">
        <v>0</v>
      </c>
      <c r="CM327" s="19">
        <v>0</v>
      </c>
      <c r="CN327" s="19">
        <v>0</v>
      </c>
      <c r="CO327" s="19">
        <v>0</v>
      </c>
      <c r="CP327" s="19">
        <v>0</v>
      </c>
      <c r="CQ327" s="19">
        <v>0</v>
      </c>
      <c r="CR327" s="19">
        <v>0</v>
      </c>
      <c r="CS327" s="19">
        <v>0</v>
      </c>
      <c r="CT327" s="19">
        <v>0</v>
      </c>
      <c r="CU327" s="19">
        <v>0</v>
      </c>
      <c r="CV327" s="19">
        <v>0</v>
      </c>
      <c r="CW327" s="19">
        <v>0</v>
      </c>
      <c r="CX327" s="19">
        <v>0</v>
      </c>
      <c r="CY327" s="19">
        <v>0</v>
      </c>
      <c r="CZ327" s="19">
        <v>0</v>
      </c>
      <c r="DA327" s="19">
        <v>0</v>
      </c>
      <c r="DB327" s="19">
        <v>0</v>
      </c>
      <c r="DC327" s="19">
        <v>0</v>
      </c>
      <c r="DD327" s="19">
        <v>0</v>
      </c>
      <c r="DE327" s="19">
        <v>0</v>
      </c>
      <c r="DF327" s="19">
        <v>0</v>
      </c>
      <c r="DG327" s="19">
        <v>0</v>
      </c>
      <c r="DH327" s="19">
        <v>0</v>
      </c>
      <c r="DI327" s="19">
        <v>0</v>
      </c>
      <c r="DJ327" s="19">
        <v>0</v>
      </c>
      <c r="DK327" s="19">
        <v>0</v>
      </c>
      <c r="DL327" s="19">
        <v>0</v>
      </c>
      <c r="DM327" s="19">
        <v>0</v>
      </c>
      <c r="DN327" s="19">
        <v>0</v>
      </c>
      <c r="DO327" s="19">
        <v>0</v>
      </c>
      <c r="DP327" s="19">
        <v>0</v>
      </c>
      <c r="DQ327" s="19">
        <v>0</v>
      </c>
      <c r="DR327" s="19">
        <v>0</v>
      </c>
      <c r="DS327" s="19">
        <v>0</v>
      </c>
      <c r="DT327" s="19">
        <v>0</v>
      </c>
      <c r="DU327" s="19">
        <v>0</v>
      </c>
      <c r="DV327" s="19">
        <v>0</v>
      </c>
      <c r="DW327" s="19">
        <v>0</v>
      </c>
      <c r="DX327" s="19">
        <v>0</v>
      </c>
      <c r="DY327" s="19">
        <v>0</v>
      </c>
      <c r="DZ327" s="19">
        <v>0</v>
      </c>
      <c r="EA327" s="19">
        <v>0</v>
      </c>
      <c r="EB327" s="19">
        <v>0</v>
      </c>
      <c r="EC327" s="19">
        <v>0</v>
      </c>
      <c r="ED327" s="19">
        <v>0</v>
      </c>
      <c r="EE327" s="19">
        <v>0</v>
      </c>
      <c r="EF327" s="19">
        <v>0</v>
      </c>
      <c r="EG327" s="19">
        <v>0</v>
      </c>
      <c r="EH327" s="19">
        <v>0</v>
      </c>
      <c r="EI327" s="19">
        <v>0</v>
      </c>
      <c r="EJ327" s="19">
        <v>0</v>
      </c>
      <c r="EK327" s="19">
        <v>0</v>
      </c>
      <c r="EL327" s="19">
        <v>0</v>
      </c>
      <c r="EM327" s="19">
        <v>0</v>
      </c>
      <c r="EN327" s="19">
        <v>0</v>
      </c>
      <c r="EO327" s="19">
        <v>0</v>
      </c>
      <c r="EP327" s="19">
        <v>0</v>
      </c>
      <c r="EQ327" s="19">
        <v>0</v>
      </c>
      <c r="ER327" s="19">
        <v>0</v>
      </c>
      <c r="ES327" s="119">
        <v>0</v>
      </c>
      <c r="ET327" s="119">
        <v>0</v>
      </c>
    </row>
    <row r="328" spans="1:150" ht="16.5" customHeight="1" x14ac:dyDescent="0.35">
      <c r="A328" s="4">
        <v>210</v>
      </c>
      <c r="B328" s="4" t="str">
        <f>LOOKUP(A328,Lookup!$A$1:$A$34,Lookup!$B$1:$B$34)</f>
        <v>INGREDIENTS</v>
      </c>
      <c r="C328" s="5">
        <v>43043</v>
      </c>
      <c r="D328" s="6" t="s">
        <v>313</v>
      </c>
      <c r="E328" s="18">
        <v>0</v>
      </c>
      <c r="F328" s="18">
        <v>0</v>
      </c>
      <c r="G328" s="18">
        <v>0</v>
      </c>
      <c r="H328" s="18">
        <v>0</v>
      </c>
      <c r="I328" s="19">
        <v>0</v>
      </c>
      <c r="J328" s="19">
        <v>0</v>
      </c>
      <c r="K328" s="19">
        <v>0</v>
      </c>
      <c r="L328" s="19">
        <v>0</v>
      </c>
      <c r="M328" s="19">
        <v>0</v>
      </c>
      <c r="N328" s="19">
        <v>0</v>
      </c>
      <c r="O328" s="19">
        <v>0</v>
      </c>
      <c r="P328" s="19">
        <v>0</v>
      </c>
      <c r="Q328" s="19">
        <v>0</v>
      </c>
      <c r="R328" s="19">
        <v>0</v>
      </c>
      <c r="S328" s="19">
        <v>0</v>
      </c>
      <c r="T328" s="19">
        <v>0</v>
      </c>
      <c r="U328" s="19">
        <v>0</v>
      </c>
      <c r="V328" s="19">
        <v>0</v>
      </c>
      <c r="W328" s="19">
        <v>0</v>
      </c>
      <c r="X328" s="19">
        <v>0</v>
      </c>
      <c r="Y328" s="19">
        <v>0</v>
      </c>
      <c r="Z328" s="19">
        <v>0</v>
      </c>
      <c r="AA328" s="19">
        <v>0</v>
      </c>
      <c r="AB328" s="19">
        <v>0</v>
      </c>
      <c r="AC328" s="19">
        <v>0</v>
      </c>
      <c r="AD328" s="19">
        <v>0</v>
      </c>
      <c r="AE328" s="19">
        <v>0</v>
      </c>
      <c r="AF328" s="19">
        <v>0</v>
      </c>
      <c r="AG328" s="19">
        <v>0</v>
      </c>
      <c r="AH328" s="19">
        <v>0</v>
      </c>
      <c r="AI328" s="19">
        <v>0</v>
      </c>
      <c r="AJ328" s="19">
        <v>0</v>
      </c>
      <c r="AK328" s="19">
        <v>0</v>
      </c>
      <c r="AL328" s="19">
        <v>0</v>
      </c>
      <c r="AM328" s="19">
        <v>0</v>
      </c>
      <c r="AN328" s="19">
        <v>0</v>
      </c>
      <c r="AO328" s="19">
        <v>0</v>
      </c>
      <c r="AP328" s="19">
        <v>0</v>
      </c>
      <c r="AQ328" s="19">
        <v>0</v>
      </c>
      <c r="AR328" s="19">
        <v>0</v>
      </c>
      <c r="AS328" s="19">
        <v>0</v>
      </c>
      <c r="AT328" s="19">
        <v>0</v>
      </c>
      <c r="AU328" s="19">
        <v>0</v>
      </c>
      <c r="AV328" s="19">
        <v>0</v>
      </c>
      <c r="AW328" s="19">
        <v>0</v>
      </c>
      <c r="AX328" s="19">
        <v>0</v>
      </c>
      <c r="AY328" s="19">
        <v>0</v>
      </c>
      <c r="AZ328" s="19">
        <v>0</v>
      </c>
      <c r="BA328" s="19">
        <v>0</v>
      </c>
      <c r="BB328" s="19">
        <v>0</v>
      </c>
      <c r="BC328" s="19">
        <v>0</v>
      </c>
      <c r="BD328" s="19">
        <v>0</v>
      </c>
      <c r="BE328" s="19">
        <v>0</v>
      </c>
      <c r="BF328" s="19">
        <v>0</v>
      </c>
      <c r="BG328" s="19">
        <v>0</v>
      </c>
      <c r="BH328" s="19">
        <v>0</v>
      </c>
      <c r="BI328" s="19">
        <v>0</v>
      </c>
      <c r="BJ328" s="19">
        <v>0</v>
      </c>
      <c r="BK328" s="19">
        <v>0</v>
      </c>
      <c r="BL328" s="19">
        <v>0</v>
      </c>
      <c r="BM328" s="19">
        <v>0</v>
      </c>
      <c r="BN328" s="19">
        <v>0</v>
      </c>
      <c r="BO328" s="19">
        <v>0</v>
      </c>
      <c r="BP328" s="19">
        <v>0</v>
      </c>
      <c r="BQ328" s="19">
        <v>0</v>
      </c>
      <c r="BR328" s="19">
        <v>0</v>
      </c>
      <c r="BS328" s="19">
        <v>0</v>
      </c>
      <c r="BT328" s="19">
        <v>0</v>
      </c>
      <c r="BU328" s="19">
        <v>0</v>
      </c>
      <c r="BV328" s="19">
        <v>0</v>
      </c>
      <c r="BW328" s="19">
        <v>0</v>
      </c>
      <c r="BX328" s="19">
        <v>0</v>
      </c>
      <c r="BY328" s="19">
        <v>0</v>
      </c>
      <c r="BZ328" s="19">
        <v>0</v>
      </c>
      <c r="CA328" s="19">
        <v>0</v>
      </c>
      <c r="CB328" s="19">
        <v>0</v>
      </c>
      <c r="CC328" s="19">
        <v>0</v>
      </c>
      <c r="CD328" s="19">
        <v>0</v>
      </c>
      <c r="CE328" s="19">
        <v>0</v>
      </c>
      <c r="CF328" s="19">
        <v>0</v>
      </c>
      <c r="CG328" s="19">
        <v>0</v>
      </c>
      <c r="CH328" s="19">
        <v>0</v>
      </c>
      <c r="CI328" s="19">
        <v>0</v>
      </c>
      <c r="CJ328" s="19">
        <v>0</v>
      </c>
      <c r="CK328" s="19">
        <v>0</v>
      </c>
      <c r="CL328" s="19">
        <v>0</v>
      </c>
      <c r="CM328" s="19">
        <v>0</v>
      </c>
      <c r="CN328" s="19">
        <v>0</v>
      </c>
      <c r="CO328" s="19">
        <v>0</v>
      </c>
      <c r="CP328" s="19">
        <v>0</v>
      </c>
      <c r="CQ328" s="19">
        <v>0</v>
      </c>
      <c r="CR328" s="19">
        <v>0</v>
      </c>
      <c r="CS328" s="19">
        <v>0</v>
      </c>
      <c r="CT328" s="19">
        <v>0</v>
      </c>
      <c r="CU328" s="19">
        <v>0</v>
      </c>
      <c r="CV328" s="19">
        <v>0</v>
      </c>
      <c r="CW328" s="19">
        <v>0</v>
      </c>
      <c r="CX328" s="19">
        <v>0</v>
      </c>
      <c r="CY328" s="19">
        <v>0</v>
      </c>
      <c r="CZ328" s="19">
        <v>0</v>
      </c>
      <c r="DA328" s="19">
        <v>0</v>
      </c>
      <c r="DB328" s="19">
        <v>0</v>
      </c>
      <c r="DC328" s="19">
        <v>0</v>
      </c>
      <c r="DD328" s="19">
        <v>0</v>
      </c>
      <c r="DE328" s="19">
        <v>0</v>
      </c>
      <c r="DF328" s="19">
        <v>0</v>
      </c>
      <c r="DG328" s="19">
        <v>0</v>
      </c>
      <c r="DH328" s="19">
        <v>0</v>
      </c>
      <c r="DI328" s="19">
        <v>0</v>
      </c>
      <c r="DJ328" s="19">
        <v>0</v>
      </c>
      <c r="DK328" s="19">
        <v>0</v>
      </c>
      <c r="DL328" s="19">
        <v>0</v>
      </c>
      <c r="DM328" s="19">
        <v>0</v>
      </c>
      <c r="DN328" s="19">
        <v>0</v>
      </c>
      <c r="DO328" s="19">
        <v>0</v>
      </c>
      <c r="DP328" s="19">
        <v>0</v>
      </c>
      <c r="DQ328" s="19">
        <v>0</v>
      </c>
      <c r="DR328" s="19">
        <v>0</v>
      </c>
      <c r="DS328" s="19">
        <v>0</v>
      </c>
      <c r="DT328" s="19">
        <v>0</v>
      </c>
      <c r="DU328" s="19">
        <v>0</v>
      </c>
      <c r="DV328" s="19">
        <v>0</v>
      </c>
      <c r="DW328" s="19">
        <v>0</v>
      </c>
      <c r="DX328" s="19">
        <v>0</v>
      </c>
      <c r="DY328" s="19">
        <v>0</v>
      </c>
      <c r="DZ328" s="19">
        <v>0</v>
      </c>
      <c r="EA328" s="19">
        <v>0</v>
      </c>
      <c r="EB328" s="19">
        <v>0</v>
      </c>
      <c r="EC328" s="19">
        <v>0</v>
      </c>
      <c r="ED328" s="19">
        <v>0</v>
      </c>
      <c r="EE328" s="19">
        <v>0</v>
      </c>
      <c r="EF328" s="19">
        <v>0</v>
      </c>
      <c r="EG328" s="19">
        <v>0</v>
      </c>
      <c r="EH328" s="19">
        <v>0</v>
      </c>
      <c r="EI328" s="19">
        <v>0</v>
      </c>
      <c r="EJ328" s="19">
        <v>0</v>
      </c>
      <c r="EK328" s="19">
        <v>0</v>
      </c>
      <c r="EL328" s="19">
        <v>0</v>
      </c>
      <c r="EM328" s="19">
        <v>0</v>
      </c>
      <c r="EN328" s="19">
        <v>0</v>
      </c>
      <c r="EO328" s="19">
        <v>0</v>
      </c>
      <c r="EP328" s="19">
        <v>0</v>
      </c>
      <c r="EQ328" s="19">
        <v>0</v>
      </c>
      <c r="ER328" s="19">
        <v>0</v>
      </c>
      <c r="ES328" s="119">
        <v>0</v>
      </c>
      <c r="ET328" s="119">
        <v>0</v>
      </c>
    </row>
    <row r="329" spans="1:150" ht="16.5" customHeight="1" x14ac:dyDescent="0.35">
      <c r="A329" s="4">
        <v>210</v>
      </c>
      <c r="B329" s="4" t="str">
        <f>LOOKUP(A329,Lookup!$A$1:$A$34,Lookup!$B$1:$B$34)</f>
        <v>INGREDIENTS</v>
      </c>
      <c r="C329" s="5">
        <v>43044</v>
      </c>
      <c r="D329" s="6" t="s">
        <v>314</v>
      </c>
      <c r="E329" s="18">
        <v>0</v>
      </c>
      <c r="F329" s="18">
        <v>0</v>
      </c>
      <c r="G329" s="18">
        <v>0</v>
      </c>
      <c r="H329" s="18">
        <v>0</v>
      </c>
      <c r="I329" s="19">
        <v>0</v>
      </c>
      <c r="J329" s="19">
        <v>0</v>
      </c>
      <c r="K329" s="19">
        <v>0</v>
      </c>
      <c r="L329" s="19">
        <v>0</v>
      </c>
      <c r="M329" s="19">
        <v>0</v>
      </c>
      <c r="N329" s="19">
        <v>0</v>
      </c>
      <c r="O329" s="19">
        <v>0</v>
      </c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9">
        <v>0</v>
      </c>
      <c r="V329" s="19">
        <v>0</v>
      </c>
      <c r="W329" s="19">
        <v>0</v>
      </c>
      <c r="X329" s="19">
        <v>0</v>
      </c>
      <c r="Y329" s="19">
        <v>0</v>
      </c>
      <c r="Z329" s="19">
        <v>0</v>
      </c>
      <c r="AA329" s="19">
        <v>0</v>
      </c>
      <c r="AB329" s="19">
        <v>0</v>
      </c>
      <c r="AC329" s="19">
        <v>0</v>
      </c>
      <c r="AD329" s="19">
        <v>0</v>
      </c>
      <c r="AE329" s="19">
        <v>0</v>
      </c>
      <c r="AF329" s="19">
        <v>0</v>
      </c>
      <c r="AG329" s="19">
        <v>0</v>
      </c>
      <c r="AH329" s="19">
        <v>0</v>
      </c>
      <c r="AI329" s="19">
        <v>0</v>
      </c>
      <c r="AJ329" s="19">
        <v>0</v>
      </c>
      <c r="AK329" s="19">
        <v>0</v>
      </c>
      <c r="AL329" s="19">
        <v>0</v>
      </c>
      <c r="AM329" s="19">
        <v>0</v>
      </c>
      <c r="AN329" s="19">
        <v>0</v>
      </c>
      <c r="AO329" s="19">
        <v>0</v>
      </c>
      <c r="AP329" s="19">
        <v>0</v>
      </c>
      <c r="AQ329" s="19">
        <v>0</v>
      </c>
      <c r="AR329" s="19">
        <v>0</v>
      </c>
      <c r="AS329" s="19">
        <v>0</v>
      </c>
      <c r="AT329" s="19">
        <v>0</v>
      </c>
      <c r="AU329" s="19">
        <v>0</v>
      </c>
      <c r="AV329" s="19">
        <v>0</v>
      </c>
      <c r="AW329" s="19">
        <v>0</v>
      </c>
      <c r="AX329" s="19">
        <v>0</v>
      </c>
      <c r="AY329" s="19">
        <v>0</v>
      </c>
      <c r="AZ329" s="19">
        <v>0</v>
      </c>
      <c r="BA329" s="19">
        <v>0</v>
      </c>
      <c r="BB329" s="19">
        <v>0</v>
      </c>
      <c r="BC329" s="19">
        <v>0</v>
      </c>
      <c r="BD329" s="19">
        <v>0</v>
      </c>
      <c r="BE329" s="19">
        <v>0</v>
      </c>
      <c r="BF329" s="19">
        <v>0</v>
      </c>
      <c r="BG329" s="19">
        <v>0</v>
      </c>
      <c r="BH329" s="19">
        <v>0</v>
      </c>
      <c r="BI329" s="19">
        <v>0</v>
      </c>
      <c r="BJ329" s="19">
        <v>0</v>
      </c>
      <c r="BK329" s="19">
        <v>0</v>
      </c>
      <c r="BL329" s="19">
        <v>0</v>
      </c>
      <c r="BM329" s="19">
        <v>0</v>
      </c>
      <c r="BN329" s="19">
        <v>0</v>
      </c>
      <c r="BO329" s="19">
        <v>0</v>
      </c>
      <c r="BP329" s="19">
        <v>0</v>
      </c>
      <c r="BQ329" s="19">
        <v>0</v>
      </c>
      <c r="BR329" s="19">
        <v>0</v>
      </c>
      <c r="BS329" s="19">
        <v>0</v>
      </c>
      <c r="BT329" s="19">
        <v>0</v>
      </c>
      <c r="BU329" s="19">
        <v>0</v>
      </c>
      <c r="BV329" s="19">
        <v>0</v>
      </c>
      <c r="BW329" s="19">
        <v>0</v>
      </c>
      <c r="BX329" s="19">
        <v>0</v>
      </c>
      <c r="BY329" s="19">
        <v>0</v>
      </c>
      <c r="BZ329" s="19">
        <v>0</v>
      </c>
      <c r="CA329" s="19">
        <v>0</v>
      </c>
      <c r="CB329" s="19">
        <v>0</v>
      </c>
      <c r="CC329" s="19">
        <v>0</v>
      </c>
      <c r="CD329" s="19">
        <v>0</v>
      </c>
      <c r="CE329" s="19">
        <v>0</v>
      </c>
      <c r="CF329" s="19">
        <v>0</v>
      </c>
      <c r="CG329" s="19">
        <v>0</v>
      </c>
      <c r="CH329" s="19">
        <v>0</v>
      </c>
      <c r="CI329" s="19">
        <v>0</v>
      </c>
      <c r="CJ329" s="19">
        <v>0</v>
      </c>
      <c r="CK329" s="19">
        <v>0</v>
      </c>
      <c r="CL329" s="19">
        <v>0</v>
      </c>
      <c r="CM329" s="19">
        <v>0</v>
      </c>
      <c r="CN329" s="19">
        <v>0</v>
      </c>
      <c r="CO329" s="19">
        <v>0</v>
      </c>
      <c r="CP329" s="19">
        <v>0</v>
      </c>
      <c r="CQ329" s="19">
        <v>0</v>
      </c>
      <c r="CR329" s="19">
        <v>0</v>
      </c>
      <c r="CS329" s="19">
        <v>0</v>
      </c>
      <c r="CT329" s="19">
        <v>0</v>
      </c>
      <c r="CU329" s="19">
        <v>0</v>
      </c>
      <c r="CV329" s="19">
        <v>0</v>
      </c>
      <c r="CW329" s="19">
        <v>0</v>
      </c>
      <c r="CX329" s="19">
        <v>0</v>
      </c>
      <c r="CY329" s="19">
        <v>0</v>
      </c>
      <c r="CZ329" s="19">
        <v>0</v>
      </c>
      <c r="DA329" s="19">
        <v>0</v>
      </c>
      <c r="DB329" s="19">
        <v>0</v>
      </c>
      <c r="DC329" s="19">
        <v>0</v>
      </c>
      <c r="DD329" s="19">
        <v>0</v>
      </c>
      <c r="DE329" s="19">
        <v>0</v>
      </c>
      <c r="DF329" s="19">
        <v>0</v>
      </c>
      <c r="DG329" s="19">
        <v>0</v>
      </c>
      <c r="DH329" s="19">
        <v>0</v>
      </c>
      <c r="DI329" s="19">
        <v>0</v>
      </c>
      <c r="DJ329" s="19">
        <v>0</v>
      </c>
      <c r="DK329" s="19">
        <v>0</v>
      </c>
      <c r="DL329" s="19">
        <v>0</v>
      </c>
      <c r="DM329" s="19">
        <v>0</v>
      </c>
      <c r="DN329" s="19">
        <v>0</v>
      </c>
      <c r="DO329" s="19">
        <v>0</v>
      </c>
      <c r="DP329" s="19">
        <v>0</v>
      </c>
      <c r="DQ329" s="19">
        <v>0</v>
      </c>
      <c r="DR329" s="19">
        <v>0</v>
      </c>
      <c r="DS329" s="19">
        <v>0</v>
      </c>
      <c r="DT329" s="19">
        <v>0</v>
      </c>
      <c r="DU329" s="19">
        <v>0</v>
      </c>
      <c r="DV329" s="19">
        <v>0</v>
      </c>
      <c r="DW329" s="19">
        <v>0</v>
      </c>
      <c r="DX329" s="19">
        <v>0</v>
      </c>
      <c r="DY329" s="19">
        <v>0</v>
      </c>
      <c r="DZ329" s="19">
        <v>0</v>
      </c>
      <c r="EA329" s="19">
        <v>0</v>
      </c>
      <c r="EB329" s="19">
        <v>0</v>
      </c>
      <c r="EC329" s="19">
        <v>0</v>
      </c>
      <c r="ED329" s="19">
        <v>0</v>
      </c>
      <c r="EE329" s="19">
        <v>0</v>
      </c>
      <c r="EF329" s="19">
        <v>0</v>
      </c>
      <c r="EG329" s="19">
        <v>0</v>
      </c>
      <c r="EH329" s="19">
        <v>0</v>
      </c>
      <c r="EI329" s="19">
        <v>0</v>
      </c>
      <c r="EJ329" s="19">
        <v>0</v>
      </c>
      <c r="EK329" s="19">
        <v>0</v>
      </c>
      <c r="EL329" s="19">
        <v>0</v>
      </c>
      <c r="EM329" s="19">
        <v>0</v>
      </c>
      <c r="EN329" s="19">
        <v>0</v>
      </c>
      <c r="EO329" s="19">
        <v>0</v>
      </c>
      <c r="EP329" s="19">
        <v>0</v>
      </c>
      <c r="EQ329" s="19">
        <v>0</v>
      </c>
      <c r="ER329" s="19">
        <v>0</v>
      </c>
      <c r="ES329" s="119">
        <v>0</v>
      </c>
      <c r="ET329" s="119">
        <v>0</v>
      </c>
    </row>
    <row r="330" spans="1:150" ht="16.5" customHeight="1" x14ac:dyDescent="0.35">
      <c r="A330" s="4">
        <v>210</v>
      </c>
      <c r="B330" s="4" t="str">
        <f>LOOKUP(A330,Lookup!$A$1:$A$34,Lookup!$B$1:$B$34)</f>
        <v>INGREDIENTS</v>
      </c>
      <c r="C330" s="5">
        <v>43620</v>
      </c>
      <c r="D330" s="6" t="s">
        <v>315</v>
      </c>
      <c r="E330" s="18">
        <v>0</v>
      </c>
      <c r="F330" s="18">
        <v>0</v>
      </c>
      <c r="G330" s="18">
        <v>0</v>
      </c>
      <c r="H330" s="18">
        <v>0</v>
      </c>
      <c r="I330" s="19">
        <v>0</v>
      </c>
      <c r="J330" s="19">
        <v>0</v>
      </c>
      <c r="K330" s="19">
        <v>0</v>
      </c>
      <c r="L330" s="19">
        <v>0</v>
      </c>
      <c r="M330" s="19">
        <v>0</v>
      </c>
      <c r="N330" s="19">
        <v>0</v>
      </c>
      <c r="O330" s="19">
        <v>0</v>
      </c>
      <c r="P330" s="19">
        <v>0</v>
      </c>
      <c r="Q330" s="19">
        <v>0</v>
      </c>
      <c r="R330" s="19">
        <v>0</v>
      </c>
      <c r="S330" s="19">
        <v>0</v>
      </c>
      <c r="T330" s="19">
        <v>0</v>
      </c>
      <c r="U330" s="19">
        <v>0</v>
      </c>
      <c r="V330" s="19">
        <v>0</v>
      </c>
      <c r="W330" s="19">
        <v>0</v>
      </c>
      <c r="X330" s="19">
        <v>0</v>
      </c>
      <c r="Y330" s="19">
        <v>0</v>
      </c>
      <c r="Z330" s="19">
        <v>0</v>
      </c>
      <c r="AA330" s="19">
        <v>0</v>
      </c>
      <c r="AB330" s="19">
        <v>0</v>
      </c>
      <c r="AC330" s="19">
        <v>0</v>
      </c>
      <c r="AD330" s="19">
        <v>0</v>
      </c>
      <c r="AE330" s="19">
        <v>0</v>
      </c>
      <c r="AF330" s="19">
        <v>0</v>
      </c>
      <c r="AG330" s="19">
        <v>0</v>
      </c>
      <c r="AH330" s="19">
        <v>0</v>
      </c>
      <c r="AI330" s="19">
        <v>0</v>
      </c>
      <c r="AJ330" s="19">
        <v>0</v>
      </c>
      <c r="AK330" s="19">
        <v>0</v>
      </c>
      <c r="AL330" s="19">
        <v>0</v>
      </c>
      <c r="AM330" s="19">
        <v>0</v>
      </c>
      <c r="AN330" s="19">
        <v>0</v>
      </c>
      <c r="AO330" s="19">
        <v>0</v>
      </c>
      <c r="AP330" s="19">
        <v>0</v>
      </c>
      <c r="AQ330" s="19">
        <v>0</v>
      </c>
      <c r="AR330" s="19">
        <v>0</v>
      </c>
      <c r="AS330" s="19">
        <v>0</v>
      </c>
      <c r="AT330" s="19">
        <v>0</v>
      </c>
      <c r="AU330" s="19">
        <v>0</v>
      </c>
      <c r="AV330" s="19">
        <v>0</v>
      </c>
      <c r="AW330" s="19">
        <v>0</v>
      </c>
      <c r="AX330" s="19">
        <v>0</v>
      </c>
      <c r="AY330" s="19">
        <v>0</v>
      </c>
      <c r="AZ330" s="19">
        <v>0</v>
      </c>
      <c r="BA330" s="19">
        <v>0</v>
      </c>
      <c r="BB330" s="19">
        <v>0</v>
      </c>
      <c r="BC330" s="19">
        <v>0</v>
      </c>
      <c r="BD330" s="19">
        <v>0</v>
      </c>
      <c r="BE330" s="19">
        <v>0</v>
      </c>
      <c r="BF330" s="19">
        <v>0</v>
      </c>
      <c r="BG330" s="19">
        <v>0</v>
      </c>
      <c r="BH330" s="19">
        <v>0</v>
      </c>
      <c r="BI330" s="19">
        <v>0</v>
      </c>
      <c r="BJ330" s="19">
        <v>0</v>
      </c>
      <c r="BK330" s="19">
        <v>0</v>
      </c>
      <c r="BL330" s="19">
        <v>0</v>
      </c>
      <c r="BM330" s="19">
        <v>0</v>
      </c>
      <c r="BN330" s="19">
        <v>0</v>
      </c>
      <c r="BO330" s="19">
        <v>0</v>
      </c>
      <c r="BP330" s="19">
        <v>0</v>
      </c>
      <c r="BQ330" s="19">
        <v>0</v>
      </c>
      <c r="BR330" s="19">
        <v>0</v>
      </c>
      <c r="BS330" s="19">
        <v>0</v>
      </c>
      <c r="BT330" s="19">
        <v>0</v>
      </c>
      <c r="BU330" s="19">
        <v>0</v>
      </c>
      <c r="BV330" s="19">
        <v>0</v>
      </c>
      <c r="BW330" s="19">
        <v>0</v>
      </c>
      <c r="BX330" s="19">
        <v>0</v>
      </c>
      <c r="BY330" s="19">
        <v>0</v>
      </c>
      <c r="BZ330" s="19">
        <v>0</v>
      </c>
      <c r="CA330" s="19">
        <v>0</v>
      </c>
      <c r="CB330" s="19">
        <v>0</v>
      </c>
      <c r="CC330" s="19">
        <v>0</v>
      </c>
      <c r="CD330" s="19">
        <v>0</v>
      </c>
      <c r="CE330" s="19">
        <v>0</v>
      </c>
      <c r="CF330" s="19">
        <v>0</v>
      </c>
      <c r="CG330" s="19">
        <v>0</v>
      </c>
      <c r="CH330" s="19">
        <v>0</v>
      </c>
      <c r="CI330" s="19">
        <v>0</v>
      </c>
      <c r="CJ330" s="19">
        <v>0</v>
      </c>
      <c r="CK330" s="19">
        <v>0</v>
      </c>
      <c r="CL330" s="19">
        <v>0</v>
      </c>
      <c r="CM330" s="19">
        <v>0</v>
      </c>
      <c r="CN330" s="19">
        <v>0</v>
      </c>
      <c r="CO330" s="19">
        <v>0</v>
      </c>
      <c r="CP330" s="19">
        <v>0</v>
      </c>
      <c r="CQ330" s="19">
        <v>0</v>
      </c>
      <c r="CR330" s="19">
        <v>0</v>
      </c>
      <c r="CS330" s="19">
        <v>0</v>
      </c>
      <c r="CT330" s="19">
        <v>0</v>
      </c>
      <c r="CU330" s="19">
        <v>0</v>
      </c>
      <c r="CV330" s="19">
        <v>0</v>
      </c>
      <c r="CW330" s="19">
        <v>0</v>
      </c>
      <c r="CX330" s="19">
        <v>0</v>
      </c>
      <c r="CY330" s="19">
        <v>0</v>
      </c>
      <c r="CZ330" s="19">
        <v>0</v>
      </c>
      <c r="DA330" s="19">
        <v>0</v>
      </c>
      <c r="DB330" s="19">
        <v>0</v>
      </c>
      <c r="DC330" s="19">
        <v>0</v>
      </c>
      <c r="DD330" s="19">
        <v>0</v>
      </c>
      <c r="DE330" s="19">
        <v>0</v>
      </c>
      <c r="DF330" s="19">
        <v>0</v>
      </c>
      <c r="DG330" s="19">
        <v>0</v>
      </c>
      <c r="DH330" s="19">
        <v>0</v>
      </c>
      <c r="DI330" s="19">
        <v>0</v>
      </c>
      <c r="DJ330" s="19">
        <v>0</v>
      </c>
      <c r="DK330" s="19">
        <v>0</v>
      </c>
      <c r="DL330" s="19">
        <v>0</v>
      </c>
      <c r="DM330" s="19">
        <v>0</v>
      </c>
      <c r="DN330" s="19">
        <v>0</v>
      </c>
      <c r="DO330" s="19">
        <v>0</v>
      </c>
      <c r="DP330" s="19">
        <v>0</v>
      </c>
      <c r="DQ330" s="19">
        <v>0</v>
      </c>
      <c r="DR330" s="19">
        <v>0</v>
      </c>
      <c r="DS330" s="19">
        <v>0</v>
      </c>
      <c r="DT330" s="19">
        <v>0</v>
      </c>
      <c r="DU330" s="19">
        <v>0</v>
      </c>
      <c r="DV330" s="19">
        <v>0</v>
      </c>
      <c r="DW330" s="19">
        <v>0</v>
      </c>
      <c r="DX330" s="19">
        <v>0</v>
      </c>
      <c r="DY330" s="19">
        <v>0</v>
      </c>
      <c r="DZ330" s="19">
        <v>0</v>
      </c>
      <c r="EA330" s="19">
        <v>0</v>
      </c>
      <c r="EB330" s="19">
        <v>0</v>
      </c>
      <c r="EC330" s="19">
        <v>0</v>
      </c>
      <c r="ED330" s="19">
        <v>0</v>
      </c>
      <c r="EE330" s="19">
        <v>0</v>
      </c>
      <c r="EF330" s="19">
        <v>0</v>
      </c>
      <c r="EG330" s="19">
        <v>0</v>
      </c>
      <c r="EH330" s="19">
        <v>0</v>
      </c>
      <c r="EI330" s="19">
        <v>0</v>
      </c>
      <c r="EJ330" s="19">
        <v>0</v>
      </c>
      <c r="EK330" s="19">
        <v>0</v>
      </c>
      <c r="EL330" s="19">
        <v>0</v>
      </c>
      <c r="EM330" s="19">
        <v>0</v>
      </c>
      <c r="EN330" s="19">
        <v>0</v>
      </c>
      <c r="EO330" s="19">
        <v>0</v>
      </c>
      <c r="EP330" s="19">
        <v>0</v>
      </c>
      <c r="EQ330" s="19">
        <v>0</v>
      </c>
      <c r="ER330" s="19">
        <v>0</v>
      </c>
      <c r="ES330" s="119">
        <v>0</v>
      </c>
      <c r="ET330" s="119">
        <v>0</v>
      </c>
    </row>
    <row r="331" spans="1:150" ht="16.5" customHeight="1" x14ac:dyDescent="0.35">
      <c r="A331" s="4">
        <v>210</v>
      </c>
      <c r="B331" s="4" t="str">
        <f>LOOKUP(A331,Lookup!$A$1:$A$34,Lookup!$B$1:$B$34)</f>
        <v>INGREDIENTS</v>
      </c>
      <c r="C331" s="5">
        <v>43752</v>
      </c>
      <c r="D331" s="6" t="s">
        <v>288</v>
      </c>
      <c r="E331" s="18">
        <v>0</v>
      </c>
      <c r="F331" s="18">
        <v>0</v>
      </c>
      <c r="G331" s="18">
        <v>0</v>
      </c>
      <c r="H331" s="18">
        <v>0</v>
      </c>
      <c r="I331" s="19">
        <v>0</v>
      </c>
      <c r="J331" s="19">
        <v>0</v>
      </c>
      <c r="K331" s="19">
        <v>0</v>
      </c>
      <c r="L331" s="19">
        <v>0</v>
      </c>
      <c r="M331" s="19">
        <v>0</v>
      </c>
      <c r="N331" s="19">
        <v>0</v>
      </c>
      <c r="O331" s="19">
        <v>0</v>
      </c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9">
        <v>0</v>
      </c>
      <c r="V331" s="19">
        <v>0</v>
      </c>
      <c r="W331" s="19">
        <v>0</v>
      </c>
      <c r="X331" s="19">
        <v>0</v>
      </c>
      <c r="Y331" s="19">
        <v>0</v>
      </c>
      <c r="Z331" s="19">
        <v>0</v>
      </c>
      <c r="AA331" s="19">
        <v>0</v>
      </c>
      <c r="AB331" s="19">
        <v>0</v>
      </c>
      <c r="AC331" s="19">
        <v>0</v>
      </c>
      <c r="AD331" s="19">
        <v>0</v>
      </c>
      <c r="AE331" s="19">
        <v>0</v>
      </c>
      <c r="AF331" s="19">
        <v>0</v>
      </c>
      <c r="AG331" s="19">
        <v>0</v>
      </c>
      <c r="AH331" s="19">
        <v>0</v>
      </c>
      <c r="AI331" s="19">
        <v>0</v>
      </c>
      <c r="AJ331" s="19">
        <v>0</v>
      </c>
      <c r="AK331" s="19">
        <v>0</v>
      </c>
      <c r="AL331" s="19">
        <v>0</v>
      </c>
      <c r="AM331" s="19">
        <v>0</v>
      </c>
      <c r="AN331" s="19">
        <v>0</v>
      </c>
      <c r="AO331" s="19">
        <v>0</v>
      </c>
      <c r="AP331" s="19">
        <v>0</v>
      </c>
      <c r="AQ331" s="19">
        <v>0</v>
      </c>
      <c r="AR331" s="19">
        <v>0</v>
      </c>
      <c r="AS331" s="19">
        <v>0</v>
      </c>
      <c r="AT331" s="19">
        <v>0</v>
      </c>
      <c r="AU331" s="19">
        <v>0</v>
      </c>
      <c r="AV331" s="19">
        <v>0</v>
      </c>
      <c r="AW331" s="19">
        <v>0</v>
      </c>
      <c r="AX331" s="19">
        <v>0</v>
      </c>
      <c r="AY331" s="19">
        <v>0</v>
      </c>
      <c r="AZ331" s="19">
        <v>0</v>
      </c>
      <c r="BA331" s="19">
        <v>0</v>
      </c>
      <c r="BB331" s="19">
        <v>0</v>
      </c>
      <c r="BC331" s="19">
        <v>0</v>
      </c>
      <c r="BD331" s="19">
        <v>0</v>
      </c>
      <c r="BE331" s="19">
        <v>0</v>
      </c>
      <c r="BF331" s="19">
        <v>0</v>
      </c>
      <c r="BG331" s="19">
        <v>0</v>
      </c>
      <c r="BH331" s="19">
        <v>0</v>
      </c>
      <c r="BI331" s="19">
        <v>0</v>
      </c>
      <c r="BJ331" s="19">
        <v>0</v>
      </c>
      <c r="BK331" s="19">
        <v>0</v>
      </c>
      <c r="BL331" s="19">
        <v>0</v>
      </c>
      <c r="BM331" s="19">
        <v>0</v>
      </c>
      <c r="BN331" s="19">
        <v>0</v>
      </c>
      <c r="BO331" s="19">
        <v>0</v>
      </c>
      <c r="BP331" s="19">
        <v>0</v>
      </c>
      <c r="BQ331" s="19">
        <v>0</v>
      </c>
      <c r="BR331" s="19">
        <v>0</v>
      </c>
      <c r="BS331" s="19">
        <v>0</v>
      </c>
      <c r="BT331" s="19">
        <v>0</v>
      </c>
      <c r="BU331" s="19">
        <v>0</v>
      </c>
      <c r="BV331" s="19">
        <v>0</v>
      </c>
      <c r="BW331" s="19">
        <v>0</v>
      </c>
      <c r="BX331" s="19">
        <v>0</v>
      </c>
      <c r="BY331" s="19">
        <v>0</v>
      </c>
      <c r="BZ331" s="19">
        <v>0</v>
      </c>
      <c r="CA331" s="19">
        <v>0</v>
      </c>
      <c r="CB331" s="19">
        <v>0</v>
      </c>
      <c r="CC331" s="19">
        <v>0</v>
      </c>
      <c r="CD331" s="19">
        <v>0</v>
      </c>
      <c r="CE331" s="19">
        <v>0</v>
      </c>
      <c r="CF331" s="19">
        <v>0</v>
      </c>
      <c r="CG331" s="19">
        <v>0</v>
      </c>
      <c r="CH331" s="19">
        <v>0</v>
      </c>
      <c r="CI331" s="19">
        <v>0</v>
      </c>
      <c r="CJ331" s="19">
        <v>0</v>
      </c>
      <c r="CK331" s="19">
        <v>0</v>
      </c>
      <c r="CL331" s="19">
        <v>0</v>
      </c>
      <c r="CM331" s="19">
        <v>0</v>
      </c>
      <c r="CN331" s="19">
        <v>0</v>
      </c>
      <c r="CO331" s="19">
        <v>0</v>
      </c>
      <c r="CP331" s="19">
        <v>0</v>
      </c>
      <c r="CQ331" s="19">
        <v>0</v>
      </c>
      <c r="CR331" s="19">
        <v>0</v>
      </c>
      <c r="CS331" s="19">
        <v>0</v>
      </c>
      <c r="CT331" s="19">
        <v>0</v>
      </c>
      <c r="CU331" s="19">
        <v>0</v>
      </c>
      <c r="CV331" s="19">
        <v>0</v>
      </c>
      <c r="CW331" s="19">
        <v>0</v>
      </c>
      <c r="CX331" s="19">
        <v>0</v>
      </c>
      <c r="CY331" s="19">
        <v>0</v>
      </c>
      <c r="CZ331" s="19">
        <v>0</v>
      </c>
      <c r="DA331" s="19">
        <v>0</v>
      </c>
      <c r="DB331" s="19">
        <v>0</v>
      </c>
      <c r="DC331" s="19">
        <v>0</v>
      </c>
      <c r="DD331" s="19">
        <v>0</v>
      </c>
      <c r="DE331" s="19">
        <v>0</v>
      </c>
      <c r="DF331" s="19">
        <v>0</v>
      </c>
      <c r="DG331" s="19">
        <v>0</v>
      </c>
      <c r="DH331" s="19">
        <v>0</v>
      </c>
      <c r="DI331" s="19">
        <v>0</v>
      </c>
      <c r="DJ331" s="19">
        <v>0</v>
      </c>
      <c r="DK331" s="19">
        <v>0</v>
      </c>
      <c r="DL331" s="19">
        <v>0</v>
      </c>
      <c r="DM331" s="19">
        <v>0</v>
      </c>
      <c r="DN331" s="19">
        <v>0</v>
      </c>
      <c r="DO331" s="19">
        <v>0</v>
      </c>
      <c r="DP331" s="19">
        <v>0</v>
      </c>
      <c r="DQ331" s="19">
        <v>0</v>
      </c>
      <c r="DR331" s="19">
        <v>0</v>
      </c>
      <c r="DS331" s="19">
        <v>0</v>
      </c>
      <c r="DT331" s="19">
        <v>0</v>
      </c>
      <c r="DU331" s="19">
        <v>0</v>
      </c>
      <c r="DV331" s="19">
        <v>0</v>
      </c>
      <c r="DW331" s="19">
        <v>0</v>
      </c>
      <c r="DX331" s="19">
        <v>0</v>
      </c>
      <c r="DY331" s="19">
        <v>0</v>
      </c>
      <c r="DZ331" s="19">
        <v>0</v>
      </c>
      <c r="EA331" s="19">
        <v>0</v>
      </c>
      <c r="EB331" s="19">
        <v>0</v>
      </c>
      <c r="EC331" s="19">
        <v>0</v>
      </c>
      <c r="ED331" s="19">
        <v>0</v>
      </c>
      <c r="EE331" s="19">
        <v>0</v>
      </c>
      <c r="EF331" s="19">
        <v>0</v>
      </c>
      <c r="EG331" s="19">
        <v>0</v>
      </c>
      <c r="EH331" s="19">
        <v>0</v>
      </c>
      <c r="EI331" s="19">
        <v>0</v>
      </c>
      <c r="EJ331" s="19">
        <v>0</v>
      </c>
      <c r="EK331" s="19">
        <v>0</v>
      </c>
      <c r="EL331" s="19">
        <v>0</v>
      </c>
      <c r="EM331" s="19">
        <v>0</v>
      </c>
      <c r="EN331" s="19">
        <v>0</v>
      </c>
      <c r="EO331" s="19">
        <v>0</v>
      </c>
      <c r="EP331" s="19">
        <v>0</v>
      </c>
      <c r="EQ331" s="19">
        <v>0</v>
      </c>
      <c r="ER331" s="19">
        <v>0</v>
      </c>
      <c r="ES331" s="119">
        <v>0</v>
      </c>
      <c r="ET331" s="119">
        <v>0</v>
      </c>
    </row>
    <row r="332" spans="1:150" ht="16.5" customHeight="1" x14ac:dyDescent="0.35">
      <c r="A332" s="4">
        <v>210</v>
      </c>
      <c r="B332" s="4" t="str">
        <f>LOOKUP(A332,Lookup!$A$1:$A$34,Lookup!$B$1:$B$34)</f>
        <v>INGREDIENTS</v>
      </c>
      <c r="C332" s="5">
        <v>45158</v>
      </c>
      <c r="D332" s="6" t="s">
        <v>316</v>
      </c>
      <c r="E332" s="18">
        <v>0</v>
      </c>
      <c r="F332" s="18">
        <v>0</v>
      </c>
      <c r="G332" s="18">
        <v>0</v>
      </c>
      <c r="H332" s="18">
        <v>0</v>
      </c>
      <c r="I332" s="19">
        <v>0</v>
      </c>
      <c r="J332" s="19">
        <v>0</v>
      </c>
      <c r="K332" s="19">
        <v>0</v>
      </c>
      <c r="L332" s="19">
        <v>0</v>
      </c>
      <c r="M332" s="19">
        <v>0</v>
      </c>
      <c r="N332" s="19">
        <v>0</v>
      </c>
      <c r="O332" s="19">
        <v>0</v>
      </c>
      <c r="P332" s="19">
        <v>0</v>
      </c>
      <c r="Q332" s="19">
        <v>0</v>
      </c>
      <c r="R332" s="19">
        <v>0</v>
      </c>
      <c r="S332" s="19">
        <v>0</v>
      </c>
      <c r="T332" s="19">
        <v>0</v>
      </c>
      <c r="U332" s="19">
        <v>0</v>
      </c>
      <c r="V332" s="19">
        <v>0</v>
      </c>
      <c r="W332" s="19">
        <v>0</v>
      </c>
      <c r="X332" s="19">
        <v>0</v>
      </c>
      <c r="Y332" s="19">
        <v>0</v>
      </c>
      <c r="Z332" s="19">
        <v>0</v>
      </c>
      <c r="AA332" s="19">
        <v>0</v>
      </c>
      <c r="AB332" s="19">
        <v>0</v>
      </c>
      <c r="AC332" s="19">
        <v>0</v>
      </c>
      <c r="AD332" s="19">
        <v>0</v>
      </c>
      <c r="AE332" s="19">
        <v>0</v>
      </c>
      <c r="AF332" s="19">
        <v>0</v>
      </c>
      <c r="AG332" s="19">
        <v>0</v>
      </c>
      <c r="AH332" s="19">
        <v>0</v>
      </c>
      <c r="AI332" s="19">
        <v>0</v>
      </c>
      <c r="AJ332" s="19">
        <v>0</v>
      </c>
      <c r="AK332" s="19">
        <v>0</v>
      </c>
      <c r="AL332" s="19">
        <v>0</v>
      </c>
      <c r="AM332" s="19">
        <v>0</v>
      </c>
      <c r="AN332" s="19">
        <v>0</v>
      </c>
      <c r="AO332" s="19">
        <v>0</v>
      </c>
      <c r="AP332" s="19">
        <v>0</v>
      </c>
      <c r="AQ332" s="19">
        <v>0</v>
      </c>
      <c r="AR332" s="19">
        <v>0</v>
      </c>
      <c r="AS332" s="19">
        <v>0</v>
      </c>
      <c r="AT332" s="19">
        <v>0</v>
      </c>
      <c r="AU332" s="19">
        <v>0</v>
      </c>
      <c r="AV332" s="19">
        <v>0</v>
      </c>
      <c r="AW332" s="19">
        <v>0</v>
      </c>
      <c r="AX332" s="19">
        <v>0</v>
      </c>
      <c r="AY332" s="19">
        <v>0</v>
      </c>
      <c r="AZ332" s="19">
        <v>0</v>
      </c>
      <c r="BA332" s="19">
        <v>0</v>
      </c>
      <c r="BB332" s="19">
        <v>0</v>
      </c>
      <c r="BC332" s="19">
        <v>0</v>
      </c>
      <c r="BD332" s="19">
        <v>0</v>
      </c>
      <c r="BE332" s="19">
        <v>0</v>
      </c>
      <c r="BF332" s="19">
        <v>0</v>
      </c>
      <c r="BG332" s="19">
        <v>0</v>
      </c>
      <c r="BH332" s="19">
        <v>0</v>
      </c>
      <c r="BI332" s="19">
        <v>0</v>
      </c>
      <c r="BJ332" s="19">
        <v>0</v>
      </c>
      <c r="BK332" s="19">
        <v>0</v>
      </c>
      <c r="BL332" s="19">
        <v>0</v>
      </c>
      <c r="BM332" s="19">
        <v>0</v>
      </c>
      <c r="BN332" s="19">
        <v>0</v>
      </c>
      <c r="BO332" s="19">
        <v>0</v>
      </c>
      <c r="BP332" s="19">
        <v>0</v>
      </c>
      <c r="BQ332" s="19">
        <v>0</v>
      </c>
      <c r="BR332" s="19">
        <v>0</v>
      </c>
      <c r="BS332" s="19">
        <v>0</v>
      </c>
      <c r="BT332" s="19">
        <v>0</v>
      </c>
      <c r="BU332" s="19">
        <v>0</v>
      </c>
      <c r="BV332" s="19">
        <v>0</v>
      </c>
      <c r="BW332" s="19">
        <v>0</v>
      </c>
      <c r="BX332" s="19">
        <v>0</v>
      </c>
      <c r="BY332" s="19">
        <v>0</v>
      </c>
      <c r="BZ332" s="19">
        <v>0</v>
      </c>
      <c r="CA332" s="19">
        <v>0</v>
      </c>
      <c r="CB332" s="19">
        <v>0</v>
      </c>
      <c r="CC332" s="19">
        <v>0</v>
      </c>
      <c r="CD332" s="19">
        <v>0</v>
      </c>
      <c r="CE332" s="19">
        <v>0</v>
      </c>
      <c r="CF332" s="19">
        <v>0</v>
      </c>
      <c r="CG332" s="19">
        <v>0</v>
      </c>
      <c r="CH332" s="19">
        <v>0</v>
      </c>
      <c r="CI332" s="19">
        <v>0</v>
      </c>
      <c r="CJ332" s="19">
        <v>0</v>
      </c>
      <c r="CK332" s="19">
        <v>0</v>
      </c>
      <c r="CL332" s="19">
        <v>0</v>
      </c>
      <c r="CM332" s="19">
        <v>0</v>
      </c>
      <c r="CN332" s="19">
        <v>0</v>
      </c>
      <c r="CO332" s="19">
        <v>0</v>
      </c>
      <c r="CP332" s="19">
        <v>0</v>
      </c>
      <c r="CQ332" s="19">
        <v>0</v>
      </c>
      <c r="CR332" s="19">
        <v>0</v>
      </c>
      <c r="CS332" s="19">
        <v>0</v>
      </c>
      <c r="CT332" s="19">
        <v>0</v>
      </c>
      <c r="CU332" s="19">
        <v>0</v>
      </c>
      <c r="CV332" s="19">
        <v>0</v>
      </c>
      <c r="CW332" s="19">
        <v>0</v>
      </c>
      <c r="CX332" s="19">
        <v>0</v>
      </c>
      <c r="CY332" s="19">
        <v>0</v>
      </c>
      <c r="CZ332" s="19">
        <v>0</v>
      </c>
      <c r="DA332" s="19">
        <v>0</v>
      </c>
      <c r="DB332" s="19">
        <v>0</v>
      </c>
      <c r="DC332" s="19">
        <v>0</v>
      </c>
      <c r="DD332" s="19">
        <v>0</v>
      </c>
      <c r="DE332" s="19">
        <v>0</v>
      </c>
      <c r="DF332" s="19">
        <v>0</v>
      </c>
      <c r="DG332" s="19">
        <v>0</v>
      </c>
      <c r="DH332" s="19">
        <v>0</v>
      </c>
      <c r="DI332" s="19">
        <v>0</v>
      </c>
      <c r="DJ332" s="19">
        <v>0</v>
      </c>
      <c r="DK332" s="19">
        <v>0</v>
      </c>
      <c r="DL332" s="19">
        <v>0</v>
      </c>
      <c r="DM332" s="19">
        <v>0</v>
      </c>
      <c r="DN332" s="19">
        <v>0</v>
      </c>
      <c r="DO332" s="19">
        <v>0</v>
      </c>
      <c r="DP332" s="19">
        <v>0</v>
      </c>
      <c r="DQ332" s="19">
        <v>0</v>
      </c>
      <c r="DR332" s="19">
        <v>0</v>
      </c>
      <c r="DS332" s="19">
        <v>0</v>
      </c>
      <c r="DT332" s="19">
        <v>0</v>
      </c>
      <c r="DU332" s="19">
        <v>0</v>
      </c>
      <c r="DV332" s="19">
        <v>0</v>
      </c>
      <c r="DW332" s="19">
        <v>0</v>
      </c>
      <c r="DX332" s="19">
        <v>0</v>
      </c>
      <c r="DY332" s="19">
        <v>0</v>
      </c>
      <c r="DZ332" s="19">
        <v>0</v>
      </c>
      <c r="EA332" s="19">
        <v>0</v>
      </c>
      <c r="EB332" s="19">
        <v>0</v>
      </c>
      <c r="EC332" s="19">
        <v>0</v>
      </c>
      <c r="ED332" s="19">
        <v>0</v>
      </c>
      <c r="EE332" s="19">
        <v>0</v>
      </c>
      <c r="EF332" s="19">
        <v>0</v>
      </c>
      <c r="EG332" s="19">
        <v>0</v>
      </c>
      <c r="EH332" s="19">
        <v>0</v>
      </c>
      <c r="EI332" s="19">
        <v>0</v>
      </c>
      <c r="EJ332" s="19">
        <v>0</v>
      </c>
      <c r="EK332" s="19">
        <v>0</v>
      </c>
      <c r="EL332" s="19">
        <v>0</v>
      </c>
      <c r="EM332" s="19">
        <v>0</v>
      </c>
      <c r="EN332" s="19">
        <v>0</v>
      </c>
      <c r="EO332" s="19">
        <v>0</v>
      </c>
      <c r="EP332" s="19">
        <v>0</v>
      </c>
      <c r="EQ332" s="19">
        <v>0</v>
      </c>
      <c r="ER332" s="19">
        <v>0</v>
      </c>
      <c r="ES332" s="119">
        <v>0</v>
      </c>
      <c r="ET332" s="119">
        <v>0</v>
      </c>
    </row>
    <row r="333" spans="1:150" ht="16.5" customHeight="1" x14ac:dyDescent="0.35">
      <c r="A333" s="4">
        <v>210</v>
      </c>
      <c r="B333" s="4" t="str">
        <f>LOOKUP(A333,Lookup!$A$1:$A$34,Lookup!$B$1:$B$34)</f>
        <v>INGREDIENTS</v>
      </c>
      <c r="C333" s="5">
        <v>45168</v>
      </c>
      <c r="D333" s="6" t="s">
        <v>317</v>
      </c>
      <c r="E333" s="18">
        <v>0</v>
      </c>
      <c r="F333" s="18">
        <v>0</v>
      </c>
      <c r="G333" s="18">
        <v>0</v>
      </c>
      <c r="H333" s="18">
        <v>0</v>
      </c>
      <c r="I333" s="19">
        <v>0</v>
      </c>
      <c r="J333" s="19">
        <v>0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9">
        <v>0</v>
      </c>
      <c r="V333" s="19">
        <v>0</v>
      </c>
      <c r="W333" s="19">
        <v>0</v>
      </c>
      <c r="X333" s="19">
        <v>0</v>
      </c>
      <c r="Y333" s="19">
        <v>0</v>
      </c>
      <c r="Z333" s="19">
        <v>0</v>
      </c>
      <c r="AA333" s="19">
        <v>0</v>
      </c>
      <c r="AB333" s="19">
        <v>0</v>
      </c>
      <c r="AC333" s="19">
        <v>0</v>
      </c>
      <c r="AD333" s="19">
        <v>0</v>
      </c>
      <c r="AE333" s="19">
        <v>0</v>
      </c>
      <c r="AF333" s="19">
        <v>0</v>
      </c>
      <c r="AG333" s="19">
        <v>0</v>
      </c>
      <c r="AH333" s="19">
        <v>0</v>
      </c>
      <c r="AI333" s="19">
        <v>0</v>
      </c>
      <c r="AJ333" s="19">
        <v>0</v>
      </c>
      <c r="AK333" s="19">
        <v>0</v>
      </c>
      <c r="AL333" s="19">
        <v>0</v>
      </c>
      <c r="AM333" s="19">
        <v>0</v>
      </c>
      <c r="AN333" s="19">
        <v>0</v>
      </c>
      <c r="AO333" s="19">
        <v>0</v>
      </c>
      <c r="AP333" s="19">
        <v>0</v>
      </c>
      <c r="AQ333" s="19">
        <v>0</v>
      </c>
      <c r="AR333" s="19">
        <v>0</v>
      </c>
      <c r="AS333" s="19">
        <v>0</v>
      </c>
      <c r="AT333" s="19">
        <v>0</v>
      </c>
      <c r="AU333" s="19">
        <v>0</v>
      </c>
      <c r="AV333" s="19">
        <v>0</v>
      </c>
      <c r="AW333" s="19">
        <v>0</v>
      </c>
      <c r="AX333" s="19">
        <v>0</v>
      </c>
      <c r="AY333" s="19">
        <v>0</v>
      </c>
      <c r="AZ333" s="19">
        <v>0</v>
      </c>
      <c r="BA333" s="19">
        <v>0</v>
      </c>
      <c r="BB333" s="19">
        <v>0</v>
      </c>
      <c r="BC333" s="19">
        <v>0</v>
      </c>
      <c r="BD333" s="19">
        <v>0</v>
      </c>
      <c r="BE333" s="19">
        <v>0</v>
      </c>
      <c r="BF333" s="19">
        <v>0</v>
      </c>
      <c r="BG333" s="19">
        <v>0</v>
      </c>
      <c r="BH333" s="19">
        <v>0</v>
      </c>
      <c r="BI333" s="19">
        <v>0</v>
      </c>
      <c r="BJ333" s="19">
        <v>0</v>
      </c>
      <c r="BK333" s="19">
        <v>0</v>
      </c>
      <c r="BL333" s="19">
        <v>0</v>
      </c>
      <c r="BM333" s="19">
        <v>0</v>
      </c>
      <c r="BN333" s="19">
        <v>0</v>
      </c>
      <c r="BO333" s="19">
        <v>0</v>
      </c>
      <c r="BP333" s="19">
        <v>0</v>
      </c>
      <c r="BQ333" s="19">
        <v>0</v>
      </c>
      <c r="BR333" s="19">
        <v>0</v>
      </c>
      <c r="BS333" s="19">
        <v>0</v>
      </c>
      <c r="BT333" s="19">
        <v>0</v>
      </c>
      <c r="BU333" s="19">
        <v>0</v>
      </c>
      <c r="BV333" s="19">
        <v>0</v>
      </c>
      <c r="BW333" s="19">
        <v>0</v>
      </c>
      <c r="BX333" s="19">
        <v>0</v>
      </c>
      <c r="BY333" s="19">
        <v>0</v>
      </c>
      <c r="BZ333" s="19">
        <v>0</v>
      </c>
      <c r="CA333" s="19">
        <v>0</v>
      </c>
      <c r="CB333" s="19">
        <v>0</v>
      </c>
      <c r="CC333" s="19">
        <v>0</v>
      </c>
      <c r="CD333" s="19">
        <v>0</v>
      </c>
      <c r="CE333" s="19">
        <v>0</v>
      </c>
      <c r="CF333" s="19">
        <v>0</v>
      </c>
      <c r="CG333" s="19">
        <v>0</v>
      </c>
      <c r="CH333" s="19">
        <v>0</v>
      </c>
      <c r="CI333" s="19">
        <v>0</v>
      </c>
      <c r="CJ333" s="19">
        <v>0</v>
      </c>
      <c r="CK333" s="19">
        <v>0</v>
      </c>
      <c r="CL333" s="19">
        <v>0</v>
      </c>
      <c r="CM333" s="19">
        <v>0</v>
      </c>
      <c r="CN333" s="19">
        <v>0</v>
      </c>
      <c r="CO333" s="19">
        <v>0</v>
      </c>
      <c r="CP333" s="19">
        <v>0</v>
      </c>
      <c r="CQ333" s="19">
        <v>0</v>
      </c>
      <c r="CR333" s="19">
        <v>0</v>
      </c>
      <c r="CS333" s="19">
        <v>0</v>
      </c>
      <c r="CT333" s="19">
        <v>0</v>
      </c>
      <c r="CU333" s="19">
        <v>0</v>
      </c>
      <c r="CV333" s="19">
        <v>0</v>
      </c>
      <c r="CW333" s="19">
        <v>0</v>
      </c>
      <c r="CX333" s="19">
        <v>0</v>
      </c>
      <c r="CY333" s="19">
        <v>0</v>
      </c>
      <c r="CZ333" s="19">
        <v>0</v>
      </c>
      <c r="DA333" s="19">
        <v>0</v>
      </c>
      <c r="DB333" s="19">
        <v>0</v>
      </c>
      <c r="DC333" s="19">
        <v>0</v>
      </c>
      <c r="DD333" s="19">
        <v>0</v>
      </c>
      <c r="DE333" s="19">
        <v>0</v>
      </c>
      <c r="DF333" s="19">
        <v>0</v>
      </c>
      <c r="DG333" s="19">
        <v>0</v>
      </c>
      <c r="DH333" s="19">
        <v>0</v>
      </c>
      <c r="DI333" s="19">
        <v>0</v>
      </c>
      <c r="DJ333" s="19">
        <v>0</v>
      </c>
      <c r="DK333" s="19">
        <v>0</v>
      </c>
      <c r="DL333" s="19">
        <v>0</v>
      </c>
      <c r="DM333" s="19">
        <v>0</v>
      </c>
      <c r="DN333" s="19">
        <v>0</v>
      </c>
      <c r="DO333" s="19">
        <v>0</v>
      </c>
      <c r="DP333" s="19">
        <v>0</v>
      </c>
      <c r="DQ333" s="19">
        <v>0</v>
      </c>
      <c r="DR333" s="19">
        <v>0</v>
      </c>
      <c r="DS333" s="19">
        <v>0</v>
      </c>
      <c r="DT333" s="19">
        <v>0</v>
      </c>
      <c r="DU333" s="19">
        <v>0</v>
      </c>
      <c r="DV333" s="19">
        <v>0</v>
      </c>
      <c r="DW333" s="19">
        <v>0</v>
      </c>
      <c r="DX333" s="19">
        <v>0</v>
      </c>
      <c r="DY333" s="19">
        <v>0</v>
      </c>
      <c r="DZ333" s="19">
        <v>0</v>
      </c>
      <c r="EA333" s="19">
        <v>0</v>
      </c>
      <c r="EB333" s="19">
        <v>0</v>
      </c>
      <c r="EC333" s="19">
        <v>0</v>
      </c>
      <c r="ED333" s="19">
        <v>0</v>
      </c>
      <c r="EE333" s="19">
        <v>0</v>
      </c>
      <c r="EF333" s="19">
        <v>0</v>
      </c>
      <c r="EG333" s="19">
        <v>0</v>
      </c>
      <c r="EH333" s="19">
        <v>0</v>
      </c>
      <c r="EI333" s="19">
        <v>0</v>
      </c>
      <c r="EJ333" s="19">
        <v>0</v>
      </c>
      <c r="EK333" s="19">
        <v>0</v>
      </c>
      <c r="EL333" s="19">
        <v>0</v>
      </c>
      <c r="EM333" s="19">
        <v>0</v>
      </c>
      <c r="EN333" s="19">
        <v>0</v>
      </c>
      <c r="EO333" s="19">
        <v>0</v>
      </c>
      <c r="EP333" s="19">
        <v>0</v>
      </c>
      <c r="EQ333" s="19">
        <v>0</v>
      </c>
      <c r="ER333" s="19">
        <v>0</v>
      </c>
      <c r="ES333" s="119">
        <v>0</v>
      </c>
      <c r="ET333" s="119">
        <v>0</v>
      </c>
    </row>
    <row r="334" spans="1:150" ht="16.5" customHeight="1" x14ac:dyDescent="0.35">
      <c r="A334" s="4">
        <v>210</v>
      </c>
      <c r="B334" s="4" t="str">
        <f>LOOKUP(A334,Lookup!$A$1:$A$34,Lookup!$B$1:$B$34)</f>
        <v>INGREDIENTS</v>
      </c>
      <c r="C334" s="5">
        <v>45223</v>
      </c>
      <c r="D334" s="6" t="s">
        <v>318</v>
      </c>
      <c r="E334" s="18">
        <v>0</v>
      </c>
      <c r="F334" s="18">
        <v>0</v>
      </c>
      <c r="G334" s="18">
        <v>0</v>
      </c>
      <c r="H334" s="18">
        <v>0</v>
      </c>
      <c r="I334" s="19">
        <v>0</v>
      </c>
      <c r="J334" s="19">
        <v>0</v>
      </c>
      <c r="K334" s="19">
        <v>0</v>
      </c>
      <c r="L334" s="19">
        <v>0</v>
      </c>
      <c r="M334" s="19">
        <v>0</v>
      </c>
      <c r="N334" s="19">
        <v>0</v>
      </c>
      <c r="O334" s="19">
        <v>0</v>
      </c>
      <c r="P334" s="19">
        <v>0</v>
      </c>
      <c r="Q334" s="19">
        <v>0</v>
      </c>
      <c r="R334" s="19">
        <v>0</v>
      </c>
      <c r="S334" s="19">
        <v>0</v>
      </c>
      <c r="T334" s="19">
        <v>0</v>
      </c>
      <c r="U334" s="19">
        <v>0</v>
      </c>
      <c r="V334" s="19">
        <v>0</v>
      </c>
      <c r="W334" s="19">
        <v>0</v>
      </c>
      <c r="X334" s="19">
        <v>0</v>
      </c>
      <c r="Y334" s="19">
        <v>0</v>
      </c>
      <c r="Z334" s="19">
        <v>0</v>
      </c>
      <c r="AA334" s="19">
        <v>0</v>
      </c>
      <c r="AB334" s="19">
        <v>0</v>
      </c>
      <c r="AC334" s="19">
        <v>0</v>
      </c>
      <c r="AD334" s="19">
        <v>0</v>
      </c>
      <c r="AE334" s="19">
        <v>0</v>
      </c>
      <c r="AF334" s="19">
        <v>0</v>
      </c>
      <c r="AG334" s="19">
        <v>0</v>
      </c>
      <c r="AH334" s="19">
        <v>0</v>
      </c>
      <c r="AI334" s="19">
        <v>0</v>
      </c>
      <c r="AJ334" s="19">
        <v>0</v>
      </c>
      <c r="AK334" s="19">
        <v>0</v>
      </c>
      <c r="AL334" s="19">
        <v>0</v>
      </c>
      <c r="AM334" s="19">
        <v>0</v>
      </c>
      <c r="AN334" s="19">
        <v>0</v>
      </c>
      <c r="AO334" s="19">
        <v>0</v>
      </c>
      <c r="AP334" s="19">
        <v>0</v>
      </c>
      <c r="AQ334" s="19">
        <v>0</v>
      </c>
      <c r="AR334" s="19">
        <v>0</v>
      </c>
      <c r="AS334" s="19">
        <v>0</v>
      </c>
      <c r="AT334" s="19">
        <v>0</v>
      </c>
      <c r="AU334" s="19">
        <v>0</v>
      </c>
      <c r="AV334" s="19">
        <v>0</v>
      </c>
      <c r="AW334" s="19">
        <v>0</v>
      </c>
      <c r="AX334" s="19">
        <v>0</v>
      </c>
      <c r="AY334" s="19">
        <v>0</v>
      </c>
      <c r="AZ334" s="19">
        <v>0</v>
      </c>
      <c r="BA334" s="19">
        <v>0</v>
      </c>
      <c r="BB334" s="19">
        <v>0</v>
      </c>
      <c r="BC334" s="19">
        <v>0</v>
      </c>
      <c r="BD334" s="19">
        <v>0</v>
      </c>
      <c r="BE334" s="19">
        <v>0</v>
      </c>
      <c r="BF334" s="19">
        <v>0</v>
      </c>
      <c r="BG334" s="19">
        <v>0</v>
      </c>
      <c r="BH334" s="19">
        <v>0</v>
      </c>
      <c r="BI334" s="19">
        <v>0</v>
      </c>
      <c r="BJ334" s="19">
        <v>0</v>
      </c>
      <c r="BK334" s="19">
        <v>0</v>
      </c>
      <c r="BL334" s="19">
        <v>0</v>
      </c>
      <c r="BM334" s="19">
        <v>0</v>
      </c>
      <c r="BN334" s="19">
        <v>0</v>
      </c>
      <c r="BO334" s="19">
        <v>0</v>
      </c>
      <c r="BP334" s="19">
        <v>0</v>
      </c>
      <c r="BQ334" s="19">
        <v>0</v>
      </c>
      <c r="BR334" s="19">
        <v>0</v>
      </c>
      <c r="BS334" s="19">
        <v>0</v>
      </c>
      <c r="BT334" s="19">
        <v>0</v>
      </c>
      <c r="BU334" s="19">
        <v>0</v>
      </c>
      <c r="BV334" s="19">
        <v>0</v>
      </c>
      <c r="BW334" s="19">
        <v>0</v>
      </c>
      <c r="BX334" s="19">
        <v>0</v>
      </c>
      <c r="BY334" s="19">
        <v>0</v>
      </c>
      <c r="BZ334" s="19">
        <v>0</v>
      </c>
      <c r="CA334" s="19">
        <v>0</v>
      </c>
      <c r="CB334" s="19">
        <v>0</v>
      </c>
      <c r="CC334" s="19">
        <v>0</v>
      </c>
      <c r="CD334" s="19">
        <v>0</v>
      </c>
      <c r="CE334" s="19">
        <v>0</v>
      </c>
      <c r="CF334" s="19">
        <v>0</v>
      </c>
      <c r="CG334" s="19">
        <v>0</v>
      </c>
      <c r="CH334" s="19">
        <v>0</v>
      </c>
      <c r="CI334" s="19">
        <v>0</v>
      </c>
      <c r="CJ334" s="19">
        <v>0</v>
      </c>
      <c r="CK334" s="19">
        <v>0</v>
      </c>
      <c r="CL334" s="19">
        <v>0</v>
      </c>
      <c r="CM334" s="19">
        <v>0</v>
      </c>
      <c r="CN334" s="19">
        <v>0</v>
      </c>
      <c r="CO334" s="19">
        <v>0</v>
      </c>
      <c r="CP334" s="19">
        <v>0</v>
      </c>
      <c r="CQ334" s="19">
        <v>0</v>
      </c>
      <c r="CR334" s="19">
        <v>0</v>
      </c>
      <c r="CS334" s="19">
        <v>0</v>
      </c>
      <c r="CT334" s="19">
        <v>0</v>
      </c>
      <c r="CU334" s="19">
        <v>0</v>
      </c>
      <c r="CV334" s="19">
        <v>0</v>
      </c>
      <c r="CW334" s="19">
        <v>0</v>
      </c>
      <c r="CX334" s="19">
        <v>0</v>
      </c>
      <c r="CY334" s="19">
        <v>0</v>
      </c>
      <c r="CZ334" s="19">
        <v>0</v>
      </c>
      <c r="DA334" s="19">
        <v>0</v>
      </c>
      <c r="DB334" s="19">
        <v>0</v>
      </c>
      <c r="DC334" s="19">
        <v>0</v>
      </c>
      <c r="DD334" s="19">
        <v>0</v>
      </c>
      <c r="DE334" s="19">
        <v>0</v>
      </c>
      <c r="DF334" s="19">
        <v>0</v>
      </c>
      <c r="DG334" s="19">
        <v>0</v>
      </c>
      <c r="DH334" s="19">
        <v>0</v>
      </c>
      <c r="DI334" s="19">
        <v>0</v>
      </c>
      <c r="DJ334" s="19">
        <v>0</v>
      </c>
      <c r="DK334" s="19">
        <v>0</v>
      </c>
      <c r="DL334" s="19">
        <v>0</v>
      </c>
      <c r="DM334" s="19">
        <v>0</v>
      </c>
      <c r="DN334" s="19">
        <v>0</v>
      </c>
      <c r="DO334" s="19">
        <v>0</v>
      </c>
      <c r="DP334" s="19">
        <v>0</v>
      </c>
      <c r="DQ334" s="19">
        <v>0</v>
      </c>
      <c r="DR334" s="19">
        <v>0</v>
      </c>
      <c r="DS334" s="19">
        <v>0</v>
      </c>
      <c r="DT334" s="19">
        <v>0</v>
      </c>
      <c r="DU334" s="19">
        <v>0</v>
      </c>
      <c r="DV334" s="19">
        <v>0</v>
      </c>
      <c r="DW334" s="19">
        <v>0</v>
      </c>
      <c r="DX334" s="19">
        <v>0</v>
      </c>
      <c r="DY334" s="19">
        <v>0</v>
      </c>
      <c r="DZ334" s="19">
        <v>0</v>
      </c>
      <c r="EA334" s="19">
        <v>0</v>
      </c>
      <c r="EB334" s="19">
        <v>0</v>
      </c>
      <c r="EC334" s="19">
        <v>0</v>
      </c>
      <c r="ED334" s="19">
        <v>0</v>
      </c>
      <c r="EE334" s="19">
        <v>0</v>
      </c>
      <c r="EF334" s="19">
        <v>0</v>
      </c>
      <c r="EG334" s="19">
        <v>0</v>
      </c>
      <c r="EH334" s="19">
        <v>0</v>
      </c>
      <c r="EI334" s="19">
        <v>0</v>
      </c>
      <c r="EJ334" s="19">
        <v>0</v>
      </c>
      <c r="EK334" s="19">
        <v>0</v>
      </c>
      <c r="EL334" s="19">
        <v>0</v>
      </c>
      <c r="EM334" s="19">
        <v>0</v>
      </c>
      <c r="EN334" s="19">
        <v>0</v>
      </c>
      <c r="EO334" s="19">
        <v>0</v>
      </c>
      <c r="EP334" s="19">
        <v>0</v>
      </c>
      <c r="EQ334" s="19">
        <v>0</v>
      </c>
      <c r="ER334" s="19">
        <v>0</v>
      </c>
      <c r="ES334" s="119">
        <v>0</v>
      </c>
      <c r="ET334" s="119">
        <v>0</v>
      </c>
    </row>
    <row r="335" spans="1:150" ht="16.5" customHeight="1" x14ac:dyDescent="0.35">
      <c r="A335" s="4">
        <v>210</v>
      </c>
      <c r="B335" s="4" t="str">
        <f>LOOKUP(A335,Lookup!$A$1:$A$34,Lookup!$B$1:$B$34)</f>
        <v>INGREDIENTS</v>
      </c>
      <c r="C335" s="5">
        <v>45386</v>
      </c>
      <c r="D335" s="6" t="s">
        <v>319</v>
      </c>
      <c r="E335" s="18">
        <v>0</v>
      </c>
      <c r="F335" s="18">
        <v>0</v>
      </c>
      <c r="G335" s="18">
        <v>0</v>
      </c>
      <c r="H335" s="18">
        <v>0</v>
      </c>
      <c r="I335" s="19">
        <v>0</v>
      </c>
      <c r="J335" s="19">
        <v>0</v>
      </c>
      <c r="K335" s="19">
        <v>0</v>
      </c>
      <c r="L335" s="19">
        <v>0</v>
      </c>
      <c r="M335" s="19">
        <v>0</v>
      </c>
      <c r="N335" s="19">
        <v>0</v>
      </c>
      <c r="O335" s="19">
        <v>0</v>
      </c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9">
        <v>0</v>
      </c>
      <c r="V335" s="19">
        <v>0</v>
      </c>
      <c r="W335" s="19">
        <v>0</v>
      </c>
      <c r="X335" s="19">
        <v>0</v>
      </c>
      <c r="Y335" s="19">
        <v>0</v>
      </c>
      <c r="Z335" s="19">
        <v>0</v>
      </c>
      <c r="AA335" s="19">
        <v>0</v>
      </c>
      <c r="AB335" s="19">
        <v>0</v>
      </c>
      <c r="AC335" s="19">
        <v>0</v>
      </c>
      <c r="AD335" s="19">
        <v>0</v>
      </c>
      <c r="AE335" s="19">
        <v>0</v>
      </c>
      <c r="AF335" s="19">
        <v>0</v>
      </c>
      <c r="AG335" s="19">
        <v>0</v>
      </c>
      <c r="AH335" s="19">
        <v>0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v>0</v>
      </c>
      <c r="AO335" s="19">
        <v>0</v>
      </c>
      <c r="AP335" s="19">
        <v>0</v>
      </c>
      <c r="AQ335" s="19">
        <v>0</v>
      </c>
      <c r="AR335" s="19">
        <v>0</v>
      </c>
      <c r="AS335" s="19">
        <v>0</v>
      </c>
      <c r="AT335" s="19">
        <v>0</v>
      </c>
      <c r="AU335" s="19">
        <v>0</v>
      </c>
      <c r="AV335" s="19">
        <v>0</v>
      </c>
      <c r="AW335" s="19">
        <v>0</v>
      </c>
      <c r="AX335" s="19">
        <v>0</v>
      </c>
      <c r="AY335" s="19">
        <v>0</v>
      </c>
      <c r="AZ335" s="19">
        <v>0</v>
      </c>
      <c r="BA335" s="19">
        <v>0</v>
      </c>
      <c r="BB335" s="19">
        <v>0</v>
      </c>
      <c r="BC335" s="19">
        <v>0</v>
      </c>
      <c r="BD335" s="19">
        <v>0</v>
      </c>
      <c r="BE335" s="19">
        <v>0</v>
      </c>
      <c r="BF335" s="19">
        <v>0</v>
      </c>
      <c r="BG335" s="19">
        <v>0</v>
      </c>
      <c r="BH335" s="19">
        <v>0</v>
      </c>
      <c r="BI335" s="19">
        <v>0</v>
      </c>
      <c r="BJ335" s="19">
        <v>0</v>
      </c>
      <c r="BK335" s="19">
        <v>0</v>
      </c>
      <c r="BL335" s="19">
        <v>0</v>
      </c>
      <c r="BM335" s="19">
        <v>0</v>
      </c>
      <c r="BN335" s="19">
        <v>0</v>
      </c>
      <c r="BO335" s="19">
        <v>0</v>
      </c>
      <c r="BP335" s="19">
        <v>0</v>
      </c>
      <c r="BQ335" s="19">
        <v>0</v>
      </c>
      <c r="BR335" s="19">
        <v>0</v>
      </c>
      <c r="BS335" s="19">
        <v>0</v>
      </c>
      <c r="BT335" s="19">
        <v>0</v>
      </c>
      <c r="BU335" s="19">
        <v>0</v>
      </c>
      <c r="BV335" s="19">
        <v>0</v>
      </c>
      <c r="BW335" s="19">
        <v>0</v>
      </c>
      <c r="BX335" s="19">
        <v>0</v>
      </c>
      <c r="BY335" s="19">
        <v>0</v>
      </c>
      <c r="BZ335" s="19">
        <v>0</v>
      </c>
      <c r="CA335" s="19">
        <v>0</v>
      </c>
      <c r="CB335" s="19">
        <v>0</v>
      </c>
      <c r="CC335" s="19">
        <v>0</v>
      </c>
      <c r="CD335" s="19">
        <v>0</v>
      </c>
      <c r="CE335" s="19">
        <v>0</v>
      </c>
      <c r="CF335" s="19">
        <v>0</v>
      </c>
      <c r="CG335" s="19">
        <v>0</v>
      </c>
      <c r="CH335" s="19">
        <v>0</v>
      </c>
      <c r="CI335" s="19">
        <v>0</v>
      </c>
      <c r="CJ335" s="19">
        <v>0</v>
      </c>
      <c r="CK335" s="19">
        <v>0</v>
      </c>
      <c r="CL335" s="19">
        <v>0</v>
      </c>
      <c r="CM335" s="19">
        <v>0</v>
      </c>
      <c r="CN335" s="19">
        <v>0</v>
      </c>
      <c r="CO335" s="19">
        <v>0</v>
      </c>
      <c r="CP335" s="19">
        <v>0</v>
      </c>
      <c r="CQ335" s="19">
        <v>0</v>
      </c>
      <c r="CR335" s="19">
        <v>0</v>
      </c>
      <c r="CS335" s="19">
        <v>0</v>
      </c>
      <c r="CT335" s="19">
        <v>0</v>
      </c>
      <c r="CU335" s="19">
        <v>0</v>
      </c>
      <c r="CV335" s="19">
        <v>0</v>
      </c>
      <c r="CW335" s="19">
        <v>0</v>
      </c>
      <c r="CX335" s="19">
        <v>0</v>
      </c>
      <c r="CY335" s="19">
        <v>0</v>
      </c>
      <c r="CZ335" s="19">
        <v>0</v>
      </c>
      <c r="DA335" s="19">
        <v>0</v>
      </c>
      <c r="DB335" s="19">
        <v>0</v>
      </c>
      <c r="DC335" s="19">
        <v>0</v>
      </c>
      <c r="DD335" s="19">
        <v>0</v>
      </c>
      <c r="DE335" s="19">
        <v>0</v>
      </c>
      <c r="DF335" s="19">
        <v>0</v>
      </c>
      <c r="DG335" s="19">
        <v>0</v>
      </c>
      <c r="DH335" s="19">
        <v>0</v>
      </c>
      <c r="DI335" s="19">
        <v>0</v>
      </c>
      <c r="DJ335" s="19">
        <v>0</v>
      </c>
      <c r="DK335" s="19">
        <v>0</v>
      </c>
      <c r="DL335" s="19">
        <v>0</v>
      </c>
      <c r="DM335" s="19">
        <v>0</v>
      </c>
      <c r="DN335" s="19">
        <v>0</v>
      </c>
      <c r="DO335" s="19">
        <v>0</v>
      </c>
      <c r="DP335" s="19">
        <v>0</v>
      </c>
      <c r="DQ335" s="19">
        <v>0</v>
      </c>
      <c r="DR335" s="19">
        <v>0</v>
      </c>
      <c r="DS335" s="19">
        <v>0</v>
      </c>
      <c r="DT335" s="19">
        <v>0</v>
      </c>
      <c r="DU335" s="19">
        <v>0</v>
      </c>
      <c r="DV335" s="19">
        <v>0</v>
      </c>
      <c r="DW335" s="19">
        <v>0</v>
      </c>
      <c r="DX335" s="19">
        <v>0</v>
      </c>
      <c r="DY335" s="19">
        <v>0</v>
      </c>
      <c r="DZ335" s="19">
        <v>0</v>
      </c>
      <c r="EA335" s="19">
        <v>0</v>
      </c>
      <c r="EB335" s="19">
        <v>0</v>
      </c>
      <c r="EC335" s="19">
        <v>0</v>
      </c>
      <c r="ED335" s="19">
        <v>0</v>
      </c>
      <c r="EE335" s="19">
        <v>0</v>
      </c>
      <c r="EF335" s="19">
        <v>0</v>
      </c>
      <c r="EG335" s="19">
        <v>0</v>
      </c>
      <c r="EH335" s="19">
        <v>0</v>
      </c>
      <c r="EI335" s="19">
        <v>0</v>
      </c>
      <c r="EJ335" s="19">
        <v>0</v>
      </c>
      <c r="EK335" s="19">
        <v>0</v>
      </c>
      <c r="EL335" s="19">
        <v>0</v>
      </c>
      <c r="EM335" s="19">
        <v>0</v>
      </c>
      <c r="EN335" s="19">
        <v>0</v>
      </c>
      <c r="EO335" s="19">
        <v>0</v>
      </c>
      <c r="EP335" s="19">
        <v>0</v>
      </c>
      <c r="EQ335" s="19">
        <v>0</v>
      </c>
      <c r="ER335" s="19">
        <v>0</v>
      </c>
      <c r="ES335" s="119">
        <v>0</v>
      </c>
      <c r="ET335" s="119">
        <v>0</v>
      </c>
    </row>
    <row r="336" spans="1:150" ht="16.5" customHeight="1" x14ac:dyDescent="0.35">
      <c r="A336" s="4">
        <v>210</v>
      </c>
      <c r="B336" s="4" t="str">
        <f>LOOKUP(A336,Lookup!$A$1:$A$34,Lookup!$B$1:$B$34)</f>
        <v>INGREDIENTS</v>
      </c>
      <c r="C336" s="5">
        <v>45422</v>
      </c>
      <c r="D336" s="6" t="s">
        <v>320</v>
      </c>
      <c r="E336" s="18">
        <v>0</v>
      </c>
      <c r="F336" s="18">
        <v>0</v>
      </c>
      <c r="G336" s="18">
        <v>0</v>
      </c>
      <c r="H336" s="18">
        <v>0</v>
      </c>
      <c r="I336" s="19">
        <v>0</v>
      </c>
      <c r="J336" s="19">
        <v>0</v>
      </c>
      <c r="K336" s="19">
        <v>0</v>
      </c>
      <c r="L336" s="19">
        <v>0</v>
      </c>
      <c r="M336" s="19">
        <v>0</v>
      </c>
      <c r="N336" s="19">
        <v>0</v>
      </c>
      <c r="O336" s="19">
        <v>0</v>
      </c>
      <c r="P336" s="19">
        <v>0</v>
      </c>
      <c r="Q336" s="19">
        <v>0</v>
      </c>
      <c r="R336" s="19">
        <v>0</v>
      </c>
      <c r="S336" s="19">
        <v>0</v>
      </c>
      <c r="T336" s="19">
        <v>0</v>
      </c>
      <c r="U336" s="19">
        <v>0</v>
      </c>
      <c r="V336" s="19">
        <v>0</v>
      </c>
      <c r="W336" s="19">
        <v>0</v>
      </c>
      <c r="X336" s="19">
        <v>0</v>
      </c>
      <c r="Y336" s="19">
        <v>0</v>
      </c>
      <c r="Z336" s="19">
        <v>0</v>
      </c>
      <c r="AA336" s="19">
        <v>0</v>
      </c>
      <c r="AB336" s="19">
        <v>0</v>
      </c>
      <c r="AC336" s="19">
        <v>0</v>
      </c>
      <c r="AD336" s="19">
        <v>0</v>
      </c>
      <c r="AE336" s="19">
        <v>0</v>
      </c>
      <c r="AF336" s="19">
        <v>0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v>0</v>
      </c>
      <c r="AO336" s="19">
        <v>0</v>
      </c>
      <c r="AP336" s="19">
        <v>0</v>
      </c>
      <c r="AQ336" s="19">
        <v>0</v>
      </c>
      <c r="AR336" s="19">
        <v>0</v>
      </c>
      <c r="AS336" s="19">
        <v>0</v>
      </c>
      <c r="AT336" s="19">
        <v>0</v>
      </c>
      <c r="AU336" s="19">
        <v>0</v>
      </c>
      <c r="AV336" s="19">
        <v>0</v>
      </c>
      <c r="AW336" s="19">
        <v>0</v>
      </c>
      <c r="AX336" s="19">
        <v>0</v>
      </c>
      <c r="AY336" s="19">
        <v>0</v>
      </c>
      <c r="AZ336" s="19">
        <v>0</v>
      </c>
      <c r="BA336" s="19">
        <v>0</v>
      </c>
      <c r="BB336" s="19">
        <v>0</v>
      </c>
      <c r="BC336" s="19">
        <v>0</v>
      </c>
      <c r="BD336" s="19">
        <v>0</v>
      </c>
      <c r="BE336" s="19">
        <v>0</v>
      </c>
      <c r="BF336" s="19">
        <v>0</v>
      </c>
      <c r="BG336" s="19">
        <v>0</v>
      </c>
      <c r="BH336" s="19">
        <v>0</v>
      </c>
      <c r="BI336" s="19">
        <v>0</v>
      </c>
      <c r="BJ336" s="19">
        <v>0</v>
      </c>
      <c r="BK336" s="19">
        <v>0</v>
      </c>
      <c r="BL336" s="19">
        <v>0</v>
      </c>
      <c r="BM336" s="19">
        <v>0</v>
      </c>
      <c r="BN336" s="19">
        <v>0</v>
      </c>
      <c r="BO336" s="19">
        <v>0</v>
      </c>
      <c r="BP336" s="19">
        <v>0</v>
      </c>
      <c r="BQ336" s="19">
        <v>0</v>
      </c>
      <c r="BR336" s="19">
        <v>0</v>
      </c>
      <c r="BS336" s="19">
        <v>0</v>
      </c>
      <c r="BT336" s="19">
        <v>0</v>
      </c>
      <c r="BU336" s="19">
        <v>0</v>
      </c>
      <c r="BV336" s="19">
        <v>0</v>
      </c>
      <c r="BW336" s="19">
        <v>0</v>
      </c>
      <c r="BX336" s="19">
        <v>0</v>
      </c>
      <c r="BY336" s="19">
        <v>0</v>
      </c>
      <c r="BZ336" s="19">
        <v>0</v>
      </c>
      <c r="CA336" s="19">
        <v>0</v>
      </c>
      <c r="CB336" s="19">
        <v>0</v>
      </c>
      <c r="CC336" s="19">
        <v>0</v>
      </c>
      <c r="CD336" s="19">
        <v>0</v>
      </c>
      <c r="CE336" s="19">
        <v>0</v>
      </c>
      <c r="CF336" s="19">
        <v>0</v>
      </c>
      <c r="CG336" s="19">
        <v>0</v>
      </c>
      <c r="CH336" s="19">
        <v>0</v>
      </c>
      <c r="CI336" s="19">
        <v>0</v>
      </c>
      <c r="CJ336" s="19">
        <v>0</v>
      </c>
      <c r="CK336" s="19">
        <v>0</v>
      </c>
      <c r="CL336" s="19">
        <v>0</v>
      </c>
      <c r="CM336" s="19">
        <v>0</v>
      </c>
      <c r="CN336" s="19">
        <v>0</v>
      </c>
      <c r="CO336" s="19">
        <v>0</v>
      </c>
      <c r="CP336" s="19">
        <v>0</v>
      </c>
      <c r="CQ336" s="19">
        <v>0</v>
      </c>
      <c r="CR336" s="19">
        <v>0</v>
      </c>
      <c r="CS336" s="19">
        <v>0</v>
      </c>
      <c r="CT336" s="19">
        <v>0</v>
      </c>
      <c r="CU336" s="19">
        <v>0</v>
      </c>
      <c r="CV336" s="19">
        <v>0</v>
      </c>
      <c r="CW336" s="19">
        <v>0</v>
      </c>
      <c r="CX336" s="19">
        <v>0</v>
      </c>
      <c r="CY336" s="19">
        <v>0</v>
      </c>
      <c r="CZ336" s="19">
        <v>0</v>
      </c>
      <c r="DA336" s="19">
        <v>0</v>
      </c>
      <c r="DB336" s="19">
        <v>0</v>
      </c>
      <c r="DC336" s="19">
        <v>0</v>
      </c>
      <c r="DD336" s="19">
        <v>0</v>
      </c>
      <c r="DE336" s="19">
        <v>0</v>
      </c>
      <c r="DF336" s="19">
        <v>0</v>
      </c>
      <c r="DG336" s="19">
        <v>0</v>
      </c>
      <c r="DH336" s="19">
        <v>0</v>
      </c>
      <c r="DI336" s="19">
        <v>0</v>
      </c>
      <c r="DJ336" s="19">
        <v>0</v>
      </c>
      <c r="DK336" s="19">
        <v>0</v>
      </c>
      <c r="DL336" s="19">
        <v>0</v>
      </c>
      <c r="DM336" s="19">
        <v>0</v>
      </c>
      <c r="DN336" s="19">
        <v>0</v>
      </c>
      <c r="DO336" s="19">
        <v>0</v>
      </c>
      <c r="DP336" s="19">
        <v>0</v>
      </c>
      <c r="DQ336" s="19">
        <v>0</v>
      </c>
      <c r="DR336" s="19">
        <v>0</v>
      </c>
      <c r="DS336" s="19">
        <v>0</v>
      </c>
      <c r="DT336" s="19">
        <v>0</v>
      </c>
      <c r="DU336" s="19">
        <v>0</v>
      </c>
      <c r="DV336" s="19">
        <v>0</v>
      </c>
      <c r="DW336" s="19">
        <v>0</v>
      </c>
      <c r="DX336" s="19">
        <v>0</v>
      </c>
      <c r="DY336" s="19">
        <v>0</v>
      </c>
      <c r="DZ336" s="19">
        <v>0</v>
      </c>
      <c r="EA336" s="19">
        <v>0</v>
      </c>
      <c r="EB336" s="19">
        <v>0</v>
      </c>
      <c r="EC336" s="19">
        <v>0</v>
      </c>
      <c r="ED336" s="19">
        <v>0</v>
      </c>
      <c r="EE336" s="19">
        <v>0</v>
      </c>
      <c r="EF336" s="19">
        <v>0</v>
      </c>
      <c r="EG336" s="19">
        <v>0</v>
      </c>
      <c r="EH336" s="19">
        <v>0</v>
      </c>
      <c r="EI336" s="19">
        <v>0</v>
      </c>
      <c r="EJ336" s="19">
        <v>0</v>
      </c>
      <c r="EK336" s="19">
        <v>0</v>
      </c>
      <c r="EL336" s="19">
        <v>0</v>
      </c>
      <c r="EM336" s="19">
        <v>0</v>
      </c>
      <c r="EN336" s="19">
        <v>0</v>
      </c>
      <c r="EO336" s="19">
        <v>0</v>
      </c>
      <c r="EP336" s="19">
        <v>0</v>
      </c>
      <c r="EQ336" s="19">
        <v>0</v>
      </c>
      <c r="ER336" s="19">
        <v>0</v>
      </c>
      <c r="ES336" s="119">
        <v>0</v>
      </c>
      <c r="ET336" s="119">
        <v>0</v>
      </c>
    </row>
    <row r="337" spans="1:150" ht="16.5" customHeight="1" x14ac:dyDescent="0.35">
      <c r="A337" s="4">
        <v>210</v>
      </c>
      <c r="B337" s="4" t="str">
        <f>LOOKUP(A337,Lookup!$A$1:$A$34,Lookup!$B$1:$B$34)</f>
        <v>INGREDIENTS</v>
      </c>
      <c r="C337" s="5">
        <v>45428</v>
      </c>
      <c r="D337" s="6" t="s">
        <v>304</v>
      </c>
      <c r="E337" s="18">
        <v>0</v>
      </c>
      <c r="F337" s="18">
        <v>0</v>
      </c>
      <c r="G337" s="18">
        <v>0</v>
      </c>
      <c r="H337" s="18">
        <v>0</v>
      </c>
      <c r="I337" s="19">
        <v>0</v>
      </c>
      <c r="J337" s="19">
        <v>0</v>
      </c>
      <c r="K337" s="19">
        <v>0</v>
      </c>
      <c r="L337" s="19">
        <v>0</v>
      </c>
      <c r="M337" s="19">
        <v>0</v>
      </c>
      <c r="N337" s="19">
        <v>0</v>
      </c>
      <c r="O337" s="19">
        <v>0</v>
      </c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9">
        <v>0</v>
      </c>
      <c r="V337" s="19">
        <v>0</v>
      </c>
      <c r="W337" s="19">
        <v>0</v>
      </c>
      <c r="X337" s="19">
        <v>0</v>
      </c>
      <c r="Y337" s="19">
        <v>0</v>
      </c>
      <c r="Z337" s="19">
        <v>0</v>
      </c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>
        <v>0</v>
      </c>
      <c r="AI337" s="19">
        <v>0</v>
      </c>
      <c r="AJ337" s="19">
        <v>0</v>
      </c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>
        <v>0</v>
      </c>
      <c r="AS337" s="19">
        <v>0</v>
      </c>
      <c r="AT337" s="19">
        <v>0</v>
      </c>
      <c r="AU337" s="19">
        <v>0</v>
      </c>
      <c r="AV337" s="19">
        <v>0</v>
      </c>
      <c r="AW337" s="19">
        <v>0</v>
      </c>
      <c r="AX337" s="19">
        <v>0</v>
      </c>
      <c r="AY337" s="19">
        <v>0</v>
      </c>
      <c r="AZ337" s="19">
        <v>0</v>
      </c>
      <c r="BA337" s="19">
        <v>0</v>
      </c>
      <c r="BB337" s="19">
        <v>0</v>
      </c>
      <c r="BC337" s="19">
        <v>0</v>
      </c>
      <c r="BD337" s="19">
        <v>0</v>
      </c>
      <c r="BE337" s="19">
        <v>0</v>
      </c>
      <c r="BF337" s="19">
        <v>0</v>
      </c>
      <c r="BG337" s="19">
        <v>0</v>
      </c>
      <c r="BH337" s="19">
        <v>0</v>
      </c>
      <c r="BI337" s="19">
        <v>0</v>
      </c>
      <c r="BJ337" s="19">
        <v>0</v>
      </c>
      <c r="BK337" s="19">
        <v>0</v>
      </c>
      <c r="BL337" s="19">
        <v>0</v>
      </c>
      <c r="BM337" s="19">
        <v>0</v>
      </c>
      <c r="BN337" s="19">
        <v>0</v>
      </c>
      <c r="BO337" s="19">
        <v>0</v>
      </c>
      <c r="BP337" s="19">
        <v>0</v>
      </c>
      <c r="BQ337" s="19">
        <v>0</v>
      </c>
      <c r="BR337" s="19">
        <v>0</v>
      </c>
      <c r="BS337" s="19">
        <v>0</v>
      </c>
      <c r="BT337" s="19">
        <v>0</v>
      </c>
      <c r="BU337" s="19">
        <v>0</v>
      </c>
      <c r="BV337" s="19">
        <v>0</v>
      </c>
      <c r="BW337" s="19">
        <v>0</v>
      </c>
      <c r="BX337" s="19">
        <v>0</v>
      </c>
      <c r="BY337" s="19">
        <v>0</v>
      </c>
      <c r="BZ337" s="19">
        <v>0</v>
      </c>
      <c r="CA337" s="19">
        <v>0</v>
      </c>
      <c r="CB337" s="19">
        <v>0</v>
      </c>
      <c r="CC337" s="19">
        <v>0</v>
      </c>
      <c r="CD337" s="19">
        <v>0</v>
      </c>
      <c r="CE337" s="19">
        <v>0</v>
      </c>
      <c r="CF337" s="19">
        <v>0</v>
      </c>
      <c r="CG337" s="19">
        <v>0</v>
      </c>
      <c r="CH337" s="19">
        <v>0</v>
      </c>
      <c r="CI337" s="19">
        <v>0</v>
      </c>
      <c r="CJ337" s="19">
        <v>0</v>
      </c>
      <c r="CK337" s="19">
        <v>0</v>
      </c>
      <c r="CL337" s="19">
        <v>0</v>
      </c>
      <c r="CM337" s="19">
        <v>0</v>
      </c>
      <c r="CN337" s="19">
        <v>0</v>
      </c>
      <c r="CO337" s="19">
        <v>0</v>
      </c>
      <c r="CP337" s="19">
        <v>0</v>
      </c>
      <c r="CQ337" s="19">
        <v>0</v>
      </c>
      <c r="CR337" s="19">
        <v>0</v>
      </c>
      <c r="CS337" s="19">
        <v>0</v>
      </c>
      <c r="CT337" s="19">
        <v>0</v>
      </c>
      <c r="CU337" s="19">
        <v>0</v>
      </c>
      <c r="CV337" s="19">
        <v>0</v>
      </c>
      <c r="CW337" s="19">
        <v>0</v>
      </c>
      <c r="CX337" s="19">
        <v>0</v>
      </c>
      <c r="CY337" s="19">
        <v>0</v>
      </c>
      <c r="CZ337" s="19">
        <v>0</v>
      </c>
      <c r="DA337" s="19">
        <v>0</v>
      </c>
      <c r="DB337" s="19">
        <v>0</v>
      </c>
      <c r="DC337" s="19">
        <v>0</v>
      </c>
      <c r="DD337" s="19">
        <v>0</v>
      </c>
      <c r="DE337" s="19">
        <v>0</v>
      </c>
      <c r="DF337" s="19">
        <v>0</v>
      </c>
      <c r="DG337" s="19">
        <v>0</v>
      </c>
      <c r="DH337" s="19">
        <v>0</v>
      </c>
      <c r="DI337" s="19">
        <v>0</v>
      </c>
      <c r="DJ337" s="19">
        <v>0</v>
      </c>
      <c r="DK337" s="19">
        <v>0</v>
      </c>
      <c r="DL337" s="19">
        <v>0</v>
      </c>
      <c r="DM337" s="19">
        <v>0</v>
      </c>
      <c r="DN337" s="19">
        <v>0</v>
      </c>
      <c r="DO337" s="19">
        <v>0</v>
      </c>
      <c r="DP337" s="19">
        <v>0</v>
      </c>
      <c r="DQ337" s="19">
        <v>0</v>
      </c>
      <c r="DR337" s="19">
        <v>0</v>
      </c>
      <c r="DS337" s="19">
        <v>0</v>
      </c>
      <c r="DT337" s="19">
        <v>0</v>
      </c>
      <c r="DU337" s="19">
        <v>0</v>
      </c>
      <c r="DV337" s="19">
        <v>0</v>
      </c>
      <c r="DW337" s="19">
        <v>0</v>
      </c>
      <c r="DX337" s="19">
        <v>0</v>
      </c>
      <c r="DY337" s="19">
        <v>0</v>
      </c>
      <c r="DZ337" s="19">
        <v>0</v>
      </c>
      <c r="EA337" s="19">
        <v>0</v>
      </c>
      <c r="EB337" s="19">
        <v>0</v>
      </c>
      <c r="EC337" s="19">
        <v>0</v>
      </c>
      <c r="ED337" s="19">
        <v>0</v>
      </c>
      <c r="EE337" s="19">
        <v>0</v>
      </c>
      <c r="EF337" s="19">
        <v>0</v>
      </c>
      <c r="EG337" s="19">
        <v>0</v>
      </c>
      <c r="EH337" s="19">
        <v>0</v>
      </c>
      <c r="EI337" s="19">
        <v>0</v>
      </c>
      <c r="EJ337" s="19">
        <v>0</v>
      </c>
      <c r="EK337" s="19">
        <v>0</v>
      </c>
      <c r="EL337" s="19">
        <v>0</v>
      </c>
      <c r="EM337" s="19">
        <v>0</v>
      </c>
      <c r="EN337" s="19">
        <v>0</v>
      </c>
      <c r="EO337" s="19">
        <v>0</v>
      </c>
      <c r="EP337" s="19">
        <v>0</v>
      </c>
      <c r="EQ337" s="19">
        <v>0</v>
      </c>
      <c r="ER337" s="19">
        <v>0</v>
      </c>
      <c r="ES337" s="119">
        <v>0</v>
      </c>
      <c r="ET337" s="119">
        <v>0</v>
      </c>
    </row>
    <row r="338" spans="1:150" ht="16.5" customHeight="1" x14ac:dyDescent="0.35">
      <c r="A338" s="4">
        <v>210</v>
      </c>
      <c r="B338" s="4" t="str">
        <f>LOOKUP(A338,Lookup!$A$1:$A$34,Lookup!$B$1:$B$34)</f>
        <v>INGREDIENTS</v>
      </c>
      <c r="C338" s="5">
        <v>45429</v>
      </c>
      <c r="D338" s="6" t="s">
        <v>294</v>
      </c>
      <c r="E338" s="18">
        <v>0</v>
      </c>
      <c r="F338" s="18">
        <v>0</v>
      </c>
      <c r="G338" s="18">
        <v>0</v>
      </c>
      <c r="H338" s="18">
        <v>0</v>
      </c>
      <c r="I338" s="19">
        <v>0</v>
      </c>
      <c r="J338" s="19">
        <v>0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0</v>
      </c>
      <c r="U338" s="19">
        <v>0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19">
        <v>0</v>
      </c>
      <c r="AM338" s="19">
        <v>0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0</v>
      </c>
      <c r="AV338" s="19">
        <v>0</v>
      </c>
      <c r="AW338" s="19">
        <v>0</v>
      </c>
      <c r="AX338" s="19">
        <v>0</v>
      </c>
      <c r="AY338" s="19">
        <v>0</v>
      </c>
      <c r="AZ338" s="19">
        <v>0</v>
      </c>
      <c r="BA338" s="19">
        <v>0</v>
      </c>
      <c r="BB338" s="19">
        <v>0</v>
      </c>
      <c r="BC338" s="19">
        <v>0</v>
      </c>
      <c r="BD338" s="19">
        <v>0</v>
      </c>
      <c r="BE338" s="19">
        <v>0</v>
      </c>
      <c r="BF338" s="19">
        <v>0</v>
      </c>
      <c r="BG338" s="19">
        <v>0</v>
      </c>
      <c r="BH338" s="19">
        <v>0</v>
      </c>
      <c r="BI338" s="19">
        <v>0</v>
      </c>
      <c r="BJ338" s="19">
        <v>0</v>
      </c>
      <c r="BK338" s="19">
        <v>0</v>
      </c>
      <c r="BL338" s="19">
        <v>0</v>
      </c>
      <c r="BM338" s="19">
        <v>0</v>
      </c>
      <c r="BN338" s="19">
        <v>0</v>
      </c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>
        <v>0</v>
      </c>
      <c r="BV338" s="19">
        <v>0</v>
      </c>
      <c r="BW338" s="19">
        <v>0</v>
      </c>
      <c r="BX338" s="19">
        <v>0</v>
      </c>
      <c r="BY338" s="19">
        <v>0</v>
      </c>
      <c r="BZ338" s="19">
        <v>0</v>
      </c>
      <c r="CA338" s="19">
        <v>0</v>
      </c>
      <c r="CB338" s="19">
        <v>0</v>
      </c>
      <c r="CC338" s="19">
        <v>0</v>
      </c>
      <c r="CD338" s="19">
        <v>0</v>
      </c>
      <c r="CE338" s="19">
        <v>0</v>
      </c>
      <c r="CF338" s="19">
        <v>0</v>
      </c>
      <c r="CG338" s="19">
        <v>0</v>
      </c>
      <c r="CH338" s="19">
        <v>0</v>
      </c>
      <c r="CI338" s="19">
        <v>0</v>
      </c>
      <c r="CJ338" s="19">
        <v>0</v>
      </c>
      <c r="CK338" s="19">
        <v>0</v>
      </c>
      <c r="CL338" s="19">
        <v>0</v>
      </c>
      <c r="CM338" s="19">
        <v>0</v>
      </c>
      <c r="CN338" s="19">
        <v>0</v>
      </c>
      <c r="CO338" s="19">
        <v>0</v>
      </c>
      <c r="CP338" s="19">
        <v>0</v>
      </c>
      <c r="CQ338" s="19">
        <v>0</v>
      </c>
      <c r="CR338" s="19">
        <v>0</v>
      </c>
      <c r="CS338" s="19">
        <v>0</v>
      </c>
      <c r="CT338" s="19">
        <v>0</v>
      </c>
      <c r="CU338" s="19">
        <v>0</v>
      </c>
      <c r="CV338" s="19">
        <v>0</v>
      </c>
      <c r="CW338" s="19">
        <v>0</v>
      </c>
      <c r="CX338" s="19">
        <v>0</v>
      </c>
      <c r="CY338" s="19">
        <v>0</v>
      </c>
      <c r="CZ338" s="19">
        <v>0</v>
      </c>
      <c r="DA338" s="19">
        <v>0</v>
      </c>
      <c r="DB338" s="19">
        <v>0</v>
      </c>
      <c r="DC338" s="19">
        <v>0</v>
      </c>
      <c r="DD338" s="19">
        <v>0</v>
      </c>
      <c r="DE338" s="19">
        <v>0</v>
      </c>
      <c r="DF338" s="19">
        <v>0</v>
      </c>
      <c r="DG338" s="19">
        <v>0</v>
      </c>
      <c r="DH338" s="19">
        <v>0</v>
      </c>
      <c r="DI338" s="19">
        <v>0</v>
      </c>
      <c r="DJ338" s="19">
        <v>0</v>
      </c>
      <c r="DK338" s="19">
        <v>0</v>
      </c>
      <c r="DL338" s="19">
        <v>0</v>
      </c>
      <c r="DM338" s="19">
        <v>0</v>
      </c>
      <c r="DN338" s="19">
        <v>0</v>
      </c>
      <c r="DO338" s="19">
        <v>0</v>
      </c>
      <c r="DP338" s="19">
        <v>0</v>
      </c>
      <c r="DQ338" s="19">
        <v>0</v>
      </c>
      <c r="DR338" s="19">
        <v>0</v>
      </c>
      <c r="DS338" s="19">
        <v>0</v>
      </c>
      <c r="DT338" s="19">
        <v>0</v>
      </c>
      <c r="DU338" s="19">
        <v>0</v>
      </c>
      <c r="DV338" s="19">
        <v>0</v>
      </c>
      <c r="DW338" s="19">
        <v>0</v>
      </c>
      <c r="DX338" s="19">
        <v>0</v>
      </c>
      <c r="DY338" s="19">
        <v>0</v>
      </c>
      <c r="DZ338" s="19">
        <v>0</v>
      </c>
      <c r="EA338" s="19">
        <v>0</v>
      </c>
      <c r="EB338" s="19">
        <v>0</v>
      </c>
      <c r="EC338" s="19">
        <v>0</v>
      </c>
      <c r="ED338" s="19">
        <v>0</v>
      </c>
      <c r="EE338" s="19">
        <v>0</v>
      </c>
      <c r="EF338" s="19">
        <v>0</v>
      </c>
      <c r="EG338" s="19">
        <v>0</v>
      </c>
      <c r="EH338" s="19">
        <v>0</v>
      </c>
      <c r="EI338" s="19">
        <v>0</v>
      </c>
      <c r="EJ338" s="19">
        <v>0</v>
      </c>
      <c r="EK338" s="19">
        <v>0</v>
      </c>
      <c r="EL338" s="19">
        <v>0</v>
      </c>
      <c r="EM338" s="19">
        <v>0</v>
      </c>
      <c r="EN338" s="19">
        <v>0</v>
      </c>
      <c r="EO338" s="19">
        <v>0</v>
      </c>
      <c r="EP338" s="19">
        <v>0</v>
      </c>
      <c r="EQ338" s="19">
        <v>0</v>
      </c>
      <c r="ER338" s="19">
        <v>0</v>
      </c>
      <c r="ES338" s="119">
        <v>0</v>
      </c>
      <c r="ET338" s="119">
        <v>0</v>
      </c>
    </row>
    <row r="339" spans="1:150" ht="16.5" customHeight="1" x14ac:dyDescent="0.35">
      <c r="A339" s="4">
        <v>210</v>
      </c>
      <c r="B339" s="4" t="str">
        <f>LOOKUP(A339,Lookup!$A$1:$A$34,Lookup!$B$1:$B$34)</f>
        <v>INGREDIENTS</v>
      </c>
      <c r="C339" s="5">
        <v>45505</v>
      </c>
      <c r="D339" s="6" t="s">
        <v>321</v>
      </c>
      <c r="E339" s="18">
        <v>0</v>
      </c>
      <c r="F339" s="18">
        <v>0</v>
      </c>
      <c r="G339" s="18">
        <v>0</v>
      </c>
      <c r="H339" s="18">
        <v>0</v>
      </c>
      <c r="I339" s="19">
        <v>0</v>
      </c>
      <c r="J339" s="19">
        <v>0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9">
        <v>0</v>
      </c>
      <c r="V339" s="19">
        <v>0</v>
      </c>
      <c r="W339" s="19">
        <v>0</v>
      </c>
      <c r="X339" s="19">
        <v>0</v>
      </c>
      <c r="Y339" s="19">
        <v>0</v>
      </c>
      <c r="Z339" s="19">
        <v>0</v>
      </c>
      <c r="AA339" s="19">
        <v>0</v>
      </c>
      <c r="AB339" s="19">
        <v>0</v>
      </c>
      <c r="AC339" s="19">
        <v>0</v>
      </c>
      <c r="AD339" s="19">
        <v>0</v>
      </c>
      <c r="AE339" s="19">
        <v>0</v>
      </c>
      <c r="AF339" s="19">
        <v>0</v>
      </c>
      <c r="AG339" s="19">
        <v>0</v>
      </c>
      <c r="AH339" s="19">
        <v>0</v>
      </c>
      <c r="AI339" s="19">
        <v>0</v>
      </c>
      <c r="AJ339" s="19">
        <v>0</v>
      </c>
      <c r="AK339" s="19">
        <v>0</v>
      </c>
      <c r="AL339" s="19">
        <v>0</v>
      </c>
      <c r="AM339" s="19">
        <v>0</v>
      </c>
      <c r="AN339" s="19">
        <v>0</v>
      </c>
      <c r="AO339" s="19">
        <v>0</v>
      </c>
      <c r="AP339" s="19">
        <v>0</v>
      </c>
      <c r="AQ339" s="19">
        <v>0</v>
      </c>
      <c r="AR339" s="19">
        <v>0</v>
      </c>
      <c r="AS339" s="19">
        <v>0</v>
      </c>
      <c r="AT339" s="19">
        <v>0</v>
      </c>
      <c r="AU339" s="19">
        <v>0</v>
      </c>
      <c r="AV339" s="19">
        <v>0</v>
      </c>
      <c r="AW339" s="19">
        <v>0</v>
      </c>
      <c r="AX339" s="19">
        <v>0</v>
      </c>
      <c r="AY339" s="19">
        <v>0</v>
      </c>
      <c r="AZ339" s="19">
        <v>0</v>
      </c>
      <c r="BA339" s="19">
        <v>0</v>
      </c>
      <c r="BB339" s="19">
        <v>0</v>
      </c>
      <c r="BC339" s="19">
        <v>0</v>
      </c>
      <c r="BD339" s="19">
        <v>0</v>
      </c>
      <c r="BE339" s="19">
        <v>0</v>
      </c>
      <c r="BF339" s="19">
        <v>0</v>
      </c>
      <c r="BG339" s="19">
        <v>0</v>
      </c>
      <c r="BH339" s="19">
        <v>0</v>
      </c>
      <c r="BI339" s="19">
        <v>0</v>
      </c>
      <c r="BJ339" s="19">
        <v>0</v>
      </c>
      <c r="BK339" s="19">
        <v>0</v>
      </c>
      <c r="BL339" s="19">
        <v>0</v>
      </c>
      <c r="BM339" s="19">
        <v>0</v>
      </c>
      <c r="BN339" s="19">
        <v>0</v>
      </c>
      <c r="BO339" s="19">
        <v>0</v>
      </c>
      <c r="BP339" s="19">
        <v>0</v>
      </c>
      <c r="BQ339" s="19">
        <v>0</v>
      </c>
      <c r="BR339" s="19">
        <v>0</v>
      </c>
      <c r="BS339" s="19">
        <v>0</v>
      </c>
      <c r="BT339" s="19">
        <v>0</v>
      </c>
      <c r="BU339" s="19">
        <v>0</v>
      </c>
      <c r="BV339" s="19">
        <v>0</v>
      </c>
      <c r="BW339" s="19">
        <v>0</v>
      </c>
      <c r="BX339" s="19">
        <v>0</v>
      </c>
      <c r="BY339" s="19">
        <v>0</v>
      </c>
      <c r="BZ339" s="19">
        <v>0</v>
      </c>
      <c r="CA339" s="19">
        <v>0</v>
      </c>
      <c r="CB339" s="19">
        <v>0</v>
      </c>
      <c r="CC339" s="19">
        <v>0</v>
      </c>
      <c r="CD339" s="19">
        <v>0</v>
      </c>
      <c r="CE339" s="19">
        <v>0</v>
      </c>
      <c r="CF339" s="19">
        <v>0</v>
      </c>
      <c r="CG339" s="19">
        <v>0</v>
      </c>
      <c r="CH339" s="19">
        <v>0</v>
      </c>
      <c r="CI339" s="19">
        <v>0</v>
      </c>
      <c r="CJ339" s="19">
        <v>0</v>
      </c>
      <c r="CK339" s="19">
        <v>0</v>
      </c>
      <c r="CL339" s="19">
        <v>0</v>
      </c>
      <c r="CM339" s="19">
        <v>0</v>
      </c>
      <c r="CN339" s="19">
        <v>0</v>
      </c>
      <c r="CO339" s="19">
        <v>0</v>
      </c>
      <c r="CP339" s="19">
        <v>0</v>
      </c>
      <c r="CQ339" s="19">
        <v>0</v>
      </c>
      <c r="CR339" s="19">
        <v>0</v>
      </c>
      <c r="CS339" s="19">
        <v>0</v>
      </c>
      <c r="CT339" s="19">
        <v>0</v>
      </c>
      <c r="CU339" s="19">
        <v>0</v>
      </c>
      <c r="CV339" s="19">
        <v>0</v>
      </c>
      <c r="CW339" s="19">
        <v>0</v>
      </c>
      <c r="CX339" s="19">
        <v>0</v>
      </c>
      <c r="CY339" s="19">
        <v>0</v>
      </c>
      <c r="CZ339" s="19">
        <v>0</v>
      </c>
      <c r="DA339" s="19">
        <v>0</v>
      </c>
      <c r="DB339" s="19">
        <v>0</v>
      </c>
      <c r="DC339" s="19">
        <v>0</v>
      </c>
      <c r="DD339" s="19">
        <v>0</v>
      </c>
      <c r="DE339" s="19">
        <v>0</v>
      </c>
      <c r="DF339" s="19">
        <v>0</v>
      </c>
      <c r="DG339" s="19">
        <v>0</v>
      </c>
      <c r="DH339" s="19">
        <v>0</v>
      </c>
      <c r="DI339" s="19">
        <v>0</v>
      </c>
      <c r="DJ339" s="19">
        <v>0</v>
      </c>
      <c r="DK339" s="19">
        <v>0</v>
      </c>
      <c r="DL339" s="19">
        <v>0</v>
      </c>
      <c r="DM339" s="19">
        <v>0</v>
      </c>
      <c r="DN339" s="19">
        <v>0</v>
      </c>
      <c r="DO339" s="19">
        <v>0</v>
      </c>
      <c r="DP339" s="19">
        <v>0</v>
      </c>
      <c r="DQ339" s="19">
        <v>0</v>
      </c>
      <c r="DR339" s="19">
        <v>0</v>
      </c>
      <c r="DS339" s="19">
        <v>0</v>
      </c>
      <c r="DT339" s="19">
        <v>0</v>
      </c>
      <c r="DU339" s="19">
        <v>0</v>
      </c>
      <c r="DV339" s="19">
        <v>0</v>
      </c>
      <c r="DW339" s="19">
        <v>0</v>
      </c>
      <c r="DX339" s="19">
        <v>0</v>
      </c>
      <c r="DY339" s="19">
        <v>0</v>
      </c>
      <c r="DZ339" s="19">
        <v>0</v>
      </c>
      <c r="EA339" s="19">
        <v>0</v>
      </c>
      <c r="EB339" s="19">
        <v>0</v>
      </c>
      <c r="EC339" s="19">
        <v>0</v>
      </c>
      <c r="ED339" s="19">
        <v>0</v>
      </c>
      <c r="EE339" s="19">
        <v>0</v>
      </c>
      <c r="EF339" s="19">
        <v>0</v>
      </c>
      <c r="EG339" s="19">
        <v>0</v>
      </c>
      <c r="EH339" s="19">
        <v>0</v>
      </c>
      <c r="EI339" s="19">
        <v>0</v>
      </c>
      <c r="EJ339" s="19">
        <v>0</v>
      </c>
      <c r="EK339" s="19">
        <v>0</v>
      </c>
      <c r="EL339" s="19">
        <v>0</v>
      </c>
      <c r="EM339" s="19">
        <v>0</v>
      </c>
      <c r="EN339" s="19">
        <v>0</v>
      </c>
      <c r="EO339" s="19">
        <v>0</v>
      </c>
      <c r="EP339" s="19">
        <v>0</v>
      </c>
      <c r="EQ339" s="19">
        <v>0</v>
      </c>
      <c r="ER339" s="19">
        <v>0</v>
      </c>
      <c r="ES339" s="119">
        <v>0</v>
      </c>
      <c r="ET339" s="119">
        <v>0</v>
      </c>
    </row>
    <row r="340" spans="1:150" ht="16.5" customHeight="1" x14ac:dyDescent="0.35">
      <c r="A340" s="4">
        <v>210</v>
      </c>
      <c r="B340" s="4" t="str">
        <f>LOOKUP(A340,Lookup!$A$1:$A$34,Lookup!$B$1:$B$34)</f>
        <v>INGREDIENTS</v>
      </c>
      <c r="C340" s="5">
        <v>45638</v>
      </c>
      <c r="D340" s="6" t="s">
        <v>322</v>
      </c>
      <c r="E340" s="18">
        <v>0</v>
      </c>
      <c r="F340" s="18">
        <v>0</v>
      </c>
      <c r="G340" s="18">
        <v>0</v>
      </c>
      <c r="H340" s="18">
        <v>0</v>
      </c>
      <c r="I340" s="19">
        <v>0</v>
      </c>
      <c r="J340" s="19">
        <v>0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0</v>
      </c>
      <c r="AT340" s="19">
        <v>0</v>
      </c>
      <c r="AU340" s="19">
        <v>0</v>
      </c>
      <c r="AV340" s="19">
        <v>0</v>
      </c>
      <c r="AW340" s="19">
        <v>0</v>
      </c>
      <c r="AX340" s="19">
        <v>0</v>
      </c>
      <c r="AY340" s="19">
        <v>0</v>
      </c>
      <c r="AZ340" s="19">
        <v>0</v>
      </c>
      <c r="BA340" s="19">
        <v>0</v>
      </c>
      <c r="BB340" s="19">
        <v>0</v>
      </c>
      <c r="BC340" s="19">
        <v>0</v>
      </c>
      <c r="BD340" s="19">
        <v>0</v>
      </c>
      <c r="BE340" s="19">
        <v>0</v>
      </c>
      <c r="BF340" s="19">
        <v>0</v>
      </c>
      <c r="BG340" s="19">
        <v>0</v>
      </c>
      <c r="BH340" s="19">
        <v>0</v>
      </c>
      <c r="BI340" s="19">
        <v>0</v>
      </c>
      <c r="BJ340" s="19">
        <v>0</v>
      </c>
      <c r="BK340" s="19">
        <v>0</v>
      </c>
      <c r="BL340" s="19">
        <v>0</v>
      </c>
      <c r="BM340" s="19">
        <v>0</v>
      </c>
      <c r="BN340" s="19">
        <v>0</v>
      </c>
      <c r="BO340" s="19">
        <v>0</v>
      </c>
      <c r="BP340" s="19">
        <v>0</v>
      </c>
      <c r="BQ340" s="19">
        <v>0</v>
      </c>
      <c r="BR340" s="19">
        <v>0</v>
      </c>
      <c r="BS340" s="19">
        <v>0</v>
      </c>
      <c r="BT340" s="19">
        <v>0</v>
      </c>
      <c r="BU340" s="19">
        <v>0</v>
      </c>
      <c r="BV340" s="19">
        <v>0</v>
      </c>
      <c r="BW340" s="19">
        <v>0</v>
      </c>
      <c r="BX340" s="19">
        <v>0</v>
      </c>
      <c r="BY340" s="19">
        <v>0</v>
      </c>
      <c r="BZ340" s="19">
        <v>0</v>
      </c>
      <c r="CA340" s="19">
        <v>0</v>
      </c>
      <c r="CB340" s="19">
        <v>0</v>
      </c>
      <c r="CC340" s="19">
        <v>0</v>
      </c>
      <c r="CD340" s="19">
        <v>0</v>
      </c>
      <c r="CE340" s="19">
        <v>0</v>
      </c>
      <c r="CF340" s="19">
        <v>0</v>
      </c>
      <c r="CG340" s="19">
        <v>0</v>
      </c>
      <c r="CH340" s="19">
        <v>0</v>
      </c>
      <c r="CI340" s="19">
        <v>0</v>
      </c>
      <c r="CJ340" s="19">
        <v>0</v>
      </c>
      <c r="CK340" s="19">
        <v>0</v>
      </c>
      <c r="CL340" s="19">
        <v>0</v>
      </c>
      <c r="CM340" s="19">
        <v>0</v>
      </c>
      <c r="CN340" s="19">
        <v>0</v>
      </c>
      <c r="CO340" s="19">
        <v>0</v>
      </c>
      <c r="CP340" s="19">
        <v>0</v>
      </c>
      <c r="CQ340" s="19">
        <v>0</v>
      </c>
      <c r="CR340" s="19">
        <v>0</v>
      </c>
      <c r="CS340" s="19">
        <v>0</v>
      </c>
      <c r="CT340" s="19">
        <v>0</v>
      </c>
      <c r="CU340" s="19">
        <v>0</v>
      </c>
      <c r="CV340" s="19">
        <v>0</v>
      </c>
      <c r="CW340" s="19">
        <v>0</v>
      </c>
      <c r="CX340" s="19">
        <v>0</v>
      </c>
      <c r="CY340" s="19">
        <v>0</v>
      </c>
      <c r="CZ340" s="19">
        <v>0</v>
      </c>
      <c r="DA340" s="19">
        <v>0</v>
      </c>
      <c r="DB340" s="19">
        <v>0</v>
      </c>
      <c r="DC340" s="19">
        <v>0</v>
      </c>
      <c r="DD340" s="19">
        <v>0</v>
      </c>
      <c r="DE340" s="19">
        <v>0</v>
      </c>
      <c r="DF340" s="19">
        <v>0</v>
      </c>
      <c r="DG340" s="19">
        <v>0</v>
      </c>
      <c r="DH340" s="19">
        <v>0</v>
      </c>
      <c r="DI340" s="19">
        <v>0</v>
      </c>
      <c r="DJ340" s="19">
        <v>0</v>
      </c>
      <c r="DK340" s="19">
        <v>0</v>
      </c>
      <c r="DL340" s="19">
        <v>0</v>
      </c>
      <c r="DM340" s="19">
        <v>0</v>
      </c>
      <c r="DN340" s="19">
        <v>0</v>
      </c>
      <c r="DO340" s="19">
        <v>0</v>
      </c>
      <c r="DP340" s="19">
        <v>0</v>
      </c>
      <c r="DQ340" s="19">
        <v>0</v>
      </c>
      <c r="DR340" s="19">
        <v>0</v>
      </c>
      <c r="DS340" s="19">
        <v>0</v>
      </c>
      <c r="DT340" s="19">
        <v>0</v>
      </c>
      <c r="DU340" s="19">
        <v>0</v>
      </c>
      <c r="DV340" s="19">
        <v>0</v>
      </c>
      <c r="DW340" s="19">
        <v>0</v>
      </c>
      <c r="DX340" s="19">
        <v>0</v>
      </c>
      <c r="DY340" s="19">
        <v>0</v>
      </c>
      <c r="DZ340" s="19">
        <v>0</v>
      </c>
      <c r="EA340" s="19">
        <v>0</v>
      </c>
      <c r="EB340" s="19">
        <v>0</v>
      </c>
      <c r="EC340" s="19">
        <v>0</v>
      </c>
      <c r="ED340" s="19">
        <v>0</v>
      </c>
      <c r="EE340" s="19">
        <v>0</v>
      </c>
      <c r="EF340" s="19">
        <v>0</v>
      </c>
      <c r="EG340" s="19">
        <v>0</v>
      </c>
      <c r="EH340" s="19">
        <v>0</v>
      </c>
      <c r="EI340" s="19">
        <v>0</v>
      </c>
      <c r="EJ340" s="19">
        <v>0</v>
      </c>
      <c r="EK340" s="19">
        <v>0</v>
      </c>
      <c r="EL340" s="19">
        <v>0</v>
      </c>
      <c r="EM340" s="19">
        <v>0</v>
      </c>
      <c r="EN340" s="19">
        <v>0</v>
      </c>
      <c r="EO340" s="19">
        <v>0</v>
      </c>
      <c r="EP340" s="19">
        <v>0</v>
      </c>
      <c r="EQ340" s="19">
        <v>0</v>
      </c>
      <c r="ER340" s="19">
        <v>0</v>
      </c>
      <c r="ES340" s="119">
        <v>0</v>
      </c>
      <c r="ET340" s="119">
        <v>0</v>
      </c>
    </row>
    <row r="341" spans="1:150" ht="16.5" customHeight="1" x14ac:dyDescent="0.35">
      <c r="A341" s="4">
        <v>210</v>
      </c>
      <c r="B341" s="4" t="str">
        <f>LOOKUP(A341,Lookup!$A$1:$A$34,Lookup!$B$1:$B$34)</f>
        <v>INGREDIENTS</v>
      </c>
      <c r="C341" s="5">
        <v>46276</v>
      </c>
      <c r="D341" s="6" t="s">
        <v>323</v>
      </c>
      <c r="E341" s="18">
        <v>0</v>
      </c>
      <c r="F341" s="18">
        <v>0</v>
      </c>
      <c r="G341" s="18">
        <v>0</v>
      </c>
      <c r="H341" s="18">
        <v>0</v>
      </c>
      <c r="I341" s="19">
        <v>0</v>
      </c>
      <c r="J341" s="19">
        <v>0</v>
      </c>
      <c r="K341" s="19">
        <v>0</v>
      </c>
      <c r="L341" s="19">
        <v>0</v>
      </c>
      <c r="M341" s="19">
        <v>0</v>
      </c>
      <c r="N341" s="19">
        <v>0</v>
      </c>
      <c r="O341" s="19">
        <v>0</v>
      </c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9">
        <v>0</v>
      </c>
      <c r="V341" s="19">
        <v>0</v>
      </c>
      <c r="W341" s="19">
        <v>0</v>
      </c>
      <c r="X341" s="19">
        <v>0</v>
      </c>
      <c r="Y341" s="19">
        <v>0</v>
      </c>
      <c r="Z341" s="19">
        <v>0</v>
      </c>
      <c r="AA341" s="19">
        <v>0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19">
        <v>0</v>
      </c>
      <c r="AM341" s="19">
        <v>0</v>
      </c>
      <c r="AN341" s="19">
        <v>0</v>
      </c>
      <c r="AO341" s="19">
        <v>0</v>
      </c>
      <c r="AP341" s="19">
        <v>0</v>
      </c>
      <c r="AQ341" s="19">
        <v>0</v>
      </c>
      <c r="AR341" s="19">
        <v>0</v>
      </c>
      <c r="AS341" s="19">
        <v>0</v>
      </c>
      <c r="AT341" s="19">
        <v>0</v>
      </c>
      <c r="AU341" s="19">
        <v>0</v>
      </c>
      <c r="AV341" s="19">
        <v>0</v>
      </c>
      <c r="AW341" s="19">
        <v>0</v>
      </c>
      <c r="AX341" s="19">
        <v>0</v>
      </c>
      <c r="AY341" s="19">
        <v>0</v>
      </c>
      <c r="AZ341" s="19">
        <v>0</v>
      </c>
      <c r="BA341" s="19">
        <v>0</v>
      </c>
      <c r="BB341" s="19">
        <v>0</v>
      </c>
      <c r="BC341" s="19">
        <v>0</v>
      </c>
      <c r="BD341" s="19">
        <v>0</v>
      </c>
      <c r="BE341" s="19">
        <v>0</v>
      </c>
      <c r="BF341" s="19">
        <v>0</v>
      </c>
      <c r="BG341" s="19">
        <v>0</v>
      </c>
      <c r="BH341" s="19">
        <v>0</v>
      </c>
      <c r="BI341" s="19">
        <v>0</v>
      </c>
      <c r="BJ341" s="19">
        <v>0</v>
      </c>
      <c r="BK341" s="19">
        <v>0</v>
      </c>
      <c r="BL341" s="19">
        <v>0</v>
      </c>
      <c r="BM341" s="19">
        <v>0</v>
      </c>
      <c r="BN341" s="19">
        <v>0</v>
      </c>
      <c r="BO341" s="19">
        <v>0</v>
      </c>
      <c r="BP341" s="19">
        <v>0</v>
      </c>
      <c r="BQ341" s="19">
        <v>0</v>
      </c>
      <c r="BR341" s="19">
        <v>0</v>
      </c>
      <c r="BS341" s="19">
        <v>0</v>
      </c>
      <c r="BT341" s="19">
        <v>0</v>
      </c>
      <c r="BU341" s="19">
        <v>0</v>
      </c>
      <c r="BV341" s="19">
        <v>0</v>
      </c>
      <c r="BW341" s="19">
        <v>0</v>
      </c>
      <c r="BX341" s="19">
        <v>0</v>
      </c>
      <c r="BY341" s="19">
        <v>0</v>
      </c>
      <c r="BZ341" s="19">
        <v>0</v>
      </c>
      <c r="CA341" s="19">
        <v>0</v>
      </c>
      <c r="CB341" s="19">
        <v>0</v>
      </c>
      <c r="CC341" s="19">
        <v>0</v>
      </c>
      <c r="CD341" s="19">
        <v>0</v>
      </c>
      <c r="CE341" s="19">
        <v>0</v>
      </c>
      <c r="CF341" s="19">
        <v>0</v>
      </c>
      <c r="CG341" s="19">
        <v>0</v>
      </c>
      <c r="CH341" s="19">
        <v>0</v>
      </c>
      <c r="CI341" s="19">
        <v>0</v>
      </c>
      <c r="CJ341" s="19">
        <v>0</v>
      </c>
      <c r="CK341" s="19">
        <v>0</v>
      </c>
      <c r="CL341" s="19">
        <v>0</v>
      </c>
      <c r="CM341" s="19">
        <v>0</v>
      </c>
      <c r="CN341" s="19">
        <v>0</v>
      </c>
      <c r="CO341" s="19">
        <v>0</v>
      </c>
      <c r="CP341" s="19">
        <v>0</v>
      </c>
      <c r="CQ341" s="19">
        <v>0</v>
      </c>
      <c r="CR341" s="19">
        <v>0</v>
      </c>
      <c r="CS341" s="19">
        <v>0</v>
      </c>
      <c r="CT341" s="19">
        <v>0</v>
      </c>
      <c r="CU341" s="19">
        <v>0</v>
      </c>
      <c r="CV341" s="19">
        <v>0</v>
      </c>
      <c r="CW341" s="19">
        <v>0</v>
      </c>
      <c r="CX341" s="19">
        <v>0</v>
      </c>
      <c r="CY341" s="19">
        <v>0</v>
      </c>
      <c r="CZ341" s="19">
        <v>0</v>
      </c>
      <c r="DA341" s="19">
        <v>0</v>
      </c>
      <c r="DB341" s="19">
        <v>0</v>
      </c>
      <c r="DC341" s="19">
        <v>0</v>
      </c>
      <c r="DD341" s="19">
        <v>0</v>
      </c>
      <c r="DE341" s="19">
        <v>0</v>
      </c>
      <c r="DF341" s="19">
        <v>0</v>
      </c>
      <c r="DG341" s="19">
        <v>0</v>
      </c>
      <c r="DH341" s="19">
        <v>0</v>
      </c>
      <c r="DI341" s="19">
        <v>0</v>
      </c>
      <c r="DJ341" s="19">
        <v>0</v>
      </c>
      <c r="DK341" s="19">
        <v>0</v>
      </c>
      <c r="DL341" s="19">
        <v>0</v>
      </c>
      <c r="DM341" s="19">
        <v>0</v>
      </c>
      <c r="DN341" s="19">
        <v>0</v>
      </c>
      <c r="DO341" s="19">
        <v>0</v>
      </c>
      <c r="DP341" s="19">
        <v>0</v>
      </c>
      <c r="DQ341" s="19">
        <v>0</v>
      </c>
      <c r="DR341" s="19">
        <v>0</v>
      </c>
      <c r="DS341" s="19">
        <v>0</v>
      </c>
      <c r="DT341" s="19">
        <v>0</v>
      </c>
      <c r="DU341" s="19">
        <v>0</v>
      </c>
      <c r="DV341" s="19">
        <v>0</v>
      </c>
      <c r="DW341" s="19">
        <v>0</v>
      </c>
      <c r="DX341" s="19">
        <v>0</v>
      </c>
      <c r="DY341" s="19">
        <v>0</v>
      </c>
      <c r="DZ341" s="19">
        <v>0</v>
      </c>
      <c r="EA341" s="19">
        <v>0</v>
      </c>
      <c r="EB341" s="19">
        <v>0</v>
      </c>
      <c r="EC341" s="19">
        <v>0</v>
      </c>
      <c r="ED341" s="19">
        <v>0</v>
      </c>
      <c r="EE341" s="19">
        <v>0</v>
      </c>
      <c r="EF341" s="19">
        <v>0</v>
      </c>
      <c r="EG341" s="19">
        <v>0</v>
      </c>
      <c r="EH341" s="19">
        <v>0</v>
      </c>
      <c r="EI341" s="19">
        <v>0</v>
      </c>
      <c r="EJ341" s="19">
        <v>0</v>
      </c>
      <c r="EK341" s="19">
        <v>0</v>
      </c>
      <c r="EL341" s="19">
        <v>0</v>
      </c>
      <c r="EM341" s="19">
        <v>0</v>
      </c>
      <c r="EN341" s="19">
        <v>0</v>
      </c>
      <c r="EO341" s="19">
        <v>0</v>
      </c>
      <c r="EP341" s="19">
        <v>0</v>
      </c>
      <c r="EQ341" s="19">
        <v>0</v>
      </c>
      <c r="ER341" s="19">
        <v>0</v>
      </c>
      <c r="ES341" s="119">
        <v>0</v>
      </c>
      <c r="ET341" s="119">
        <v>0</v>
      </c>
    </row>
    <row r="342" spans="1:150" ht="16.5" customHeight="1" x14ac:dyDescent="0.35">
      <c r="A342" s="4">
        <v>210</v>
      </c>
      <c r="B342" s="4" t="str">
        <f>LOOKUP(A342,Lookup!$A$1:$A$34,Lookup!$B$1:$B$34)</f>
        <v>INGREDIENTS</v>
      </c>
      <c r="C342" s="5">
        <v>46277</v>
      </c>
      <c r="D342" s="6" t="s">
        <v>324</v>
      </c>
      <c r="E342" s="18">
        <v>0</v>
      </c>
      <c r="F342" s="18">
        <v>0</v>
      </c>
      <c r="G342" s="18">
        <v>0</v>
      </c>
      <c r="H342" s="18">
        <v>0</v>
      </c>
      <c r="I342" s="19">
        <v>0</v>
      </c>
      <c r="J342" s="19">
        <v>0</v>
      </c>
      <c r="K342" s="19">
        <v>0</v>
      </c>
      <c r="L342" s="19">
        <v>0</v>
      </c>
      <c r="M342" s="19">
        <v>0</v>
      </c>
      <c r="N342" s="19">
        <v>0</v>
      </c>
      <c r="O342" s="19">
        <v>0</v>
      </c>
      <c r="P342" s="19">
        <v>0</v>
      </c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>
        <v>0</v>
      </c>
      <c r="Y342" s="19">
        <v>0</v>
      </c>
      <c r="Z342" s="19">
        <v>0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>
        <v>0</v>
      </c>
      <c r="AS342" s="19">
        <v>0</v>
      </c>
      <c r="AT342" s="19">
        <v>0</v>
      </c>
      <c r="AU342" s="19">
        <v>0</v>
      </c>
      <c r="AV342" s="19">
        <v>0</v>
      </c>
      <c r="AW342" s="19">
        <v>0</v>
      </c>
      <c r="AX342" s="19">
        <v>0</v>
      </c>
      <c r="AY342" s="19">
        <v>0</v>
      </c>
      <c r="AZ342" s="19">
        <v>0</v>
      </c>
      <c r="BA342" s="19">
        <v>0</v>
      </c>
      <c r="BB342" s="19">
        <v>0</v>
      </c>
      <c r="BC342" s="19">
        <v>0</v>
      </c>
      <c r="BD342" s="19">
        <v>0</v>
      </c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>
        <v>0</v>
      </c>
      <c r="BM342" s="19">
        <v>0</v>
      </c>
      <c r="BN342" s="19">
        <v>0</v>
      </c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>
        <v>0</v>
      </c>
      <c r="BV342" s="19">
        <v>0</v>
      </c>
      <c r="BW342" s="19">
        <v>0</v>
      </c>
      <c r="BX342" s="19">
        <v>0</v>
      </c>
      <c r="BY342" s="19">
        <v>0</v>
      </c>
      <c r="BZ342" s="19">
        <v>0</v>
      </c>
      <c r="CA342" s="19">
        <v>0</v>
      </c>
      <c r="CB342" s="19">
        <v>0</v>
      </c>
      <c r="CC342" s="19">
        <v>0</v>
      </c>
      <c r="CD342" s="19">
        <v>0</v>
      </c>
      <c r="CE342" s="19">
        <v>0</v>
      </c>
      <c r="CF342" s="19">
        <v>0</v>
      </c>
      <c r="CG342" s="19">
        <v>0</v>
      </c>
      <c r="CH342" s="19">
        <v>0</v>
      </c>
      <c r="CI342" s="19">
        <v>0</v>
      </c>
      <c r="CJ342" s="19">
        <v>0</v>
      </c>
      <c r="CK342" s="19">
        <v>0</v>
      </c>
      <c r="CL342" s="19">
        <v>0</v>
      </c>
      <c r="CM342" s="19">
        <v>0</v>
      </c>
      <c r="CN342" s="19">
        <v>0</v>
      </c>
      <c r="CO342" s="19">
        <v>0</v>
      </c>
      <c r="CP342" s="19">
        <v>0</v>
      </c>
      <c r="CQ342" s="19">
        <v>0</v>
      </c>
      <c r="CR342" s="19">
        <v>0</v>
      </c>
      <c r="CS342" s="19">
        <v>0</v>
      </c>
      <c r="CT342" s="19">
        <v>0</v>
      </c>
      <c r="CU342" s="19">
        <v>0</v>
      </c>
      <c r="CV342" s="19">
        <v>0</v>
      </c>
      <c r="CW342" s="19">
        <v>0</v>
      </c>
      <c r="CX342" s="19">
        <v>0</v>
      </c>
      <c r="CY342" s="19">
        <v>0</v>
      </c>
      <c r="CZ342" s="19">
        <v>0</v>
      </c>
      <c r="DA342" s="19">
        <v>0</v>
      </c>
      <c r="DB342" s="19">
        <v>0</v>
      </c>
      <c r="DC342" s="19">
        <v>0</v>
      </c>
      <c r="DD342" s="19">
        <v>0</v>
      </c>
      <c r="DE342" s="19">
        <v>0</v>
      </c>
      <c r="DF342" s="19">
        <v>0</v>
      </c>
      <c r="DG342" s="19">
        <v>0</v>
      </c>
      <c r="DH342" s="19">
        <v>0</v>
      </c>
      <c r="DI342" s="19">
        <v>0</v>
      </c>
      <c r="DJ342" s="19">
        <v>0</v>
      </c>
      <c r="DK342" s="19">
        <v>0</v>
      </c>
      <c r="DL342" s="19">
        <v>0</v>
      </c>
      <c r="DM342" s="19">
        <v>0</v>
      </c>
      <c r="DN342" s="19">
        <v>0</v>
      </c>
      <c r="DO342" s="19">
        <v>0</v>
      </c>
      <c r="DP342" s="19">
        <v>0</v>
      </c>
      <c r="DQ342" s="19">
        <v>0</v>
      </c>
      <c r="DR342" s="19">
        <v>0</v>
      </c>
      <c r="DS342" s="19">
        <v>0</v>
      </c>
      <c r="DT342" s="19">
        <v>0</v>
      </c>
      <c r="DU342" s="19">
        <v>0</v>
      </c>
      <c r="DV342" s="19">
        <v>0</v>
      </c>
      <c r="DW342" s="19">
        <v>0</v>
      </c>
      <c r="DX342" s="19">
        <v>0</v>
      </c>
      <c r="DY342" s="19">
        <v>0</v>
      </c>
      <c r="DZ342" s="19">
        <v>0</v>
      </c>
      <c r="EA342" s="19">
        <v>0</v>
      </c>
      <c r="EB342" s="19">
        <v>0</v>
      </c>
      <c r="EC342" s="19">
        <v>0</v>
      </c>
      <c r="ED342" s="19">
        <v>0</v>
      </c>
      <c r="EE342" s="19">
        <v>0</v>
      </c>
      <c r="EF342" s="19">
        <v>0</v>
      </c>
      <c r="EG342" s="19">
        <v>0</v>
      </c>
      <c r="EH342" s="19">
        <v>0</v>
      </c>
      <c r="EI342" s="19">
        <v>0</v>
      </c>
      <c r="EJ342" s="19">
        <v>0</v>
      </c>
      <c r="EK342" s="19">
        <v>0</v>
      </c>
      <c r="EL342" s="19">
        <v>0</v>
      </c>
      <c r="EM342" s="19">
        <v>0</v>
      </c>
      <c r="EN342" s="19">
        <v>0</v>
      </c>
      <c r="EO342" s="19">
        <v>0</v>
      </c>
      <c r="EP342" s="19">
        <v>0</v>
      </c>
      <c r="EQ342" s="19">
        <v>0</v>
      </c>
      <c r="ER342" s="19">
        <v>0</v>
      </c>
      <c r="ES342" s="119">
        <v>0</v>
      </c>
      <c r="ET342" s="119">
        <v>0</v>
      </c>
    </row>
    <row r="343" spans="1:150" ht="16.5" customHeight="1" x14ac:dyDescent="0.35">
      <c r="A343" s="4">
        <v>210</v>
      </c>
      <c r="B343" s="4" t="str">
        <f>LOOKUP(A343,Lookup!$A$1:$A$34,Lookup!$B$1:$B$34)</f>
        <v>INGREDIENTS</v>
      </c>
      <c r="C343" s="5">
        <v>46278</v>
      </c>
      <c r="D343" s="6" t="s">
        <v>325</v>
      </c>
      <c r="E343" s="18">
        <v>0</v>
      </c>
      <c r="F343" s="18">
        <v>0</v>
      </c>
      <c r="G343" s="18">
        <v>0</v>
      </c>
      <c r="H343" s="18">
        <v>0</v>
      </c>
      <c r="I343" s="19">
        <v>0</v>
      </c>
      <c r="J343" s="19">
        <v>0</v>
      </c>
      <c r="K343" s="19">
        <v>0</v>
      </c>
      <c r="L343" s="19">
        <v>0</v>
      </c>
      <c r="M343" s="19">
        <v>0</v>
      </c>
      <c r="N343" s="19">
        <v>0</v>
      </c>
      <c r="O343" s="19">
        <v>0</v>
      </c>
      <c r="P343" s="19">
        <v>0</v>
      </c>
      <c r="Q343" s="19">
        <v>0</v>
      </c>
      <c r="R343" s="19">
        <v>0</v>
      </c>
      <c r="S343" s="19">
        <v>0</v>
      </c>
      <c r="T343" s="19">
        <v>0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0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v>0</v>
      </c>
      <c r="AO343" s="19">
        <v>0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0</v>
      </c>
      <c r="AV343" s="19">
        <v>0</v>
      </c>
      <c r="AW343" s="19">
        <v>0</v>
      </c>
      <c r="AX343" s="19">
        <v>0</v>
      </c>
      <c r="AY343" s="19">
        <v>0</v>
      </c>
      <c r="AZ343" s="19">
        <v>0</v>
      </c>
      <c r="BA343" s="19">
        <v>0</v>
      </c>
      <c r="BB343" s="19">
        <v>0</v>
      </c>
      <c r="BC343" s="19">
        <v>0</v>
      </c>
      <c r="BD343" s="19">
        <v>0</v>
      </c>
      <c r="BE343" s="19">
        <v>0</v>
      </c>
      <c r="BF343" s="19">
        <v>0</v>
      </c>
      <c r="BG343" s="19">
        <v>0</v>
      </c>
      <c r="BH343" s="19">
        <v>0</v>
      </c>
      <c r="BI343" s="19">
        <v>0</v>
      </c>
      <c r="BJ343" s="19">
        <v>0</v>
      </c>
      <c r="BK343" s="19">
        <v>0</v>
      </c>
      <c r="BL343" s="19">
        <v>0</v>
      </c>
      <c r="BM343" s="19">
        <v>0</v>
      </c>
      <c r="BN343" s="19">
        <v>0</v>
      </c>
      <c r="BO343" s="19">
        <v>0</v>
      </c>
      <c r="BP343" s="19">
        <v>0</v>
      </c>
      <c r="BQ343" s="19">
        <v>0</v>
      </c>
      <c r="BR343" s="19">
        <v>0</v>
      </c>
      <c r="BS343" s="19">
        <v>0</v>
      </c>
      <c r="BT343" s="19">
        <v>0</v>
      </c>
      <c r="BU343" s="19">
        <v>0</v>
      </c>
      <c r="BV343" s="19">
        <v>0</v>
      </c>
      <c r="BW343" s="19">
        <v>0</v>
      </c>
      <c r="BX343" s="19">
        <v>0</v>
      </c>
      <c r="BY343" s="19">
        <v>0</v>
      </c>
      <c r="BZ343" s="19">
        <v>0</v>
      </c>
      <c r="CA343" s="19">
        <v>0</v>
      </c>
      <c r="CB343" s="19">
        <v>0</v>
      </c>
      <c r="CC343" s="19">
        <v>0</v>
      </c>
      <c r="CD343" s="19">
        <v>0</v>
      </c>
      <c r="CE343" s="19">
        <v>0</v>
      </c>
      <c r="CF343" s="19">
        <v>0</v>
      </c>
      <c r="CG343" s="19">
        <v>0</v>
      </c>
      <c r="CH343" s="19">
        <v>0</v>
      </c>
      <c r="CI343" s="19">
        <v>0</v>
      </c>
      <c r="CJ343" s="19">
        <v>0</v>
      </c>
      <c r="CK343" s="19">
        <v>0</v>
      </c>
      <c r="CL343" s="19">
        <v>0</v>
      </c>
      <c r="CM343" s="19">
        <v>0</v>
      </c>
      <c r="CN343" s="19">
        <v>0</v>
      </c>
      <c r="CO343" s="19">
        <v>0</v>
      </c>
      <c r="CP343" s="19">
        <v>0</v>
      </c>
      <c r="CQ343" s="19">
        <v>0</v>
      </c>
      <c r="CR343" s="19">
        <v>0</v>
      </c>
      <c r="CS343" s="19">
        <v>0</v>
      </c>
      <c r="CT343" s="19">
        <v>0</v>
      </c>
      <c r="CU343" s="19">
        <v>0</v>
      </c>
      <c r="CV343" s="19">
        <v>0</v>
      </c>
      <c r="CW343" s="19">
        <v>0</v>
      </c>
      <c r="CX343" s="19">
        <v>0</v>
      </c>
      <c r="CY343" s="19">
        <v>0</v>
      </c>
      <c r="CZ343" s="19">
        <v>0</v>
      </c>
      <c r="DA343" s="19">
        <v>0</v>
      </c>
      <c r="DB343" s="19">
        <v>0</v>
      </c>
      <c r="DC343" s="19">
        <v>0</v>
      </c>
      <c r="DD343" s="19">
        <v>0</v>
      </c>
      <c r="DE343" s="19">
        <v>0</v>
      </c>
      <c r="DF343" s="19">
        <v>0</v>
      </c>
      <c r="DG343" s="19">
        <v>0</v>
      </c>
      <c r="DH343" s="19">
        <v>0</v>
      </c>
      <c r="DI343" s="19">
        <v>0</v>
      </c>
      <c r="DJ343" s="19">
        <v>0</v>
      </c>
      <c r="DK343" s="19">
        <v>0</v>
      </c>
      <c r="DL343" s="19">
        <v>0</v>
      </c>
      <c r="DM343" s="19">
        <v>0</v>
      </c>
      <c r="DN343" s="19">
        <v>0</v>
      </c>
      <c r="DO343" s="19">
        <v>0</v>
      </c>
      <c r="DP343" s="19">
        <v>0</v>
      </c>
      <c r="DQ343" s="19">
        <v>0</v>
      </c>
      <c r="DR343" s="19">
        <v>0</v>
      </c>
      <c r="DS343" s="19">
        <v>0</v>
      </c>
      <c r="DT343" s="19">
        <v>0</v>
      </c>
      <c r="DU343" s="19">
        <v>0</v>
      </c>
      <c r="DV343" s="19">
        <v>0</v>
      </c>
      <c r="DW343" s="19">
        <v>0</v>
      </c>
      <c r="DX343" s="19">
        <v>0</v>
      </c>
      <c r="DY343" s="19">
        <v>0</v>
      </c>
      <c r="DZ343" s="19">
        <v>0</v>
      </c>
      <c r="EA343" s="19">
        <v>0</v>
      </c>
      <c r="EB343" s="19">
        <v>0</v>
      </c>
      <c r="EC343" s="19">
        <v>0</v>
      </c>
      <c r="ED343" s="19">
        <v>0</v>
      </c>
      <c r="EE343" s="19">
        <v>0</v>
      </c>
      <c r="EF343" s="19">
        <v>0</v>
      </c>
      <c r="EG343" s="19">
        <v>0</v>
      </c>
      <c r="EH343" s="19">
        <v>0</v>
      </c>
      <c r="EI343" s="19">
        <v>0</v>
      </c>
      <c r="EJ343" s="19">
        <v>0</v>
      </c>
      <c r="EK343" s="19">
        <v>0</v>
      </c>
      <c r="EL343" s="19">
        <v>0</v>
      </c>
      <c r="EM343" s="19">
        <v>0</v>
      </c>
      <c r="EN343" s="19">
        <v>0</v>
      </c>
      <c r="EO343" s="19">
        <v>0</v>
      </c>
      <c r="EP343" s="19">
        <v>0</v>
      </c>
      <c r="EQ343" s="19">
        <v>0</v>
      </c>
      <c r="ER343" s="19">
        <v>0</v>
      </c>
      <c r="ES343" s="119">
        <v>0</v>
      </c>
      <c r="ET343" s="119">
        <v>0</v>
      </c>
    </row>
    <row r="344" spans="1:150" ht="16.5" customHeight="1" x14ac:dyDescent="0.35">
      <c r="A344" s="4">
        <v>210</v>
      </c>
      <c r="B344" s="4" t="str">
        <f>LOOKUP(A344,Lookup!$A$1:$A$34,Lookup!$B$1:$B$34)</f>
        <v>INGREDIENTS</v>
      </c>
      <c r="C344" s="5">
        <v>48384</v>
      </c>
      <c r="D344" s="6" t="s">
        <v>326</v>
      </c>
      <c r="E344" s="18">
        <v>0</v>
      </c>
      <c r="F344" s="18">
        <v>0</v>
      </c>
      <c r="G344" s="18">
        <v>0</v>
      </c>
      <c r="H344" s="18">
        <v>0</v>
      </c>
      <c r="I344" s="19">
        <v>0</v>
      </c>
      <c r="J344" s="19">
        <v>0</v>
      </c>
      <c r="K344" s="19">
        <v>0</v>
      </c>
      <c r="L344" s="19">
        <v>0</v>
      </c>
      <c r="M344" s="19">
        <v>0</v>
      </c>
      <c r="N344" s="19">
        <v>0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0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19">
        <v>0</v>
      </c>
      <c r="AM344" s="19">
        <v>0</v>
      </c>
      <c r="AN344" s="19">
        <v>0</v>
      </c>
      <c r="AO344" s="19">
        <v>0</v>
      </c>
      <c r="AP344" s="19">
        <v>0</v>
      </c>
      <c r="AQ344" s="19">
        <v>0</v>
      </c>
      <c r="AR344" s="19">
        <v>0</v>
      </c>
      <c r="AS344" s="19">
        <v>0</v>
      </c>
      <c r="AT344" s="19">
        <v>0</v>
      </c>
      <c r="AU344" s="19">
        <v>0</v>
      </c>
      <c r="AV344" s="19">
        <v>0</v>
      </c>
      <c r="AW344" s="19">
        <v>0</v>
      </c>
      <c r="AX344" s="19">
        <v>0</v>
      </c>
      <c r="AY344" s="19">
        <v>0</v>
      </c>
      <c r="AZ344" s="19">
        <v>0</v>
      </c>
      <c r="BA344" s="19">
        <v>0</v>
      </c>
      <c r="BB344" s="19">
        <v>0</v>
      </c>
      <c r="BC344" s="19">
        <v>0</v>
      </c>
      <c r="BD344" s="19">
        <v>0</v>
      </c>
      <c r="BE344" s="19">
        <v>0</v>
      </c>
      <c r="BF344" s="19">
        <v>0</v>
      </c>
      <c r="BG344" s="19">
        <v>0</v>
      </c>
      <c r="BH344" s="19">
        <v>0</v>
      </c>
      <c r="BI344" s="19">
        <v>0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  <c r="BP344" s="19">
        <v>0</v>
      </c>
      <c r="BQ344" s="19">
        <v>0</v>
      </c>
      <c r="BR344" s="19">
        <v>0</v>
      </c>
      <c r="BS344" s="19">
        <v>0</v>
      </c>
      <c r="BT344" s="19">
        <v>0</v>
      </c>
      <c r="BU344" s="19">
        <v>0</v>
      </c>
      <c r="BV344" s="19">
        <v>0</v>
      </c>
      <c r="BW344" s="19">
        <v>0</v>
      </c>
      <c r="BX344" s="19">
        <v>0</v>
      </c>
      <c r="BY344" s="19">
        <v>0</v>
      </c>
      <c r="BZ344" s="19">
        <v>0</v>
      </c>
      <c r="CA344" s="19">
        <v>0</v>
      </c>
      <c r="CB344" s="19">
        <v>0</v>
      </c>
      <c r="CC344" s="19">
        <v>0</v>
      </c>
      <c r="CD344" s="19">
        <v>0</v>
      </c>
      <c r="CE344" s="19">
        <v>0</v>
      </c>
      <c r="CF344" s="19">
        <v>0</v>
      </c>
      <c r="CG344" s="19">
        <v>0</v>
      </c>
      <c r="CH344" s="19">
        <v>0</v>
      </c>
      <c r="CI344" s="19">
        <v>0</v>
      </c>
      <c r="CJ344" s="19">
        <v>0</v>
      </c>
      <c r="CK344" s="19">
        <v>0</v>
      </c>
      <c r="CL344" s="19">
        <v>0</v>
      </c>
      <c r="CM344" s="19">
        <v>0</v>
      </c>
      <c r="CN344" s="19">
        <v>0</v>
      </c>
      <c r="CO344" s="19">
        <v>0</v>
      </c>
      <c r="CP344" s="19">
        <v>0</v>
      </c>
      <c r="CQ344" s="19">
        <v>0</v>
      </c>
      <c r="CR344" s="19">
        <v>0</v>
      </c>
      <c r="CS344" s="19">
        <v>0</v>
      </c>
      <c r="CT344" s="19">
        <v>0</v>
      </c>
      <c r="CU344" s="19">
        <v>0</v>
      </c>
      <c r="CV344" s="19">
        <v>0</v>
      </c>
      <c r="CW344" s="19">
        <v>0</v>
      </c>
      <c r="CX344" s="19">
        <v>0</v>
      </c>
      <c r="CY344" s="19">
        <v>0</v>
      </c>
      <c r="CZ344" s="19">
        <v>0</v>
      </c>
      <c r="DA344" s="19">
        <v>0</v>
      </c>
      <c r="DB344" s="19">
        <v>0</v>
      </c>
      <c r="DC344" s="19">
        <v>0</v>
      </c>
      <c r="DD344" s="19">
        <v>0</v>
      </c>
      <c r="DE344" s="19">
        <v>0</v>
      </c>
      <c r="DF344" s="19">
        <v>0</v>
      </c>
      <c r="DG344" s="19">
        <v>0</v>
      </c>
      <c r="DH344" s="19">
        <v>0</v>
      </c>
      <c r="DI344" s="19">
        <v>0</v>
      </c>
      <c r="DJ344" s="19">
        <v>0</v>
      </c>
      <c r="DK344" s="19">
        <v>0</v>
      </c>
      <c r="DL344" s="19">
        <v>0</v>
      </c>
      <c r="DM344" s="19">
        <v>0</v>
      </c>
      <c r="DN344" s="19">
        <v>0</v>
      </c>
      <c r="DO344" s="19">
        <v>0</v>
      </c>
      <c r="DP344" s="19">
        <v>0</v>
      </c>
      <c r="DQ344" s="19">
        <v>0</v>
      </c>
      <c r="DR344" s="19">
        <v>0</v>
      </c>
      <c r="DS344" s="19">
        <v>0</v>
      </c>
      <c r="DT344" s="19">
        <v>0</v>
      </c>
      <c r="DU344" s="19">
        <v>0</v>
      </c>
      <c r="DV344" s="19">
        <v>0</v>
      </c>
      <c r="DW344" s="19">
        <v>0</v>
      </c>
      <c r="DX344" s="19">
        <v>0</v>
      </c>
      <c r="DY344" s="19">
        <v>0</v>
      </c>
      <c r="DZ344" s="19">
        <v>0</v>
      </c>
      <c r="EA344" s="19">
        <v>0</v>
      </c>
      <c r="EB344" s="19">
        <v>0</v>
      </c>
      <c r="EC344" s="19">
        <v>0</v>
      </c>
      <c r="ED344" s="19">
        <v>0</v>
      </c>
      <c r="EE344" s="19">
        <v>0</v>
      </c>
      <c r="EF344" s="19">
        <v>0</v>
      </c>
      <c r="EG344" s="19">
        <v>0</v>
      </c>
      <c r="EH344" s="19">
        <v>0</v>
      </c>
      <c r="EI344" s="19">
        <v>0</v>
      </c>
      <c r="EJ344" s="19">
        <v>0</v>
      </c>
      <c r="EK344" s="19">
        <v>0</v>
      </c>
      <c r="EL344" s="19">
        <v>0</v>
      </c>
      <c r="EM344" s="19">
        <v>0</v>
      </c>
      <c r="EN344" s="19">
        <v>0</v>
      </c>
      <c r="EO344" s="19">
        <v>0</v>
      </c>
      <c r="EP344" s="19">
        <v>0</v>
      </c>
      <c r="EQ344" s="19">
        <v>0</v>
      </c>
      <c r="ER344" s="19">
        <v>0</v>
      </c>
      <c r="ES344" s="119">
        <v>0</v>
      </c>
      <c r="ET344" s="119">
        <v>0</v>
      </c>
    </row>
    <row r="345" spans="1:150" ht="16.5" customHeight="1" x14ac:dyDescent="0.35">
      <c r="A345" s="4">
        <v>210</v>
      </c>
      <c r="B345" s="4" t="str">
        <f>LOOKUP(A345,Lookup!$A$1:$A$34,Lookup!$B$1:$B$34)</f>
        <v>INGREDIENTS</v>
      </c>
      <c r="C345" s="5">
        <v>48428</v>
      </c>
      <c r="D345" s="6" t="s">
        <v>327</v>
      </c>
      <c r="E345" s="18">
        <v>0</v>
      </c>
      <c r="F345" s="18">
        <v>0</v>
      </c>
      <c r="G345" s="18">
        <v>0</v>
      </c>
      <c r="H345" s="18">
        <v>0</v>
      </c>
      <c r="I345" s="19">
        <v>0</v>
      </c>
      <c r="J345" s="19">
        <v>0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0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>
        <v>0</v>
      </c>
      <c r="AS345" s="19">
        <v>0</v>
      </c>
      <c r="AT345" s="19">
        <v>0</v>
      </c>
      <c r="AU345" s="19">
        <v>0</v>
      </c>
      <c r="AV345" s="19">
        <v>0</v>
      </c>
      <c r="AW345" s="19">
        <v>0</v>
      </c>
      <c r="AX345" s="19">
        <v>0</v>
      </c>
      <c r="AY345" s="19">
        <v>0</v>
      </c>
      <c r="AZ345" s="19">
        <v>0</v>
      </c>
      <c r="BA345" s="19">
        <v>0</v>
      </c>
      <c r="BB345" s="19">
        <v>0</v>
      </c>
      <c r="BC345" s="19">
        <v>0</v>
      </c>
      <c r="BD345" s="19">
        <v>0</v>
      </c>
      <c r="BE345" s="19">
        <v>0</v>
      </c>
      <c r="BF345" s="19">
        <v>0</v>
      </c>
      <c r="BG345" s="19">
        <v>0</v>
      </c>
      <c r="BH345" s="19">
        <v>0</v>
      </c>
      <c r="BI345" s="19">
        <v>0</v>
      </c>
      <c r="BJ345" s="19">
        <v>0</v>
      </c>
      <c r="BK345" s="19">
        <v>0</v>
      </c>
      <c r="BL345" s="19">
        <v>0</v>
      </c>
      <c r="BM345" s="19">
        <v>0</v>
      </c>
      <c r="BN345" s="19">
        <v>0</v>
      </c>
      <c r="BO345" s="19">
        <v>0</v>
      </c>
      <c r="BP345" s="19">
        <v>0</v>
      </c>
      <c r="BQ345" s="19">
        <v>0</v>
      </c>
      <c r="BR345" s="19">
        <v>0</v>
      </c>
      <c r="BS345" s="19">
        <v>0</v>
      </c>
      <c r="BT345" s="19">
        <v>0</v>
      </c>
      <c r="BU345" s="19">
        <v>0</v>
      </c>
      <c r="BV345" s="19">
        <v>0</v>
      </c>
      <c r="BW345" s="19">
        <v>0</v>
      </c>
      <c r="BX345" s="19">
        <v>0</v>
      </c>
      <c r="BY345" s="19">
        <v>0</v>
      </c>
      <c r="BZ345" s="19">
        <v>0</v>
      </c>
      <c r="CA345" s="19">
        <v>0</v>
      </c>
      <c r="CB345" s="19">
        <v>0</v>
      </c>
      <c r="CC345" s="19">
        <v>0</v>
      </c>
      <c r="CD345" s="19">
        <v>0</v>
      </c>
      <c r="CE345" s="19">
        <v>0</v>
      </c>
      <c r="CF345" s="19">
        <v>0</v>
      </c>
      <c r="CG345" s="19">
        <v>0</v>
      </c>
      <c r="CH345" s="19">
        <v>0</v>
      </c>
      <c r="CI345" s="19">
        <v>0</v>
      </c>
      <c r="CJ345" s="19">
        <v>0</v>
      </c>
      <c r="CK345" s="19">
        <v>0</v>
      </c>
      <c r="CL345" s="19">
        <v>0</v>
      </c>
      <c r="CM345" s="19">
        <v>0</v>
      </c>
      <c r="CN345" s="19">
        <v>0</v>
      </c>
      <c r="CO345" s="19">
        <v>0</v>
      </c>
      <c r="CP345" s="19">
        <v>0</v>
      </c>
      <c r="CQ345" s="19">
        <v>0</v>
      </c>
      <c r="CR345" s="19">
        <v>0</v>
      </c>
      <c r="CS345" s="19">
        <v>0</v>
      </c>
      <c r="CT345" s="19">
        <v>0</v>
      </c>
      <c r="CU345" s="19">
        <v>0</v>
      </c>
      <c r="CV345" s="19">
        <v>0</v>
      </c>
      <c r="CW345" s="19">
        <v>0</v>
      </c>
      <c r="CX345" s="19">
        <v>0</v>
      </c>
      <c r="CY345" s="19">
        <v>0</v>
      </c>
      <c r="CZ345" s="19">
        <v>0</v>
      </c>
      <c r="DA345" s="19">
        <v>0</v>
      </c>
      <c r="DB345" s="19">
        <v>0</v>
      </c>
      <c r="DC345" s="19">
        <v>0</v>
      </c>
      <c r="DD345" s="19">
        <v>0</v>
      </c>
      <c r="DE345" s="19">
        <v>0</v>
      </c>
      <c r="DF345" s="19">
        <v>0</v>
      </c>
      <c r="DG345" s="19">
        <v>0</v>
      </c>
      <c r="DH345" s="19">
        <v>0</v>
      </c>
      <c r="DI345" s="19">
        <v>0</v>
      </c>
      <c r="DJ345" s="19">
        <v>0</v>
      </c>
      <c r="DK345" s="19">
        <v>0</v>
      </c>
      <c r="DL345" s="19">
        <v>0</v>
      </c>
      <c r="DM345" s="19">
        <v>0</v>
      </c>
      <c r="DN345" s="19">
        <v>0</v>
      </c>
      <c r="DO345" s="19">
        <v>0</v>
      </c>
      <c r="DP345" s="19">
        <v>0</v>
      </c>
      <c r="DQ345" s="19">
        <v>0</v>
      </c>
      <c r="DR345" s="19">
        <v>0</v>
      </c>
      <c r="DS345" s="19">
        <v>0</v>
      </c>
      <c r="DT345" s="19">
        <v>0</v>
      </c>
      <c r="DU345" s="19">
        <v>0</v>
      </c>
      <c r="DV345" s="19">
        <v>0</v>
      </c>
      <c r="DW345" s="19">
        <v>0</v>
      </c>
      <c r="DX345" s="19">
        <v>0</v>
      </c>
      <c r="DY345" s="19">
        <v>0</v>
      </c>
      <c r="DZ345" s="19">
        <v>0</v>
      </c>
      <c r="EA345" s="19">
        <v>0</v>
      </c>
      <c r="EB345" s="19">
        <v>0</v>
      </c>
      <c r="EC345" s="19">
        <v>0</v>
      </c>
      <c r="ED345" s="19">
        <v>0</v>
      </c>
      <c r="EE345" s="19">
        <v>0</v>
      </c>
      <c r="EF345" s="19">
        <v>0</v>
      </c>
      <c r="EG345" s="19">
        <v>0</v>
      </c>
      <c r="EH345" s="19">
        <v>0</v>
      </c>
      <c r="EI345" s="19">
        <v>0</v>
      </c>
      <c r="EJ345" s="19">
        <v>0</v>
      </c>
      <c r="EK345" s="19">
        <v>0</v>
      </c>
      <c r="EL345" s="19">
        <v>0</v>
      </c>
      <c r="EM345" s="19">
        <v>0</v>
      </c>
      <c r="EN345" s="19">
        <v>0</v>
      </c>
      <c r="EO345" s="19">
        <v>0</v>
      </c>
      <c r="EP345" s="19">
        <v>0</v>
      </c>
      <c r="EQ345" s="19">
        <v>0</v>
      </c>
      <c r="ER345" s="19">
        <v>0</v>
      </c>
      <c r="ES345" s="119">
        <v>0</v>
      </c>
      <c r="ET345" s="119">
        <v>0</v>
      </c>
    </row>
    <row r="346" spans="1:150" ht="16.5" customHeight="1" x14ac:dyDescent="0.35">
      <c r="A346" s="4">
        <v>210</v>
      </c>
      <c r="B346" s="4" t="str">
        <f>LOOKUP(A346,Lookup!$A$1:$A$34,Lookup!$B$1:$B$34)</f>
        <v>INGREDIENTS</v>
      </c>
      <c r="C346" s="5">
        <v>50298</v>
      </c>
      <c r="D346" s="6" t="s">
        <v>328</v>
      </c>
      <c r="E346" s="18">
        <v>0</v>
      </c>
      <c r="F346" s="18">
        <v>0</v>
      </c>
      <c r="G346" s="18">
        <v>0</v>
      </c>
      <c r="H346" s="18">
        <v>0</v>
      </c>
      <c r="I346" s="19">
        <v>0</v>
      </c>
      <c r="J346" s="19">
        <v>0</v>
      </c>
      <c r="K346" s="19">
        <v>0</v>
      </c>
      <c r="L346" s="19">
        <v>0</v>
      </c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19">
        <v>0</v>
      </c>
      <c r="V346" s="19">
        <v>0</v>
      </c>
      <c r="W346" s="19">
        <v>0</v>
      </c>
      <c r="X346" s="19">
        <v>0</v>
      </c>
      <c r="Y346" s="19">
        <v>0</v>
      </c>
      <c r="Z346" s="19">
        <v>0</v>
      </c>
      <c r="AA346" s="19">
        <v>0</v>
      </c>
      <c r="AB346" s="19">
        <v>0</v>
      </c>
      <c r="AC346" s="19">
        <v>0</v>
      </c>
      <c r="AD346" s="19">
        <v>0</v>
      </c>
      <c r="AE346" s="19">
        <v>0</v>
      </c>
      <c r="AF346" s="19">
        <v>0</v>
      </c>
      <c r="AG346" s="19">
        <v>0</v>
      </c>
      <c r="AH346" s="19">
        <v>0</v>
      </c>
      <c r="AI346" s="19">
        <v>0</v>
      </c>
      <c r="AJ346" s="19">
        <v>0</v>
      </c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>
        <v>0</v>
      </c>
      <c r="AS346" s="19">
        <v>0</v>
      </c>
      <c r="AT346" s="19">
        <v>0</v>
      </c>
      <c r="AU346" s="19">
        <v>0</v>
      </c>
      <c r="AV346" s="19">
        <v>0</v>
      </c>
      <c r="AW346" s="19">
        <v>0</v>
      </c>
      <c r="AX346" s="19">
        <v>0</v>
      </c>
      <c r="AY346" s="19">
        <v>0</v>
      </c>
      <c r="AZ346" s="19">
        <v>0</v>
      </c>
      <c r="BA346" s="19">
        <v>0</v>
      </c>
      <c r="BB346" s="19">
        <v>0</v>
      </c>
      <c r="BC346" s="19">
        <v>0</v>
      </c>
      <c r="BD346" s="19">
        <v>0</v>
      </c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>
        <v>0</v>
      </c>
      <c r="BM346" s="19">
        <v>0</v>
      </c>
      <c r="BN346" s="19">
        <v>0</v>
      </c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>
        <v>0</v>
      </c>
      <c r="BV346" s="19">
        <v>0</v>
      </c>
      <c r="BW346" s="19">
        <v>0</v>
      </c>
      <c r="BX346" s="19">
        <v>0</v>
      </c>
      <c r="BY346" s="19">
        <v>0</v>
      </c>
      <c r="BZ346" s="19">
        <v>0</v>
      </c>
      <c r="CA346" s="19">
        <v>0</v>
      </c>
      <c r="CB346" s="19">
        <v>0</v>
      </c>
      <c r="CC346" s="19">
        <v>0</v>
      </c>
      <c r="CD346" s="19">
        <v>0</v>
      </c>
      <c r="CE346" s="19">
        <v>0</v>
      </c>
      <c r="CF346" s="19">
        <v>0</v>
      </c>
      <c r="CG346" s="19">
        <v>0</v>
      </c>
      <c r="CH346" s="19">
        <v>0</v>
      </c>
      <c r="CI346" s="19">
        <v>0</v>
      </c>
      <c r="CJ346" s="19">
        <v>0</v>
      </c>
      <c r="CK346" s="19">
        <v>0</v>
      </c>
      <c r="CL346" s="19">
        <v>0</v>
      </c>
      <c r="CM346" s="19">
        <v>0</v>
      </c>
      <c r="CN346" s="19">
        <v>0</v>
      </c>
      <c r="CO346" s="19">
        <v>0</v>
      </c>
      <c r="CP346" s="19">
        <v>0</v>
      </c>
      <c r="CQ346" s="19">
        <v>0</v>
      </c>
      <c r="CR346" s="19">
        <v>0</v>
      </c>
      <c r="CS346" s="19">
        <v>0</v>
      </c>
      <c r="CT346" s="19">
        <v>0</v>
      </c>
      <c r="CU346" s="19">
        <v>0</v>
      </c>
      <c r="CV346" s="19">
        <v>0</v>
      </c>
      <c r="CW346" s="19">
        <v>0</v>
      </c>
      <c r="CX346" s="19">
        <v>0</v>
      </c>
      <c r="CY346" s="19">
        <v>0</v>
      </c>
      <c r="CZ346" s="19">
        <v>0</v>
      </c>
      <c r="DA346" s="19">
        <v>0</v>
      </c>
      <c r="DB346" s="19">
        <v>0</v>
      </c>
      <c r="DC346" s="19">
        <v>0</v>
      </c>
      <c r="DD346" s="19">
        <v>0</v>
      </c>
      <c r="DE346" s="19">
        <v>0</v>
      </c>
      <c r="DF346" s="19">
        <v>0</v>
      </c>
      <c r="DG346" s="19">
        <v>0</v>
      </c>
      <c r="DH346" s="19">
        <v>0</v>
      </c>
      <c r="DI346" s="19">
        <v>0</v>
      </c>
      <c r="DJ346" s="19">
        <v>0</v>
      </c>
      <c r="DK346" s="19">
        <v>0</v>
      </c>
      <c r="DL346" s="19">
        <v>0</v>
      </c>
      <c r="DM346" s="19">
        <v>0</v>
      </c>
      <c r="DN346" s="19">
        <v>0</v>
      </c>
      <c r="DO346" s="19">
        <v>0</v>
      </c>
      <c r="DP346" s="19">
        <v>0</v>
      </c>
      <c r="DQ346" s="19">
        <v>0</v>
      </c>
      <c r="DR346" s="19">
        <v>0</v>
      </c>
      <c r="DS346" s="19">
        <v>0</v>
      </c>
      <c r="DT346" s="19">
        <v>0</v>
      </c>
      <c r="DU346" s="19">
        <v>0</v>
      </c>
      <c r="DV346" s="19">
        <v>0</v>
      </c>
      <c r="DW346" s="19">
        <v>0</v>
      </c>
      <c r="DX346" s="19">
        <v>0</v>
      </c>
      <c r="DY346" s="19">
        <v>0</v>
      </c>
      <c r="DZ346" s="19">
        <v>0</v>
      </c>
      <c r="EA346" s="19">
        <v>0</v>
      </c>
      <c r="EB346" s="19">
        <v>0</v>
      </c>
      <c r="EC346" s="19">
        <v>0</v>
      </c>
      <c r="ED346" s="19">
        <v>0</v>
      </c>
      <c r="EE346" s="19">
        <v>0</v>
      </c>
      <c r="EF346" s="19">
        <v>0</v>
      </c>
      <c r="EG346" s="19">
        <v>0</v>
      </c>
      <c r="EH346" s="19">
        <v>0</v>
      </c>
      <c r="EI346" s="19">
        <v>0</v>
      </c>
      <c r="EJ346" s="19">
        <v>0</v>
      </c>
      <c r="EK346" s="19">
        <v>0</v>
      </c>
      <c r="EL346" s="19">
        <v>0</v>
      </c>
      <c r="EM346" s="19">
        <v>0</v>
      </c>
      <c r="EN346" s="19">
        <v>0</v>
      </c>
      <c r="EO346" s="19">
        <v>0</v>
      </c>
      <c r="EP346" s="19">
        <v>0</v>
      </c>
      <c r="EQ346" s="19">
        <v>0</v>
      </c>
      <c r="ER346" s="19">
        <v>0</v>
      </c>
      <c r="ES346" s="119">
        <v>0</v>
      </c>
      <c r="ET346" s="119">
        <v>0</v>
      </c>
    </row>
    <row r="347" spans="1:150" ht="16.5" customHeight="1" x14ac:dyDescent="0.35">
      <c r="A347" s="4">
        <v>210</v>
      </c>
      <c r="B347" s="4" t="str">
        <f>LOOKUP(A347,Lookup!$A$1:$A$34,Lookup!$B$1:$B$34)</f>
        <v>INGREDIENTS</v>
      </c>
      <c r="C347" s="5">
        <v>50321</v>
      </c>
      <c r="D347" s="6" t="s">
        <v>329</v>
      </c>
      <c r="E347" s="18">
        <v>0</v>
      </c>
      <c r="F347" s="18">
        <v>0</v>
      </c>
      <c r="G347" s="18">
        <v>0</v>
      </c>
      <c r="H347" s="18">
        <v>0</v>
      </c>
      <c r="I347" s="19">
        <v>0</v>
      </c>
      <c r="J347" s="19">
        <v>0</v>
      </c>
      <c r="K347" s="19">
        <v>0</v>
      </c>
      <c r="L347" s="19">
        <v>0</v>
      </c>
      <c r="M347" s="19">
        <v>0</v>
      </c>
      <c r="N347" s="19">
        <v>0</v>
      </c>
      <c r="O347" s="19">
        <v>0</v>
      </c>
      <c r="P347" s="19">
        <v>0</v>
      </c>
      <c r="Q347" s="19">
        <v>0</v>
      </c>
      <c r="R347" s="19">
        <v>0</v>
      </c>
      <c r="S347" s="19">
        <v>0</v>
      </c>
      <c r="T347" s="19">
        <v>0</v>
      </c>
      <c r="U347" s="19">
        <v>0</v>
      </c>
      <c r="V347" s="19">
        <v>0</v>
      </c>
      <c r="W347" s="19">
        <v>0</v>
      </c>
      <c r="X347" s="19">
        <v>0</v>
      </c>
      <c r="Y347" s="19">
        <v>0</v>
      </c>
      <c r="Z347" s="19">
        <v>0</v>
      </c>
      <c r="AA347" s="19">
        <v>0</v>
      </c>
      <c r="AB347" s="19">
        <v>0</v>
      </c>
      <c r="AC347" s="19">
        <v>0</v>
      </c>
      <c r="AD347" s="19">
        <v>0</v>
      </c>
      <c r="AE347" s="19">
        <v>0</v>
      </c>
      <c r="AF347" s="19">
        <v>0</v>
      </c>
      <c r="AG347" s="19">
        <v>0</v>
      </c>
      <c r="AH347" s="19">
        <v>0</v>
      </c>
      <c r="AI347" s="19">
        <v>0</v>
      </c>
      <c r="AJ347" s="19">
        <v>0</v>
      </c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>
        <v>0</v>
      </c>
      <c r="AS347" s="19">
        <v>0</v>
      </c>
      <c r="AT347" s="19">
        <v>0</v>
      </c>
      <c r="AU347" s="19">
        <v>0</v>
      </c>
      <c r="AV347" s="19">
        <v>0</v>
      </c>
      <c r="AW347" s="19">
        <v>0</v>
      </c>
      <c r="AX347" s="19">
        <v>0</v>
      </c>
      <c r="AY347" s="19">
        <v>0</v>
      </c>
      <c r="AZ347" s="19">
        <v>0</v>
      </c>
      <c r="BA347" s="19">
        <v>0</v>
      </c>
      <c r="BB347" s="19">
        <v>0</v>
      </c>
      <c r="BC347" s="19">
        <v>0</v>
      </c>
      <c r="BD347" s="19">
        <v>0</v>
      </c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>
        <v>0</v>
      </c>
      <c r="BM347" s="19">
        <v>0</v>
      </c>
      <c r="BN347" s="19">
        <v>0</v>
      </c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>
        <v>0</v>
      </c>
      <c r="BV347" s="19">
        <v>0</v>
      </c>
      <c r="BW347" s="19">
        <v>0</v>
      </c>
      <c r="BX347" s="19">
        <v>0</v>
      </c>
      <c r="BY347" s="19">
        <v>0</v>
      </c>
      <c r="BZ347" s="19">
        <v>0</v>
      </c>
      <c r="CA347" s="19">
        <v>0</v>
      </c>
      <c r="CB347" s="19">
        <v>0</v>
      </c>
      <c r="CC347" s="19">
        <v>0</v>
      </c>
      <c r="CD347" s="19">
        <v>0</v>
      </c>
      <c r="CE347" s="19">
        <v>0</v>
      </c>
      <c r="CF347" s="19">
        <v>0</v>
      </c>
      <c r="CG347" s="19">
        <v>0</v>
      </c>
      <c r="CH347" s="19">
        <v>0</v>
      </c>
      <c r="CI347" s="19">
        <v>0</v>
      </c>
      <c r="CJ347" s="19">
        <v>0</v>
      </c>
      <c r="CK347" s="19">
        <v>0</v>
      </c>
      <c r="CL347" s="19">
        <v>0</v>
      </c>
      <c r="CM347" s="19">
        <v>0</v>
      </c>
      <c r="CN347" s="19">
        <v>0</v>
      </c>
      <c r="CO347" s="19">
        <v>0</v>
      </c>
      <c r="CP347" s="19">
        <v>0</v>
      </c>
      <c r="CQ347" s="19">
        <v>0</v>
      </c>
      <c r="CR347" s="19">
        <v>0</v>
      </c>
      <c r="CS347" s="19">
        <v>0</v>
      </c>
      <c r="CT347" s="19">
        <v>0</v>
      </c>
      <c r="CU347" s="19">
        <v>0</v>
      </c>
      <c r="CV347" s="19">
        <v>0</v>
      </c>
      <c r="CW347" s="19">
        <v>0</v>
      </c>
      <c r="CX347" s="19">
        <v>0</v>
      </c>
      <c r="CY347" s="19">
        <v>0</v>
      </c>
      <c r="CZ347" s="19">
        <v>0</v>
      </c>
      <c r="DA347" s="19">
        <v>0</v>
      </c>
      <c r="DB347" s="19">
        <v>0</v>
      </c>
      <c r="DC347" s="19">
        <v>0</v>
      </c>
      <c r="DD347" s="19">
        <v>0</v>
      </c>
      <c r="DE347" s="19">
        <v>0</v>
      </c>
      <c r="DF347" s="19">
        <v>0</v>
      </c>
      <c r="DG347" s="19">
        <v>0</v>
      </c>
      <c r="DH347" s="19">
        <v>0</v>
      </c>
      <c r="DI347" s="19">
        <v>0</v>
      </c>
      <c r="DJ347" s="19">
        <v>0</v>
      </c>
      <c r="DK347" s="19">
        <v>0</v>
      </c>
      <c r="DL347" s="19">
        <v>0</v>
      </c>
      <c r="DM347" s="19">
        <v>0</v>
      </c>
      <c r="DN347" s="19">
        <v>0</v>
      </c>
      <c r="DO347" s="19">
        <v>0</v>
      </c>
      <c r="DP347" s="19">
        <v>0</v>
      </c>
      <c r="DQ347" s="19">
        <v>0</v>
      </c>
      <c r="DR347" s="19">
        <v>0</v>
      </c>
      <c r="DS347" s="19">
        <v>0</v>
      </c>
      <c r="DT347" s="19">
        <v>0</v>
      </c>
      <c r="DU347" s="19">
        <v>0</v>
      </c>
      <c r="DV347" s="19">
        <v>0</v>
      </c>
      <c r="DW347" s="19">
        <v>0</v>
      </c>
      <c r="DX347" s="19">
        <v>0</v>
      </c>
      <c r="DY347" s="19">
        <v>0</v>
      </c>
      <c r="DZ347" s="19">
        <v>0</v>
      </c>
      <c r="EA347" s="19">
        <v>0</v>
      </c>
      <c r="EB347" s="19">
        <v>0</v>
      </c>
      <c r="EC347" s="19">
        <v>0</v>
      </c>
      <c r="ED347" s="19">
        <v>0</v>
      </c>
      <c r="EE347" s="19">
        <v>0</v>
      </c>
      <c r="EF347" s="19">
        <v>0</v>
      </c>
      <c r="EG347" s="19">
        <v>0</v>
      </c>
      <c r="EH347" s="19">
        <v>0</v>
      </c>
      <c r="EI347" s="19">
        <v>0</v>
      </c>
      <c r="EJ347" s="19">
        <v>0</v>
      </c>
      <c r="EK347" s="19">
        <v>0</v>
      </c>
      <c r="EL347" s="19">
        <v>0</v>
      </c>
      <c r="EM347" s="19">
        <v>0</v>
      </c>
      <c r="EN347" s="19">
        <v>0</v>
      </c>
      <c r="EO347" s="19">
        <v>0</v>
      </c>
      <c r="EP347" s="19">
        <v>0</v>
      </c>
      <c r="EQ347" s="19">
        <v>0</v>
      </c>
      <c r="ER347" s="19">
        <v>0</v>
      </c>
      <c r="ES347" s="119">
        <v>0</v>
      </c>
      <c r="ET347" s="119">
        <v>0</v>
      </c>
    </row>
    <row r="348" spans="1:150" ht="16.5" customHeight="1" x14ac:dyDescent="0.35">
      <c r="A348" s="4">
        <v>210</v>
      </c>
      <c r="B348" s="4" t="str">
        <f>LOOKUP(A348,Lookup!$A$1:$A$34,Lookup!$B$1:$B$34)</f>
        <v>INGREDIENTS</v>
      </c>
      <c r="C348" s="5">
        <v>50772</v>
      </c>
      <c r="D348" s="6" t="s">
        <v>330</v>
      </c>
      <c r="E348" s="18">
        <v>0</v>
      </c>
      <c r="F348" s="18">
        <v>0</v>
      </c>
      <c r="G348" s="18">
        <v>0</v>
      </c>
      <c r="H348" s="18">
        <v>0</v>
      </c>
      <c r="I348" s="19">
        <v>0</v>
      </c>
      <c r="J348" s="19">
        <v>0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19">
        <v>0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0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9">
        <v>0</v>
      </c>
      <c r="AV348" s="19">
        <v>0</v>
      </c>
      <c r="AW348" s="19">
        <v>0</v>
      </c>
      <c r="AX348" s="19">
        <v>0</v>
      </c>
      <c r="AY348" s="19">
        <v>0</v>
      </c>
      <c r="AZ348" s="19">
        <v>0</v>
      </c>
      <c r="BA348" s="19">
        <v>0</v>
      </c>
      <c r="BB348" s="19">
        <v>0</v>
      </c>
      <c r="BC348" s="19">
        <v>0</v>
      </c>
      <c r="BD348" s="19">
        <v>0</v>
      </c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>
        <v>0</v>
      </c>
      <c r="BM348" s="19">
        <v>0</v>
      </c>
      <c r="BN348" s="19">
        <v>0</v>
      </c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>
        <v>0</v>
      </c>
      <c r="BV348" s="19">
        <v>0</v>
      </c>
      <c r="BW348" s="19">
        <v>0</v>
      </c>
      <c r="BX348" s="19">
        <v>0</v>
      </c>
      <c r="BY348" s="19">
        <v>0</v>
      </c>
      <c r="BZ348" s="19">
        <v>0</v>
      </c>
      <c r="CA348" s="19">
        <v>0</v>
      </c>
      <c r="CB348" s="19">
        <v>0</v>
      </c>
      <c r="CC348" s="19">
        <v>0</v>
      </c>
      <c r="CD348" s="19">
        <v>0</v>
      </c>
      <c r="CE348" s="19">
        <v>0</v>
      </c>
      <c r="CF348" s="19">
        <v>0</v>
      </c>
      <c r="CG348" s="19">
        <v>0</v>
      </c>
      <c r="CH348" s="19">
        <v>0</v>
      </c>
      <c r="CI348" s="19">
        <v>0</v>
      </c>
      <c r="CJ348" s="19">
        <v>0</v>
      </c>
      <c r="CK348" s="19">
        <v>0</v>
      </c>
      <c r="CL348" s="19">
        <v>0</v>
      </c>
      <c r="CM348" s="19">
        <v>0</v>
      </c>
      <c r="CN348" s="19">
        <v>0</v>
      </c>
      <c r="CO348" s="19">
        <v>0</v>
      </c>
      <c r="CP348" s="19">
        <v>0</v>
      </c>
      <c r="CQ348" s="19">
        <v>0</v>
      </c>
      <c r="CR348" s="19">
        <v>0</v>
      </c>
      <c r="CS348" s="19">
        <v>0</v>
      </c>
      <c r="CT348" s="19">
        <v>0</v>
      </c>
      <c r="CU348" s="19">
        <v>0</v>
      </c>
      <c r="CV348" s="19">
        <v>0</v>
      </c>
      <c r="CW348" s="19">
        <v>0</v>
      </c>
      <c r="CX348" s="19">
        <v>0</v>
      </c>
      <c r="CY348" s="19">
        <v>0</v>
      </c>
      <c r="CZ348" s="19">
        <v>0</v>
      </c>
      <c r="DA348" s="19">
        <v>0</v>
      </c>
      <c r="DB348" s="19">
        <v>0</v>
      </c>
      <c r="DC348" s="19">
        <v>0</v>
      </c>
      <c r="DD348" s="19">
        <v>0</v>
      </c>
      <c r="DE348" s="19">
        <v>0</v>
      </c>
      <c r="DF348" s="19">
        <v>0</v>
      </c>
      <c r="DG348" s="19">
        <v>0</v>
      </c>
      <c r="DH348" s="19">
        <v>0</v>
      </c>
      <c r="DI348" s="19">
        <v>0</v>
      </c>
      <c r="DJ348" s="19">
        <v>0</v>
      </c>
      <c r="DK348" s="19">
        <v>0</v>
      </c>
      <c r="DL348" s="19">
        <v>0</v>
      </c>
      <c r="DM348" s="19">
        <v>0</v>
      </c>
      <c r="DN348" s="19">
        <v>0</v>
      </c>
      <c r="DO348" s="19">
        <v>0</v>
      </c>
      <c r="DP348" s="19">
        <v>0</v>
      </c>
      <c r="DQ348" s="19">
        <v>0</v>
      </c>
      <c r="DR348" s="19">
        <v>0</v>
      </c>
      <c r="DS348" s="19">
        <v>0</v>
      </c>
      <c r="DT348" s="19">
        <v>0</v>
      </c>
      <c r="DU348" s="19">
        <v>0</v>
      </c>
      <c r="DV348" s="19">
        <v>0</v>
      </c>
      <c r="DW348" s="19">
        <v>0</v>
      </c>
      <c r="DX348" s="19">
        <v>0</v>
      </c>
      <c r="DY348" s="19">
        <v>0</v>
      </c>
      <c r="DZ348" s="19">
        <v>0</v>
      </c>
      <c r="EA348" s="19">
        <v>0</v>
      </c>
      <c r="EB348" s="19">
        <v>0</v>
      </c>
      <c r="EC348" s="19">
        <v>0</v>
      </c>
      <c r="ED348" s="19">
        <v>0</v>
      </c>
      <c r="EE348" s="19">
        <v>0</v>
      </c>
      <c r="EF348" s="19">
        <v>0</v>
      </c>
      <c r="EG348" s="19">
        <v>0</v>
      </c>
      <c r="EH348" s="19">
        <v>0</v>
      </c>
      <c r="EI348" s="19">
        <v>0</v>
      </c>
      <c r="EJ348" s="19">
        <v>0</v>
      </c>
      <c r="EK348" s="19">
        <v>0</v>
      </c>
      <c r="EL348" s="19">
        <v>0</v>
      </c>
      <c r="EM348" s="19">
        <v>0</v>
      </c>
      <c r="EN348" s="19">
        <v>0</v>
      </c>
      <c r="EO348" s="19">
        <v>0</v>
      </c>
      <c r="EP348" s="19">
        <v>0</v>
      </c>
      <c r="EQ348" s="19">
        <v>0</v>
      </c>
      <c r="ER348" s="19">
        <v>0</v>
      </c>
      <c r="ES348" s="119">
        <v>0</v>
      </c>
      <c r="ET348" s="119">
        <v>0</v>
      </c>
    </row>
    <row r="349" spans="1:150" ht="16.5" customHeight="1" x14ac:dyDescent="0.35">
      <c r="A349" s="4">
        <v>210</v>
      </c>
      <c r="B349" s="4" t="str">
        <f>LOOKUP(A349,Lookup!$A$1:$A$34,Lookup!$B$1:$B$34)</f>
        <v>INGREDIENTS</v>
      </c>
      <c r="C349" s="5">
        <v>51657</v>
      </c>
      <c r="D349" s="6" t="s">
        <v>331</v>
      </c>
      <c r="E349" s="18">
        <v>0</v>
      </c>
      <c r="F349" s="18">
        <v>0</v>
      </c>
      <c r="G349" s="18">
        <v>0</v>
      </c>
      <c r="H349" s="18">
        <v>0</v>
      </c>
      <c r="I349" s="19">
        <v>0</v>
      </c>
      <c r="J349" s="19">
        <v>0</v>
      </c>
      <c r="K349" s="19">
        <v>0</v>
      </c>
      <c r="L349" s="19">
        <v>0</v>
      </c>
      <c r="M349" s="19">
        <v>0</v>
      </c>
      <c r="N349" s="19">
        <v>0</v>
      </c>
      <c r="O349" s="19">
        <v>0</v>
      </c>
      <c r="P349" s="19">
        <v>0</v>
      </c>
      <c r="Q349" s="19">
        <v>0</v>
      </c>
      <c r="R349" s="19">
        <v>0</v>
      </c>
      <c r="S349" s="19">
        <v>0</v>
      </c>
      <c r="T349" s="19">
        <v>0</v>
      </c>
      <c r="U349" s="19">
        <v>0</v>
      </c>
      <c r="V349" s="19">
        <v>0</v>
      </c>
      <c r="W349" s="19">
        <v>0</v>
      </c>
      <c r="X349" s="19">
        <v>0</v>
      </c>
      <c r="Y349" s="19">
        <v>0</v>
      </c>
      <c r="Z349" s="19">
        <v>0</v>
      </c>
      <c r="AA349" s="19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>
        <v>0</v>
      </c>
      <c r="AI349" s="19">
        <v>0</v>
      </c>
      <c r="AJ349" s="19">
        <v>0</v>
      </c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19">
        <v>0</v>
      </c>
      <c r="AQ349" s="19">
        <v>0</v>
      </c>
      <c r="AR349" s="19">
        <v>0</v>
      </c>
      <c r="AS349" s="19">
        <v>0</v>
      </c>
      <c r="AT349" s="19">
        <v>0</v>
      </c>
      <c r="AU349" s="19">
        <v>0</v>
      </c>
      <c r="AV349" s="19">
        <v>0</v>
      </c>
      <c r="AW349" s="19">
        <v>0</v>
      </c>
      <c r="AX349" s="19">
        <v>0</v>
      </c>
      <c r="AY349" s="19">
        <v>0</v>
      </c>
      <c r="AZ349" s="19">
        <v>0</v>
      </c>
      <c r="BA349" s="19">
        <v>0</v>
      </c>
      <c r="BB349" s="19">
        <v>0</v>
      </c>
      <c r="BC349" s="19">
        <v>0</v>
      </c>
      <c r="BD349" s="19">
        <v>0</v>
      </c>
      <c r="BE349" s="19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19">
        <v>0</v>
      </c>
      <c r="BL349" s="19">
        <v>0</v>
      </c>
      <c r="BM349" s="19">
        <v>0</v>
      </c>
      <c r="BN349" s="19">
        <v>0</v>
      </c>
      <c r="BO349" s="19">
        <v>0</v>
      </c>
      <c r="BP349" s="19">
        <v>0</v>
      </c>
      <c r="BQ349" s="19">
        <v>0</v>
      </c>
      <c r="BR349" s="19">
        <v>0</v>
      </c>
      <c r="BS349" s="19">
        <v>0</v>
      </c>
      <c r="BT349" s="19">
        <v>0</v>
      </c>
      <c r="BU349" s="19">
        <v>0</v>
      </c>
      <c r="BV349" s="19">
        <v>0</v>
      </c>
      <c r="BW349" s="19">
        <v>0</v>
      </c>
      <c r="BX349" s="19">
        <v>0</v>
      </c>
      <c r="BY349" s="19">
        <v>0</v>
      </c>
      <c r="BZ349" s="19">
        <v>0</v>
      </c>
      <c r="CA349" s="19">
        <v>0</v>
      </c>
      <c r="CB349" s="19">
        <v>0</v>
      </c>
      <c r="CC349" s="19">
        <v>0</v>
      </c>
      <c r="CD349" s="19">
        <v>0</v>
      </c>
      <c r="CE349" s="19">
        <v>0</v>
      </c>
      <c r="CF349" s="19">
        <v>0</v>
      </c>
      <c r="CG349" s="19">
        <v>0</v>
      </c>
      <c r="CH349" s="19">
        <v>0</v>
      </c>
      <c r="CI349" s="19">
        <v>0</v>
      </c>
      <c r="CJ349" s="19">
        <v>0</v>
      </c>
      <c r="CK349" s="19">
        <v>0</v>
      </c>
      <c r="CL349" s="19">
        <v>0</v>
      </c>
      <c r="CM349" s="19">
        <v>0</v>
      </c>
      <c r="CN349" s="19">
        <v>0</v>
      </c>
      <c r="CO349" s="19">
        <v>0</v>
      </c>
      <c r="CP349" s="19">
        <v>0</v>
      </c>
      <c r="CQ349" s="19">
        <v>0</v>
      </c>
      <c r="CR349" s="19">
        <v>0</v>
      </c>
      <c r="CS349" s="19">
        <v>0</v>
      </c>
      <c r="CT349" s="19">
        <v>0</v>
      </c>
      <c r="CU349" s="19">
        <v>0</v>
      </c>
      <c r="CV349" s="19">
        <v>0</v>
      </c>
      <c r="CW349" s="19">
        <v>0</v>
      </c>
      <c r="CX349" s="19">
        <v>0</v>
      </c>
      <c r="CY349" s="19">
        <v>0</v>
      </c>
      <c r="CZ349" s="19">
        <v>0</v>
      </c>
      <c r="DA349" s="19">
        <v>0</v>
      </c>
      <c r="DB349" s="19">
        <v>0</v>
      </c>
      <c r="DC349" s="19">
        <v>0</v>
      </c>
      <c r="DD349" s="19">
        <v>0</v>
      </c>
      <c r="DE349" s="19">
        <v>0</v>
      </c>
      <c r="DF349" s="19">
        <v>0</v>
      </c>
      <c r="DG349" s="19">
        <v>0</v>
      </c>
      <c r="DH349" s="19">
        <v>0</v>
      </c>
      <c r="DI349" s="19">
        <v>0</v>
      </c>
      <c r="DJ349" s="19">
        <v>0</v>
      </c>
      <c r="DK349" s="19">
        <v>0</v>
      </c>
      <c r="DL349" s="19">
        <v>0</v>
      </c>
      <c r="DM349" s="19">
        <v>0</v>
      </c>
      <c r="DN349" s="19">
        <v>0</v>
      </c>
      <c r="DO349" s="19">
        <v>0</v>
      </c>
      <c r="DP349" s="19">
        <v>0</v>
      </c>
      <c r="DQ349" s="19">
        <v>0</v>
      </c>
      <c r="DR349" s="19">
        <v>0</v>
      </c>
      <c r="DS349" s="19">
        <v>0</v>
      </c>
      <c r="DT349" s="19">
        <v>0</v>
      </c>
      <c r="DU349" s="19">
        <v>0</v>
      </c>
      <c r="DV349" s="19">
        <v>0</v>
      </c>
      <c r="DW349" s="19">
        <v>0</v>
      </c>
      <c r="DX349" s="19">
        <v>0</v>
      </c>
      <c r="DY349" s="19">
        <v>0</v>
      </c>
      <c r="DZ349" s="19">
        <v>0</v>
      </c>
      <c r="EA349" s="19">
        <v>0</v>
      </c>
      <c r="EB349" s="19">
        <v>0</v>
      </c>
      <c r="EC349" s="19">
        <v>0</v>
      </c>
      <c r="ED349" s="19">
        <v>0</v>
      </c>
      <c r="EE349" s="19">
        <v>0</v>
      </c>
      <c r="EF349" s="19">
        <v>0</v>
      </c>
      <c r="EG349" s="19">
        <v>0</v>
      </c>
      <c r="EH349" s="19">
        <v>0</v>
      </c>
      <c r="EI349" s="19">
        <v>0</v>
      </c>
      <c r="EJ349" s="19">
        <v>0</v>
      </c>
      <c r="EK349" s="19">
        <v>0</v>
      </c>
      <c r="EL349" s="19">
        <v>0</v>
      </c>
      <c r="EM349" s="19">
        <v>0</v>
      </c>
      <c r="EN349" s="19">
        <v>0</v>
      </c>
      <c r="EO349" s="19">
        <v>0</v>
      </c>
      <c r="EP349" s="19">
        <v>0</v>
      </c>
      <c r="EQ349" s="19">
        <v>0</v>
      </c>
      <c r="ER349" s="19">
        <v>0</v>
      </c>
      <c r="ES349" s="119">
        <v>0</v>
      </c>
      <c r="ET349" s="119">
        <v>0</v>
      </c>
    </row>
    <row r="350" spans="1:150" ht="16.5" customHeight="1" x14ac:dyDescent="0.35">
      <c r="A350" s="4">
        <v>210</v>
      </c>
      <c r="B350" s="4" t="str">
        <f>LOOKUP(A350,Lookup!$A$1:$A$34,Lookup!$B$1:$B$34)</f>
        <v>INGREDIENTS</v>
      </c>
      <c r="C350" s="5">
        <v>51713</v>
      </c>
      <c r="D350" s="6" t="s">
        <v>332</v>
      </c>
      <c r="E350" s="18">
        <v>0</v>
      </c>
      <c r="F350" s="18">
        <v>0</v>
      </c>
      <c r="G350" s="18">
        <v>0</v>
      </c>
      <c r="H350" s="18">
        <v>0</v>
      </c>
      <c r="I350" s="19">
        <v>0</v>
      </c>
      <c r="J350" s="19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0</v>
      </c>
      <c r="AT350" s="19">
        <v>0</v>
      </c>
      <c r="AU350" s="19">
        <v>0</v>
      </c>
      <c r="AV350" s="19">
        <v>0</v>
      </c>
      <c r="AW350" s="19">
        <v>0</v>
      </c>
      <c r="AX350" s="19">
        <v>0</v>
      </c>
      <c r="AY350" s="19">
        <v>0</v>
      </c>
      <c r="AZ350" s="19">
        <v>0</v>
      </c>
      <c r="BA350" s="19">
        <v>0</v>
      </c>
      <c r="BB350" s="19">
        <v>0</v>
      </c>
      <c r="BC350" s="19">
        <v>0</v>
      </c>
      <c r="BD350" s="19">
        <v>0</v>
      </c>
      <c r="BE350" s="19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19">
        <v>0</v>
      </c>
      <c r="BL350" s="19">
        <v>0</v>
      </c>
      <c r="BM350" s="19">
        <v>0</v>
      </c>
      <c r="BN350" s="19">
        <v>0</v>
      </c>
      <c r="BO350" s="19">
        <v>0</v>
      </c>
      <c r="BP350" s="19">
        <v>0</v>
      </c>
      <c r="BQ350" s="19">
        <v>0</v>
      </c>
      <c r="BR350" s="19">
        <v>0</v>
      </c>
      <c r="BS350" s="19">
        <v>0</v>
      </c>
      <c r="BT350" s="19">
        <v>0</v>
      </c>
      <c r="BU350" s="19">
        <v>0</v>
      </c>
      <c r="BV350" s="19">
        <v>0</v>
      </c>
      <c r="BW350" s="19">
        <v>0</v>
      </c>
      <c r="BX350" s="19">
        <v>0</v>
      </c>
      <c r="BY350" s="19">
        <v>0</v>
      </c>
      <c r="BZ350" s="19">
        <v>0</v>
      </c>
      <c r="CA350" s="19">
        <v>0</v>
      </c>
      <c r="CB350" s="19">
        <v>0</v>
      </c>
      <c r="CC350" s="19">
        <v>0</v>
      </c>
      <c r="CD350" s="19">
        <v>0</v>
      </c>
      <c r="CE350" s="19">
        <v>0</v>
      </c>
      <c r="CF350" s="19">
        <v>0</v>
      </c>
      <c r="CG350" s="19">
        <v>0</v>
      </c>
      <c r="CH350" s="19">
        <v>0</v>
      </c>
      <c r="CI350" s="19">
        <v>0</v>
      </c>
      <c r="CJ350" s="19">
        <v>0</v>
      </c>
      <c r="CK350" s="19">
        <v>0</v>
      </c>
      <c r="CL350" s="19">
        <v>0</v>
      </c>
      <c r="CM350" s="19">
        <v>0</v>
      </c>
      <c r="CN350" s="19">
        <v>0</v>
      </c>
      <c r="CO350" s="19">
        <v>0</v>
      </c>
      <c r="CP350" s="19">
        <v>0</v>
      </c>
      <c r="CQ350" s="19">
        <v>0</v>
      </c>
      <c r="CR350" s="19">
        <v>0</v>
      </c>
      <c r="CS350" s="19">
        <v>0</v>
      </c>
      <c r="CT350" s="19">
        <v>0</v>
      </c>
      <c r="CU350" s="19">
        <v>0</v>
      </c>
      <c r="CV350" s="19">
        <v>0</v>
      </c>
      <c r="CW350" s="19">
        <v>0</v>
      </c>
      <c r="CX350" s="19">
        <v>0</v>
      </c>
      <c r="CY350" s="19">
        <v>0</v>
      </c>
      <c r="CZ350" s="19">
        <v>0</v>
      </c>
      <c r="DA350" s="19">
        <v>0</v>
      </c>
      <c r="DB350" s="19">
        <v>0</v>
      </c>
      <c r="DC350" s="19">
        <v>0</v>
      </c>
      <c r="DD350" s="19">
        <v>0</v>
      </c>
      <c r="DE350" s="19">
        <v>0</v>
      </c>
      <c r="DF350" s="19">
        <v>0</v>
      </c>
      <c r="DG350" s="19">
        <v>0</v>
      </c>
      <c r="DH350" s="19">
        <v>0</v>
      </c>
      <c r="DI350" s="19">
        <v>0</v>
      </c>
      <c r="DJ350" s="19">
        <v>0</v>
      </c>
      <c r="DK350" s="19">
        <v>0</v>
      </c>
      <c r="DL350" s="19">
        <v>0</v>
      </c>
      <c r="DM350" s="19">
        <v>0</v>
      </c>
      <c r="DN350" s="19">
        <v>0</v>
      </c>
      <c r="DO350" s="19">
        <v>0</v>
      </c>
      <c r="DP350" s="19">
        <v>0</v>
      </c>
      <c r="DQ350" s="19">
        <v>0</v>
      </c>
      <c r="DR350" s="19">
        <v>0</v>
      </c>
      <c r="DS350" s="19">
        <v>0</v>
      </c>
      <c r="DT350" s="19">
        <v>0</v>
      </c>
      <c r="DU350" s="19">
        <v>0</v>
      </c>
      <c r="DV350" s="19">
        <v>0</v>
      </c>
      <c r="DW350" s="19">
        <v>0</v>
      </c>
      <c r="DX350" s="19">
        <v>0</v>
      </c>
      <c r="DY350" s="19">
        <v>0</v>
      </c>
      <c r="DZ350" s="19">
        <v>0</v>
      </c>
      <c r="EA350" s="19">
        <v>0</v>
      </c>
      <c r="EB350" s="19">
        <v>0</v>
      </c>
      <c r="EC350" s="19">
        <v>0</v>
      </c>
      <c r="ED350" s="19">
        <v>0</v>
      </c>
      <c r="EE350" s="19">
        <v>0</v>
      </c>
      <c r="EF350" s="19">
        <v>0</v>
      </c>
      <c r="EG350" s="19">
        <v>0</v>
      </c>
      <c r="EH350" s="19">
        <v>0</v>
      </c>
      <c r="EI350" s="19">
        <v>0</v>
      </c>
      <c r="EJ350" s="19">
        <v>0</v>
      </c>
      <c r="EK350" s="19">
        <v>0</v>
      </c>
      <c r="EL350" s="19">
        <v>0</v>
      </c>
      <c r="EM350" s="19">
        <v>0</v>
      </c>
      <c r="EN350" s="19">
        <v>0</v>
      </c>
      <c r="EO350" s="19">
        <v>0</v>
      </c>
      <c r="EP350" s="19">
        <v>0</v>
      </c>
      <c r="EQ350" s="19">
        <v>0</v>
      </c>
      <c r="ER350" s="19">
        <v>0</v>
      </c>
      <c r="ES350" s="119">
        <v>0</v>
      </c>
      <c r="ET350" s="119">
        <v>0</v>
      </c>
    </row>
    <row r="351" spans="1:150" ht="16.5" customHeight="1" x14ac:dyDescent="0.35">
      <c r="A351" s="4">
        <v>210</v>
      </c>
      <c r="B351" s="4" t="str">
        <f>LOOKUP(A351,Lookup!$A$1:$A$34,Lookup!$B$1:$B$34)</f>
        <v>INGREDIENTS</v>
      </c>
      <c r="C351" s="5">
        <v>51803</v>
      </c>
      <c r="D351" s="6" t="s">
        <v>333</v>
      </c>
      <c r="E351" s="18">
        <v>0</v>
      </c>
      <c r="F351" s="18">
        <v>0</v>
      </c>
      <c r="G351" s="18">
        <v>0</v>
      </c>
      <c r="H351" s="18">
        <v>0</v>
      </c>
      <c r="I351" s="19">
        <v>0</v>
      </c>
      <c r="J351" s="19">
        <v>0</v>
      </c>
      <c r="K351" s="19">
        <v>0</v>
      </c>
      <c r="L351" s="19">
        <v>0</v>
      </c>
      <c r="M351" s="19">
        <v>0</v>
      </c>
      <c r="N351" s="19">
        <v>0</v>
      </c>
      <c r="O351" s="19">
        <v>0</v>
      </c>
      <c r="P351" s="19">
        <v>0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19">
        <v>0</v>
      </c>
      <c r="AQ351" s="19">
        <v>0</v>
      </c>
      <c r="AR351" s="19">
        <v>0</v>
      </c>
      <c r="AS351" s="19">
        <v>0</v>
      </c>
      <c r="AT351" s="19">
        <v>0</v>
      </c>
      <c r="AU351" s="19">
        <v>0</v>
      </c>
      <c r="AV351" s="19">
        <v>0</v>
      </c>
      <c r="AW351" s="19">
        <v>0</v>
      </c>
      <c r="AX351" s="19">
        <v>0</v>
      </c>
      <c r="AY351" s="19">
        <v>0</v>
      </c>
      <c r="AZ351" s="19">
        <v>0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19">
        <v>0</v>
      </c>
      <c r="BL351" s="19">
        <v>0</v>
      </c>
      <c r="BM351" s="19">
        <v>0</v>
      </c>
      <c r="BN351" s="19">
        <v>0</v>
      </c>
      <c r="BO351" s="19">
        <v>0</v>
      </c>
      <c r="BP351" s="19">
        <v>0</v>
      </c>
      <c r="BQ351" s="19">
        <v>0</v>
      </c>
      <c r="BR351" s="19">
        <v>0</v>
      </c>
      <c r="BS351" s="19">
        <v>0</v>
      </c>
      <c r="BT351" s="19">
        <v>0</v>
      </c>
      <c r="BU351" s="19">
        <v>0</v>
      </c>
      <c r="BV351" s="19">
        <v>0</v>
      </c>
      <c r="BW351" s="19">
        <v>0</v>
      </c>
      <c r="BX351" s="19">
        <v>0</v>
      </c>
      <c r="BY351" s="19">
        <v>0</v>
      </c>
      <c r="BZ351" s="19">
        <v>0</v>
      </c>
      <c r="CA351" s="19">
        <v>0</v>
      </c>
      <c r="CB351" s="19">
        <v>0</v>
      </c>
      <c r="CC351" s="19">
        <v>0</v>
      </c>
      <c r="CD351" s="19">
        <v>0</v>
      </c>
      <c r="CE351" s="19">
        <v>0</v>
      </c>
      <c r="CF351" s="19">
        <v>0</v>
      </c>
      <c r="CG351" s="19">
        <v>0</v>
      </c>
      <c r="CH351" s="19">
        <v>0</v>
      </c>
      <c r="CI351" s="19">
        <v>0</v>
      </c>
      <c r="CJ351" s="19">
        <v>0</v>
      </c>
      <c r="CK351" s="19">
        <v>0</v>
      </c>
      <c r="CL351" s="19">
        <v>0</v>
      </c>
      <c r="CM351" s="19">
        <v>0</v>
      </c>
      <c r="CN351" s="19">
        <v>0</v>
      </c>
      <c r="CO351" s="19">
        <v>0</v>
      </c>
      <c r="CP351" s="19">
        <v>0</v>
      </c>
      <c r="CQ351" s="19">
        <v>0</v>
      </c>
      <c r="CR351" s="19">
        <v>0</v>
      </c>
      <c r="CS351" s="19">
        <v>0</v>
      </c>
      <c r="CT351" s="19">
        <v>0</v>
      </c>
      <c r="CU351" s="19">
        <v>0</v>
      </c>
      <c r="CV351" s="19">
        <v>0</v>
      </c>
      <c r="CW351" s="19">
        <v>0</v>
      </c>
      <c r="CX351" s="19">
        <v>0</v>
      </c>
      <c r="CY351" s="19">
        <v>0</v>
      </c>
      <c r="CZ351" s="19">
        <v>0</v>
      </c>
      <c r="DA351" s="19">
        <v>0</v>
      </c>
      <c r="DB351" s="19">
        <v>0</v>
      </c>
      <c r="DC351" s="19">
        <v>0</v>
      </c>
      <c r="DD351" s="19">
        <v>0</v>
      </c>
      <c r="DE351" s="19">
        <v>0</v>
      </c>
      <c r="DF351" s="19">
        <v>0</v>
      </c>
      <c r="DG351" s="19">
        <v>0</v>
      </c>
      <c r="DH351" s="19">
        <v>0</v>
      </c>
      <c r="DI351" s="19">
        <v>0</v>
      </c>
      <c r="DJ351" s="19">
        <v>0</v>
      </c>
      <c r="DK351" s="19">
        <v>0</v>
      </c>
      <c r="DL351" s="19">
        <v>0</v>
      </c>
      <c r="DM351" s="19">
        <v>0</v>
      </c>
      <c r="DN351" s="19">
        <v>0</v>
      </c>
      <c r="DO351" s="19">
        <v>0</v>
      </c>
      <c r="DP351" s="19">
        <v>0</v>
      </c>
      <c r="DQ351" s="19">
        <v>0</v>
      </c>
      <c r="DR351" s="19">
        <v>0</v>
      </c>
      <c r="DS351" s="19">
        <v>0</v>
      </c>
      <c r="DT351" s="19">
        <v>0</v>
      </c>
      <c r="DU351" s="19">
        <v>0</v>
      </c>
      <c r="DV351" s="19">
        <v>0</v>
      </c>
      <c r="DW351" s="19">
        <v>0</v>
      </c>
      <c r="DX351" s="19">
        <v>0</v>
      </c>
      <c r="DY351" s="19">
        <v>0</v>
      </c>
      <c r="DZ351" s="19">
        <v>0</v>
      </c>
      <c r="EA351" s="19">
        <v>0</v>
      </c>
      <c r="EB351" s="19">
        <v>0</v>
      </c>
      <c r="EC351" s="19">
        <v>0</v>
      </c>
      <c r="ED351" s="19">
        <v>0</v>
      </c>
      <c r="EE351" s="19">
        <v>0</v>
      </c>
      <c r="EF351" s="19">
        <v>0</v>
      </c>
      <c r="EG351" s="19">
        <v>0</v>
      </c>
      <c r="EH351" s="19">
        <v>0</v>
      </c>
      <c r="EI351" s="19">
        <v>0</v>
      </c>
      <c r="EJ351" s="19">
        <v>0</v>
      </c>
      <c r="EK351" s="19">
        <v>0</v>
      </c>
      <c r="EL351" s="19">
        <v>0</v>
      </c>
      <c r="EM351" s="19">
        <v>0</v>
      </c>
      <c r="EN351" s="19">
        <v>0</v>
      </c>
      <c r="EO351" s="19">
        <v>0</v>
      </c>
      <c r="EP351" s="19">
        <v>0</v>
      </c>
      <c r="EQ351" s="19">
        <v>0</v>
      </c>
      <c r="ER351" s="19">
        <v>0</v>
      </c>
      <c r="ES351" s="119">
        <v>0</v>
      </c>
      <c r="ET351" s="119">
        <v>0</v>
      </c>
    </row>
    <row r="352" spans="1:150" ht="16.5" customHeight="1" x14ac:dyDescent="0.35">
      <c r="A352" s="4">
        <v>210</v>
      </c>
      <c r="B352" s="4" t="str">
        <f>LOOKUP(A352,Lookup!$A$1:$A$34,Lookup!$B$1:$B$34)</f>
        <v>INGREDIENTS</v>
      </c>
      <c r="C352" s="5">
        <v>51804</v>
      </c>
      <c r="D352" s="6" t="s">
        <v>334</v>
      </c>
      <c r="E352" s="18">
        <v>0</v>
      </c>
      <c r="F352" s="18">
        <v>0</v>
      </c>
      <c r="G352" s="18">
        <v>0</v>
      </c>
      <c r="H352" s="18">
        <v>0</v>
      </c>
      <c r="I352" s="19">
        <v>0</v>
      </c>
      <c r="J352" s="19">
        <v>0</v>
      </c>
      <c r="K352" s="19">
        <v>0</v>
      </c>
      <c r="L352" s="19">
        <v>0</v>
      </c>
      <c r="M352" s="19">
        <v>0</v>
      </c>
      <c r="N352" s="19">
        <v>0</v>
      </c>
      <c r="O352" s="19">
        <v>0</v>
      </c>
      <c r="P352" s="19">
        <v>0</v>
      </c>
      <c r="Q352" s="19">
        <v>0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0</v>
      </c>
      <c r="AV352" s="19">
        <v>0</v>
      </c>
      <c r="AW352" s="19">
        <v>0</v>
      </c>
      <c r="AX352" s="19">
        <v>0</v>
      </c>
      <c r="AY352" s="19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>
        <v>0</v>
      </c>
      <c r="BM352" s="19">
        <v>0</v>
      </c>
      <c r="BN352" s="19">
        <v>0</v>
      </c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>
        <v>0</v>
      </c>
      <c r="BV352" s="19">
        <v>0</v>
      </c>
      <c r="BW352" s="19">
        <v>0</v>
      </c>
      <c r="BX352" s="19">
        <v>0</v>
      </c>
      <c r="BY352" s="19">
        <v>0</v>
      </c>
      <c r="BZ352" s="19">
        <v>0</v>
      </c>
      <c r="CA352" s="19">
        <v>0</v>
      </c>
      <c r="CB352" s="19">
        <v>0</v>
      </c>
      <c r="CC352" s="19">
        <v>0</v>
      </c>
      <c r="CD352" s="19">
        <v>0</v>
      </c>
      <c r="CE352" s="19">
        <v>0</v>
      </c>
      <c r="CF352" s="19">
        <v>0</v>
      </c>
      <c r="CG352" s="19">
        <v>0</v>
      </c>
      <c r="CH352" s="19">
        <v>0</v>
      </c>
      <c r="CI352" s="19">
        <v>0</v>
      </c>
      <c r="CJ352" s="19">
        <v>0</v>
      </c>
      <c r="CK352" s="19">
        <v>0</v>
      </c>
      <c r="CL352" s="19">
        <v>0</v>
      </c>
      <c r="CM352" s="19">
        <v>0</v>
      </c>
      <c r="CN352" s="19">
        <v>0</v>
      </c>
      <c r="CO352" s="19">
        <v>0</v>
      </c>
      <c r="CP352" s="19">
        <v>0</v>
      </c>
      <c r="CQ352" s="19">
        <v>0</v>
      </c>
      <c r="CR352" s="19">
        <v>0</v>
      </c>
      <c r="CS352" s="19">
        <v>0</v>
      </c>
      <c r="CT352" s="19">
        <v>0</v>
      </c>
      <c r="CU352" s="19">
        <v>0</v>
      </c>
      <c r="CV352" s="19">
        <v>0</v>
      </c>
      <c r="CW352" s="19">
        <v>0</v>
      </c>
      <c r="CX352" s="19">
        <v>0</v>
      </c>
      <c r="CY352" s="19">
        <v>0</v>
      </c>
      <c r="CZ352" s="19">
        <v>0</v>
      </c>
      <c r="DA352" s="19">
        <v>0</v>
      </c>
      <c r="DB352" s="19">
        <v>0</v>
      </c>
      <c r="DC352" s="19">
        <v>0</v>
      </c>
      <c r="DD352" s="19">
        <v>0</v>
      </c>
      <c r="DE352" s="19">
        <v>0</v>
      </c>
      <c r="DF352" s="19">
        <v>0</v>
      </c>
      <c r="DG352" s="19">
        <v>0</v>
      </c>
      <c r="DH352" s="19">
        <v>0</v>
      </c>
      <c r="DI352" s="19">
        <v>0</v>
      </c>
      <c r="DJ352" s="19">
        <v>0</v>
      </c>
      <c r="DK352" s="19">
        <v>0</v>
      </c>
      <c r="DL352" s="19">
        <v>0</v>
      </c>
      <c r="DM352" s="19">
        <v>0</v>
      </c>
      <c r="DN352" s="19">
        <v>0</v>
      </c>
      <c r="DO352" s="19">
        <v>0</v>
      </c>
      <c r="DP352" s="19">
        <v>0</v>
      </c>
      <c r="DQ352" s="19">
        <v>0</v>
      </c>
      <c r="DR352" s="19">
        <v>0</v>
      </c>
      <c r="DS352" s="19">
        <v>0</v>
      </c>
      <c r="DT352" s="19">
        <v>0</v>
      </c>
      <c r="DU352" s="19">
        <v>0</v>
      </c>
      <c r="DV352" s="19">
        <v>0</v>
      </c>
      <c r="DW352" s="19">
        <v>0</v>
      </c>
      <c r="DX352" s="19">
        <v>0</v>
      </c>
      <c r="DY352" s="19">
        <v>0</v>
      </c>
      <c r="DZ352" s="19">
        <v>0</v>
      </c>
      <c r="EA352" s="19">
        <v>0</v>
      </c>
      <c r="EB352" s="19">
        <v>0</v>
      </c>
      <c r="EC352" s="19">
        <v>0</v>
      </c>
      <c r="ED352" s="19">
        <v>0</v>
      </c>
      <c r="EE352" s="19">
        <v>0</v>
      </c>
      <c r="EF352" s="19">
        <v>0</v>
      </c>
      <c r="EG352" s="19">
        <v>0</v>
      </c>
      <c r="EH352" s="19">
        <v>0</v>
      </c>
      <c r="EI352" s="19">
        <v>0</v>
      </c>
      <c r="EJ352" s="19">
        <v>0</v>
      </c>
      <c r="EK352" s="19">
        <v>0</v>
      </c>
      <c r="EL352" s="19">
        <v>0</v>
      </c>
      <c r="EM352" s="19">
        <v>0</v>
      </c>
      <c r="EN352" s="19">
        <v>0</v>
      </c>
      <c r="EO352" s="19">
        <v>0</v>
      </c>
      <c r="EP352" s="19">
        <v>0</v>
      </c>
      <c r="EQ352" s="19">
        <v>0</v>
      </c>
      <c r="ER352" s="19">
        <v>0</v>
      </c>
      <c r="ES352" s="119">
        <v>0</v>
      </c>
      <c r="ET352" s="119">
        <v>0</v>
      </c>
    </row>
    <row r="353" spans="1:150" ht="16.5" customHeight="1" x14ac:dyDescent="0.35">
      <c r="A353" s="4">
        <v>210</v>
      </c>
      <c r="B353" s="4" t="str">
        <f>LOOKUP(A353,Lookup!$A$1:$A$34,Lookup!$B$1:$B$34)</f>
        <v>INGREDIENTS</v>
      </c>
      <c r="C353" s="5">
        <v>52219</v>
      </c>
      <c r="D353" s="6" t="s">
        <v>335</v>
      </c>
      <c r="E353" s="18">
        <v>0</v>
      </c>
      <c r="F353" s="18">
        <v>0</v>
      </c>
      <c r="G353" s="18">
        <v>0</v>
      </c>
      <c r="H353" s="18">
        <v>0</v>
      </c>
      <c r="I353" s="19">
        <v>0</v>
      </c>
      <c r="J353" s="19">
        <v>0</v>
      </c>
      <c r="K353" s="19">
        <v>0</v>
      </c>
      <c r="L353" s="19">
        <v>0</v>
      </c>
      <c r="M353" s="19">
        <v>0</v>
      </c>
      <c r="N353" s="19">
        <v>0</v>
      </c>
      <c r="O353" s="19">
        <v>0</v>
      </c>
      <c r="P353" s="19">
        <v>0</v>
      </c>
      <c r="Q353" s="19">
        <v>0</v>
      </c>
      <c r="R353" s="19">
        <v>0</v>
      </c>
      <c r="S353" s="19">
        <v>0</v>
      </c>
      <c r="T353" s="19">
        <v>0</v>
      </c>
      <c r="U353" s="19">
        <v>0</v>
      </c>
      <c r="V353" s="19">
        <v>0</v>
      </c>
      <c r="W353" s="19">
        <v>0</v>
      </c>
      <c r="X353" s="19">
        <v>0</v>
      </c>
      <c r="Y353" s="19">
        <v>0</v>
      </c>
      <c r="Z353" s="19">
        <v>0</v>
      </c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>
        <v>0</v>
      </c>
      <c r="AI353" s="19">
        <v>0</v>
      </c>
      <c r="AJ353" s="19">
        <v>0</v>
      </c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>
        <v>0</v>
      </c>
      <c r="AS353" s="19">
        <v>0</v>
      </c>
      <c r="AT353" s="19">
        <v>0</v>
      </c>
      <c r="AU353" s="19">
        <v>0</v>
      </c>
      <c r="AV353" s="19">
        <v>0</v>
      </c>
      <c r="AW353" s="19">
        <v>0</v>
      </c>
      <c r="AX353" s="19">
        <v>0</v>
      </c>
      <c r="AY353" s="19">
        <v>0</v>
      </c>
      <c r="AZ353" s="19">
        <v>0</v>
      </c>
      <c r="BA353" s="19">
        <v>0</v>
      </c>
      <c r="BB353" s="19">
        <v>0</v>
      </c>
      <c r="BC353" s="19">
        <v>0</v>
      </c>
      <c r="BD353" s="19">
        <v>0</v>
      </c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>
        <v>0</v>
      </c>
      <c r="BM353" s="19">
        <v>0</v>
      </c>
      <c r="BN353" s="19">
        <v>0</v>
      </c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>
        <v>0</v>
      </c>
      <c r="BV353" s="19">
        <v>0</v>
      </c>
      <c r="BW353" s="19">
        <v>0</v>
      </c>
      <c r="BX353" s="19">
        <v>0</v>
      </c>
      <c r="BY353" s="19">
        <v>0</v>
      </c>
      <c r="BZ353" s="19">
        <v>0</v>
      </c>
      <c r="CA353" s="19">
        <v>0</v>
      </c>
      <c r="CB353" s="19">
        <v>0</v>
      </c>
      <c r="CC353" s="19">
        <v>0</v>
      </c>
      <c r="CD353" s="19">
        <v>0</v>
      </c>
      <c r="CE353" s="19">
        <v>0</v>
      </c>
      <c r="CF353" s="19">
        <v>0</v>
      </c>
      <c r="CG353" s="19">
        <v>0</v>
      </c>
      <c r="CH353" s="19">
        <v>0</v>
      </c>
      <c r="CI353" s="19">
        <v>0</v>
      </c>
      <c r="CJ353" s="19">
        <v>0</v>
      </c>
      <c r="CK353" s="19">
        <v>0</v>
      </c>
      <c r="CL353" s="19">
        <v>0</v>
      </c>
      <c r="CM353" s="19">
        <v>0</v>
      </c>
      <c r="CN353" s="19">
        <v>0</v>
      </c>
      <c r="CO353" s="19">
        <v>0</v>
      </c>
      <c r="CP353" s="19">
        <v>0</v>
      </c>
      <c r="CQ353" s="19">
        <v>0</v>
      </c>
      <c r="CR353" s="19">
        <v>0</v>
      </c>
      <c r="CS353" s="19">
        <v>0</v>
      </c>
      <c r="CT353" s="19">
        <v>0</v>
      </c>
      <c r="CU353" s="19">
        <v>0</v>
      </c>
      <c r="CV353" s="19">
        <v>0</v>
      </c>
      <c r="CW353" s="19">
        <v>0</v>
      </c>
      <c r="CX353" s="19">
        <v>0</v>
      </c>
      <c r="CY353" s="19">
        <v>0</v>
      </c>
      <c r="CZ353" s="19">
        <v>0</v>
      </c>
      <c r="DA353" s="19">
        <v>0</v>
      </c>
      <c r="DB353" s="19">
        <v>0</v>
      </c>
      <c r="DC353" s="19">
        <v>0</v>
      </c>
      <c r="DD353" s="19">
        <v>0</v>
      </c>
      <c r="DE353" s="19">
        <v>0</v>
      </c>
      <c r="DF353" s="19">
        <v>0</v>
      </c>
      <c r="DG353" s="19">
        <v>0</v>
      </c>
      <c r="DH353" s="19">
        <v>0</v>
      </c>
      <c r="DI353" s="19">
        <v>0</v>
      </c>
      <c r="DJ353" s="19">
        <v>0</v>
      </c>
      <c r="DK353" s="19">
        <v>0</v>
      </c>
      <c r="DL353" s="19">
        <v>0</v>
      </c>
      <c r="DM353" s="19">
        <v>0</v>
      </c>
      <c r="DN353" s="19">
        <v>0</v>
      </c>
      <c r="DO353" s="19">
        <v>0</v>
      </c>
      <c r="DP353" s="19">
        <v>0</v>
      </c>
      <c r="DQ353" s="19">
        <v>0</v>
      </c>
      <c r="DR353" s="19">
        <v>0</v>
      </c>
      <c r="DS353" s="19">
        <v>0</v>
      </c>
      <c r="DT353" s="19">
        <v>0</v>
      </c>
      <c r="DU353" s="19">
        <v>0</v>
      </c>
      <c r="DV353" s="19">
        <v>0</v>
      </c>
      <c r="DW353" s="19">
        <v>0</v>
      </c>
      <c r="DX353" s="19">
        <v>0</v>
      </c>
      <c r="DY353" s="19">
        <v>0</v>
      </c>
      <c r="DZ353" s="19">
        <v>0</v>
      </c>
      <c r="EA353" s="19">
        <v>0</v>
      </c>
      <c r="EB353" s="19">
        <v>0</v>
      </c>
      <c r="EC353" s="19">
        <v>0</v>
      </c>
      <c r="ED353" s="19">
        <v>0</v>
      </c>
      <c r="EE353" s="19">
        <v>0</v>
      </c>
      <c r="EF353" s="19">
        <v>0</v>
      </c>
      <c r="EG353" s="19">
        <v>0</v>
      </c>
      <c r="EH353" s="19">
        <v>0</v>
      </c>
      <c r="EI353" s="19">
        <v>0</v>
      </c>
      <c r="EJ353" s="19">
        <v>0</v>
      </c>
      <c r="EK353" s="19">
        <v>0</v>
      </c>
      <c r="EL353" s="19">
        <v>0</v>
      </c>
      <c r="EM353" s="19">
        <v>0</v>
      </c>
      <c r="EN353" s="19">
        <v>0</v>
      </c>
      <c r="EO353" s="19">
        <v>0</v>
      </c>
      <c r="EP353" s="19">
        <v>0</v>
      </c>
      <c r="EQ353" s="19">
        <v>0</v>
      </c>
      <c r="ER353" s="19">
        <v>0</v>
      </c>
      <c r="ES353" s="119">
        <v>0</v>
      </c>
      <c r="ET353" s="119">
        <v>0</v>
      </c>
    </row>
    <row r="354" spans="1:150" ht="16.5" customHeight="1" x14ac:dyDescent="0.35">
      <c r="A354" s="4">
        <v>210</v>
      </c>
      <c r="B354" s="4" t="str">
        <f>LOOKUP(A354,Lookup!$A$1:$A$34,Lookup!$B$1:$B$34)</f>
        <v>INGREDIENTS</v>
      </c>
      <c r="C354" s="5">
        <v>53701</v>
      </c>
      <c r="D354" s="6" t="s">
        <v>336</v>
      </c>
      <c r="E354" s="18">
        <v>0</v>
      </c>
      <c r="F354" s="18">
        <v>0</v>
      </c>
      <c r="G354" s="18">
        <v>0</v>
      </c>
      <c r="H354" s="18">
        <v>0</v>
      </c>
      <c r="I354" s="19">
        <v>0</v>
      </c>
      <c r="J354" s="19">
        <v>0</v>
      </c>
      <c r="K354" s="19">
        <v>0</v>
      </c>
      <c r="L354" s="19">
        <v>0</v>
      </c>
      <c r="M354" s="19">
        <v>0</v>
      </c>
      <c r="N354" s="19">
        <v>0</v>
      </c>
      <c r="O354" s="19">
        <v>0</v>
      </c>
      <c r="P354" s="19">
        <v>0</v>
      </c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>
        <v>0</v>
      </c>
      <c r="Y354" s="19">
        <v>0</v>
      </c>
      <c r="Z354" s="19">
        <v>0</v>
      </c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>
        <v>0</v>
      </c>
      <c r="AI354" s="19">
        <v>0</v>
      </c>
      <c r="AJ354" s="19">
        <v>0</v>
      </c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>
        <v>0</v>
      </c>
      <c r="AS354" s="19">
        <v>0</v>
      </c>
      <c r="AT354" s="19">
        <v>0</v>
      </c>
      <c r="AU354" s="19">
        <v>0</v>
      </c>
      <c r="AV354" s="19">
        <v>0</v>
      </c>
      <c r="AW354" s="19">
        <v>0</v>
      </c>
      <c r="AX354" s="19">
        <v>0</v>
      </c>
      <c r="AY354" s="19">
        <v>0</v>
      </c>
      <c r="AZ354" s="19">
        <v>0</v>
      </c>
      <c r="BA354" s="19">
        <v>0</v>
      </c>
      <c r="BB354" s="19">
        <v>0</v>
      </c>
      <c r="BC354" s="19">
        <v>0</v>
      </c>
      <c r="BD354" s="19">
        <v>0</v>
      </c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>
        <v>0</v>
      </c>
      <c r="BM354" s="19">
        <v>0</v>
      </c>
      <c r="BN354" s="19">
        <v>0</v>
      </c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>
        <v>0</v>
      </c>
      <c r="BV354" s="19">
        <v>0</v>
      </c>
      <c r="BW354" s="19">
        <v>0</v>
      </c>
      <c r="BX354" s="19">
        <v>0</v>
      </c>
      <c r="BY354" s="19">
        <v>0</v>
      </c>
      <c r="BZ354" s="19">
        <v>0</v>
      </c>
      <c r="CA354" s="19">
        <v>0</v>
      </c>
      <c r="CB354" s="19">
        <v>0</v>
      </c>
      <c r="CC354" s="19">
        <v>0</v>
      </c>
      <c r="CD354" s="19">
        <v>0</v>
      </c>
      <c r="CE354" s="19">
        <v>0</v>
      </c>
      <c r="CF354" s="19">
        <v>0</v>
      </c>
      <c r="CG354" s="19">
        <v>0</v>
      </c>
      <c r="CH354" s="19">
        <v>0</v>
      </c>
      <c r="CI354" s="19">
        <v>0</v>
      </c>
      <c r="CJ354" s="19">
        <v>0</v>
      </c>
      <c r="CK354" s="19">
        <v>0</v>
      </c>
      <c r="CL354" s="19">
        <v>0</v>
      </c>
      <c r="CM354" s="19">
        <v>0</v>
      </c>
      <c r="CN354" s="19">
        <v>0</v>
      </c>
      <c r="CO354" s="19">
        <v>0</v>
      </c>
      <c r="CP354" s="19">
        <v>0</v>
      </c>
      <c r="CQ354" s="19">
        <v>0</v>
      </c>
      <c r="CR354" s="19">
        <v>0</v>
      </c>
      <c r="CS354" s="19">
        <v>0</v>
      </c>
      <c r="CT354" s="19">
        <v>0</v>
      </c>
      <c r="CU354" s="19">
        <v>0</v>
      </c>
      <c r="CV354" s="19">
        <v>0</v>
      </c>
      <c r="CW354" s="19">
        <v>0</v>
      </c>
      <c r="CX354" s="19">
        <v>0</v>
      </c>
      <c r="CY354" s="19">
        <v>0</v>
      </c>
      <c r="CZ354" s="19">
        <v>0</v>
      </c>
      <c r="DA354" s="19">
        <v>0</v>
      </c>
      <c r="DB354" s="19">
        <v>0</v>
      </c>
      <c r="DC354" s="19">
        <v>0</v>
      </c>
      <c r="DD354" s="19">
        <v>0</v>
      </c>
      <c r="DE354" s="19">
        <v>0</v>
      </c>
      <c r="DF354" s="19">
        <v>0</v>
      </c>
      <c r="DG354" s="19">
        <v>0</v>
      </c>
      <c r="DH354" s="19">
        <v>0</v>
      </c>
      <c r="DI354" s="19">
        <v>0</v>
      </c>
      <c r="DJ354" s="19">
        <v>0</v>
      </c>
      <c r="DK354" s="19">
        <v>0</v>
      </c>
      <c r="DL354" s="19">
        <v>0</v>
      </c>
      <c r="DM354" s="19">
        <v>0</v>
      </c>
      <c r="DN354" s="19">
        <v>0</v>
      </c>
      <c r="DO354" s="19">
        <v>0</v>
      </c>
      <c r="DP354" s="19">
        <v>0</v>
      </c>
      <c r="DQ354" s="19">
        <v>0</v>
      </c>
      <c r="DR354" s="19">
        <v>0</v>
      </c>
      <c r="DS354" s="19">
        <v>0</v>
      </c>
      <c r="DT354" s="19">
        <v>0</v>
      </c>
      <c r="DU354" s="19">
        <v>0</v>
      </c>
      <c r="DV354" s="19">
        <v>0</v>
      </c>
      <c r="DW354" s="19">
        <v>0</v>
      </c>
      <c r="DX354" s="19">
        <v>0</v>
      </c>
      <c r="DY354" s="19">
        <v>0</v>
      </c>
      <c r="DZ354" s="19">
        <v>0</v>
      </c>
      <c r="EA354" s="19">
        <v>0</v>
      </c>
      <c r="EB354" s="19">
        <v>0</v>
      </c>
      <c r="EC354" s="19">
        <v>0</v>
      </c>
      <c r="ED354" s="19">
        <v>0</v>
      </c>
      <c r="EE354" s="19">
        <v>0</v>
      </c>
      <c r="EF354" s="19">
        <v>0</v>
      </c>
      <c r="EG354" s="19">
        <v>0</v>
      </c>
      <c r="EH354" s="19">
        <v>0</v>
      </c>
      <c r="EI354" s="19">
        <v>0</v>
      </c>
      <c r="EJ354" s="19">
        <v>0</v>
      </c>
      <c r="EK354" s="19">
        <v>0</v>
      </c>
      <c r="EL354" s="19">
        <v>0</v>
      </c>
      <c r="EM354" s="19">
        <v>0</v>
      </c>
      <c r="EN354" s="19">
        <v>0</v>
      </c>
      <c r="EO354" s="19">
        <v>0</v>
      </c>
      <c r="EP354" s="19">
        <v>0</v>
      </c>
      <c r="EQ354" s="19">
        <v>0</v>
      </c>
      <c r="ER354" s="19">
        <v>0</v>
      </c>
      <c r="ES354" s="119">
        <v>0</v>
      </c>
      <c r="ET354" s="119">
        <v>0</v>
      </c>
    </row>
    <row r="355" spans="1:150" ht="16.5" customHeight="1" x14ac:dyDescent="0.35">
      <c r="A355" s="4">
        <v>210</v>
      </c>
      <c r="B355" s="4" t="str">
        <f>LOOKUP(A355,Lookup!$A$1:$A$34,Lookup!$B$1:$B$34)</f>
        <v>INGREDIENTS</v>
      </c>
      <c r="C355" s="5">
        <v>53805</v>
      </c>
      <c r="D355" s="6" t="s">
        <v>337</v>
      </c>
      <c r="E355" s="18">
        <v>0</v>
      </c>
      <c r="F355" s="18">
        <v>0</v>
      </c>
      <c r="G355" s="18">
        <v>0</v>
      </c>
      <c r="H355" s="18">
        <v>0</v>
      </c>
      <c r="I355" s="19">
        <v>0</v>
      </c>
      <c r="J355" s="19">
        <v>0</v>
      </c>
      <c r="K355" s="19">
        <v>0</v>
      </c>
      <c r="L355" s="19">
        <v>0</v>
      </c>
      <c r="M355" s="19">
        <v>0</v>
      </c>
      <c r="N355" s="19">
        <v>0</v>
      </c>
      <c r="O355" s="19">
        <v>0</v>
      </c>
      <c r="P355" s="19">
        <v>0</v>
      </c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>
        <v>0</v>
      </c>
      <c r="Y355" s="19">
        <v>0</v>
      </c>
      <c r="Z355" s="19">
        <v>0</v>
      </c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>
        <v>0</v>
      </c>
      <c r="AI355" s="19">
        <v>0</v>
      </c>
      <c r="AJ355" s="19">
        <v>0</v>
      </c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>
        <v>0</v>
      </c>
      <c r="AS355" s="19">
        <v>0</v>
      </c>
      <c r="AT355" s="19">
        <v>0</v>
      </c>
      <c r="AU355" s="19">
        <v>0</v>
      </c>
      <c r="AV355" s="19">
        <v>0</v>
      </c>
      <c r="AW355" s="19">
        <v>0</v>
      </c>
      <c r="AX355" s="19">
        <v>0</v>
      </c>
      <c r="AY355" s="19">
        <v>0</v>
      </c>
      <c r="AZ355" s="19">
        <v>0</v>
      </c>
      <c r="BA355" s="19">
        <v>0</v>
      </c>
      <c r="BB355" s="19">
        <v>0</v>
      </c>
      <c r="BC355" s="19">
        <v>0</v>
      </c>
      <c r="BD355" s="19">
        <v>0</v>
      </c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>
        <v>0</v>
      </c>
      <c r="BM355" s="19">
        <v>0</v>
      </c>
      <c r="BN355" s="19">
        <v>0</v>
      </c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>
        <v>0</v>
      </c>
      <c r="BV355" s="19">
        <v>0</v>
      </c>
      <c r="BW355" s="19">
        <v>0</v>
      </c>
      <c r="BX355" s="19">
        <v>0</v>
      </c>
      <c r="BY355" s="19">
        <v>0</v>
      </c>
      <c r="BZ355" s="19">
        <v>0</v>
      </c>
      <c r="CA355" s="19">
        <v>0</v>
      </c>
      <c r="CB355" s="19">
        <v>0</v>
      </c>
      <c r="CC355" s="19">
        <v>0</v>
      </c>
      <c r="CD355" s="19">
        <v>0</v>
      </c>
      <c r="CE355" s="19">
        <v>0</v>
      </c>
      <c r="CF355" s="19">
        <v>0</v>
      </c>
      <c r="CG355" s="19">
        <v>0</v>
      </c>
      <c r="CH355" s="19">
        <v>0</v>
      </c>
      <c r="CI355" s="19">
        <v>0</v>
      </c>
      <c r="CJ355" s="19">
        <v>0</v>
      </c>
      <c r="CK355" s="19">
        <v>0</v>
      </c>
      <c r="CL355" s="19">
        <v>0</v>
      </c>
      <c r="CM355" s="19">
        <v>0</v>
      </c>
      <c r="CN355" s="19">
        <v>0</v>
      </c>
      <c r="CO355" s="19">
        <v>0</v>
      </c>
      <c r="CP355" s="19">
        <v>0</v>
      </c>
      <c r="CQ355" s="19">
        <v>0</v>
      </c>
      <c r="CR355" s="19">
        <v>0</v>
      </c>
      <c r="CS355" s="19">
        <v>0</v>
      </c>
      <c r="CT355" s="19">
        <v>0</v>
      </c>
      <c r="CU355" s="19">
        <v>0</v>
      </c>
      <c r="CV355" s="19">
        <v>0</v>
      </c>
      <c r="CW355" s="19">
        <v>0</v>
      </c>
      <c r="CX355" s="19">
        <v>0</v>
      </c>
      <c r="CY355" s="19">
        <v>0</v>
      </c>
      <c r="CZ355" s="19">
        <v>0</v>
      </c>
      <c r="DA355" s="19">
        <v>0</v>
      </c>
      <c r="DB355" s="19">
        <v>0</v>
      </c>
      <c r="DC355" s="19">
        <v>0</v>
      </c>
      <c r="DD355" s="19">
        <v>0</v>
      </c>
      <c r="DE355" s="19">
        <v>0</v>
      </c>
      <c r="DF355" s="19">
        <v>0</v>
      </c>
      <c r="DG355" s="19">
        <v>0</v>
      </c>
      <c r="DH355" s="19">
        <v>0</v>
      </c>
      <c r="DI355" s="19">
        <v>0</v>
      </c>
      <c r="DJ355" s="19">
        <v>0</v>
      </c>
      <c r="DK355" s="19">
        <v>0</v>
      </c>
      <c r="DL355" s="19">
        <v>0</v>
      </c>
      <c r="DM355" s="19">
        <v>0</v>
      </c>
      <c r="DN355" s="19">
        <v>0</v>
      </c>
      <c r="DO355" s="19">
        <v>0</v>
      </c>
      <c r="DP355" s="19">
        <v>0</v>
      </c>
      <c r="DQ355" s="19">
        <v>0</v>
      </c>
      <c r="DR355" s="19">
        <v>0</v>
      </c>
      <c r="DS355" s="19">
        <v>0</v>
      </c>
      <c r="DT355" s="19">
        <v>0</v>
      </c>
      <c r="DU355" s="19">
        <v>0</v>
      </c>
      <c r="DV355" s="19">
        <v>0</v>
      </c>
      <c r="DW355" s="19">
        <v>0</v>
      </c>
      <c r="DX355" s="19">
        <v>0</v>
      </c>
      <c r="DY355" s="19">
        <v>0</v>
      </c>
      <c r="DZ355" s="19">
        <v>0</v>
      </c>
      <c r="EA355" s="19">
        <v>0</v>
      </c>
      <c r="EB355" s="19">
        <v>0</v>
      </c>
      <c r="EC355" s="19">
        <v>0</v>
      </c>
      <c r="ED355" s="19">
        <v>0</v>
      </c>
      <c r="EE355" s="19">
        <v>0</v>
      </c>
      <c r="EF355" s="19">
        <v>0</v>
      </c>
      <c r="EG355" s="19">
        <v>0</v>
      </c>
      <c r="EH355" s="19">
        <v>0</v>
      </c>
      <c r="EI355" s="19">
        <v>0</v>
      </c>
      <c r="EJ355" s="19">
        <v>0</v>
      </c>
      <c r="EK355" s="19">
        <v>0</v>
      </c>
      <c r="EL355" s="19">
        <v>0</v>
      </c>
      <c r="EM355" s="19">
        <v>0</v>
      </c>
      <c r="EN355" s="19">
        <v>0</v>
      </c>
      <c r="EO355" s="19">
        <v>0</v>
      </c>
      <c r="EP355" s="19">
        <v>0</v>
      </c>
      <c r="EQ355" s="19">
        <v>0</v>
      </c>
      <c r="ER355" s="19">
        <v>0</v>
      </c>
      <c r="ES355" s="119">
        <v>0</v>
      </c>
      <c r="ET355" s="119">
        <v>0</v>
      </c>
    </row>
    <row r="356" spans="1:150" ht="16.5" customHeight="1" x14ac:dyDescent="0.35">
      <c r="A356" s="4">
        <v>210</v>
      </c>
      <c r="B356" s="4" t="str">
        <f>LOOKUP(A356,Lookup!$A$1:$A$34,Lookup!$B$1:$B$34)</f>
        <v>INGREDIENTS</v>
      </c>
      <c r="C356" s="5">
        <v>55892</v>
      </c>
      <c r="D356" s="6" t="s">
        <v>338</v>
      </c>
      <c r="E356" s="18">
        <v>0</v>
      </c>
      <c r="F356" s="18">
        <v>0</v>
      </c>
      <c r="G356" s="18">
        <v>0</v>
      </c>
      <c r="H356" s="18">
        <v>0</v>
      </c>
      <c r="I356" s="19">
        <v>0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  <c r="P356" s="19">
        <v>0</v>
      </c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>
        <v>0</v>
      </c>
      <c r="Y356" s="19">
        <v>0</v>
      </c>
      <c r="Z356" s="19">
        <v>0</v>
      </c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>
        <v>0</v>
      </c>
      <c r="AI356" s="19">
        <v>0</v>
      </c>
      <c r="AJ356" s="19">
        <v>0</v>
      </c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>
        <v>0</v>
      </c>
      <c r="AS356" s="19">
        <v>0</v>
      </c>
      <c r="AT356" s="19">
        <v>0</v>
      </c>
      <c r="AU356" s="19">
        <v>0</v>
      </c>
      <c r="AV356" s="19">
        <v>0</v>
      </c>
      <c r="AW356" s="19">
        <v>0</v>
      </c>
      <c r="AX356" s="19">
        <v>0</v>
      </c>
      <c r="AY356" s="19">
        <v>0</v>
      </c>
      <c r="AZ356" s="19">
        <v>0</v>
      </c>
      <c r="BA356" s="19">
        <v>0</v>
      </c>
      <c r="BB356" s="19">
        <v>0</v>
      </c>
      <c r="BC356" s="19">
        <v>0</v>
      </c>
      <c r="BD356" s="19">
        <v>0</v>
      </c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>
        <v>0</v>
      </c>
      <c r="BM356" s="19">
        <v>0</v>
      </c>
      <c r="BN356" s="19">
        <v>0</v>
      </c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>
        <v>0</v>
      </c>
      <c r="BV356" s="19">
        <v>0</v>
      </c>
      <c r="BW356" s="19">
        <v>0</v>
      </c>
      <c r="BX356" s="19">
        <v>0</v>
      </c>
      <c r="BY356" s="19">
        <v>0</v>
      </c>
      <c r="BZ356" s="19">
        <v>0</v>
      </c>
      <c r="CA356" s="19">
        <v>0</v>
      </c>
      <c r="CB356" s="19">
        <v>0</v>
      </c>
      <c r="CC356" s="19">
        <v>0</v>
      </c>
      <c r="CD356" s="19">
        <v>0</v>
      </c>
      <c r="CE356" s="19">
        <v>0</v>
      </c>
      <c r="CF356" s="19">
        <v>0</v>
      </c>
      <c r="CG356" s="19">
        <v>0</v>
      </c>
      <c r="CH356" s="19">
        <v>0</v>
      </c>
      <c r="CI356" s="19">
        <v>0</v>
      </c>
      <c r="CJ356" s="19">
        <v>0</v>
      </c>
      <c r="CK356" s="19">
        <v>0</v>
      </c>
      <c r="CL356" s="19">
        <v>0</v>
      </c>
      <c r="CM356" s="19">
        <v>0</v>
      </c>
      <c r="CN356" s="19">
        <v>0</v>
      </c>
      <c r="CO356" s="19">
        <v>0</v>
      </c>
      <c r="CP356" s="19">
        <v>0</v>
      </c>
      <c r="CQ356" s="19">
        <v>0</v>
      </c>
      <c r="CR356" s="19">
        <v>0</v>
      </c>
      <c r="CS356" s="19">
        <v>0</v>
      </c>
      <c r="CT356" s="19">
        <v>0</v>
      </c>
      <c r="CU356" s="19">
        <v>0</v>
      </c>
      <c r="CV356" s="19">
        <v>0</v>
      </c>
      <c r="CW356" s="19">
        <v>0</v>
      </c>
      <c r="CX356" s="19">
        <v>0</v>
      </c>
      <c r="CY356" s="19">
        <v>0</v>
      </c>
      <c r="CZ356" s="19">
        <v>0</v>
      </c>
      <c r="DA356" s="19">
        <v>0</v>
      </c>
      <c r="DB356" s="19">
        <v>0</v>
      </c>
      <c r="DC356" s="19">
        <v>0</v>
      </c>
      <c r="DD356" s="19">
        <v>0</v>
      </c>
      <c r="DE356" s="19">
        <v>0</v>
      </c>
      <c r="DF356" s="19">
        <v>0</v>
      </c>
      <c r="DG356" s="19">
        <v>0</v>
      </c>
      <c r="DH356" s="19">
        <v>0</v>
      </c>
      <c r="DI356" s="19">
        <v>0</v>
      </c>
      <c r="DJ356" s="19">
        <v>0</v>
      </c>
      <c r="DK356" s="19">
        <v>0</v>
      </c>
      <c r="DL356" s="19">
        <v>0</v>
      </c>
      <c r="DM356" s="19">
        <v>0</v>
      </c>
      <c r="DN356" s="19">
        <v>0</v>
      </c>
      <c r="DO356" s="19">
        <v>0</v>
      </c>
      <c r="DP356" s="19">
        <v>0</v>
      </c>
      <c r="DQ356" s="19">
        <v>0</v>
      </c>
      <c r="DR356" s="19">
        <v>0</v>
      </c>
      <c r="DS356" s="19">
        <v>0</v>
      </c>
      <c r="DT356" s="19">
        <v>0</v>
      </c>
      <c r="DU356" s="19">
        <v>0</v>
      </c>
      <c r="DV356" s="19">
        <v>0</v>
      </c>
      <c r="DW356" s="19">
        <v>0</v>
      </c>
      <c r="DX356" s="19">
        <v>0</v>
      </c>
      <c r="DY356" s="19">
        <v>0</v>
      </c>
      <c r="DZ356" s="19">
        <v>0</v>
      </c>
      <c r="EA356" s="19">
        <v>0</v>
      </c>
      <c r="EB356" s="19">
        <v>0</v>
      </c>
      <c r="EC356" s="19">
        <v>0</v>
      </c>
      <c r="ED356" s="19">
        <v>0</v>
      </c>
      <c r="EE356" s="19">
        <v>0</v>
      </c>
      <c r="EF356" s="19">
        <v>0</v>
      </c>
      <c r="EG356" s="19">
        <v>0</v>
      </c>
      <c r="EH356" s="19">
        <v>0</v>
      </c>
      <c r="EI356" s="19">
        <v>0</v>
      </c>
      <c r="EJ356" s="19">
        <v>0</v>
      </c>
      <c r="EK356" s="19">
        <v>0</v>
      </c>
      <c r="EL356" s="19">
        <v>0</v>
      </c>
      <c r="EM356" s="19">
        <v>0</v>
      </c>
      <c r="EN356" s="19">
        <v>0</v>
      </c>
      <c r="EO356" s="19">
        <v>0</v>
      </c>
      <c r="EP356" s="19">
        <v>0</v>
      </c>
      <c r="EQ356" s="19">
        <v>0</v>
      </c>
      <c r="ER356" s="19">
        <v>0</v>
      </c>
      <c r="ES356" s="119">
        <v>0</v>
      </c>
      <c r="ET356" s="119">
        <v>0</v>
      </c>
    </row>
    <row r="357" spans="1:150" ht="16.5" customHeight="1" x14ac:dyDescent="0.35">
      <c r="A357" s="4">
        <v>210</v>
      </c>
      <c r="B357" s="4" t="str">
        <f>LOOKUP(A357,Lookup!$A$1:$A$34,Lookup!$B$1:$B$34)</f>
        <v>INGREDIENTS</v>
      </c>
      <c r="C357" s="5">
        <v>62429</v>
      </c>
      <c r="D357" s="6" t="s">
        <v>339</v>
      </c>
      <c r="E357" s="18">
        <v>0</v>
      </c>
      <c r="F357" s="18">
        <v>0</v>
      </c>
      <c r="G357" s="18">
        <v>0</v>
      </c>
      <c r="H357" s="18">
        <v>0</v>
      </c>
      <c r="I357" s="19">
        <v>0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>
        <v>0</v>
      </c>
      <c r="AS357" s="19">
        <v>0</v>
      </c>
      <c r="AT357" s="19">
        <v>0</v>
      </c>
      <c r="AU357" s="19">
        <v>0</v>
      </c>
      <c r="AV357" s="19">
        <v>0</v>
      </c>
      <c r="AW357" s="19">
        <v>0</v>
      </c>
      <c r="AX357" s="19">
        <v>0</v>
      </c>
      <c r="AY357" s="19">
        <v>0</v>
      </c>
      <c r="AZ357" s="19">
        <v>0</v>
      </c>
      <c r="BA357" s="19">
        <v>0</v>
      </c>
      <c r="BB357" s="19">
        <v>0</v>
      </c>
      <c r="BC357" s="19">
        <v>0</v>
      </c>
      <c r="BD357" s="19">
        <v>0</v>
      </c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>
        <v>0</v>
      </c>
      <c r="BM357" s="19">
        <v>0</v>
      </c>
      <c r="BN357" s="19">
        <v>0</v>
      </c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>
        <v>0</v>
      </c>
      <c r="BV357" s="19">
        <v>0</v>
      </c>
      <c r="BW357" s="19">
        <v>0</v>
      </c>
      <c r="BX357" s="19">
        <v>0</v>
      </c>
      <c r="BY357" s="19">
        <v>0</v>
      </c>
      <c r="BZ357" s="19">
        <v>0</v>
      </c>
      <c r="CA357" s="19">
        <v>0</v>
      </c>
      <c r="CB357" s="19">
        <v>0</v>
      </c>
      <c r="CC357" s="19">
        <v>0</v>
      </c>
      <c r="CD357" s="19">
        <v>0</v>
      </c>
      <c r="CE357" s="19">
        <v>0</v>
      </c>
      <c r="CF357" s="19">
        <v>0</v>
      </c>
      <c r="CG357" s="19">
        <v>0</v>
      </c>
      <c r="CH357" s="19">
        <v>0</v>
      </c>
      <c r="CI357" s="19">
        <v>0</v>
      </c>
      <c r="CJ357" s="19">
        <v>0</v>
      </c>
      <c r="CK357" s="19">
        <v>0</v>
      </c>
      <c r="CL357" s="19">
        <v>0</v>
      </c>
      <c r="CM357" s="19">
        <v>0</v>
      </c>
      <c r="CN357" s="19">
        <v>0</v>
      </c>
      <c r="CO357" s="19">
        <v>0</v>
      </c>
      <c r="CP357" s="19">
        <v>0</v>
      </c>
      <c r="CQ357" s="19">
        <v>0</v>
      </c>
      <c r="CR357" s="19">
        <v>0</v>
      </c>
      <c r="CS357" s="19">
        <v>0</v>
      </c>
      <c r="CT357" s="19">
        <v>0</v>
      </c>
      <c r="CU357" s="19">
        <v>0</v>
      </c>
      <c r="CV357" s="19">
        <v>0</v>
      </c>
      <c r="CW357" s="19">
        <v>0</v>
      </c>
      <c r="CX357" s="19">
        <v>0</v>
      </c>
      <c r="CY357" s="19">
        <v>0</v>
      </c>
      <c r="CZ357" s="19">
        <v>0</v>
      </c>
      <c r="DA357" s="19">
        <v>0</v>
      </c>
      <c r="DB357" s="19">
        <v>0</v>
      </c>
      <c r="DC357" s="19">
        <v>0</v>
      </c>
      <c r="DD357" s="19">
        <v>0</v>
      </c>
      <c r="DE357" s="19">
        <v>0</v>
      </c>
      <c r="DF357" s="19">
        <v>0</v>
      </c>
      <c r="DG357" s="19">
        <v>0</v>
      </c>
      <c r="DH357" s="19">
        <v>0</v>
      </c>
      <c r="DI357" s="19">
        <v>0</v>
      </c>
      <c r="DJ357" s="19">
        <v>0</v>
      </c>
      <c r="DK357" s="19">
        <v>0</v>
      </c>
      <c r="DL357" s="19">
        <v>0</v>
      </c>
      <c r="DM357" s="19">
        <v>0</v>
      </c>
      <c r="DN357" s="19">
        <v>0</v>
      </c>
      <c r="DO357" s="19">
        <v>0</v>
      </c>
      <c r="DP357" s="19">
        <v>0</v>
      </c>
      <c r="DQ357" s="19">
        <v>0</v>
      </c>
      <c r="DR357" s="19">
        <v>0</v>
      </c>
      <c r="DS357" s="19">
        <v>0</v>
      </c>
      <c r="DT357" s="19">
        <v>0</v>
      </c>
      <c r="DU357" s="19">
        <v>0</v>
      </c>
      <c r="DV357" s="19">
        <v>0</v>
      </c>
      <c r="DW357" s="19">
        <v>0</v>
      </c>
      <c r="DX357" s="19">
        <v>0</v>
      </c>
      <c r="DY357" s="19">
        <v>0</v>
      </c>
      <c r="DZ357" s="19">
        <v>0</v>
      </c>
      <c r="EA357" s="19">
        <v>0</v>
      </c>
      <c r="EB357" s="19">
        <v>0</v>
      </c>
      <c r="EC357" s="19">
        <v>0</v>
      </c>
      <c r="ED357" s="19">
        <v>0</v>
      </c>
      <c r="EE357" s="19">
        <v>0</v>
      </c>
      <c r="EF357" s="19">
        <v>0</v>
      </c>
      <c r="EG357" s="19">
        <v>0</v>
      </c>
      <c r="EH357" s="19">
        <v>0</v>
      </c>
      <c r="EI357" s="19">
        <v>0</v>
      </c>
      <c r="EJ357" s="19">
        <v>0</v>
      </c>
      <c r="EK357" s="19">
        <v>0</v>
      </c>
      <c r="EL357" s="19">
        <v>0</v>
      </c>
      <c r="EM357" s="19">
        <v>0</v>
      </c>
      <c r="EN357" s="19">
        <v>0</v>
      </c>
      <c r="EO357" s="19">
        <v>0</v>
      </c>
      <c r="EP357" s="19">
        <v>0</v>
      </c>
      <c r="EQ357" s="19">
        <v>0</v>
      </c>
      <c r="ER357" s="19">
        <v>0</v>
      </c>
      <c r="ES357" s="119">
        <v>0</v>
      </c>
      <c r="ET357" s="119">
        <v>0</v>
      </c>
    </row>
    <row r="358" spans="1:150" ht="16.5" customHeight="1" x14ac:dyDescent="0.35">
      <c r="A358" s="4">
        <v>210</v>
      </c>
      <c r="B358" s="4" t="str">
        <f>LOOKUP(A358,Lookup!$A$1:$A$34,Lookup!$B$1:$B$34)</f>
        <v>INGREDIENTS</v>
      </c>
      <c r="C358" s="5">
        <v>63272</v>
      </c>
      <c r="D358" s="6" t="s">
        <v>340</v>
      </c>
      <c r="E358" s="18">
        <v>0</v>
      </c>
      <c r="F358" s="18">
        <v>0</v>
      </c>
      <c r="G358" s="18">
        <v>0</v>
      </c>
      <c r="H358" s="18">
        <v>0</v>
      </c>
      <c r="I358" s="19">
        <v>0</v>
      </c>
      <c r="J358" s="19">
        <v>0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  <c r="P358" s="19">
        <v>0</v>
      </c>
      <c r="Q358" s="19">
        <v>0</v>
      </c>
      <c r="R358" s="19">
        <v>0</v>
      </c>
      <c r="S358" s="19">
        <v>0</v>
      </c>
      <c r="T358" s="19">
        <v>0</v>
      </c>
      <c r="U358" s="19">
        <v>0</v>
      </c>
      <c r="V358" s="19">
        <v>0</v>
      </c>
      <c r="W358" s="19">
        <v>0</v>
      </c>
      <c r="X358" s="19">
        <v>0</v>
      </c>
      <c r="Y358" s="19">
        <v>0</v>
      </c>
      <c r="Z358" s="19">
        <v>0</v>
      </c>
      <c r="AA358" s="19">
        <v>0</v>
      </c>
      <c r="AB358" s="19">
        <v>0</v>
      </c>
      <c r="AC358" s="19">
        <v>0</v>
      </c>
      <c r="AD358" s="19">
        <v>0</v>
      </c>
      <c r="AE358" s="19">
        <v>0</v>
      </c>
      <c r="AF358" s="19">
        <v>0</v>
      </c>
      <c r="AG358" s="19">
        <v>0</v>
      </c>
      <c r="AH358" s="19">
        <v>0</v>
      </c>
      <c r="AI358" s="19">
        <v>0</v>
      </c>
      <c r="AJ358" s="19">
        <v>0</v>
      </c>
      <c r="AK358" s="19">
        <v>0</v>
      </c>
      <c r="AL358" s="19">
        <v>0</v>
      </c>
      <c r="AM358" s="19">
        <v>0</v>
      </c>
      <c r="AN358" s="19">
        <v>0</v>
      </c>
      <c r="AO358" s="19">
        <v>0</v>
      </c>
      <c r="AP358" s="19">
        <v>0</v>
      </c>
      <c r="AQ358" s="19">
        <v>0</v>
      </c>
      <c r="AR358" s="19">
        <v>0</v>
      </c>
      <c r="AS358" s="19">
        <v>0</v>
      </c>
      <c r="AT358" s="19">
        <v>0</v>
      </c>
      <c r="AU358" s="19">
        <v>0</v>
      </c>
      <c r="AV358" s="19">
        <v>0</v>
      </c>
      <c r="AW358" s="19">
        <v>0</v>
      </c>
      <c r="AX358" s="19">
        <v>0</v>
      </c>
      <c r="AY358" s="19">
        <v>0</v>
      </c>
      <c r="AZ358" s="19">
        <v>0</v>
      </c>
      <c r="BA358" s="19">
        <v>0</v>
      </c>
      <c r="BB358" s="19">
        <v>0</v>
      </c>
      <c r="BC358" s="19">
        <v>0</v>
      </c>
      <c r="BD358" s="19">
        <v>0</v>
      </c>
      <c r="BE358" s="19">
        <v>0</v>
      </c>
      <c r="BF358" s="19">
        <v>0</v>
      </c>
      <c r="BG358" s="19">
        <v>0</v>
      </c>
      <c r="BH358" s="19">
        <v>0</v>
      </c>
      <c r="BI358" s="19">
        <v>0</v>
      </c>
      <c r="BJ358" s="19">
        <v>0</v>
      </c>
      <c r="BK358" s="19">
        <v>0</v>
      </c>
      <c r="BL358" s="19">
        <v>0</v>
      </c>
      <c r="BM358" s="19">
        <v>0</v>
      </c>
      <c r="BN358" s="19">
        <v>0</v>
      </c>
      <c r="BO358" s="19">
        <v>0</v>
      </c>
      <c r="BP358" s="19">
        <v>0</v>
      </c>
      <c r="BQ358" s="19">
        <v>0</v>
      </c>
      <c r="BR358" s="19">
        <v>0</v>
      </c>
      <c r="BS358" s="19">
        <v>0</v>
      </c>
      <c r="BT358" s="19">
        <v>0</v>
      </c>
      <c r="BU358" s="19">
        <v>0</v>
      </c>
      <c r="BV358" s="19">
        <v>0</v>
      </c>
      <c r="BW358" s="19">
        <v>0</v>
      </c>
      <c r="BX358" s="19">
        <v>0</v>
      </c>
      <c r="BY358" s="19">
        <v>0</v>
      </c>
      <c r="BZ358" s="19">
        <v>0</v>
      </c>
      <c r="CA358" s="19">
        <v>0</v>
      </c>
      <c r="CB358" s="19">
        <v>0</v>
      </c>
      <c r="CC358" s="19">
        <v>0</v>
      </c>
      <c r="CD358" s="19">
        <v>0</v>
      </c>
      <c r="CE358" s="19">
        <v>0</v>
      </c>
      <c r="CF358" s="19">
        <v>0</v>
      </c>
      <c r="CG358" s="19">
        <v>0</v>
      </c>
      <c r="CH358" s="19">
        <v>0</v>
      </c>
      <c r="CI358" s="19">
        <v>0</v>
      </c>
      <c r="CJ358" s="19">
        <v>0</v>
      </c>
      <c r="CK358" s="19">
        <v>0</v>
      </c>
      <c r="CL358" s="19">
        <v>0</v>
      </c>
      <c r="CM358" s="19">
        <v>0</v>
      </c>
      <c r="CN358" s="19">
        <v>0</v>
      </c>
      <c r="CO358" s="19">
        <v>0</v>
      </c>
      <c r="CP358" s="19">
        <v>0</v>
      </c>
      <c r="CQ358" s="19">
        <v>0</v>
      </c>
      <c r="CR358" s="19">
        <v>0</v>
      </c>
      <c r="CS358" s="19">
        <v>0</v>
      </c>
      <c r="CT358" s="19">
        <v>0</v>
      </c>
      <c r="CU358" s="19">
        <v>0</v>
      </c>
      <c r="CV358" s="19">
        <v>0</v>
      </c>
      <c r="CW358" s="19">
        <v>0</v>
      </c>
      <c r="CX358" s="19">
        <v>0</v>
      </c>
      <c r="CY358" s="19">
        <v>0</v>
      </c>
      <c r="CZ358" s="19">
        <v>0</v>
      </c>
      <c r="DA358" s="19">
        <v>0</v>
      </c>
      <c r="DB358" s="19">
        <v>0</v>
      </c>
      <c r="DC358" s="19">
        <v>0</v>
      </c>
      <c r="DD358" s="19">
        <v>0</v>
      </c>
      <c r="DE358" s="19">
        <v>0</v>
      </c>
      <c r="DF358" s="19">
        <v>0</v>
      </c>
      <c r="DG358" s="19">
        <v>0</v>
      </c>
      <c r="DH358" s="19">
        <v>0</v>
      </c>
      <c r="DI358" s="19">
        <v>0</v>
      </c>
      <c r="DJ358" s="19">
        <v>0</v>
      </c>
      <c r="DK358" s="19">
        <v>0</v>
      </c>
      <c r="DL358" s="19">
        <v>0</v>
      </c>
      <c r="DM358" s="19">
        <v>0</v>
      </c>
      <c r="DN358" s="19">
        <v>0</v>
      </c>
      <c r="DO358" s="19">
        <v>0</v>
      </c>
      <c r="DP358" s="19">
        <v>0</v>
      </c>
      <c r="DQ358" s="19">
        <v>0</v>
      </c>
      <c r="DR358" s="19">
        <v>0</v>
      </c>
      <c r="DS358" s="19">
        <v>0</v>
      </c>
      <c r="DT358" s="19">
        <v>0</v>
      </c>
      <c r="DU358" s="19">
        <v>0</v>
      </c>
      <c r="DV358" s="19">
        <v>0</v>
      </c>
      <c r="DW358" s="19">
        <v>0</v>
      </c>
      <c r="DX358" s="19">
        <v>0</v>
      </c>
      <c r="DY358" s="19">
        <v>0</v>
      </c>
      <c r="DZ358" s="19">
        <v>0</v>
      </c>
      <c r="EA358" s="19">
        <v>0</v>
      </c>
      <c r="EB358" s="19">
        <v>0</v>
      </c>
      <c r="EC358" s="19">
        <v>0</v>
      </c>
      <c r="ED358" s="19">
        <v>0</v>
      </c>
      <c r="EE358" s="19">
        <v>0</v>
      </c>
      <c r="EF358" s="19">
        <v>0</v>
      </c>
      <c r="EG358" s="19">
        <v>0</v>
      </c>
      <c r="EH358" s="19">
        <v>0</v>
      </c>
      <c r="EI358" s="19">
        <v>0</v>
      </c>
      <c r="EJ358" s="19">
        <v>0</v>
      </c>
      <c r="EK358" s="19">
        <v>0</v>
      </c>
      <c r="EL358" s="19">
        <v>0</v>
      </c>
      <c r="EM358" s="19">
        <v>0</v>
      </c>
      <c r="EN358" s="19">
        <v>0</v>
      </c>
      <c r="EO358" s="19">
        <v>0</v>
      </c>
      <c r="EP358" s="19">
        <v>0</v>
      </c>
      <c r="EQ358" s="19">
        <v>0</v>
      </c>
      <c r="ER358" s="19">
        <v>0</v>
      </c>
      <c r="ES358" s="119">
        <v>0</v>
      </c>
      <c r="ET358" s="119">
        <v>0</v>
      </c>
    </row>
    <row r="359" spans="1:150" ht="16.5" customHeight="1" x14ac:dyDescent="0.35">
      <c r="A359" s="4">
        <v>210</v>
      </c>
      <c r="B359" s="4" t="str">
        <f>LOOKUP(A359,Lookup!$A$1:$A$34,Lookup!$B$1:$B$34)</f>
        <v>INGREDIENTS</v>
      </c>
      <c r="C359" s="5">
        <v>63273</v>
      </c>
      <c r="D359" s="6" t="s">
        <v>341</v>
      </c>
      <c r="E359" s="18">
        <v>0</v>
      </c>
      <c r="F359" s="18">
        <v>0</v>
      </c>
      <c r="G359" s="18">
        <v>0</v>
      </c>
      <c r="H359" s="18">
        <v>0</v>
      </c>
      <c r="I359" s="19">
        <v>0</v>
      </c>
      <c r="J359" s="19">
        <v>0</v>
      </c>
      <c r="K359" s="19">
        <v>0</v>
      </c>
      <c r="L359" s="19">
        <v>0</v>
      </c>
      <c r="M359" s="19">
        <v>0</v>
      </c>
      <c r="N359" s="19">
        <v>0</v>
      </c>
      <c r="O359" s="19">
        <v>0</v>
      </c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9">
        <v>0</v>
      </c>
      <c r="V359" s="19">
        <v>0</v>
      </c>
      <c r="W359" s="19">
        <v>0</v>
      </c>
      <c r="X359" s="19">
        <v>0</v>
      </c>
      <c r="Y359" s="19">
        <v>0</v>
      </c>
      <c r="Z359" s="19">
        <v>0</v>
      </c>
      <c r="AA359" s="19">
        <v>0</v>
      </c>
      <c r="AB359" s="19">
        <v>0</v>
      </c>
      <c r="AC359" s="19">
        <v>0</v>
      </c>
      <c r="AD359" s="19">
        <v>0</v>
      </c>
      <c r="AE359" s="19">
        <v>0</v>
      </c>
      <c r="AF359" s="19">
        <v>0</v>
      </c>
      <c r="AG359" s="19">
        <v>0</v>
      </c>
      <c r="AH359" s="19">
        <v>0</v>
      </c>
      <c r="AI359" s="19">
        <v>0</v>
      </c>
      <c r="AJ359" s="19">
        <v>0</v>
      </c>
      <c r="AK359" s="19">
        <v>0</v>
      </c>
      <c r="AL359" s="19">
        <v>0</v>
      </c>
      <c r="AM359" s="19">
        <v>0</v>
      </c>
      <c r="AN359" s="19">
        <v>0</v>
      </c>
      <c r="AO359" s="19">
        <v>0</v>
      </c>
      <c r="AP359" s="19">
        <v>0</v>
      </c>
      <c r="AQ359" s="19">
        <v>0</v>
      </c>
      <c r="AR359" s="19">
        <v>0</v>
      </c>
      <c r="AS359" s="19">
        <v>0</v>
      </c>
      <c r="AT359" s="19">
        <v>0</v>
      </c>
      <c r="AU359" s="19">
        <v>0</v>
      </c>
      <c r="AV359" s="19">
        <v>0</v>
      </c>
      <c r="AW359" s="19">
        <v>0</v>
      </c>
      <c r="AX359" s="19">
        <v>0</v>
      </c>
      <c r="AY359" s="19">
        <v>0</v>
      </c>
      <c r="AZ359" s="19">
        <v>0</v>
      </c>
      <c r="BA359" s="19">
        <v>0</v>
      </c>
      <c r="BB359" s="19">
        <v>0</v>
      </c>
      <c r="BC359" s="19">
        <v>0</v>
      </c>
      <c r="BD359" s="19">
        <v>0</v>
      </c>
      <c r="BE359" s="19">
        <v>0</v>
      </c>
      <c r="BF359" s="19">
        <v>0</v>
      </c>
      <c r="BG359" s="19">
        <v>0</v>
      </c>
      <c r="BH359" s="19">
        <v>0</v>
      </c>
      <c r="BI359" s="19">
        <v>0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  <c r="BP359" s="19">
        <v>0</v>
      </c>
      <c r="BQ359" s="19">
        <v>0</v>
      </c>
      <c r="BR359" s="19">
        <v>0</v>
      </c>
      <c r="BS359" s="19">
        <v>0</v>
      </c>
      <c r="BT359" s="19">
        <v>0</v>
      </c>
      <c r="BU359" s="19">
        <v>0</v>
      </c>
      <c r="BV359" s="19">
        <v>0</v>
      </c>
      <c r="BW359" s="19">
        <v>0</v>
      </c>
      <c r="BX359" s="19">
        <v>0</v>
      </c>
      <c r="BY359" s="19">
        <v>0</v>
      </c>
      <c r="BZ359" s="19">
        <v>0</v>
      </c>
      <c r="CA359" s="19">
        <v>0</v>
      </c>
      <c r="CB359" s="19">
        <v>0</v>
      </c>
      <c r="CC359" s="19">
        <v>0</v>
      </c>
      <c r="CD359" s="19">
        <v>0</v>
      </c>
      <c r="CE359" s="19">
        <v>0</v>
      </c>
      <c r="CF359" s="19">
        <v>0</v>
      </c>
      <c r="CG359" s="19">
        <v>0</v>
      </c>
      <c r="CH359" s="19">
        <v>0</v>
      </c>
      <c r="CI359" s="19">
        <v>0</v>
      </c>
      <c r="CJ359" s="19">
        <v>0</v>
      </c>
      <c r="CK359" s="19">
        <v>0</v>
      </c>
      <c r="CL359" s="19">
        <v>0</v>
      </c>
      <c r="CM359" s="19">
        <v>0</v>
      </c>
      <c r="CN359" s="19">
        <v>0</v>
      </c>
      <c r="CO359" s="19">
        <v>0</v>
      </c>
      <c r="CP359" s="19">
        <v>0</v>
      </c>
      <c r="CQ359" s="19">
        <v>0</v>
      </c>
      <c r="CR359" s="19">
        <v>0</v>
      </c>
      <c r="CS359" s="19">
        <v>0</v>
      </c>
      <c r="CT359" s="19">
        <v>0</v>
      </c>
      <c r="CU359" s="19">
        <v>0</v>
      </c>
      <c r="CV359" s="19">
        <v>0</v>
      </c>
      <c r="CW359" s="19">
        <v>0</v>
      </c>
      <c r="CX359" s="19">
        <v>0</v>
      </c>
      <c r="CY359" s="19">
        <v>0</v>
      </c>
      <c r="CZ359" s="19">
        <v>0</v>
      </c>
      <c r="DA359" s="19">
        <v>0</v>
      </c>
      <c r="DB359" s="19">
        <v>0</v>
      </c>
      <c r="DC359" s="19">
        <v>0</v>
      </c>
      <c r="DD359" s="19">
        <v>0</v>
      </c>
      <c r="DE359" s="19">
        <v>0</v>
      </c>
      <c r="DF359" s="19">
        <v>0</v>
      </c>
      <c r="DG359" s="19">
        <v>0</v>
      </c>
      <c r="DH359" s="19">
        <v>0</v>
      </c>
      <c r="DI359" s="19">
        <v>0</v>
      </c>
      <c r="DJ359" s="19">
        <v>0</v>
      </c>
      <c r="DK359" s="19">
        <v>0</v>
      </c>
      <c r="DL359" s="19">
        <v>0</v>
      </c>
      <c r="DM359" s="19">
        <v>0</v>
      </c>
      <c r="DN359" s="19">
        <v>0</v>
      </c>
      <c r="DO359" s="19">
        <v>0</v>
      </c>
      <c r="DP359" s="19">
        <v>0</v>
      </c>
      <c r="DQ359" s="19">
        <v>0</v>
      </c>
      <c r="DR359" s="19">
        <v>0</v>
      </c>
      <c r="DS359" s="19">
        <v>0</v>
      </c>
      <c r="DT359" s="19">
        <v>0</v>
      </c>
      <c r="DU359" s="19">
        <v>0</v>
      </c>
      <c r="DV359" s="19">
        <v>0</v>
      </c>
      <c r="DW359" s="19">
        <v>0</v>
      </c>
      <c r="DX359" s="19">
        <v>0</v>
      </c>
      <c r="DY359" s="19">
        <v>0</v>
      </c>
      <c r="DZ359" s="19">
        <v>0</v>
      </c>
      <c r="EA359" s="19">
        <v>0</v>
      </c>
      <c r="EB359" s="19">
        <v>0</v>
      </c>
      <c r="EC359" s="19">
        <v>0</v>
      </c>
      <c r="ED359" s="19">
        <v>0</v>
      </c>
      <c r="EE359" s="19">
        <v>0</v>
      </c>
      <c r="EF359" s="19">
        <v>0</v>
      </c>
      <c r="EG359" s="19">
        <v>0</v>
      </c>
      <c r="EH359" s="19">
        <v>0</v>
      </c>
      <c r="EI359" s="19">
        <v>0</v>
      </c>
      <c r="EJ359" s="19">
        <v>0</v>
      </c>
      <c r="EK359" s="19">
        <v>0</v>
      </c>
      <c r="EL359" s="19">
        <v>0</v>
      </c>
      <c r="EM359" s="19">
        <v>0</v>
      </c>
      <c r="EN359" s="19">
        <v>0</v>
      </c>
      <c r="EO359" s="19">
        <v>0</v>
      </c>
      <c r="EP359" s="19">
        <v>0</v>
      </c>
      <c r="EQ359" s="19">
        <v>0</v>
      </c>
      <c r="ER359" s="19">
        <v>0</v>
      </c>
      <c r="ES359" s="119">
        <v>0</v>
      </c>
      <c r="ET359" s="119">
        <v>0</v>
      </c>
    </row>
    <row r="360" spans="1:150" ht="16.5" customHeight="1" x14ac:dyDescent="0.35">
      <c r="A360" s="4">
        <v>210</v>
      </c>
      <c r="B360" s="4" t="str">
        <f>LOOKUP(A360,Lookup!$A$1:$A$34,Lookup!$B$1:$B$34)</f>
        <v>INGREDIENTS</v>
      </c>
      <c r="C360" s="5">
        <v>63274</v>
      </c>
      <c r="D360" s="6" t="s">
        <v>342</v>
      </c>
      <c r="E360" s="18">
        <v>0</v>
      </c>
      <c r="F360" s="18">
        <v>0</v>
      </c>
      <c r="G360" s="18">
        <v>0</v>
      </c>
      <c r="H360" s="18">
        <v>0</v>
      </c>
      <c r="I360" s="19">
        <v>0</v>
      </c>
      <c r="J360" s="19">
        <v>0</v>
      </c>
      <c r="K360" s="19">
        <v>0</v>
      </c>
      <c r="L360" s="19">
        <v>0</v>
      </c>
      <c r="M360" s="19">
        <v>0</v>
      </c>
      <c r="N360" s="19">
        <v>0</v>
      </c>
      <c r="O360" s="19">
        <v>0</v>
      </c>
      <c r="P360" s="19">
        <v>0</v>
      </c>
      <c r="Q360" s="19">
        <v>0</v>
      </c>
      <c r="R360" s="19">
        <v>0</v>
      </c>
      <c r="S360" s="19">
        <v>0</v>
      </c>
      <c r="T360" s="19">
        <v>0</v>
      </c>
      <c r="U360" s="19">
        <v>0</v>
      </c>
      <c r="V360" s="19">
        <v>0</v>
      </c>
      <c r="W360" s="19">
        <v>0</v>
      </c>
      <c r="X360" s="19">
        <v>0</v>
      </c>
      <c r="Y360" s="19">
        <v>0</v>
      </c>
      <c r="Z360" s="19">
        <v>0</v>
      </c>
      <c r="AA360" s="19">
        <v>0</v>
      </c>
      <c r="AB360" s="19">
        <v>0</v>
      </c>
      <c r="AC360" s="19">
        <v>0</v>
      </c>
      <c r="AD360" s="19">
        <v>0</v>
      </c>
      <c r="AE360" s="19">
        <v>0</v>
      </c>
      <c r="AF360" s="19">
        <v>0</v>
      </c>
      <c r="AG360" s="19">
        <v>0</v>
      </c>
      <c r="AH360" s="19">
        <v>0</v>
      </c>
      <c r="AI360" s="19">
        <v>0</v>
      </c>
      <c r="AJ360" s="19">
        <v>0</v>
      </c>
      <c r="AK360" s="19">
        <v>0</v>
      </c>
      <c r="AL360" s="19">
        <v>0</v>
      </c>
      <c r="AM360" s="19">
        <v>0</v>
      </c>
      <c r="AN360" s="19">
        <v>0</v>
      </c>
      <c r="AO360" s="19">
        <v>0</v>
      </c>
      <c r="AP360" s="19">
        <v>0</v>
      </c>
      <c r="AQ360" s="19">
        <v>0</v>
      </c>
      <c r="AR360" s="19">
        <v>0</v>
      </c>
      <c r="AS360" s="19">
        <v>0</v>
      </c>
      <c r="AT360" s="19">
        <v>0</v>
      </c>
      <c r="AU360" s="19">
        <v>0</v>
      </c>
      <c r="AV360" s="19">
        <v>0</v>
      </c>
      <c r="AW360" s="19">
        <v>0</v>
      </c>
      <c r="AX360" s="19">
        <v>0</v>
      </c>
      <c r="AY360" s="19">
        <v>0</v>
      </c>
      <c r="AZ360" s="19">
        <v>0</v>
      </c>
      <c r="BA360" s="19">
        <v>0</v>
      </c>
      <c r="BB360" s="19">
        <v>0</v>
      </c>
      <c r="BC360" s="19">
        <v>0</v>
      </c>
      <c r="BD360" s="19">
        <v>0</v>
      </c>
      <c r="BE360" s="19">
        <v>0</v>
      </c>
      <c r="BF360" s="19">
        <v>0</v>
      </c>
      <c r="BG360" s="19">
        <v>0</v>
      </c>
      <c r="BH360" s="19">
        <v>0</v>
      </c>
      <c r="BI360" s="19">
        <v>0</v>
      </c>
      <c r="BJ360" s="19">
        <v>0</v>
      </c>
      <c r="BK360" s="19">
        <v>0</v>
      </c>
      <c r="BL360" s="19">
        <v>0</v>
      </c>
      <c r="BM360" s="19">
        <v>0</v>
      </c>
      <c r="BN360" s="19">
        <v>0</v>
      </c>
      <c r="BO360" s="19">
        <v>0</v>
      </c>
      <c r="BP360" s="19">
        <v>0</v>
      </c>
      <c r="BQ360" s="19">
        <v>0</v>
      </c>
      <c r="BR360" s="19">
        <v>0</v>
      </c>
      <c r="BS360" s="19">
        <v>0</v>
      </c>
      <c r="BT360" s="19">
        <v>0</v>
      </c>
      <c r="BU360" s="19">
        <v>0</v>
      </c>
      <c r="BV360" s="19">
        <v>0</v>
      </c>
      <c r="BW360" s="19">
        <v>0</v>
      </c>
      <c r="BX360" s="19">
        <v>0</v>
      </c>
      <c r="BY360" s="19">
        <v>0</v>
      </c>
      <c r="BZ360" s="19">
        <v>0</v>
      </c>
      <c r="CA360" s="19">
        <v>0</v>
      </c>
      <c r="CB360" s="19">
        <v>0</v>
      </c>
      <c r="CC360" s="19">
        <v>0</v>
      </c>
      <c r="CD360" s="19">
        <v>0</v>
      </c>
      <c r="CE360" s="19">
        <v>0</v>
      </c>
      <c r="CF360" s="19">
        <v>0</v>
      </c>
      <c r="CG360" s="19">
        <v>0</v>
      </c>
      <c r="CH360" s="19">
        <v>0</v>
      </c>
      <c r="CI360" s="19">
        <v>0</v>
      </c>
      <c r="CJ360" s="19">
        <v>0</v>
      </c>
      <c r="CK360" s="19">
        <v>0</v>
      </c>
      <c r="CL360" s="19">
        <v>0</v>
      </c>
      <c r="CM360" s="19">
        <v>0</v>
      </c>
      <c r="CN360" s="19">
        <v>0</v>
      </c>
      <c r="CO360" s="19">
        <v>0</v>
      </c>
      <c r="CP360" s="19">
        <v>0</v>
      </c>
      <c r="CQ360" s="19">
        <v>0</v>
      </c>
      <c r="CR360" s="19">
        <v>0</v>
      </c>
      <c r="CS360" s="19">
        <v>0</v>
      </c>
      <c r="CT360" s="19">
        <v>0</v>
      </c>
      <c r="CU360" s="19">
        <v>0</v>
      </c>
      <c r="CV360" s="19">
        <v>0</v>
      </c>
      <c r="CW360" s="19">
        <v>0</v>
      </c>
      <c r="CX360" s="19">
        <v>0</v>
      </c>
      <c r="CY360" s="19">
        <v>0</v>
      </c>
      <c r="CZ360" s="19">
        <v>0</v>
      </c>
      <c r="DA360" s="19">
        <v>0</v>
      </c>
      <c r="DB360" s="19">
        <v>0</v>
      </c>
      <c r="DC360" s="19">
        <v>0</v>
      </c>
      <c r="DD360" s="19">
        <v>0</v>
      </c>
      <c r="DE360" s="19">
        <v>0</v>
      </c>
      <c r="DF360" s="19">
        <v>0</v>
      </c>
      <c r="DG360" s="19">
        <v>0</v>
      </c>
      <c r="DH360" s="19">
        <v>0</v>
      </c>
      <c r="DI360" s="19">
        <v>0</v>
      </c>
      <c r="DJ360" s="19">
        <v>0</v>
      </c>
      <c r="DK360" s="19">
        <v>0</v>
      </c>
      <c r="DL360" s="19">
        <v>0</v>
      </c>
      <c r="DM360" s="19">
        <v>0</v>
      </c>
      <c r="DN360" s="19">
        <v>0</v>
      </c>
      <c r="DO360" s="19">
        <v>0</v>
      </c>
      <c r="DP360" s="19">
        <v>0</v>
      </c>
      <c r="DQ360" s="19">
        <v>0</v>
      </c>
      <c r="DR360" s="19">
        <v>0</v>
      </c>
      <c r="DS360" s="19">
        <v>0</v>
      </c>
      <c r="DT360" s="19">
        <v>0</v>
      </c>
      <c r="DU360" s="19">
        <v>0</v>
      </c>
      <c r="DV360" s="19">
        <v>0</v>
      </c>
      <c r="DW360" s="19">
        <v>0</v>
      </c>
      <c r="DX360" s="19">
        <v>0</v>
      </c>
      <c r="DY360" s="19">
        <v>0</v>
      </c>
      <c r="DZ360" s="19">
        <v>0</v>
      </c>
      <c r="EA360" s="19">
        <v>0</v>
      </c>
      <c r="EB360" s="19">
        <v>0</v>
      </c>
      <c r="EC360" s="19">
        <v>0</v>
      </c>
      <c r="ED360" s="19">
        <v>0</v>
      </c>
      <c r="EE360" s="19">
        <v>0</v>
      </c>
      <c r="EF360" s="19">
        <v>0</v>
      </c>
      <c r="EG360" s="19">
        <v>0</v>
      </c>
      <c r="EH360" s="19">
        <v>0</v>
      </c>
      <c r="EI360" s="19">
        <v>0</v>
      </c>
      <c r="EJ360" s="19">
        <v>0</v>
      </c>
      <c r="EK360" s="19">
        <v>0</v>
      </c>
      <c r="EL360" s="19">
        <v>0</v>
      </c>
      <c r="EM360" s="19">
        <v>0</v>
      </c>
      <c r="EN360" s="19">
        <v>0</v>
      </c>
      <c r="EO360" s="19">
        <v>0</v>
      </c>
      <c r="EP360" s="19">
        <v>0</v>
      </c>
      <c r="EQ360" s="19">
        <v>0</v>
      </c>
      <c r="ER360" s="19">
        <v>0</v>
      </c>
      <c r="ES360" s="119">
        <v>0</v>
      </c>
      <c r="ET360" s="119">
        <v>0</v>
      </c>
    </row>
    <row r="361" spans="1:150" ht="16.5" customHeight="1" x14ac:dyDescent="0.35">
      <c r="A361" s="4">
        <v>210</v>
      </c>
      <c r="B361" s="4" t="str">
        <f>LOOKUP(A361,Lookup!$A$1:$A$34,Lookup!$B$1:$B$34)</f>
        <v>INGREDIENTS</v>
      </c>
      <c r="C361" s="5">
        <v>63361</v>
      </c>
      <c r="D361" s="6" t="s">
        <v>343</v>
      </c>
      <c r="E361" s="18">
        <v>0</v>
      </c>
      <c r="F361" s="18">
        <v>0</v>
      </c>
      <c r="G361" s="18">
        <v>0</v>
      </c>
      <c r="H361" s="18">
        <v>0</v>
      </c>
      <c r="I361" s="19">
        <v>0</v>
      </c>
      <c r="J361" s="19">
        <v>0</v>
      </c>
      <c r="K361" s="19">
        <v>0</v>
      </c>
      <c r="L361" s="19">
        <v>0</v>
      </c>
      <c r="M361" s="19">
        <v>0</v>
      </c>
      <c r="N361" s="19">
        <v>0</v>
      </c>
      <c r="O361" s="19">
        <v>0</v>
      </c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9">
        <v>0</v>
      </c>
      <c r="V361" s="19">
        <v>0</v>
      </c>
      <c r="W361" s="19">
        <v>0</v>
      </c>
      <c r="X361" s="19">
        <v>0</v>
      </c>
      <c r="Y361" s="19">
        <v>0</v>
      </c>
      <c r="Z361" s="19">
        <v>0</v>
      </c>
      <c r="AA361" s="19">
        <v>0</v>
      </c>
      <c r="AB361" s="19">
        <v>0</v>
      </c>
      <c r="AC361" s="19">
        <v>0</v>
      </c>
      <c r="AD361" s="19">
        <v>0</v>
      </c>
      <c r="AE361" s="19">
        <v>0</v>
      </c>
      <c r="AF361" s="19">
        <v>0</v>
      </c>
      <c r="AG361" s="19">
        <v>0</v>
      </c>
      <c r="AH361" s="19">
        <v>0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v>0</v>
      </c>
      <c r="AO361" s="19">
        <v>0</v>
      </c>
      <c r="AP361" s="19">
        <v>0</v>
      </c>
      <c r="AQ361" s="19">
        <v>0</v>
      </c>
      <c r="AR361" s="19">
        <v>0</v>
      </c>
      <c r="AS361" s="19">
        <v>0</v>
      </c>
      <c r="AT361" s="19">
        <v>0</v>
      </c>
      <c r="AU361" s="19">
        <v>0</v>
      </c>
      <c r="AV361" s="19">
        <v>0</v>
      </c>
      <c r="AW361" s="19">
        <v>0</v>
      </c>
      <c r="AX361" s="19">
        <v>0</v>
      </c>
      <c r="AY361" s="19">
        <v>0</v>
      </c>
      <c r="AZ361" s="19">
        <v>0</v>
      </c>
      <c r="BA361" s="19">
        <v>0</v>
      </c>
      <c r="BB361" s="19">
        <v>0</v>
      </c>
      <c r="BC361" s="19">
        <v>0</v>
      </c>
      <c r="BD361" s="19">
        <v>0</v>
      </c>
      <c r="BE361" s="19">
        <v>0</v>
      </c>
      <c r="BF361" s="19">
        <v>0</v>
      </c>
      <c r="BG361" s="19">
        <v>0</v>
      </c>
      <c r="BH361" s="19">
        <v>0</v>
      </c>
      <c r="BI361" s="19">
        <v>0</v>
      </c>
      <c r="BJ361" s="19">
        <v>0</v>
      </c>
      <c r="BK361" s="19">
        <v>0</v>
      </c>
      <c r="BL361" s="19">
        <v>0</v>
      </c>
      <c r="BM361" s="19">
        <v>0</v>
      </c>
      <c r="BN361" s="19">
        <v>0</v>
      </c>
      <c r="BO361" s="19">
        <v>0</v>
      </c>
      <c r="BP361" s="19">
        <v>0</v>
      </c>
      <c r="BQ361" s="19">
        <v>0</v>
      </c>
      <c r="BR361" s="19">
        <v>0</v>
      </c>
      <c r="BS361" s="19">
        <v>0</v>
      </c>
      <c r="BT361" s="19">
        <v>0</v>
      </c>
      <c r="BU361" s="19">
        <v>0</v>
      </c>
      <c r="BV361" s="19">
        <v>0</v>
      </c>
      <c r="BW361" s="19">
        <v>0</v>
      </c>
      <c r="BX361" s="19">
        <v>0</v>
      </c>
      <c r="BY361" s="19">
        <v>0</v>
      </c>
      <c r="BZ361" s="19">
        <v>0</v>
      </c>
      <c r="CA361" s="19">
        <v>0</v>
      </c>
      <c r="CB361" s="19">
        <v>0</v>
      </c>
      <c r="CC361" s="19">
        <v>0</v>
      </c>
      <c r="CD361" s="19">
        <v>0</v>
      </c>
      <c r="CE361" s="19">
        <v>0</v>
      </c>
      <c r="CF361" s="19">
        <v>0</v>
      </c>
      <c r="CG361" s="19">
        <v>0</v>
      </c>
      <c r="CH361" s="19">
        <v>0</v>
      </c>
      <c r="CI361" s="19">
        <v>0</v>
      </c>
      <c r="CJ361" s="19">
        <v>0</v>
      </c>
      <c r="CK361" s="19">
        <v>0</v>
      </c>
      <c r="CL361" s="19">
        <v>0</v>
      </c>
      <c r="CM361" s="19">
        <v>0</v>
      </c>
      <c r="CN361" s="19">
        <v>0</v>
      </c>
      <c r="CO361" s="19">
        <v>0</v>
      </c>
      <c r="CP361" s="19">
        <v>0</v>
      </c>
      <c r="CQ361" s="19">
        <v>0</v>
      </c>
      <c r="CR361" s="19">
        <v>0</v>
      </c>
      <c r="CS361" s="19">
        <v>0</v>
      </c>
      <c r="CT361" s="19">
        <v>0</v>
      </c>
      <c r="CU361" s="19">
        <v>0</v>
      </c>
      <c r="CV361" s="19">
        <v>0</v>
      </c>
      <c r="CW361" s="19">
        <v>0</v>
      </c>
      <c r="CX361" s="19">
        <v>0</v>
      </c>
      <c r="CY361" s="19">
        <v>0</v>
      </c>
      <c r="CZ361" s="19">
        <v>0</v>
      </c>
      <c r="DA361" s="19">
        <v>0</v>
      </c>
      <c r="DB361" s="19">
        <v>0</v>
      </c>
      <c r="DC361" s="19">
        <v>0</v>
      </c>
      <c r="DD361" s="19">
        <v>0</v>
      </c>
      <c r="DE361" s="19">
        <v>0</v>
      </c>
      <c r="DF361" s="19">
        <v>0</v>
      </c>
      <c r="DG361" s="19">
        <v>0</v>
      </c>
      <c r="DH361" s="19">
        <v>0</v>
      </c>
      <c r="DI361" s="19">
        <v>0</v>
      </c>
      <c r="DJ361" s="19">
        <v>0</v>
      </c>
      <c r="DK361" s="19">
        <v>0</v>
      </c>
      <c r="DL361" s="19">
        <v>0</v>
      </c>
      <c r="DM361" s="19">
        <v>0</v>
      </c>
      <c r="DN361" s="19">
        <v>0</v>
      </c>
      <c r="DO361" s="19">
        <v>0</v>
      </c>
      <c r="DP361" s="19">
        <v>0</v>
      </c>
      <c r="DQ361" s="19">
        <v>0</v>
      </c>
      <c r="DR361" s="19">
        <v>0</v>
      </c>
      <c r="DS361" s="19">
        <v>0</v>
      </c>
      <c r="DT361" s="19">
        <v>0</v>
      </c>
      <c r="DU361" s="19">
        <v>0</v>
      </c>
      <c r="DV361" s="19">
        <v>0</v>
      </c>
      <c r="DW361" s="19">
        <v>0</v>
      </c>
      <c r="DX361" s="19">
        <v>0</v>
      </c>
      <c r="DY361" s="19">
        <v>0</v>
      </c>
      <c r="DZ361" s="19">
        <v>0</v>
      </c>
      <c r="EA361" s="19">
        <v>0</v>
      </c>
      <c r="EB361" s="19">
        <v>0</v>
      </c>
      <c r="EC361" s="19">
        <v>0</v>
      </c>
      <c r="ED361" s="19">
        <v>0</v>
      </c>
      <c r="EE361" s="19">
        <v>0</v>
      </c>
      <c r="EF361" s="19">
        <v>0</v>
      </c>
      <c r="EG361" s="19">
        <v>0</v>
      </c>
      <c r="EH361" s="19">
        <v>0</v>
      </c>
      <c r="EI361" s="19">
        <v>0</v>
      </c>
      <c r="EJ361" s="19">
        <v>0</v>
      </c>
      <c r="EK361" s="19">
        <v>0</v>
      </c>
      <c r="EL361" s="19">
        <v>0</v>
      </c>
      <c r="EM361" s="19">
        <v>0</v>
      </c>
      <c r="EN361" s="19">
        <v>0</v>
      </c>
      <c r="EO361" s="19">
        <v>0</v>
      </c>
      <c r="EP361" s="19">
        <v>0</v>
      </c>
      <c r="EQ361" s="19">
        <v>0</v>
      </c>
      <c r="ER361" s="19">
        <v>0</v>
      </c>
      <c r="ES361" s="119">
        <v>0</v>
      </c>
      <c r="ET361" s="119">
        <v>0</v>
      </c>
    </row>
    <row r="362" spans="1:150" ht="16.5" customHeight="1" x14ac:dyDescent="0.35">
      <c r="A362" s="4">
        <v>210</v>
      </c>
      <c r="B362" s="4" t="str">
        <f>LOOKUP(A362,Lookup!$A$1:$A$34,Lookup!$B$1:$B$34)</f>
        <v>INGREDIENTS</v>
      </c>
      <c r="C362" s="5">
        <v>63362</v>
      </c>
      <c r="D362" s="6" t="s">
        <v>344</v>
      </c>
      <c r="E362" s="18">
        <v>0</v>
      </c>
      <c r="F362" s="18">
        <v>0</v>
      </c>
      <c r="G362" s="18">
        <v>0</v>
      </c>
      <c r="H362" s="18">
        <v>0</v>
      </c>
      <c r="I362" s="19">
        <v>0</v>
      </c>
      <c r="J362" s="19">
        <v>0</v>
      </c>
      <c r="K362" s="19">
        <v>0</v>
      </c>
      <c r="L362" s="19">
        <v>0</v>
      </c>
      <c r="M362" s="19">
        <v>0</v>
      </c>
      <c r="N362" s="19">
        <v>0</v>
      </c>
      <c r="O362" s="19">
        <v>0</v>
      </c>
      <c r="P362" s="19">
        <v>0</v>
      </c>
      <c r="Q362" s="19">
        <v>0</v>
      </c>
      <c r="R362" s="19">
        <v>0</v>
      </c>
      <c r="S362" s="19">
        <v>0</v>
      </c>
      <c r="T362" s="19">
        <v>0</v>
      </c>
      <c r="U362" s="19">
        <v>0</v>
      </c>
      <c r="V362" s="19">
        <v>0</v>
      </c>
      <c r="W362" s="19">
        <v>0</v>
      </c>
      <c r="X362" s="19">
        <v>0</v>
      </c>
      <c r="Y362" s="19">
        <v>0</v>
      </c>
      <c r="Z362" s="19">
        <v>0</v>
      </c>
      <c r="AA362" s="19">
        <v>0</v>
      </c>
      <c r="AB362" s="19">
        <v>0</v>
      </c>
      <c r="AC362" s="19">
        <v>0</v>
      </c>
      <c r="AD362" s="19">
        <v>0</v>
      </c>
      <c r="AE362" s="19">
        <v>0</v>
      </c>
      <c r="AF362" s="19">
        <v>0</v>
      </c>
      <c r="AG362" s="19">
        <v>0</v>
      </c>
      <c r="AH362" s="19">
        <v>0</v>
      </c>
      <c r="AI362" s="19">
        <v>0</v>
      </c>
      <c r="AJ362" s="19">
        <v>0</v>
      </c>
      <c r="AK362" s="19">
        <v>0</v>
      </c>
      <c r="AL362" s="19">
        <v>0</v>
      </c>
      <c r="AM362" s="19">
        <v>0</v>
      </c>
      <c r="AN362" s="19">
        <v>0</v>
      </c>
      <c r="AO362" s="19">
        <v>0</v>
      </c>
      <c r="AP362" s="19">
        <v>0</v>
      </c>
      <c r="AQ362" s="19">
        <v>0</v>
      </c>
      <c r="AR362" s="19">
        <v>0</v>
      </c>
      <c r="AS362" s="19">
        <v>0</v>
      </c>
      <c r="AT362" s="19">
        <v>0</v>
      </c>
      <c r="AU362" s="19">
        <v>0</v>
      </c>
      <c r="AV362" s="19">
        <v>0</v>
      </c>
      <c r="AW362" s="19">
        <v>0</v>
      </c>
      <c r="AX362" s="19">
        <v>0</v>
      </c>
      <c r="AY362" s="19">
        <v>0</v>
      </c>
      <c r="AZ362" s="19">
        <v>0</v>
      </c>
      <c r="BA362" s="19">
        <v>0</v>
      </c>
      <c r="BB362" s="19">
        <v>0</v>
      </c>
      <c r="BC362" s="19">
        <v>0</v>
      </c>
      <c r="BD362" s="19">
        <v>0</v>
      </c>
      <c r="BE362" s="19">
        <v>0</v>
      </c>
      <c r="BF362" s="19">
        <v>0</v>
      </c>
      <c r="BG362" s="19">
        <v>0</v>
      </c>
      <c r="BH362" s="19">
        <v>0</v>
      </c>
      <c r="BI362" s="19">
        <v>0</v>
      </c>
      <c r="BJ362" s="19">
        <v>0</v>
      </c>
      <c r="BK362" s="19">
        <v>0</v>
      </c>
      <c r="BL362" s="19">
        <v>0</v>
      </c>
      <c r="BM362" s="19">
        <v>0</v>
      </c>
      <c r="BN362" s="19">
        <v>0</v>
      </c>
      <c r="BO362" s="19">
        <v>0</v>
      </c>
      <c r="BP362" s="19">
        <v>0</v>
      </c>
      <c r="BQ362" s="19">
        <v>0</v>
      </c>
      <c r="BR362" s="19">
        <v>0</v>
      </c>
      <c r="BS362" s="19">
        <v>0</v>
      </c>
      <c r="BT362" s="19">
        <v>0</v>
      </c>
      <c r="BU362" s="19">
        <v>0</v>
      </c>
      <c r="BV362" s="19">
        <v>0</v>
      </c>
      <c r="BW362" s="19">
        <v>0</v>
      </c>
      <c r="BX362" s="19">
        <v>0</v>
      </c>
      <c r="BY362" s="19">
        <v>0</v>
      </c>
      <c r="BZ362" s="19">
        <v>0</v>
      </c>
      <c r="CA362" s="19">
        <v>0</v>
      </c>
      <c r="CB362" s="19">
        <v>0</v>
      </c>
      <c r="CC362" s="19">
        <v>0</v>
      </c>
      <c r="CD362" s="19">
        <v>0</v>
      </c>
      <c r="CE362" s="19">
        <v>0</v>
      </c>
      <c r="CF362" s="19">
        <v>0</v>
      </c>
      <c r="CG362" s="19">
        <v>0</v>
      </c>
      <c r="CH362" s="19">
        <v>0</v>
      </c>
      <c r="CI362" s="19">
        <v>0</v>
      </c>
      <c r="CJ362" s="19">
        <v>0</v>
      </c>
      <c r="CK362" s="19">
        <v>0</v>
      </c>
      <c r="CL362" s="19">
        <v>0</v>
      </c>
      <c r="CM362" s="19">
        <v>0</v>
      </c>
      <c r="CN362" s="19">
        <v>0</v>
      </c>
      <c r="CO362" s="19">
        <v>0</v>
      </c>
      <c r="CP362" s="19">
        <v>0</v>
      </c>
      <c r="CQ362" s="19">
        <v>0</v>
      </c>
      <c r="CR362" s="19">
        <v>0</v>
      </c>
      <c r="CS362" s="19">
        <v>0</v>
      </c>
      <c r="CT362" s="19">
        <v>0</v>
      </c>
      <c r="CU362" s="19">
        <v>0</v>
      </c>
      <c r="CV362" s="19">
        <v>0</v>
      </c>
      <c r="CW362" s="19">
        <v>0</v>
      </c>
      <c r="CX362" s="19">
        <v>0</v>
      </c>
      <c r="CY362" s="19">
        <v>0</v>
      </c>
      <c r="CZ362" s="19">
        <v>0</v>
      </c>
      <c r="DA362" s="19">
        <v>0</v>
      </c>
      <c r="DB362" s="19">
        <v>0</v>
      </c>
      <c r="DC362" s="19">
        <v>0</v>
      </c>
      <c r="DD362" s="19">
        <v>0</v>
      </c>
      <c r="DE362" s="19">
        <v>0</v>
      </c>
      <c r="DF362" s="19">
        <v>0</v>
      </c>
      <c r="DG362" s="19">
        <v>0</v>
      </c>
      <c r="DH362" s="19">
        <v>0</v>
      </c>
      <c r="DI362" s="19">
        <v>0</v>
      </c>
      <c r="DJ362" s="19">
        <v>0</v>
      </c>
      <c r="DK362" s="19">
        <v>0</v>
      </c>
      <c r="DL362" s="19">
        <v>0</v>
      </c>
      <c r="DM362" s="19">
        <v>0</v>
      </c>
      <c r="DN362" s="19">
        <v>0</v>
      </c>
      <c r="DO362" s="19">
        <v>0</v>
      </c>
      <c r="DP362" s="19">
        <v>0</v>
      </c>
      <c r="DQ362" s="19">
        <v>0</v>
      </c>
      <c r="DR362" s="19">
        <v>0</v>
      </c>
      <c r="DS362" s="19">
        <v>0</v>
      </c>
      <c r="DT362" s="19">
        <v>0</v>
      </c>
      <c r="DU362" s="19">
        <v>0</v>
      </c>
      <c r="DV362" s="19">
        <v>0</v>
      </c>
      <c r="DW362" s="19">
        <v>0</v>
      </c>
      <c r="DX362" s="19">
        <v>0</v>
      </c>
      <c r="DY362" s="19">
        <v>0</v>
      </c>
      <c r="DZ362" s="19">
        <v>0</v>
      </c>
      <c r="EA362" s="19">
        <v>0</v>
      </c>
      <c r="EB362" s="19">
        <v>0</v>
      </c>
      <c r="EC362" s="19">
        <v>0</v>
      </c>
      <c r="ED362" s="19">
        <v>0</v>
      </c>
      <c r="EE362" s="19">
        <v>0</v>
      </c>
      <c r="EF362" s="19">
        <v>0</v>
      </c>
      <c r="EG362" s="19">
        <v>0</v>
      </c>
      <c r="EH362" s="19">
        <v>0</v>
      </c>
      <c r="EI362" s="19">
        <v>0</v>
      </c>
      <c r="EJ362" s="19">
        <v>0</v>
      </c>
      <c r="EK362" s="19">
        <v>0</v>
      </c>
      <c r="EL362" s="19">
        <v>0</v>
      </c>
      <c r="EM362" s="19">
        <v>0</v>
      </c>
      <c r="EN362" s="19">
        <v>0</v>
      </c>
      <c r="EO362" s="19">
        <v>0</v>
      </c>
      <c r="EP362" s="19">
        <v>0</v>
      </c>
      <c r="EQ362" s="19">
        <v>0</v>
      </c>
      <c r="ER362" s="19">
        <v>0</v>
      </c>
      <c r="ES362" s="119">
        <v>0</v>
      </c>
      <c r="ET362" s="119">
        <v>0</v>
      </c>
    </row>
    <row r="363" spans="1:150" ht="16.5" customHeight="1" x14ac:dyDescent="0.35">
      <c r="A363" s="4">
        <v>210</v>
      </c>
      <c r="B363" s="4" t="str">
        <f>LOOKUP(A363,Lookup!$A$1:$A$34,Lookup!$B$1:$B$34)</f>
        <v>INGREDIENTS</v>
      </c>
      <c r="C363" s="5">
        <v>63397</v>
      </c>
      <c r="D363" s="6" t="s">
        <v>345</v>
      </c>
      <c r="E363" s="18">
        <v>0</v>
      </c>
      <c r="F363" s="18">
        <v>0</v>
      </c>
      <c r="G363" s="18">
        <v>0</v>
      </c>
      <c r="H363" s="18">
        <v>0</v>
      </c>
      <c r="I363" s="19">
        <v>0</v>
      </c>
      <c r="J363" s="19">
        <v>0</v>
      </c>
      <c r="K363" s="19">
        <v>0</v>
      </c>
      <c r="L363" s="19">
        <v>0</v>
      </c>
      <c r="M363" s="19">
        <v>0</v>
      </c>
      <c r="N363" s="19">
        <v>0</v>
      </c>
      <c r="O363" s="19">
        <v>0</v>
      </c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9">
        <v>0</v>
      </c>
      <c r="V363" s="19">
        <v>0</v>
      </c>
      <c r="W363" s="19">
        <v>0</v>
      </c>
      <c r="X363" s="19">
        <v>0</v>
      </c>
      <c r="Y363" s="19">
        <v>0</v>
      </c>
      <c r="Z363" s="19">
        <v>0</v>
      </c>
      <c r="AA363" s="19">
        <v>0</v>
      </c>
      <c r="AB363" s="19">
        <v>0</v>
      </c>
      <c r="AC363" s="19">
        <v>0</v>
      </c>
      <c r="AD363" s="19">
        <v>0</v>
      </c>
      <c r="AE363" s="19">
        <v>0</v>
      </c>
      <c r="AF363" s="19">
        <v>0</v>
      </c>
      <c r="AG363" s="19">
        <v>0</v>
      </c>
      <c r="AH363" s="19">
        <v>0</v>
      </c>
      <c r="AI363" s="19">
        <v>0</v>
      </c>
      <c r="AJ363" s="19">
        <v>0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0</v>
      </c>
      <c r="AS363" s="19">
        <v>0</v>
      </c>
      <c r="AT363" s="19">
        <v>0</v>
      </c>
      <c r="AU363" s="19">
        <v>0</v>
      </c>
      <c r="AV363" s="19">
        <v>0</v>
      </c>
      <c r="AW363" s="19">
        <v>0</v>
      </c>
      <c r="AX363" s="19">
        <v>0</v>
      </c>
      <c r="AY363" s="19">
        <v>0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0</v>
      </c>
      <c r="BF363" s="19">
        <v>0</v>
      </c>
      <c r="BG363" s="19">
        <v>0</v>
      </c>
      <c r="BH363" s="19">
        <v>0</v>
      </c>
      <c r="BI363" s="19">
        <v>0</v>
      </c>
      <c r="BJ363" s="19">
        <v>0</v>
      </c>
      <c r="BK363" s="19">
        <v>0</v>
      </c>
      <c r="BL363" s="19">
        <v>0</v>
      </c>
      <c r="BM363" s="19">
        <v>0</v>
      </c>
      <c r="BN363" s="19">
        <v>0</v>
      </c>
      <c r="BO363" s="19">
        <v>0</v>
      </c>
      <c r="BP363" s="19">
        <v>0</v>
      </c>
      <c r="BQ363" s="19">
        <v>0</v>
      </c>
      <c r="BR363" s="19">
        <v>0</v>
      </c>
      <c r="BS363" s="19">
        <v>0</v>
      </c>
      <c r="BT363" s="19">
        <v>0</v>
      </c>
      <c r="BU363" s="19">
        <v>0</v>
      </c>
      <c r="BV363" s="19">
        <v>0</v>
      </c>
      <c r="BW363" s="19">
        <v>0</v>
      </c>
      <c r="BX363" s="19">
        <v>0</v>
      </c>
      <c r="BY363" s="19">
        <v>0</v>
      </c>
      <c r="BZ363" s="19">
        <v>0</v>
      </c>
      <c r="CA363" s="19">
        <v>0</v>
      </c>
      <c r="CB363" s="19">
        <v>0</v>
      </c>
      <c r="CC363" s="19">
        <v>0</v>
      </c>
      <c r="CD363" s="19">
        <v>0</v>
      </c>
      <c r="CE363" s="19">
        <v>0</v>
      </c>
      <c r="CF363" s="19">
        <v>0</v>
      </c>
      <c r="CG363" s="19">
        <v>0</v>
      </c>
      <c r="CH363" s="19">
        <v>0</v>
      </c>
      <c r="CI363" s="19">
        <v>0</v>
      </c>
      <c r="CJ363" s="19">
        <v>0</v>
      </c>
      <c r="CK363" s="19">
        <v>0</v>
      </c>
      <c r="CL363" s="19">
        <v>0</v>
      </c>
      <c r="CM363" s="19">
        <v>0</v>
      </c>
      <c r="CN363" s="19">
        <v>0</v>
      </c>
      <c r="CO363" s="19">
        <v>0</v>
      </c>
      <c r="CP363" s="19">
        <v>0</v>
      </c>
      <c r="CQ363" s="19">
        <v>0</v>
      </c>
      <c r="CR363" s="19">
        <v>0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0</v>
      </c>
      <c r="DC363" s="19">
        <v>0</v>
      </c>
      <c r="DD363" s="19">
        <v>0</v>
      </c>
      <c r="DE363" s="19">
        <v>0</v>
      </c>
      <c r="DF363" s="19">
        <v>0</v>
      </c>
      <c r="DG363" s="19">
        <v>0</v>
      </c>
      <c r="DH363" s="19">
        <v>0</v>
      </c>
      <c r="DI363" s="19">
        <v>0</v>
      </c>
      <c r="DJ363" s="19">
        <v>0</v>
      </c>
      <c r="DK363" s="19">
        <v>0</v>
      </c>
      <c r="DL363" s="19">
        <v>0</v>
      </c>
      <c r="DM363" s="19">
        <v>0</v>
      </c>
      <c r="DN363" s="19">
        <v>0</v>
      </c>
      <c r="DO363" s="19">
        <v>0</v>
      </c>
      <c r="DP363" s="19">
        <v>0</v>
      </c>
      <c r="DQ363" s="19">
        <v>0</v>
      </c>
      <c r="DR363" s="19">
        <v>0</v>
      </c>
      <c r="DS363" s="19">
        <v>0</v>
      </c>
      <c r="DT363" s="19">
        <v>0</v>
      </c>
      <c r="DU363" s="19">
        <v>0</v>
      </c>
      <c r="DV363" s="19">
        <v>0</v>
      </c>
      <c r="DW363" s="19">
        <v>0</v>
      </c>
      <c r="DX363" s="19">
        <v>0</v>
      </c>
      <c r="DY363" s="19">
        <v>0</v>
      </c>
      <c r="DZ363" s="19">
        <v>0</v>
      </c>
      <c r="EA363" s="19">
        <v>0</v>
      </c>
      <c r="EB363" s="19">
        <v>0</v>
      </c>
      <c r="EC363" s="19">
        <v>0</v>
      </c>
      <c r="ED363" s="19">
        <v>0</v>
      </c>
      <c r="EE363" s="19">
        <v>0</v>
      </c>
      <c r="EF363" s="19">
        <v>0</v>
      </c>
      <c r="EG363" s="19">
        <v>0</v>
      </c>
      <c r="EH363" s="19">
        <v>0</v>
      </c>
      <c r="EI363" s="19">
        <v>0</v>
      </c>
      <c r="EJ363" s="19">
        <v>0</v>
      </c>
      <c r="EK363" s="19">
        <v>0</v>
      </c>
      <c r="EL363" s="19">
        <v>0</v>
      </c>
      <c r="EM363" s="19">
        <v>0</v>
      </c>
      <c r="EN363" s="19">
        <v>0</v>
      </c>
      <c r="EO363" s="19">
        <v>0</v>
      </c>
      <c r="EP363" s="19">
        <v>0</v>
      </c>
      <c r="EQ363" s="19">
        <v>0</v>
      </c>
      <c r="ER363" s="19">
        <v>0</v>
      </c>
      <c r="ES363" s="119">
        <v>0</v>
      </c>
      <c r="ET363" s="119">
        <v>0</v>
      </c>
    </row>
    <row r="364" spans="1:150" ht="16.5" customHeight="1" x14ac:dyDescent="0.35">
      <c r="A364" s="4">
        <v>210</v>
      </c>
      <c r="B364" s="4" t="str">
        <f>LOOKUP(A364,Lookup!$A$1:$A$34,Lookup!$B$1:$B$34)</f>
        <v>INGREDIENTS</v>
      </c>
      <c r="C364" s="5">
        <v>63465</v>
      </c>
      <c r="D364" s="6" t="s">
        <v>104</v>
      </c>
      <c r="E364" s="18">
        <v>0</v>
      </c>
      <c r="F364" s="18">
        <v>0</v>
      </c>
      <c r="G364" s="18">
        <v>0</v>
      </c>
      <c r="H364" s="18">
        <v>0</v>
      </c>
      <c r="I364" s="19">
        <v>0</v>
      </c>
      <c r="J364" s="19">
        <v>0</v>
      </c>
      <c r="K364" s="19">
        <v>0</v>
      </c>
      <c r="L364" s="19">
        <v>0</v>
      </c>
      <c r="M364" s="19">
        <v>0</v>
      </c>
      <c r="N364" s="19">
        <v>0</v>
      </c>
      <c r="O364" s="19">
        <v>0</v>
      </c>
      <c r="P364" s="19">
        <v>0</v>
      </c>
      <c r="Q364" s="19">
        <v>0</v>
      </c>
      <c r="R364" s="19">
        <v>0</v>
      </c>
      <c r="S364" s="19">
        <v>0</v>
      </c>
      <c r="T364" s="19">
        <v>0</v>
      </c>
      <c r="U364" s="19">
        <v>0</v>
      </c>
      <c r="V364" s="19">
        <v>0</v>
      </c>
      <c r="W364" s="19">
        <v>0</v>
      </c>
      <c r="X364" s="19">
        <v>0</v>
      </c>
      <c r="Y364" s="19">
        <v>0</v>
      </c>
      <c r="Z364" s="19">
        <v>0</v>
      </c>
      <c r="AA364" s="19">
        <v>0</v>
      </c>
      <c r="AB364" s="19">
        <v>0</v>
      </c>
      <c r="AC364" s="19">
        <v>0</v>
      </c>
      <c r="AD364" s="19">
        <v>0</v>
      </c>
      <c r="AE364" s="19">
        <v>0</v>
      </c>
      <c r="AF364" s="19">
        <v>0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19">
        <v>0</v>
      </c>
      <c r="AM364" s="19">
        <v>0</v>
      </c>
      <c r="AN364" s="19">
        <v>0</v>
      </c>
      <c r="AO364" s="19">
        <v>0</v>
      </c>
      <c r="AP364" s="19">
        <v>0</v>
      </c>
      <c r="AQ364" s="19">
        <v>0</v>
      </c>
      <c r="AR364" s="19">
        <v>0</v>
      </c>
      <c r="AS364" s="19">
        <v>0</v>
      </c>
      <c r="AT364" s="19">
        <v>0</v>
      </c>
      <c r="AU364" s="19">
        <v>0</v>
      </c>
      <c r="AV364" s="19">
        <v>0</v>
      </c>
      <c r="AW364" s="19">
        <v>0</v>
      </c>
      <c r="AX364" s="19">
        <v>0</v>
      </c>
      <c r="AY364" s="19">
        <v>0</v>
      </c>
      <c r="AZ364" s="19">
        <v>0</v>
      </c>
      <c r="BA364" s="19">
        <v>0</v>
      </c>
      <c r="BB364" s="19">
        <v>0</v>
      </c>
      <c r="BC364" s="19">
        <v>0</v>
      </c>
      <c r="BD364" s="19">
        <v>0</v>
      </c>
      <c r="BE364" s="19">
        <v>0</v>
      </c>
      <c r="BF364" s="19">
        <v>0</v>
      </c>
      <c r="BG364" s="19">
        <v>0</v>
      </c>
      <c r="BH364" s="19">
        <v>0</v>
      </c>
      <c r="BI364" s="19">
        <v>0</v>
      </c>
      <c r="BJ364" s="19">
        <v>0</v>
      </c>
      <c r="BK364" s="19">
        <v>0</v>
      </c>
      <c r="BL364" s="19">
        <v>0</v>
      </c>
      <c r="BM364" s="19">
        <v>0</v>
      </c>
      <c r="BN364" s="19">
        <v>0</v>
      </c>
      <c r="BO364" s="19">
        <v>0</v>
      </c>
      <c r="BP364" s="19">
        <v>0</v>
      </c>
      <c r="BQ364" s="19">
        <v>0</v>
      </c>
      <c r="BR364" s="19">
        <v>0</v>
      </c>
      <c r="BS364" s="19">
        <v>0</v>
      </c>
      <c r="BT364" s="19">
        <v>0</v>
      </c>
      <c r="BU364" s="19">
        <v>0</v>
      </c>
      <c r="BV364" s="19">
        <v>0</v>
      </c>
      <c r="BW364" s="19">
        <v>0</v>
      </c>
      <c r="BX364" s="19">
        <v>0</v>
      </c>
      <c r="BY364" s="19">
        <v>0</v>
      </c>
      <c r="BZ364" s="19">
        <v>0</v>
      </c>
      <c r="CA364" s="19">
        <v>0</v>
      </c>
      <c r="CB364" s="19">
        <v>0</v>
      </c>
      <c r="CC364" s="19">
        <v>0</v>
      </c>
      <c r="CD364" s="19">
        <v>0</v>
      </c>
      <c r="CE364" s="19">
        <v>0</v>
      </c>
      <c r="CF364" s="19">
        <v>0</v>
      </c>
      <c r="CG364" s="19">
        <v>0</v>
      </c>
      <c r="CH364" s="19">
        <v>0</v>
      </c>
      <c r="CI364" s="19">
        <v>0</v>
      </c>
      <c r="CJ364" s="19">
        <v>0</v>
      </c>
      <c r="CK364" s="19">
        <v>0</v>
      </c>
      <c r="CL364" s="19">
        <v>0</v>
      </c>
      <c r="CM364" s="19">
        <v>0</v>
      </c>
      <c r="CN364" s="19">
        <v>0</v>
      </c>
      <c r="CO364" s="19">
        <v>0</v>
      </c>
      <c r="CP364" s="19">
        <v>0</v>
      </c>
      <c r="CQ364" s="19">
        <v>0</v>
      </c>
      <c r="CR364" s="19">
        <v>0</v>
      </c>
      <c r="CS364" s="19">
        <v>0</v>
      </c>
      <c r="CT364" s="19">
        <v>0</v>
      </c>
      <c r="CU364" s="19">
        <v>0</v>
      </c>
      <c r="CV364" s="19">
        <v>0</v>
      </c>
      <c r="CW364" s="19">
        <v>0</v>
      </c>
      <c r="CX364" s="19">
        <v>0</v>
      </c>
      <c r="CY364" s="19">
        <v>0</v>
      </c>
      <c r="CZ364" s="19">
        <v>0</v>
      </c>
      <c r="DA364" s="19">
        <v>0</v>
      </c>
      <c r="DB364" s="19">
        <v>0</v>
      </c>
      <c r="DC364" s="19">
        <v>0</v>
      </c>
      <c r="DD364" s="19">
        <v>0</v>
      </c>
      <c r="DE364" s="19">
        <v>0</v>
      </c>
      <c r="DF364" s="19">
        <v>0</v>
      </c>
      <c r="DG364" s="19">
        <v>0</v>
      </c>
      <c r="DH364" s="19">
        <v>0</v>
      </c>
      <c r="DI364" s="19">
        <v>0</v>
      </c>
      <c r="DJ364" s="19">
        <v>0</v>
      </c>
      <c r="DK364" s="19">
        <v>0</v>
      </c>
      <c r="DL364" s="19">
        <v>0</v>
      </c>
      <c r="DM364" s="19">
        <v>0</v>
      </c>
      <c r="DN364" s="19">
        <v>0</v>
      </c>
      <c r="DO364" s="19">
        <v>0</v>
      </c>
      <c r="DP364" s="19">
        <v>0</v>
      </c>
      <c r="DQ364" s="19">
        <v>0</v>
      </c>
      <c r="DR364" s="19">
        <v>0</v>
      </c>
      <c r="DS364" s="19">
        <v>0</v>
      </c>
      <c r="DT364" s="19">
        <v>0</v>
      </c>
      <c r="DU364" s="19">
        <v>0</v>
      </c>
      <c r="DV364" s="19">
        <v>0</v>
      </c>
      <c r="DW364" s="19">
        <v>0</v>
      </c>
      <c r="DX364" s="19">
        <v>0</v>
      </c>
      <c r="DY364" s="19">
        <v>0</v>
      </c>
      <c r="DZ364" s="19">
        <v>0</v>
      </c>
      <c r="EA364" s="19">
        <v>0</v>
      </c>
      <c r="EB364" s="19">
        <v>0</v>
      </c>
      <c r="EC364" s="19">
        <v>0</v>
      </c>
      <c r="ED364" s="19">
        <v>0</v>
      </c>
      <c r="EE364" s="19">
        <v>0</v>
      </c>
      <c r="EF364" s="19">
        <v>0</v>
      </c>
      <c r="EG364" s="19">
        <v>0</v>
      </c>
      <c r="EH364" s="19">
        <v>0</v>
      </c>
      <c r="EI364" s="19">
        <v>0</v>
      </c>
      <c r="EJ364" s="19">
        <v>0</v>
      </c>
      <c r="EK364" s="19">
        <v>0</v>
      </c>
      <c r="EL364" s="19">
        <v>0</v>
      </c>
      <c r="EM364" s="19">
        <v>0</v>
      </c>
      <c r="EN364" s="19">
        <v>0</v>
      </c>
      <c r="EO364" s="19">
        <v>0</v>
      </c>
      <c r="EP364" s="19">
        <v>0</v>
      </c>
      <c r="EQ364" s="19">
        <v>0</v>
      </c>
      <c r="ER364" s="19">
        <v>0</v>
      </c>
      <c r="ES364" s="119">
        <v>0</v>
      </c>
      <c r="ET364" s="119">
        <v>0</v>
      </c>
    </row>
    <row r="365" spans="1:150" ht="16.5" customHeight="1" x14ac:dyDescent="0.35">
      <c r="A365" s="4">
        <v>210</v>
      </c>
      <c r="B365" s="4" t="str">
        <f>LOOKUP(A365,Lookup!$A$1:$A$34,Lookup!$B$1:$B$34)</f>
        <v>INGREDIENTS</v>
      </c>
      <c r="C365" s="5">
        <v>63498</v>
      </c>
      <c r="D365" s="6" t="s">
        <v>346</v>
      </c>
      <c r="E365" s="18">
        <v>810.68466819221896</v>
      </c>
      <c r="F365" s="18">
        <v>7.2</v>
      </c>
      <c r="G365" s="18">
        <v>30806.0173913043</v>
      </c>
      <c r="H365" s="18">
        <v>273.60399999999998</v>
      </c>
      <c r="I365" s="19">
        <v>0</v>
      </c>
      <c r="J365" s="19">
        <v>0</v>
      </c>
      <c r="K365" s="19">
        <v>0</v>
      </c>
      <c r="L365" s="19">
        <v>0</v>
      </c>
      <c r="M365" s="19">
        <v>0</v>
      </c>
      <c r="N365" s="19">
        <v>0</v>
      </c>
      <c r="O365" s="19">
        <v>0</v>
      </c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9">
        <v>0</v>
      </c>
      <c r="V365" s="19">
        <v>0</v>
      </c>
      <c r="W365" s="19">
        <v>0</v>
      </c>
      <c r="X365" s="19">
        <v>0</v>
      </c>
      <c r="Y365" s="19">
        <v>0</v>
      </c>
      <c r="Z365" s="19">
        <v>0</v>
      </c>
      <c r="AA365" s="19">
        <v>0</v>
      </c>
      <c r="AB365" s="19">
        <v>0</v>
      </c>
      <c r="AC365" s="19">
        <v>0</v>
      </c>
      <c r="AD365" s="19">
        <v>0</v>
      </c>
      <c r="AE365" s="19">
        <v>0</v>
      </c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19">
        <v>0</v>
      </c>
      <c r="AM365" s="19">
        <v>0</v>
      </c>
      <c r="AN365" s="19">
        <v>0</v>
      </c>
      <c r="AO365" s="19">
        <v>0</v>
      </c>
      <c r="AP365" s="19">
        <v>0</v>
      </c>
      <c r="AQ365" s="19">
        <v>0</v>
      </c>
      <c r="AR365" s="19">
        <v>0</v>
      </c>
      <c r="AS365" s="19">
        <v>0</v>
      </c>
      <c r="AT365" s="19">
        <v>0</v>
      </c>
      <c r="AU365" s="19">
        <v>0</v>
      </c>
      <c r="AV365" s="19">
        <v>0</v>
      </c>
      <c r="AW365" s="19">
        <v>0</v>
      </c>
      <c r="AX365" s="19">
        <v>0</v>
      </c>
      <c r="AY365" s="19">
        <v>0</v>
      </c>
      <c r="AZ365" s="19">
        <v>0</v>
      </c>
      <c r="BA365" s="19">
        <v>0</v>
      </c>
      <c r="BB365" s="19">
        <v>0</v>
      </c>
      <c r="BC365" s="19">
        <v>0</v>
      </c>
      <c r="BD365" s="19">
        <v>0</v>
      </c>
      <c r="BE365" s="19">
        <v>0</v>
      </c>
      <c r="BF365" s="19">
        <v>0</v>
      </c>
      <c r="BG365" s="19">
        <v>0</v>
      </c>
      <c r="BH365" s="19">
        <v>0</v>
      </c>
      <c r="BI365" s="19">
        <v>0</v>
      </c>
      <c r="BJ365" s="19">
        <v>0</v>
      </c>
      <c r="BK365" s="19">
        <v>0</v>
      </c>
      <c r="BL365" s="19">
        <v>0</v>
      </c>
      <c r="BM365" s="19">
        <v>0</v>
      </c>
      <c r="BN365" s="19">
        <v>0</v>
      </c>
      <c r="BO365" s="19">
        <v>0</v>
      </c>
      <c r="BP365" s="19">
        <v>0</v>
      </c>
      <c r="BQ365" s="19">
        <v>0</v>
      </c>
      <c r="BR365" s="19">
        <v>0</v>
      </c>
      <c r="BS365" s="19">
        <v>0</v>
      </c>
      <c r="BT365" s="19">
        <v>0</v>
      </c>
      <c r="BU365" s="19">
        <v>0</v>
      </c>
      <c r="BV365" s="19">
        <v>0</v>
      </c>
      <c r="BW365" s="19">
        <v>406.70434782608697</v>
      </c>
      <c r="BX365" s="19">
        <v>3.8980000000000001</v>
      </c>
      <c r="BY365" s="19">
        <v>234.547826086957</v>
      </c>
      <c r="BZ365" s="19">
        <v>2.2480000000000002</v>
      </c>
      <c r="CA365" s="19">
        <v>182.88695652173899</v>
      </c>
      <c r="CB365" s="19">
        <v>1.6180000000000001</v>
      </c>
      <c r="CC365" s="19">
        <v>1090.1130434782599</v>
      </c>
      <c r="CD365" s="19">
        <v>9.7200000000000006</v>
      </c>
      <c r="CE365" s="19">
        <v>686.20869565217401</v>
      </c>
      <c r="CF365" s="19">
        <v>6.1079999999999997</v>
      </c>
      <c r="CG365" s="19">
        <v>853.62608695652204</v>
      </c>
      <c r="CH365" s="19">
        <v>7.5519999999999996</v>
      </c>
      <c r="CI365" s="19">
        <v>1554.28695652174</v>
      </c>
      <c r="CJ365" s="19">
        <v>13.784000000000001</v>
      </c>
      <c r="CK365" s="19">
        <v>1068.6695652173901</v>
      </c>
      <c r="CL365" s="19">
        <v>9.4939999999999998</v>
      </c>
      <c r="CM365" s="19">
        <v>647.22608695652195</v>
      </c>
      <c r="CN365" s="19">
        <v>5.726</v>
      </c>
      <c r="CO365" s="19">
        <v>1412.24347826087</v>
      </c>
      <c r="CP365" s="19">
        <v>12.494</v>
      </c>
      <c r="CQ365" s="19">
        <v>1523.6782608695701</v>
      </c>
      <c r="CR365" s="19">
        <v>13.48</v>
      </c>
      <c r="CS365" s="19">
        <v>1299.95652173913</v>
      </c>
      <c r="CT365" s="19">
        <v>11.577999999999999</v>
      </c>
      <c r="CU365" s="19">
        <v>1649.3826086956501</v>
      </c>
      <c r="CV365" s="19">
        <v>14.592000000000001</v>
      </c>
      <c r="CW365" s="19">
        <v>243.47826086956499</v>
      </c>
      <c r="CX365" s="19">
        <v>2.1539999999999999</v>
      </c>
      <c r="CY365" s="19">
        <v>73.243478260869594</v>
      </c>
      <c r="CZ365" s="19">
        <v>0.64800000000000002</v>
      </c>
      <c r="DA365" s="19">
        <v>181.982608695652</v>
      </c>
      <c r="DB365" s="19">
        <v>1.61</v>
      </c>
      <c r="DC365" s="19">
        <v>0</v>
      </c>
      <c r="DD365" s="19">
        <v>0</v>
      </c>
      <c r="DE365" s="19">
        <v>0</v>
      </c>
      <c r="DF365" s="19">
        <v>0</v>
      </c>
      <c r="DG365" s="19">
        <v>0</v>
      </c>
      <c r="DH365" s="19">
        <v>0</v>
      </c>
      <c r="DI365" s="19">
        <v>497.79130434782599</v>
      </c>
      <c r="DJ365" s="19">
        <v>4.4039999999999999</v>
      </c>
      <c r="DK365" s="19">
        <v>1254.8869565217401</v>
      </c>
      <c r="DL365" s="19">
        <v>11.102</v>
      </c>
      <c r="DM365" s="19">
        <v>1316.74782608696</v>
      </c>
      <c r="DN365" s="19">
        <v>11.682</v>
      </c>
      <c r="DO365" s="19">
        <v>692.44347826086903</v>
      </c>
      <c r="DP365" s="19">
        <v>6.1260000000000003</v>
      </c>
      <c r="DQ365" s="19">
        <v>546.33043478260902</v>
      </c>
      <c r="DR365" s="19">
        <v>4.8739999999999997</v>
      </c>
      <c r="DS365" s="19">
        <v>568.33043478260902</v>
      </c>
      <c r="DT365" s="19">
        <v>5.0279999999999996</v>
      </c>
      <c r="DU365" s="19">
        <v>878.82608695652198</v>
      </c>
      <c r="DV365" s="19">
        <v>7.82</v>
      </c>
      <c r="DW365" s="19">
        <v>401.04347826087002</v>
      </c>
      <c r="DX365" s="19">
        <v>3.548</v>
      </c>
      <c r="DY365" s="19">
        <v>1601.25217391304</v>
      </c>
      <c r="DZ365" s="19">
        <v>14.202</v>
      </c>
      <c r="EA365" s="19">
        <v>596.573913043478</v>
      </c>
      <c r="EB365" s="19">
        <v>5.2779999999999996</v>
      </c>
      <c r="EC365" s="19">
        <v>275.48695652173899</v>
      </c>
      <c r="ED365" s="19">
        <v>2.4820000000000002</v>
      </c>
      <c r="EE365" s="19">
        <v>1001.70434782609</v>
      </c>
      <c r="EF365" s="19">
        <v>8.8620000000000001</v>
      </c>
      <c r="EG365" s="19">
        <v>2458.9130434782601</v>
      </c>
      <c r="EH365" s="19">
        <v>21.754000000000001</v>
      </c>
      <c r="EI365" s="19">
        <v>1148.3652173912999</v>
      </c>
      <c r="EJ365" s="19">
        <v>10.194000000000001</v>
      </c>
      <c r="EK365" s="19">
        <v>1849.6782608695701</v>
      </c>
      <c r="EL365" s="19">
        <v>16.364000000000001</v>
      </c>
      <c r="EM365" s="19">
        <v>399.408695652174</v>
      </c>
      <c r="EN365" s="19">
        <v>3.5739999999999998</v>
      </c>
      <c r="EO365" s="19">
        <v>394.25217391304301</v>
      </c>
      <c r="EP365" s="19">
        <v>3.5419999999999998</v>
      </c>
      <c r="EQ365" s="19">
        <v>1152.9304347826101</v>
      </c>
      <c r="ER365" s="19">
        <v>10.199999999999999</v>
      </c>
      <c r="ES365" s="119">
        <v>955.11304347826103</v>
      </c>
      <c r="ET365" s="119">
        <v>8.4499999999999993</v>
      </c>
    </row>
    <row r="366" spans="1:150" ht="16.5" customHeight="1" x14ac:dyDescent="0.35">
      <c r="A366" s="4">
        <v>210</v>
      </c>
      <c r="B366" s="4" t="str">
        <f>LOOKUP(A366,Lookup!$A$1:$A$34,Lookup!$B$1:$B$34)</f>
        <v>INGREDIENTS</v>
      </c>
      <c r="C366" s="5">
        <v>63722</v>
      </c>
      <c r="D366" s="6" t="s">
        <v>347</v>
      </c>
      <c r="E366" s="18">
        <v>0</v>
      </c>
      <c r="F366" s="18">
        <v>0</v>
      </c>
      <c r="G366" s="18">
        <v>0</v>
      </c>
      <c r="H366" s="18">
        <v>0</v>
      </c>
      <c r="I366" s="19">
        <v>0</v>
      </c>
      <c r="J366" s="19">
        <v>0</v>
      </c>
      <c r="K366" s="19">
        <v>0</v>
      </c>
      <c r="L366" s="19">
        <v>0</v>
      </c>
      <c r="M366" s="19">
        <v>0</v>
      </c>
      <c r="N366" s="19">
        <v>0</v>
      </c>
      <c r="O366" s="19">
        <v>0</v>
      </c>
      <c r="P366" s="19">
        <v>0</v>
      </c>
      <c r="Q366" s="19">
        <v>0</v>
      </c>
      <c r="R366" s="19">
        <v>0</v>
      </c>
      <c r="S366" s="19">
        <v>0</v>
      </c>
      <c r="T366" s="19">
        <v>0</v>
      </c>
      <c r="U366" s="19">
        <v>0</v>
      </c>
      <c r="V366" s="19">
        <v>0</v>
      </c>
      <c r="W366" s="19">
        <v>0</v>
      </c>
      <c r="X366" s="19">
        <v>0</v>
      </c>
      <c r="Y366" s="19">
        <v>0</v>
      </c>
      <c r="Z366" s="19">
        <v>0</v>
      </c>
      <c r="AA366" s="19">
        <v>0</v>
      </c>
      <c r="AB366" s="19">
        <v>0</v>
      </c>
      <c r="AC366" s="19">
        <v>0</v>
      </c>
      <c r="AD366" s="19">
        <v>0</v>
      </c>
      <c r="AE366" s="19">
        <v>0</v>
      </c>
      <c r="AF366" s="19">
        <v>0</v>
      </c>
      <c r="AG366" s="19">
        <v>0</v>
      </c>
      <c r="AH366" s="19">
        <v>0</v>
      </c>
      <c r="AI366" s="19">
        <v>0</v>
      </c>
      <c r="AJ366" s="19">
        <v>0</v>
      </c>
      <c r="AK366" s="19">
        <v>0</v>
      </c>
      <c r="AL366" s="19">
        <v>0</v>
      </c>
      <c r="AM366" s="19">
        <v>0</v>
      </c>
      <c r="AN366" s="19">
        <v>0</v>
      </c>
      <c r="AO366" s="19">
        <v>0</v>
      </c>
      <c r="AP366" s="19">
        <v>0</v>
      </c>
      <c r="AQ366" s="19">
        <v>0</v>
      </c>
      <c r="AR366" s="19">
        <v>0</v>
      </c>
      <c r="AS366" s="19">
        <v>0</v>
      </c>
      <c r="AT366" s="19">
        <v>0</v>
      </c>
      <c r="AU366" s="19">
        <v>0</v>
      </c>
      <c r="AV366" s="19">
        <v>0</v>
      </c>
      <c r="AW366" s="19">
        <v>0</v>
      </c>
      <c r="AX366" s="19">
        <v>0</v>
      </c>
      <c r="AY366" s="19">
        <v>0</v>
      </c>
      <c r="AZ366" s="19">
        <v>0</v>
      </c>
      <c r="BA366" s="19">
        <v>0</v>
      </c>
      <c r="BB366" s="19">
        <v>0</v>
      </c>
      <c r="BC366" s="19">
        <v>0</v>
      </c>
      <c r="BD366" s="19">
        <v>0</v>
      </c>
      <c r="BE366" s="19">
        <v>0</v>
      </c>
      <c r="BF366" s="19">
        <v>0</v>
      </c>
      <c r="BG366" s="19">
        <v>0</v>
      </c>
      <c r="BH366" s="19">
        <v>0</v>
      </c>
      <c r="BI366" s="19">
        <v>0</v>
      </c>
      <c r="BJ366" s="19">
        <v>0</v>
      </c>
      <c r="BK366" s="19">
        <v>0</v>
      </c>
      <c r="BL366" s="19">
        <v>0</v>
      </c>
      <c r="BM366" s="19">
        <v>0</v>
      </c>
      <c r="BN366" s="19">
        <v>0</v>
      </c>
      <c r="BO366" s="19">
        <v>0</v>
      </c>
      <c r="BP366" s="19">
        <v>0</v>
      </c>
      <c r="BQ366" s="19">
        <v>0</v>
      </c>
      <c r="BR366" s="19">
        <v>0</v>
      </c>
      <c r="BS366" s="19">
        <v>0</v>
      </c>
      <c r="BT366" s="19">
        <v>0</v>
      </c>
      <c r="BU366" s="19">
        <v>0</v>
      </c>
      <c r="BV366" s="19">
        <v>0</v>
      </c>
      <c r="BW366" s="19">
        <v>0</v>
      </c>
      <c r="BX366" s="19">
        <v>0</v>
      </c>
      <c r="BY366" s="19">
        <v>0</v>
      </c>
      <c r="BZ366" s="19">
        <v>0</v>
      </c>
      <c r="CA366" s="19">
        <v>0</v>
      </c>
      <c r="CB366" s="19">
        <v>0</v>
      </c>
      <c r="CC366" s="19">
        <v>0</v>
      </c>
      <c r="CD366" s="19">
        <v>0</v>
      </c>
      <c r="CE366" s="19">
        <v>0</v>
      </c>
      <c r="CF366" s="19">
        <v>0</v>
      </c>
      <c r="CG366" s="19">
        <v>0</v>
      </c>
      <c r="CH366" s="19">
        <v>0</v>
      </c>
      <c r="CI366" s="19">
        <v>0</v>
      </c>
      <c r="CJ366" s="19">
        <v>0</v>
      </c>
      <c r="CK366" s="19">
        <v>0</v>
      </c>
      <c r="CL366" s="19">
        <v>0</v>
      </c>
      <c r="CM366" s="19">
        <v>0</v>
      </c>
      <c r="CN366" s="19">
        <v>0</v>
      </c>
      <c r="CO366" s="19">
        <v>0</v>
      </c>
      <c r="CP366" s="19">
        <v>0</v>
      </c>
      <c r="CQ366" s="19">
        <v>0</v>
      </c>
      <c r="CR366" s="19">
        <v>0</v>
      </c>
      <c r="CS366" s="19">
        <v>0</v>
      </c>
      <c r="CT366" s="19">
        <v>0</v>
      </c>
      <c r="CU366" s="19">
        <v>0</v>
      </c>
      <c r="CV366" s="19">
        <v>0</v>
      </c>
      <c r="CW366" s="19">
        <v>0</v>
      </c>
      <c r="CX366" s="19">
        <v>0</v>
      </c>
      <c r="CY366" s="19">
        <v>0</v>
      </c>
      <c r="CZ366" s="19">
        <v>0</v>
      </c>
      <c r="DA366" s="19">
        <v>0</v>
      </c>
      <c r="DB366" s="19">
        <v>0</v>
      </c>
      <c r="DC366" s="19">
        <v>0</v>
      </c>
      <c r="DD366" s="19">
        <v>0</v>
      </c>
      <c r="DE366" s="19">
        <v>0</v>
      </c>
      <c r="DF366" s="19">
        <v>0</v>
      </c>
      <c r="DG366" s="19">
        <v>0</v>
      </c>
      <c r="DH366" s="19">
        <v>0</v>
      </c>
      <c r="DI366" s="19">
        <v>0</v>
      </c>
      <c r="DJ366" s="19">
        <v>0</v>
      </c>
      <c r="DK366" s="19">
        <v>0</v>
      </c>
      <c r="DL366" s="19">
        <v>0</v>
      </c>
      <c r="DM366" s="19">
        <v>0</v>
      </c>
      <c r="DN366" s="19">
        <v>0</v>
      </c>
      <c r="DO366" s="19">
        <v>0</v>
      </c>
      <c r="DP366" s="19">
        <v>0</v>
      </c>
      <c r="DQ366" s="19">
        <v>0</v>
      </c>
      <c r="DR366" s="19">
        <v>0</v>
      </c>
      <c r="DS366" s="19">
        <v>0</v>
      </c>
      <c r="DT366" s="19">
        <v>0</v>
      </c>
      <c r="DU366" s="19">
        <v>0</v>
      </c>
      <c r="DV366" s="19">
        <v>0</v>
      </c>
      <c r="DW366" s="19">
        <v>0</v>
      </c>
      <c r="DX366" s="19">
        <v>0</v>
      </c>
      <c r="DY366" s="19">
        <v>0</v>
      </c>
      <c r="DZ366" s="19">
        <v>0</v>
      </c>
      <c r="EA366" s="19">
        <v>0</v>
      </c>
      <c r="EB366" s="19">
        <v>0</v>
      </c>
      <c r="EC366" s="19">
        <v>0</v>
      </c>
      <c r="ED366" s="19">
        <v>0</v>
      </c>
      <c r="EE366" s="19">
        <v>0</v>
      </c>
      <c r="EF366" s="19">
        <v>0</v>
      </c>
      <c r="EG366" s="19">
        <v>0</v>
      </c>
      <c r="EH366" s="19">
        <v>0</v>
      </c>
      <c r="EI366" s="19">
        <v>0</v>
      </c>
      <c r="EJ366" s="19">
        <v>0</v>
      </c>
      <c r="EK366" s="19">
        <v>0</v>
      </c>
      <c r="EL366" s="19">
        <v>0</v>
      </c>
      <c r="EM366" s="19">
        <v>0</v>
      </c>
      <c r="EN366" s="19">
        <v>0</v>
      </c>
      <c r="EO366" s="19">
        <v>0</v>
      </c>
      <c r="EP366" s="19">
        <v>0</v>
      </c>
      <c r="EQ366" s="19">
        <v>0</v>
      </c>
      <c r="ER366" s="19">
        <v>0</v>
      </c>
      <c r="ES366" s="119">
        <v>0</v>
      </c>
      <c r="ET366" s="119">
        <v>0</v>
      </c>
    </row>
    <row r="367" spans="1:150" ht="16.5" customHeight="1" x14ac:dyDescent="0.35">
      <c r="A367" s="4">
        <v>210</v>
      </c>
      <c r="B367" s="4" t="str">
        <f>LOOKUP(A367,Lookup!$A$1:$A$34,Lookup!$B$1:$B$34)</f>
        <v>INGREDIENTS</v>
      </c>
      <c r="C367" s="5">
        <v>63723</v>
      </c>
      <c r="D367" s="6" t="s">
        <v>348</v>
      </c>
      <c r="E367" s="18">
        <v>0</v>
      </c>
      <c r="F367" s="18">
        <v>0</v>
      </c>
      <c r="G367" s="18">
        <v>0</v>
      </c>
      <c r="H367" s="18">
        <v>0</v>
      </c>
      <c r="I367" s="19">
        <v>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0</v>
      </c>
      <c r="AE367" s="19">
        <v>0</v>
      </c>
      <c r="AF367" s="19">
        <v>0</v>
      </c>
      <c r="AG367" s="19">
        <v>0</v>
      </c>
      <c r="AH367" s="19">
        <v>0</v>
      </c>
      <c r="AI367" s="19">
        <v>0</v>
      </c>
      <c r="AJ367" s="19">
        <v>0</v>
      </c>
      <c r="AK367" s="19">
        <v>0</v>
      </c>
      <c r="AL367" s="19">
        <v>0</v>
      </c>
      <c r="AM367" s="19">
        <v>0</v>
      </c>
      <c r="AN367" s="19">
        <v>0</v>
      </c>
      <c r="AO367" s="19">
        <v>0</v>
      </c>
      <c r="AP367" s="19">
        <v>0</v>
      </c>
      <c r="AQ367" s="19">
        <v>0</v>
      </c>
      <c r="AR367" s="19">
        <v>0</v>
      </c>
      <c r="AS367" s="19">
        <v>0</v>
      </c>
      <c r="AT367" s="19">
        <v>0</v>
      </c>
      <c r="AU367" s="19">
        <v>0</v>
      </c>
      <c r="AV367" s="19">
        <v>0</v>
      </c>
      <c r="AW367" s="19">
        <v>0</v>
      </c>
      <c r="AX367" s="19">
        <v>0</v>
      </c>
      <c r="AY367" s="19">
        <v>0</v>
      </c>
      <c r="AZ367" s="19">
        <v>0</v>
      </c>
      <c r="BA367" s="19">
        <v>0</v>
      </c>
      <c r="BB367" s="19">
        <v>0</v>
      </c>
      <c r="BC367" s="19">
        <v>0</v>
      </c>
      <c r="BD367" s="19">
        <v>0</v>
      </c>
      <c r="BE367" s="19">
        <v>0</v>
      </c>
      <c r="BF367" s="19">
        <v>0</v>
      </c>
      <c r="BG367" s="19">
        <v>0</v>
      </c>
      <c r="BH367" s="19">
        <v>0</v>
      </c>
      <c r="BI367" s="19">
        <v>0</v>
      </c>
      <c r="BJ367" s="19">
        <v>0</v>
      </c>
      <c r="BK367" s="19">
        <v>0</v>
      </c>
      <c r="BL367" s="19">
        <v>0</v>
      </c>
      <c r="BM367" s="19">
        <v>0</v>
      </c>
      <c r="BN367" s="19">
        <v>0</v>
      </c>
      <c r="BO367" s="19">
        <v>0</v>
      </c>
      <c r="BP367" s="19">
        <v>0</v>
      </c>
      <c r="BQ367" s="19">
        <v>0</v>
      </c>
      <c r="BR367" s="19">
        <v>0</v>
      </c>
      <c r="BS367" s="19">
        <v>0</v>
      </c>
      <c r="BT367" s="19">
        <v>0</v>
      </c>
      <c r="BU367" s="19">
        <v>0</v>
      </c>
      <c r="BV367" s="19">
        <v>0</v>
      </c>
      <c r="BW367" s="19">
        <v>0</v>
      </c>
      <c r="BX367" s="19">
        <v>0</v>
      </c>
      <c r="BY367" s="19">
        <v>0</v>
      </c>
      <c r="BZ367" s="19">
        <v>0</v>
      </c>
      <c r="CA367" s="19">
        <v>0</v>
      </c>
      <c r="CB367" s="19">
        <v>0</v>
      </c>
      <c r="CC367" s="19">
        <v>0</v>
      </c>
      <c r="CD367" s="19">
        <v>0</v>
      </c>
      <c r="CE367" s="19">
        <v>0</v>
      </c>
      <c r="CF367" s="19">
        <v>0</v>
      </c>
      <c r="CG367" s="19">
        <v>0</v>
      </c>
      <c r="CH367" s="19">
        <v>0</v>
      </c>
      <c r="CI367" s="19">
        <v>0</v>
      </c>
      <c r="CJ367" s="19">
        <v>0</v>
      </c>
      <c r="CK367" s="19">
        <v>0</v>
      </c>
      <c r="CL367" s="19">
        <v>0</v>
      </c>
      <c r="CM367" s="19">
        <v>0</v>
      </c>
      <c r="CN367" s="19">
        <v>0</v>
      </c>
      <c r="CO367" s="19">
        <v>0</v>
      </c>
      <c r="CP367" s="19">
        <v>0</v>
      </c>
      <c r="CQ367" s="19">
        <v>0</v>
      </c>
      <c r="CR367" s="19">
        <v>0</v>
      </c>
      <c r="CS367" s="19">
        <v>0</v>
      </c>
      <c r="CT367" s="19">
        <v>0</v>
      </c>
      <c r="CU367" s="19">
        <v>0</v>
      </c>
      <c r="CV367" s="19">
        <v>0</v>
      </c>
      <c r="CW367" s="19">
        <v>0</v>
      </c>
      <c r="CX367" s="19">
        <v>0</v>
      </c>
      <c r="CY367" s="19">
        <v>0</v>
      </c>
      <c r="CZ367" s="19">
        <v>0</v>
      </c>
      <c r="DA367" s="19">
        <v>0</v>
      </c>
      <c r="DB367" s="19">
        <v>0</v>
      </c>
      <c r="DC367" s="19">
        <v>0</v>
      </c>
      <c r="DD367" s="19">
        <v>0</v>
      </c>
      <c r="DE367" s="19">
        <v>0</v>
      </c>
      <c r="DF367" s="19">
        <v>0</v>
      </c>
      <c r="DG367" s="19">
        <v>0</v>
      </c>
      <c r="DH367" s="19">
        <v>0</v>
      </c>
      <c r="DI367" s="19">
        <v>0</v>
      </c>
      <c r="DJ367" s="19">
        <v>0</v>
      </c>
      <c r="DK367" s="19">
        <v>0</v>
      </c>
      <c r="DL367" s="19">
        <v>0</v>
      </c>
      <c r="DM367" s="19">
        <v>0</v>
      </c>
      <c r="DN367" s="19">
        <v>0</v>
      </c>
      <c r="DO367" s="19">
        <v>0</v>
      </c>
      <c r="DP367" s="19">
        <v>0</v>
      </c>
      <c r="DQ367" s="19">
        <v>0</v>
      </c>
      <c r="DR367" s="19">
        <v>0</v>
      </c>
      <c r="DS367" s="19">
        <v>0</v>
      </c>
      <c r="DT367" s="19">
        <v>0</v>
      </c>
      <c r="DU367" s="19">
        <v>0</v>
      </c>
      <c r="DV367" s="19">
        <v>0</v>
      </c>
      <c r="DW367" s="19">
        <v>0</v>
      </c>
      <c r="DX367" s="19">
        <v>0</v>
      </c>
      <c r="DY367" s="19">
        <v>0</v>
      </c>
      <c r="DZ367" s="19">
        <v>0</v>
      </c>
      <c r="EA367" s="19">
        <v>0</v>
      </c>
      <c r="EB367" s="19">
        <v>0</v>
      </c>
      <c r="EC367" s="19">
        <v>0</v>
      </c>
      <c r="ED367" s="19">
        <v>0</v>
      </c>
      <c r="EE367" s="19">
        <v>0</v>
      </c>
      <c r="EF367" s="19">
        <v>0</v>
      </c>
      <c r="EG367" s="19">
        <v>0</v>
      </c>
      <c r="EH367" s="19">
        <v>0</v>
      </c>
      <c r="EI367" s="19">
        <v>0</v>
      </c>
      <c r="EJ367" s="19">
        <v>0</v>
      </c>
      <c r="EK367" s="19">
        <v>0</v>
      </c>
      <c r="EL367" s="19">
        <v>0</v>
      </c>
      <c r="EM367" s="19">
        <v>0</v>
      </c>
      <c r="EN367" s="19">
        <v>0</v>
      </c>
      <c r="EO367" s="19">
        <v>0</v>
      </c>
      <c r="EP367" s="19">
        <v>0</v>
      </c>
      <c r="EQ367" s="19">
        <v>0</v>
      </c>
      <c r="ER367" s="19">
        <v>0</v>
      </c>
      <c r="ES367" s="119">
        <v>0</v>
      </c>
      <c r="ET367" s="119">
        <v>0</v>
      </c>
    </row>
    <row r="368" spans="1:150" ht="16.5" customHeight="1" x14ac:dyDescent="0.35">
      <c r="A368" s="4">
        <v>210</v>
      </c>
      <c r="B368" s="4" t="str">
        <f>LOOKUP(A368,Lookup!$A$1:$A$34,Lookup!$B$1:$B$34)</f>
        <v>INGREDIENTS</v>
      </c>
      <c r="C368" s="5">
        <v>65437</v>
      </c>
      <c r="D368" s="6" t="s">
        <v>349</v>
      </c>
      <c r="E368" s="18">
        <v>0</v>
      </c>
      <c r="F368" s="18">
        <v>0</v>
      </c>
      <c r="G368" s="18">
        <v>0</v>
      </c>
      <c r="H368" s="18">
        <v>0</v>
      </c>
      <c r="I368" s="19">
        <v>0</v>
      </c>
      <c r="J368" s="19">
        <v>0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  <c r="AE368" s="19">
        <v>0</v>
      </c>
      <c r="AF368" s="19">
        <v>0</v>
      </c>
      <c r="AG368" s="19">
        <v>0</v>
      </c>
      <c r="AH368" s="19">
        <v>0</v>
      </c>
      <c r="AI368" s="19">
        <v>0</v>
      </c>
      <c r="AJ368" s="19">
        <v>0</v>
      </c>
      <c r="AK368" s="19">
        <v>0</v>
      </c>
      <c r="AL368" s="19">
        <v>0</v>
      </c>
      <c r="AM368" s="19">
        <v>0</v>
      </c>
      <c r="AN368" s="19">
        <v>0</v>
      </c>
      <c r="AO368" s="19">
        <v>0</v>
      </c>
      <c r="AP368" s="19">
        <v>0</v>
      </c>
      <c r="AQ368" s="19">
        <v>0</v>
      </c>
      <c r="AR368" s="19">
        <v>0</v>
      </c>
      <c r="AS368" s="19">
        <v>0</v>
      </c>
      <c r="AT368" s="19">
        <v>0</v>
      </c>
      <c r="AU368" s="19">
        <v>0</v>
      </c>
      <c r="AV368" s="19">
        <v>0</v>
      </c>
      <c r="AW368" s="19">
        <v>0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0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  <c r="DG368" s="19">
        <v>0</v>
      </c>
      <c r="DH368" s="19">
        <v>0</v>
      </c>
      <c r="DI368" s="19">
        <v>0</v>
      </c>
      <c r="DJ368" s="19">
        <v>0</v>
      </c>
      <c r="DK368" s="19">
        <v>0</v>
      </c>
      <c r="DL368" s="19">
        <v>0</v>
      </c>
      <c r="DM368" s="19">
        <v>0</v>
      </c>
      <c r="DN368" s="19">
        <v>0</v>
      </c>
      <c r="DO368" s="19">
        <v>0</v>
      </c>
      <c r="DP368" s="19">
        <v>0</v>
      </c>
      <c r="DQ368" s="19">
        <v>0</v>
      </c>
      <c r="DR368" s="19">
        <v>0</v>
      </c>
      <c r="DS368" s="19">
        <v>0</v>
      </c>
      <c r="DT368" s="19">
        <v>0</v>
      </c>
      <c r="DU368" s="19">
        <v>0</v>
      </c>
      <c r="DV368" s="19">
        <v>0</v>
      </c>
      <c r="DW368" s="19">
        <v>0</v>
      </c>
      <c r="DX368" s="19">
        <v>0</v>
      </c>
      <c r="DY368" s="19">
        <v>0</v>
      </c>
      <c r="DZ368" s="19">
        <v>0</v>
      </c>
      <c r="EA368" s="19">
        <v>0</v>
      </c>
      <c r="EB368" s="19">
        <v>0</v>
      </c>
      <c r="EC368" s="19">
        <v>0</v>
      </c>
      <c r="ED368" s="19">
        <v>0</v>
      </c>
      <c r="EE368" s="19">
        <v>0</v>
      </c>
      <c r="EF368" s="19">
        <v>0</v>
      </c>
      <c r="EG368" s="19">
        <v>0</v>
      </c>
      <c r="EH368" s="19">
        <v>0</v>
      </c>
      <c r="EI368" s="19">
        <v>0</v>
      </c>
      <c r="EJ368" s="19">
        <v>0</v>
      </c>
      <c r="EK368" s="19">
        <v>0</v>
      </c>
      <c r="EL368" s="19">
        <v>0</v>
      </c>
      <c r="EM368" s="19">
        <v>0</v>
      </c>
      <c r="EN368" s="19">
        <v>0</v>
      </c>
      <c r="EO368" s="19">
        <v>0</v>
      </c>
      <c r="EP368" s="19">
        <v>0</v>
      </c>
      <c r="EQ368" s="19">
        <v>0</v>
      </c>
      <c r="ER368" s="19">
        <v>0</v>
      </c>
      <c r="ES368" s="119">
        <v>0</v>
      </c>
      <c r="ET368" s="119">
        <v>0</v>
      </c>
    </row>
    <row r="369" spans="1:150" ht="16.5" customHeight="1" x14ac:dyDescent="0.35">
      <c r="A369" s="4">
        <v>210</v>
      </c>
      <c r="B369" s="4" t="str">
        <f>LOOKUP(A369,Lookup!$A$1:$A$34,Lookup!$B$1:$B$34)</f>
        <v>INGREDIENTS</v>
      </c>
      <c r="C369" s="5">
        <v>66557</v>
      </c>
      <c r="D369" s="6" t="s">
        <v>350</v>
      </c>
      <c r="E369" s="18">
        <v>0</v>
      </c>
      <c r="F369" s="18">
        <v>0</v>
      </c>
      <c r="G369" s="18">
        <v>0</v>
      </c>
      <c r="H369" s="18">
        <v>0</v>
      </c>
      <c r="I369" s="19">
        <v>0</v>
      </c>
      <c r="J369" s="19">
        <v>0</v>
      </c>
      <c r="K369" s="19">
        <v>0</v>
      </c>
      <c r="L369" s="19">
        <v>0</v>
      </c>
      <c r="M369" s="19">
        <v>0</v>
      </c>
      <c r="N369" s="19">
        <v>0</v>
      </c>
      <c r="O369" s="19">
        <v>0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  <c r="AE369" s="19">
        <v>0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0</v>
      </c>
      <c r="AX369" s="19">
        <v>0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0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0</v>
      </c>
      <c r="BX369" s="19">
        <v>0</v>
      </c>
      <c r="BY369" s="19">
        <v>0</v>
      </c>
      <c r="BZ369" s="19">
        <v>0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0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</v>
      </c>
      <c r="CV369" s="19">
        <v>0</v>
      </c>
      <c r="CW369" s="19">
        <v>0</v>
      </c>
      <c r="CX369" s="19">
        <v>0</v>
      </c>
      <c r="CY369" s="19">
        <v>0</v>
      </c>
      <c r="CZ369" s="19">
        <v>0</v>
      </c>
      <c r="DA369" s="19">
        <v>0</v>
      </c>
      <c r="DB369" s="19">
        <v>0</v>
      </c>
      <c r="DC369" s="19">
        <v>0</v>
      </c>
      <c r="DD369" s="19">
        <v>0</v>
      </c>
      <c r="DE369" s="19">
        <v>0</v>
      </c>
      <c r="DF369" s="19">
        <v>0</v>
      </c>
      <c r="DG369" s="19">
        <v>0</v>
      </c>
      <c r="DH369" s="19">
        <v>0</v>
      </c>
      <c r="DI369" s="19">
        <v>0</v>
      </c>
      <c r="DJ369" s="19">
        <v>0</v>
      </c>
      <c r="DK369" s="19">
        <v>0</v>
      </c>
      <c r="DL369" s="19">
        <v>0</v>
      </c>
      <c r="DM369" s="19">
        <v>0</v>
      </c>
      <c r="DN369" s="19">
        <v>0</v>
      </c>
      <c r="DO369" s="19">
        <v>0</v>
      </c>
      <c r="DP369" s="19">
        <v>0</v>
      </c>
      <c r="DQ369" s="19">
        <v>0</v>
      </c>
      <c r="DR369" s="19">
        <v>0</v>
      </c>
      <c r="DS369" s="19">
        <v>0</v>
      </c>
      <c r="DT369" s="19">
        <v>0</v>
      </c>
      <c r="DU369" s="19">
        <v>0</v>
      </c>
      <c r="DV369" s="19">
        <v>0</v>
      </c>
      <c r="DW369" s="19">
        <v>0</v>
      </c>
      <c r="DX369" s="19">
        <v>0</v>
      </c>
      <c r="DY369" s="19">
        <v>0</v>
      </c>
      <c r="DZ369" s="19">
        <v>0</v>
      </c>
      <c r="EA369" s="19">
        <v>0</v>
      </c>
      <c r="EB369" s="19">
        <v>0</v>
      </c>
      <c r="EC369" s="19">
        <v>0</v>
      </c>
      <c r="ED369" s="19">
        <v>0</v>
      </c>
      <c r="EE369" s="19">
        <v>0</v>
      </c>
      <c r="EF369" s="19">
        <v>0</v>
      </c>
      <c r="EG369" s="19">
        <v>0</v>
      </c>
      <c r="EH369" s="19">
        <v>0</v>
      </c>
      <c r="EI369" s="19">
        <v>0</v>
      </c>
      <c r="EJ369" s="19">
        <v>0</v>
      </c>
      <c r="EK369" s="19">
        <v>0</v>
      </c>
      <c r="EL369" s="19">
        <v>0</v>
      </c>
      <c r="EM369" s="19">
        <v>0</v>
      </c>
      <c r="EN369" s="19">
        <v>0</v>
      </c>
      <c r="EO369" s="19">
        <v>0</v>
      </c>
      <c r="EP369" s="19">
        <v>0</v>
      </c>
      <c r="EQ369" s="19">
        <v>0</v>
      </c>
      <c r="ER369" s="19">
        <v>0</v>
      </c>
      <c r="ES369" s="119">
        <v>0</v>
      </c>
      <c r="ET369" s="119">
        <v>0</v>
      </c>
    </row>
    <row r="370" spans="1:150" ht="16.5" customHeight="1" x14ac:dyDescent="0.35">
      <c r="A370" s="4">
        <v>210</v>
      </c>
      <c r="B370" s="4" t="str">
        <f>LOOKUP(A370,Lookup!$A$1:$A$34,Lookup!$B$1:$B$34)</f>
        <v>INGREDIENTS</v>
      </c>
      <c r="C370" s="5">
        <v>66708</v>
      </c>
      <c r="D370" s="6" t="s">
        <v>351</v>
      </c>
      <c r="E370" s="18">
        <v>0</v>
      </c>
      <c r="F370" s="18">
        <v>0</v>
      </c>
      <c r="G370" s="18">
        <v>0</v>
      </c>
      <c r="H370" s="18">
        <v>0</v>
      </c>
      <c r="I370" s="19">
        <v>0</v>
      </c>
      <c r="J370" s="19">
        <v>0</v>
      </c>
      <c r="K370" s="19">
        <v>0</v>
      </c>
      <c r="L370" s="19">
        <v>0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0</v>
      </c>
      <c r="AH370" s="19">
        <v>0</v>
      </c>
      <c r="AI370" s="19">
        <v>0</v>
      </c>
      <c r="AJ370" s="19">
        <v>0</v>
      </c>
      <c r="AK370" s="19">
        <v>0</v>
      </c>
      <c r="AL370" s="19">
        <v>0</v>
      </c>
      <c r="AM370" s="19">
        <v>0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0</v>
      </c>
      <c r="AV370" s="19">
        <v>0</v>
      </c>
      <c r="AW370" s="19">
        <v>0</v>
      </c>
      <c r="AX370" s="19">
        <v>0</v>
      </c>
      <c r="AY370" s="19">
        <v>0</v>
      </c>
      <c r="AZ370" s="19">
        <v>0</v>
      </c>
      <c r="BA370" s="19">
        <v>0</v>
      </c>
      <c r="BB370" s="19">
        <v>0</v>
      </c>
      <c r="BC370" s="19">
        <v>0</v>
      </c>
      <c r="BD370" s="19">
        <v>0</v>
      </c>
      <c r="BE370" s="19">
        <v>0</v>
      </c>
      <c r="BF370" s="19">
        <v>0</v>
      </c>
      <c r="BG370" s="19">
        <v>0</v>
      </c>
      <c r="BH370" s="19">
        <v>0</v>
      </c>
      <c r="BI370" s="19">
        <v>0</v>
      </c>
      <c r="BJ370" s="19">
        <v>0</v>
      </c>
      <c r="BK370" s="19">
        <v>0</v>
      </c>
      <c r="BL370" s="19">
        <v>0</v>
      </c>
      <c r="BM370" s="19">
        <v>0</v>
      </c>
      <c r="BN370" s="19">
        <v>0</v>
      </c>
      <c r="BO370" s="19">
        <v>0</v>
      </c>
      <c r="BP370" s="19">
        <v>0</v>
      </c>
      <c r="BQ370" s="19">
        <v>0</v>
      </c>
      <c r="BR370" s="19">
        <v>0</v>
      </c>
      <c r="BS370" s="19">
        <v>0</v>
      </c>
      <c r="BT370" s="19">
        <v>0</v>
      </c>
      <c r="BU370" s="19">
        <v>0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0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0</v>
      </c>
      <c r="CM370" s="19">
        <v>0</v>
      </c>
      <c r="CN370" s="19">
        <v>0</v>
      </c>
      <c r="CO370" s="19">
        <v>0</v>
      </c>
      <c r="CP370" s="19">
        <v>0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0</v>
      </c>
      <c r="DE370" s="19">
        <v>0</v>
      </c>
      <c r="DF370" s="19">
        <v>0</v>
      </c>
      <c r="DG370" s="19">
        <v>0</v>
      </c>
      <c r="DH370" s="19">
        <v>0</v>
      </c>
      <c r="DI370" s="19">
        <v>0</v>
      </c>
      <c r="DJ370" s="19">
        <v>0</v>
      </c>
      <c r="DK370" s="19">
        <v>0</v>
      </c>
      <c r="DL370" s="19">
        <v>0</v>
      </c>
      <c r="DM370" s="19">
        <v>0</v>
      </c>
      <c r="DN370" s="19">
        <v>0</v>
      </c>
      <c r="DO370" s="19">
        <v>0</v>
      </c>
      <c r="DP370" s="19">
        <v>0</v>
      </c>
      <c r="DQ370" s="19">
        <v>0</v>
      </c>
      <c r="DR370" s="19">
        <v>0</v>
      </c>
      <c r="DS370" s="19">
        <v>0</v>
      </c>
      <c r="DT370" s="19">
        <v>0</v>
      </c>
      <c r="DU370" s="19">
        <v>0</v>
      </c>
      <c r="DV370" s="19">
        <v>0</v>
      </c>
      <c r="DW370" s="19">
        <v>0</v>
      </c>
      <c r="DX370" s="19">
        <v>0</v>
      </c>
      <c r="DY370" s="19">
        <v>0</v>
      </c>
      <c r="DZ370" s="19">
        <v>0</v>
      </c>
      <c r="EA370" s="19">
        <v>0</v>
      </c>
      <c r="EB370" s="19">
        <v>0</v>
      </c>
      <c r="EC370" s="19">
        <v>0</v>
      </c>
      <c r="ED370" s="19">
        <v>0</v>
      </c>
      <c r="EE370" s="19">
        <v>0</v>
      </c>
      <c r="EF370" s="19">
        <v>0</v>
      </c>
      <c r="EG370" s="19">
        <v>0</v>
      </c>
      <c r="EH370" s="19">
        <v>0</v>
      </c>
      <c r="EI370" s="19">
        <v>0</v>
      </c>
      <c r="EJ370" s="19">
        <v>0</v>
      </c>
      <c r="EK370" s="19">
        <v>0</v>
      </c>
      <c r="EL370" s="19">
        <v>0</v>
      </c>
      <c r="EM370" s="19">
        <v>0</v>
      </c>
      <c r="EN370" s="19">
        <v>0</v>
      </c>
      <c r="EO370" s="19">
        <v>0</v>
      </c>
      <c r="EP370" s="19">
        <v>0</v>
      </c>
      <c r="EQ370" s="19">
        <v>0</v>
      </c>
      <c r="ER370" s="19">
        <v>0</v>
      </c>
      <c r="ES370" s="119">
        <v>0</v>
      </c>
      <c r="ET370" s="119">
        <v>0</v>
      </c>
    </row>
    <row r="371" spans="1:150" ht="16.5" customHeight="1" x14ac:dyDescent="0.35">
      <c r="A371" s="4">
        <v>210</v>
      </c>
      <c r="B371" s="4" t="str">
        <f>LOOKUP(A371,Lookup!$A$1:$A$34,Lookup!$B$1:$B$34)</f>
        <v>INGREDIENTS</v>
      </c>
      <c r="C371" s="5">
        <v>66802</v>
      </c>
      <c r="D371" s="6" t="s">
        <v>352</v>
      </c>
      <c r="E371" s="18">
        <v>0</v>
      </c>
      <c r="F371" s="18">
        <v>0</v>
      </c>
      <c r="G371" s="18">
        <v>0</v>
      </c>
      <c r="H371" s="18">
        <v>0</v>
      </c>
      <c r="I371" s="19">
        <v>0</v>
      </c>
      <c r="J371" s="19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0</v>
      </c>
      <c r="AD371" s="19">
        <v>0</v>
      </c>
      <c r="AE371" s="19">
        <v>0</v>
      </c>
      <c r="AF371" s="19">
        <v>0</v>
      </c>
      <c r="AG371" s="19">
        <v>0</v>
      </c>
      <c r="AH371" s="19">
        <v>0</v>
      </c>
      <c r="AI371" s="19">
        <v>0</v>
      </c>
      <c r="AJ371" s="19">
        <v>0</v>
      </c>
      <c r="AK371" s="19">
        <v>0</v>
      </c>
      <c r="AL371" s="19">
        <v>0</v>
      </c>
      <c r="AM371" s="19">
        <v>0</v>
      </c>
      <c r="AN371" s="19">
        <v>0</v>
      </c>
      <c r="AO371" s="19">
        <v>0</v>
      </c>
      <c r="AP371" s="19">
        <v>0</v>
      </c>
      <c r="AQ371" s="19">
        <v>0</v>
      </c>
      <c r="AR371" s="19">
        <v>0</v>
      </c>
      <c r="AS371" s="19">
        <v>0</v>
      </c>
      <c r="AT371" s="19">
        <v>0</v>
      </c>
      <c r="AU371" s="19">
        <v>0</v>
      </c>
      <c r="AV371" s="19">
        <v>0</v>
      </c>
      <c r="AW371" s="19">
        <v>0</v>
      </c>
      <c r="AX371" s="19">
        <v>0</v>
      </c>
      <c r="AY371" s="19">
        <v>0</v>
      </c>
      <c r="AZ371" s="19">
        <v>0</v>
      </c>
      <c r="BA371" s="19">
        <v>0</v>
      </c>
      <c r="BB371" s="19">
        <v>0</v>
      </c>
      <c r="BC371" s="19">
        <v>0</v>
      </c>
      <c r="BD371" s="19">
        <v>0</v>
      </c>
      <c r="BE371" s="19">
        <v>0</v>
      </c>
      <c r="BF371" s="19">
        <v>0</v>
      </c>
      <c r="BG371" s="19">
        <v>0</v>
      </c>
      <c r="BH371" s="19">
        <v>0</v>
      </c>
      <c r="BI371" s="19">
        <v>0</v>
      </c>
      <c r="BJ371" s="19">
        <v>0</v>
      </c>
      <c r="BK371" s="19">
        <v>0</v>
      </c>
      <c r="BL371" s="19">
        <v>0</v>
      </c>
      <c r="BM371" s="19">
        <v>0</v>
      </c>
      <c r="BN371" s="19">
        <v>0</v>
      </c>
      <c r="BO371" s="19">
        <v>0</v>
      </c>
      <c r="BP371" s="19">
        <v>0</v>
      </c>
      <c r="BQ371" s="19">
        <v>0</v>
      </c>
      <c r="BR371" s="19">
        <v>0</v>
      </c>
      <c r="BS371" s="19">
        <v>0</v>
      </c>
      <c r="BT371" s="19">
        <v>0</v>
      </c>
      <c r="BU371" s="19">
        <v>0</v>
      </c>
      <c r="BV371" s="19">
        <v>0</v>
      </c>
      <c r="BW371" s="19">
        <v>0</v>
      </c>
      <c r="BX371" s="19">
        <v>0</v>
      </c>
      <c r="BY371" s="19">
        <v>0</v>
      </c>
      <c r="BZ371" s="19">
        <v>0</v>
      </c>
      <c r="CA371" s="19">
        <v>0</v>
      </c>
      <c r="CB371" s="19">
        <v>0</v>
      </c>
      <c r="CC371" s="19">
        <v>0</v>
      </c>
      <c r="CD371" s="19">
        <v>0</v>
      </c>
      <c r="CE371" s="19">
        <v>0</v>
      </c>
      <c r="CF371" s="19">
        <v>0</v>
      </c>
      <c r="CG371" s="19">
        <v>0</v>
      </c>
      <c r="CH371" s="19">
        <v>0</v>
      </c>
      <c r="CI371" s="19">
        <v>0</v>
      </c>
      <c r="CJ371" s="19">
        <v>0</v>
      </c>
      <c r="CK371" s="19">
        <v>0</v>
      </c>
      <c r="CL371" s="19">
        <v>0</v>
      </c>
      <c r="CM371" s="19">
        <v>0</v>
      </c>
      <c r="CN371" s="19">
        <v>0</v>
      </c>
      <c r="CO371" s="19">
        <v>0</v>
      </c>
      <c r="CP371" s="19">
        <v>0</v>
      </c>
      <c r="CQ371" s="19">
        <v>0</v>
      </c>
      <c r="CR371" s="19">
        <v>0</v>
      </c>
      <c r="CS371" s="19">
        <v>0</v>
      </c>
      <c r="CT371" s="19">
        <v>0</v>
      </c>
      <c r="CU371" s="19">
        <v>0</v>
      </c>
      <c r="CV371" s="19">
        <v>0</v>
      </c>
      <c r="CW371" s="19">
        <v>0</v>
      </c>
      <c r="CX371" s="19">
        <v>0</v>
      </c>
      <c r="CY371" s="19">
        <v>0</v>
      </c>
      <c r="CZ371" s="19">
        <v>0</v>
      </c>
      <c r="DA371" s="19">
        <v>0</v>
      </c>
      <c r="DB371" s="19">
        <v>0</v>
      </c>
      <c r="DC371" s="19">
        <v>0</v>
      </c>
      <c r="DD371" s="19">
        <v>0</v>
      </c>
      <c r="DE371" s="19">
        <v>0</v>
      </c>
      <c r="DF371" s="19">
        <v>0</v>
      </c>
      <c r="DG371" s="19">
        <v>0</v>
      </c>
      <c r="DH371" s="19">
        <v>0</v>
      </c>
      <c r="DI371" s="19">
        <v>0</v>
      </c>
      <c r="DJ371" s="19">
        <v>0</v>
      </c>
      <c r="DK371" s="19">
        <v>0</v>
      </c>
      <c r="DL371" s="19">
        <v>0</v>
      </c>
      <c r="DM371" s="19">
        <v>0</v>
      </c>
      <c r="DN371" s="19">
        <v>0</v>
      </c>
      <c r="DO371" s="19">
        <v>0</v>
      </c>
      <c r="DP371" s="19">
        <v>0</v>
      </c>
      <c r="DQ371" s="19">
        <v>0</v>
      </c>
      <c r="DR371" s="19">
        <v>0</v>
      </c>
      <c r="DS371" s="19">
        <v>0</v>
      </c>
      <c r="DT371" s="19">
        <v>0</v>
      </c>
      <c r="DU371" s="19">
        <v>0</v>
      </c>
      <c r="DV371" s="19">
        <v>0</v>
      </c>
      <c r="DW371" s="19">
        <v>0</v>
      </c>
      <c r="DX371" s="19">
        <v>0</v>
      </c>
      <c r="DY371" s="19">
        <v>0</v>
      </c>
      <c r="DZ371" s="19">
        <v>0</v>
      </c>
      <c r="EA371" s="19">
        <v>0</v>
      </c>
      <c r="EB371" s="19">
        <v>0</v>
      </c>
      <c r="EC371" s="19">
        <v>0</v>
      </c>
      <c r="ED371" s="19">
        <v>0</v>
      </c>
      <c r="EE371" s="19">
        <v>0</v>
      </c>
      <c r="EF371" s="19">
        <v>0</v>
      </c>
      <c r="EG371" s="19">
        <v>0</v>
      </c>
      <c r="EH371" s="19">
        <v>0</v>
      </c>
      <c r="EI371" s="19">
        <v>0</v>
      </c>
      <c r="EJ371" s="19">
        <v>0</v>
      </c>
      <c r="EK371" s="19">
        <v>0</v>
      </c>
      <c r="EL371" s="19">
        <v>0</v>
      </c>
      <c r="EM371" s="19">
        <v>0</v>
      </c>
      <c r="EN371" s="19">
        <v>0</v>
      </c>
      <c r="EO371" s="19">
        <v>0</v>
      </c>
      <c r="EP371" s="19">
        <v>0</v>
      </c>
      <c r="EQ371" s="19">
        <v>0</v>
      </c>
      <c r="ER371" s="19">
        <v>0</v>
      </c>
      <c r="ES371" s="119">
        <v>0</v>
      </c>
      <c r="ET371" s="119">
        <v>0</v>
      </c>
    </row>
    <row r="372" spans="1:150" ht="16.5" customHeight="1" x14ac:dyDescent="0.35">
      <c r="A372" s="4">
        <v>210</v>
      </c>
      <c r="B372" s="4" t="str">
        <f>LOOKUP(A372,Lookup!$A$1:$A$34,Lookup!$B$1:$B$34)</f>
        <v>INGREDIENTS</v>
      </c>
      <c r="C372" s="5">
        <v>99990210</v>
      </c>
      <c r="D372" s="6" t="s">
        <v>353</v>
      </c>
      <c r="E372" s="18">
        <v>0</v>
      </c>
      <c r="F372" s="18">
        <v>0</v>
      </c>
      <c r="G372" s="18">
        <v>0</v>
      </c>
      <c r="H372" s="18">
        <v>0</v>
      </c>
      <c r="I372" s="19">
        <v>0</v>
      </c>
      <c r="J372" s="19">
        <v>0</v>
      </c>
      <c r="K372" s="19">
        <v>0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0</v>
      </c>
      <c r="AD372" s="19">
        <v>0</v>
      </c>
      <c r="AE372" s="19">
        <v>0</v>
      </c>
      <c r="AF372" s="19">
        <v>0</v>
      </c>
      <c r="AG372" s="19">
        <v>0</v>
      </c>
      <c r="AH372" s="19">
        <v>0</v>
      </c>
      <c r="AI372" s="19">
        <v>0</v>
      </c>
      <c r="AJ372" s="19">
        <v>0</v>
      </c>
      <c r="AK372" s="19">
        <v>0</v>
      </c>
      <c r="AL372" s="19">
        <v>0</v>
      </c>
      <c r="AM372" s="19">
        <v>0</v>
      </c>
      <c r="AN372" s="19">
        <v>0</v>
      </c>
      <c r="AO372" s="19">
        <v>0</v>
      </c>
      <c r="AP372" s="19">
        <v>0</v>
      </c>
      <c r="AQ372" s="19">
        <v>0</v>
      </c>
      <c r="AR372" s="19">
        <v>0</v>
      </c>
      <c r="AS372" s="19">
        <v>0</v>
      </c>
      <c r="AT372" s="19">
        <v>0</v>
      </c>
      <c r="AU372" s="19">
        <v>0</v>
      </c>
      <c r="AV372" s="19">
        <v>0</v>
      </c>
      <c r="AW372" s="19">
        <v>0</v>
      </c>
      <c r="AX372" s="19">
        <v>0</v>
      </c>
      <c r="AY372" s="19">
        <v>0</v>
      </c>
      <c r="AZ372" s="19">
        <v>0</v>
      </c>
      <c r="BA372" s="19">
        <v>0</v>
      </c>
      <c r="BB372" s="19">
        <v>0</v>
      </c>
      <c r="BC372" s="19">
        <v>0</v>
      </c>
      <c r="BD372" s="19">
        <v>0</v>
      </c>
      <c r="BE372" s="19">
        <v>0</v>
      </c>
      <c r="BF372" s="19">
        <v>0</v>
      </c>
      <c r="BG372" s="19">
        <v>0</v>
      </c>
      <c r="BH372" s="19">
        <v>0</v>
      </c>
      <c r="BI372" s="19">
        <v>0</v>
      </c>
      <c r="BJ372" s="19">
        <v>0</v>
      </c>
      <c r="BK372" s="19">
        <v>0</v>
      </c>
      <c r="BL372" s="19">
        <v>0</v>
      </c>
      <c r="BM372" s="19">
        <v>0</v>
      </c>
      <c r="BN372" s="19">
        <v>0</v>
      </c>
      <c r="BO372" s="19">
        <v>0</v>
      </c>
      <c r="BP372" s="19">
        <v>0</v>
      </c>
      <c r="BQ372" s="19">
        <v>0</v>
      </c>
      <c r="BR372" s="19">
        <v>0</v>
      </c>
      <c r="BS372" s="19">
        <v>0</v>
      </c>
      <c r="BT372" s="19">
        <v>0</v>
      </c>
      <c r="BU372" s="19">
        <v>0</v>
      </c>
      <c r="BV372" s="19">
        <v>0</v>
      </c>
      <c r="BW372" s="19">
        <v>0</v>
      </c>
      <c r="BX372" s="19">
        <v>0</v>
      </c>
      <c r="BY372" s="19">
        <v>0</v>
      </c>
      <c r="BZ372" s="19">
        <v>0</v>
      </c>
      <c r="CA372" s="19">
        <v>0</v>
      </c>
      <c r="CB372" s="19">
        <v>0</v>
      </c>
      <c r="CC372" s="19">
        <v>0</v>
      </c>
      <c r="CD372" s="19">
        <v>0</v>
      </c>
      <c r="CE372" s="19">
        <v>0</v>
      </c>
      <c r="CF372" s="19">
        <v>0</v>
      </c>
      <c r="CG372" s="19">
        <v>0</v>
      </c>
      <c r="CH372" s="19">
        <v>0</v>
      </c>
      <c r="CI372" s="19">
        <v>0</v>
      </c>
      <c r="CJ372" s="19">
        <v>0</v>
      </c>
      <c r="CK372" s="19">
        <v>0</v>
      </c>
      <c r="CL372" s="19">
        <v>0</v>
      </c>
      <c r="CM372" s="19">
        <v>0</v>
      </c>
      <c r="CN372" s="19">
        <v>0</v>
      </c>
      <c r="CO372" s="19">
        <v>0</v>
      </c>
      <c r="CP372" s="19">
        <v>0</v>
      </c>
      <c r="CQ372" s="19">
        <v>0</v>
      </c>
      <c r="CR372" s="19">
        <v>0</v>
      </c>
      <c r="CS372" s="19">
        <v>0</v>
      </c>
      <c r="CT372" s="19">
        <v>0</v>
      </c>
      <c r="CU372" s="19">
        <v>0</v>
      </c>
      <c r="CV372" s="19">
        <v>0</v>
      </c>
      <c r="CW372" s="19">
        <v>0</v>
      </c>
      <c r="CX372" s="19">
        <v>0</v>
      </c>
      <c r="CY372" s="19">
        <v>0</v>
      </c>
      <c r="CZ372" s="19">
        <v>0</v>
      </c>
      <c r="DA372" s="19">
        <v>0</v>
      </c>
      <c r="DB372" s="19">
        <v>0</v>
      </c>
      <c r="DC372" s="19">
        <v>0</v>
      </c>
      <c r="DD372" s="19">
        <v>0</v>
      </c>
      <c r="DE372" s="19">
        <v>0</v>
      </c>
      <c r="DF372" s="19">
        <v>0</v>
      </c>
      <c r="DG372" s="19">
        <v>0</v>
      </c>
      <c r="DH372" s="19">
        <v>0</v>
      </c>
      <c r="DI372" s="19">
        <v>0</v>
      </c>
      <c r="DJ372" s="19">
        <v>0</v>
      </c>
      <c r="DK372" s="19">
        <v>0</v>
      </c>
      <c r="DL372" s="19">
        <v>0</v>
      </c>
      <c r="DM372" s="19">
        <v>0</v>
      </c>
      <c r="DN372" s="19">
        <v>0</v>
      </c>
      <c r="DO372" s="19">
        <v>0</v>
      </c>
      <c r="DP372" s="19">
        <v>0</v>
      </c>
      <c r="DQ372" s="19">
        <v>0</v>
      </c>
      <c r="DR372" s="19">
        <v>0</v>
      </c>
      <c r="DS372" s="19">
        <v>0</v>
      </c>
      <c r="DT372" s="19">
        <v>0</v>
      </c>
      <c r="DU372" s="19">
        <v>0</v>
      </c>
      <c r="DV372" s="19">
        <v>0</v>
      </c>
      <c r="DW372" s="19">
        <v>0</v>
      </c>
      <c r="DX372" s="19">
        <v>0</v>
      </c>
      <c r="DY372" s="19">
        <v>0</v>
      </c>
      <c r="DZ372" s="19">
        <v>0</v>
      </c>
      <c r="EA372" s="19">
        <v>0</v>
      </c>
      <c r="EB372" s="19">
        <v>0</v>
      </c>
      <c r="EC372" s="19">
        <v>0</v>
      </c>
      <c r="ED372" s="19">
        <v>0</v>
      </c>
      <c r="EE372" s="19">
        <v>0</v>
      </c>
      <c r="EF372" s="19">
        <v>0</v>
      </c>
      <c r="EG372" s="19">
        <v>0</v>
      </c>
      <c r="EH372" s="19">
        <v>0</v>
      </c>
      <c r="EI372" s="19">
        <v>0</v>
      </c>
      <c r="EJ372" s="19">
        <v>0</v>
      </c>
      <c r="EK372" s="19">
        <v>0</v>
      </c>
      <c r="EL372" s="19">
        <v>0</v>
      </c>
      <c r="EM372" s="19">
        <v>0</v>
      </c>
      <c r="EN372" s="19">
        <v>0</v>
      </c>
      <c r="EO372" s="19">
        <v>0</v>
      </c>
      <c r="EP372" s="19">
        <v>0</v>
      </c>
      <c r="EQ372" s="19">
        <v>0</v>
      </c>
      <c r="ER372" s="19">
        <v>0</v>
      </c>
      <c r="ES372" s="119">
        <v>0</v>
      </c>
      <c r="ET372" s="119">
        <v>0</v>
      </c>
    </row>
    <row r="373" spans="1:150" ht="16.5" customHeight="1" x14ac:dyDescent="0.35">
      <c r="A373" s="4">
        <v>212</v>
      </c>
      <c r="B373" s="4" t="str">
        <f>LOOKUP(A373,Lookup!$A$1:$A$34,Lookup!$B$1:$B$34)</f>
        <v>SMOKED CHICKEN</v>
      </c>
      <c r="C373" s="5">
        <v>53700</v>
      </c>
      <c r="D373" s="6" t="s">
        <v>354</v>
      </c>
      <c r="E373" s="18">
        <v>0</v>
      </c>
      <c r="F373" s="18">
        <v>0</v>
      </c>
      <c r="G373" s="18">
        <v>0</v>
      </c>
      <c r="H373" s="18">
        <v>0</v>
      </c>
      <c r="I373" s="19">
        <v>0</v>
      </c>
      <c r="J373" s="19">
        <v>0</v>
      </c>
      <c r="K373" s="19">
        <v>0</v>
      </c>
      <c r="L373" s="19">
        <v>0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  <c r="AE373" s="19">
        <v>0</v>
      </c>
      <c r="AF373" s="19">
        <v>0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19">
        <v>0</v>
      </c>
      <c r="AM373" s="19">
        <v>0</v>
      </c>
      <c r="AN373" s="19">
        <v>0</v>
      </c>
      <c r="AO373" s="19">
        <v>0</v>
      </c>
      <c r="AP373" s="19">
        <v>0</v>
      </c>
      <c r="AQ373" s="19">
        <v>0</v>
      </c>
      <c r="AR373" s="19">
        <v>0</v>
      </c>
      <c r="AS373" s="19">
        <v>0</v>
      </c>
      <c r="AT373" s="19">
        <v>0</v>
      </c>
      <c r="AU373" s="19">
        <v>0</v>
      </c>
      <c r="AV373" s="19">
        <v>0</v>
      </c>
      <c r="AW373" s="19">
        <v>0</v>
      </c>
      <c r="AX373" s="19">
        <v>0</v>
      </c>
      <c r="AY373" s="19">
        <v>0</v>
      </c>
      <c r="AZ373" s="19">
        <v>0</v>
      </c>
      <c r="BA373" s="19">
        <v>0</v>
      </c>
      <c r="BB373" s="19">
        <v>0</v>
      </c>
      <c r="BC373" s="19">
        <v>0</v>
      </c>
      <c r="BD373" s="19">
        <v>0</v>
      </c>
      <c r="BE373" s="19">
        <v>0</v>
      </c>
      <c r="BF373" s="19">
        <v>0</v>
      </c>
      <c r="BG373" s="19">
        <v>0</v>
      </c>
      <c r="BH373" s="19">
        <v>0</v>
      </c>
      <c r="BI373" s="19">
        <v>0</v>
      </c>
      <c r="BJ373" s="19">
        <v>0</v>
      </c>
      <c r="BK373" s="19">
        <v>0</v>
      </c>
      <c r="BL373" s="19">
        <v>0</v>
      </c>
      <c r="BM373" s="19">
        <v>0</v>
      </c>
      <c r="BN373" s="19">
        <v>0</v>
      </c>
      <c r="BO373" s="19">
        <v>0</v>
      </c>
      <c r="BP373" s="19">
        <v>0</v>
      </c>
      <c r="BQ373" s="19">
        <v>0</v>
      </c>
      <c r="BR373" s="19">
        <v>0</v>
      </c>
      <c r="BS373" s="19">
        <v>0</v>
      </c>
      <c r="BT373" s="19">
        <v>0</v>
      </c>
      <c r="BU373" s="19">
        <v>0</v>
      </c>
      <c r="BV373" s="19">
        <v>0</v>
      </c>
      <c r="BW373" s="19">
        <v>0</v>
      </c>
      <c r="BX373" s="19">
        <v>0</v>
      </c>
      <c r="BY373" s="19">
        <v>0</v>
      </c>
      <c r="BZ373" s="19">
        <v>0</v>
      </c>
      <c r="CA373" s="19">
        <v>0</v>
      </c>
      <c r="CB373" s="19">
        <v>0</v>
      </c>
      <c r="CC373" s="19">
        <v>0</v>
      </c>
      <c r="CD373" s="19">
        <v>0</v>
      </c>
      <c r="CE373" s="19">
        <v>0</v>
      </c>
      <c r="CF373" s="19">
        <v>0</v>
      </c>
      <c r="CG373" s="19">
        <v>0</v>
      </c>
      <c r="CH373" s="19">
        <v>0</v>
      </c>
      <c r="CI373" s="19">
        <v>0</v>
      </c>
      <c r="CJ373" s="19">
        <v>0</v>
      </c>
      <c r="CK373" s="19">
        <v>0</v>
      </c>
      <c r="CL373" s="19">
        <v>0</v>
      </c>
      <c r="CM373" s="19">
        <v>0</v>
      </c>
      <c r="CN373" s="19">
        <v>0</v>
      </c>
      <c r="CO373" s="19">
        <v>0</v>
      </c>
      <c r="CP373" s="19">
        <v>0</v>
      </c>
      <c r="CQ373" s="19">
        <v>0</v>
      </c>
      <c r="CR373" s="19">
        <v>0</v>
      </c>
      <c r="CS373" s="19">
        <v>0</v>
      </c>
      <c r="CT373" s="19">
        <v>0</v>
      </c>
      <c r="CU373" s="19">
        <v>0</v>
      </c>
      <c r="CV373" s="19">
        <v>0</v>
      </c>
      <c r="CW373" s="19">
        <v>0</v>
      </c>
      <c r="CX373" s="19">
        <v>0</v>
      </c>
      <c r="CY373" s="19">
        <v>0</v>
      </c>
      <c r="CZ373" s="19">
        <v>0</v>
      </c>
      <c r="DA373" s="19">
        <v>0</v>
      </c>
      <c r="DB373" s="19">
        <v>0</v>
      </c>
      <c r="DC373" s="19">
        <v>0</v>
      </c>
      <c r="DD373" s="19">
        <v>0</v>
      </c>
      <c r="DE373" s="19">
        <v>0</v>
      </c>
      <c r="DF373" s="19">
        <v>0</v>
      </c>
      <c r="DG373" s="19">
        <v>0</v>
      </c>
      <c r="DH373" s="19">
        <v>0</v>
      </c>
      <c r="DI373" s="19">
        <v>0</v>
      </c>
      <c r="DJ373" s="19">
        <v>0</v>
      </c>
      <c r="DK373" s="19">
        <v>0</v>
      </c>
      <c r="DL373" s="19">
        <v>0</v>
      </c>
      <c r="DM373" s="19">
        <v>0</v>
      </c>
      <c r="DN373" s="19">
        <v>0</v>
      </c>
      <c r="DO373" s="19">
        <v>0</v>
      </c>
      <c r="DP373" s="19">
        <v>0</v>
      </c>
      <c r="DQ373" s="19">
        <v>0</v>
      </c>
      <c r="DR373" s="19">
        <v>0</v>
      </c>
      <c r="DS373" s="19">
        <v>0</v>
      </c>
      <c r="DT373" s="19">
        <v>0</v>
      </c>
      <c r="DU373" s="19">
        <v>0</v>
      </c>
      <c r="DV373" s="19">
        <v>0</v>
      </c>
      <c r="DW373" s="19">
        <v>0</v>
      </c>
      <c r="DX373" s="19">
        <v>0</v>
      </c>
      <c r="DY373" s="19">
        <v>0</v>
      </c>
      <c r="DZ373" s="19">
        <v>0</v>
      </c>
      <c r="EA373" s="19">
        <v>0</v>
      </c>
      <c r="EB373" s="19">
        <v>0</v>
      </c>
      <c r="EC373" s="19">
        <v>0</v>
      </c>
      <c r="ED373" s="19">
        <v>0</v>
      </c>
      <c r="EE373" s="19">
        <v>0</v>
      </c>
      <c r="EF373" s="19">
        <v>0</v>
      </c>
      <c r="EG373" s="19">
        <v>0</v>
      </c>
      <c r="EH373" s="19">
        <v>0</v>
      </c>
      <c r="EI373" s="19">
        <v>0</v>
      </c>
      <c r="EJ373" s="19">
        <v>0</v>
      </c>
      <c r="EK373" s="19">
        <v>0</v>
      </c>
      <c r="EL373" s="19">
        <v>0</v>
      </c>
      <c r="EM373" s="19">
        <v>0</v>
      </c>
      <c r="EN373" s="19">
        <v>0</v>
      </c>
      <c r="EO373" s="19">
        <v>0</v>
      </c>
      <c r="EP373" s="19">
        <v>0</v>
      </c>
      <c r="EQ373" s="19">
        <v>0</v>
      </c>
      <c r="ER373" s="19">
        <v>0</v>
      </c>
      <c r="ES373" s="119">
        <v>0</v>
      </c>
      <c r="ET373" s="119">
        <v>0</v>
      </c>
    </row>
    <row r="374" spans="1:150" ht="16.5" customHeight="1" x14ac:dyDescent="0.35">
      <c r="A374" s="4">
        <v>213</v>
      </c>
      <c r="B374" s="4" t="str">
        <f>LOOKUP(A374,Lookup!$A$1:$A$34,Lookup!$B$1:$B$34)</f>
        <v>BILT&amp;DROEWORS OWN</v>
      </c>
      <c r="C374" s="5">
        <v>32045</v>
      </c>
      <c r="D374" s="6" t="s">
        <v>355</v>
      </c>
      <c r="E374" s="18">
        <v>0</v>
      </c>
      <c r="F374" s="18">
        <v>0</v>
      </c>
      <c r="G374" s="18">
        <v>0</v>
      </c>
      <c r="H374" s="18">
        <v>0</v>
      </c>
      <c r="I374" s="19">
        <v>0</v>
      </c>
      <c r="J374" s="19">
        <v>0</v>
      </c>
      <c r="K374" s="19">
        <v>0</v>
      </c>
      <c r="L374" s="19">
        <v>0</v>
      </c>
      <c r="M374" s="19">
        <v>0</v>
      </c>
      <c r="N374" s="19">
        <v>0</v>
      </c>
      <c r="O374" s="19">
        <v>0</v>
      </c>
      <c r="P374" s="19">
        <v>0</v>
      </c>
      <c r="Q374" s="19">
        <v>0</v>
      </c>
      <c r="R374" s="19">
        <v>0</v>
      </c>
      <c r="S374" s="19">
        <v>0</v>
      </c>
      <c r="T374" s="19">
        <v>0</v>
      </c>
      <c r="U374" s="19">
        <v>0</v>
      </c>
      <c r="V374" s="19">
        <v>0</v>
      </c>
      <c r="W374" s="19">
        <v>0</v>
      </c>
      <c r="X374" s="19">
        <v>0</v>
      </c>
      <c r="Y374" s="19">
        <v>0</v>
      </c>
      <c r="Z374" s="19">
        <v>0</v>
      </c>
      <c r="AA374" s="19">
        <v>0</v>
      </c>
      <c r="AB374" s="19">
        <v>0</v>
      </c>
      <c r="AC374" s="19">
        <v>0</v>
      </c>
      <c r="AD374" s="19">
        <v>0</v>
      </c>
      <c r="AE374" s="19">
        <v>0</v>
      </c>
      <c r="AF374" s="19">
        <v>0</v>
      </c>
      <c r="AG374" s="19">
        <v>0</v>
      </c>
      <c r="AH374" s="19">
        <v>0</v>
      </c>
      <c r="AI374" s="19">
        <v>0</v>
      </c>
      <c r="AJ374" s="19">
        <v>0</v>
      </c>
      <c r="AK374" s="19">
        <v>0</v>
      </c>
      <c r="AL374" s="19">
        <v>0</v>
      </c>
      <c r="AM374" s="19">
        <v>0</v>
      </c>
      <c r="AN374" s="19">
        <v>0</v>
      </c>
      <c r="AO374" s="19">
        <v>0</v>
      </c>
      <c r="AP374" s="19">
        <v>0</v>
      </c>
      <c r="AQ374" s="19">
        <v>0</v>
      </c>
      <c r="AR374" s="19">
        <v>0</v>
      </c>
      <c r="AS374" s="19">
        <v>0</v>
      </c>
      <c r="AT374" s="19">
        <v>0</v>
      </c>
      <c r="AU374" s="19">
        <v>0</v>
      </c>
      <c r="AV374" s="19">
        <v>0</v>
      </c>
      <c r="AW374" s="19">
        <v>0</v>
      </c>
      <c r="AX374" s="19">
        <v>0</v>
      </c>
      <c r="AY374" s="19">
        <v>0</v>
      </c>
      <c r="AZ374" s="19">
        <v>0</v>
      </c>
      <c r="BA374" s="19">
        <v>0</v>
      </c>
      <c r="BB374" s="19">
        <v>0</v>
      </c>
      <c r="BC374" s="19">
        <v>0</v>
      </c>
      <c r="BD374" s="19">
        <v>0</v>
      </c>
      <c r="BE374" s="19">
        <v>0</v>
      </c>
      <c r="BF374" s="19">
        <v>0</v>
      </c>
      <c r="BG374" s="19">
        <v>0</v>
      </c>
      <c r="BH374" s="19">
        <v>0</v>
      </c>
      <c r="BI374" s="19">
        <v>0</v>
      </c>
      <c r="BJ374" s="19">
        <v>0</v>
      </c>
      <c r="BK374" s="19">
        <v>0</v>
      </c>
      <c r="BL374" s="19">
        <v>0</v>
      </c>
      <c r="BM374" s="19">
        <v>0</v>
      </c>
      <c r="BN374" s="19">
        <v>0</v>
      </c>
      <c r="BO374" s="19">
        <v>0</v>
      </c>
      <c r="BP374" s="19">
        <v>0</v>
      </c>
      <c r="BQ374" s="19">
        <v>0</v>
      </c>
      <c r="BR374" s="19">
        <v>0</v>
      </c>
      <c r="BS374" s="19">
        <v>0</v>
      </c>
      <c r="BT374" s="19">
        <v>0</v>
      </c>
      <c r="BU374" s="19">
        <v>0</v>
      </c>
      <c r="BV374" s="19">
        <v>0</v>
      </c>
      <c r="BW374" s="19">
        <v>0</v>
      </c>
      <c r="BX374" s="19">
        <v>0</v>
      </c>
      <c r="BY374" s="19">
        <v>0</v>
      </c>
      <c r="BZ374" s="19">
        <v>0</v>
      </c>
      <c r="CA374" s="19">
        <v>0</v>
      </c>
      <c r="CB374" s="19">
        <v>0</v>
      </c>
      <c r="CC374" s="19">
        <v>0</v>
      </c>
      <c r="CD374" s="19">
        <v>0</v>
      </c>
      <c r="CE374" s="19">
        <v>0</v>
      </c>
      <c r="CF374" s="19">
        <v>0</v>
      </c>
      <c r="CG374" s="19">
        <v>0</v>
      </c>
      <c r="CH374" s="19">
        <v>0</v>
      </c>
      <c r="CI374" s="19">
        <v>0</v>
      </c>
      <c r="CJ374" s="19">
        <v>0</v>
      </c>
      <c r="CK374" s="19">
        <v>0</v>
      </c>
      <c r="CL374" s="19">
        <v>0</v>
      </c>
      <c r="CM374" s="19">
        <v>0</v>
      </c>
      <c r="CN374" s="19">
        <v>0</v>
      </c>
      <c r="CO374" s="19">
        <v>0</v>
      </c>
      <c r="CP374" s="19">
        <v>0</v>
      </c>
      <c r="CQ374" s="19">
        <v>0</v>
      </c>
      <c r="CR374" s="19">
        <v>0</v>
      </c>
      <c r="CS374" s="19">
        <v>0</v>
      </c>
      <c r="CT374" s="19">
        <v>0</v>
      </c>
      <c r="CU374" s="19">
        <v>0</v>
      </c>
      <c r="CV374" s="19">
        <v>0</v>
      </c>
      <c r="CW374" s="19">
        <v>0</v>
      </c>
      <c r="CX374" s="19">
        <v>0</v>
      </c>
      <c r="CY374" s="19">
        <v>0</v>
      </c>
      <c r="CZ374" s="19">
        <v>0</v>
      </c>
      <c r="DA374" s="19">
        <v>0</v>
      </c>
      <c r="DB374" s="19">
        <v>0</v>
      </c>
      <c r="DC374" s="19">
        <v>0</v>
      </c>
      <c r="DD374" s="19">
        <v>0</v>
      </c>
      <c r="DE374" s="19">
        <v>0</v>
      </c>
      <c r="DF374" s="19">
        <v>0</v>
      </c>
      <c r="DG374" s="19">
        <v>0</v>
      </c>
      <c r="DH374" s="19">
        <v>0</v>
      </c>
      <c r="DI374" s="19">
        <v>0</v>
      </c>
      <c r="DJ374" s="19">
        <v>0</v>
      </c>
      <c r="DK374" s="19">
        <v>0</v>
      </c>
      <c r="DL374" s="19">
        <v>0</v>
      </c>
      <c r="DM374" s="19">
        <v>0</v>
      </c>
      <c r="DN374" s="19">
        <v>0</v>
      </c>
      <c r="DO374" s="19">
        <v>0</v>
      </c>
      <c r="DP374" s="19">
        <v>0</v>
      </c>
      <c r="DQ374" s="19">
        <v>0</v>
      </c>
      <c r="DR374" s="19">
        <v>0</v>
      </c>
      <c r="DS374" s="19">
        <v>0</v>
      </c>
      <c r="DT374" s="19">
        <v>0</v>
      </c>
      <c r="DU374" s="19">
        <v>0</v>
      </c>
      <c r="DV374" s="19">
        <v>0</v>
      </c>
      <c r="DW374" s="19">
        <v>0</v>
      </c>
      <c r="DX374" s="19">
        <v>0</v>
      </c>
      <c r="DY374" s="19">
        <v>0</v>
      </c>
      <c r="DZ374" s="19">
        <v>0</v>
      </c>
      <c r="EA374" s="19">
        <v>0</v>
      </c>
      <c r="EB374" s="19">
        <v>0</v>
      </c>
      <c r="EC374" s="19">
        <v>0</v>
      </c>
      <c r="ED374" s="19">
        <v>0</v>
      </c>
      <c r="EE374" s="19">
        <v>0</v>
      </c>
      <c r="EF374" s="19">
        <v>0</v>
      </c>
      <c r="EG374" s="19">
        <v>0</v>
      </c>
      <c r="EH374" s="19">
        <v>0</v>
      </c>
      <c r="EI374" s="19">
        <v>0</v>
      </c>
      <c r="EJ374" s="19">
        <v>0</v>
      </c>
      <c r="EK374" s="19">
        <v>0</v>
      </c>
      <c r="EL374" s="19">
        <v>0</v>
      </c>
      <c r="EM374" s="19">
        <v>0</v>
      </c>
      <c r="EN374" s="19">
        <v>0</v>
      </c>
      <c r="EO374" s="19">
        <v>0</v>
      </c>
      <c r="EP374" s="19">
        <v>0</v>
      </c>
      <c r="EQ374" s="19">
        <v>0</v>
      </c>
      <c r="ER374" s="19">
        <v>0</v>
      </c>
      <c r="ES374" s="119">
        <v>0</v>
      </c>
      <c r="ET374" s="119">
        <v>0</v>
      </c>
    </row>
    <row r="375" spans="1:150" ht="16.5" customHeight="1" x14ac:dyDescent="0.35">
      <c r="A375" s="4">
        <v>213</v>
      </c>
      <c r="B375" s="4" t="str">
        <f>LOOKUP(A375,Lookup!$A$1:$A$34,Lookup!$B$1:$B$34)</f>
        <v>BILT&amp;DROEWORS OWN</v>
      </c>
      <c r="C375" s="5">
        <v>32049</v>
      </c>
      <c r="D375" s="6" t="s">
        <v>356</v>
      </c>
      <c r="E375" s="18">
        <v>57.582608695652198</v>
      </c>
      <c r="F375" s="18">
        <v>0.154</v>
      </c>
      <c r="G375" s="18">
        <v>4088.3652173913101</v>
      </c>
      <c r="H375" s="18">
        <v>10.91</v>
      </c>
      <c r="I375" s="19">
        <v>0</v>
      </c>
      <c r="J375" s="19">
        <v>0</v>
      </c>
      <c r="K375" s="19">
        <v>492.81739130434801</v>
      </c>
      <c r="L375" s="19">
        <v>1.3180000000000001</v>
      </c>
      <c r="M375" s="19">
        <v>119.652173913043</v>
      </c>
      <c r="N375" s="19">
        <v>0.32</v>
      </c>
      <c r="O375" s="19">
        <v>539.93043478260904</v>
      </c>
      <c r="P375" s="19">
        <v>1.444</v>
      </c>
      <c r="Q375" s="19">
        <v>287.165217391304</v>
      </c>
      <c r="R375" s="19">
        <v>0.76800000000000002</v>
      </c>
      <c r="S375" s="19">
        <v>94.226086956521698</v>
      </c>
      <c r="T375" s="19">
        <v>0.252</v>
      </c>
      <c r="U375" s="19">
        <v>0</v>
      </c>
      <c r="V375" s="19">
        <v>0</v>
      </c>
      <c r="W375" s="19">
        <v>145.07826086956501</v>
      </c>
      <c r="X375" s="19">
        <v>0.38800000000000001</v>
      </c>
      <c r="Y375" s="19">
        <v>134.60869565217399</v>
      </c>
      <c r="Z375" s="19">
        <v>0.36</v>
      </c>
      <c r="AA375" s="19">
        <v>0</v>
      </c>
      <c r="AB375" s="19">
        <v>0</v>
      </c>
      <c r="AC375" s="19">
        <v>0</v>
      </c>
      <c r="AD375" s="19">
        <v>0</v>
      </c>
      <c r="AE375" s="19">
        <v>0</v>
      </c>
      <c r="AF375" s="19">
        <v>0</v>
      </c>
      <c r="AG375" s="19">
        <v>70.295652173912998</v>
      </c>
      <c r="AH375" s="19">
        <v>0.188</v>
      </c>
      <c r="AI375" s="19">
        <v>157.04347826086999</v>
      </c>
      <c r="AJ375" s="19">
        <v>0.42</v>
      </c>
      <c r="AK375" s="19">
        <v>94.973913043478305</v>
      </c>
      <c r="AL375" s="19">
        <v>0.254</v>
      </c>
      <c r="AM375" s="19">
        <v>417.286956521739</v>
      </c>
      <c r="AN375" s="19">
        <v>1.1160000000000001</v>
      </c>
      <c r="AO375" s="19">
        <v>0</v>
      </c>
      <c r="AP375" s="19">
        <v>0</v>
      </c>
      <c r="AQ375" s="19">
        <v>91.234782608695696</v>
      </c>
      <c r="AR375" s="19">
        <v>0.24399999999999999</v>
      </c>
      <c r="AS375" s="19">
        <v>26.921739130434801</v>
      </c>
      <c r="AT375" s="19">
        <v>7.1999999999999995E-2</v>
      </c>
      <c r="AU375" s="19">
        <v>223.6</v>
      </c>
      <c r="AV375" s="19">
        <v>0.59799999999999998</v>
      </c>
      <c r="AW375" s="19">
        <v>0</v>
      </c>
      <c r="AX375" s="19">
        <v>0</v>
      </c>
      <c r="AY375" s="19">
        <v>161.53043478260901</v>
      </c>
      <c r="AZ375" s="19">
        <v>0.432</v>
      </c>
      <c r="BA375" s="19">
        <v>0</v>
      </c>
      <c r="BB375" s="19">
        <v>0</v>
      </c>
      <c r="BC375" s="19">
        <v>151.80869565217401</v>
      </c>
      <c r="BD375" s="19">
        <v>0.40600000000000003</v>
      </c>
      <c r="BE375" s="19">
        <v>0</v>
      </c>
      <c r="BF375" s="19">
        <v>0</v>
      </c>
      <c r="BG375" s="19">
        <v>233.32173913043499</v>
      </c>
      <c r="BH375" s="19">
        <v>0.624</v>
      </c>
      <c r="BI375" s="19">
        <v>168.26086956521701</v>
      </c>
      <c r="BJ375" s="19">
        <v>0.45</v>
      </c>
      <c r="BK375" s="19">
        <v>77.026086956521695</v>
      </c>
      <c r="BL375" s="19">
        <v>0.20599999999999999</v>
      </c>
      <c r="BM375" s="19">
        <v>0</v>
      </c>
      <c r="BN375" s="19">
        <v>0</v>
      </c>
      <c r="BO375" s="19">
        <v>293.89565217391299</v>
      </c>
      <c r="BP375" s="19">
        <v>0.78600000000000003</v>
      </c>
      <c r="BQ375" s="19">
        <v>0</v>
      </c>
      <c r="BR375" s="19">
        <v>0</v>
      </c>
      <c r="BS375" s="19">
        <v>44.869565217391298</v>
      </c>
      <c r="BT375" s="19">
        <v>0.12</v>
      </c>
      <c r="BU375" s="19">
        <v>0</v>
      </c>
      <c r="BV375" s="19">
        <v>0</v>
      </c>
      <c r="BW375" s="19">
        <v>0</v>
      </c>
      <c r="BX375" s="19">
        <v>0</v>
      </c>
      <c r="BY375" s="19">
        <v>0</v>
      </c>
      <c r="BZ375" s="19">
        <v>0</v>
      </c>
      <c r="CA375" s="19">
        <v>0</v>
      </c>
      <c r="CB375" s="19">
        <v>0</v>
      </c>
      <c r="CC375" s="19">
        <v>0</v>
      </c>
      <c r="CD375" s="19">
        <v>0</v>
      </c>
      <c r="CE375" s="19">
        <v>0</v>
      </c>
      <c r="CF375" s="19">
        <v>0</v>
      </c>
      <c r="CG375" s="19">
        <v>0</v>
      </c>
      <c r="CH375" s="19">
        <v>0</v>
      </c>
      <c r="CI375" s="19">
        <v>0</v>
      </c>
      <c r="CJ375" s="19">
        <v>0</v>
      </c>
      <c r="CK375" s="19">
        <v>0</v>
      </c>
      <c r="CL375" s="19">
        <v>0</v>
      </c>
      <c r="CM375" s="19">
        <v>0</v>
      </c>
      <c r="CN375" s="19">
        <v>0</v>
      </c>
      <c r="CO375" s="19">
        <v>0</v>
      </c>
      <c r="CP375" s="19">
        <v>0</v>
      </c>
      <c r="CQ375" s="19">
        <v>0</v>
      </c>
      <c r="CR375" s="19">
        <v>0</v>
      </c>
      <c r="CS375" s="19">
        <v>0</v>
      </c>
      <c r="CT375" s="19">
        <v>0</v>
      </c>
      <c r="CU375" s="19">
        <v>0</v>
      </c>
      <c r="CV375" s="19">
        <v>0</v>
      </c>
      <c r="CW375" s="19">
        <v>0</v>
      </c>
      <c r="CX375" s="19">
        <v>0</v>
      </c>
      <c r="CY375" s="19">
        <v>0</v>
      </c>
      <c r="CZ375" s="19">
        <v>0</v>
      </c>
      <c r="DA375" s="19">
        <v>0</v>
      </c>
      <c r="DB375" s="19">
        <v>0</v>
      </c>
      <c r="DC375" s="19">
        <v>0</v>
      </c>
      <c r="DD375" s="19">
        <v>0</v>
      </c>
      <c r="DE375" s="19">
        <v>0</v>
      </c>
      <c r="DF375" s="19">
        <v>0</v>
      </c>
      <c r="DG375" s="19">
        <v>0</v>
      </c>
      <c r="DH375" s="19">
        <v>0</v>
      </c>
      <c r="DI375" s="19">
        <v>0</v>
      </c>
      <c r="DJ375" s="19">
        <v>0</v>
      </c>
      <c r="DK375" s="19">
        <v>0</v>
      </c>
      <c r="DL375" s="19">
        <v>0</v>
      </c>
      <c r="DM375" s="19">
        <v>0</v>
      </c>
      <c r="DN375" s="19">
        <v>0</v>
      </c>
      <c r="DO375" s="19">
        <v>0</v>
      </c>
      <c r="DP375" s="19">
        <v>0</v>
      </c>
      <c r="DQ375" s="19">
        <v>0</v>
      </c>
      <c r="DR375" s="19">
        <v>0</v>
      </c>
      <c r="DS375" s="19">
        <v>0</v>
      </c>
      <c r="DT375" s="19">
        <v>0</v>
      </c>
      <c r="DU375" s="19">
        <v>0</v>
      </c>
      <c r="DV375" s="19">
        <v>0</v>
      </c>
      <c r="DW375" s="19">
        <v>0</v>
      </c>
      <c r="DX375" s="19">
        <v>0</v>
      </c>
      <c r="DY375" s="19">
        <v>0</v>
      </c>
      <c r="DZ375" s="19">
        <v>0</v>
      </c>
      <c r="EA375" s="19">
        <v>0</v>
      </c>
      <c r="EB375" s="19">
        <v>0</v>
      </c>
      <c r="EC375" s="19">
        <v>0</v>
      </c>
      <c r="ED375" s="19">
        <v>0</v>
      </c>
      <c r="EE375" s="19">
        <v>0</v>
      </c>
      <c r="EF375" s="19">
        <v>0</v>
      </c>
      <c r="EG375" s="19">
        <v>0</v>
      </c>
      <c r="EH375" s="19">
        <v>0</v>
      </c>
      <c r="EI375" s="19">
        <v>62.817391304347801</v>
      </c>
      <c r="EJ375" s="19">
        <v>0.14399999999999999</v>
      </c>
      <c r="EK375" s="19">
        <v>0</v>
      </c>
      <c r="EL375" s="19">
        <v>0</v>
      </c>
      <c r="EM375" s="19">
        <v>0</v>
      </c>
      <c r="EN375" s="19">
        <v>0</v>
      </c>
      <c r="EO375" s="19">
        <v>0</v>
      </c>
      <c r="EP375" s="19">
        <v>0</v>
      </c>
      <c r="EQ375" s="19">
        <v>0</v>
      </c>
      <c r="ER375" s="19">
        <v>0</v>
      </c>
      <c r="ES375" s="119">
        <v>0</v>
      </c>
      <c r="ET375" s="119">
        <v>0</v>
      </c>
    </row>
    <row r="376" spans="1:150" ht="16.5" customHeight="1" x14ac:dyDescent="0.35">
      <c r="A376" s="4">
        <v>213</v>
      </c>
      <c r="B376" s="4" t="str">
        <f>LOOKUP(A376,Lookup!$A$1:$A$34,Lookup!$B$1:$B$34)</f>
        <v>BILT&amp;DROEWORS OWN</v>
      </c>
      <c r="C376" s="5">
        <v>34188</v>
      </c>
      <c r="D376" s="6" t="s">
        <v>357</v>
      </c>
      <c r="E376" s="18">
        <v>0</v>
      </c>
      <c r="F376" s="18">
        <v>0</v>
      </c>
      <c r="G376" s="18">
        <v>0</v>
      </c>
      <c r="H376" s="18">
        <v>0</v>
      </c>
      <c r="I376" s="19">
        <v>0</v>
      </c>
      <c r="J376" s="19">
        <v>0</v>
      </c>
      <c r="K376" s="19">
        <v>0</v>
      </c>
      <c r="L376" s="19">
        <v>0</v>
      </c>
      <c r="M376" s="19">
        <v>0</v>
      </c>
      <c r="N376" s="19">
        <v>0</v>
      </c>
      <c r="O376" s="19">
        <v>0</v>
      </c>
      <c r="P376" s="19">
        <v>0</v>
      </c>
      <c r="Q376" s="19">
        <v>0</v>
      </c>
      <c r="R376" s="19">
        <v>0</v>
      </c>
      <c r="S376" s="19">
        <v>0</v>
      </c>
      <c r="T376" s="19">
        <v>0</v>
      </c>
      <c r="U376" s="19">
        <v>0</v>
      </c>
      <c r="V376" s="19">
        <v>0</v>
      </c>
      <c r="W376" s="19">
        <v>0</v>
      </c>
      <c r="X376" s="19">
        <v>0</v>
      </c>
      <c r="Y376" s="19">
        <v>0</v>
      </c>
      <c r="Z376" s="19">
        <v>0</v>
      </c>
      <c r="AA376" s="19">
        <v>0</v>
      </c>
      <c r="AB376" s="19">
        <v>0</v>
      </c>
      <c r="AC376" s="19">
        <v>0</v>
      </c>
      <c r="AD376" s="19">
        <v>0</v>
      </c>
      <c r="AE376" s="19">
        <v>0</v>
      </c>
      <c r="AF376" s="19">
        <v>0</v>
      </c>
      <c r="AG376" s="19">
        <v>0</v>
      </c>
      <c r="AH376" s="19">
        <v>0</v>
      </c>
      <c r="AI376" s="19">
        <v>0</v>
      </c>
      <c r="AJ376" s="19">
        <v>0</v>
      </c>
      <c r="AK376" s="19">
        <v>0</v>
      </c>
      <c r="AL376" s="19">
        <v>0</v>
      </c>
      <c r="AM376" s="19">
        <v>0</v>
      </c>
      <c r="AN376" s="19">
        <v>0</v>
      </c>
      <c r="AO376" s="19">
        <v>0</v>
      </c>
      <c r="AP376" s="19">
        <v>0</v>
      </c>
      <c r="AQ376" s="19">
        <v>0</v>
      </c>
      <c r="AR376" s="19">
        <v>0</v>
      </c>
      <c r="AS376" s="19">
        <v>0</v>
      </c>
      <c r="AT376" s="19">
        <v>0</v>
      </c>
      <c r="AU376" s="19">
        <v>0</v>
      </c>
      <c r="AV376" s="19">
        <v>0</v>
      </c>
      <c r="AW376" s="19">
        <v>0</v>
      </c>
      <c r="AX376" s="19">
        <v>0</v>
      </c>
      <c r="AY376" s="19">
        <v>0</v>
      </c>
      <c r="AZ376" s="19">
        <v>0</v>
      </c>
      <c r="BA376" s="19">
        <v>0</v>
      </c>
      <c r="BB376" s="19">
        <v>0</v>
      </c>
      <c r="BC376" s="19">
        <v>0</v>
      </c>
      <c r="BD376" s="19">
        <v>0</v>
      </c>
      <c r="BE376" s="19">
        <v>0</v>
      </c>
      <c r="BF376" s="19">
        <v>0</v>
      </c>
      <c r="BG376" s="19">
        <v>0</v>
      </c>
      <c r="BH376" s="19">
        <v>0</v>
      </c>
      <c r="BI376" s="19">
        <v>0</v>
      </c>
      <c r="BJ376" s="19">
        <v>0</v>
      </c>
      <c r="BK376" s="19">
        <v>0</v>
      </c>
      <c r="BL376" s="19">
        <v>0</v>
      </c>
      <c r="BM376" s="19">
        <v>0</v>
      </c>
      <c r="BN376" s="19">
        <v>0</v>
      </c>
      <c r="BO376" s="19">
        <v>0</v>
      </c>
      <c r="BP376" s="19">
        <v>0</v>
      </c>
      <c r="BQ376" s="19">
        <v>0</v>
      </c>
      <c r="BR376" s="19">
        <v>0</v>
      </c>
      <c r="BS376" s="19">
        <v>0</v>
      </c>
      <c r="BT376" s="19">
        <v>0</v>
      </c>
      <c r="BU376" s="19">
        <v>0</v>
      </c>
      <c r="BV376" s="19">
        <v>0</v>
      </c>
      <c r="BW376" s="19">
        <v>0</v>
      </c>
      <c r="BX376" s="19">
        <v>0</v>
      </c>
      <c r="BY376" s="19">
        <v>0</v>
      </c>
      <c r="BZ376" s="19">
        <v>0</v>
      </c>
      <c r="CA376" s="19">
        <v>0</v>
      </c>
      <c r="CB376" s="19">
        <v>0</v>
      </c>
      <c r="CC376" s="19">
        <v>0</v>
      </c>
      <c r="CD376" s="19">
        <v>0</v>
      </c>
      <c r="CE376" s="19">
        <v>0</v>
      </c>
      <c r="CF376" s="19">
        <v>0</v>
      </c>
      <c r="CG376" s="19">
        <v>0</v>
      </c>
      <c r="CH376" s="19">
        <v>0</v>
      </c>
      <c r="CI376" s="19">
        <v>0</v>
      </c>
      <c r="CJ376" s="19">
        <v>0</v>
      </c>
      <c r="CK376" s="19">
        <v>0</v>
      </c>
      <c r="CL376" s="19">
        <v>0</v>
      </c>
      <c r="CM376" s="19">
        <v>0</v>
      </c>
      <c r="CN376" s="19">
        <v>0</v>
      </c>
      <c r="CO376" s="19">
        <v>0</v>
      </c>
      <c r="CP376" s="19">
        <v>0</v>
      </c>
      <c r="CQ376" s="19">
        <v>0</v>
      </c>
      <c r="CR376" s="19">
        <v>0</v>
      </c>
      <c r="CS376" s="19">
        <v>0</v>
      </c>
      <c r="CT376" s="19">
        <v>0</v>
      </c>
      <c r="CU376" s="19">
        <v>0</v>
      </c>
      <c r="CV376" s="19">
        <v>0</v>
      </c>
      <c r="CW376" s="19">
        <v>0</v>
      </c>
      <c r="CX376" s="19">
        <v>0</v>
      </c>
      <c r="CY376" s="19">
        <v>0</v>
      </c>
      <c r="CZ376" s="19">
        <v>0</v>
      </c>
      <c r="DA376" s="19">
        <v>0</v>
      </c>
      <c r="DB376" s="19">
        <v>0</v>
      </c>
      <c r="DC376" s="19">
        <v>0</v>
      </c>
      <c r="DD376" s="19">
        <v>0</v>
      </c>
      <c r="DE376" s="19">
        <v>0</v>
      </c>
      <c r="DF376" s="19">
        <v>0</v>
      </c>
      <c r="DG376" s="19">
        <v>0</v>
      </c>
      <c r="DH376" s="19">
        <v>0</v>
      </c>
      <c r="DI376" s="19">
        <v>0</v>
      </c>
      <c r="DJ376" s="19">
        <v>0</v>
      </c>
      <c r="DK376" s="19">
        <v>0</v>
      </c>
      <c r="DL376" s="19">
        <v>0</v>
      </c>
      <c r="DM376" s="19">
        <v>0</v>
      </c>
      <c r="DN376" s="19">
        <v>0</v>
      </c>
      <c r="DO376" s="19">
        <v>0</v>
      </c>
      <c r="DP376" s="19">
        <v>0</v>
      </c>
      <c r="DQ376" s="19">
        <v>0</v>
      </c>
      <c r="DR376" s="19">
        <v>0</v>
      </c>
      <c r="DS376" s="19">
        <v>0</v>
      </c>
      <c r="DT376" s="19">
        <v>0</v>
      </c>
      <c r="DU376" s="19">
        <v>0</v>
      </c>
      <c r="DV376" s="19">
        <v>0</v>
      </c>
      <c r="DW376" s="19">
        <v>0</v>
      </c>
      <c r="DX376" s="19">
        <v>0</v>
      </c>
      <c r="DY376" s="19">
        <v>0</v>
      </c>
      <c r="DZ376" s="19">
        <v>0</v>
      </c>
      <c r="EA376" s="19">
        <v>0</v>
      </c>
      <c r="EB376" s="19">
        <v>0</v>
      </c>
      <c r="EC376" s="19">
        <v>0</v>
      </c>
      <c r="ED376" s="19">
        <v>0</v>
      </c>
      <c r="EE376" s="19">
        <v>0</v>
      </c>
      <c r="EF376" s="19">
        <v>0</v>
      </c>
      <c r="EG376" s="19">
        <v>0</v>
      </c>
      <c r="EH376" s="19">
        <v>0</v>
      </c>
      <c r="EI376" s="19">
        <v>0</v>
      </c>
      <c r="EJ376" s="19">
        <v>0</v>
      </c>
      <c r="EK376" s="19">
        <v>0</v>
      </c>
      <c r="EL376" s="19">
        <v>0</v>
      </c>
      <c r="EM376" s="19">
        <v>0</v>
      </c>
      <c r="EN376" s="19">
        <v>0</v>
      </c>
      <c r="EO376" s="19">
        <v>0</v>
      </c>
      <c r="EP376" s="19">
        <v>0</v>
      </c>
      <c r="EQ376" s="19">
        <v>0</v>
      </c>
      <c r="ER376" s="19">
        <v>0</v>
      </c>
      <c r="ES376" s="119">
        <v>0</v>
      </c>
      <c r="ET376" s="119">
        <v>0</v>
      </c>
    </row>
    <row r="377" spans="1:150" ht="16.5" customHeight="1" x14ac:dyDescent="0.35">
      <c r="A377" s="4">
        <v>213</v>
      </c>
      <c r="B377" s="4" t="str">
        <f>LOOKUP(A377,Lookup!$A$1:$A$34,Lookup!$B$1:$B$34)</f>
        <v>BILT&amp;DROEWORS OWN</v>
      </c>
      <c r="C377" s="5">
        <v>53986</v>
      </c>
      <c r="D377" s="6" t="s">
        <v>358</v>
      </c>
      <c r="E377" s="18">
        <v>0</v>
      </c>
      <c r="F377" s="18">
        <v>0</v>
      </c>
      <c r="G377" s="18">
        <v>0</v>
      </c>
      <c r="H377" s="18">
        <v>0</v>
      </c>
      <c r="I377" s="19">
        <v>0</v>
      </c>
      <c r="J377" s="19">
        <v>0</v>
      </c>
      <c r="K377" s="19">
        <v>0</v>
      </c>
      <c r="L377" s="19">
        <v>0</v>
      </c>
      <c r="M377" s="19">
        <v>0</v>
      </c>
      <c r="N377" s="19">
        <v>0</v>
      </c>
      <c r="O377" s="19">
        <v>0</v>
      </c>
      <c r="P377" s="19">
        <v>0</v>
      </c>
      <c r="Q377" s="19">
        <v>0</v>
      </c>
      <c r="R377" s="19">
        <v>0</v>
      </c>
      <c r="S377" s="19">
        <v>0</v>
      </c>
      <c r="T377" s="19">
        <v>0</v>
      </c>
      <c r="U377" s="19">
        <v>0</v>
      </c>
      <c r="V377" s="19">
        <v>0</v>
      </c>
      <c r="W377" s="19">
        <v>0</v>
      </c>
      <c r="X377" s="19">
        <v>0</v>
      </c>
      <c r="Y377" s="19">
        <v>0</v>
      </c>
      <c r="Z377" s="19">
        <v>0</v>
      </c>
      <c r="AA377" s="19">
        <v>0</v>
      </c>
      <c r="AB377" s="19">
        <v>0</v>
      </c>
      <c r="AC377" s="19">
        <v>0</v>
      </c>
      <c r="AD377" s="19">
        <v>0</v>
      </c>
      <c r="AE377" s="19">
        <v>0</v>
      </c>
      <c r="AF377" s="19">
        <v>0</v>
      </c>
      <c r="AG377" s="19">
        <v>0</v>
      </c>
      <c r="AH377" s="19">
        <v>0</v>
      </c>
      <c r="AI377" s="19">
        <v>0</v>
      </c>
      <c r="AJ377" s="19">
        <v>0</v>
      </c>
      <c r="AK377" s="19">
        <v>0</v>
      </c>
      <c r="AL377" s="19">
        <v>0</v>
      </c>
      <c r="AM377" s="19">
        <v>0</v>
      </c>
      <c r="AN377" s="19">
        <v>0</v>
      </c>
      <c r="AO377" s="19">
        <v>0</v>
      </c>
      <c r="AP377" s="19">
        <v>0</v>
      </c>
      <c r="AQ377" s="19">
        <v>0</v>
      </c>
      <c r="AR377" s="19">
        <v>0</v>
      </c>
      <c r="AS377" s="19">
        <v>0</v>
      </c>
      <c r="AT377" s="19">
        <v>0</v>
      </c>
      <c r="AU377" s="19">
        <v>0</v>
      </c>
      <c r="AV377" s="19">
        <v>0</v>
      </c>
      <c r="AW377" s="19">
        <v>0</v>
      </c>
      <c r="AX377" s="19">
        <v>0</v>
      </c>
      <c r="AY377" s="19">
        <v>0</v>
      </c>
      <c r="AZ377" s="19">
        <v>0</v>
      </c>
      <c r="BA377" s="19">
        <v>0</v>
      </c>
      <c r="BB377" s="19">
        <v>0</v>
      </c>
      <c r="BC377" s="19">
        <v>0</v>
      </c>
      <c r="BD377" s="19">
        <v>0</v>
      </c>
      <c r="BE377" s="19">
        <v>0</v>
      </c>
      <c r="BF377" s="19">
        <v>0</v>
      </c>
      <c r="BG377" s="19">
        <v>0</v>
      </c>
      <c r="BH377" s="19">
        <v>0</v>
      </c>
      <c r="BI377" s="19">
        <v>0</v>
      </c>
      <c r="BJ377" s="19">
        <v>0</v>
      </c>
      <c r="BK377" s="19">
        <v>0</v>
      </c>
      <c r="BL377" s="19">
        <v>0</v>
      </c>
      <c r="BM377" s="19">
        <v>0</v>
      </c>
      <c r="BN377" s="19">
        <v>0</v>
      </c>
      <c r="BO377" s="19">
        <v>0</v>
      </c>
      <c r="BP377" s="19">
        <v>0</v>
      </c>
      <c r="BQ377" s="19">
        <v>0</v>
      </c>
      <c r="BR377" s="19">
        <v>0</v>
      </c>
      <c r="BS377" s="19">
        <v>0</v>
      </c>
      <c r="BT377" s="19">
        <v>0</v>
      </c>
      <c r="BU377" s="19">
        <v>0</v>
      </c>
      <c r="BV377" s="19">
        <v>0</v>
      </c>
      <c r="BW377" s="19">
        <v>0</v>
      </c>
      <c r="BX377" s="19">
        <v>0</v>
      </c>
      <c r="BY377" s="19">
        <v>0</v>
      </c>
      <c r="BZ377" s="19">
        <v>0</v>
      </c>
      <c r="CA377" s="19">
        <v>0</v>
      </c>
      <c r="CB377" s="19">
        <v>0</v>
      </c>
      <c r="CC377" s="19">
        <v>0</v>
      </c>
      <c r="CD377" s="19">
        <v>0</v>
      </c>
      <c r="CE377" s="19">
        <v>0</v>
      </c>
      <c r="CF377" s="19">
        <v>0</v>
      </c>
      <c r="CG377" s="19">
        <v>0</v>
      </c>
      <c r="CH377" s="19">
        <v>0</v>
      </c>
      <c r="CI377" s="19">
        <v>0</v>
      </c>
      <c r="CJ377" s="19">
        <v>0</v>
      </c>
      <c r="CK377" s="19">
        <v>0</v>
      </c>
      <c r="CL377" s="19">
        <v>0</v>
      </c>
      <c r="CM377" s="19">
        <v>0</v>
      </c>
      <c r="CN377" s="19">
        <v>0</v>
      </c>
      <c r="CO377" s="19">
        <v>0</v>
      </c>
      <c r="CP377" s="19">
        <v>0</v>
      </c>
      <c r="CQ377" s="19">
        <v>0</v>
      </c>
      <c r="CR377" s="19">
        <v>0</v>
      </c>
      <c r="CS377" s="19">
        <v>0</v>
      </c>
      <c r="CT377" s="19">
        <v>0</v>
      </c>
      <c r="CU377" s="19">
        <v>0</v>
      </c>
      <c r="CV377" s="19">
        <v>0</v>
      </c>
      <c r="CW377" s="19">
        <v>0</v>
      </c>
      <c r="CX377" s="19">
        <v>0</v>
      </c>
      <c r="CY377" s="19">
        <v>0</v>
      </c>
      <c r="CZ377" s="19">
        <v>0</v>
      </c>
      <c r="DA377" s="19">
        <v>0</v>
      </c>
      <c r="DB377" s="19">
        <v>0</v>
      </c>
      <c r="DC377" s="19">
        <v>0</v>
      </c>
      <c r="DD377" s="19">
        <v>0</v>
      </c>
      <c r="DE377" s="19">
        <v>0</v>
      </c>
      <c r="DF377" s="19">
        <v>0</v>
      </c>
      <c r="DG377" s="19">
        <v>0</v>
      </c>
      <c r="DH377" s="19">
        <v>0</v>
      </c>
      <c r="DI377" s="19">
        <v>0</v>
      </c>
      <c r="DJ377" s="19">
        <v>0</v>
      </c>
      <c r="DK377" s="19">
        <v>0</v>
      </c>
      <c r="DL377" s="19">
        <v>0</v>
      </c>
      <c r="DM377" s="19">
        <v>0</v>
      </c>
      <c r="DN377" s="19">
        <v>0</v>
      </c>
      <c r="DO377" s="19">
        <v>0</v>
      </c>
      <c r="DP377" s="19">
        <v>0</v>
      </c>
      <c r="DQ377" s="19">
        <v>0</v>
      </c>
      <c r="DR377" s="19">
        <v>0</v>
      </c>
      <c r="DS377" s="19">
        <v>0</v>
      </c>
      <c r="DT377" s="19">
        <v>0</v>
      </c>
      <c r="DU377" s="19">
        <v>0</v>
      </c>
      <c r="DV377" s="19">
        <v>0</v>
      </c>
      <c r="DW377" s="19">
        <v>0</v>
      </c>
      <c r="DX377" s="19">
        <v>0</v>
      </c>
      <c r="DY377" s="19">
        <v>0</v>
      </c>
      <c r="DZ377" s="19">
        <v>0</v>
      </c>
      <c r="EA377" s="19">
        <v>0</v>
      </c>
      <c r="EB377" s="19">
        <v>0</v>
      </c>
      <c r="EC377" s="19">
        <v>0</v>
      </c>
      <c r="ED377" s="19">
        <v>0</v>
      </c>
      <c r="EE377" s="19">
        <v>0</v>
      </c>
      <c r="EF377" s="19">
        <v>0</v>
      </c>
      <c r="EG377" s="19">
        <v>0</v>
      </c>
      <c r="EH377" s="19">
        <v>0</v>
      </c>
      <c r="EI377" s="19">
        <v>0</v>
      </c>
      <c r="EJ377" s="19">
        <v>0</v>
      </c>
      <c r="EK377" s="19">
        <v>0</v>
      </c>
      <c r="EL377" s="19">
        <v>0</v>
      </c>
      <c r="EM377" s="19">
        <v>0</v>
      </c>
      <c r="EN377" s="19">
        <v>0</v>
      </c>
      <c r="EO377" s="19">
        <v>0</v>
      </c>
      <c r="EP377" s="19">
        <v>0</v>
      </c>
      <c r="EQ377" s="19">
        <v>0</v>
      </c>
      <c r="ER377" s="19">
        <v>0</v>
      </c>
      <c r="ES377" s="119">
        <v>0</v>
      </c>
      <c r="ET377" s="119">
        <v>0</v>
      </c>
    </row>
    <row r="378" spans="1:150" ht="16.5" customHeight="1" x14ac:dyDescent="0.35">
      <c r="A378" s="4">
        <v>214</v>
      </c>
      <c r="B378" s="4" t="str">
        <f>LOOKUP(A378,Lookup!$A$1:$A$34,Lookup!$B$1:$B$34)</f>
        <v>BUTCHERY OSTRICH</v>
      </c>
      <c r="C378" s="5">
        <v>11617</v>
      </c>
      <c r="D378" s="6" t="s">
        <v>359</v>
      </c>
      <c r="E378" s="18">
        <v>0</v>
      </c>
      <c r="F378" s="18">
        <v>0</v>
      </c>
      <c r="G378" s="18">
        <v>0</v>
      </c>
      <c r="H378" s="18">
        <v>0</v>
      </c>
      <c r="I378" s="19">
        <v>0</v>
      </c>
      <c r="J378" s="19">
        <v>0</v>
      </c>
      <c r="K378" s="19">
        <v>0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0</v>
      </c>
      <c r="AF378" s="19">
        <v>0</v>
      </c>
      <c r="AG378" s="19">
        <v>0</v>
      </c>
      <c r="AH378" s="19">
        <v>0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v>0</v>
      </c>
      <c r="AO378" s="19">
        <v>0</v>
      </c>
      <c r="AP378" s="19">
        <v>0</v>
      </c>
      <c r="AQ378" s="19">
        <v>0</v>
      </c>
      <c r="AR378" s="19">
        <v>0</v>
      </c>
      <c r="AS378" s="19">
        <v>0</v>
      </c>
      <c r="AT378" s="19">
        <v>0</v>
      </c>
      <c r="AU378" s="19">
        <v>0</v>
      </c>
      <c r="AV378" s="19">
        <v>0</v>
      </c>
      <c r="AW378" s="19">
        <v>0</v>
      </c>
      <c r="AX378" s="19">
        <v>0</v>
      </c>
      <c r="AY378" s="19">
        <v>0</v>
      </c>
      <c r="AZ378" s="19">
        <v>0</v>
      </c>
      <c r="BA378" s="19">
        <v>0</v>
      </c>
      <c r="BB378" s="19">
        <v>0</v>
      </c>
      <c r="BC378" s="19">
        <v>0</v>
      </c>
      <c r="BD378" s="19">
        <v>0</v>
      </c>
      <c r="BE378" s="19">
        <v>0</v>
      </c>
      <c r="BF378" s="19">
        <v>0</v>
      </c>
      <c r="BG378" s="19">
        <v>0</v>
      </c>
      <c r="BH378" s="19">
        <v>0</v>
      </c>
      <c r="BI378" s="19">
        <v>0</v>
      </c>
      <c r="BJ378" s="19">
        <v>0</v>
      </c>
      <c r="BK378" s="19">
        <v>0</v>
      </c>
      <c r="BL378" s="19">
        <v>0</v>
      </c>
      <c r="BM378" s="19">
        <v>0</v>
      </c>
      <c r="BN378" s="19">
        <v>0</v>
      </c>
      <c r="BO378" s="19">
        <v>0</v>
      </c>
      <c r="BP378" s="19">
        <v>0</v>
      </c>
      <c r="BQ378" s="19">
        <v>0</v>
      </c>
      <c r="BR378" s="19">
        <v>0</v>
      </c>
      <c r="BS378" s="19">
        <v>0</v>
      </c>
      <c r="BT378" s="19">
        <v>0</v>
      </c>
      <c r="BU378" s="19">
        <v>0</v>
      </c>
      <c r="BV378" s="19">
        <v>0</v>
      </c>
      <c r="BW378" s="19">
        <v>0</v>
      </c>
      <c r="BX378" s="19">
        <v>0</v>
      </c>
      <c r="BY378" s="19">
        <v>0</v>
      </c>
      <c r="BZ378" s="19">
        <v>0</v>
      </c>
      <c r="CA378" s="19">
        <v>0</v>
      </c>
      <c r="CB378" s="19">
        <v>0</v>
      </c>
      <c r="CC378" s="19">
        <v>0</v>
      </c>
      <c r="CD378" s="19">
        <v>0</v>
      </c>
      <c r="CE378" s="19">
        <v>0</v>
      </c>
      <c r="CF378" s="19">
        <v>0</v>
      </c>
      <c r="CG378" s="19">
        <v>0</v>
      </c>
      <c r="CH378" s="19">
        <v>0</v>
      </c>
      <c r="CI378" s="19">
        <v>0</v>
      </c>
      <c r="CJ378" s="19">
        <v>0</v>
      </c>
      <c r="CK378" s="19">
        <v>0</v>
      </c>
      <c r="CL378" s="19">
        <v>0</v>
      </c>
      <c r="CM378" s="19">
        <v>0</v>
      </c>
      <c r="CN378" s="19">
        <v>0</v>
      </c>
      <c r="CO378" s="19">
        <v>0</v>
      </c>
      <c r="CP378" s="19">
        <v>0</v>
      </c>
      <c r="CQ378" s="19">
        <v>0</v>
      </c>
      <c r="CR378" s="19">
        <v>0</v>
      </c>
      <c r="CS378" s="19">
        <v>0</v>
      </c>
      <c r="CT378" s="19">
        <v>0</v>
      </c>
      <c r="CU378" s="19">
        <v>0</v>
      </c>
      <c r="CV378" s="19">
        <v>0</v>
      </c>
      <c r="CW378" s="19">
        <v>0</v>
      </c>
      <c r="CX378" s="19">
        <v>0</v>
      </c>
      <c r="CY378" s="19">
        <v>0</v>
      </c>
      <c r="CZ378" s="19">
        <v>0</v>
      </c>
      <c r="DA378" s="19">
        <v>0</v>
      </c>
      <c r="DB378" s="19">
        <v>0</v>
      </c>
      <c r="DC378" s="19">
        <v>0</v>
      </c>
      <c r="DD378" s="19">
        <v>0</v>
      </c>
      <c r="DE378" s="19">
        <v>0</v>
      </c>
      <c r="DF378" s="19">
        <v>0</v>
      </c>
      <c r="DG378" s="19">
        <v>0</v>
      </c>
      <c r="DH378" s="19">
        <v>0</v>
      </c>
      <c r="DI378" s="19">
        <v>0</v>
      </c>
      <c r="DJ378" s="19">
        <v>0</v>
      </c>
      <c r="DK378" s="19">
        <v>0</v>
      </c>
      <c r="DL378" s="19">
        <v>0</v>
      </c>
      <c r="DM378" s="19">
        <v>0</v>
      </c>
      <c r="DN378" s="19">
        <v>0</v>
      </c>
      <c r="DO378" s="19">
        <v>0</v>
      </c>
      <c r="DP378" s="19">
        <v>0</v>
      </c>
      <c r="DQ378" s="19">
        <v>0</v>
      </c>
      <c r="DR378" s="19">
        <v>0</v>
      </c>
      <c r="DS378" s="19">
        <v>0</v>
      </c>
      <c r="DT378" s="19">
        <v>0</v>
      </c>
      <c r="DU378" s="19">
        <v>0</v>
      </c>
      <c r="DV378" s="19">
        <v>0</v>
      </c>
      <c r="DW378" s="19">
        <v>0</v>
      </c>
      <c r="DX378" s="19">
        <v>0</v>
      </c>
      <c r="DY378" s="19">
        <v>0</v>
      </c>
      <c r="DZ378" s="19">
        <v>0</v>
      </c>
      <c r="EA378" s="19">
        <v>0</v>
      </c>
      <c r="EB378" s="19">
        <v>0</v>
      </c>
      <c r="EC378" s="19">
        <v>0</v>
      </c>
      <c r="ED378" s="19">
        <v>0</v>
      </c>
      <c r="EE378" s="19">
        <v>0</v>
      </c>
      <c r="EF378" s="19">
        <v>0</v>
      </c>
      <c r="EG378" s="19">
        <v>0</v>
      </c>
      <c r="EH378" s="19">
        <v>0</v>
      </c>
      <c r="EI378" s="19">
        <v>0</v>
      </c>
      <c r="EJ378" s="19">
        <v>0</v>
      </c>
      <c r="EK378" s="19">
        <v>0</v>
      </c>
      <c r="EL378" s="19">
        <v>0</v>
      </c>
      <c r="EM378" s="19">
        <v>0</v>
      </c>
      <c r="EN378" s="19">
        <v>0</v>
      </c>
      <c r="EO378" s="19">
        <v>0</v>
      </c>
      <c r="EP378" s="19">
        <v>0</v>
      </c>
      <c r="EQ378" s="19">
        <v>0</v>
      </c>
      <c r="ER378" s="19">
        <v>0</v>
      </c>
      <c r="ES378" s="119">
        <v>0</v>
      </c>
      <c r="ET378" s="119">
        <v>0</v>
      </c>
    </row>
    <row r="379" spans="1:150" ht="16.5" customHeight="1" x14ac:dyDescent="0.35">
      <c r="A379" s="4">
        <v>214</v>
      </c>
      <c r="B379" s="4" t="str">
        <f>LOOKUP(A379,Lookup!$A$1:$A$34,Lookup!$B$1:$B$34)</f>
        <v>BUTCHERY OSTRICH</v>
      </c>
      <c r="C379" s="5">
        <v>44216</v>
      </c>
      <c r="D379" s="6" t="s">
        <v>360</v>
      </c>
      <c r="E379" s="18">
        <v>103.884139620331</v>
      </c>
      <c r="F379" s="18">
        <v>1.2110000000000001</v>
      </c>
      <c r="G379" s="18">
        <v>7375.7739130434802</v>
      </c>
      <c r="H379" s="18">
        <v>86</v>
      </c>
      <c r="I379" s="19">
        <v>0</v>
      </c>
      <c r="J379" s="19">
        <v>0</v>
      </c>
      <c r="K379" s="19">
        <v>0</v>
      </c>
      <c r="L379" s="19">
        <v>0</v>
      </c>
      <c r="M379" s="19">
        <v>0</v>
      </c>
      <c r="N379" s="19">
        <v>0</v>
      </c>
      <c r="O379" s="19">
        <v>0</v>
      </c>
      <c r="P379" s="19">
        <v>0</v>
      </c>
      <c r="Q379" s="19">
        <v>0</v>
      </c>
      <c r="R379" s="19">
        <v>0</v>
      </c>
      <c r="S379" s="19">
        <v>0</v>
      </c>
      <c r="T379" s="19">
        <v>0</v>
      </c>
      <c r="U379" s="19">
        <v>0</v>
      </c>
      <c r="V379" s="19">
        <v>0</v>
      </c>
      <c r="W379" s="19">
        <v>0</v>
      </c>
      <c r="X379" s="19">
        <v>0</v>
      </c>
      <c r="Y379" s="19">
        <v>0</v>
      </c>
      <c r="Z379" s="19">
        <v>0</v>
      </c>
      <c r="AA379" s="19">
        <v>0</v>
      </c>
      <c r="AB379" s="19">
        <v>0</v>
      </c>
      <c r="AC379" s="19">
        <v>0</v>
      </c>
      <c r="AD379" s="19">
        <v>0</v>
      </c>
      <c r="AE379" s="19">
        <v>0</v>
      </c>
      <c r="AF379" s="19">
        <v>0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19">
        <v>0</v>
      </c>
      <c r="AM379" s="19">
        <v>0</v>
      </c>
      <c r="AN379" s="19">
        <v>0</v>
      </c>
      <c r="AO379" s="19">
        <v>0</v>
      </c>
      <c r="AP379" s="19">
        <v>0</v>
      </c>
      <c r="AQ379" s="19">
        <v>0</v>
      </c>
      <c r="AR379" s="19">
        <v>0</v>
      </c>
      <c r="AS379" s="19">
        <v>0</v>
      </c>
      <c r="AT379" s="19">
        <v>0</v>
      </c>
      <c r="AU379" s="19">
        <v>0</v>
      </c>
      <c r="AV379" s="19">
        <v>0</v>
      </c>
      <c r="AW379" s="19">
        <v>0</v>
      </c>
      <c r="AX379" s="19">
        <v>0</v>
      </c>
      <c r="AY379" s="19">
        <v>0</v>
      </c>
      <c r="AZ379" s="19">
        <v>0</v>
      </c>
      <c r="BA379" s="19">
        <v>0</v>
      </c>
      <c r="BB379" s="19">
        <v>0</v>
      </c>
      <c r="BC379" s="19">
        <v>0</v>
      </c>
      <c r="BD379" s="19">
        <v>0</v>
      </c>
      <c r="BE379" s="19">
        <v>0</v>
      </c>
      <c r="BF379" s="19">
        <v>0</v>
      </c>
      <c r="BG379" s="19">
        <v>0</v>
      </c>
      <c r="BH379" s="19">
        <v>0</v>
      </c>
      <c r="BI379" s="19">
        <v>0</v>
      </c>
      <c r="BJ379" s="19">
        <v>0</v>
      </c>
      <c r="BK379" s="19">
        <v>0</v>
      </c>
      <c r="BL379" s="19">
        <v>0</v>
      </c>
      <c r="BM379" s="19">
        <v>0</v>
      </c>
      <c r="BN379" s="19">
        <v>0</v>
      </c>
      <c r="BO379" s="19">
        <v>0</v>
      </c>
      <c r="BP379" s="19">
        <v>0</v>
      </c>
      <c r="BQ379" s="19">
        <v>0</v>
      </c>
      <c r="BR379" s="19">
        <v>0</v>
      </c>
      <c r="BS379" s="19">
        <v>0</v>
      </c>
      <c r="BT379" s="19">
        <v>0</v>
      </c>
      <c r="BU379" s="19">
        <v>0</v>
      </c>
      <c r="BV379" s="19">
        <v>0</v>
      </c>
      <c r="BW379" s="19">
        <v>0</v>
      </c>
      <c r="BX379" s="19">
        <v>0</v>
      </c>
      <c r="BY379" s="19">
        <v>0</v>
      </c>
      <c r="BZ379" s="19">
        <v>0</v>
      </c>
      <c r="CA379" s="19">
        <v>0</v>
      </c>
      <c r="CB379" s="19">
        <v>0</v>
      </c>
      <c r="CC379" s="19">
        <v>0</v>
      </c>
      <c r="CD379" s="19">
        <v>0</v>
      </c>
      <c r="CE379" s="19">
        <v>0</v>
      </c>
      <c r="CF379" s="19">
        <v>0</v>
      </c>
      <c r="CG379" s="19">
        <v>337.35652173913002</v>
      </c>
      <c r="CH379" s="19">
        <v>4</v>
      </c>
      <c r="CI379" s="19">
        <v>253.017391304348</v>
      </c>
      <c r="CJ379" s="19">
        <v>3</v>
      </c>
      <c r="CK379" s="19">
        <v>84.339130434782604</v>
      </c>
      <c r="CL379" s="19">
        <v>1</v>
      </c>
      <c r="CM379" s="19">
        <v>0</v>
      </c>
      <c r="CN379" s="19">
        <v>0</v>
      </c>
      <c r="CO379" s="19">
        <v>84.339130434782604</v>
      </c>
      <c r="CP379" s="19">
        <v>1</v>
      </c>
      <c r="CQ379" s="19">
        <v>168.67826086956501</v>
      </c>
      <c r="CR379" s="19">
        <v>2</v>
      </c>
      <c r="CS379" s="19">
        <v>253.017391304348</v>
      </c>
      <c r="CT379" s="19">
        <v>3</v>
      </c>
      <c r="CU379" s="19">
        <v>84.339130434782604</v>
      </c>
      <c r="CV379" s="19">
        <v>1</v>
      </c>
      <c r="CW379" s="19">
        <v>421.695652173913</v>
      </c>
      <c r="CX379" s="19">
        <v>5</v>
      </c>
      <c r="CY379" s="19">
        <v>168.67826086956501</v>
      </c>
      <c r="CZ379" s="19">
        <v>2</v>
      </c>
      <c r="DA379" s="19">
        <v>84.339130434782604</v>
      </c>
      <c r="DB379" s="19">
        <v>1</v>
      </c>
      <c r="DC379" s="19">
        <v>84.339130434782604</v>
      </c>
      <c r="DD379" s="19">
        <v>1</v>
      </c>
      <c r="DE379" s="19">
        <v>84.339130434782604</v>
      </c>
      <c r="DF379" s="19">
        <v>1</v>
      </c>
      <c r="DG379" s="19">
        <v>84.339130434782604</v>
      </c>
      <c r="DH379" s="19">
        <v>1</v>
      </c>
      <c r="DI379" s="19">
        <v>0</v>
      </c>
      <c r="DJ379" s="19">
        <v>0</v>
      </c>
      <c r="DK379" s="19">
        <v>0</v>
      </c>
      <c r="DL379" s="19">
        <v>0</v>
      </c>
      <c r="DM379" s="19">
        <v>506.03478260869599</v>
      </c>
      <c r="DN379" s="19">
        <v>6</v>
      </c>
      <c r="DO379" s="19">
        <v>84.339130434782604</v>
      </c>
      <c r="DP379" s="19">
        <v>1</v>
      </c>
      <c r="DQ379" s="19">
        <v>168.67826086956501</v>
      </c>
      <c r="DR379" s="19">
        <v>2</v>
      </c>
      <c r="DS379" s="19">
        <v>0</v>
      </c>
      <c r="DT379" s="19">
        <v>0</v>
      </c>
      <c r="DU379" s="19">
        <v>0</v>
      </c>
      <c r="DV379" s="19">
        <v>0</v>
      </c>
      <c r="DW379" s="19">
        <v>253.017391304348</v>
      </c>
      <c r="DX379" s="19">
        <v>3</v>
      </c>
      <c r="DY379" s="19">
        <v>258.23478260869598</v>
      </c>
      <c r="DZ379" s="19">
        <v>3</v>
      </c>
      <c r="EA379" s="19">
        <v>782.53043478260895</v>
      </c>
      <c r="EB379" s="19">
        <v>9</v>
      </c>
      <c r="EC379" s="19">
        <v>173.89565217391299</v>
      </c>
      <c r="ED379" s="19">
        <v>2</v>
      </c>
      <c r="EE379" s="19">
        <v>521.68695652173903</v>
      </c>
      <c r="EF379" s="19">
        <v>6</v>
      </c>
      <c r="EG379" s="19">
        <v>347.79130434782599</v>
      </c>
      <c r="EH379" s="19">
        <v>4</v>
      </c>
      <c r="EI379" s="19">
        <v>434.73913043478302</v>
      </c>
      <c r="EJ379" s="19">
        <v>5</v>
      </c>
      <c r="EK379" s="19">
        <v>347.79130434782599</v>
      </c>
      <c r="EL379" s="19">
        <v>4</v>
      </c>
      <c r="EM379" s="19">
        <v>260.84347826086997</v>
      </c>
      <c r="EN379" s="19">
        <v>3</v>
      </c>
      <c r="EO379" s="19">
        <v>260.84347826086997</v>
      </c>
      <c r="EP379" s="19">
        <v>3</v>
      </c>
      <c r="EQ379" s="19">
        <v>434.73913043478302</v>
      </c>
      <c r="ER379" s="19">
        <v>5</v>
      </c>
      <c r="ES379" s="119">
        <v>347.79130434782599</v>
      </c>
      <c r="ET379" s="119">
        <v>4</v>
      </c>
    </row>
    <row r="380" spans="1:150" ht="16.5" customHeight="1" x14ac:dyDescent="0.35">
      <c r="A380" s="4">
        <v>214</v>
      </c>
      <c r="B380" s="4" t="str">
        <f>LOOKUP(A380,Lookup!$A$1:$A$34,Lookup!$B$1:$B$34)</f>
        <v>BUTCHERY OSTRICH</v>
      </c>
      <c r="C380" s="5">
        <v>44217</v>
      </c>
      <c r="D380" s="6" t="s">
        <v>361</v>
      </c>
      <c r="E380" s="18">
        <v>18.001102265768498</v>
      </c>
      <c r="F380" s="18">
        <v>0.29599999999999999</v>
      </c>
      <c r="G380" s="18">
        <v>1278.0782608695699</v>
      </c>
      <c r="H380" s="18">
        <v>21</v>
      </c>
      <c r="I380" s="19">
        <v>0</v>
      </c>
      <c r="J380" s="19">
        <v>0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19">
        <v>0</v>
      </c>
      <c r="AC380" s="19">
        <v>0</v>
      </c>
      <c r="AD380" s="19">
        <v>0</v>
      </c>
      <c r="AE380" s="19">
        <v>0</v>
      </c>
      <c r="AF380" s="19">
        <v>0</v>
      </c>
      <c r="AG380" s="19">
        <v>0</v>
      </c>
      <c r="AH380" s="19">
        <v>0</v>
      </c>
      <c r="AI380" s="19">
        <v>0</v>
      </c>
      <c r="AJ380" s="19">
        <v>0</v>
      </c>
      <c r="AK380" s="19">
        <v>0</v>
      </c>
      <c r="AL380" s="19">
        <v>0</v>
      </c>
      <c r="AM380" s="19">
        <v>0</v>
      </c>
      <c r="AN380" s="19">
        <v>0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0</v>
      </c>
      <c r="AU380" s="19">
        <v>0</v>
      </c>
      <c r="AV380" s="19">
        <v>0</v>
      </c>
      <c r="AW380" s="19">
        <v>0</v>
      </c>
      <c r="AX380" s="19">
        <v>0</v>
      </c>
      <c r="AY380" s="19">
        <v>0</v>
      </c>
      <c r="AZ380" s="19">
        <v>0</v>
      </c>
      <c r="BA380" s="19">
        <v>0</v>
      </c>
      <c r="BB380" s="19">
        <v>0</v>
      </c>
      <c r="BC380" s="19">
        <v>0</v>
      </c>
      <c r="BD380" s="19">
        <v>0</v>
      </c>
      <c r="BE380" s="19">
        <v>0</v>
      </c>
      <c r="BF380" s="19">
        <v>0</v>
      </c>
      <c r="BG380" s="19">
        <v>0</v>
      </c>
      <c r="BH380" s="19">
        <v>0</v>
      </c>
      <c r="BI380" s="19">
        <v>0</v>
      </c>
      <c r="BJ380" s="19">
        <v>0</v>
      </c>
      <c r="BK380" s="19">
        <v>0</v>
      </c>
      <c r="BL380" s="19">
        <v>0</v>
      </c>
      <c r="BM380" s="19">
        <v>0</v>
      </c>
      <c r="BN380" s="19">
        <v>0</v>
      </c>
      <c r="BO380" s="19">
        <v>0</v>
      </c>
      <c r="BP380" s="19">
        <v>0</v>
      </c>
      <c r="BQ380" s="19">
        <v>0</v>
      </c>
      <c r="BR380" s="19">
        <v>0</v>
      </c>
      <c r="BS380" s="19">
        <v>0</v>
      </c>
      <c r="BT380" s="19">
        <v>0</v>
      </c>
      <c r="BU380" s="19">
        <v>0</v>
      </c>
      <c r="BV380" s="19">
        <v>0</v>
      </c>
      <c r="BW380" s="19">
        <v>0</v>
      </c>
      <c r="BX380" s="19">
        <v>0</v>
      </c>
      <c r="BY380" s="19">
        <v>0</v>
      </c>
      <c r="BZ380" s="19">
        <v>0</v>
      </c>
      <c r="CA380" s="19">
        <v>0</v>
      </c>
      <c r="CB380" s="19">
        <v>0</v>
      </c>
      <c r="CC380" s="19">
        <v>0</v>
      </c>
      <c r="CD380" s="19">
        <v>0</v>
      </c>
      <c r="CE380" s="19">
        <v>0</v>
      </c>
      <c r="CF380" s="19">
        <v>0</v>
      </c>
      <c r="CG380" s="19">
        <v>304.304347826087</v>
      </c>
      <c r="CH380" s="19">
        <v>5</v>
      </c>
      <c r="CI380" s="19">
        <v>365.165217391304</v>
      </c>
      <c r="CJ380" s="19">
        <v>6</v>
      </c>
      <c r="CK380" s="19">
        <v>60.860869565217399</v>
      </c>
      <c r="CL380" s="19">
        <v>1</v>
      </c>
      <c r="CM380" s="19">
        <v>182.582608695652</v>
      </c>
      <c r="CN380" s="19">
        <v>3</v>
      </c>
      <c r="CO380" s="19">
        <v>121.721739130435</v>
      </c>
      <c r="CP380" s="19">
        <v>2</v>
      </c>
      <c r="CQ380" s="19">
        <v>0</v>
      </c>
      <c r="CR380" s="19">
        <v>0</v>
      </c>
      <c r="CS380" s="19">
        <v>243.44347826086999</v>
      </c>
      <c r="CT380" s="19">
        <v>4</v>
      </c>
      <c r="CU380" s="19">
        <v>0</v>
      </c>
      <c r="CV380" s="19">
        <v>0</v>
      </c>
      <c r="CW380" s="19">
        <v>0</v>
      </c>
      <c r="CX380" s="19">
        <v>0</v>
      </c>
      <c r="CY380" s="19">
        <v>0</v>
      </c>
      <c r="CZ380" s="19">
        <v>0</v>
      </c>
      <c r="DA380" s="19">
        <v>0</v>
      </c>
      <c r="DB380" s="19">
        <v>0</v>
      </c>
      <c r="DC380" s="19">
        <v>0</v>
      </c>
      <c r="DD380" s="19">
        <v>0</v>
      </c>
      <c r="DE380" s="19">
        <v>0</v>
      </c>
      <c r="DF380" s="19">
        <v>0</v>
      </c>
      <c r="DG380" s="19">
        <v>0</v>
      </c>
      <c r="DH380" s="19">
        <v>0</v>
      </c>
      <c r="DI380" s="19">
        <v>0</v>
      </c>
      <c r="DJ380" s="19">
        <v>0</v>
      </c>
      <c r="DK380" s="19">
        <v>0</v>
      </c>
      <c r="DL380" s="19">
        <v>0</v>
      </c>
      <c r="DM380" s="19">
        <v>0</v>
      </c>
      <c r="DN380" s="19">
        <v>0</v>
      </c>
      <c r="DO380" s="19">
        <v>0</v>
      </c>
      <c r="DP380" s="19">
        <v>0</v>
      </c>
      <c r="DQ380" s="19">
        <v>0</v>
      </c>
      <c r="DR380" s="19">
        <v>0</v>
      </c>
      <c r="DS380" s="19">
        <v>0</v>
      </c>
      <c r="DT380" s="19">
        <v>0</v>
      </c>
      <c r="DU380" s="19">
        <v>0</v>
      </c>
      <c r="DV380" s="19">
        <v>0</v>
      </c>
      <c r="DW380" s="19">
        <v>0</v>
      </c>
      <c r="DX380" s="19">
        <v>0</v>
      </c>
      <c r="DY380" s="19">
        <v>0</v>
      </c>
      <c r="DZ380" s="19">
        <v>0</v>
      </c>
      <c r="EA380" s="19">
        <v>0</v>
      </c>
      <c r="EB380" s="19">
        <v>0</v>
      </c>
      <c r="EC380" s="19">
        <v>0</v>
      </c>
      <c r="ED380" s="19">
        <v>0</v>
      </c>
      <c r="EE380" s="19">
        <v>0</v>
      </c>
      <c r="EF380" s="19">
        <v>0</v>
      </c>
      <c r="EG380" s="19">
        <v>0</v>
      </c>
      <c r="EH380" s="19">
        <v>0</v>
      </c>
      <c r="EI380" s="19">
        <v>0</v>
      </c>
      <c r="EJ380" s="19">
        <v>0</v>
      </c>
      <c r="EK380" s="19">
        <v>0</v>
      </c>
      <c r="EL380" s="19">
        <v>0</v>
      </c>
      <c r="EM380" s="19">
        <v>0</v>
      </c>
      <c r="EN380" s="19">
        <v>0</v>
      </c>
      <c r="EO380" s="19">
        <v>0</v>
      </c>
      <c r="EP380" s="19">
        <v>0</v>
      </c>
      <c r="EQ380" s="19">
        <v>0</v>
      </c>
      <c r="ER380" s="19">
        <v>0</v>
      </c>
      <c r="ES380" s="119">
        <v>0</v>
      </c>
      <c r="ET380" s="119">
        <v>0</v>
      </c>
    </row>
    <row r="381" spans="1:150" ht="16.5" customHeight="1" x14ac:dyDescent="0.35">
      <c r="A381" s="4">
        <v>214</v>
      </c>
      <c r="B381" s="4" t="str">
        <f>LOOKUP(A381,Lookup!$A$1:$A$34,Lookup!$B$1:$B$34)</f>
        <v>BUTCHERY OSTRICH</v>
      </c>
      <c r="C381" s="5">
        <v>44221</v>
      </c>
      <c r="D381" s="6" t="s">
        <v>362</v>
      </c>
      <c r="E381" s="18">
        <v>13.2249846907532</v>
      </c>
      <c r="F381" s="18">
        <v>0.254</v>
      </c>
      <c r="G381" s="18">
        <v>938.97391304347798</v>
      </c>
      <c r="H381" s="18">
        <v>18</v>
      </c>
      <c r="I381" s="19">
        <v>0</v>
      </c>
      <c r="J381" s="19">
        <v>0</v>
      </c>
      <c r="K381" s="19">
        <v>0</v>
      </c>
      <c r="L381" s="19">
        <v>0</v>
      </c>
      <c r="M381" s="19">
        <v>0</v>
      </c>
      <c r="N381" s="19">
        <v>0</v>
      </c>
      <c r="O381" s="19">
        <v>0</v>
      </c>
      <c r="P381" s="19">
        <v>0</v>
      </c>
      <c r="Q381" s="19">
        <v>0</v>
      </c>
      <c r="R381" s="19">
        <v>0</v>
      </c>
      <c r="S381" s="19">
        <v>0</v>
      </c>
      <c r="T381" s="19">
        <v>0</v>
      </c>
      <c r="U381" s="19">
        <v>0</v>
      </c>
      <c r="V381" s="19">
        <v>0</v>
      </c>
      <c r="W381" s="19">
        <v>0</v>
      </c>
      <c r="X381" s="19">
        <v>0</v>
      </c>
      <c r="Y381" s="19">
        <v>0</v>
      </c>
      <c r="Z381" s="19">
        <v>0</v>
      </c>
      <c r="AA381" s="19">
        <v>0</v>
      </c>
      <c r="AB381" s="19">
        <v>0</v>
      </c>
      <c r="AC381" s="19">
        <v>0</v>
      </c>
      <c r="AD381" s="19">
        <v>0</v>
      </c>
      <c r="AE381" s="19">
        <v>0</v>
      </c>
      <c r="AF381" s="19">
        <v>0</v>
      </c>
      <c r="AG381" s="19">
        <v>0</v>
      </c>
      <c r="AH381" s="19">
        <v>0</v>
      </c>
      <c r="AI381" s="19">
        <v>0</v>
      </c>
      <c r="AJ381" s="19">
        <v>0</v>
      </c>
      <c r="AK381" s="19">
        <v>0</v>
      </c>
      <c r="AL381" s="19">
        <v>0</v>
      </c>
      <c r="AM381" s="19">
        <v>0</v>
      </c>
      <c r="AN381" s="19">
        <v>0</v>
      </c>
      <c r="AO381" s="19">
        <v>0</v>
      </c>
      <c r="AP381" s="19">
        <v>0</v>
      </c>
      <c r="AQ381" s="19">
        <v>0</v>
      </c>
      <c r="AR381" s="19">
        <v>0</v>
      </c>
      <c r="AS381" s="19">
        <v>0</v>
      </c>
      <c r="AT381" s="19">
        <v>0</v>
      </c>
      <c r="AU381" s="19">
        <v>0</v>
      </c>
      <c r="AV381" s="19">
        <v>0</v>
      </c>
      <c r="AW381" s="19">
        <v>0</v>
      </c>
      <c r="AX381" s="19">
        <v>0</v>
      </c>
      <c r="AY381" s="19">
        <v>0</v>
      </c>
      <c r="AZ381" s="19">
        <v>0</v>
      </c>
      <c r="BA381" s="19">
        <v>0</v>
      </c>
      <c r="BB381" s="19">
        <v>0</v>
      </c>
      <c r="BC381" s="19">
        <v>0</v>
      </c>
      <c r="BD381" s="19">
        <v>0</v>
      </c>
      <c r="BE381" s="19">
        <v>0</v>
      </c>
      <c r="BF381" s="19">
        <v>0</v>
      </c>
      <c r="BG381" s="19">
        <v>0</v>
      </c>
      <c r="BH381" s="19">
        <v>0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0</v>
      </c>
      <c r="BY381" s="19">
        <v>0</v>
      </c>
      <c r="BZ381" s="19">
        <v>0</v>
      </c>
      <c r="CA381" s="19">
        <v>0</v>
      </c>
      <c r="CB381" s="19">
        <v>0</v>
      </c>
      <c r="CC381" s="19">
        <v>0</v>
      </c>
      <c r="CD381" s="19">
        <v>0</v>
      </c>
      <c r="CE381" s="19">
        <v>0</v>
      </c>
      <c r="CF381" s="19">
        <v>0</v>
      </c>
      <c r="CG381" s="19">
        <v>312.99130434782597</v>
      </c>
      <c r="CH381" s="19">
        <v>6</v>
      </c>
      <c r="CI381" s="19">
        <v>52.165217391304402</v>
      </c>
      <c r="CJ381" s="19">
        <v>1</v>
      </c>
      <c r="CK381" s="19">
        <v>52.165217391304402</v>
      </c>
      <c r="CL381" s="19">
        <v>1</v>
      </c>
      <c r="CM381" s="19">
        <v>365.15652173913003</v>
      </c>
      <c r="CN381" s="19">
        <v>7</v>
      </c>
      <c r="CO381" s="19">
        <v>156.49565217391299</v>
      </c>
      <c r="CP381" s="19">
        <v>3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  <c r="DG381" s="19">
        <v>0</v>
      </c>
      <c r="DH381" s="19">
        <v>0</v>
      </c>
      <c r="DI381" s="19">
        <v>0</v>
      </c>
      <c r="DJ381" s="19">
        <v>0</v>
      </c>
      <c r="DK381" s="19">
        <v>0</v>
      </c>
      <c r="DL381" s="19">
        <v>0</v>
      </c>
      <c r="DM381" s="19">
        <v>0</v>
      </c>
      <c r="DN381" s="19">
        <v>0</v>
      </c>
      <c r="DO381" s="19">
        <v>0</v>
      </c>
      <c r="DP381" s="19">
        <v>0</v>
      </c>
      <c r="DQ381" s="19">
        <v>0</v>
      </c>
      <c r="DR381" s="19">
        <v>0</v>
      </c>
      <c r="DS381" s="19">
        <v>0</v>
      </c>
      <c r="DT381" s="19">
        <v>0</v>
      </c>
      <c r="DU381" s="19">
        <v>0</v>
      </c>
      <c r="DV381" s="19">
        <v>0</v>
      </c>
      <c r="DW381" s="19">
        <v>0</v>
      </c>
      <c r="DX381" s="19">
        <v>0</v>
      </c>
      <c r="DY381" s="19">
        <v>0</v>
      </c>
      <c r="DZ381" s="19">
        <v>0</v>
      </c>
      <c r="EA381" s="19">
        <v>0</v>
      </c>
      <c r="EB381" s="19">
        <v>0</v>
      </c>
      <c r="EC381" s="19">
        <v>0</v>
      </c>
      <c r="ED381" s="19">
        <v>0</v>
      </c>
      <c r="EE381" s="19">
        <v>0</v>
      </c>
      <c r="EF381" s="19">
        <v>0</v>
      </c>
      <c r="EG381" s="19">
        <v>0</v>
      </c>
      <c r="EH381" s="19">
        <v>0</v>
      </c>
      <c r="EI381" s="19">
        <v>0</v>
      </c>
      <c r="EJ381" s="19">
        <v>0</v>
      </c>
      <c r="EK381" s="19">
        <v>0</v>
      </c>
      <c r="EL381" s="19">
        <v>0</v>
      </c>
      <c r="EM381" s="19">
        <v>0</v>
      </c>
      <c r="EN381" s="19">
        <v>0</v>
      </c>
      <c r="EO381" s="19">
        <v>0</v>
      </c>
      <c r="EP381" s="19">
        <v>0</v>
      </c>
      <c r="EQ381" s="19">
        <v>0</v>
      </c>
      <c r="ER381" s="19">
        <v>0</v>
      </c>
      <c r="ES381" s="119">
        <v>0</v>
      </c>
      <c r="ET381" s="119">
        <v>0</v>
      </c>
    </row>
    <row r="382" spans="1:150" ht="16.5" customHeight="1" x14ac:dyDescent="0.35">
      <c r="A382" s="4">
        <v>215</v>
      </c>
      <c r="B382" s="4" t="str">
        <f>LOOKUP(A382,Lookup!$A$1:$A$34,Lookup!$B$1:$B$34)</f>
        <v>BUTCHERY SNOEK</v>
      </c>
      <c r="C382" s="5">
        <v>43008</v>
      </c>
      <c r="D382" s="6" t="s">
        <v>363</v>
      </c>
      <c r="E382" s="18">
        <v>0</v>
      </c>
      <c r="F382" s="18">
        <v>0</v>
      </c>
      <c r="G382" s="18">
        <v>0</v>
      </c>
      <c r="H382" s="18">
        <v>0</v>
      </c>
      <c r="I382" s="19">
        <v>0</v>
      </c>
      <c r="J382" s="19">
        <v>0</v>
      </c>
      <c r="K382" s="19">
        <v>0</v>
      </c>
      <c r="L382" s="19">
        <v>0</v>
      </c>
      <c r="M382" s="19">
        <v>0</v>
      </c>
      <c r="N382" s="19">
        <v>0</v>
      </c>
      <c r="O382" s="19">
        <v>0</v>
      </c>
      <c r="P382" s="19">
        <v>0</v>
      </c>
      <c r="Q382" s="19">
        <v>0</v>
      </c>
      <c r="R382" s="19">
        <v>0</v>
      </c>
      <c r="S382" s="19">
        <v>0</v>
      </c>
      <c r="T382" s="19">
        <v>0</v>
      </c>
      <c r="U382" s="19">
        <v>0</v>
      </c>
      <c r="V382" s="19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19">
        <v>0</v>
      </c>
      <c r="AC382" s="19">
        <v>0</v>
      </c>
      <c r="AD382" s="19">
        <v>0</v>
      </c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0</v>
      </c>
      <c r="AX382" s="19">
        <v>0</v>
      </c>
      <c r="AY382" s="19">
        <v>0</v>
      </c>
      <c r="AZ382" s="19">
        <v>0</v>
      </c>
      <c r="BA382" s="19">
        <v>0</v>
      </c>
      <c r="BB382" s="19">
        <v>0</v>
      </c>
      <c r="BC382" s="19">
        <v>0</v>
      </c>
      <c r="BD382" s="19">
        <v>0</v>
      </c>
      <c r="BE382" s="19">
        <v>0</v>
      </c>
      <c r="BF382" s="19">
        <v>0</v>
      </c>
      <c r="BG382" s="19">
        <v>0</v>
      </c>
      <c r="BH382" s="19">
        <v>0</v>
      </c>
      <c r="BI382" s="19">
        <v>0</v>
      </c>
      <c r="BJ382" s="19">
        <v>0</v>
      </c>
      <c r="BK382" s="19">
        <v>0</v>
      </c>
      <c r="BL382" s="19">
        <v>0</v>
      </c>
      <c r="BM382" s="19">
        <v>0</v>
      </c>
      <c r="BN382" s="19">
        <v>0</v>
      </c>
      <c r="BO382" s="19">
        <v>0</v>
      </c>
      <c r="BP382" s="19">
        <v>0</v>
      </c>
      <c r="BQ382" s="19">
        <v>0</v>
      </c>
      <c r="BR382" s="19">
        <v>0</v>
      </c>
      <c r="BS382" s="19">
        <v>0</v>
      </c>
      <c r="BT382" s="19">
        <v>0</v>
      </c>
      <c r="BU382" s="19">
        <v>0</v>
      </c>
      <c r="BV382" s="19">
        <v>0</v>
      </c>
      <c r="BW382" s="19">
        <v>0</v>
      </c>
      <c r="BX382" s="19">
        <v>0</v>
      </c>
      <c r="BY382" s="19">
        <v>0</v>
      </c>
      <c r="BZ382" s="19">
        <v>0</v>
      </c>
      <c r="CA382" s="19">
        <v>0</v>
      </c>
      <c r="CB382" s="19">
        <v>0</v>
      </c>
      <c r="CC382" s="19">
        <v>0</v>
      </c>
      <c r="CD382" s="19">
        <v>0</v>
      </c>
      <c r="CE382" s="19">
        <v>0</v>
      </c>
      <c r="CF382" s="19">
        <v>0</v>
      </c>
      <c r="CG382" s="19">
        <v>0</v>
      </c>
      <c r="CH382" s="19">
        <v>0</v>
      </c>
      <c r="CI382" s="19">
        <v>0</v>
      </c>
      <c r="CJ382" s="19">
        <v>0</v>
      </c>
      <c r="CK382" s="19">
        <v>0</v>
      </c>
      <c r="CL382" s="19">
        <v>0</v>
      </c>
      <c r="CM382" s="19">
        <v>0</v>
      </c>
      <c r="CN382" s="19">
        <v>0</v>
      </c>
      <c r="CO382" s="19">
        <v>0</v>
      </c>
      <c r="CP382" s="19">
        <v>0</v>
      </c>
      <c r="CQ382" s="19">
        <v>0</v>
      </c>
      <c r="CR382" s="19">
        <v>0</v>
      </c>
      <c r="CS382" s="19">
        <v>0</v>
      </c>
      <c r="CT382" s="19">
        <v>0</v>
      </c>
      <c r="CU382" s="19">
        <v>0</v>
      </c>
      <c r="CV382" s="19">
        <v>0</v>
      </c>
      <c r="CW382" s="19">
        <v>0</v>
      </c>
      <c r="CX382" s="19">
        <v>0</v>
      </c>
      <c r="CY382" s="19">
        <v>0</v>
      </c>
      <c r="CZ382" s="19">
        <v>0</v>
      </c>
      <c r="DA382" s="19">
        <v>0</v>
      </c>
      <c r="DB382" s="19">
        <v>0</v>
      </c>
      <c r="DC382" s="19">
        <v>0</v>
      </c>
      <c r="DD382" s="19">
        <v>0</v>
      </c>
      <c r="DE382" s="19">
        <v>0</v>
      </c>
      <c r="DF382" s="19">
        <v>0</v>
      </c>
      <c r="DG382" s="19">
        <v>0</v>
      </c>
      <c r="DH382" s="19">
        <v>0</v>
      </c>
      <c r="DI382" s="19">
        <v>0</v>
      </c>
      <c r="DJ382" s="19">
        <v>0</v>
      </c>
      <c r="DK382" s="19">
        <v>0</v>
      </c>
      <c r="DL382" s="19">
        <v>0</v>
      </c>
      <c r="DM382" s="19">
        <v>0</v>
      </c>
      <c r="DN382" s="19">
        <v>0</v>
      </c>
      <c r="DO382" s="19">
        <v>0</v>
      </c>
      <c r="DP382" s="19">
        <v>0</v>
      </c>
      <c r="DQ382" s="19">
        <v>0</v>
      </c>
      <c r="DR382" s="19">
        <v>0</v>
      </c>
      <c r="DS382" s="19">
        <v>0</v>
      </c>
      <c r="DT382" s="19">
        <v>0</v>
      </c>
      <c r="DU382" s="19">
        <v>0</v>
      </c>
      <c r="DV382" s="19">
        <v>0</v>
      </c>
      <c r="DW382" s="19">
        <v>0</v>
      </c>
      <c r="DX382" s="19">
        <v>0</v>
      </c>
      <c r="DY382" s="19">
        <v>0</v>
      </c>
      <c r="DZ382" s="19">
        <v>0</v>
      </c>
      <c r="EA382" s="19">
        <v>0</v>
      </c>
      <c r="EB382" s="19">
        <v>0</v>
      </c>
      <c r="EC382" s="19">
        <v>0</v>
      </c>
      <c r="ED382" s="19">
        <v>0</v>
      </c>
      <c r="EE382" s="19">
        <v>0</v>
      </c>
      <c r="EF382" s="19">
        <v>0</v>
      </c>
      <c r="EG382" s="19">
        <v>0</v>
      </c>
      <c r="EH382" s="19">
        <v>0</v>
      </c>
      <c r="EI382" s="19">
        <v>0</v>
      </c>
      <c r="EJ382" s="19">
        <v>0</v>
      </c>
      <c r="EK382" s="19">
        <v>0</v>
      </c>
      <c r="EL382" s="19">
        <v>0</v>
      </c>
      <c r="EM382" s="19">
        <v>0</v>
      </c>
      <c r="EN382" s="19">
        <v>0</v>
      </c>
      <c r="EO382" s="19">
        <v>0</v>
      </c>
      <c r="EP382" s="19">
        <v>0</v>
      </c>
      <c r="EQ382" s="19">
        <v>0</v>
      </c>
      <c r="ER382" s="19">
        <v>0</v>
      </c>
      <c r="ES382" s="119">
        <v>0</v>
      </c>
      <c r="ET382" s="119">
        <v>0</v>
      </c>
    </row>
    <row r="383" spans="1:150" ht="16.5" customHeight="1" x14ac:dyDescent="0.35">
      <c r="A383" s="4">
        <v>215</v>
      </c>
      <c r="B383" s="4" t="str">
        <f>LOOKUP(A383,Lookup!$A$1:$A$34,Lookup!$B$1:$B$34)</f>
        <v>BUTCHERY SNOEK</v>
      </c>
      <c r="C383" s="5">
        <v>43941</v>
      </c>
      <c r="D383" s="6" t="s">
        <v>364</v>
      </c>
      <c r="E383" s="18">
        <v>484.486589099816</v>
      </c>
      <c r="F383" s="18">
        <v>5.4509999999999996</v>
      </c>
      <c r="G383" s="18">
        <v>34398.547826087</v>
      </c>
      <c r="H383" s="18">
        <v>386.995</v>
      </c>
      <c r="I383" s="19">
        <v>0</v>
      </c>
      <c r="J383" s="19">
        <v>0</v>
      </c>
      <c r="K383" s="19">
        <v>0</v>
      </c>
      <c r="L383" s="19">
        <v>0</v>
      </c>
      <c r="M383" s="19">
        <v>0</v>
      </c>
      <c r="N383" s="19">
        <v>0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555.6</v>
      </c>
      <c r="Z383" s="19">
        <v>5.6520000000000001</v>
      </c>
      <c r="AA383" s="19">
        <v>571.46956521739105</v>
      </c>
      <c r="AB383" s="19">
        <v>5.4770000000000003</v>
      </c>
      <c r="AC383" s="19">
        <v>450.95652173912998</v>
      </c>
      <c r="AD383" s="19">
        <v>4.3220000000000001</v>
      </c>
      <c r="AE383" s="19">
        <v>1423.8260869565199</v>
      </c>
      <c r="AF383" s="19">
        <v>13.646000000000001</v>
      </c>
      <c r="AG383" s="19">
        <v>504.37391304347801</v>
      </c>
      <c r="AH383" s="19">
        <v>4.8339999999999996</v>
      </c>
      <c r="AI383" s="19">
        <v>1242.25217391304</v>
      </c>
      <c r="AJ383" s="19">
        <v>11.906000000000001</v>
      </c>
      <c r="AK383" s="19">
        <v>1218.25217391304</v>
      </c>
      <c r="AL383" s="19">
        <v>11.676</v>
      </c>
      <c r="AM383" s="19">
        <v>5247.1391304347799</v>
      </c>
      <c r="AN383" s="19">
        <v>54.564</v>
      </c>
      <c r="AO383" s="19">
        <v>205.96521739130401</v>
      </c>
      <c r="AP383" s="19">
        <v>1.974</v>
      </c>
      <c r="AQ383" s="19">
        <v>192.33043478260899</v>
      </c>
      <c r="AR383" s="19">
        <v>1.843</v>
      </c>
      <c r="AS383" s="19">
        <v>268.77391304347799</v>
      </c>
      <c r="AT383" s="19">
        <v>2.5760000000000001</v>
      </c>
      <c r="AU383" s="19">
        <v>90.3565217391304</v>
      </c>
      <c r="AV383" s="19">
        <v>0.86599999999999999</v>
      </c>
      <c r="AW383" s="19">
        <v>260.00869565217403</v>
      </c>
      <c r="AX383" s="19">
        <v>2.492</v>
      </c>
      <c r="AY383" s="19">
        <v>371.06086956521699</v>
      </c>
      <c r="AZ383" s="19">
        <v>3.556</v>
      </c>
      <c r="BA383" s="19">
        <v>291.10434782608701</v>
      </c>
      <c r="BB383" s="19">
        <v>2.79</v>
      </c>
      <c r="BC383" s="19">
        <v>103.713043478261</v>
      </c>
      <c r="BD383" s="19">
        <v>0.99399999999999999</v>
      </c>
      <c r="BE383" s="19">
        <v>341.18260869565199</v>
      </c>
      <c r="BF383" s="19">
        <v>3.27</v>
      </c>
      <c r="BG383" s="19">
        <v>104.130434782609</v>
      </c>
      <c r="BH383" s="19">
        <v>1.089</v>
      </c>
      <c r="BI383" s="19">
        <v>430.70434782608697</v>
      </c>
      <c r="BJ383" s="19">
        <v>4.5039999999999996</v>
      </c>
      <c r="BK383" s="19">
        <v>144.80000000000001</v>
      </c>
      <c r="BL383" s="19">
        <v>1.514</v>
      </c>
      <c r="BM383" s="19">
        <v>244.84347826087</v>
      </c>
      <c r="BN383" s="19">
        <v>2.56</v>
      </c>
      <c r="BO383" s="19">
        <v>239.295652173913</v>
      </c>
      <c r="BP383" s="19">
        <v>2.5019999999999998</v>
      </c>
      <c r="BQ383" s="19">
        <v>0</v>
      </c>
      <c r="BR383" s="19">
        <v>0</v>
      </c>
      <c r="BS383" s="19">
        <v>233.55652173913001</v>
      </c>
      <c r="BT383" s="19">
        <v>2.4420000000000002</v>
      </c>
      <c r="BU383" s="19">
        <v>232.79130434782601</v>
      </c>
      <c r="BV383" s="19">
        <v>2.4340000000000002</v>
      </c>
      <c r="BW383" s="19">
        <v>241.591304347826</v>
      </c>
      <c r="BX383" s="19">
        <v>2.5259999999999998</v>
      </c>
      <c r="BY383" s="19">
        <v>0</v>
      </c>
      <c r="BZ383" s="19">
        <v>0</v>
      </c>
      <c r="CA383" s="19">
        <v>0</v>
      </c>
      <c r="CB383" s="19">
        <v>0</v>
      </c>
      <c r="CC383" s="19">
        <v>80.147826086956499</v>
      </c>
      <c r="CD383" s="19">
        <v>0.83799999999999997</v>
      </c>
      <c r="CE383" s="19">
        <v>0</v>
      </c>
      <c r="CF383" s="19">
        <v>0</v>
      </c>
      <c r="CG383" s="19">
        <v>0</v>
      </c>
      <c r="CH383" s="19">
        <v>0</v>
      </c>
      <c r="CI383" s="19">
        <v>0</v>
      </c>
      <c r="CJ383" s="19">
        <v>0</v>
      </c>
      <c r="CK383" s="19">
        <v>0</v>
      </c>
      <c r="CL383" s="19">
        <v>0</v>
      </c>
      <c r="CM383" s="19">
        <v>152.50434782608701</v>
      </c>
      <c r="CN383" s="19">
        <v>1.754</v>
      </c>
      <c r="CO383" s="19">
        <v>935.19130434782596</v>
      </c>
      <c r="CP383" s="19">
        <v>10.756</v>
      </c>
      <c r="CQ383" s="19">
        <v>457.68695652173898</v>
      </c>
      <c r="CR383" s="19">
        <v>5.2640000000000002</v>
      </c>
      <c r="CS383" s="19">
        <v>921.99130434782603</v>
      </c>
      <c r="CT383" s="19">
        <v>11.13</v>
      </c>
      <c r="CU383" s="19">
        <v>347.121739130435</v>
      </c>
      <c r="CV383" s="19">
        <v>4.4359999999999999</v>
      </c>
      <c r="CW383" s="19">
        <v>70.269565217391303</v>
      </c>
      <c r="CX383" s="19">
        <v>0.80800000000000005</v>
      </c>
      <c r="CY383" s="19">
        <v>1203.3304347826099</v>
      </c>
      <c r="CZ383" s="19">
        <v>13.84</v>
      </c>
      <c r="DA383" s="19">
        <v>388.49565217391302</v>
      </c>
      <c r="DB383" s="19">
        <v>4.4690000000000003</v>
      </c>
      <c r="DC383" s="19">
        <v>393.64347826086998</v>
      </c>
      <c r="DD383" s="19">
        <v>4.5270000000000001</v>
      </c>
      <c r="DE383" s="19">
        <v>0</v>
      </c>
      <c r="DF383" s="19">
        <v>0</v>
      </c>
      <c r="DG383" s="19">
        <v>555.06956521739096</v>
      </c>
      <c r="DH383" s="19">
        <v>6.3840000000000003</v>
      </c>
      <c r="DI383" s="19">
        <v>0</v>
      </c>
      <c r="DJ383" s="19">
        <v>0</v>
      </c>
      <c r="DK383" s="19">
        <v>572.11304347826103</v>
      </c>
      <c r="DL383" s="19">
        <v>6.58</v>
      </c>
      <c r="DM383" s="19">
        <v>347.44347826086999</v>
      </c>
      <c r="DN383" s="19">
        <v>3.996</v>
      </c>
      <c r="DO383" s="19">
        <v>1265.98260869565</v>
      </c>
      <c r="DP383" s="19">
        <v>14.56</v>
      </c>
      <c r="DQ383" s="19">
        <v>0</v>
      </c>
      <c r="DR383" s="19">
        <v>0</v>
      </c>
      <c r="DS383" s="19">
        <v>316.66956521739098</v>
      </c>
      <c r="DT383" s="19">
        <v>3.6419999999999999</v>
      </c>
      <c r="DU383" s="19">
        <v>399.44347826086999</v>
      </c>
      <c r="DV383" s="19">
        <v>4.5940000000000003</v>
      </c>
      <c r="DW383" s="19">
        <v>808.63478260869601</v>
      </c>
      <c r="DX383" s="19">
        <v>9.9640000000000004</v>
      </c>
      <c r="DY383" s="19">
        <v>658.573913043478</v>
      </c>
      <c r="DZ383" s="19">
        <v>8.4160000000000004</v>
      </c>
      <c r="EA383" s="19">
        <v>563.426086956522</v>
      </c>
      <c r="EB383" s="19">
        <v>7.2</v>
      </c>
      <c r="EC383" s="19">
        <v>437.74782608695699</v>
      </c>
      <c r="ED383" s="19">
        <v>5.5940000000000003</v>
      </c>
      <c r="EE383" s="19">
        <v>331.00869565217403</v>
      </c>
      <c r="EF383" s="19">
        <v>4.2300000000000004</v>
      </c>
      <c r="EG383" s="19">
        <v>1473.94782608696</v>
      </c>
      <c r="EH383" s="19">
        <v>18.835999999999999</v>
      </c>
      <c r="EI383" s="19">
        <v>4289.5913043478304</v>
      </c>
      <c r="EJ383" s="19">
        <v>54.817999999999998</v>
      </c>
      <c r="EK383" s="19">
        <v>489.22608695652201</v>
      </c>
      <c r="EL383" s="19">
        <v>6.2519999999999998</v>
      </c>
      <c r="EM383" s="19">
        <v>392.66956521739098</v>
      </c>
      <c r="EN383" s="19">
        <v>5.0179999999999998</v>
      </c>
      <c r="EO383" s="19">
        <v>514.73913043478296</v>
      </c>
      <c r="EP383" s="19">
        <v>6.5780000000000003</v>
      </c>
      <c r="EQ383" s="19">
        <v>517.24347826086898</v>
      </c>
      <c r="ER383" s="19">
        <v>6.61</v>
      </c>
      <c r="ES383" s="119">
        <v>304.55652173913001</v>
      </c>
      <c r="ET383" s="119">
        <v>3.8919999999999999</v>
      </c>
    </row>
    <row r="384" spans="1:150" ht="16.5" customHeight="1" x14ac:dyDescent="0.35">
      <c r="A384" s="4">
        <v>215</v>
      </c>
      <c r="B384" s="4" t="str">
        <f>LOOKUP(A384,Lookup!$A$1:$A$34,Lookup!$B$1:$B$34)</f>
        <v>BUTCHERY SNOEK</v>
      </c>
      <c r="C384" s="5">
        <v>51065</v>
      </c>
      <c r="D384" s="6" t="s">
        <v>365</v>
      </c>
      <c r="E384" s="18">
        <v>0</v>
      </c>
      <c r="F384" s="18">
        <v>0</v>
      </c>
      <c r="G384" s="18">
        <v>0</v>
      </c>
      <c r="H384" s="18">
        <v>0</v>
      </c>
      <c r="I384" s="19">
        <v>0</v>
      </c>
      <c r="J384" s="19">
        <v>0</v>
      </c>
      <c r="K384" s="19">
        <v>0</v>
      </c>
      <c r="L384" s="19">
        <v>0</v>
      </c>
      <c r="M384" s="19">
        <v>0</v>
      </c>
      <c r="N384" s="19">
        <v>0</v>
      </c>
      <c r="O384" s="19">
        <v>0</v>
      </c>
      <c r="P384" s="19">
        <v>0</v>
      </c>
      <c r="Q384" s="19">
        <v>0</v>
      </c>
      <c r="R384" s="19">
        <v>0</v>
      </c>
      <c r="S384" s="19">
        <v>0</v>
      </c>
      <c r="T384" s="19">
        <v>0</v>
      </c>
      <c r="U384" s="19">
        <v>0</v>
      </c>
      <c r="V384" s="19">
        <v>0</v>
      </c>
      <c r="W384" s="19">
        <v>0</v>
      </c>
      <c r="X384" s="19">
        <v>0</v>
      </c>
      <c r="Y384" s="19">
        <v>0</v>
      </c>
      <c r="Z384" s="19">
        <v>0</v>
      </c>
      <c r="AA384" s="19">
        <v>0</v>
      </c>
      <c r="AB384" s="19">
        <v>0</v>
      </c>
      <c r="AC384" s="19">
        <v>0</v>
      </c>
      <c r="AD384" s="19">
        <v>0</v>
      </c>
      <c r="AE384" s="19">
        <v>0</v>
      </c>
      <c r="AF384" s="19">
        <v>0</v>
      </c>
      <c r="AG384" s="19">
        <v>0</v>
      </c>
      <c r="AH384" s="19">
        <v>0</v>
      </c>
      <c r="AI384" s="19">
        <v>0</v>
      </c>
      <c r="AJ384" s="19">
        <v>0</v>
      </c>
      <c r="AK384" s="19">
        <v>0</v>
      </c>
      <c r="AL384" s="19">
        <v>0</v>
      </c>
      <c r="AM384" s="19">
        <v>0</v>
      </c>
      <c r="AN384" s="19">
        <v>0</v>
      </c>
      <c r="AO384" s="19">
        <v>0</v>
      </c>
      <c r="AP384" s="19">
        <v>0</v>
      </c>
      <c r="AQ384" s="19">
        <v>0</v>
      </c>
      <c r="AR384" s="19">
        <v>0</v>
      </c>
      <c r="AS384" s="19">
        <v>0</v>
      </c>
      <c r="AT384" s="19">
        <v>0</v>
      </c>
      <c r="AU384" s="19">
        <v>0</v>
      </c>
      <c r="AV384" s="19">
        <v>0</v>
      </c>
      <c r="AW384" s="19">
        <v>0</v>
      </c>
      <c r="AX384" s="19">
        <v>0</v>
      </c>
      <c r="AY384" s="19">
        <v>0</v>
      </c>
      <c r="AZ384" s="19">
        <v>0</v>
      </c>
      <c r="BA384" s="19">
        <v>0</v>
      </c>
      <c r="BB384" s="19">
        <v>0</v>
      </c>
      <c r="BC384" s="19">
        <v>0</v>
      </c>
      <c r="BD384" s="19">
        <v>0</v>
      </c>
      <c r="BE384" s="19">
        <v>0</v>
      </c>
      <c r="BF384" s="19">
        <v>0</v>
      </c>
      <c r="BG384" s="19">
        <v>0</v>
      </c>
      <c r="BH384" s="19">
        <v>0</v>
      </c>
      <c r="BI384" s="19">
        <v>0</v>
      </c>
      <c r="BJ384" s="19">
        <v>0</v>
      </c>
      <c r="BK384" s="19">
        <v>0</v>
      </c>
      <c r="BL384" s="19">
        <v>0</v>
      </c>
      <c r="BM384" s="19">
        <v>0</v>
      </c>
      <c r="BN384" s="19">
        <v>0</v>
      </c>
      <c r="BO384" s="19">
        <v>0</v>
      </c>
      <c r="BP384" s="19">
        <v>0</v>
      </c>
      <c r="BQ384" s="19">
        <v>0</v>
      </c>
      <c r="BR384" s="19">
        <v>0</v>
      </c>
      <c r="BS384" s="19">
        <v>0</v>
      </c>
      <c r="BT384" s="19">
        <v>0</v>
      </c>
      <c r="BU384" s="19">
        <v>0</v>
      </c>
      <c r="BV384" s="19">
        <v>0</v>
      </c>
      <c r="BW384" s="19">
        <v>0</v>
      </c>
      <c r="BX384" s="19">
        <v>0</v>
      </c>
      <c r="BY384" s="19">
        <v>0</v>
      </c>
      <c r="BZ384" s="19">
        <v>0</v>
      </c>
      <c r="CA384" s="19">
        <v>0</v>
      </c>
      <c r="CB384" s="19">
        <v>0</v>
      </c>
      <c r="CC384" s="19">
        <v>0</v>
      </c>
      <c r="CD384" s="19">
        <v>0</v>
      </c>
      <c r="CE384" s="19">
        <v>0</v>
      </c>
      <c r="CF384" s="19">
        <v>0</v>
      </c>
      <c r="CG384" s="19">
        <v>0</v>
      </c>
      <c r="CH384" s="19">
        <v>0</v>
      </c>
      <c r="CI384" s="19">
        <v>0</v>
      </c>
      <c r="CJ384" s="19">
        <v>0</v>
      </c>
      <c r="CK384" s="19">
        <v>0</v>
      </c>
      <c r="CL384" s="19">
        <v>0</v>
      </c>
      <c r="CM384" s="19">
        <v>0</v>
      </c>
      <c r="CN384" s="19">
        <v>0</v>
      </c>
      <c r="CO384" s="19">
        <v>0</v>
      </c>
      <c r="CP384" s="19">
        <v>0</v>
      </c>
      <c r="CQ384" s="19">
        <v>0</v>
      </c>
      <c r="CR384" s="19">
        <v>0</v>
      </c>
      <c r="CS384" s="19">
        <v>0</v>
      </c>
      <c r="CT384" s="19">
        <v>0</v>
      </c>
      <c r="CU384" s="19">
        <v>0</v>
      </c>
      <c r="CV384" s="19">
        <v>0</v>
      </c>
      <c r="CW384" s="19">
        <v>0</v>
      </c>
      <c r="CX384" s="19">
        <v>0</v>
      </c>
      <c r="CY384" s="19">
        <v>0</v>
      </c>
      <c r="CZ384" s="19">
        <v>0</v>
      </c>
      <c r="DA384" s="19">
        <v>0</v>
      </c>
      <c r="DB384" s="19">
        <v>0</v>
      </c>
      <c r="DC384" s="19">
        <v>0</v>
      </c>
      <c r="DD384" s="19">
        <v>0</v>
      </c>
      <c r="DE384" s="19">
        <v>0</v>
      </c>
      <c r="DF384" s="19">
        <v>0</v>
      </c>
      <c r="DG384" s="19">
        <v>0</v>
      </c>
      <c r="DH384" s="19">
        <v>0</v>
      </c>
      <c r="DI384" s="19">
        <v>0</v>
      </c>
      <c r="DJ384" s="19">
        <v>0</v>
      </c>
      <c r="DK384" s="19">
        <v>0</v>
      </c>
      <c r="DL384" s="19">
        <v>0</v>
      </c>
      <c r="DM384" s="19">
        <v>0</v>
      </c>
      <c r="DN384" s="19">
        <v>0</v>
      </c>
      <c r="DO384" s="19">
        <v>0</v>
      </c>
      <c r="DP384" s="19">
        <v>0</v>
      </c>
      <c r="DQ384" s="19">
        <v>0</v>
      </c>
      <c r="DR384" s="19">
        <v>0</v>
      </c>
      <c r="DS384" s="19">
        <v>0</v>
      </c>
      <c r="DT384" s="19">
        <v>0</v>
      </c>
      <c r="DU384" s="19">
        <v>0</v>
      </c>
      <c r="DV384" s="19">
        <v>0</v>
      </c>
      <c r="DW384" s="19">
        <v>0</v>
      </c>
      <c r="DX384" s="19">
        <v>0</v>
      </c>
      <c r="DY384" s="19">
        <v>0</v>
      </c>
      <c r="DZ384" s="19">
        <v>0</v>
      </c>
      <c r="EA384" s="19">
        <v>0</v>
      </c>
      <c r="EB384" s="19">
        <v>0</v>
      </c>
      <c r="EC384" s="19">
        <v>0</v>
      </c>
      <c r="ED384" s="19">
        <v>0</v>
      </c>
      <c r="EE384" s="19">
        <v>0</v>
      </c>
      <c r="EF384" s="19">
        <v>0</v>
      </c>
      <c r="EG384" s="19">
        <v>0</v>
      </c>
      <c r="EH384" s="19">
        <v>0</v>
      </c>
      <c r="EI384" s="19">
        <v>0</v>
      </c>
      <c r="EJ384" s="19">
        <v>0</v>
      </c>
      <c r="EK384" s="19">
        <v>0</v>
      </c>
      <c r="EL384" s="19">
        <v>0</v>
      </c>
      <c r="EM384" s="19">
        <v>0</v>
      </c>
      <c r="EN384" s="19">
        <v>0</v>
      </c>
      <c r="EO384" s="19">
        <v>0</v>
      </c>
      <c r="EP384" s="19">
        <v>0</v>
      </c>
      <c r="EQ384" s="19">
        <v>0</v>
      </c>
      <c r="ER384" s="19">
        <v>0</v>
      </c>
      <c r="ES384" s="119">
        <v>0</v>
      </c>
      <c r="ET384" s="119">
        <v>0</v>
      </c>
    </row>
    <row r="385" spans="1:150" ht="16.5" customHeight="1" x14ac:dyDescent="0.35">
      <c r="A385" s="4">
        <v>215</v>
      </c>
      <c r="B385" s="4" t="str">
        <f>LOOKUP(A385,Lookup!$A$1:$A$34,Lookup!$B$1:$B$34)</f>
        <v>BUTCHERY SNOEK</v>
      </c>
      <c r="C385" s="5">
        <v>55375</v>
      </c>
      <c r="D385" s="6" t="s">
        <v>366</v>
      </c>
      <c r="E385" s="18">
        <v>5.9991426821800404</v>
      </c>
      <c r="F385" s="18">
        <v>5.0999999999999997E-2</v>
      </c>
      <c r="G385" s="18">
        <v>425.93913043478301</v>
      </c>
      <c r="H385" s="18">
        <v>3.6019999999999999</v>
      </c>
      <c r="I385" s="19">
        <v>0</v>
      </c>
      <c r="J385" s="19">
        <v>0</v>
      </c>
      <c r="K385" s="19">
        <v>0</v>
      </c>
      <c r="L385" s="19">
        <v>0</v>
      </c>
      <c r="M385" s="19">
        <v>0</v>
      </c>
      <c r="N385" s="19">
        <v>0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425.93913043478301</v>
      </c>
      <c r="Z385" s="19">
        <v>3.6019999999999999</v>
      </c>
      <c r="AA385" s="19">
        <v>0</v>
      </c>
      <c r="AB385" s="19">
        <v>0</v>
      </c>
      <c r="AC385" s="19">
        <v>0</v>
      </c>
      <c r="AD385" s="19">
        <v>0</v>
      </c>
      <c r="AE385" s="19">
        <v>0</v>
      </c>
      <c r="AF385" s="19">
        <v>0</v>
      </c>
      <c r="AG385" s="19">
        <v>0</v>
      </c>
      <c r="AH385" s="19">
        <v>0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0</v>
      </c>
      <c r="AU385" s="19">
        <v>0</v>
      </c>
      <c r="AV385" s="19">
        <v>0</v>
      </c>
      <c r="AW385" s="19">
        <v>0</v>
      </c>
      <c r="AX385" s="19">
        <v>0</v>
      </c>
      <c r="AY385" s="19">
        <v>0</v>
      </c>
      <c r="AZ385" s="19">
        <v>0</v>
      </c>
      <c r="BA385" s="19">
        <v>0</v>
      </c>
      <c r="BB385" s="19">
        <v>0</v>
      </c>
      <c r="BC385" s="19">
        <v>0</v>
      </c>
      <c r="BD385" s="19">
        <v>0</v>
      </c>
      <c r="BE385" s="19">
        <v>0</v>
      </c>
      <c r="BF385" s="19">
        <v>0</v>
      </c>
      <c r="BG385" s="19">
        <v>0</v>
      </c>
      <c r="BH385" s="19">
        <v>0</v>
      </c>
      <c r="BI385" s="19">
        <v>0</v>
      </c>
      <c r="BJ385" s="19">
        <v>0</v>
      </c>
      <c r="BK385" s="19">
        <v>0</v>
      </c>
      <c r="BL385" s="19">
        <v>0</v>
      </c>
      <c r="BM385" s="19">
        <v>0</v>
      </c>
      <c r="BN385" s="19">
        <v>0</v>
      </c>
      <c r="BO385" s="19">
        <v>0</v>
      </c>
      <c r="BP385" s="19">
        <v>0</v>
      </c>
      <c r="BQ385" s="19">
        <v>0</v>
      </c>
      <c r="BR385" s="19">
        <v>0</v>
      </c>
      <c r="BS385" s="19">
        <v>0</v>
      </c>
      <c r="BT385" s="19">
        <v>0</v>
      </c>
      <c r="BU385" s="19">
        <v>0</v>
      </c>
      <c r="BV385" s="19">
        <v>0</v>
      </c>
      <c r="BW385" s="19">
        <v>0</v>
      </c>
      <c r="BX385" s="19">
        <v>0</v>
      </c>
      <c r="BY385" s="19">
        <v>0</v>
      </c>
      <c r="BZ385" s="19">
        <v>0</v>
      </c>
      <c r="CA385" s="19">
        <v>0</v>
      </c>
      <c r="CB385" s="19">
        <v>0</v>
      </c>
      <c r="CC385" s="19">
        <v>0</v>
      </c>
      <c r="CD385" s="19">
        <v>0</v>
      </c>
      <c r="CE385" s="19">
        <v>0</v>
      </c>
      <c r="CF385" s="19">
        <v>0</v>
      </c>
      <c r="CG385" s="19">
        <v>0</v>
      </c>
      <c r="CH385" s="19">
        <v>0</v>
      </c>
      <c r="CI385" s="19">
        <v>0</v>
      </c>
      <c r="CJ385" s="19">
        <v>0</v>
      </c>
      <c r="CK385" s="19">
        <v>0</v>
      </c>
      <c r="CL385" s="19">
        <v>0</v>
      </c>
      <c r="CM385" s="19">
        <v>0</v>
      </c>
      <c r="CN385" s="19">
        <v>0</v>
      </c>
      <c r="CO385" s="19">
        <v>0</v>
      </c>
      <c r="CP385" s="19">
        <v>0</v>
      </c>
      <c r="CQ385" s="19">
        <v>0</v>
      </c>
      <c r="CR385" s="19">
        <v>0</v>
      </c>
      <c r="CS385" s="19">
        <v>0</v>
      </c>
      <c r="CT385" s="19">
        <v>0</v>
      </c>
      <c r="CU385" s="19">
        <v>0</v>
      </c>
      <c r="CV385" s="19">
        <v>0</v>
      </c>
      <c r="CW385" s="19">
        <v>0</v>
      </c>
      <c r="CX385" s="19">
        <v>0</v>
      </c>
      <c r="CY385" s="19">
        <v>0</v>
      </c>
      <c r="CZ385" s="19">
        <v>0</v>
      </c>
      <c r="DA385" s="19">
        <v>0</v>
      </c>
      <c r="DB385" s="19">
        <v>0</v>
      </c>
      <c r="DC385" s="19">
        <v>0</v>
      </c>
      <c r="DD385" s="19">
        <v>0</v>
      </c>
      <c r="DE385" s="19">
        <v>0</v>
      </c>
      <c r="DF385" s="19">
        <v>0</v>
      </c>
      <c r="DG385" s="19">
        <v>0</v>
      </c>
      <c r="DH385" s="19">
        <v>0</v>
      </c>
      <c r="DI385" s="19">
        <v>0</v>
      </c>
      <c r="DJ385" s="19">
        <v>0</v>
      </c>
      <c r="DK385" s="19">
        <v>0</v>
      </c>
      <c r="DL385" s="19">
        <v>0</v>
      </c>
      <c r="DM385" s="19">
        <v>0</v>
      </c>
      <c r="DN385" s="19">
        <v>0</v>
      </c>
      <c r="DO385" s="19">
        <v>0</v>
      </c>
      <c r="DP385" s="19">
        <v>0</v>
      </c>
      <c r="DQ385" s="19">
        <v>0</v>
      </c>
      <c r="DR385" s="19">
        <v>0</v>
      </c>
      <c r="DS385" s="19">
        <v>0</v>
      </c>
      <c r="DT385" s="19">
        <v>0</v>
      </c>
      <c r="DU385" s="19">
        <v>0</v>
      </c>
      <c r="DV385" s="19">
        <v>0</v>
      </c>
      <c r="DW385" s="19">
        <v>0</v>
      </c>
      <c r="DX385" s="19">
        <v>0</v>
      </c>
      <c r="DY385" s="19">
        <v>0</v>
      </c>
      <c r="DZ385" s="19">
        <v>0</v>
      </c>
      <c r="EA385" s="19">
        <v>0</v>
      </c>
      <c r="EB385" s="19">
        <v>0</v>
      </c>
      <c r="EC385" s="19">
        <v>0</v>
      </c>
      <c r="ED385" s="19">
        <v>0</v>
      </c>
      <c r="EE385" s="19">
        <v>0</v>
      </c>
      <c r="EF385" s="19">
        <v>0</v>
      </c>
      <c r="EG385" s="19">
        <v>0</v>
      </c>
      <c r="EH385" s="19">
        <v>0</v>
      </c>
      <c r="EI385" s="19">
        <v>0</v>
      </c>
      <c r="EJ385" s="19">
        <v>0</v>
      </c>
      <c r="EK385" s="19">
        <v>0</v>
      </c>
      <c r="EL385" s="19">
        <v>0</v>
      </c>
      <c r="EM385" s="19">
        <v>0</v>
      </c>
      <c r="EN385" s="19">
        <v>0</v>
      </c>
      <c r="EO385" s="19">
        <v>0</v>
      </c>
      <c r="EP385" s="19">
        <v>0</v>
      </c>
      <c r="EQ385" s="19">
        <v>0</v>
      </c>
      <c r="ER385" s="19">
        <v>0</v>
      </c>
      <c r="ES385" s="119">
        <v>0</v>
      </c>
      <c r="ET385" s="119">
        <v>0</v>
      </c>
    </row>
    <row r="386" spans="1:150" ht="16.5" customHeight="1" x14ac:dyDescent="0.35">
      <c r="A386" s="4">
        <v>216</v>
      </c>
      <c r="B386" s="4" t="str">
        <f>LOOKUP(A386,Lookup!$A$1:$A$34,Lookup!$B$1:$B$34)</f>
        <v>BUTCH  WORS/MINCE/PAT</v>
      </c>
      <c r="C386" s="5">
        <v>2728</v>
      </c>
      <c r="D386" s="6" t="s">
        <v>367</v>
      </c>
      <c r="E386" s="18">
        <v>0</v>
      </c>
      <c r="F386" s="18">
        <v>0</v>
      </c>
      <c r="G386" s="18">
        <v>0</v>
      </c>
      <c r="H386" s="18">
        <v>0</v>
      </c>
      <c r="I386" s="19">
        <v>0</v>
      </c>
      <c r="J386" s="19">
        <v>0</v>
      </c>
      <c r="K386" s="19">
        <v>0</v>
      </c>
      <c r="L386" s="19">
        <v>0</v>
      </c>
      <c r="M386" s="19">
        <v>0</v>
      </c>
      <c r="N386" s="19">
        <v>0</v>
      </c>
      <c r="O386" s="19">
        <v>0</v>
      </c>
      <c r="P386" s="19">
        <v>0</v>
      </c>
      <c r="Q386" s="19">
        <v>0</v>
      </c>
      <c r="R386" s="19">
        <v>0</v>
      </c>
      <c r="S386" s="19">
        <v>0</v>
      </c>
      <c r="T386" s="19">
        <v>0</v>
      </c>
      <c r="U386" s="19">
        <v>0</v>
      </c>
      <c r="V386" s="19">
        <v>0</v>
      </c>
      <c r="W386" s="19">
        <v>0</v>
      </c>
      <c r="X386" s="19">
        <v>0</v>
      </c>
      <c r="Y386" s="19">
        <v>0</v>
      </c>
      <c r="Z386" s="19">
        <v>0</v>
      </c>
      <c r="AA386" s="19">
        <v>0</v>
      </c>
      <c r="AB386" s="19">
        <v>0</v>
      </c>
      <c r="AC386" s="19">
        <v>0</v>
      </c>
      <c r="AD386" s="19">
        <v>0</v>
      </c>
      <c r="AE386" s="19">
        <v>0</v>
      </c>
      <c r="AF386" s="19">
        <v>0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v>0</v>
      </c>
      <c r="AO386" s="19">
        <v>0</v>
      </c>
      <c r="AP386" s="19">
        <v>0</v>
      </c>
      <c r="AQ386" s="19">
        <v>0</v>
      </c>
      <c r="AR386" s="19">
        <v>0</v>
      </c>
      <c r="AS386" s="19">
        <v>0</v>
      </c>
      <c r="AT386" s="19">
        <v>0</v>
      </c>
      <c r="AU386" s="19">
        <v>0</v>
      </c>
      <c r="AV386" s="19">
        <v>0</v>
      </c>
      <c r="AW386" s="19">
        <v>0</v>
      </c>
      <c r="AX386" s="19">
        <v>0</v>
      </c>
      <c r="AY386" s="19">
        <v>0</v>
      </c>
      <c r="AZ386" s="19">
        <v>0</v>
      </c>
      <c r="BA386" s="19">
        <v>0</v>
      </c>
      <c r="BB386" s="19">
        <v>0</v>
      </c>
      <c r="BC386" s="19">
        <v>0</v>
      </c>
      <c r="BD386" s="19">
        <v>0</v>
      </c>
      <c r="BE386" s="19">
        <v>0</v>
      </c>
      <c r="BF386" s="19">
        <v>0</v>
      </c>
      <c r="BG386" s="19">
        <v>0</v>
      </c>
      <c r="BH386" s="19">
        <v>0</v>
      </c>
      <c r="BI386" s="19">
        <v>0</v>
      </c>
      <c r="BJ386" s="19">
        <v>0</v>
      </c>
      <c r="BK386" s="19">
        <v>0</v>
      </c>
      <c r="BL386" s="19">
        <v>0</v>
      </c>
      <c r="BM386" s="19">
        <v>0</v>
      </c>
      <c r="BN386" s="19">
        <v>0</v>
      </c>
      <c r="BO386" s="19">
        <v>0</v>
      </c>
      <c r="BP386" s="19">
        <v>0</v>
      </c>
      <c r="BQ386" s="19">
        <v>0</v>
      </c>
      <c r="BR386" s="19">
        <v>0</v>
      </c>
      <c r="BS386" s="19">
        <v>0</v>
      </c>
      <c r="BT386" s="19">
        <v>0</v>
      </c>
      <c r="BU386" s="19">
        <v>0</v>
      </c>
      <c r="BV386" s="19">
        <v>0</v>
      </c>
      <c r="BW386" s="19">
        <v>0</v>
      </c>
      <c r="BX386" s="19">
        <v>0</v>
      </c>
      <c r="BY386" s="19">
        <v>0</v>
      </c>
      <c r="BZ386" s="19">
        <v>0</v>
      </c>
      <c r="CA386" s="19">
        <v>0</v>
      </c>
      <c r="CB386" s="19">
        <v>0</v>
      </c>
      <c r="CC386" s="19">
        <v>0</v>
      </c>
      <c r="CD386" s="19">
        <v>0</v>
      </c>
      <c r="CE386" s="19">
        <v>0</v>
      </c>
      <c r="CF386" s="19">
        <v>0</v>
      </c>
      <c r="CG386" s="19">
        <v>0</v>
      </c>
      <c r="CH386" s="19">
        <v>0</v>
      </c>
      <c r="CI386" s="19">
        <v>0</v>
      </c>
      <c r="CJ386" s="19">
        <v>0</v>
      </c>
      <c r="CK386" s="19">
        <v>0</v>
      </c>
      <c r="CL386" s="19">
        <v>0</v>
      </c>
      <c r="CM386" s="19">
        <v>0</v>
      </c>
      <c r="CN386" s="19">
        <v>0</v>
      </c>
      <c r="CO386" s="19">
        <v>0</v>
      </c>
      <c r="CP386" s="19">
        <v>0</v>
      </c>
      <c r="CQ386" s="19">
        <v>0</v>
      </c>
      <c r="CR386" s="19">
        <v>0</v>
      </c>
      <c r="CS386" s="19">
        <v>0</v>
      </c>
      <c r="CT386" s="19">
        <v>0</v>
      </c>
      <c r="CU386" s="19">
        <v>0</v>
      </c>
      <c r="CV386" s="19">
        <v>0</v>
      </c>
      <c r="CW386" s="19">
        <v>0</v>
      </c>
      <c r="CX386" s="19">
        <v>0</v>
      </c>
      <c r="CY386" s="19">
        <v>0</v>
      </c>
      <c r="CZ386" s="19">
        <v>0</v>
      </c>
      <c r="DA386" s="19">
        <v>0</v>
      </c>
      <c r="DB386" s="19">
        <v>0</v>
      </c>
      <c r="DC386" s="19">
        <v>0</v>
      </c>
      <c r="DD386" s="19">
        <v>0</v>
      </c>
      <c r="DE386" s="19">
        <v>0</v>
      </c>
      <c r="DF386" s="19">
        <v>0</v>
      </c>
      <c r="DG386" s="19">
        <v>0</v>
      </c>
      <c r="DH386" s="19">
        <v>0</v>
      </c>
      <c r="DI386" s="19">
        <v>0</v>
      </c>
      <c r="DJ386" s="19">
        <v>0</v>
      </c>
      <c r="DK386" s="19">
        <v>0</v>
      </c>
      <c r="DL386" s="19">
        <v>0</v>
      </c>
      <c r="DM386" s="19">
        <v>0</v>
      </c>
      <c r="DN386" s="19">
        <v>0</v>
      </c>
      <c r="DO386" s="19">
        <v>0</v>
      </c>
      <c r="DP386" s="19">
        <v>0</v>
      </c>
      <c r="DQ386" s="19">
        <v>0</v>
      </c>
      <c r="DR386" s="19">
        <v>0</v>
      </c>
      <c r="DS386" s="19">
        <v>0</v>
      </c>
      <c r="DT386" s="19">
        <v>0</v>
      </c>
      <c r="DU386" s="19">
        <v>0</v>
      </c>
      <c r="DV386" s="19">
        <v>0</v>
      </c>
      <c r="DW386" s="19">
        <v>0</v>
      </c>
      <c r="DX386" s="19">
        <v>0</v>
      </c>
      <c r="DY386" s="19">
        <v>0</v>
      </c>
      <c r="DZ386" s="19">
        <v>0</v>
      </c>
      <c r="EA386" s="19">
        <v>0</v>
      </c>
      <c r="EB386" s="19">
        <v>0</v>
      </c>
      <c r="EC386" s="19">
        <v>0</v>
      </c>
      <c r="ED386" s="19">
        <v>0</v>
      </c>
      <c r="EE386" s="19">
        <v>0</v>
      </c>
      <c r="EF386" s="19">
        <v>0</v>
      </c>
      <c r="EG386" s="19">
        <v>0</v>
      </c>
      <c r="EH386" s="19">
        <v>0</v>
      </c>
      <c r="EI386" s="19">
        <v>0</v>
      </c>
      <c r="EJ386" s="19">
        <v>0</v>
      </c>
      <c r="EK386" s="19">
        <v>0</v>
      </c>
      <c r="EL386" s="19">
        <v>0</v>
      </c>
      <c r="EM386" s="19">
        <v>0</v>
      </c>
      <c r="EN386" s="19">
        <v>0</v>
      </c>
      <c r="EO386" s="19">
        <v>0</v>
      </c>
      <c r="EP386" s="19">
        <v>0</v>
      </c>
      <c r="EQ386" s="19">
        <v>0</v>
      </c>
      <c r="ER386" s="19">
        <v>0</v>
      </c>
      <c r="ES386" s="119">
        <v>0</v>
      </c>
      <c r="ET386" s="119">
        <v>0</v>
      </c>
    </row>
    <row r="387" spans="1:150" ht="16.5" customHeight="1" x14ac:dyDescent="0.35">
      <c r="A387" s="4">
        <v>216</v>
      </c>
      <c r="B387" s="4" t="str">
        <f>LOOKUP(A387,Lookup!$A$1:$A$34,Lookup!$B$1:$B$34)</f>
        <v>BUTCH  WORS/MINCE/PAT</v>
      </c>
      <c r="C387" s="5">
        <v>2741</v>
      </c>
      <c r="D387" s="6" t="s">
        <v>368</v>
      </c>
      <c r="E387" s="18">
        <v>0</v>
      </c>
      <c r="F387" s="18">
        <v>0</v>
      </c>
      <c r="G387" s="18">
        <v>0</v>
      </c>
      <c r="H387" s="18">
        <v>0</v>
      </c>
      <c r="I387" s="19">
        <v>0</v>
      </c>
      <c r="J387" s="19">
        <v>0</v>
      </c>
      <c r="K387" s="19">
        <v>0</v>
      </c>
      <c r="L387" s="19">
        <v>0</v>
      </c>
      <c r="M387" s="19">
        <v>0</v>
      </c>
      <c r="N387" s="19">
        <v>0</v>
      </c>
      <c r="O387" s="19">
        <v>0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9">
        <v>0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0</v>
      </c>
      <c r="AD387" s="19">
        <v>0</v>
      </c>
      <c r="AE387" s="19">
        <v>0</v>
      </c>
      <c r="AF387" s="19">
        <v>0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19">
        <v>0</v>
      </c>
      <c r="AM387" s="19">
        <v>0</v>
      </c>
      <c r="AN387" s="19">
        <v>0</v>
      </c>
      <c r="AO387" s="19">
        <v>0</v>
      </c>
      <c r="AP387" s="19">
        <v>0</v>
      </c>
      <c r="AQ387" s="19">
        <v>0</v>
      </c>
      <c r="AR387" s="19">
        <v>0</v>
      </c>
      <c r="AS387" s="19">
        <v>0</v>
      </c>
      <c r="AT387" s="19">
        <v>0</v>
      </c>
      <c r="AU387" s="19">
        <v>0</v>
      </c>
      <c r="AV387" s="19">
        <v>0</v>
      </c>
      <c r="AW387" s="19">
        <v>0</v>
      </c>
      <c r="AX387" s="19">
        <v>0</v>
      </c>
      <c r="AY387" s="19">
        <v>0</v>
      </c>
      <c r="AZ387" s="19">
        <v>0</v>
      </c>
      <c r="BA387" s="19">
        <v>0</v>
      </c>
      <c r="BB387" s="19">
        <v>0</v>
      </c>
      <c r="BC387" s="19">
        <v>0</v>
      </c>
      <c r="BD387" s="19">
        <v>0</v>
      </c>
      <c r="BE387" s="19">
        <v>0</v>
      </c>
      <c r="BF387" s="19">
        <v>0</v>
      </c>
      <c r="BG387" s="19">
        <v>0</v>
      </c>
      <c r="BH387" s="19">
        <v>0</v>
      </c>
      <c r="BI387" s="19">
        <v>0</v>
      </c>
      <c r="BJ387" s="19">
        <v>0</v>
      </c>
      <c r="BK387" s="19">
        <v>0</v>
      </c>
      <c r="BL387" s="19">
        <v>0</v>
      </c>
      <c r="BM387" s="19">
        <v>0</v>
      </c>
      <c r="BN387" s="19">
        <v>0</v>
      </c>
      <c r="BO387" s="19">
        <v>0</v>
      </c>
      <c r="BP387" s="19">
        <v>0</v>
      </c>
      <c r="BQ387" s="19">
        <v>0</v>
      </c>
      <c r="BR387" s="19">
        <v>0</v>
      </c>
      <c r="BS387" s="19">
        <v>0</v>
      </c>
      <c r="BT387" s="19">
        <v>0</v>
      </c>
      <c r="BU387" s="19">
        <v>0</v>
      </c>
      <c r="BV387" s="19">
        <v>0</v>
      </c>
      <c r="BW387" s="19">
        <v>0</v>
      </c>
      <c r="BX387" s="19">
        <v>0</v>
      </c>
      <c r="BY387" s="19">
        <v>0</v>
      </c>
      <c r="BZ387" s="19">
        <v>0</v>
      </c>
      <c r="CA387" s="19">
        <v>0</v>
      </c>
      <c r="CB387" s="19">
        <v>0</v>
      </c>
      <c r="CC387" s="19">
        <v>0</v>
      </c>
      <c r="CD387" s="19">
        <v>0</v>
      </c>
      <c r="CE387" s="19">
        <v>0</v>
      </c>
      <c r="CF387" s="19">
        <v>0</v>
      </c>
      <c r="CG387" s="19">
        <v>0</v>
      </c>
      <c r="CH387" s="19">
        <v>0</v>
      </c>
      <c r="CI387" s="19">
        <v>0</v>
      </c>
      <c r="CJ387" s="19">
        <v>0</v>
      </c>
      <c r="CK387" s="19">
        <v>0</v>
      </c>
      <c r="CL387" s="19">
        <v>0</v>
      </c>
      <c r="CM387" s="19">
        <v>0</v>
      </c>
      <c r="CN387" s="19">
        <v>0</v>
      </c>
      <c r="CO387" s="19">
        <v>0</v>
      </c>
      <c r="CP387" s="19">
        <v>0</v>
      </c>
      <c r="CQ387" s="19">
        <v>0</v>
      </c>
      <c r="CR387" s="19">
        <v>0</v>
      </c>
      <c r="CS387" s="19">
        <v>0</v>
      </c>
      <c r="CT387" s="19">
        <v>0</v>
      </c>
      <c r="CU387" s="19">
        <v>0</v>
      </c>
      <c r="CV387" s="19">
        <v>0</v>
      </c>
      <c r="CW387" s="19">
        <v>0</v>
      </c>
      <c r="CX387" s="19">
        <v>0</v>
      </c>
      <c r="CY387" s="19">
        <v>0</v>
      </c>
      <c r="CZ387" s="19">
        <v>0</v>
      </c>
      <c r="DA387" s="19">
        <v>0</v>
      </c>
      <c r="DB387" s="19">
        <v>0</v>
      </c>
      <c r="DC387" s="19">
        <v>0</v>
      </c>
      <c r="DD387" s="19">
        <v>0</v>
      </c>
      <c r="DE387" s="19">
        <v>0</v>
      </c>
      <c r="DF387" s="19">
        <v>0</v>
      </c>
      <c r="DG387" s="19">
        <v>0</v>
      </c>
      <c r="DH387" s="19">
        <v>0</v>
      </c>
      <c r="DI387" s="19">
        <v>0</v>
      </c>
      <c r="DJ387" s="19">
        <v>0</v>
      </c>
      <c r="DK387" s="19">
        <v>0</v>
      </c>
      <c r="DL387" s="19">
        <v>0</v>
      </c>
      <c r="DM387" s="19">
        <v>0</v>
      </c>
      <c r="DN387" s="19">
        <v>0</v>
      </c>
      <c r="DO387" s="19">
        <v>0</v>
      </c>
      <c r="DP387" s="19">
        <v>0</v>
      </c>
      <c r="DQ387" s="19">
        <v>0</v>
      </c>
      <c r="DR387" s="19">
        <v>0</v>
      </c>
      <c r="DS387" s="19">
        <v>0</v>
      </c>
      <c r="DT387" s="19">
        <v>0</v>
      </c>
      <c r="DU387" s="19">
        <v>0</v>
      </c>
      <c r="DV387" s="19">
        <v>0</v>
      </c>
      <c r="DW387" s="19">
        <v>0</v>
      </c>
      <c r="DX387" s="19">
        <v>0</v>
      </c>
      <c r="DY387" s="19">
        <v>0</v>
      </c>
      <c r="DZ387" s="19">
        <v>0</v>
      </c>
      <c r="EA387" s="19">
        <v>0</v>
      </c>
      <c r="EB387" s="19">
        <v>0</v>
      </c>
      <c r="EC387" s="19">
        <v>0</v>
      </c>
      <c r="ED387" s="19">
        <v>0</v>
      </c>
      <c r="EE387" s="19">
        <v>0</v>
      </c>
      <c r="EF387" s="19">
        <v>0</v>
      </c>
      <c r="EG387" s="19">
        <v>0</v>
      </c>
      <c r="EH387" s="19">
        <v>0</v>
      </c>
      <c r="EI387" s="19">
        <v>0</v>
      </c>
      <c r="EJ387" s="19">
        <v>0</v>
      </c>
      <c r="EK387" s="19">
        <v>0</v>
      </c>
      <c r="EL387" s="19">
        <v>0</v>
      </c>
      <c r="EM387" s="19">
        <v>0</v>
      </c>
      <c r="EN387" s="19">
        <v>0</v>
      </c>
      <c r="EO387" s="19">
        <v>0</v>
      </c>
      <c r="EP387" s="19">
        <v>0</v>
      </c>
      <c r="EQ387" s="19">
        <v>0</v>
      </c>
      <c r="ER387" s="19">
        <v>0</v>
      </c>
      <c r="ES387" s="119">
        <v>0</v>
      </c>
      <c r="ET387" s="119">
        <v>0</v>
      </c>
    </row>
    <row r="388" spans="1:150" ht="16.5" customHeight="1" x14ac:dyDescent="0.35">
      <c r="A388" s="4">
        <v>216</v>
      </c>
      <c r="B388" s="4" t="str">
        <f>LOOKUP(A388,Lookup!$A$1:$A$34,Lookup!$B$1:$B$34)</f>
        <v>BUTCH  WORS/MINCE/PAT</v>
      </c>
      <c r="C388" s="5">
        <v>2743</v>
      </c>
      <c r="D388" s="6" t="s">
        <v>369</v>
      </c>
      <c r="E388" s="18">
        <v>0</v>
      </c>
      <c r="F388" s="18">
        <v>0</v>
      </c>
      <c r="G388" s="18">
        <v>0</v>
      </c>
      <c r="H388" s="18">
        <v>0</v>
      </c>
      <c r="I388" s="19">
        <v>0</v>
      </c>
      <c r="J388" s="19">
        <v>0</v>
      </c>
      <c r="K388" s="19">
        <v>0</v>
      </c>
      <c r="L388" s="19">
        <v>0</v>
      </c>
      <c r="M388" s="19">
        <v>0</v>
      </c>
      <c r="N388" s="19">
        <v>0</v>
      </c>
      <c r="O388" s="19">
        <v>0</v>
      </c>
      <c r="P388" s="19">
        <v>0</v>
      </c>
      <c r="Q388" s="19">
        <v>0</v>
      </c>
      <c r="R388" s="19">
        <v>0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0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  <c r="AE388" s="19">
        <v>0</v>
      </c>
      <c r="AF388" s="19">
        <v>0</v>
      </c>
      <c r="AG388" s="19">
        <v>0</v>
      </c>
      <c r="AH388" s="19">
        <v>0</v>
      </c>
      <c r="AI388" s="19">
        <v>0</v>
      </c>
      <c r="AJ388" s="19">
        <v>0</v>
      </c>
      <c r="AK388" s="19">
        <v>0</v>
      </c>
      <c r="AL388" s="19">
        <v>0</v>
      </c>
      <c r="AM388" s="19">
        <v>0</v>
      </c>
      <c r="AN388" s="19">
        <v>0</v>
      </c>
      <c r="AO388" s="19">
        <v>0</v>
      </c>
      <c r="AP388" s="19">
        <v>0</v>
      </c>
      <c r="AQ388" s="19">
        <v>0</v>
      </c>
      <c r="AR388" s="19">
        <v>0</v>
      </c>
      <c r="AS388" s="19">
        <v>0</v>
      </c>
      <c r="AT388" s="19">
        <v>0</v>
      </c>
      <c r="AU388" s="19">
        <v>0</v>
      </c>
      <c r="AV388" s="19">
        <v>0</v>
      </c>
      <c r="AW388" s="19">
        <v>0</v>
      </c>
      <c r="AX388" s="19">
        <v>0</v>
      </c>
      <c r="AY388" s="19">
        <v>0</v>
      </c>
      <c r="AZ388" s="19">
        <v>0</v>
      </c>
      <c r="BA388" s="19">
        <v>0</v>
      </c>
      <c r="BB388" s="19">
        <v>0</v>
      </c>
      <c r="BC388" s="19">
        <v>0</v>
      </c>
      <c r="BD388" s="19">
        <v>0</v>
      </c>
      <c r="BE388" s="19">
        <v>0</v>
      </c>
      <c r="BF388" s="19">
        <v>0</v>
      </c>
      <c r="BG388" s="19">
        <v>0</v>
      </c>
      <c r="BH388" s="19">
        <v>0</v>
      </c>
      <c r="BI388" s="19">
        <v>0</v>
      </c>
      <c r="BJ388" s="19">
        <v>0</v>
      </c>
      <c r="BK388" s="19">
        <v>0</v>
      </c>
      <c r="BL388" s="19">
        <v>0</v>
      </c>
      <c r="BM388" s="19">
        <v>0</v>
      </c>
      <c r="BN388" s="19">
        <v>0</v>
      </c>
      <c r="BO388" s="19">
        <v>0</v>
      </c>
      <c r="BP388" s="19">
        <v>0</v>
      </c>
      <c r="BQ388" s="19">
        <v>0</v>
      </c>
      <c r="BR388" s="19">
        <v>0</v>
      </c>
      <c r="BS388" s="19">
        <v>0</v>
      </c>
      <c r="BT388" s="19">
        <v>0</v>
      </c>
      <c r="BU388" s="19">
        <v>0</v>
      </c>
      <c r="BV388" s="19">
        <v>0</v>
      </c>
      <c r="BW388" s="19">
        <v>0</v>
      </c>
      <c r="BX388" s="19">
        <v>0</v>
      </c>
      <c r="BY388" s="19">
        <v>0</v>
      </c>
      <c r="BZ388" s="19">
        <v>0</v>
      </c>
      <c r="CA388" s="19">
        <v>0</v>
      </c>
      <c r="CB388" s="19">
        <v>0</v>
      </c>
      <c r="CC388" s="19">
        <v>0</v>
      </c>
      <c r="CD388" s="19">
        <v>0</v>
      </c>
      <c r="CE388" s="19">
        <v>0</v>
      </c>
      <c r="CF388" s="19">
        <v>0</v>
      </c>
      <c r="CG388" s="19">
        <v>0</v>
      </c>
      <c r="CH388" s="19">
        <v>0</v>
      </c>
      <c r="CI388" s="19">
        <v>0</v>
      </c>
      <c r="CJ388" s="19">
        <v>0</v>
      </c>
      <c r="CK388" s="19">
        <v>0</v>
      </c>
      <c r="CL388" s="19">
        <v>0</v>
      </c>
      <c r="CM388" s="19">
        <v>0</v>
      </c>
      <c r="CN388" s="19">
        <v>0</v>
      </c>
      <c r="CO388" s="19">
        <v>0</v>
      </c>
      <c r="CP388" s="19">
        <v>0</v>
      </c>
      <c r="CQ388" s="19">
        <v>0</v>
      </c>
      <c r="CR388" s="19">
        <v>0</v>
      </c>
      <c r="CS388" s="19">
        <v>0</v>
      </c>
      <c r="CT388" s="19">
        <v>0</v>
      </c>
      <c r="CU388" s="19">
        <v>0</v>
      </c>
      <c r="CV388" s="19">
        <v>0</v>
      </c>
      <c r="CW388" s="19">
        <v>0</v>
      </c>
      <c r="CX388" s="19">
        <v>0</v>
      </c>
      <c r="CY388" s="19">
        <v>0</v>
      </c>
      <c r="CZ388" s="19">
        <v>0</v>
      </c>
      <c r="DA388" s="19">
        <v>0</v>
      </c>
      <c r="DB388" s="19">
        <v>0</v>
      </c>
      <c r="DC388" s="19">
        <v>0</v>
      </c>
      <c r="DD388" s="19">
        <v>0</v>
      </c>
      <c r="DE388" s="19">
        <v>0</v>
      </c>
      <c r="DF388" s="19">
        <v>0</v>
      </c>
      <c r="DG388" s="19">
        <v>0</v>
      </c>
      <c r="DH388" s="19">
        <v>0</v>
      </c>
      <c r="DI388" s="19">
        <v>0</v>
      </c>
      <c r="DJ388" s="19">
        <v>0</v>
      </c>
      <c r="DK388" s="19">
        <v>0</v>
      </c>
      <c r="DL388" s="19">
        <v>0</v>
      </c>
      <c r="DM388" s="19">
        <v>0</v>
      </c>
      <c r="DN388" s="19">
        <v>0</v>
      </c>
      <c r="DO388" s="19">
        <v>0</v>
      </c>
      <c r="DP388" s="19">
        <v>0</v>
      </c>
      <c r="DQ388" s="19">
        <v>0</v>
      </c>
      <c r="DR388" s="19">
        <v>0</v>
      </c>
      <c r="DS388" s="19">
        <v>0</v>
      </c>
      <c r="DT388" s="19">
        <v>0</v>
      </c>
      <c r="DU388" s="19">
        <v>0</v>
      </c>
      <c r="DV388" s="19">
        <v>0</v>
      </c>
      <c r="DW388" s="19">
        <v>0</v>
      </c>
      <c r="DX388" s="19">
        <v>0</v>
      </c>
      <c r="DY388" s="19">
        <v>0</v>
      </c>
      <c r="DZ388" s="19">
        <v>0</v>
      </c>
      <c r="EA388" s="19">
        <v>0</v>
      </c>
      <c r="EB388" s="19">
        <v>0</v>
      </c>
      <c r="EC388" s="19">
        <v>0</v>
      </c>
      <c r="ED388" s="19">
        <v>0</v>
      </c>
      <c r="EE388" s="19">
        <v>0</v>
      </c>
      <c r="EF388" s="19">
        <v>0</v>
      </c>
      <c r="EG388" s="19">
        <v>0</v>
      </c>
      <c r="EH388" s="19">
        <v>0</v>
      </c>
      <c r="EI388" s="19">
        <v>0</v>
      </c>
      <c r="EJ388" s="19">
        <v>0</v>
      </c>
      <c r="EK388" s="19">
        <v>0</v>
      </c>
      <c r="EL388" s="19">
        <v>0</v>
      </c>
      <c r="EM388" s="19">
        <v>0</v>
      </c>
      <c r="EN388" s="19">
        <v>0</v>
      </c>
      <c r="EO388" s="19">
        <v>0</v>
      </c>
      <c r="EP388" s="19">
        <v>0</v>
      </c>
      <c r="EQ388" s="19">
        <v>0</v>
      </c>
      <c r="ER388" s="19">
        <v>0</v>
      </c>
      <c r="ES388" s="119">
        <v>0</v>
      </c>
      <c r="ET388" s="119">
        <v>0</v>
      </c>
    </row>
    <row r="389" spans="1:150" ht="16.5" customHeight="1" x14ac:dyDescent="0.35">
      <c r="A389" s="4">
        <v>216</v>
      </c>
      <c r="B389" s="4" t="str">
        <f>LOOKUP(A389,Lookup!$A$1:$A$34,Lookup!$B$1:$B$34)</f>
        <v>BUTCH  WORS/MINCE/PAT</v>
      </c>
      <c r="C389" s="5">
        <v>2745</v>
      </c>
      <c r="D389" s="6" t="s">
        <v>370</v>
      </c>
      <c r="E389" s="18">
        <v>0</v>
      </c>
      <c r="F389" s="18">
        <v>0</v>
      </c>
      <c r="G389" s="18">
        <v>0</v>
      </c>
      <c r="H389" s="18">
        <v>0</v>
      </c>
      <c r="I389" s="19">
        <v>0</v>
      </c>
      <c r="J389" s="19">
        <v>0</v>
      </c>
      <c r="K389" s="19">
        <v>0</v>
      </c>
      <c r="L389" s="19">
        <v>0</v>
      </c>
      <c r="M389" s="19">
        <v>0</v>
      </c>
      <c r="N389" s="19">
        <v>0</v>
      </c>
      <c r="O389" s="19">
        <v>0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0</v>
      </c>
      <c r="AD389" s="19">
        <v>0</v>
      </c>
      <c r="AE389" s="19">
        <v>0</v>
      </c>
      <c r="AF389" s="19">
        <v>0</v>
      </c>
      <c r="AG389" s="19">
        <v>0</v>
      </c>
      <c r="AH389" s="19">
        <v>0</v>
      </c>
      <c r="AI389" s="19">
        <v>0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0</v>
      </c>
      <c r="AP389" s="19">
        <v>0</v>
      </c>
      <c r="AQ389" s="19">
        <v>0</v>
      </c>
      <c r="AR389" s="19">
        <v>0</v>
      </c>
      <c r="AS389" s="19">
        <v>0</v>
      </c>
      <c r="AT389" s="19">
        <v>0</v>
      </c>
      <c r="AU389" s="19">
        <v>0</v>
      </c>
      <c r="AV389" s="19">
        <v>0</v>
      </c>
      <c r="AW389" s="19">
        <v>0</v>
      </c>
      <c r="AX389" s="19">
        <v>0</v>
      </c>
      <c r="AY389" s="19">
        <v>0</v>
      </c>
      <c r="AZ389" s="19">
        <v>0</v>
      </c>
      <c r="BA389" s="19">
        <v>0</v>
      </c>
      <c r="BB389" s="19">
        <v>0</v>
      </c>
      <c r="BC389" s="19">
        <v>0</v>
      </c>
      <c r="BD389" s="19">
        <v>0</v>
      </c>
      <c r="BE389" s="19">
        <v>0</v>
      </c>
      <c r="BF389" s="19">
        <v>0</v>
      </c>
      <c r="BG389" s="19">
        <v>0</v>
      </c>
      <c r="BH389" s="19">
        <v>0</v>
      </c>
      <c r="BI389" s="19">
        <v>0</v>
      </c>
      <c r="BJ389" s="19">
        <v>0</v>
      </c>
      <c r="BK389" s="19">
        <v>0</v>
      </c>
      <c r="BL389" s="19">
        <v>0</v>
      </c>
      <c r="BM389" s="19">
        <v>0</v>
      </c>
      <c r="BN389" s="19">
        <v>0</v>
      </c>
      <c r="BO389" s="19">
        <v>0</v>
      </c>
      <c r="BP389" s="19">
        <v>0</v>
      </c>
      <c r="BQ389" s="19">
        <v>0</v>
      </c>
      <c r="BR389" s="19">
        <v>0</v>
      </c>
      <c r="BS389" s="19">
        <v>0</v>
      </c>
      <c r="BT389" s="19">
        <v>0</v>
      </c>
      <c r="BU389" s="19">
        <v>0</v>
      </c>
      <c r="BV389" s="19">
        <v>0</v>
      </c>
      <c r="BW389" s="19">
        <v>0</v>
      </c>
      <c r="BX389" s="19">
        <v>0</v>
      </c>
      <c r="BY389" s="19">
        <v>0</v>
      </c>
      <c r="BZ389" s="19">
        <v>0</v>
      </c>
      <c r="CA389" s="19">
        <v>0</v>
      </c>
      <c r="CB389" s="19">
        <v>0</v>
      </c>
      <c r="CC389" s="19">
        <v>0</v>
      </c>
      <c r="CD389" s="19">
        <v>0</v>
      </c>
      <c r="CE389" s="19">
        <v>0</v>
      </c>
      <c r="CF389" s="19">
        <v>0</v>
      </c>
      <c r="CG389" s="19">
        <v>0</v>
      </c>
      <c r="CH389" s="19">
        <v>0</v>
      </c>
      <c r="CI389" s="19">
        <v>0</v>
      </c>
      <c r="CJ389" s="19">
        <v>0</v>
      </c>
      <c r="CK389" s="19">
        <v>0</v>
      </c>
      <c r="CL389" s="19">
        <v>0</v>
      </c>
      <c r="CM389" s="19">
        <v>0</v>
      </c>
      <c r="CN389" s="19">
        <v>0</v>
      </c>
      <c r="CO389" s="19">
        <v>0</v>
      </c>
      <c r="CP389" s="19">
        <v>0</v>
      </c>
      <c r="CQ389" s="19">
        <v>0</v>
      </c>
      <c r="CR389" s="19">
        <v>0</v>
      </c>
      <c r="CS389" s="19">
        <v>0</v>
      </c>
      <c r="CT389" s="19">
        <v>0</v>
      </c>
      <c r="CU389" s="19">
        <v>0</v>
      </c>
      <c r="CV389" s="19">
        <v>0</v>
      </c>
      <c r="CW389" s="19">
        <v>0</v>
      </c>
      <c r="CX389" s="19">
        <v>0</v>
      </c>
      <c r="CY389" s="19">
        <v>0</v>
      </c>
      <c r="CZ389" s="19">
        <v>0</v>
      </c>
      <c r="DA389" s="19">
        <v>0</v>
      </c>
      <c r="DB389" s="19">
        <v>0</v>
      </c>
      <c r="DC389" s="19">
        <v>0</v>
      </c>
      <c r="DD389" s="19">
        <v>0</v>
      </c>
      <c r="DE389" s="19">
        <v>0</v>
      </c>
      <c r="DF389" s="19">
        <v>0</v>
      </c>
      <c r="DG389" s="19">
        <v>0</v>
      </c>
      <c r="DH389" s="19">
        <v>0</v>
      </c>
      <c r="DI389" s="19">
        <v>0</v>
      </c>
      <c r="DJ389" s="19">
        <v>0</v>
      </c>
      <c r="DK389" s="19">
        <v>0</v>
      </c>
      <c r="DL389" s="19">
        <v>0</v>
      </c>
      <c r="DM389" s="19">
        <v>0</v>
      </c>
      <c r="DN389" s="19">
        <v>0</v>
      </c>
      <c r="DO389" s="19">
        <v>0</v>
      </c>
      <c r="DP389" s="19">
        <v>0</v>
      </c>
      <c r="DQ389" s="19">
        <v>0</v>
      </c>
      <c r="DR389" s="19">
        <v>0</v>
      </c>
      <c r="DS389" s="19">
        <v>0</v>
      </c>
      <c r="DT389" s="19">
        <v>0</v>
      </c>
      <c r="DU389" s="19">
        <v>0</v>
      </c>
      <c r="DV389" s="19">
        <v>0</v>
      </c>
      <c r="DW389" s="19">
        <v>0</v>
      </c>
      <c r="DX389" s="19">
        <v>0</v>
      </c>
      <c r="DY389" s="19">
        <v>0</v>
      </c>
      <c r="DZ389" s="19">
        <v>0</v>
      </c>
      <c r="EA389" s="19">
        <v>0</v>
      </c>
      <c r="EB389" s="19">
        <v>0</v>
      </c>
      <c r="EC389" s="19">
        <v>0</v>
      </c>
      <c r="ED389" s="19">
        <v>0</v>
      </c>
      <c r="EE389" s="19">
        <v>0</v>
      </c>
      <c r="EF389" s="19">
        <v>0</v>
      </c>
      <c r="EG389" s="19">
        <v>0</v>
      </c>
      <c r="EH389" s="19">
        <v>0</v>
      </c>
      <c r="EI389" s="19">
        <v>0</v>
      </c>
      <c r="EJ389" s="19">
        <v>0</v>
      </c>
      <c r="EK389" s="19">
        <v>0</v>
      </c>
      <c r="EL389" s="19">
        <v>0</v>
      </c>
      <c r="EM389" s="19">
        <v>0</v>
      </c>
      <c r="EN389" s="19">
        <v>0</v>
      </c>
      <c r="EO389" s="19">
        <v>0</v>
      </c>
      <c r="EP389" s="19">
        <v>0</v>
      </c>
      <c r="EQ389" s="19">
        <v>0</v>
      </c>
      <c r="ER389" s="19">
        <v>0</v>
      </c>
      <c r="ES389" s="119">
        <v>0</v>
      </c>
      <c r="ET389" s="119">
        <v>0</v>
      </c>
    </row>
    <row r="390" spans="1:150" ht="16.5" customHeight="1" x14ac:dyDescent="0.35">
      <c r="A390" s="4">
        <v>216</v>
      </c>
      <c r="B390" s="4" t="str">
        <f>LOOKUP(A390,Lookup!$A$1:$A$34,Lookup!$B$1:$B$34)</f>
        <v>BUTCH  WORS/MINCE/PAT</v>
      </c>
      <c r="C390" s="5">
        <v>11147</v>
      </c>
      <c r="D390" s="6" t="s">
        <v>371</v>
      </c>
      <c r="E390" s="18">
        <v>1004.57636252296</v>
      </c>
      <c r="F390" s="18">
        <v>13.169</v>
      </c>
      <c r="G390" s="18">
        <v>71324.921739130397</v>
      </c>
      <c r="H390" s="18">
        <v>934.97900000000004</v>
      </c>
      <c r="I390" s="19">
        <v>0</v>
      </c>
      <c r="J390" s="19">
        <v>0</v>
      </c>
      <c r="K390" s="19">
        <v>0</v>
      </c>
      <c r="L390" s="19">
        <v>0</v>
      </c>
      <c r="M390" s="19">
        <v>0</v>
      </c>
      <c r="N390" s="19">
        <v>0</v>
      </c>
      <c r="O390" s="19">
        <v>0</v>
      </c>
      <c r="P390" s="19">
        <v>0</v>
      </c>
      <c r="Q390" s="19">
        <v>0</v>
      </c>
      <c r="R390" s="19">
        <v>0</v>
      </c>
      <c r="S390" s="19">
        <v>0</v>
      </c>
      <c r="T390" s="19">
        <v>0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19">
        <v>0</v>
      </c>
      <c r="AM390" s="19">
        <v>0</v>
      </c>
      <c r="AN390" s="19">
        <v>0</v>
      </c>
      <c r="AO390" s="19">
        <v>0</v>
      </c>
      <c r="AP390" s="19">
        <v>0</v>
      </c>
      <c r="AQ390" s="19">
        <v>0</v>
      </c>
      <c r="AR390" s="19">
        <v>0</v>
      </c>
      <c r="AS390" s="19">
        <v>0</v>
      </c>
      <c r="AT390" s="19">
        <v>0</v>
      </c>
      <c r="AU390" s="19">
        <v>0</v>
      </c>
      <c r="AV390" s="19">
        <v>0</v>
      </c>
      <c r="AW390" s="19">
        <v>0</v>
      </c>
      <c r="AX390" s="19">
        <v>0</v>
      </c>
      <c r="AY390" s="19">
        <v>0</v>
      </c>
      <c r="AZ390" s="19">
        <v>0</v>
      </c>
      <c r="BA390" s="19">
        <v>0</v>
      </c>
      <c r="BB390" s="19">
        <v>0</v>
      </c>
      <c r="BC390" s="19">
        <v>919.19130434782596</v>
      </c>
      <c r="BD390" s="19">
        <v>14.744999999999999</v>
      </c>
      <c r="BE390" s="19">
        <v>2024.6869565217401</v>
      </c>
      <c r="BF390" s="19">
        <v>32.137</v>
      </c>
      <c r="BG390" s="19">
        <v>1824.5652173912999</v>
      </c>
      <c r="BH390" s="19">
        <v>26.231999999999999</v>
      </c>
      <c r="BI390" s="19">
        <v>1692.4086956521701</v>
      </c>
      <c r="BJ390" s="19">
        <v>24.332000000000001</v>
      </c>
      <c r="BK390" s="19">
        <v>1449.3130434782599</v>
      </c>
      <c r="BL390" s="19">
        <v>20.837</v>
      </c>
      <c r="BM390" s="19">
        <v>970.93913043478301</v>
      </c>
      <c r="BN390" s="19">
        <v>13.958</v>
      </c>
      <c r="BO390" s="19">
        <v>1672.78260869565</v>
      </c>
      <c r="BP390" s="19">
        <v>24.048999999999999</v>
      </c>
      <c r="BQ390" s="19">
        <v>568.20869565217401</v>
      </c>
      <c r="BR390" s="19">
        <v>8.1690000000000005</v>
      </c>
      <c r="BS390" s="19">
        <v>1432.9043478260901</v>
      </c>
      <c r="BT390" s="19">
        <v>20.599</v>
      </c>
      <c r="BU390" s="19">
        <v>1814.26086956522</v>
      </c>
      <c r="BV390" s="19">
        <v>26.082999999999998</v>
      </c>
      <c r="BW390" s="19">
        <v>1567.1565217391301</v>
      </c>
      <c r="BX390" s="19">
        <v>22.530999999999999</v>
      </c>
      <c r="BY390" s="19">
        <v>1007.4434782608701</v>
      </c>
      <c r="BZ390" s="19">
        <v>14.483000000000001</v>
      </c>
      <c r="CA390" s="19">
        <v>0</v>
      </c>
      <c r="CB390" s="19">
        <v>0</v>
      </c>
      <c r="CC390" s="19">
        <v>1116.0695652173899</v>
      </c>
      <c r="CD390" s="19">
        <v>16.045000000000002</v>
      </c>
      <c r="CE390" s="19">
        <v>1275.53913043478</v>
      </c>
      <c r="CF390" s="19">
        <v>18.337</v>
      </c>
      <c r="CG390" s="19">
        <v>1553.94782608696</v>
      </c>
      <c r="CH390" s="19">
        <v>22.341000000000001</v>
      </c>
      <c r="CI390" s="19">
        <v>1805.4</v>
      </c>
      <c r="CJ390" s="19">
        <v>25.956</v>
      </c>
      <c r="CK390" s="19">
        <v>1216.4086956521701</v>
      </c>
      <c r="CL390" s="19">
        <v>16.878</v>
      </c>
      <c r="CM390" s="19">
        <v>1295.8782608695701</v>
      </c>
      <c r="CN390" s="19">
        <v>18.523</v>
      </c>
      <c r="CO390" s="19">
        <v>2241.04347826087</v>
      </c>
      <c r="CP390" s="19">
        <v>32.219000000000001</v>
      </c>
      <c r="CQ390" s="19">
        <v>1867.1826086956501</v>
      </c>
      <c r="CR390" s="19">
        <v>26.844000000000001</v>
      </c>
      <c r="CS390" s="19">
        <v>1588.8347826086999</v>
      </c>
      <c r="CT390" s="19">
        <v>22.841999999999999</v>
      </c>
      <c r="CU390" s="19">
        <v>1866.5739130434799</v>
      </c>
      <c r="CV390" s="19">
        <v>26.835999999999999</v>
      </c>
      <c r="CW390" s="19">
        <v>1710.45217391304</v>
      </c>
      <c r="CX390" s="19">
        <v>24.591000000000001</v>
      </c>
      <c r="CY390" s="19">
        <v>1737.00869565217</v>
      </c>
      <c r="CZ390" s="19">
        <v>24.972999999999999</v>
      </c>
      <c r="DA390" s="19">
        <v>2347.6173913043499</v>
      </c>
      <c r="DB390" s="19">
        <v>31.870999999999999</v>
      </c>
      <c r="DC390" s="19">
        <v>1834.6521739130401</v>
      </c>
      <c r="DD390" s="19">
        <v>21.920999999999999</v>
      </c>
      <c r="DE390" s="19">
        <v>2778.7304347826098</v>
      </c>
      <c r="DF390" s="19">
        <v>32.277999999999999</v>
      </c>
      <c r="DG390" s="19">
        <v>3417.8608695652201</v>
      </c>
      <c r="DH390" s="19">
        <v>39.701999999999998</v>
      </c>
      <c r="DI390" s="19">
        <v>2383.3652173913001</v>
      </c>
      <c r="DJ390" s="19">
        <v>27.686</v>
      </c>
      <c r="DK390" s="19">
        <v>1703.6695652173901</v>
      </c>
      <c r="DL390" s="19">
        <v>19.602</v>
      </c>
      <c r="DM390" s="19">
        <v>1155.28695652174</v>
      </c>
      <c r="DN390" s="19">
        <v>13.286</v>
      </c>
      <c r="DO390" s="19">
        <v>1581.04347826087</v>
      </c>
      <c r="DP390" s="19">
        <v>18.183</v>
      </c>
      <c r="DQ390" s="19">
        <v>1503.30434782609</v>
      </c>
      <c r="DR390" s="19">
        <v>17.289000000000001</v>
      </c>
      <c r="DS390" s="19">
        <v>715.13043478260897</v>
      </c>
      <c r="DT390" s="19">
        <v>8.2240000000000002</v>
      </c>
      <c r="DU390" s="19">
        <v>828.17391304347802</v>
      </c>
      <c r="DV390" s="19">
        <v>9.5250000000000004</v>
      </c>
      <c r="DW390" s="19">
        <v>1163.1304347826101</v>
      </c>
      <c r="DX390" s="19">
        <v>13.375999999999999</v>
      </c>
      <c r="DY390" s="19">
        <v>1892.52173913043</v>
      </c>
      <c r="DZ390" s="19">
        <v>21.765000000000001</v>
      </c>
      <c r="EA390" s="19">
        <v>1823.1304347826101</v>
      </c>
      <c r="EB390" s="19">
        <v>20.966999999999999</v>
      </c>
      <c r="EC390" s="19">
        <v>1245.21739130435</v>
      </c>
      <c r="ED390" s="19">
        <v>14.32</v>
      </c>
      <c r="EE390" s="19">
        <v>1228.69565217391</v>
      </c>
      <c r="EF390" s="19">
        <v>14.131</v>
      </c>
      <c r="EG390" s="19">
        <v>1545.5652173912999</v>
      </c>
      <c r="EH390" s="19">
        <v>17.774000000000001</v>
      </c>
      <c r="EI390" s="19">
        <v>1677.9130434782601</v>
      </c>
      <c r="EJ390" s="19">
        <v>19.297000000000001</v>
      </c>
      <c r="EK390" s="19">
        <v>1519.8173913043499</v>
      </c>
      <c r="EL390" s="19">
        <v>17.478999999999999</v>
      </c>
      <c r="EM390" s="19">
        <v>1050.25217391304</v>
      </c>
      <c r="EN390" s="19">
        <v>12.079000000000001</v>
      </c>
      <c r="EO390" s="19">
        <v>0</v>
      </c>
      <c r="EP390" s="19">
        <v>0</v>
      </c>
      <c r="EQ390" s="19">
        <v>878.77391304347805</v>
      </c>
      <c r="ER390" s="19">
        <v>10.106</v>
      </c>
      <c r="ES390" s="119">
        <v>1025.3913043478301</v>
      </c>
      <c r="ET390" s="119">
        <v>11.792</v>
      </c>
    </row>
    <row r="391" spans="1:150" ht="16.5" customHeight="1" x14ac:dyDescent="0.35">
      <c r="A391" s="4">
        <v>216</v>
      </c>
      <c r="B391" s="4" t="str">
        <f>LOOKUP(A391,Lookup!$A$1:$A$34,Lookup!$B$1:$B$34)</f>
        <v>BUTCH  WORS/MINCE/PAT</v>
      </c>
      <c r="C391" s="5">
        <v>12131</v>
      </c>
      <c r="D391" s="6" t="s">
        <v>372</v>
      </c>
      <c r="E391" s="18">
        <v>0</v>
      </c>
      <c r="F391" s="18">
        <v>0</v>
      </c>
      <c r="G391" s="18">
        <v>0</v>
      </c>
      <c r="H391" s="18">
        <v>0</v>
      </c>
      <c r="I391" s="19">
        <v>0</v>
      </c>
      <c r="J391" s="19">
        <v>0</v>
      </c>
      <c r="K391" s="19">
        <v>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0</v>
      </c>
      <c r="AL391" s="19">
        <v>0</v>
      </c>
      <c r="AM391" s="19">
        <v>0</v>
      </c>
      <c r="AN391" s="19">
        <v>0</v>
      </c>
      <c r="AO391" s="19">
        <v>0</v>
      </c>
      <c r="AP391" s="19">
        <v>0</v>
      </c>
      <c r="AQ391" s="19">
        <v>0</v>
      </c>
      <c r="AR391" s="19">
        <v>0</v>
      </c>
      <c r="AS391" s="19">
        <v>0</v>
      </c>
      <c r="AT391" s="19">
        <v>0</v>
      </c>
      <c r="AU391" s="19">
        <v>0</v>
      </c>
      <c r="AV391" s="19">
        <v>0</v>
      </c>
      <c r="AW391" s="19">
        <v>0</v>
      </c>
      <c r="AX391" s="19">
        <v>0</v>
      </c>
      <c r="AY391" s="19">
        <v>0</v>
      </c>
      <c r="AZ391" s="19">
        <v>0</v>
      </c>
      <c r="BA391" s="19">
        <v>0</v>
      </c>
      <c r="BB391" s="19">
        <v>0</v>
      </c>
      <c r="BC391" s="19">
        <v>0</v>
      </c>
      <c r="BD391" s="19">
        <v>0</v>
      </c>
      <c r="BE391" s="19">
        <v>0</v>
      </c>
      <c r="BF391" s="19">
        <v>0</v>
      </c>
      <c r="BG391" s="19">
        <v>0</v>
      </c>
      <c r="BH391" s="19">
        <v>0</v>
      </c>
      <c r="BI391" s="19">
        <v>0</v>
      </c>
      <c r="BJ391" s="19">
        <v>0</v>
      </c>
      <c r="BK391" s="19">
        <v>0</v>
      </c>
      <c r="BL391" s="19">
        <v>0</v>
      </c>
      <c r="BM391" s="19">
        <v>0</v>
      </c>
      <c r="BN391" s="19">
        <v>0</v>
      </c>
      <c r="BO391" s="19">
        <v>0</v>
      </c>
      <c r="BP391" s="19">
        <v>0</v>
      </c>
      <c r="BQ391" s="19">
        <v>0</v>
      </c>
      <c r="BR391" s="19">
        <v>0</v>
      </c>
      <c r="BS391" s="19">
        <v>0</v>
      </c>
      <c r="BT391" s="19">
        <v>0</v>
      </c>
      <c r="BU391" s="19">
        <v>0</v>
      </c>
      <c r="BV391" s="19">
        <v>0</v>
      </c>
      <c r="BW391" s="19">
        <v>0</v>
      </c>
      <c r="BX391" s="19">
        <v>0</v>
      </c>
      <c r="BY391" s="19">
        <v>0</v>
      </c>
      <c r="BZ391" s="19">
        <v>0</v>
      </c>
      <c r="CA391" s="19">
        <v>0</v>
      </c>
      <c r="CB391" s="19">
        <v>0</v>
      </c>
      <c r="CC391" s="19">
        <v>0</v>
      </c>
      <c r="CD391" s="19">
        <v>0</v>
      </c>
      <c r="CE391" s="19">
        <v>0</v>
      </c>
      <c r="CF391" s="19">
        <v>0</v>
      </c>
      <c r="CG391" s="19">
        <v>0</v>
      </c>
      <c r="CH391" s="19">
        <v>0</v>
      </c>
      <c r="CI391" s="19">
        <v>0</v>
      </c>
      <c r="CJ391" s="19">
        <v>0</v>
      </c>
      <c r="CK391" s="19">
        <v>0</v>
      </c>
      <c r="CL391" s="19">
        <v>0</v>
      </c>
      <c r="CM391" s="19">
        <v>0</v>
      </c>
      <c r="CN391" s="19">
        <v>0</v>
      </c>
      <c r="CO391" s="19">
        <v>0</v>
      </c>
      <c r="CP391" s="19">
        <v>0</v>
      </c>
      <c r="CQ391" s="19">
        <v>0</v>
      </c>
      <c r="CR391" s="19">
        <v>0</v>
      </c>
      <c r="CS391" s="19">
        <v>0</v>
      </c>
      <c r="CT391" s="19">
        <v>0</v>
      </c>
      <c r="CU391" s="19">
        <v>0</v>
      </c>
      <c r="CV391" s="19">
        <v>0</v>
      </c>
      <c r="CW391" s="19">
        <v>0</v>
      </c>
      <c r="CX391" s="19">
        <v>0</v>
      </c>
      <c r="CY391" s="19">
        <v>0</v>
      </c>
      <c r="CZ391" s="19">
        <v>0</v>
      </c>
      <c r="DA391" s="19">
        <v>0</v>
      </c>
      <c r="DB391" s="19">
        <v>0</v>
      </c>
      <c r="DC391" s="19">
        <v>0</v>
      </c>
      <c r="DD391" s="19">
        <v>0</v>
      </c>
      <c r="DE391" s="19">
        <v>0</v>
      </c>
      <c r="DF391" s="19">
        <v>0</v>
      </c>
      <c r="DG391" s="19">
        <v>0</v>
      </c>
      <c r="DH391" s="19">
        <v>0</v>
      </c>
      <c r="DI391" s="19">
        <v>0</v>
      </c>
      <c r="DJ391" s="19">
        <v>0</v>
      </c>
      <c r="DK391" s="19">
        <v>0</v>
      </c>
      <c r="DL391" s="19">
        <v>0</v>
      </c>
      <c r="DM391" s="19">
        <v>0</v>
      </c>
      <c r="DN391" s="19">
        <v>0</v>
      </c>
      <c r="DO391" s="19">
        <v>0</v>
      </c>
      <c r="DP391" s="19">
        <v>0</v>
      </c>
      <c r="DQ391" s="19">
        <v>0</v>
      </c>
      <c r="DR391" s="19">
        <v>0</v>
      </c>
      <c r="DS391" s="19">
        <v>0</v>
      </c>
      <c r="DT391" s="19">
        <v>0</v>
      </c>
      <c r="DU391" s="19">
        <v>0</v>
      </c>
      <c r="DV391" s="19">
        <v>0</v>
      </c>
      <c r="DW391" s="19">
        <v>0</v>
      </c>
      <c r="DX391" s="19">
        <v>0</v>
      </c>
      <c r="DY391" s="19">
        <v>0</v>
      </c>
      <c r="DZ391" s="19">
        <v>0</v>
      </c>
      <c r="EA391" s="19">
        <v>0</v>
      </c>
      <c r="EB391" s="19">
        <v>0</v>
      </c>
      <c r="EC391" s="19">
        <v>0</v>
      </c>
      <c r="ED391" s="19">
        <v>0</v>
      </c>
      <c r="EE391" s="19">
        <v>0</v>
      </c>
      <c r="EF391" s="19">
        <v>0</v>
      </c>
      <c r="EG391" s="19">
        <v>0</v>
      </c>
      <c r="EH391" s="19">
        <v>0</v>
      </c>
      <c r="EI391" s="19">
        <v>0</v>
      </c>
      <c r="EJ391" s="19">
        <v>0</v>
      </c>
      <c r="EK391" s="19">
        <v>0</v>
      </c>
      <c r="EL391" s="19">
        <v>0</v>
      </c>
      <c r="EM391" s="19">
        <v>0</v>
      </c>
      <c r="EN391" s="19">
        <v>0</v>
      </c>
      <c r="EO391" s="19">
        <v>0</v>
      </c>
      <c r="EP391" s="19">
        <v>0</v>
      </c>
      <c r="EQ391" s="19">
        <v>0</v>
      </c>
      <c r="ER391" s="19">
        <v>0</v>
      </c>
      <c r="ES391" s="119">
        <v>0</v>
      </c>
      <c r="ET391" s="119">
        <v>0</v>
      </c>
    </row>
    <row r="392" spans="1:150" ht="16.5" customHeight="1" x14ac:dyDescent="0.35">
      <c r="A392" s="4">
        <v>216</v>
      </c>
      <c r="B392" s="4" t="str">
        <f>LOOKUP(A392,Lookup!$A$1:$A$34,Lookup!$B$1:$B$34)</f>
        <v>BUTCH  WORS/MINCE/PAT</v>
      </c>
      <c r="C392" s="5">
        <v>12140</v>
      </c>
      <c r="D392" s="6" t="s">
        <v>373</v>
      </c>
      <c r="E392" s="18">
        <v>22.511696264543801</v>
      </c>
      <c r="F392" s="18">
        <v>0.16900000000000001</v>
      </c>
      <c r="G392" s="18">
        <v>1598.3304347826099</v>
      </c>
      <c r="H392" s="18">
        <v>12.004</v>
      </c>
      <c r="I392" s="19">
        <v>0</v>
      </c>
      <c r="J392" s="19">
        <v>0</v>
      </c>
      <c r="K392" s="19">
        <v>0</v>
      </c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19">
        <v>0</v>
      </c>
      <c r="AM392" s="19">
        <v>0</v>
      </c>
      <c r="AN392" s="19">
        <v>0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0</v>
      </c>
      <c r="AV392" s="19">
        <v>0</v>
      </c>
      <c r="AW392" s="19">
        <v>0</v>
      </c>
      <c r="AX392" s="19">
        <v>0</v>
      </c>
      <c r="AY392" s="19">
        <v>0</v>
      </c>
      <c r="AZ392" s="19">
        <v>0</v>
      </c>
      <c r="BA392" s="19">
        <v>0</v>
      </c>
      <c r="BB392" s="19">
        <v>0</v>
      </c>
      <c r="BC392" s="19">
        <v>0</v>
      </c>
      <c r="BD392" s="19">
        <v>0</v>
      </c>
      <c r="BE392" s="19">
        <v>0</v>
      </c>
      <c r="BF392" s="19">
        <v>0</v>
      </c>
      <c r="BG392" s="19">
        <v>91.426086956521701</v>
      </c>
      <c r="BH392" s="19">
        <v>0.67400000000000004</v>
      </c>
      <c r="BI392" s="19">
        <v>759.33043478260902</v>
      </c>
      <c r="BJ392" s="19">
        <v>5.5979999999999999</v>
      </c>
      <c r="BK392" s="19">
        <v>0</v>
      </c>
      <c r="BL392" s="19">
        <v>0</v>
      </c>
      <c r="BM392" s="19">
        <v>0</v>
      </c>
      <c r="BN392" s="19">
        <v>0</v>
      </c>
      <c r="BO392" s="19">
        <v>747.573913043478</v>
      </c>
      <c r="BP392" s="19">
        <v>5.7320000000000002</v>
      </c>
      <c r="BQ392" s="19">
        <v>0</v>
      </c>
      <c r="BR392" s="19">
        <v>0</v>
      </c>
      <c r="BS392" s="19">
        <v>0</v>
      </c>
      <c r="BT392" s="19">
        <v>0</v>
      </c>
      <c r="BU392" s="19">
        <v>0</v>
      </c>
      <c r="BV392" s="19">
        <v>0</v>
      </c>
      <c r="BW392" s="19">
        <v>0</v>
      </c>
      <c r="BX392" s="19">
        <v>0</v>
      </c>
      <c r="BY392" s="19">
        <v>0</v>
      </c>
      <c r="BZ392" s="19">
        <v>0</v>
      </c>
      <c r="CA392" s="19">
        <v>0</v>
      </c>
      <c r="CB392" s="19">
        <v>0</v>
      </c>
      <c r="CC392" s="19">
        <v>0</v>
      </c>
      <c r="CD392" s="19">
        <v>0</v>
      </c>
      <c r="CE392" s="19">
        <v>0</v>
      </c>
      <c r="CF392" s="19">
        <v>0</v>
      </c>
      <c r="CG392" s="19">
        <v>0</v>
      </c>
      <c r="CH392" s="19">
        <v>0</v>
      </c>
      <c r="CI392" s="19">
        <v>0</v>
      </c>
      <c r="CJ392" s="19">
        <v>0</v>
      </c>
      <c r="CK392" s="19">
        <v>0</v>
      </c>
      <c r="CL392" s="19">
        <v>0</v>
      </c>
      <c r="CM392" s="19">
        <v>0</v>
      </c>
      <c r="CN392" s="19">
        <v>0</v>
      </c>
      <c r="CO392" s="19">
        <v>0</v>
      </c>
      <c r="CP392" s="19">
        <v>0</v>
      </c>
      <c r="CQ392" s="19">
        <v>0</v>
      </c>
      <c r="CR392" s="19">
        <v>0</v>
      </c>
      <c r="CS392" s="19">
        <v>0</v>
      </c>
      <c r="CT392" s="19">
        <v>0</v>
      </c>
      <c r="CU392" s="19">
        <v>0</v>
      </c>
      <c r="CV392" s="19">
        <v>0</v>
      </c>
      <c r="CW392" s="19">
        <v>0</v>
      </c>
      <c r="CX392" s="19">
        <v>0</v>
      </c>
      <c r="CY392" s="19">
        <v>0</v>
      </c>
      <c r="CZ392" s="19">
        <v>0</v>
      </c>
      <c r="DA392" s="19">
        <v>0</v>
      </c>
      <c r="DB392" s="19">
        <v>0</v>
      </c>
      <c r="DC392" s="19">
        <v>0</v>
      </c>
      <c r="DD392" s="19">
        <v>0</v>
      </c>
      <c r="DE392" s="19">
        <v>0</v>
      </c>
      <c r="DF392" s="19">
        <v>0</v>
      </c>
      <c r="DG392" s="19">
        <v>0</v>
      </c>
      <c r="DH392" s="19">
        <v>0</v>
      </c>
      <c r="DI392" s="19">
        <v>0</v>
      </c>
      <c r="DJ392" s="19">
        <v>0</v>
      </c>
      <c r="DK392" s="19">
        <v>0</v>
      </c>
      <c r="DL392" s="19">
        <v>0</v>
      </c>
      <c r="DM392" s="19">
        <v>0</v>
      </c>
      <c r="DN392" s="19">
        <v>0</v>
      </c>
      <c r="DO392" s="19">
        <v>0</v>
      </c>
      <c r="DP392" s="19">
        <v>0</v>
      </c>
      <c r="DQ392" s="19">
        <v>0</v>
      </c>
      <c r="DR392" s="19">
        <v>0</v>
      </c>
      <c r="DS392" s="19">
        <v>0</v>
      </c>
      <c r="DT392" s="19">
        <v>0</v>
      </c>
      <c r="DU392" s="19">
        <v>0</v>
      </c>
      <c r="DV392" s="19">
        <v>0</v>
      </c>
      <c r="DW392" s="19">
        <v>0</v>
      </c>
      <c r="DX392" s="19">
        <v>0</v>
      </c>
      <c r="DY392" s="19">
        <v>0</v>
      </c>
      <c r="DZ392" s="19">
        <v>0</v>
      </c>
      <c r="EA392" s="19">
        <v>0</v>
      </c>
      <c r="EB392" s="19">
        <v>0</v>
      </c>
      <c r="EC392" s="19">
        <v>0</v>
      </c>
      <c r="ED392" s="19">
        <v>0</v>
      </c>
      <c r="EE392" s="19">
        <v>0</v>
      </c>
      <c r="EF392" s="19">
        <v>0</v>
      </c>
      <c r="EG392" s="19">
        <v>0</v>
      </c>
      <c r="EH392" s="19">
        <v>0</v>
      </c>
      <c r="EI392" s="19">
        <v>0</v>
      </c>
      <c r="EJ392" s="19">
        <v>0</v>
      </c>
      <c r="EK392" s="19">
        <v>0</v>
      </c>
      <c r="EL392" s="19">
        <v>0</v>
      </c>
      <c r="EM392" s="19">
        <v>0</v>
      </c>
      <c r="EN392" s="19">
        <v>0</v>
      </c>
      <c r="EO392" s="19">
        <v>0</v>
      </c>
      <c r="EP392" s="19">
        <v>0</v>
      </c>
      <c r="EQ392" s="19">
        <v>0</v>
      </c>
      <c r="ER392" s="19">
        <v>0</v>
      </c>
      <c r="ES392" s="119">
        <v>0</v>
      </c>
      <c r="ET392" s="119">
        <v>0</v>
      </c>
    </row>
    <row r="393" spans="1:150" ht="16.5" customHeight="1" x14ac:dyDescent="0.35">
      <c r="A393" s="4">
        <v>216</v>
      </c>
      <c r="B393" s="4" t="str">
        <f>LOOKUP(A393,Lookup!$A$1:$A$34,Lookup!$B$1:$B$34)</f>
        <v>BUTCH  WORS/MINCE/PAT</v>
      </c>
      <c r="C393" s="5">
        <v>16182</v>
      </c>
      <c r="D393" s="6" t="s">
        <v>374</v>
      </c>
      <c r="E393" s="18">
        <v>685.53741579914299</v>
      </c>
      <c r="F393" s="18">
        <v>7.0750000000000002</v>
      </c>
      <c r="G393" s="18">
        <v>48673.156521739103</v>
      </c>
      <c r="H393" s="18">
        <v>502.339</v>
      </c>
      <c r="I393" s="19">
        <v>0</v>
      </c>
      <c r="J393" s="19">
        <v>0</v>
      </c>
      <c r="K393" s="19">
        <v>0</v>
      </c>
      <c r="L393" s="19">
        <v>0</v>
      </c>
      <c r="M393" s="19">
        <v>0</v>
      </c>
      <c r="N393" s="19">
        <v>0</v>
      </c>
      <c r="O393" s="19">
        <v>0</v>
      </c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9">
        <v>0</v>
      </c>
      <c r="V393" s="19">
        <v>0</v>
      </c>
      <c r="W393" s="19">
        <v>0</v>
      </c>
      <c r="X393" s="19">
        <v>0</v>
      </c>
      <c r="Y393" s="19">
        <v>0</v>
      </c>
      <c r="Z393" s="19">
        <v>0</v>
      </c>
      <c r="AA393" s="19">
        <v>0</v>
      </c>
      <c r="AB393" s="19">
        <v>0</v>
      </c>
      <c r="AC393" s="19">
        <v>0</v>
      </c>
      <c r="AD393" s="19">
        <v>0</v>
      </c>
      <c r="AE393" s="19">
        <v>0</v>
      </c>
      <c r="AF393" s="19">
        <v>0</v>
      </c>
      <c r="AG393" s="19">
        <v>0</v>
      </c>
      <c r="AH393" s="19">
        <v>0</v>
      </c>
      <c r="AI393" s="19">
        <v>0</v>
      </c>
      <c r="AJ393" s="19">
        <v>0</v>
      </c>
      <c r="AK393" s="19">
        <v>1086.5999999999999</v>
      </c>
      <c r="AL393" s="19">
        <v>11.36</v>
      </c>
      <c r="AM393" s="19">
        <v>2102.7565217391302</v>
      </c>
      <c r="AN393" s="19">
        <v>21.984000000000002</v>
      </c>
      <c r="AO393" s="19">
        <v>0</v>
      </c>
      <c r="AP393" s="19">
        <v>0</v>
      </c>
      <c r="AQ393" s="19">
        <v>0</v>
      </c>
      <c r="AR393" s="19">
        <v>0</v>
      </c>
      <c r="AS393" s="19">
        <v>1641.73913043478</v>
      </c>
      <c r="AT393" s="19">
        <v>17.166</v>
      </c>
      <c r="AU393" s="19">
        <v>1147.75652173913</v>
      </c>
      <c r="AV393" s="19">
        <v>12</v>
      </c>
      <c r="AW393" s="19">
        <v>0</v>
      </c>
      <c r="AX393" s="19">
        <v>0</v>
      </c>
      <c r="AY393" s="19">
        <v>0</v>
      </c>
      <c r="AZ393" s="19">
        <v>0</v>
      </c>
      <c r="BA393" s="19">
        <v>0</v>
      </c>
      <c r="BB393" s="19">
        <v>0</v>
      </c>
      <c r="BC393" s="19">
        <v>0</v>
      </c>
      <c r="BD393" s="19">
        <v>0</v>
      </c>
      <c r="BE393" s="19">
        <v>0</v>
      </c>
      <c r="BF393" s="19">
        <v>0</v>
      </c>
      <c r="BG393" s="19">
        <v>0</v>
      </c>
      <c r="BH393" s="19">
        <v>0</v>
      </c>
      <c r="BI393" s="19">
        <v>0</v>
      </c>
      <c r="BJ393" s="19">
        <v>0</v>
      </c>
      <c r="BK393" s="19">
        <v>0</v>
      </c>
      <c r="BL393" s="19">
        <v>0</v>
      </c>
      <c r="BM393" s="19">
        <v>0</v>
      </c>
      <c r="BN393" s="19">
        <v>0</v>
      </c>
      <c r="BO393" s="19">
        <v>0</v>
      </c>
      <c r="BP393" s="19">
        <v>0</v>
      </c>
      <c r="BQ393" s="19">
        <v>0</v>
      </c>
      <c r="BR393" s="19">
        <v>0</v>
      </c>
      <c r="BS393" s="19">
        <v>0</v>
      </c>
      <c r="BT393" s="19">
        <v>0</v>
      </c>
      <c r="BU393" s="19">
        <v>0</v>
      </c>
      <c r="BV393" s="19">
        <v>0</v>
      </c>
      <c r="BW393" s="19">
        <v>0</v>
      </c>
      <c r="BX393" s="19">
        <v>0</v>
      </c>
      <c r="BY393" s="19">
        <v>0</v>
      </c>
      <c r="BZ393" s="19">
        <v>0</v>
      </c>
      <c r="CA393" s="19">
        <v>0</v>
      </c>
      <c r="CB393" s="19">
        <v>0</v>
      </c>
      <c r="CC393" s="19">
        <v>0</v>
      </c>
      <c r="CD393" s="19">
        <v>0</v>
      </c>
      <c r="CE393" s="19">
        <v>0</v>
      </c>
      <c r="CF393" s="19">
        <v>0</v>
      </c>
      <c r="CG393" s="19">
        <v>0</v>
      </c>
      <c r="CH393" s="19">
        <v>0</v>
      </c>
      <c r="CI393" s="19">
        <v>0</v>
      </c>
      <c r="CJ393" s="19">
        <v>0</v>
      </c>
      <c r="CK393" s="19">
        <v>0</v>
      </c>
      <c r="CL393" s="19">
        <v>0</v>
      </c>
      <c r="CM393" s="19">
        <v>0</v>
      </c>
      <c r="CN393" s="19">
        <v>0</v>
      </c>
      <c r="CO393" s="19">
        <v>1078.72173913043</v>
      </c>
      <c r="CP393" s="19">
        <v>11.278</v>
      </c>
      <c r="CQ393" s="19">
        <v>2469.3391304347801</v>
      </c>
      <c r="CR393" s="19">
        <v>25.818000000000001</v>
      </c>
      <c r="CS393" s="19">
        <v>2123.45217391304</v>
      </c>
      <c r="CT393" s="19">
        <v>22.2</v>
      </c>
      <c r="CU393" s="19">
        <v>1828.8</v>
      </c>
      <c r="CV393" s="19">
        <v>17.527000000000001</v>
      </c>
      <c r="CW393" s="19">
        <v>1013.21739130435</v>
      </c>
      <c r="CX393" s="19">
        <v>9.7100000000000009</v>
      </c>
      <c r="CY393" s="19">
        <v>243.33913043478299</v>
      </c>
      <c r="CZ393" s="19">
        <v>2.1520000000000001</v>
      </c>
      <c r="DA393" s="19">
        <v>0</v>
      </c>
      <c r="DB393" s="19">
        <v>0</v>
      </c>
      <c r="DC393" s="19">
        <v>1632.95652173913</v>
      </c>
      <c r="DD393" s="19">
        <v>17.073</v>
      </c>
      <c r="DE393" s="19">
        <v>2817.9043478260901</v>
      </c>
      <c r="DF393" s="19">
        <v>29.462</v>
      </c>
      <c r="DG393" s="19">
        <v>2897.8782608695701</v>
      </c>
      <c r="DH393" s="19">
        <v>30.297000000000001</v>
      </c>
      <c r="DI393" s="19">
        <v>0</v>
      </c>
      <c r="DJ393" s="19">
        <v>0</v>
      </c>
      <c r="DK393" s="19">
        <v>0</v>
      </c>
      <c r="DL393" s="19">
        <v>0</v>
      </c>
      <c r="DM393" s="19">
        <v>1458.99130434783</v>
      </c>
      <c r="DN393" s="19">
        <v>13.981999999999999</v>
      </c>
      <c r="DO393" s="19">
        <v>2381.4086956521701</v>
      </c>
      <c r="DP393" s="19">
        <v>24.76</v>
      </c>
      <c r="DQ393" s="19">
        <v>3653.7217391304398</v>
      </c>
      <c r="DR393" s="19">
        <v>38.200000000000003</v>
      </c>
      <c r="DS393" s="19">
        <v>2336.00869565217</v>
      </c>
      <c r="DT393" s="19">
        <v>24.422999999999998</v>
      </c>
      <c r="DU393" s="19">
        <v>43.234782608695703</v>
      </c>
      <c r="DV393" s="19">
        <v>0.36599999999999999</v>
      </c>
      <c r="DW393" s="19">
        <v>0</v>
      </c>
      <c r="DX393" s="19">
        <v>0</v>
      </c>
      <c r="DY393" s="19">
        <v>0</v>
      </c>
      <c r="DZ393" s="19">
        <v>0</v>
      </c>
      <c r="EA393" s="19">
        <v>0</v>
      </c>
      <c r="EB393" s="19">
        <v>0</v>
      </c>
      <c r="EC393" s="19">
        <v>2318.6086956521699</v>
      </c>
      <c r="ED393" s="19">
        <v>24.241</v>
      </c>
      <c r="EE393" s="19">
        <v>2524.8260869565202</v>
      </c>
      <c r="EF393" s="19">
        <v>26.398</v>
      </c>
      <c r="EG393" s="19">
        <v>5300.6608695652203</v>
      </c>
      <c r="EH393" s="19">
        <v>55.418999999999997</v>
      </c>
      <c r="EI393" s="19">
        <v>4719.3478260869597</v>
      </c>
      <c r="EJ393" s="19">
        <v>49.343000000000004</v>
      </c>
      <c r="EK393" s="19">
        <v>1436.1130434782599</v>
      </c>
      <c r="EL393" s="19">
        <v>13.502000000000001</v>
      </c>
      <c r="EM393" s="19">
        <v>415.77391304347799</v>
      </c>
      <c r="EN393" s="19">
        <v>3.6779999999999999</v>
      </c>
      <c r="EO393" s="19">
        <v>0</v>
      </c>
      <c r="EP393" s="19">
        <v>0</v>
      </c>
      <c r="EQ393" s="19">
        <v>0</v>
      </c>
      <c r="ER393" s="19">
        <v>0</v>
      </c>
      <c r="ES393" s="119">
        <v>0</v>
      </c>
      <c r="ET393" s="119">
        <v>0</v>
      </c>
    </row>
    <row r="394" spans="1:150" ht="16.5" customHeight="1" x14ac:dyDescent="0.35">
      <c r="A394" s="4">
        <v>216</v>
      </c>
      <c r="B394" s="4" t="str">
        <f>LOOKUP(A394,Lookup!$A$1:$A$34,Lookup!$B$1:$B$34)</f>
        <v>BUTCH  WORS/MINCE/PAT</v>
      </c>
      <c r="C394" s="5">
        <v>32043</v>
      </c>
      <c r="D394" s="6" t="s">
        <v>375</v>
      </c>
      <c r="E394" s="18">
        <v>496.01726883037401</v>
      </c>
      <c r="F394" s="18">
        <v>4.359</v>
      </c>
      <c r="G394" s="18">
        <v>35217.2260869565</v>
      </c>
      <c r="H394" s="18">
        <v>309.45499999999998</v>
      </c>
      <c r="I394" s="19">
        <v>0</v>
      </c>
      <c r="J394" s="19">
        <v>0</v>
      </c>
      <c r="K394" s="19">
        <v>0</v>
      </c>
      <c r="L394" s="19">
        <v>0</v>
      </c>
      <c r="M394" s="19">
        <v>0</v>
      </c>
      <c r="N394" s="19">
        <v>0</v>
      </c>
      <c r="O394" s="19">
        <v>0</v>
      </c>
      <c r="P394" s="19">
        <v>0</v>
      </c>
      <c r="Q394" s="19">
        <v>0</v>
      </c>
      <c r="R394" s="19">
        <v>0</v>
      </c>
      <c r="S394" s="19">
        <v>0</v>
      </c>
      <c r="T394" s="19">
        <v>0</v>
      </c>
      <c r="U394" s="19">
        <v>0</v>
      </c>
      <c r="V394" s="19">
        <v>0</v>
      </c>
      <c r="W394" s="19">
        <v>0</v>
      </c>
      <c r="X394" s="19">
        <v>0</v>
      </c>
      <c r="Y394" s="19">
        <v>0</v>
      </c>
      <c r="Z394" s="19">
        <v>0</v>
      </c>
      <c r="AA394" s="19">
        <v>0</v>
      </c>
      <c r="AB394" s="19">
        <v>0</v>
      </c>
      <c r="AC394" s="19">
        <v>1114.0782608695699</v>
      </c>
      <c r="AD394" s="19">
        <v>11.754</v>
      </c>
      <c r="AE394" s="19">
        <v>1056.4434782608701</v>
      </c>
      <c r="AF394" s="19">
        <v>11.146000000000001</v>
      </c>
      <c r="AG394" s="19">
        <v>730.95652173913004</v>
      </c>
      <c r="AH394" s="19">
        <v>7.7119999999999997</v>
      </c>
      <c r="AI394" s="19">
        <v>0</v>
      </c>
      <c r="AJ394" s="19">
        <v>0</v>
      </c>
      <c r="AK394" s="19">
        <v>0</v>
      </c>
      <c r="AL394" s="19">
        <v>0</v>
      </c>
      <c r="AM394" s="19">
        <v>0</v>
      </c>
      <c r="AN394" s="19">
        <v>0</v>
      </c>
      <c r="AO394" s="19">
        <v>0</v>
      </c>
      <c r="AP394" s="19">
        <v>0</v>
      </c>
      <c r="AQ394" s="19">
        <v>0</v>
      </c>
      <c r="AR394" s="19">
        <v>0</v>
      </c>
      <c r="AS394" s="19">
        <v>0</v>
      </c>
      <c r="AT394" s="19">
        <v>0</v>
      </c>
      <c r="AU394" s="19">
        <v>0</v>
      </c>
      <c r="AV394" s="19">
        <v>0</v>
      </c>
      <c r="AW394" s="19">
        <v>0</v>
      </c>
      <c r="AX394" s="19">
        <v>0</v>
      </c>
      <c r="AY394" s="19">
        <v>0</v>
      </c>
      <c r="AZ394" s="19">
        <v>0</v>
      </c>
      <c r="BA394" s="19">
        <v>0</v>
      </c>
      <c r="BB394" s="19">
        <v>0</v>
      </c>
      <c r="BC394" s="19">
        <v>0</v>
      </c>
      <c r="BD394" s="19">
        <v>0</v>
      </c>
      <c r="BE394" s="19">
        <v>0</v>
      </c>
      <c r="BF394" s="19">
        <v>0</v>
      </c>
      <c r="BG394" s="19">
        <v>0</v>
      </c>
      <c r="BH394" s="19">
        <v>0</v>
      </c>
      <c r="BI394" s="19">
        <v>1686.8608695652199</v>
      </c>
      <c r="BJ394" s="19">
        <v>14.295999999999999</v>
      </c>
      <c r="BK394" s="19">
        <v>1232.79130434783</v>
      </c>
      <c r="BL394" s="19">
        <v>10.127000000000001</v>
      </c>
      <c r="BM394" s="19">
        <v>358.64347826086998</v>
      </c>
      <c r="BN394" s="19">
        <v>2.9460000000000002</v>
      </c>
      <c r="BO394" s="19">
        <v>1217.8782608695701</v>
      </c>
      <c r="BP394" s="19">
        <v>10.004</v>
      </c>
      <c r="BQ394" s="19">
        <v>1024.53913043478</v>
      </c>
      <c r="BR394" s="19">
        <v>8.4160000000000004</v>
      </c>
      <c r="BS394" s="19">
        <v>639.61739130434796</v>
      </c>
      <c r="BT394" s="19">
        <v>5.2539999999999996</v>
      </c>
      <c r="BU394" s="19">
        <v>0</v>
      </c>
      <c r="BV394" s="19">
        <v>0</v>
      </c>
      <c r="BW394" s="19">
        <v>0</v>
      </c>
      <c r="BX394" s="19">
        <v>0</v>
      </c>
      <c r="BY394" s="19">
        <v>2264.7130434782598</v>
      </c>
      <c r="BZ394" s="19">
        <v>20.035</v>
      </c>
      <c r="CA394" s="19">
        <v>1703.3391304347799</v>
      </c>
      <c r="CB394" s="19">
        <v>15.068</v>
      </c>
      <c r="CC394" s="19">
        <v>558.66086956521701</v>
      </c>
      <c r="CD394" s="19">
        <v>4.9420000000000002</v>
      </c>
      <c r="CE394" s="19">
        <v>0</v>
      </c>
      <c r="CF394" s="19">
        <v>0</v>
      </c>
      <c r="CG394" s="19">
        <v>1084.0869565217399</v>
      </c>
      <c r="CH394" s="19">
        <v>9.59</v>
      </c>
      <c r="CI394" s="19">
        <v>1164.8</v>
      </c>
      <c r="CJ394" s="19">
        <v>10.304</v>
      </c>
      <c r="CK394" s="19">
        <v>536.730434782609</v>
      </c>
      <c r="CL394" s="19">
        <v>4.7480000000000002</v>
      </c>
      <c r="CM394" s="19">
        <v>0</v>
      </c>
      <c r="CN394" s="19">
        <v>0</v>
      </c>
      <c r="CO394" s="19">
        <v>0</v>
      </c>
      <c r="CP394" s="19">
        <v>0</v>
      </c>
      <c r="CQ394" s="19">
        <v>0</v>
      </c>
      <c r="CR394" s="19">
        <v>0</v>
      </c>
      <c r="CS394" s="19">
        <v>0</v>
      </c>
      <c r="CT394" s="19">
        <v>0</v>
      </c>
      <c r="CU394" s="19">
        <v>0</v>
      </c>
      <c r="CV394" s="19">
        <v>0</v>
      </c>
      <c r="CW394" s="19">
        <v>0</v>
      </c>
      <c r="CX394" s="19">
        <v>0</v>
      </c>
      <c r="CY394" s="19">
        <v>0</v>
      </c>
      <c r="CZ394" s="19">
        <v>0</v>
      </c>
      <c r="DA394" s="19">
        <v>0</v>
      </c>
      <c r="DB394" s="19">
        <v>0</v>
      </c>
      <c r="DC394" s="19">
        <v>0</v>
      </c>
      <c r="DD394" s="19">
        <v>0</v>
      </c>
      <c r="DE394" s="19">
        <v>0</v>
      </c>
      <c r="DF394" s="19">
        <v>0</v>
      </c>
      <c r="DG394" s="19">
        <v>0</v>
      </c>
      <c r="DH394" s="19">
        <v>0</v>
      </c>
      <c r="DI394" s="19">
        <v>1002.89565217391</v>
      </c>
      <c r="DJ394" s="19">
        <v>7.9539999999999997</v>
      </c>
      <c r="DK394" s="19">
        <v>1500.1826086956501</v>
      </c>
      <c r="DL394" s="19">
        <v>11.898</v>
      </c>
      <c r="DM394" s="19">
        <v>676.58260869565197</v>
      </c>
      <c r="DN394" s="19">
        <v>5.3659999999999997</v>
      </c>
      <c r="DO394" s="19">
        <v>48.669565217391302</v>
      </c>
      <c r="DP394" s="19">
        <v>0.38600000000000001</v>
      </c>
      <c r="DQ394" s="19">
        <v>0</v>
      </c>
      <c r="DR394" s="19">
        <v>0</v>
      </c>
      <c r="DS394" s="19">
        <v>0</v>
      </c>
      <c r="DT394" s="19">
        <v>0</v>
      </c>
      <c r="DU394" s="19">
        <v>815.695652173913</v>
      </c>
      <c r="DV394" s="19">
        <v>6.7210000000000001</v>
      </c>
      <c r="DW394" s="19">
        <v>785.51304347826101</v>
      </c>
      <c r="DX394" s="19">
        <v>6.8209999999999997</v>
      </c>
      <c r="DY394" s="19">
        <v>2455.98260869565</v>
      </c>
      <c r="DZ394" s="19">
        <v>21.727</v>
      </c>
      <c r="EA394" s="19">
        <v>256.38260869565198</v>
      </c>
      <c r="EB394" s="19">
        <v>2.2679999999999998</v>
      </c>
      <c r="EC394" s="19">
        <v>0</v>
      </c>
      <c r="ED394" s="19">
        <v>0</v>
      </c>
      <c r="EE394" s="19">
        <v>764.85217391304298</v>
      </c>
      <c r="EF394" s="19">
        <v>6.766</v>
      </c>
      <c r="EG394" s="19">
        <v>919.04347826086905</v>
      </c>
      <c r="EH394" s="19">
        <v>8.1300000000000008</v>
      </c>
      <c r="EI394" s="19">
        <v>1843.51304347826</v>
      </c>
      <c r="EJ394" s="19">
        <v>16.308</v>
      </c>
      <c r="EK394" s="19">
        <v>1408.52173913043</v>
      </c>
      <c r="EL394" s="19">
        <v>12.46</v>
      </c>
      <c r="EM394" s="19">
        <v>1108.73043478261</v>
      </c>
      <c r="EN394" s="19">
        <v>9.8079999999999998</v>
      </c>
      <c r="EO394" s="19">
        <v>1327.8086956521699</v>
      </c>
      <c r="EP394" s="19">
        <v>11.746</v>
      </c>
      <c r="EQ394" s="19">
        <v>2131.3217391304402</v>
      </c>
      <c r="ER394" s="19">
        <v>18.853999999999999</v>
      </c>
      <c r="ES394" s="119">
        <v>2008.1043478260899</v>
      </c>
      <c r="ET394" s="119">
        <v>17.763999999999999</v>
      </c>
    </row>
    <row r="395" spans="1:150" ht="16.5" customHeight="1" x14ac:dyDescent="0.35">
      <c r="A395" s="4">
        <v>216</v>
      </c>
      <c r="B395" s="4" t="str">
        <f>LOOKUP(A395,Lookup!$A$1:$A$34,Lookup!$B$1:$B$34)</f>
        <v>BUTCH  WORS/MINCE/PAT</v>
      </c>
      <c r="C395" s="5">
        <v>32044</v>
      </c>
      <c r="D395" s="6" t="s">
        <v>376</v>
      </c>
      <c r="E395" s="18">
        <v>516.20992039191697</v>
      </c>
      <c r="F395" s="18">
        <v>5.4320000000000004</v>
      </c>
      <c r="G395" s="18">
        <v>36650.904347826101</v>
      </c>
      <c r="H395" s="18">
        <v>385.66300000000001</v>
      </c>
      <c r="I395" s="19">
        <v>3196.8260869565202</v>
      </c>
      <c r="J395" s="19">
        <v>36.768000000000001</v>
      </c>
      <c r="K395" s="19">
        <v>296.67826086956501</v>
      </c>
      <c r="L395" s="19">
        <v>3.35</v>
      </c>
      <c r="M395" s="19">
        <v>0</v>
      </c>
      <c r="N395" s="19">
        <v>0</v>
      </c>
      <c r="O395" s="19">
        <v>0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0</v>
      </c>
      <c r="X395" s="19">
        <v>0</v>
      </c>
      <c r="Y395" s="19">
        <v>1767.70434782609</v>
      </c>
      <c r="Z395" s="19">
        <v>20.329999999999998</v>
      </c>
      <c r="AA395" s="19">
        <v>2973.98260869565</v>
      </c>
      <c r="AB395" s="19">
        <v>34.204999999999998</v>
      </c>
      <c r="AC395" s="19">
        <v>0</v>
      </c>
      <c r="AD395" s="19">
        <v>0</v>
      </c>
      <c r="AE395" s="19">
        <v>0</v>
      </c>
      <c r="AF395" s="19">
        <v>0</v>
      </c>
      <c r="AG395" s="19">
        <v>2939.6956521739098</v>
      </c>
      <c r="AH395" s="19">
        <v>33.808999999999997</v>
      </c>
      <c r="AI395" s="19">
        <v>2526.9304347826101</v>
      </c>
      <c r="AJ395" s="19">
        <v>29.061</v>
      </c>
      <c r="AK395" s="19">
        <v>211.65217391304299</v>
      </c>
      <c r="AL395" s="19">
        <v>2.4340000000000002</v>
      </c>
      <c r="AM395" s="19">
        <v>0</v>
      </c>
      <c r="AN395" s="19">
        <v>0</v>
      </c>
      <c r="AO395" s="19">
        <v>947.68695652173903</v>
      </c>
      <c r="AP395" s="19">
        <v>9.9079999999999995</v>
      </c>
      <c r="AQ395" s="19">
        <v>0</v>
      </c>
      <c r="AR395" s="19">
        <v>0</v>
      </c>
      <c r="AS395" s="19">
        <v>0</v>
      </c>
      <c r="AT395" s="19">
        <v>0</v>
      </c>
      <c r="AU395" s="19">
        <v>0</v>
      </c>
      <c r="AV395" s="19">
        <v>0</v>
      </c>
      <c r="AW395" s="19">
        <v>0</v>
      </c>
      <c r="AX395" s="19">
        <v>0</v>
      </c>
      <c r="AY395" s="19">
        <v>0</v>
      </c>
      <c r="AZ395" s="19">
        <v>0</v>
      </c>
      <c r="BA395" s="19">
        <v>0</v>
      </c>
      <c r="BB395" s="19">
        <v>0</v>
      </c>
      <c r="BC395" s="19">
        <v>0</v>
      </c>
      <c r="BD395" s="19">
        <v>0</v>
      </c>
      <c r="BE395" s="19">
        <v>0</v>
      </c>
      <c r="BF395" s="19">
        <v>0</v>
      </c>
      <c r="BG395" s="19">
        <v>0</v>
      </c>
      <c r="BH395" s="19">
        <v>0</v>
      </c>
      <c r="BI395" s="19">
        <v>0</v>
      </c>
      <c r="BJ395" s="19">
        <v>0</v>
      </c>
      <c r="BK395" s="19">
        <v>0</v>
      </c>
      <c r="BL395" s="19">
        <v>0</v>
      </c>
      <c r="BM395" s="19">
        <v>0</v>
      </c>
      <c r="BN395" s="19">
        <v>0</v>
      </c>
      <c r="BO395" s="19">
        <v>0</v>
      </c>
      <c r="BP395" s="19">
        <v>0</v>
      </c>
      <c r="BQ395" s="19">
        <v>0</v>
      </c>
      <c r="BR395" s="19">
        <v>0</v>
      </c>
      <c r="BS395" s="19">
        <v>1303.72173913044</v>
      </c>
      <c r="BT395" s="19">
        <v>12.494999999999999</v>
      </c>
      <c r="BU395" s="19">
        <v>1598.4</v>
      </c>
      <c r="BV395" s="19">
        <v>15.318</v>
      </c>
      <c r="BW395" s="19">
        <v>1851.3391304347799</v>
      </c>
      <c r="BX395" s="19">
        <v>17.513000000000002</v>
      </c>
      <c r="BY395" s="19">
        <v>231.852173913043</v>
      </c>
      <c r="BZ395" s="19">
        <v>1.9039999999999999</v>
      </c>
      <c r="CA395" s="19">
        <v>0</v>
      </c>
      <c r="CB395" s="19">
        <v>0</v>
      </c>
      <c r="CC395" s="19">
        <v>2084.45217391304</v>
      </c>
      <c r="CD395" s="19">
        <v>21.792999999999999</v>
      </c>
      <c r="CE395" s="19">
        <v>1698.97391304348</v>
      </c>
      <c r="CF395" s="19">
        <v>17.762</v>
      </c>
      <c r="CG395" s="19">
        <v>2903.6173913043499</v>
      </c>
      <c r="CH395" s="19">
        <v>28.908000000000001</v>
      </c>
      <c r="CI395" s="19">
        <v>2570.5565217391299</v>
      </c>
      <c r="CJ395" s="19">
        <v>26.876000000000001</v>
      </c>
      <c r="CK395" s="19">
        <v>120.139130434783</v>
      </c>
      <c r="CL395" s="19">
        <v>1.256</v>
      </c>
      <c r="CM395" s="19">
        <v>0</v>
      </c>
      <c r="CN395" s="19">
        <v>0</v>
      </c>
      <c r="CO395" s="19">
        <v>0</v>
      </c>
      <c r="CP395" s="19">
        <v>0</v>
      </c>
      <c r="CQ395" s="19">
        <v>0</v>
      </c>
      <c r="CR395" s="19">
        <v>0</v>
      </c>
      <c r="CS395" s="19">
        <v>0</v>
      </c>
      <c r="CT395" s="19">
        <v>0</v>
      </c>
      <c r="CU395" s="19">
        <v>0</v>
      </c>
      <c r="CV395" s="19">
        <v>0</v>
      </c>
      <c r="CW395" s="19">
        <v>0</v>
      </c>
      <c r="CX395" s="19">
        <v>0</v>
      </c>
      <c r="CY395" s="19">
        <v>1815.6608695652201</v>
      </c>
      <c r="CZ395" s="19">
        <v>18.983000000000001</v>
      </c>
      <c r="DA395" s="19">
        <v>1587.8173913043499</v>
      </c>
      <c r="DB395" s="19">
        <v>16.600999999999999</v>
      </c>
      <c r="DC395" s="19">
        <v>0</v>
      </c>
      <c r="DD395" s="19">
        <v>0</v>
      </c>
      <c r="DE395" s="19">
        <v>0</v>
      </c>
      <c r="DF395" s="19">
        <v>0</v>
      </c>
      <c r="DG395" s="19">
        <v>0</v>
      </c>
      <c r="DH395" s="19">
        <v>0</v>
      </c>
      <c r="DI395" s="19">
        <v>0</v>
      </c>
      <c r="DJ395" s="19">
        <v>0</v>
      </c>
      <c r="DK395" s="19">
        <v>0</v>
      </c>
      <c r="DL395" s="19">
        <v>0</v>
      </c>
      <c r="DM395" s="19">
        <v>0</v>
      </c>
      <c r="DN395" s="19">
        <v>0</v>
      </c>
      <c r="DO395" s="19">
        <v>0</v>
      </c>
      <c r="DP395" s="19">
        <v>0</v>
      </c>
      <c r="DQ395" s="19">
        <v>0</v>
      </c>
      <c r="DR395" s="19">
        <v>0</v>
      </c>
      <c r="DS395" s="19">
        <v>0</v>
      </c>
      <c r="DT395" s="19">
        <v>0</v>
      </c>
      <c r="DU395" s="19">
        <v>0</v>
      </c>
      <c r="DV395" s="19">
        <v>0</v>
      </c>
      <c r="DW395" s="19">
        <v>0</v>
      </c>
      <c r="DX395" s="19">
        <v>0</v>
      </c>
      <c r="DY395" s="19">
        <v>0</v>
      </c>
      <c r="DZ395" s="19">
        <v>0</v>
      </c>
      <c r="EA395" s="19">
        <v>0</v>
      </c>
      <c r="EB395" s="19">
        <v>0</v>
      </c>
      <c r="EC395" s="19">
        <v>0</v>
      </c>
      <c r="ED395" s="19">
        <v>0</v>
      </c>
      <c r="EE395" s="19">
        <v>0</v>
      </c>
      <c r="EF395" s="19">
        <v>0</v>
      </c>
      <c r="EG395" s="19">
        <v>0</v>
      </c>
      <c r="EH395" s="19">
        <v>0</v>
      </c>
      <c r="EI395" s="19">
        <v>0</v>
      </c>
      <c r="EJ395" s="19">
        <v>0</v>
      </c>
      <c r="EK395" s="19">
        <v>0</v>
      </c>
      <c r="EL395" s="19">
        <v>0</v>
      </c>
      <c r="EM395" s="19">
        <v>907.2</v>
      </c>
      <c r="EN395" s="19">
        <v>8.6950000000000003</v>
      </c>
      <c r="EO395" s="19">
        <v>2743.4260869565201</v>
      </c>
      <c r="EP395" s="19">
        <v>24.398</v>
      </c>
      <c r="EQ395" s="19">
        <v>372.591304347826</v>
      </c>
      <c r="ER395" s="19">
        <v>3.2959999999999998</v>
      </c>
      <c r="ES395" s="119">
        <v>0</v>
      </c>
      <c r="ET395" s="119">
        <v>0</v>
      </c>
    </row>
    <row r="396" spans="1:150" ht="16.5" customHeight="1" x14ac:dyDescent="0.35">
      <c r="A396" s="4">
        <v>216</v>
      </c>
      <c r="B396" s="4" t="str">
        <f>LOOKUP(A396,Lookup!$A$1:$A$34,Lookup!$B$1:$B$34)</f>
        <v>BUTCH  WORS/MINCE/PAT</v>
      </c>
      <c r="C396" s="5">
        <v>34160</v>
      </c>
      <c r="D396" s="6" t="s">
        <v>377</v>
      </c>
      <c r="E396" s="18">
        <v>2973.4243723208801</v>
      </c>
      <c r="F396" s="18">
        <v>30.742999999999999</v>
      </c>
      <c r="G396" s="18">
        <v>211113.130434783</v>
      </c>
      <c r="H396" s="18">
        <v>2182.752</v>
      </c>
      <c r="I396" s="19">
        <v>1940.4</v>
      </c>
      <c r="J396" s="19">
        <v>20.286000000000001</v>
      </c>
      <c r="K396" s="19">
        <v>2453.8608695652201</v>
      </c>
      <c r="L396" s="19">
        <v>25.655000000000001</v>
      </c>
      <c r="M396" s="19">
        <v>1957.04347826087</v>
      </c>
      <c r="N396" s="19">
        <v>20.46</v>
      </c>
      <c r="O396" s="19">
        <v>2473.00869565217</v>
      </c>
      <c r="P396" s="19">
        <v>26.533999999999999</v>
      </c>
      <c r="Q396" s="19">
        <v>3544.2956521739102</v>
      </c>
      <c r="R396" s="19">
        <v>37.057000000000002</v>
      </c>
      <c r="S396" s="19">
        <v>4460.0695652173899</v>
      </c>
      <c r="T396" s="19">
        <v>46.631</v>
      </c>
      <c r="U396" s="19">
        <v>2716.3478260869601</v>
      </c>
      <c r="V396" s="19">
        <v>30.512</v>
      </c>
      <c r="W396" s="19">
        <v>2210.2608695652202</v>
      </c>
      <c r="X396" s="19">
        <v>25.417999999999999</v>
      </c>
      <c r="Y396" s="19">
        <v>3695.8260869565202</v>
      </c>
      <c r="Z396" s="19">
        <v>42.506999999999998</v>
      </c>
      <c r="AA396" s="19">
        <v>3151.8086956521702</v>
      </c>
      <c r="AB396" s="19">
        <v>36.249000000000002</v>
      </c>
      <c r="AC396" s="19">
        <v>3077.7130434782598</v>
      </c>
      <c r="AD396" s="19">
        <v>35.396000000000001</v>
      </c>
      <c r="AE396" s="19">
        <v>2252.1739130434798</v>
      </c>
      <c r="AF396" s="19">
        <v>25.902000000000001</v>
      </c>
      <c r="AG396" s="19">
        <v>5078.2608695652198</v>
      </c>
      <c r="AH396" s="19">
        <v>58.406999999999996</v>
      </c>
      <c r="AI396" s="19">
        <v>3743.8260869565202</v>
      </c>
      <c r="AJ396" s="19">
        <v>43.058</v>
      </c>
      <c r="AK396" s="19">
        <v>2899.47826086957</v>
      </c>
      <c r="AL396" s="19">
        <v>32.497</v>
      </c>
      <c r="AM396" s="19">
        <v>2834.9391304347801</v>
      </c>
      <c r="AN396" s="19">
        <v>29.64</v>
      </c>
      <c r="AO396" s="19">
        <v>3223.0869565217399</v>
      </c>
      <c r="AP396" s="19">
        <v>34.090000000000003</v>
      </c>
      <c r="AQ396" s="19">
        <v>3301.50434782609</v>
      </c>
      <c r="AR396" s="19">
        <v>33.149000000000001</v>
      </c>
      <c r="AS396" s="19">
        <v>2415.00869565217</v>
      </c>
      <c r="AT396" s="19">
        <v>24.257999999999999</v>
      </c>
      <c r="AU396" s="19">
        <v>2361.6869565217398</v>
      </c>
      <c r="AV396" s="19">
        <v>26.564</v>
      </c>
      <c r="AW396" s="19">
        <v>3021.6608695652199</v>
      </c>
      <c r="AX396" s="19">
        <v>30.670999999999999</v>
      </c>
      <c r="AY396" s="19">
        <v>3059.2</v>
      </c>
      <c r="AZ396" s="19">
        <v>30.51</v>
      </c>
      <c r="BA396" s="19">
        <v>1707.1217391304299</v>
      </c>
      <c r="BB396" s="19">
        <v>16.36</v>
      </c>
      <c r="BC396" s="19">
        <v>2125.98260869565</v>
      </c>
      <c r="BD396" s="19">
        <v>18.224</v>
      </c>
      <c r="BE396" s="19">
        <v>2668.7565217391302</v>
      </c>
      <c r="BF396" s="19">
        <v>22.568000000000001</v>
      </c>
      <c r="BG396" s="19">
        <v>3024.0347826087</v>
      </c>
      <c r="BH396" s="19">
        <v>28.192</v>
      </c>
      <c r="BI396" s="19">
        <v>3826.0608695652199</v>
      </c>
      <c r="BJ396" s="19">
        <v>36.640999999999998</v>
      </c>
      <c r="BK396" s="19">
        <v>2357.4086956521701</v>
      </c>
      <c r="BL396" s="19">
        <v>21.513999999999999</v>
      </c>
      <c r="BM396" s="19">
        <v>2031.1478260869601</v>
      </c>
      <c r="BN396" s="19">
        <v>19.416</v>
      </c>
      <c r="BO396" s="19">
        <v>2669.8608695652201</v>
      </c>
      <c r="BP396" s="19">
        <v>24.295000000000002</v>
      </c>
      <c r="BQ396" s="19">
        <v>2635.1391304347799</v>
      </c>
      <c r="BR396" s="19">
        <v>26.51</v>
      </c>
      <c r="BS396" s="19">
        <v>3223.3043478260902</v>
      </c>
      <c r="BT396" s="19">
        <v>31.957999999999998</v>
      </c>
      <c r="BU396" s="19">
        <v>1943.21739130435</v>
      </c>
      <c r="BV396" s="19">
        <v>20.722000000000001</v>
      </c>
      <c r="BW396" s="19">
        <v>2602.2347826086998</v>
      </c>
      <c r="BX396" s="19">
        <v>27.774000000000001</v>
      </c>
      <c r="BY396" s="19">
        <v>3240.46956521739</v>
      </c>
      <c r="BZ396" s="19">
        <v>34.018000000000001</v>
      </c>
      <c r="CA396" s="19">
        <v>2679.2608695652202</v>
      </c>
      <c r="CB396" s="19">
        <v>27.11</v>
      </c>
      <c r="CC396" s="19">
        <v>2088.05217391304</v>
      </c>
      <c r="CD396" s="19">
        <v>22.43</v>
      </c>
      <c r="CE396" s="19">
        <v>2653.46956521739</v>
      </c>
      <c r="CF396" s="19">
        <v>27.001999999999999</v>
      </c>
      <c r="CG396" s="19">
        <v>4153.2869565217397</v>
      </c>
      <c r="CH396" s="19">
        <v>42.427999999999997</v>
      </c>
      <c r="CI396" s="19">
        <v>3308.2521739130402</v>
      </c>
      <c r="CJ396" s="19">
        <v>33.542000000000002</v>
      </c>
      <c r="CK396" s="19">
        <v>2458.1739130434798</v>
      </c>
      <c r="CL396" s="19">
        <v>25.486000000000001</v>
      </c>
      <c r="CM396" s="19">
        <v>2318.7739130434802</v>
      </c>
      <c r="CN396" s="19">
        <v>22.99</v>
      </c>
      <c r="CO396" s="19">
        <v>3343.95652173913</v>
      </c>
      <c r="CP396" s="19">
        <v>33.154000000000003</v>
      </c>
      <c r="CQ396" s="19">
        <v>3134.1478260869599</v>
      </c>
      <c r="CR396" s="19">
        <v>31.074000000000002</v>
      </c>
      <c r="CS396" s="19">
        <v>3225.52173913043</v>
      </c>
      <c r="CT396" s="19">
        <v>31.98</v>
      </c>
      <c r="CU396" s="19">
        <v>2082.54782608696</v>
      </c>
      <c r="CV396" s="19">
        <v>20.184000000000001</v>
      </c>
      <c r="CW396" s="19">
        <v>1468.28695652174</v>
      </c>
      <c r="CX396" s="19">
        <v>13.401999999999999</v>
      </c>
      <c r="CY396" s="19">
        <v>3817.7043478260898</v>
      </c>
      <c r="CZ396" s="19">
        <v>38.820999999999998</v>
      </c>
      <c r="DA396" s="19">
        <v>3821.6</v>
      </c>
      <c r="DB396" s="19">
        <v>40.024999999999999</v>
      </c>
      <c r="DC396" s="19">
        <v>2188.2695652173902</v>
      </c>
      <c r="DD396" s="19">
        <v>19.873999999999999</v>
      </c>
      <c r="DE396" s="19">
        <v>3226.8521739130401</v>
      </c>
      <c r="DF396" s="19">
        <v>28.166</v>
      </c>
      <c r="DG396" s="19">
        <v>1597.22608695652</v>
      </c>
      <c r="DH396" s="19">
        <v>13.606</v>
      </c>
      <c r="DI396" s="19">
        <v>2148.49565217391</v>
      </c>
      <c r="DJ396" s="19">
        <v>18.302</v>
      </c>
      <c r="DK396" s="19">
        <v>2609.3739130434801</v>
      </c>
      <c r="DL396" s="19">
        <v>22.85</v>
      </c>
      <c r="DM396" s="19">
        <v>2977.7652173913002</v>
      </c>
      <c r="DN396" s="19">
        <v>31.462</v>
      </c>
      <c r="DO396" s="19">
        <v>2965.50434782609</v>
      </c>
      <c r="DP396" s="19">
        <v>27.068000000000001</v>
      </c>
      <c r="DQ396" s="19">
        <v>2651.2956521739102</v>
      </c>
      <c r="DR396" s="19">
        <v>28.442</v>
      </c>
      <c r="DS396" s="19">
        <v>2804.7043478260898</v>
      </c>
      <c r="DT396" s="19">
        <v>31.216000000000001</v>
      </c>
      <c r="DU396" s="19">
        <v>3074.3913043478301</v>
      </c>
      <c r="DV396" s="19">
        <v>28.574999999999999</v>
      </c>
      <c r="DW396" s="19">
        <v>1964.9391304347801</v>
      </c>
      <c r="DX396" s="19">
        <v>19.923999999999999</v>
      </c>
      <c r="DY396" s="19">
        <v>4867.9304347826101</v>
      </c>
      <c r="DZ396" s="19">
        <v>50.896999999999998</v>
      </c>
      <c r="EA396" s="19">
        <v>3599.00869565217</v>
      </c>
      <c r="EB396" s="19">
        <v>38.182000000000002</v>
      </c>
      <c r="EC396" s="19">
        <v>2399.0695652173899</v>
      </c>
      <c r="ED396" s="19">
        <v>25.782</v>
      </c>
      <c r="EE396" s="19">
        <v>3018.5913043478299</v>
      </c>
      <c r="EF396" s="19">
        <v>35.646000000000001</v>
      </c>
      <c r="EG396" s="19">
        <v>3402.1391304347799</v>
      </c>
      <c r="EH396" s="19">
        <v>38.42</v>
      </c>
      <c r="EI396" s="19">
        <v>2931.1565217391299</v>
      </c>
      <c r="EJ396" s="19">
        <v>30.643999999999998</v>
      </c>
      <c r="EK396" s="19">
        <v>4051.6347826086999</v>
      </c>
      <c r="EL396" s="19">
        <v>46.911999999999999</v>
      </c>
      <c r="EM396" s="19">
        <v>2708.1043478260899</v>
      </c>
      <c r="EN396" s="19">
        <v>30.225000000000001</v>
      </c>
      <c r="EO396" s="19">
        <v>4733.6347826087003</v>
      </c>
      <c r="EP396" s="19">
        <v>50.143000000000001</v>
      </c>
      <c r="EQ396" s="19">
        <v>6251.6347826086903</v>
      </c>
      <c r="ER396" s="19">
        <v>65.364000000000004</v>
      </c>
      <c r="ES396" s="119">
        <v>4714.1217391304299</v>
      </c>
      <c r="ET396" s="119">
        <v>50.414999999999999</v>
      </c>
    </row>
    <row r="397" spans="1:150" ht="16.5" customHeight="1" x14ac:dyDescent="0.35">
      <c r="A397" s="4">
        <v>216</v>
      </c>
      <c r="B397" s="4" t="str">
        <f>LOOKUP(A397,Lookup!$A$1:$A$34,Lookup!$B$1:$B$34)</f>
        <v>BUTCH  WORS/MINCE/PAT</v>
      </c>
      <c r="C397" s="5">
        <v>34189</v>
      </c>
      <c r="D397" s="6" t="s">
        <v>309</v>
      </c>
      <c r="E397" s="18">
        <v>2168.2335578689499</v>
      </c>
      <c r="F397" s="18">
        <v>19.800999999999998</v>
      </c>
      <c r="G397" s="18">
        <v>153944.58260869599</v>
      </c>
      <c r="H397" s="18">
        <v>1405.8620000000001</v>
      </c>
      <c r="I397" s="19">
        <v>1646.98260869565</v>
      </c>
      <c r="J397" s="19">
        <v>15.784000000000001</v>
      </c>
      <c r="K397" s="19">
        <v>1799.3217391304299</v>
      </c>
      <c r="L397" s="19">
        <v>17.244</v>
      </c>
      <c r="M397" s="19">
        <v>875.67826086956495</v>
      </c>
      <c r="N397" s="19">
        <v>8.3919999999999995</v>
      </c>
      <c r="O397" s="19">
        <v>2102.7478260869598</v>
      </c>
      <c r="P397" s="19">
        <v>20.152000000000001</v>
      </c>
      <c r="Q397" s="19">
        <v>1204.0956521739099</v>
      </c>
      <c r="R397" s="19">
        <v>11.54</v>
      </c>
      <c r="S397" s="19">
        <v>2013.54782608696</v>
      </c>
      <c r="T397" s="19">
        <v>19.297999999999998</v>
      </c>
      <c r="U397" s="19">
        <v>1768.4173913043501</v>
      </c>
      <c r="V397" s="19">
        <v>16.948</v>
      </c>
      <c r="W397" s="19">
        <v>1701.49565217391</v>
      </c>
      <c r="X397" s="19">
        <v>16.308</v>
      </c>
      <c r="Y397" s="19">
        <v>3189.7478260869598</v>
      </c>
      <c r="Z397" s="19">
        <v>30.571000000000002</v>
      </c>
      <c r="AA397" s="19">
        <v>2006.0608695652199</v>
      </c>
      <c r="AB397" s="19">
        <v>19.225999999999999</v>
      </c>
      <c r="AC397" s="19">
        <v>2108.2695652173902</v>
      </c>
      <c r="AD397" s="19">
        <v>24.247</v>
      </c>
      <c r="AE397" s="19">
        <v>2738.6956521739098</v>
      </c>
      <c r="AF397" s="19">
        <v>31.497</v>
      </c>
      <c r="AG397" s="19">
        <v>3236.1565217391299</v>
      </c>
      <c r="AH397" s="19">
        <v>31.015000000000001</v>
      </c>
      <c r="AI397" s="19">
        <v>2059.1999999999998</v>
      </c>
      <c r="AJ397" s="19">
        <v>19.734000000000002</v>
      </c>
      <c r="AK397" s="19">
        <v>1415.1043478260899</v>
      </c>
      <c r="AL397" s="19">
        <v>13.561999999999999</v>
      </c>
      <c r="AM397" s="19">
        <v>2199.3826086956501</v>
      </c>
      <c r="AN397" s="19">
        <v>21.077999999999999</v>
      </c>
      <c r="AO397" s="19">
        <v>2135.7652173913002</v>
      </c>
      <c r="AP397" s="19">
        <v>20.469000000000001</v>
      </c>
      <c r="AQ397" s="19">
        <v>3553.2</v>
      </c>
      <c r="AR397" s="19">
        <v>37.195</v>
      </c>
      <c r="AS397" s="19">
        <v>2133.8434782608701</v>
      </c>
      <c r="AT397" s="19">
        <v>22.616</v>
      </c>
      <c r="AU397" s="19">
        <v>1676</v>
      </c>
      <c r="AV397" s="19">
        <v>18.295999999999999</v>
      </c>
      <c r="AW397" s="19">
        <v>3599.2347826086998</v>
      </c>
      <c r="AX397" s="19">
        <v>36.064999999999998</v>
      </c>
      <c r="AY397" s="19">
        <v>2008.8869565217401</v>
      </c>
      <c r="AZ397" s="19">
        <v>19.835999999999999</v>
      </c>
      <c r="BA397" s="19">
        <v>1704.5913043478299</v>
      </c>
      <c r="BB397" s="19">
        <v>17.437999999999999</v>
      </c>
      <c r="BC397" s="19">
        <v>2242.00869565217</v>
      </c>
      <c r="BD397" s="19">
        <v>20.756</v>
      </c>
      <c r="BE397" s="19">
        <v>1904.7652173913</v>
      </c>
      <c r="BF397" s="19">
        <v>16.850999999999999</v>
      </c>
      <c r="BG397" s="19">
        <v>3760.1391304347799</v>
      </c>
      <c r="BH397" s="19">
        <v>40.402999999999999</v>
      </c>
      <c r="BI397" s="19">
        <v>1957.8173913043499</v>
      </c>
      <c r="BJ397" s="19">
        <v>20.817</v>
      </c>
      <c r="BK397" s="19">
        <v>1846.3826086956501</v>
      </c>
      <c r="BL397" s="19">
        <v>17.385999999999999</v>
      </c>
      <c r="BM397" s="19">
        <v>2604.2434782608698</v>
      </c>
      <c r="BN397" s="19">
        <v>21.391999999999999</v>
      </c>
      <c r="BO397" s="19">
        <v>2277.7304347826098</v>
      </c>
      <c r="BP397" s="19">
        <v>18.710999999999999</v>
      </c>
      <c r="BQ397" s="19">
        <v>1655.6260869565201</v>
      </c>
      <c r="BR397" s="19">
        <v>13.6</v>
      </c>
      <c r="BS397" s="19">
        <v>1674.6347826087001</v>
      </c>
      <c r="BT397" s="19">
        <v>13.756</v>
      </c>
      <c r="BU397" s="19">
        <v>876.03478260869599</v>
      </c>
      <c r="BV397" s="19">
        <v>7.1959999999999997</v>
      </c>
      <c r="BW397" s="19">
        <v>1752.1130434782599</v>
      </c>
      <c r="BX397" s="19">
        <v>15.407999999999999</v>
      </c>
      <c r="BY397" s="19">
        <v>2445.3391304347801</v>
      </c>
      <c r="BZ397" s="19">
        <v>21.632999999999999</v>
      </c>
      <c r="CA397" s="19">
        <v>1979.3913043478301</v>
      </c>
      <c r="CB397" s="19">
        <v>17.510000000000002</v>
      </c>
      <c r="CC397" s="19">
        <v>2480.4</v>
      </c>
      <c r="CD397" s="19">
        <v>21.942</v>
      </c>
      <c r="CE397" s="19">
        <v>1770.48695652174</v>
      </c>
      <c r="CF397" s="19">
        <v>15.662000000000001</v>
      </c>
      <c r="CG397" s="19">
        <v>3212.2434782608698</v>
      </c>
      <c r="CH397" s="19">
        <v>28.417000000000002</v>
      </c>
      <c r="CI397" s="19">
        <v>1958.1391304347801</v>
      </c>
      <c r="CJ397" s="19">
        <v>17.321999999999999</v>
      </c>
      <c r="CK397" s="19">
        <v>2330.6956521739098</v>
      </c>
      <c r="CL397" s="19">
        <v>20.617999999999999</v>
      </c>
      <c r="CM397" s="19">
        <v>1810.9130434782601</v>
      </c>
      <c r="CN397" s="19">
        <v>16.02</v>
      </c>
      <c r="CO397" s="19">
        <v>1938.8608695652199</v>
      </c>
      <c r="CP397" s="19">
        <v>17.152000000000001</v>
      </c>
      <c r="CQ397" s="19">
        <v>1928.27826086957</v>
      </c>
      <c r="CR397" s="19">
        <v>17.058</v>
      </c>
      <c r="CS397" s="19">
        <v>2276.01739130435</v>
      </c>
      <c r="CT397" s="19">
        <v>20.134</v>
      </c>
      <c r="CU397" s="19">
        <v>1706.0347826087</v>
      </c>
      <c r="CV397" s="19">
        <v>14.682</v>
      </c>
      <c r="CW397" s="19">
        <v>1258.4347826087001</v>
      </c>
      <c r="CX397" s="19">
        <v>10.72</v>
      </c>
      <c r="CY397" s="19">
        <v>2987.8434782608701</v>
      </c>
      <c r="CZ397" s="19">
        <v>25.452000000000002</v>
      </c>
      <c r="DA397" s="19">
        <v>2626.04347826087</v>
      </c>
      <c r="DB397" s="19">
        <v>22.37</v>
      </c>
      <c r="DC397" s="19">
        <v>1591.8260869565199</v>
      </c>
      <c r="DD397" s="19">
        <v>12.936999999999999</v>
      </c>
      <c r="DE397" s="19">
        <v>2195.9304347826101</v>
      </c>
      <c r="DF397" s="19">
        <v>17.416</v>
      </c>
      <c r="DG397" s="19">
        <v>2852.8434782608701</v>
      </c>
      <c r="DH397" s="19">
        <v>22.626000000000001</v>
      </c>
      <c r="DI397" s="19">
        <v>3564.7304347826098</v>
      </c>
      <c r="DJ397" s="19">
        <v>28.271999999999998</v>
      </c>
      <c r="DK397" s="19">
        <v>3140.0695652173899</v>
      </c>
      <c r="DL397" s="19">
        <v>24.904</v>
      </c>
      <c r="DM397" s="19">
        <v>1464.3739130434799</v>
      </c>
      <c r="DN397" s="19">
        <v>11.614000000000001</v>
      </c>
      <c r="DO397" s="19">
        <v>2060.7217391304398</v>
      </c>
      <c r="DP397" s="19">
        <v>16.884</v>
      </c>
      <c r="DQ397" s="19">
        <v>1539.51304347826</v>
      </c>
      <c r="DR397" s="19">
        <v>12.646000000000001</v>
      </c>
      <c r="DS397" s="19">
        <v>1822.6782608695701</v>
      </c>
      <c r="DT397" s="19">
        <v>14.972</v>
      </c>
      <c r="DU397" s="19">
        <v>1364.9391304347801</v>
      </c>
      <c r="DV397" s="19">
        <v>11.212</v>
      </c>
      <c r="DW397" s="19">
        <v>2519.4086956521701</v>
      </c>
      <c r="DX397" s="19">
        <v>23.988</v>
      </c>
      <c r="DY397" s="19">
        <v>1677.6695652173901</v>
      </c>
      <c r="DZ397" s="19">
        <v>14.481999999999999</v>
      </c>
      <c r="EA397" s="19">
        <v>3237.9304347826101</v>
      </c>
      <c r="EB397" s="19">
        <v>28.646000000000001</v>
      </c>
      <c r="EC397" s="19">
        <v>1746.97391304348</v>
      </c>
      <c r="ED397" s="19">
        <v>15.454000000000001</v>
      </c>
      <c r="EE397" s="19">
        <v>1781.1130434782599</v>
      </c>
      <c r="EF397" s="19">
        <v>15.756</v>
      </c>
      <c r="EG397" s="19">
        <v>4432.6608695652203</v>
      </c>
      <c r="EH397" s="19">
        <v>39.215000000000003</v>
      </c>
      <c r="EI397" s="19">
        <v>3038.6086956521699</v>
      </c>
      <c r="EJ397" s="19">
        <v>26.881</v>
      </c>
      <c r="EK397" s="19">
        <v>2393.1304347826099</v>
      </c>
      <c r="EL397" s="19">
        <v>21.17</v>
      </c>
      <c r="EM397" s="19">
        <v>1444.24347826087</v>
      </c>
      <c r="EN397" s="19">
        <v>12.776</v>
      </c>
      <c r="EO397" s="19">
        <v>2145.3391304347801</v>
      </c>
      <c r="EP397" s="19">
        <v>18.978999999999999</v>
      </c>
      <c r="EQ397" s="19">
        <v>1673.72173913043</v>
      </c>
      <c r="ER397" s="19">
        <v>14.807</v>
      </c>
      <c r="ES397" s="119">
        <v>2291.8434782608701</v>
      </c>
      <c r="ET397" s="119">
        <v>20.274000000000001</v>
      </c>
    </row>
    <row r="398" spans="1:150" ht="16.5" customHeight="1" x14ac:dyDescent="0.35">
      <c r="A398" s="4">
        <v>216</v>
      </c>
      <c r="B398" s="4" t="str">
        <f>LOOKUP(A398,Lookup!$A$1:$A$34,Lookup!$B$1:$B$34)</f>
        <v>BUTCH  WORS/MINCE/PAT</v>
      </c>
      <c r="C398" s="5">
        <v>34194</v>
      </c>
      <c r="D398" s="6" t="s">
        <v>378</v>
      </c>
      <c r="E398" s="18">
        <v>0</v>
      </c>
      <c r="F398" s="18">
        <v>0</v>
      </c>
      <c r="G398" s="18">
        <v>0</v>
      </c>
      <c r="H398" s="18">
        <v>0</v>
      </c>
      <c r="I398" s="19">
        <v>0</v>
      </c>
      <c r="J398" s="19">
        <v>0</v>
      </c>
      <c r="K398" s="19">
        <v>0</v>
      </c>
      <c r="L398" s="19">
        <v>0</v>
      </c>
      <c r="M398" s="19">
        <v>0</v>
      </c>
      <c r="N398" s="19">
        <v>0</v>
      </c>
      <c r="O398" s="19">
        <v>0</v>
      </c>
      <c r="P398" s="19">
        <v>0</v>
      </c>
      <c r="Q398" s="19">
        <v>0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19">
        <v>0</v>
      </c>
      <c r="AM398" s="19">
        <v>0</v>
      </c>
      <c r="AN398" s="19">
        <v>0</v>
      </c>
      <c r="AO398" s="19">
        <v>0</v>
      </c>
      <c r="AP398" s="19">
        <v>0</v>
      </c>
      <c r="AQ398" s="19">
        <v>0</v>
      </c>
      <c r="AR398" s="19">
        <v>0</v>
      </c>
      <c r="AS398" s="19">
        <v>0</v>
      </c>
      <c r="AT398" s="19">
        <v>0</v>
      </c>
      <c r="AU398" s="19">
        <v>0</v>
      </c>
      <c r="AV398" s="19">
        <v>0</v>
      </c>
      <c r="AW398" s="19">
        <v>0</v>
      </c>
      <c r="AX398" s="19">
        <v>0</v>
      </c>
      <c r="AY398" s="19">
        <v>0</v>
      </c>
      <c r="AZ398" s="19">
        <v>0</v>
      </c>
      <c r="BA398" s="19">
        <v>0</v>
      </c>
      <c r="BB398" s="19">
        <v>0</v>
      </c>
      <c r="BC398" s="19">
        <v>0</v>
      </c>
      <c r="BD398" s="19">
        <v>0</v>
      </c>
      <c r="BE398" s="19">
        <v>0</v>
      </c>
      <c r="BF398" s="19">
        <v>0</v>
      </c>
      <c r="BG398" s="19">
        <v>0</v>
      </c>
      <c r="BH398" s="19">
        <v>0</v>
      </c>
      <c r="BI398" s="19">
        <v>0</v>
      </c>
      <c r="BJ398" s="19">
        <v>0</v>
      </c>
      <c r="BK398" s="19">
        <v>0</v>
      </c>
      <c r="BL398" s="19">
        <v>0</v>
      </c>
      <c r="BM398" s="19">
        <v>0</v>
      </c>
      <c r="BN398" s="19">
        <v>0</v>
      </c>
      <c r="BO398" s="19">
        <v>0</v>
      </c>
      <c r="BP398" s="19">
        <v>0</v>
      </c>
      <c r="BQ398" s="19">
        <v>0</v>
      </c>
      <c r="BR398" s="19">
        <v>0</v>
      </c>
      <c r="BS398" s="19">
        <v>0</v>
      </c>
      <c r="BT398" s="19">
        <v>0</v>
      </c>
      <c r="BU398" s="19">
        <v>0</v>
      </c>
      <c r="BV398" s="19">
        <v>0</v>
      </c>
      <c r="BW398" s="19">
        <v>0</v>
      </c>
      <c r="BX398" s="19">
        <v>0</v>
      </c>
      <c r="BY398" s="19">
        <v>0</v>
      </c>
      <c r="BZ398" s="19">
        <v>0</v>
      </c>
      <c r="CA398" s="19">
        <v>0</v>
      </c>
      <c r="CB398" s="19">
        <v>0</v>
      </c>
      <c r="CC398" s="19">
        <v>0</v>
      </c>
      <c r="CD398" s="19">
        <v>0</v>
      </c>
      <c r="CE398" s="19">
        <v>0</v>
      </c>
      <c r="CF398" s="19">
        <v>0</v>
      </c>
      <c r="CG398" s="19">
        <v>0</v>
      </c>
      <c r="CH398" s="19">
        <v>0</v>
      </c>
      <c r="CI398" s="19">
        <v>0</v>
      </c>
      <c r="CJ398" s="19">
        <v>0</v>
      </c>
      <c r="CK398" s="19">
        <v>0</v>
      </c>
      <c r="CL398" s="19">
        <v>0</v>
      </c>
      <c r="CM398" s="19">
        <v>0</v>
      </c>
      <c r="CN398" s="19">
        <v>0</v>
      </c>
      <c r="CO398" s="19">
        <v>0</v>
      </c>
      <c r="CP398" s="19">
        <v>0</v>
      </c>
      <c r="CQ398" s="19">
        <v>0</v>
      </c>
      <c r="CR398" s="19">
        <v>0</v>
      </c>
      <c r="CS398" s="19">
        <v>0</v>
      </c>
      <c r="CT398" s="19">
        <v>0</v>
      </c>
      <c r="CU398" s="19">
        <v>0</v>
      </c>
      <c r="CV398" s="19">
        <v>0</v>
      </c>
      <c r="CW398" s="19">
        <v>0</v>
      </c>
      <c r="CX398" s="19">
        <v>0</v>
      </c>
      <c r="CY398" s="19">
        <v>0</v>
      </c>
      <c r="CZ398" s="19">
        <v>0</v>
      </c>
      <c r="DA398" s="19">
        <v>0</v>
      </c>
      <c r="DB398" s="19">
        <v>0</v>
      </c>
      <c r="DC398" s="19">
        <v>0</v>
      </c>
      <c r="DD398" s="19">
        <v>0</v>
      </c>
      <c r="DE398" s="19">
        <v>0</v>
      </c>
      <c r="DF398" s="19">
        <v>0</v>
      </c>
      <c r="DG398" s="19">
        <v>0</v>
      </c>
      <c r="DH398" s="19">
        <v>0</v>
      </c>
      <c r="DI398" s="19">
        <v>0</v>
      </c>
      <c r="DJ398" s="19">
        <v>0</v>
      </c>
      <c r="DK398" s="19">
        <v>0</v>
      </c>
      <c r="DL398" s="19">
        <v>0</v>
      </c>
      <c r="DM398" s="19">
        <v>0</v>
      </c>
      <c r="DN398" s="19">
        <v>0</v>
      </c>
      <c r="DO398" s="19">
        <v>0</v>
      </c>
      <c r="DP398" s="19">
        <v>0</v>
      </c>
      <c r="DQ398" s="19">
        <v>0</v>
      </c>
      <c r="DR398" s="19">
        <v>0</v>
      </c>
      <c r="DS398" s="19">
        <v>0</v>
      </c>
      <c r="DT398" s="19">
        <v>0</v>
      </c>
      <c r="DU398" s="19">
        <v>0</v>
      </c>
      <c r="DV398" s="19">
        <v>0</v>
      </c>
      <c r="DW398" s="19">
        <v>0</v>
      </c>
      <c r="DX398" s="19">
        <v>0</v>
      </c>
      <c r="DY398" s="19">
        <v>0</v>
      </c>
      <c r="DZ398" s="19">
        <v>0</v>
      </c>
      <c r="EA398" s="19">
        <v>0</v>
      </c>
      <c r="EB398" s="19">
        <v>0</v>
      </c>
      <c r="EC398" s="19">
        <v>0</v>
      </c>
      <c r="ED398" s="19">
        <v>0</v>
      </c>
      <c r="EE398" s="19">
        <v>0</v>
      </c>
      <c r="EF398" s="19">
        <v>0</v>
      </c>
      <c r="EG398" s="19">
        <v>0</v>
      </c>
      <c r="EH398" s="19">
        <v>0</v>
      </c>
      <c r="EI398" s="19">
        <v>0</v>
      </c>
      <c r="EJ398" s="19">
        <v>0</v>
      </c>
      <c r="EK398" s="19">
        <v>0</v>
      </c>
      <c r="EL398" s="19">
        <v>0</v>
      </c>
      <c r="EM398" s="19">
        <v>0</v>
      </c>
      <c r="EN398" s="19">
        <v>0</v>
      </c>
      <c r="EO398" s="19">
        <v>0</v>
      </c>
      <c r="EP398" s="19">
        <v>0</v>
      </c>
      <c r="EQ398" s="19">
        <v>0</v>
      </c>
      <c r="ER398" s="19">
        <v>0</v>
      </c>
      <c r="ES398" s="119">
        <v>0</v>
      </c>
      <c r="ET398" s="119">
        <v>0</v>
      </c>
    </row>
    <row r="399" spans="1:150" ht="16.5" customHeight="1" x14ac:dyDescent="0.35">
      <c r="A399" s="4">
        <v>216</v>
      </c>
      <c r="B399" s="4" t="str">
        <f>LOOKUP(A399,Lookup!$A$1:$A$34,Lookup!$B$1:$B$34)</f>
        <v>BUTCH  WORS/MINCE/PAT</v>
      </c>
      <c r="C399" s="5">
        <v>34196</v>
      </c>
      <c r="D399" s="6" t="s">
        <v>379</v>
      </c>
      <c r="E399" s="18">
        <v>592.63906919779595</v>
      </c>
      <c r="F399" s="18">
        <v>6.1680000000000001</v>
      </c>
      <c r="G399" s="18">
        <v>42077.373913043499</v>
      </c>
      <c r="H399" s="18">
        <v>437.91399999999999</v>
      </c>
      <c r="I399" s="19">
        <v>3599.2782608695702</v>
      </c>
      <c r="J399" s="19">
        <v>41.396000000000001</v>
      </c>
      <c r="K399" s="19">
        <v>532.44347826086903</v>
      </c>
      <c r="L399" s="19">
        <v>6.1239999999999997</v>
      </c>
      <c r="M399" s="19">
        <v>0</v>
      </c>
      <c r="N399" s="19">
        <v>0</v>
      </c>
      <c r="O399" s="19">
        <v>0</v>
      </c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9">
        <v>0</v>
      </c>
      <c r="V399" s="19">
        <v>0</v>
      </c>
      <c r="W399" s="19">
        <v>0</v>
      </c>
      <c r="X399" s="19">
        <v>0</v>
      </c>
      <c r="Y399" s="19">
        <v>2264.4173913043501</v>
      </c>
      <c r="Z399" s="19">
        <v>26.044</v>
      </c>
      <c r="AA399" s="19">
        <v>3033.1652173912998</v>
      </c>
      <c r="AB399" s="19">
        <v>34.886000000000003</v>
      </c>
      <c r="AC399" s="19">
        <v>63.991304347826102</v>
      </c>
      <c r="AD399" s="19">
        <v>0.69399999999999995</v>
      </c>
      <c r="AE399" s="19">
        <v>0</v>
      </c>
      <c r="AF399" s="19">
        <v>0</v>
      </c>
      <c r="AG399" s="19">
        <v>2288.00869565217</v>
      </c>
      <c r="AH399" s="19">
        <v>26.315999999999999</v>
      </c>
      <c r="AI399" s="19">
        <v>3517.2086956521698</v>
      </c>
      <c r="AJ399" s="19">
        <v>40.451999999999998</v>
      </c>
      <c r="AK399" s="19">
        <v>262.04347826087002</v>
      </c>
      <c r="AL399" s="19">
        <v>2.948</v>
      </c>
      <c r="AM399" s="19">
        <v>0</v>
      </c>
      <c r="AN399" s="19">
        <v>0</v>
      </c>
      <c r="AO399" s="19">
        <v>773.33913043478299</v>
      </c>
      <c r="AP399" s="19">
        <v>8.0860000000000003</v>
      </c>
      <c r="AQ399" s="19">
        <v>0</v>
      </c>
      <c r="AR399" s="19">
        <v>0</v>
      </c>
      <c r="AS399" s="19">
        <v>0</v>
      </c>
      <c r="AT399" s="19">
        <v>0</v>
      </c>
      <c r="AU399" s="19">
        <v>0</v>
      </c>
      <c r="AV399" s="19">
        <v>0</v>
      </c>
      <c r="AW399" s="19">
        <v>0</v>
      </c>
      <c r="AX399" s="19">
        <v>0</v>
      </c>
      <c r="AY399" s="19">
        <v>0</v>
      </c>
      <c r="AZ399" s="19">
        <v>0</v>
      </c>
      <c r="BA399" s="19">
        <v>0</v>
      </c>
      <c r="BB399" s="19">
        <v>0</v>
      </c>
      <c r="BC399" s="19">
        <v>0</v>
      </c>
      <c r="BD399" s="19">
        <v>0</v>
      </c>
      <c r="BE399" s="19">
        <v>0</v>
      </c>
      <c r="BF399" s="19">
        <v>0</v>
      </c>
      <c r="BG399" s="19">
        <v>0</v>
      </c>
      <c r="BH399" s="19">
        <v>0</v>
      </c>
      <c r="BI399" s="19">
        <v>0</v>
      </c>
      <c r="BJ399" s="19">
        <v>0</v>
      </c>
      <c r="BK399" s="19">
        <v>0</v>
      </c>
      <c r="BL399" s="19">
        <v>0</v>
      </c>
      <c r="BM399" s="19">
        <v>0</v>
      </c>
      <c r="BN399" s="19">
        <v>0</v>
      </c>
      <c r="BO399" s="19">
        <v>0</v>
      </c>
      <c r="BP399" s="19">
        <v>0</v>
      </c>
      <c r="BQ399" s="19">
        <v>0</v>
      </c>
      <c r="BR399" s="19">
        <v>0</v>
      </c>
      <c r="BS399" s="19">
        <v>2058.5913043478299</v>
      </c>
      <c r="BT399" s="19">
        <v>19.489000000000001</v>
      </c>
      <c r="BU399" s="19">
        <v>2072.50434782609</v>
      </c>
      <c r="BV399" s="19">
        <v>19.864000000000001</v>
      </c>
      <c r="BW399" s="19">
        <v>2086.46956521739</v>
      </c>
      <c r="BX399" s="19">
        <v>19.672000000000001</v>
      </c>
      <c r="BY399" s="19">
        <v>0</v>
      </c>
      <c r="BZ399" s="19">
        <v>0</v>
      </c>
      <c r="CA399" s="19">
        <v>0</v>
      </c>
      <c r="CB399" s="19">
        <v>0</v>
      </c>
      <c r="CC399" s="19">
        <v>1504.3826086956501</v>
      </c>
      <c r="CD399" s="19">
        <v>15.728999999999999</v>
      </c>
      <c r="CE399" s="19">
        <v>1604.4173913043501</v>
      </c>
      <c r="CF399" s="19">
        <v>16.774999999999999</v>
      </c>
      <c r="CG399" s="19">
        <v>3462.95652173913</v>
      </c>
      <c r="CH399" s="19">
        <v>31.033000000000001</v>
      </c>
      <c r="CI399" s="19">
        <v>1724.8260869565199</v>
      </c>
      <c r="CJ399" s="19">
        <v>15.26</v>
      </c>
      <c r="CK399" s="19">
        <v>425.67826086956501</v>
      </c>
      <c r="CL399" s="19">
        <v>3.766</v>
      </c>
      <c r="CM399" s="19">
        <v>0</v>
      </c>
      <c r="CN399" s="19">
        <v>0</v>
      </c>
      <c r="CO399" s="19">
        <v>0</v>
      </c>
      <c r="CP399" s="19">
        <v>0</v>
      </c>
      <c r="CQ399" s="19">
        <v>0</v>
      </c>
      <c r="CR399" s="19">
        <v>0</v>
      </c>
      <c r="CS399" s="19">
        <v>0</v>
      </c>
      <c r="CT399" s="19">
        <v>0</v>
      </c>
      <c r="CU399" s="19">
        <v>0</v>
      </c>
      <c r="CV399" s="19">
        <v>0</v>
      </c>
      <c r="CW399" s="19">
        <v>0</v>
      </c>
      <c r="CX399" s="19">
        <v>0</v>
      </c>
      <c r="CY399" s="19">
        <v>4325.7826086956502</v>
      </c>
      <c r="CZ399" s="19">
        <v>45.228999999999999</v>
      </c>
      <c r="DA399" s="19">
        <v>2368.99130434783</v>
      </c>
      <c r="DB399" s="19">
        <v>24.77</v>
      </c>
      <c r="DC399" s="19">
        <v>0</v>
      </c>
      <c r="DD399" s="19">
        <v>0</v>
      </c>
      <c r="DE399" s="19">
        <v>0</v>
      </c>
      <c r="DF399" s="19">
        <v>0</v>
      </c>
      <c r="DG399" s="19">
        <v>0</v>
      </c>
      <c r="DH399" s="19">
        <v>0</v>
      </c>
      <c r="DI399" s="19">
        <v>0</v>
      </c>
      <c r="DJ399" s="19">
        <v>0</v>
      </c>
      <c r="DK399" s="19">
        <v>0</v>
      </c>
      <c r="DL399" s="19">
        <v>0</v>
      </c>
      <c r="DM399" s="19">
        <v>0</v>
      </c>
      <c r="DN399" s="19">
        <v>0</v>
      </c>
      <c r="DO399" s="19">
        <v>0</v>
      </c>
      <c r="DP399" s="19">
        <v>0</v>
      </c>
      <c r="DQ399" s="19">
        <v>0</v>
      </c>
      <c r="DR399" s="19">
        <v>0</v>
      </c>
      <c r="DS399" s="19">
        <v>0</v>
      </c>
      <c r="DT399" s="19">
        <v>0</v>
      </c>
      <c r="DU399" s="19">
        <v>0</v>
      </c>
      <c r="DV399" s="19">
        <v>0</v>
      </c>
      <c r="DW399" s="19">
        <v>0</v>
      </c>
      <c r="DX399" s="19">
        <v>0</v>
      </c>
      <c r="DY399" s="19">
        <v>0</v>
      </c>
      <c r="DZ399" s="19">
        <v>0</v>
      </c>
      <c r="EA399" s="19">
        <v>0</v>
      </c>
      <c r="EB399" s="19">
        <v>0</v>
      </c>
      <c r="EC399" s="19">
        <v>0</v>
      </c>
      <c r="ED399" s="19">
        <v>0</v>
      </c>
      <c r="EE399" s="19">
        <v>0</v>
      </c>
      <c r="EF399" s="19">
        <v>0</v>
      </c>
      <c r="EG399" s="19">
        <v>0</v>
      </c>
      <c r="EH399" s="19">
        <v>0</v>
      </c>
      <c r="EI399" s="19">
        <v>0</v>
      </c>
      <c r="EJ399" s="19">
        <v>0</v>
      </c>
      <c r="EK399" s="19">
        <v>0</v>
      </c>
      <c r="EL399" s="19">
        <v>0</v>
      </c>
      <c r="EM399" s="19">
        <v>1587.54782608696</v>
      </c>
      <c r="EN399" s="19">
        <v>15.215</v>
      </c>
      <c r="EO399" s="19">
        <v>2042.01739130435</v>
      </c>
      <c r="EP399" s="19">
        <v>19.571999999999999</v>
      </c>
      <c r="EQ399" s="19">
        <v>479.31304347826102</v>
      </c>
      <c r="ER399" s="19">
        <v>4.5940000000000003</v>
      </c>
      <c r="ES399" s="119">
        <v>0</v>
      </c>
      <c r="ET399" s="119">
        <v>0</v>
      </c>
    </row>
    <row r="400" spans="1:150" ht="16.5" customHeight="1" x14ac:dyDescent="0.35">
      <c r="A400" s="4">
        <v>216</v>
      </c>
      <c r="B400" s="4" t="str">
        <f>LOOKUP(A400,Lookup!$A$1:$A$34,Lookup!$B$1:$B$34)</f>
        <v>BUTCH  WORS/MINCE/PAT</v>
      </c>
      <c r="C400" s="5">
        <v>34197</v>
      </c>
      <c r="D400" s="6" t="s">
        <v>380</v>
      </c>
      <c r="E400" s="18">
        <v>594.75260257195396</v>
      </c>
      <c r="F400" s="18">
        <v>5.6230000000000002</v>
      </c>
      <c r="G400" s="18">
        <v>42227.434782608703</v>
      </c>
      <c r="H400" s="18">
        <v>399.26400000000001</v>
      </c>
      <c r="I400" s="19">
        <v>0</v>
      </c>
      <c r="J400" s="19">
        <v>0</v>
      </c>
      <c r="K400" s="19">
        <v>0</v>
      </c>
      <c r="L400" s="19">
        <v>0</v>
      </c>
      <c r="M400" s="19">
        <v>0</v>
      </c>
      <c r="N400" s="19">
        <v>0</v>
      </c>
      <c r="O400" s="19">
        <v>0</v>
      </c>
      <c r="P400" s="19">
        <v>0</v>
      </c>
      <c r="Q400" s="19">
        <v>0</v>
      </c>
      <c r="R400" s="19">
        <v>0</v>
      </c>
      <c r="S400" s="19">
        <v>0</v>
      </c>
      <c r="T400" s="19">
        <v>0</v>
      </c>
      <c r="U400" s="19">
        <v>0</v>
      </c>
      <c r="V400" s="19">
        <v>0</v>
      </c>
      <c r="W400" s="19">
        <v>0</v>
      </c>
      <c r="X400" s="19">
        <v>0</v>
      </c>
      <c r="Y400" s="19">
        <v>0</v>
      </c>
      <c r="Z400" s="19">
        <v>0</v>
      </c>
      <c r="AA400" s="19">
        <v>0</v>
      </c>
      <c r="AB400" s="19">
        <v>0</v>
      </c>
      <c r="AC400" s="19">
        <v>1050.5999999999999</v>
      </c>
      <c r="AD400" s="19">
        <v>12.204000000000001</v>
      </c>
      <c r="AE400" s="19">
        <v>1849.30434782609</v>
      </c>
      <c r="AF400" s="19">
        <v>21.481999999999999</v>
      </c>
      <c r="AG400" s="19">
        <v>53.2</v>
      </c>
      <c r="AH400" s="19">
        <v>0.61799999999999999</v>
      </c>
      <c r="AI400" s="19">
        <v>0</v>
      </c>
      <c r="AJ400" s="19">
        <v>0</v>
      </c>
      <c r="AK400" s="19">
        <v>0</v>
      </c>
      <c r="AL400" s="19">
        <v>0</v>
      </c>
      <c r="AM400" s="19">
        <v>0</v>
      </c>
      <c r="AN400" s="19">
        <v>0</v>
      </c>
      <c r="AO400" s="19">
        <v>0</v>
      </c>
      <c r="AP400" s="19">
        <v>0</v>
      </c>
      <c r="AQ400" s="19">
        <v>0</v>
      </c>
      <c r="AR400" s="19">
        <v>0</v>
      </c>
      <c r="AS400" s="19">
        <v>0</v>
      </c>
      <c r="AT400" s="19">
        <v>0</v>
      </c>
      <c r="AU400" s="19">
        <v>0</v>
      </c>
      <c r="AV400" s="19">
        <v>0</v>
      </c>
      <c r="AW400" s="19">
        <v>51.260869565217398</v>
      </c>
      <c r="AX400" s="19">
        <v>0.53600000000000003</v>
      </c>
      <c r="AY400" s="19">
        <v>0</v>
      </c>
      <c r="AZ400" s="19">
        <v>0</v>
      </c>
      <c r="BA400" s="19">
        <v>0</v>
      </c>
      <c r="BB400" s="19">
        <v>0</v>
      </c>
      <c r="BC400" s="19">
        <v>0</v>
      </c>
      <c r="BD400" s="19">
        <v>0</v>
      </c>
      <c r="BE400" s="19">
        <v>0</v>
      </c>
      <c r="BF400" s="19">
        <v>0</v>
      </c>
      <c r="BG400" s="19">
        <v>0</v>
      </c>
      <c r="BH400" s="19">
        <v>0</v>
      </c>
      <c r="BI400" s="19">
        <v>1127.5913043478299</v>
      </c>
      <c r="BJ400" s="19">
        <v>10.186</v>
      </c>
      <c r="BK400" s="19">
        <v>1057.77391304348</v>
      </c>
      <c r="BL400" s="19">
        <v>9.3580000000000005</v>
      </c>
      <c r="BM400" s="19">
        <v>451.89565217391299</v>
      </c>
      <c r="BN400" s="19">
        <v>3.9980000000000002</v>
      </c>
      <c r="BO400" s="19">
        <v>1225.24347826087</v>
      </c>
      <c r="BP400" s="19">
        <v>10.84</v>
      </c>
      <c r="BQ400" s="19">
        <v>2938.1130434782599</v>
      </c>
      <c r="BR400" s="19">
        <v>25.994</v>
      </c>
      <c r="BS400" s="19">
        <v>611.94782608695698</v>
      </c>
      <c r="BT400" s="19">
        <v>5.4139999999999997</v>
      </c>
      <c r="BU400" s="19">
        <v>0</v>
      </c>
      <c r="BV400" s="19">
        <v>0</v>
      </c>
      <c r="BW400" s="19">
        <v>0</v>
      </c>
      <c r="BX400" s="19">
        <v>0</v>
      </c>
      <c r="BY400" s="19">
        <v>2415.7565217391302</v>
      </c>
      <c r="BZ400" s="19">
        <v>23.152999999999999</v>
      </c>
      <c r="CA400" s="19">
        <v>2632.3478260869601</v>
      </c>
      <c r="CB400" s="19">
        <v>25.23</v>
      </c>
      <c r="CC400" s="19">
        <v>1185.8608695652199</v>
      </c>
      <c r="CD400" s="19">
        <v>11.366</v>
      </c>
      <c r="CE400" s="19">
        <v>0</v>
      </c>
      <c r="CF400" s="19">
        <v>0</v>
      </c>
      <c r="CG400" s="19">
        <v>1691.6695652173901</v>
      </c>
      <c r="CH400" s="19">
        <v>16.213999999999999</v>
      </c>
      <c r="CI400" s="19">
        <v>1449.8173913043499</v>
      </c>
      <c r="CJ400" s="19">
        <v>13.896000000000001</v>
      </c>
      <c r="CK400" s="19">
        <v>522.304347826087</v>
      </c>
      <c r="CL400" s="19">
        <v>5.0060000000000002</v>
      </c>
      <c r="CM400" s="19">
        <v>0</v>
      </c>
      <c r="CN400" s="19">
        <v>0</v>
      </c>
      <c r="CO400" s="19">
        <v>0</v>
      </c>
      <c r="CP400" s="19">
        <v>0</v>
      </c>
      <c r="CQ400" s="19">
        <v>0</v>
      </c>
      <c r="CR400" s="19">
        <v>0</v>
      </c>
      <c r="CS400" s="19">
        <v>0</v>
      </c>
      <c r="CT400" s="19">
        <v>0</v>
      </c>
      <c r="CU400" s="19">
        <v>0</v>
      </c>
      <c r="CV400" s="19">
        <v>0</v>
      </c>
      <c r="CW400" s="19">
        <v>0</v>
      </c>
      <c r="CX400" s="19">
        <v>0</v>
      </c>
      <c r="CY400" s="19">
        <v>0</v>
      </c>
      <c r="CZ400" s="19">
        <v>0</v>
      </c>
      <c r="DA400" s="19">
        <v>0</v>
      </c>
      <c r="DB400" s="19">
        <v>0</v>
      </c>
      <c r="DC400" s="19">
        <v>0</v>
      </c>
      <c r="DD400" s="19">
        <v>0</v>
      </c>
      <c r="DE400" s="19">
        <v>0</v>
      </c>
      <c r="DF400" s="19">
        <v>0</v>
      </c>
      <c r="DG400" s="19">
        <v>0</v>
      </c>
      <c r="DH400" s="19">
        <v>0</v>
      </c>
      <c r="DI400" s="19">
        <v>3122.0782608695699</v>
      </c>
      <c r="DJ400" s="19">
        <v>26.594999999999999</v>
      </c>
      <c r="DK400" s="19">
        <v>1647.46956521739</v>
      </c>
      <c r="DL400" s="19">
        <v>14.034000000000001</v>
      </c>
      <c r="DM400" s="19">
        <v>217.173913043478</v>
      </c>
      <c r="DN400" s="19">
        <v>1.85</v>
      </c>
      <c r="DO400" s="19">
        <v>0</v>
      </c>
      <c r="DP400" s="19">
        <v>0</v>
      </c>
      <c r="DQ400" s="19">
        <v>0</v>
      </c>
      <c r="DR400" s="19">
        <v>0</v>
      </c>
      <c r="DS400" s="19">
        <v>0</v>
      </c>
      <c r="DT400" s="19">
        <v>0</v>
      </c>
      <c r="DU400" s="19">
        <v>1011.4434782608701</v>
      </c>
      <c r="DV400" s="19">
        <v>8.9670000000000005</v>
      </c>
      <c r="DW400" s="19">
        <v>970.79130434782599</v>
      </c>
      <c r="DX400" s="19">
        <v>9.0960000000000001</v>
      </c>
      <c r="DY400" s="19">
        <v>3161.94782608696</v>
      </c>
      <c r="DZ400" s="19">
        <v>30.306000000000001</v>
      </c>
      <c r="EA400" s="19">
        <v>257.49565217391302</v>
      </c>
      <c r="EB400" s="19">
        <v>2.468</v>
      </c>
      <c r="EC400" s="19">
        <v>0</v>
      </c>
      <c r="ED400" s="19">
        <v>0</v>
      </c>
      <c r="EE400" s="19">
        <v>706.95652173913004</v>
      </c>
      <c r="EF400" s="19">
        <v>6.7759999999999998</v>
      </c>
      <c r="EG400" s="19">
        <v>0</v>
      </c>
      <c r="EH400" s="19">
        <v>0</v>
      </c>
      <c r="EI400" s="19">
        <v>2522.7826086956502</v>
      </c>
      <c r="EJ400" s="19">
        <v>24.178000000000001</v>
      </c>
      <c r="EK400" s="19">
        <v>1586.9391304347801</v>
      </c>
      <c r="EL400" s="19">
        <v>15.21</v>
      </c>
      <c r="EM400" s="19">
        <v>920.44347826087005</v>
      </c>
      <c r="EN400" s="19">
        <v>8.8219999999999992</v>
      </c>
      <c r="EO400" s="19">
        <v>1563.3478260869599</v>
      </c>
      <c r="EP400" s="19">
        <v>14.984</v>
      </c>
      <c r="EQ400" s="19">
        <v>3341.2086956521698</v>
      </c>
      <c r="ER400" s="19">
        <v>32.023000000000003</v>
      </c>
      <c r="ES400" s="119">
        <v>1431.6695652173901</v>
      </c>
      <c r="ET400" s="119">
        <v>13.722</v>
      </c>
    </row>
    <row r="401" spans="1:150" ht="16.5" customHeight="1" x14ac:dyDescent="0.35">
      <c r="A401" s="4">
        <v>216</v>
      </c>
      <c r="B401" s="4" t="str">
        <f>LOOKUP(A401,Lookup!$A$1:$A$34,Lookup!$B$1:$B$34)</f>
        <v>BUTCH  WORS/MINCE/PAT</v>
      </c>
      <c r="C401" s="5">
        <v>34198</v>
      </c>
      <c r="D401" s="6" t="s">
        <v>381</v>
      </c>
      <c r="E401" s="18">
        <v>1309.9164727495399</v>
      </c>
      <c r="F401" s="18">
        <v>12.401999999999999</v>
      </c>
      <c r="G401" s="18">
        <v>93004.069565217404</v>
      </c>
      <c r="H401" s="18">
        <v>880.55899999999997</v>
      </c>
      <c r="I401" s="19">
        <v>2109.48695652174</v>
      </c>
      <c r="J401" s="19">
        <v>22.888000000000002</v>
      </c>
      <c r="K401" s="19">
        <v>1206.8086956521699</v>
      </c>
      <c r="L401" s="19">
        <v>13.093999999999999</v>
      </c>
      <c r="M401" s="19">
        <v>1030.22608695652</v>
      </c>
      <c r="N401" s="19">
        <v>11.178000000000001</v>
      </c>
      <c r="O401" s="19">
        <v>1783.2</v>
      </c>
      <c r="P401" s="19">
        <v>19.347999999999999</v>
      </c>
      <c r="Q401" s="19">
        <v>2246.6086956521699</v>
      </c>
      <c r="R401" s="19">
        <v>24.376000000000001</v>
      </c>
      <c r="S401" s="19">
        <v>1909.46086956522</v>
      </c>
      <c r="T401" s="19">
        <v>20.718</v>
      </c>
      <c r="U401" s="19">
        <v>1139.3565217391299</v>
      </c>
      <c r="V401" s="19">
        <v>12.362</v>
      </c>
      <c r="W401" s="19">
        <v>1731.97391304348</v>
      </c>
      <c r="X401" s="19">
        <v>18.792000000000002</v>
      </c>
      <c r="Y401" s="19">
        <v>442.75652173912999</v>
      </c>
      <c r="Z401" s="19">
        <v>4.8040000000000003</v>
      </c>
      <c r="AA401" s="19">
        <v>0</v>
      </c>
      <c r="AB401" s="19">
        <v>0</v>
      </c>
      <c r="AC401" s="19">
        <v>349.50434782608698</v>
      </c>
      <c r="AD401" s="19">
        <v>3.7919999999999998</v>
      </c>
      <c r="AE401" s="19">
        <v>0</v>
      </c>
      <c r="AF401" s="19">
        <v>0</v>
      </c>
      <c r="AG401" s="19">
        <v>0</v>
      </c>
      <c r="AH401" s="19">
        <v>0</v>
      </c>
      <c r="AI401" s="19">
        <v>0</v>
      </c>
      <c r="AJ401" s="19">
        <v>0</v>
      </c>
      <c r="AK401" s="19">
        <v>0</v>
      </c>
      <c r="AL401" s="19">
        <v>0</v>
      </c>
      <c r="AM401" s="19">
        <v>0</v>
      </c>
      <c r="AN401" s="19">
        <v>0</v>
      </c>
      <c r="AO401" s="19">
        <v>0</v>
      </c>
      <c r="AP401" s="19">
        <v>0</v>
      </c>
      <c r="AQ401" s="19">
        <v>0</v>
      </c>
      <c r="AR401" s="19">
        <v>0</v>
      </c>
      <c r="AS401" s="19">
        <v>0</v>
      </c>
      <c r="AT401" s="19">
        <v>0</v>
      </c>
      <c r="AU401" s="19">
        <v>0</v>
      </c>
      <c r="AV401" s="19">
        <v>0</v>
      </c>
      <c r="AW401" s="19">
        <v>0</v>
      </c>
      <c r="AX401" s="19">
        <v>0</v>
      </c>
      <c r="AY401" s="19">
        <v>867.26086956521704</v>
      </c>
      <c r="AZ401" s="19">
        <v>9.0679999999999996</v>
      </c>
      <c r="BA401" s="19">
        <v>1835.71304347826</v>
      </c>
      <c r="BB401" s="19">
        <v>19.193999999999999</v>
      </c>
      <c r="BC401" s="19">
        <v>74.982608695652203</v>
      </c>
      <c r="BD401" s="19">
        <v>0.78400000000000003</v>
      </c>
      <c r="BE401" s="19">
        <v>0</v>
      </c>
      <c r="BF401" s="19">
        <v>0</v>
      </c>
      <c r="BG401" s="19">
        <v>1356.1565217391301</v>
      </c>
      <c r="BH401" s="19">
        <v>11.997999999999999</v>
      </c>
      <c r="BI401" s="19">
        <v>946.07826086956504</v>
      </c>
      <c r="BJ401" s="19">
        <v>8.3699999999999992</v>
      </c>
      <c r="BK401" s="19">
        <v>1306.8608695652199</v>
      </c>
      <c r="BL401" s="19">
        <v>11.561999999999999</v>
      </c>
      <c r="BM401" s="19">
        <v>887.28695652173894</v>
      </c>
      <c r="BN401" s="19">
        <v>7.85</v>
      </c>
      <c r="BO401" s="19">
        <v>1591.2347826087</v>
      </c>
      <c r="BP401" s="19">
        <v>14.077999999999999</v>
      </c>
      <c r="BQ401" s="19">
        <v>2178.7652173913002</v>
      </c>
      <c r="BR401" s="19">
        <v>19.276</v>
      </c>
      <c r="BS401" s="19">
        <v>1907.94782608696</v>
      </c>
      <c r="BT401" s="19">
        <v>16.88</v>
      </c>
      <c r="BU401" s="19">
        <v>1095.02608695652</v>
      </c>
      <c r="BV401" s="19">
        <v>9.6880000000000006</v>
      </c>
      <c r="BW401" s="19">
        <v>1900.8695652173899</v>
      </c>
      <c r="BX401" s="19">
        <v>18.175000000000001</v>
      </c>
      <c r="BY401" s="19">
        <v>2106.2956521739102</v>
      </c>
      <c r="BZ401" s="19">
        <v>20.187999999999999</v>
      </c>
      <c r="CA401" s="19">
        <v>1968.3652173912999</v>
      </c>
      <c r="CB401" s="19">
        <v>18.866</v>
      </c>
      <c r="CC401" s="19">
        <v>1220.9217391304301</v>
      </c>
      <c r="CD401" s="19">
        <v>11.702</v>
      </c>
      <c r="CE401" s="19">
        <v>1008.27826086957</v>
      </c>
      <c r="CF401" s="19">
        <v>9.6639999999999997</v>
      </c>
      <c r="CG401" s="19">
        <v>1061.28695652174</v>
      </c>
      <c r="CH401" s="19">
        <v>10.172000000000001</v>
      </c>
      <c r="CI401" s="19">
        <v>775.63478260869601</v>
      </c>
      <c r="CJ401" s="19">
        <v>7.4340000000000002</v>
      </c>
      <c r="CK401" s="19">
        <v>1930.8086956521699</v>
      </c>
      <c r="CL401" s="19">
        <v>18.506</v>
      </c>
      <c r="CM401" s="19">
        <v>1842.2347826087</v>
      </c>
      <c r="CN401" s="19">
        <v>17.655999999999999</v>
      </c>
      <c r="CO401" s="19">
        <v>2653.8347826087002</v>
      </c>
      <c r="CP401" s="19">
        <v>25.434999999999999</v>
      </c>
      <c r="CQ401" s="19">
        <v>1838.8086956521699</v>
      </c>
      <c r="CR401" s="19">
        <v>17.623999999999999</v>
      </c>
      <c r="CS401" s="19">
        <v>1789.54782608696</v>
      </c>
      <c r="CT401" s="19">
        <v>17.152000000000001</v>
      </c>
      <c r="CU401" s="19">
        <v>965.20869565217401</v>
      </c>
      <c r="CV401" s="19">
        <v>8.9529999999999994</v>
      </c>
      <c r="CW401" s="19">
        <v>943.91304347826099</v>
      </c>
      <c r="CX401" s="19">
        <v>8.6839999999999993</v>
      </c>
      <c r="CY401" s="19">
        <v>2447.1739130434798</v>
      </c>
      <c r="CZ401" s="19">
        <v>22.513999999999999</v>
      </c>
      <c r="DA401" s="19">
        <v>2108.6956521739098</v>
      </c>
      <c r="DB401" s="19">
        <v>19.399999999999999</v>
      </c>
      <c r="DC401" s="19">
        <v>1959.5652173912999</v>
      </c>
      <c r="DD401" s="19">
        <v>17.120999999999999</v>
      </c>
      <c r="DE401" s="19">
        <v>3257.8434782608701</v>
      </c>
      <c r="DF401" s="19">
        <v>27.751999999999999</v>
      </c>
      <c r="DG401" s="19">
        <v>3577.6173913043499</v>
      </c>
      <c r="DH401" s="19">
        <v>30.475999999999999</v>
      </c>
      <c r="DI401" s="19">
        <v>2071.48695652174</v>
      </c>
      <c r="DJ401" s="19">
        <v>17.646000000000001</v>
      </c>
      <c r="DK401" s="19">
        <v>2172.9130434782601</v>
      </c>
      <c r="DL401" s="19">
        <v>18.510000000000002</v>
      </c>
      <c r="DM401" s="19">
        <v>1013.79130434783</v>
      </c>
      <c r="DN401" s="19">
        <v>8.6359999999999992</v>
      </c>
      <c r="DO401" s="19">
        <v>2016.3217391304299</v>
      </c>
      <c r="DP401" s="19">
        <v>17.818000000000001</v>
      </c>
      <c r="DQ401" s="19">
        <v>1869.74782608696</v>
      </c>
      <c r="DR401" s="19">
        <v>16.542000000000002</v>
      </c>
      <c r="DS401" s="19">
        <v>1407.9130434782601</v>
      </c>
      <c r="DT401" s="19">
        <v>12.456</v>
      </c>
      <c r="DU401" s="19">
        <v>1758.29565217391</v>
      </c>
      <c r="DV401" s="19">
        <v>15.555999999999999</v>
      </c>
      <c r="DW401" s="19">
        <v>1504.6608695652201</v>
      </c>
      <c r="DX401" s="19">
        <v>14.047000000000001</v>
      </c>
      <c r="DY401" s="19">
        <v>2277.8173913043502</v>
      </c>
      <c r="DZ401" s="19">
        <v>21.832000000000001</v>
      </c>
      <c r="EA401" s="19">
        <v>1926.8347826086999</v>
      </c>
      <c r="EB401" s="19">
        <v>18.468</v>
      </c>
      <c r="EC401" s="19">
        <v>1859.3304347826099</v>
      </c>
      <c r="ED401" s="19">
        <v>17.82</v>
      </c>
      <c r="EE401" s="19">
        <v>1071.73043478261</v>
      </c>
      <c r="EF401" s="19">
        <v>10.272</v>
      </c>
      <c r="EG401" s="19">
        <v>0</v>
      </c>
      <c r="EH401" s="19">
        <v>0</v>
      </c>
      <c r="EI401" s="19">
        <v>409.408695652174</v>
      </c>
      <c r="EJ401" s="19">
        <v>3.9239999999999999</v>
      </c>
      <c r="EK401" s="19">
        <v>731.38260869565204</v>
      </c>
      <c r="EL401" s="19">
        <v>7.01</v>
      </c>
      <c r="EM401" s="19">
        <v>1251.3913043478301</v>
      </c>
      <c r="EN401" s="19">
        <v>11.994</v>
      </c>
      <c r="EO401" s="19">
        <v>2725.6260869565199</v>
      </c>
      <c r="EP401" s="19">
        <v>26.123999999999999</v>
      </c>
      <c r="EQ401" s="19">
        <v>2161.4173913043501</v>
      </c>
      <c r="ER401" s="19">
        <v>20.716000000000001</v>
      </c>
      <c r="ES401" s="119">
        <v>1544.97391304348</v>
      </c>
      <c r="ET401" s="119">
        <v>14.808</v>
      </c>
    </row>
    <row r="402" spans="1:150" ht="16.5" customHeight="1" x14ac:dyDescent="0.35">
      <c r="A402" s="4">
        <v>216</v>
      </c>
      <c r="B402" s="4" t="str">
        <f>LOOKUP(A402,Lookup!$A$1:$A$34,Lookup!$B$1:$B$34)</f>
        <v>BUTCH  WORS/MINCE/PAT</v>
      </c>
      <c r="C402" s="5">
        <v>34199</v>
      </c>
      <c r="D402" s="6" t="s">
        <v>382</v>
      </c>
      <c r="E402" s="18">
        <v>4801.6307409675501</v>
      </c>
      <c r="F402" s="18">
        <v>52.938000000000002</v>
      </c>
      <c r="G402" s="18">
        <v>340915.78260869603</v>
      </c>
      <c r="H402" s="18">
        <v>3758.6149999999998</v>
      </c>
      <c r="I402" s="19">
        <v>4528.1217391304299</v>
      </c>
      <c r="J402" s="19">
        <v>52.08</v>
      </c>
      <c r="K402" s="19">
        <v>3880.8782608695701</v>
      </c>
      <c r="L402" s="19">
        <v>44.636000000000003</v>
      </c>
      <c r="M402" s="19">
        <v>3317.8434782608701</v>
      </c>
      <c r="N402" s="19">
        <v>38.159999999999997</v>
      </c>
      <c r="O402" s="19">
        <v>4759.3739130434797</v>
      </c>
      <c r="P402" s="19">
        <v>60.225999999999999</v>
      </c>
      <c r="Q402" s="19">
        <v>4596.5652173913004</v>
      </c>
      <c r="R402" s="19">
        <v>56.512999999999998</v>
      </c>
      <c r="S402" s="19">
        <v>5841.2869565217397</v>
      </c>
      <c r="T402" s="19">
        <v>68.406000000000006</v>
      </c>
      <c r="U402" s="19">
        <v>3775.94782608696</v>
      </c>
      <c r="V402" s="19">
        <v>45.085000000000001</v>
      </c>
      <c r="W402" s="19">
        <v>3617.4434782608701</v>
      </c>
      <c r="X402" s="19">
        <v>43.795999999999999</v>
      </c>
      <c r="Y402" s="19">
        <v>6984.3565217391297</v>
      </c>
      <c r="Z402" s="19">
        <v>88.063000000000002</v>
      </c>
      <c r="AA402" s="19">
        <v>2983.6</v>
      </c>
      <c r="AB402" s="19">
        <v>36.122</v>
      </c>
      <c r="AC402" s="19">
        <v>4323.7565217391302</v>
      </c>
      <c r="AD402" s="19">
        <v>52.347000000000001</v>
      </c>
      <c r="AE402" s="19">
        <v>4739.5739130434804</v>
      </c>
      <c r="AF402" s="19">
        <v>57.381999999999998</v>
      </c>
      <c r="AG402" s="19">
        <v>11310.730434782599</v>
      </c>
      <c r="AH402" s="19">
        <v>159.93700000000001</v>
      </c>
      <c r="AI402" s="19">
        <v>11038.7739130435</v>
      </c>
      <c r="AJ402" s="19">
        <v>157.35499999999999</v>
      </c>
      <c r="AK402" s="19">
        <v>4436.4869565217396</v>
      </c>
      <c r="AL402" s="19">
        <v>53.03</v>
      </c>
      <c r="AM402" s="19">
        <v>5573.1739130434798</v>
      </c>
      <c r="AN402" s="19">
        <v>64.097999999999999</v>
      </c>
      <c r="AO402" s="19">
        <v>5898.3565217391297</v>
      </c>
      <c r="AP402" s="19">
        <v>67.84</v>
      </c>
      <c r="AQ402" s="19">
        <v>6382.99130434783</v>
      </c>
      <c r="AR402" s="19">
        <v>72.664000000000001</v>
      </c>
      <c r="AS402" s="19">
        <v>5372.8956521739101</v>
      </c>
      <c r="AT402" s="19">
        <v>56.177</v>
      </c>
      <c r="AU402" s="19">
        <v>3284.6869565217398</v>
      </c>
      <c r="AV402" s="19">
        <v>34.344000000000001</v>
      </c>
      <c r="AW402" s="19">
        <v>3666.94782608696</v>
      </c>
      <c r="AX402" s="19">
        <v>37.017000000000003</v>
      </c>
      <c r="AY402" s="19">
        <v>5216.7826086956502</v>
      </c>
      <c r="AZ402" s="19">
        <v>52.875999999999998</v>
      </c>
      <c r="BA402" s="19">
        <v>3836.3391304347801</v>
      </c>
      <c r="BB402" s="19">
        <v>39.045999999999999</v>
      </c>
      <c r="BC402" s="19">
        <v>2484.8956521739101</v>
      </c>
      <c r="BD402" s="19">
        <v>23.053000000000001</v>
      </c>
      <c r="BE402" s="19">
        <v>3068.4086956521701</v>
      </c>
      <c r="BF402" s="19">
        <v>27.146000000000001</v>
      </c>
      <c r="BG402" s="19">
        <v>3648.2086956521698</v>
      </c>
      <c r="BH402" s="19">
        <v>33.856000000000002</v>
      </c>
      <c r="BI402" s="19">
        <v>4095.0347826087</v>
      </c>
      <c r="BJ402" s="19">
        <v>38.603999999999999</v>
      </c>
      <c r="BK402" s="19">
        <v>4664.05217391304</v>
      </c>
      <c r="BL402" s="19">
        <v>44.326000000000001</v>
      </c>
      <c r="BM402" s="19">
        <v>5503.7652173913002</v>
      </c>
      <c r="BN402" s="19">
        <v>52.143999999999998</v>
      </c>
      <c r="BO402" s="19">
        <v>5115.5217391304304</v>
      </c>
      <c r="BP402" s="19">
        <v>48.387999999999998</v>
      </c>
      <c r="BQ402" s="19">
        <v>4685.8086956521702</v>
      </c>
      <c r="BR402" s="19">
        <v>47.884</v>
      </c>
      <c r="BS402" s="19">
        <v>4993.02608695652</v>
      </c>
      <c r="BT402" s="19">
        <v>52.322000000000003</v>
      </c>
      <c r="BU402" s="19">
        <v>4463.3739130434797</v>
      </c>
      <c r="BV402" s="19">
        <v>46.667999999999999</v>
      </c>
      <c r="BW402" s="19">
        <v>5156.0347826087</v>
      </c>
      <c r="BX402" s="19">
        <v>54.125999999999998</v>
      </c>
      <c r="BY402" s="19">
        <v>5286.1043478260899</v>
      </c>
      <c r="BZ402" s="19">
        <v>55.768000000000001</v>
      </c>
      <c r="CA402" s="19">
        <v>3267.8956521739101</v>
      </c>
      <c r="CB402" s="19">
        <v>34.167999999999999</v>
      </c>
      <c r="CC402" s="19">
        <v>3667.2521739130402</v>
      </c>
      <c r="CD402" s="19">
        <v>38.496000000000002</v>
      </c>
      <c r="CE402" s="19">
        <v>4297</v>
      </c>
      <c r="CF402" s="19">
        <v>44.927999999999997</v>
      </c>
      <c r="CG402" s="19">
        <v>3849.2086956521698</v>
      </c>
      <c r="CH402" s="19">
        <v>40.246000000000002</v>
      </c>
      <c r="CI402" s="19">
        <v>4262.3652173912997</v>
      </c>
      <c r="CJ402" s="19">
        <v>44.566000000000003</v>
      </c>
      <c r="CK402" s="19">
        <v>2637.2086956521698</v>
      </c>
      <c r="CL402" s="19">
        <v>27.574000000000002</v>
      </c>
      <c r="CM402" s="19">
        <v>4617.7826086956502</v>
      </c>
      <c r="CN402" s="19">
        <v>48.69</v>
      </c>
      <c r="CO402" s="19">
        <v>6152.0608695652199</v>
      </c>
      <c r="CP402" s="19">
        <v>64.471999999999994</v>
      </c>
      <c r="CQ402" s="19">
        <v>4562.1043478260899</v>
      </c>
      <c r="CR402" s="19">
        <v>47.985999999999997</v>
      </c>
      <c r="CS402" s="19">
        <v>4114.8521739130401</v>
      </c>
      <c r="CT402" s="19">
        <v>43.024000000000001</v>
      </c>
      <c r="CU402" s="19">
        <v>3623.2173913043498</v>
      </c>
      <c r="CV402" s="19">
        <v>36.338000000000001</v>
      </c>
      <c r="CW402" s="19">
        <v>3476.2869565217402</v>
      </c>
      <c r="CX402" s="19">
        <v>33.881999999999998</v>
      </c>
      <c r="CY402" s="19">
        <v>4062.5565217391299</v>
      </c>
      <c r="CZ402" s="19">
        <v>41.154000000000003</v>
      </c>
      <c r="DA402" s="19">
        <v>4030.2869565217402</v>
      </c>
      <c r="DB402" s="19">
        <v>40.534999999999997</v>
      </c>
      <c r="DC402" s="19">
        <v>3504.1913043478298</v>
      </c>
      <c r="DD402" s="19">
        <v>33.295999999999999</v>
      </c>
      <c r="DE402" s="19">
        <v>3462.1217391304299</v>
      </c>
      <c r="DF402" s="19">
        <v>31.488</v>
      </c>
      <c r="DG402" s="19">
        <v>2839.5739130434799</v>
      </c>
      <c r="DH402" s="19">
        <v>25.59</v>
      </c>
      <c r="DI402" s="19">
        <v>3068.1565217391299</v>
      </c>
      <c r="DJ402" s="19">
        <v>27.352</v>
      </c>
      <c r="DK402" s="19">
        <v>3519.3478260869601</v>
      </c>
      <c r="DL402" s="19">
        <v>31.742000000000001</v>
      </c>
      <c r="DM402" s="19">
        <v>3803.1043478260899</v>
      </c>
      <c r="DN402" s="19">
        <v>37.354999999999997</v>
      </c>
      <c r="DO402" s="19">
        <v>3507.1391304347799</v>
      </c>
      <c r="DP402" s="19">
        <v>34.340000000000003</v>
      </c>
      <c r="DQ402" s="19">
        <v>5606</v>
      </c>
      <c r="DR402" s="19">
        <v>59.07</v>
      </c>
      <c r="DS402" s="19">
        <v>3965.3478260869601</v>
      </c>
      <c r="DT402" s="19">
        <v>44.192</v>
      </c>
      <c r="DU402" s="19">
        <v>4944.2347826086998</v>
      </c>
      <c r="DV402" s="19">
        <v>49.11</v>
      </c>
      <c r="DW402" s="19">
        <v>3864.5913043478299</v>
      </c>
      <c r="DX402" s="19">
        <v>40.512</v>
      </c>
      <c r="DY402" s="19">
        <v>5730.2173913043498</v>
      </c>
      <c r="DZ402" s="19">
        <v>60.56</v>
      </c>
      <c r="EA402" s="19">
        <v>5712.5826086956504</v>
      </c>
      <c r="EB402" s="19">
        <v>63.393000000000001</v>
      </c>
      <c r="EC402" s="19">
        <v>3507.2521739130402</v>
      </c>
      <c r="ED402" s="19">
        <v>40.71</v>
      </c>
      <c r="EE402" s="19">
        <v>5761.7826086956502</v>
      </c>
      <c r="EF402" s="19">
        <v>66.852999999999994</v>
      </c>
      <c r="EG402" s="19">
        <v>5898.99130434783</v>
      </c>
      <c r="EH402" s="19">
        <v>67.870999999999995</v>
      </c>
      <c r="EI402" s="19">
        <v>7275.4434782608696</v>
      </c>
      <c r="EJ402" s="19">
        <v>84.097999999999999</v>
      </c>
      <c r="EK402" s="19">
        <v>4459.8956521739101</v>
      </c>
      <c r="EL402" s="19">
        <v>52.048000000000002</v>
      </c>
      <c r="EM402" s="19">
        <v>5364.4956521739095</v>
      </c>
      <c r="EN402" s="19">
        <v>61.7</v>
      </c>
      <c r="EO402" s="19">
        <v>7823.5652173913004</v>
      </c>
      <c r="EP402" s="19">
        <v>90.26</v>
      </c>
      <c r="EQ402" s="19">
        <v>9867.4782608695696</v>
      </c>
      <c r="ER402" s="19">
        <v>113.991</v>
      </c>
      <c r="ES402" s="119">
        <v>8540.5739130434795</v>
      </c>
      <c r="ET402" s="119">
        <v>98.548000000000002</v>
      </c>
    </row>
    <row r="403" spans="1:150" ht="16.5" customHeight="1" x14ac:dyDescent="0.35">
      <c r="A403" s="4">
        <v>216</v>
      </c>
      <c r="B403" s="4" t="str">
        <f>LOOKUP(A403,Lookup!$A$1:$A$34,Lookup!$B$1:$B$34)</f>
        <v>BUTCH  WORS/MINCE/PAT</v>
      </c>
      <c r="C403" s="5">
        <v>34200</v>
      </c>
      <c r="D403" s="6" t="s">
        <v>383</v>
      </c>
      <c r="E403" s="18">
        <v>2216.41261481935</v>
      </c>
      <c r="F403" s="18">
        <v>21.488</v>
      </c>
      <c r="G403" s="18">
        <v>157365.29565217401</v>
      </c>
      <c r="H403" s="18">
        <v>1525.6569999999999</v>
      </c>
      <c r="I403" s="19">
        <v>1658.75652173913</v>
      </c>
      <c r="J403" s="19">
        <v>17.344000000000001</v>
      </c>
      <c r="K403" s="19">
        <v>2049.5565217391299</v>
      </c>
      <c r="L403" s="19">
        <v>21.43</v>
      </c>
      <c r="M403" s="19">
        <v>1609.5913043478299</v>
      </c>
      <c r="N403" s="19">
        <v>16.829999999999998</v>
      </c>
      <c r="O403" s="19">
        <v>2212.9130434782601</v>
      </c>
      <c r="P403" s="19">
        <v>23.138000000000002</v>
      </c>
      <c r="Q403" s="19">
        <v>1523.74782608696</v>
      </c>
      <c r="R403" s="19">
        <v>15.932</v>
      </c>
      <c r="S403" s="19">
        <v>2267.8347826087002</v>
      </c>
      <c r="T403" s="19">
        <v>23.712</v>
      </c>
      <c r="U403" s="19">
        <v>1671.99130434783</v>
      </c>
      <c r="V403" s="19">
        <v>17.481999999999999</v>
      </c>
      <c r="W403" s="19">
        <v>1207.78260869565</v>
      </c>
      <c r="X403" s="19">
        <v>12.628</v>
      </c>
      <c r="Y403" s="19">
        <v>3452.0956521739099</v>
      </c>
      <c r="Z403" s="19">
        <v>36.094000000000001</v>
      </c>
      <c r="AA403" s="19">
        <v>2137.1913043478298</v>
      </c>
      <c r="AB403" s="19">
        <v>22.346</v>
      </c>
      <c r="AC403" s="19">
        <v>2463.0956521739099</v>
      </c>
      <c r="AD403" s="19">
        <v>28.327999999999999</v>
      </c>
      <c r="AE403" s="19">
        <v>2412.53043478261</v>
      </c>
      <c r="AF403" s="19">
        <v>27.748000000000001</v>
      </c>
      <c r="AG403" s="19">
        <v>3496.46956521739</v>
      </c>
      <c r="AH403" s="19">
        <v>36.558</v>
      </c>
      <c r="AI403" s="19">
        <v>2015.48695652174</v>
      </c>
      <c r="AJ403" s="19">
        <v>21.074000000000002</v>
      </c>
      <c r="AK403" s="19">
        <v>1432.48695652174</v>
      </c>
      <c r="AL403" s="19">
        <v>14.978</v>
      </c>
      <c r="AM403" s="19">
        <v>2175.98260869565</v>
      </c>
      <c r="AN403" s="19">
        <v>22.751999999999999</v>
      </c>
      <c r="AO403" s="19">
        <v>2284.8260869565202</v>
      </c>
      <c r="AP403" s="19">
        <v>23.89</v>
      </c>
      <c r="AQ403" s="19">
        <v>3491.4260869565201</v>
      </c>
      <c r="AR403" s="19">
        <v>36.506</v>
      </c>
      <c r="AS403" s="19">
        <v>1875.69565217391</v>
      </c>
      <c r="AT403" s="19">
        <v>19.611999999999998</v>
      </c>
      <c r="AU403" s="19">
        <v>1947.24347826087</v>
      </c>
      <c r="AV403" s="19">
        <v>19.939</v>
      </c>
      <c r="AW403" s="19">
        <v>3374.3565217391301</v>
      </c>
      <c r="AX403" s="19">
        <v>34.042000000000002</v>
      </c>
      <c r="AY403" s="19">
        <v>3139.6695652173898</v>
      </c>
      <c r="AZ403" s="19">
        <v>32.716999999999999</v>
      </c>
      <c r="BA403" s="19">
        <v>1821.0956521739099</v>
      </c>
      <c r="BB403" s="19">
        <v>19.041</v>
      </c>
      <c r="BC403" s="19">
        <v>2559.6869565217398</v>
      </c>
      <c r="BD403" s="19">
        <v>25.024000000000001</v>
      </c>
      <c r="BE403" s="19">
        <v>1436.28695652174</v>
      </c>
      <c r="BF403" s="19">
        <v>13.11</v>
      </c>
      <c r="BG403" s="19">
        <v>4078.54782608696</v>
      </c>
      <c r="BH403" s="19">
        <v>42.643999999999998</v>
      </c>
      <c r="BI403" s="19">
        <v>3474.46956521739</v>
      </c>
      <c r="BJ403" s="19">
        <v>36.328000000000003</v>
      </c>
      <c r="BK403" s="19">
        <v>2281.4</v>
      </c>
      <c r="BL403" s="19">
        <v>20.741</v>
      </c>
      <c r="BM403" s="19">
        <v>1458.0782608695699</v>
      </c>
      <c r="BN403" s="19">
        <v>12.9</v>
      </c>
      <c r="BO403" s="19">
        <v>2479.2086956521698</v>
      </c>
      <c r="BP403" s="19">
        <v>21.934000000000001</v>
      </c>
      <c r="BQ403" s="19">
        <v>2137.8521739130401</v>
      </c>
      <c r="BR403" s="19">
        <v>18.914000000000001</v>
      </c>
      <c r="BS403" s="19">
        <v>1987.04347826087</v>
      </c>
      <c r="BT403" s="19">
        <v>17.579999999999998</v>
      </c>
      <c r="BU403" s="19">
        <v>871.23478260869604</v>
      </c>
      <c r="BV403" s="19">
        <v>7.157</v>
      </c>
      <c r="BW403" s="19">
        <v>1932.8695652173899</v>
      </c>
      <c r="BX403" s="19">
        <v>18.164999999999999</v>
      </c>
      <c r="BY403" s="19">
        <v>2599.3913043478301</v>
      </c>
      <c r="BZ403" s="19">
        <v>24.914000000000001</v>
      </c>
      <c r="CA403" s="19">
        <v>1810</v>
      </c>
      <c r="CB403" s="19">
        <v>17.347999999999999</v>
      </c>
      <c r="CC403" s="19">
        <v>2229.8260869565202</v>
      </c>
      <c r="CD403" s="19">
        <v>21.372</v>
      </c>
      <c r="CE403" s="19">
        <v>841.55652173912995</v>
      </c>
      <c r="CF403" s="19">
        <v>8.0660000000000007</v>
      </c>
      <c r="CG403" s="19">
        <v>2520.6956521739098</v>
      </c>
      <c r="CH403" s="19">
        <v>24.16</v>
      </c>
      <c r="CI403" s="19">
        <v>1582.9391304347801</v>
      </c>
      <c r="CJ403" s="19">
        <v>15.172000000000001</v>
      </c>
      <c r="CK403" s="19">
        <v>1724.6521739130401</v>
      </c>
      <c r="CL403" s="19">
        <v>16.53</v>
      </c>
      <c r="CM403" s="19">
        <v>1512.6521739130401</v>
      </c>
      <c r="CN403" s="19">
        <v>14.497999999999999</v>
      </c>
      <c r="CO403" s="19">
        <v>2638.6521739130399</v>
      </c>
      <c r="CP403" s="19">
        <v>25.29</v>
      </c>
      <c r="CQ403" s="19">
        <v>1844.4347826087001</v>
      </c>
      <c r="CR403" s="19">
        <v>17.678000000000001</v>
      </c>
      <c r="CS403" s="19">
        <v>2168.47826086957</v>
      </c>
      <c r="CT403" s="19">
        <v>20.783999999999999</v>
      </c>
      <c r="CU403" s="19">
        <v>1976.02608695652</v>
      </c>
      <c r="CV403" s="19">
        <v>18.388999999999999</v>
      </c>
      <c r="CW403" s="19">
        <v>1998.04347826087</v>
      </c>
      <c r="CX403" s="19">
        <v>18.382000000000001</v>
      </c>
      <c r="CY403" s="19">
        <v>2580.2173913043498</v>
      </c>
      <c r="CZ403" s="19">
        <v>23.738</v>
      </c>
      <c r="DA403" s="19">
        <v>2206.7391304347798</v>
      </c>
      <c r="DB403" s="19">
        <v>20.302</v>
      </c>
      <c r="DC403" s="19">
        <v>2257.1739130434798</v>
      </c>
      <c r="DD403" s="19">
        <v>20.030999999999999</v>
      </c>
      <c r="DE403" s="19">
        <v>4440.6782608695703</v>
      </c>
      <c r="DF403" s="19">
        <v>37.828000000000003</v>
      </c>
      <c r="DG403" s="19">
        <v>3491.45217391304</v>
      </c>
      <c r="DH403" s="19">
        <v>29.742000000000001</v>
      </c>
      <c r="DI403" s="19">
        <v>4726.8782608695701</v>
      </c>
      <c r="DJ403" s="19">
        <v>40.265999999999998</v>
      </c>
      <c r="DK403" s="19">
        <v>1826.6086956521699</v>
      </c>
      <c r="DL403" s="19">
        <v>15.56</v>
      </c>
      <c r="DM403" s="19">
        <v>1514.1130434782599</v>
      </c>
      <c r="DN403" s="19">
        <v>12.898</v>
      </c>
      <c r="DO403" s="19">
        <v>1894.1130434782599</v>
      </c>
      <c r="DP403" s="19">
        <v>16.731999999999999</v>
      </c>
      <c r="DQ403" s="19">
        <v>2463.1130434782599</v>
      </c>
      <c r="DR403" s="19">
        <v>21.792000000000002</v>
      </c>
      <c r="DS403" s="19">
        <v>1107.46086956522</v>
      </c>
      <c r="DT403" s="19">
        <v>9.798</v>
      </c>
      <c r="DU403" s="19">
        <v>1806.4260869565201</v>
      </c>
      <c r="DV403" s="19">
        <v>15.981999999999999</v>
      </c>
      <c r="DW403" s="19">
        <v>2613.6521739130399</v>
      </c>
      <c r="DX403" s="19">
        <v>24.776</v>
      </c>
      <c r="DY403" s="19">
        <v>3145.6173913043499</v>
      </c>
      <c r="DZ403" s="19">
        <v>28.829000000000001</v>
      </c>
      <c r="EA403" s="19">
        <v>2613.7913043478302</v>
      </c>
      <c r="EB403" s="19">
        <v>25.052</v>
      </c>
      <c r="EC403" s="19">
        <v>1503.8695652173899</v>
      </c>
      <c r="ED403" s="19">
        <v>14.414</v>
      </c>
      <c r="EE403" s="19">
        <v>1437.30434782609</v>
      </c>
      <c r="EF403" s="19">
        <v>13.776</v>
      </c>
      <c r="EG403" s="19">
        <v>2707.2695652173902</v>
      </c>
      <c r="EH403" s="19">
        <v>25.948</v>
      </c>
      <c r="EI403" s="19">
        <v>2885.8521739130401</v>
      </c>
      <c r="EJ403" s="19">
        <v>27.66</v>
      </c>
      <c r="EK403" s="19">
        <v>1543.52173913043</v>
      </c>
      <c r="EL403" s="19">
        <v>14.794</v>
      </c>
      <c r="EM403" s="19">
        <v>1595.48695652174</v>
      </c>
      <c r="EN403" s="19">
        <v>15.292</v>
      </c>
      <c r="EO403" s="19">
        <v>1664.5913043478299</v>
      </c>
      <c r="EP403" s="19">
        <v>15.954000000000001</v>
      </c>
      <c r="EQ403" s="19">
        <v>1787.46086956522</v>
      </c>
      <c r="ER403" s="19">
        <v>17.132000000000001</v>
      </c>
      <c r="ES403" s="119">
        <v>2218.3652173913001</v>
      </c>
      <c r="ET403" s="119">
        <v>21.262</v>
      </c>
    </row>
    <row r="404" spans="1:150" ht="16.5" customHeight="1" x14ac:dyDescent="0.35">
      <c r="A404" s="4">
        <v>216</v>
      </c>
      <c r="B404" s="4" t="str">
        <f>LOOKUP(A404,Lookup!$A$1:$A$34,Lookup!$B$1:$B$34)</f>
        <v>BUTCH  WORS/MINCE/PAT</v>
      </c>
      <c r="C404" s="5">
        <v>34201</v>
      </c>
      <c r="D404" s="6" t="s">
        <v>384</v>
      </c>
      <c r="E404" s="18">
        <v>166.15909369259001</v>
      </c>
      <c r="F404" s="18">
        <v>1.758</v>
      </c>
      <c r="G404" s="18">
        <v>11797.2956521739</v>
      </c>
      <c r="H404" s="18">
        <v>124.821</v>
      </c>
      <c r="I404" s="19">
        <v>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9">
        <v>0</v>
      </c>
      <c r="Q404" s="19">
        <v>0</v>
      </c>
      <c r="R404" s="19">
        <v>0</v>
      </c>
      <c r="S404" s="19">
        <v>0</v>
      </c>
      <c r="T404" s="19">
        <v>0</v>
      </c>
      <c r="U404" s="19">
        <v>0</v>
      </c>
      <c r="V404" s="19">
        <v>0</v>
      </c>
      <c r="W404" s="19">
        <v>0</v>
      </c>
      <c r="X404" s="19">
        <v>0</v>
      </c>
      <c r="Y404" s="19">
        <v>0</v>
      </c>
      <c r="Z404" s="19">
        <v>0</v>
      </c>
      <c r="AA404" s="19">
        <v>0</v>
      </c>
      <c r="AB404" s="19">
        <v>0</v>
      </c>
      <c r="AC404" s="19">
        <v>0</v>
      </c>
      <c r="AD404" s="19">
        <v>0</v>
      </c>
      <c r="AE404" s="19">
        <v>0</v>
      </c>
      <c r="AF404" s="19">
        <v>0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19">
        <v>0</v>
      </c>
      <c r="AM404" s="19">
        <v>0</v>
      </c>
      <c r="AN404" s="19">
        <v>0</v>
      </c>
      <c r="AO404" s="19">
        <v>0</v>
      </c>
      <c r="AP404" s="19">
        <v>0</v>
      </c>
      <c r="AQ404" s="19">
        <v>0</v>
      </c>
      <c r="AR404" s="19">
        <v>0</v>
      </c>
      <c r="AS404" s="19">
        <v>0</v>
      </c>
      <c r="AT404" s="19">
        <v>0</v>
      </c>
      <c r="AU404" s="19">
        <v>0</v>
      </c>
      <c r="AV404" s="19">
        <v>0</v>
      </c>
      <c r="AW404" s="19">
        <v>0</v>
      </c>
      <c r="AX404" s="19">
        <v>0</v>
      </c>
      <c r="AY404" s="19">
        <v>0</v>
      </c>
      <c r="AZ404" s="19">
        <v>0</v>
      </c>
      <c r="BA404" s="19">
        <v>0</v>
      </c>
      <c r="BB404" s="19">
        <v>0</v>
      </c>
      <c r="BC404" s="19">
        <v>1855.00869565217</v>
      </c>
      <c r="BD404" s="19">
        <v>19.396000000000001</v>
      </c>
      <c r="BE404" s="19">
        <v>1772.1826086956501</v>
      </c>
      <c r="BF404" s="19">
        <v>18.53</v>
      </c>
      <c r="BG404" s="19">
        <v>2837.48695652174</v>
      </c>
      <c r="BH404" s="19">
        <v>30.786999999999999</v>
      </c>
      <c r="BI404" s="19">
        <v>0</v>
      </c>
      <c r="BJ404" s="19">
        <v>0</v>
      </c>
      <c r="BK404" s="19">
        <v>0</v>
      </c>
      <c r="BL404" s="19">
        <v>0</v>
      </c>
      <c r="BM404" s="19">
        <v>0</v>
      </c>
      <c r="BN404" s="19">
        <v>0</v>
      </c>
      <c r="BO404" s="19">
        <v>0</v>
      </c>
      <c r="BP404" s="19">
        <v>0</v>
      </c>
      <c r="BQ404" s="19">
        <v>0</v>
      </c>
      <c r="BR404" s="19">
        <v>0</v>
      </c>
      <c r="BS404" s="19">
        <v>0</v>
      </c>
      <c r="BT404" s="19">
        <v>0</v>
      </c>
      <c r="BU404" s="19">
        <v>0</v>
      </c>
      <c r="BV404" s="19">
        <v>0</v>
      </c>
      <c r="BW404" s="19">
        <v>0</v>
      </c>
      <c r="BX404" s="19">
        <v>0</v>
      </c>
      <c r="BY404" s="19">
        <v>0</v>
      </c>
      <c r="BZ404" s="19">
        <v>0</v>
      </c>
      <c r="CA404" s="19">
        <v>0</v>
      </c>
      <c r="CB404" s="19">
        <v>0</v>
      </c>
      <c r="CC404" s="19">
        <v>0</v>
      </c>
      <c r="CD404" s="19">
        <v>0</v>
      </c>
      <c r="CE404" s="19">
        <v>0</v>
      </c>
      <c r="CF404" s="19">
        <v>0</v>
      </c>
      <c r="CG404" s="19">
        <v>0</v>
      </c>
      <c r="CH404" s="19">
        <v>0</v>
      </c>
      <c r="CI404" s="19">
        <v>0</v>
      </c>
      <c r="CJ404" s="19">
        <v>0</v>
      </c>
      <c r="CK404" s="19">
        <v>2527.3826086956501</v>
      </c>
      <c r="CL404" s="19">
        <v>26.425000000000001</v>
      </c>
      <c r="CM404" s="19">
        <v>2296.8173913043502</v>
      </c>
      <c r="CN404" s="19">
        <v>24.221</v>
      </c>
      <c r="CO404" s="19">
        <v>508.41739130434797</v>
      </c>
      <c r="CP404" s="19">
        <v>5.4619999999999997</v>
      </c>
      <c r="CQ404" s="19">
        <v>0</v>
      </c>
      <c r="CR404" s="19">
        <v>0</v>
      </c>
      <c r="CS404" s="19">
        <v>0</v>
      </c>
      <c r="CT404" s="19">
        <v>0</v>
      </c>
      <c r="CU404" s="19">
        <v>0</v>
      </c>
      <c r="CV404" s="19">
        <v>0</v>
      </c>
      <c r="CW404" s="19">
        <v>0</v>
      </c>
      <c r="CX404" s="19">
        <v>0</v>
      </c>
      <c r="CY404" s="19">
        <v>0</v>
      </c>
      <c r="CZ404" s="19">
        <v>0</v>
      </c>
      <c r="DA404" s="19">
        <v>0</v>
      </c>
      <c r="DB404" s="19">
        <v>0</v>
      </c>
      <c r="DC404" s="19">
        <v>0</v>
      </c>
      <c r="DD404" s="19">
        <v>0</v>
      </c>
      <c r="DE404" s="19">
        <v>0</v>
      </c>
      <c r="DF404" s="19">
        <v>0</v>
      </c>
      <c r="DG404" s="19">
        <v>0</v>
      </c>
      <c r="DH404" s="19">
        <v>0</v>
      </c>
      <c r="DI404" s="19">
        <v>0</v>
      </c>
      <c r="DJ404" s="19">
        <v>0</v>
      </c>
      <c r="DK404" s="19">
        <v>0</v>
      </c>
      <c r="DL404" s="19">
        <v>0</v>
      </c>
      <c r="DM404" s="19">
        <v>0</v>
      </c>
      <c r="DN404" s="19">
        <v>0</v>
      </c>
      <c r="DO404" s="19">
        <v>0</v>
      </c>
      <c r="DP404" s="19">
        <v>0</v>
      </c>
      <c r="DQ404" s="19">
        <v>0</v>
      </c>
      <c r="DR404" s="19">
        <v>0</v>
      </c>
      <c r="DS404" s="19">
        <v>0</v>
      </c>
      <c r="DT404" s="19">
        <v>0</v>
      </c>
      <c r="DU404" s="19">
        <v>0</v>
      </c>
      <c r="DV404" s="19">
        <v>0</v>
      </c>
      <c r="DW404" s="19">
        <v>0</v>
      </c>
      <c r="DX404" s="19">
        <v>0</v>
      </c>
      <c r="DY404" s="19">
        <v>0</v>
      </c>
      <c r="DZ404" s="19">
        <v>0</v>
      </c>
      <c r="EA404" s="19">
        <v>0</v>
      </c>
      <c r="EB404" s="19">
        <v>0</v>
      </c>
      <c r="EC404" s="19">
        <v>0</v>
      </c>
      <c r="ED404" s="19">
        <v>0</v>
      </c>
      <c r="EE404" s="19">
        <v>0</v>
      </c>
      <c r="EF404" s="19">
        <v>0</v>
      </c>
      <c r="EG404" s="19">
        <v>0</v>
      </c>
      <c r="EH404" s="19">
        <v>0</v>
      </c>
      <c r="EI404" s="19">
        <v>0</v>
      </c>
      <c r="EJ404" s="19">
        <v>0</v>
      </c>
      <c r="EK404" s="19">
        <v>0</v>
      </c>
      <c r="EL404" s="19">
        <v>0</v>
      </c>
      <c r="EM404" s="19">
        <v>0</v>
      </c>
      <c r="EN404" s="19">
        <v>0</v>
      </c>
      <c r="EO404" s="19">
        <v>0</v>
      </c>
      <c r="EP404" s="19">
        <v>0</v>
      </c>
      <c r="EQ404" s="19">
        <v>0</v>
      </c>
      <c r="ER404" s="19">
        <v>0</v>
      </c>
      <c r="ES404" s="119">
        <v>0</v>
      </c>
      <c r="ET404" s="119">
        <v>0</v>
      </c>
    </row>
    <row r="405" spans="1:150" ht="16.5" customHeight="1" x14ac:dyDescent="0.35">
      <c r="A405" s="4">
        <v>216</v>
      </c>
      <c r="B405" s="4" t="str">
        <f>LOOKUP(A405,Lookup!$A$1:$A$34,Lookup!$B$1:$B$34)</f>
        <v>BUTCH  WORS/MINCE/PAT</v>
      </c>
      <c r="C405" s="5">
        <v>34211</v>
      </c>
      <c r="D405" s="6" t="s">
        <v>385</v>
      </c>
      <c r="E405" s="18">
        <v>244.79779546846299</v>
      </c>
      <c r="F405" s="18">
        <v>2.6469999999999998</v>
      </c>
      <c r="G405" s="18">
        <v>17380.643478260899</v>
      </c>
      <c r="H405" s="18">
        <v>187.916</v>
      </c>
      <c r="I405" s="19">
        <v>1464.1391304347801</v>
      </c>
      <c r="J405" s="19">
        <v>15.885999999999999</v>
      </c>
      <c r="K405" s="19">
        <v>717.22608695652195</v>
      </c>
      <c r="L405" s="19">
        <v>7.782</v>
      </c>
      <c r="M405" s="19">
        <v>546.36521739130399</v>
      </c>
      <c r="N405" s="19">
        <v>5.9279999999999999</v>
      </c>
      <c r="O405" s="19">
        <v>1128.1130434782599</v>
      </c>
      <c r="P405" s="19">
        <v>12.24</v>
      </c>
      <c r="Q405" s="19">
        <v>1221.5652173912999</v>
      </c>
      <c r="R405" s="19">
        <v>13.254</v>
      </c>
      <c r="S405" s="19">
        <v>1693.97391304348</v>
      </c>
      <c r="T405" s="19">
        <v>18.38</v>
      </c>
      <c r="U405" s="19">
        <v>1108.3739130434799</v>
      </c>
      <c r="V405" s="19">
        <v>12.026</v>
      </c>
      <c r="W405" s="19">
        <v>2281.4260869565201</v>
      </c>
      <c r="X405" s="19">
        <v>24.754000000000001</v>
      </c>
      <c r="Y405" s="19">
        <v>1408.8347826086999</v>
      </c>
      <c r="Z405" s="19">
        <v>15.286</v>
      </c>
      <c r="AA405" s="19">
        <v>1300.6434782608701</v>
      </c>
      <c r="AB405" s="19">
        <v>14.112</v>
      </c>
      <c r="AC405" s="19">
        <v>924.04347826086905</v>
      </c>
      <c r="AD405" s="19">
        <v>10.026</v>
      </c>
      <c r="AE405" s="19">
        <v>207.565217391304</v>
      </c>
      <c r="AF405" s="19">
        <v>2.2519999999999998</v>
      </c>
      <c r="AG405" s="19">
        <v>726.80869565217404</v>
      </c>
      <c r="AH405" s="19">
        <v>7.8860000000000001</v>
      </c>
      <c r="AI405" s="19">
        <v>485.35652173913002</v>
      </c>
      <c r="AJ405" s="19">
        <v>5.266</v>
      </c>
      <c r="AK405" s="19">
        <v>839.06956521739096</v>
      </c>
      <c r="AL405" s="19">
        <v>8.9629999999999992</v>
      </c>
      <c r="AM405" s="19">
        <v>848.68695652173903</v>
      </c>
      <c r="AN405" s="19">
        <v>8.8729999999999993</v>
      </c>
      <c r="AO405" s="19">
        <v>478.45217391304402</v>
      </c>
      <c r="AP405" s="19">
        <v>5.0019999999999998</v>
      </c>
      <c r="AQ405" s="19">
        <v>0</v>
      </c>
      <c r="AR405" s="19">
        <v>0</v>
      </c>
      <c r="AS405" s="19">
        <v>0</v>
      </c>
      <c r="AT405" s="19">
        <v>0</v>
      </c>
      <c r="AU405" s="19">
        <v>0</v>
      </c>
      <c r="AV405" s="19">
        <v>0</v>
      </c>
      <c r="AW405" s="19">
        <v>0</v>
      </c>
      <c r="AX405" s="19">
        <v>0</v>
      </c>
      <c r="AY405" s="19">
        <v>0</v>
      </c>
      <c r="AZ405" s="19">
        <v>0</v>
      </c>
      <c r="BA405" s="19">
        <v>0</v>
      </c>
      <c r="BB405" s="19">
        <v>0</v>
      </c>
      <c r="BC405" s="19">
        <v>0</v>
      </c>
      <c r="BD405" s="19">
        <v>0</v>
      </c>
      <c r="BE405" s="19">
        <v>0</v>
      </c>
      <c r="BF405" s="19">
        <v>0</v>
      </c>
      <c r="BG405" s="19">
        <v>0</v>
      </c>
      <c r="BH405" s="19">
        <v>0</v>
      </c>
      <c r="BI405" s="19">
        <v>0</v>
      </c>
      <c r="BJ405" s="19">
        <v>0</v>
      </c>
      <c r="BK405" s="19">
        <v>0</v>
      </c>
      <c r="BL405" s="19">
        <v>0</v>
      </c>
      <c r="BM405" s="19">
        <v>0</v>
      </c>
      <c r="BN405" s="19">
        <v>0</v>
      </c>
      <c r="BO405" s="19">
        <v>0</v>
      </c>
      <c r="BP405" s="19">
        <v>0</v>
      </c>
      <c r="BQ405" s="19">
        <v>0</v>
      </c>
      <c r="BR405" s="19">
        <v>0</v>
      </c>
      <c r="BS405" s="19">
        <v>0</v>
      </c>
      <c r="BT405" s="19">
        <v>0</v>
      </c>
      <c r="BU405" s="19">
        <v>0</v>
      </c>
      <c r="BV405" s="19">
        <v>0</v>
      </c>
      <c r="BW405" s="19">
        <v>0</v>
      </c>
      <c r="BX405" s="19">
        <v>0</v>
      </c>
      <c r="BY405" s="19">
        <v>0</v>
      </c>
      <c r="BZ405" s="19">
        <v>0</v>
      </c>
      <c r="CA405" s="19">
        <v>0</v>
      </c>
      <c r="CB405" s="19">
        <v>0</v>
      </c>
      <c r="CC405" s="19">
        <v>0</v>
      </c>
      <c r="CD405" s="19">
        <v>0</v>
      </c>
      <c r="CE405" s="19">
        <v>0</v>
      </c>
      <c r="CF405" s="19">
        <v>0</v>
      </c>
      <c r="CG405" s="19">
        <v>0</v>
      </c>
      <c r="CH405" s="19">
        <v>0</v>
      </c>
      <c r="CI405" s="19">
        <v>0</v>
      </c>
      <c r="CJ405" s="19">
        <v>0</v>
      </c>
      <c r="CK405" s="19">
        <v>0</v>
      </c>
      <c r="CL405" s="19">
        <v>0</v>
      </c>
      <c r="CM405" s="19">
        <v>0</v>
      </c>
      <c r="CN405" s="19">
        <v>0</v>
      </c>
      <c r="CO405" s="19">
        <v>0</v>
      </c>
      <c r="CP405" s="19">
        <v>0</v>
      </c>
      <c r="CQ405" s="19">
        <v>0</v>
      </c>
      <c r="CR405" s="19">
        <v>0</v>
      </c>
      <c r="CS405" s="19">
        <v>0</v>
      </c>
      <c r="CT405" s="19">
        <v>0</v>
      </c>
      <c r="CU405" s="19">
        <v>0</v>
      </c>
      <c r="CV405" s="19">
        <v>0</v>
      </c>
      <c r="CW405" s="19">
        <v>0</v>
      </c>
      <c r="CX405" s="19">
        <v>0</v>
      </c>
      <c r="CY405" s="19">
        <v>0</v>
      </c>
      <c r="CZ405" s="19">
        <v>0</v>
      </c>
      <c r="DA405" s="19">
        <v>0</v>
      </c>
      <c r="DB405" s="19">
        <v>0</v>
      </c>
      <c r="DC405" s="19">
        <v>0</v>
      </c>
      <c r="DD405" s="19">
        <v>0</v>
      </c>
      <c r="DE405" s="19">
        <v>0</v>
      </c>
      <c r="DF405" s="19">
        <v>0</v>
      </c>
      <c r="DG405" s="19">
        <v>0</v>
      </c>
      <c r="DH405" s="19">
        <v>0</v>
      </c>
      <c r="DI405" s="19">
        <v>0</v>
      </c>
      <c r="DJ405" s="19">
        <v>0</v>
      </c>
      <c r="DK405" s="19">
        <v>0</v>
      </c>
      <c r="DL405" s="19">
        <v>0</v>
      </c>
      <c r="DM405" s="19">
        <v>0</v>
      </c>
      <c r="DN405" s="19">
        <v>0</v>
      </c>
      <c r="DO405" s="19">
        <v>0</v>
      </c>
      <c r="DP405" s="19">
        <v>0</v>
      </c>
      <c r="DQ405" s="19">
        <v>0</v>
      </c>
      <c r="DR405" s="19">
        <v>0</v>
      </c>
      <c r="DS405" s="19">
        <v>0</v>
      </c>
      <c r="DT405" s="19">
        <v>0</v>
      </c>
      <c r="DU405" s="19">
        <v>0</v>
      </c>
      <c r="DV405" s="19">
        <v>0</v>
      </c>
      <c r="DW405" s="19">
        <v>0</v>
      </c>
      <c r="DX405" s="19">
        <v>0</v>
      </c>
      <c r="DY405" s="19">
        <v>0</v>
      </c>
      <c r="DZ405" s="19">
        <v>0</v>
      </c>
      <c r="EA405" s="19">
        <v>0</v>
      </c>
      <c r="EB405" s="19">
        <v>0</v>
      </c>
      <c r="EC405" s="19">
        <v>0</v>
      </c>
      <c r="ED405" s="19">
        <v>0</v>
      </c>
      <c r="EE405" s="19">
        <v>0</v>
      </c>
      <c r="EF405" s="19">
        <v>0</v>
      </c>
      <c r="EG405" s="19">
        <v>0</v>
      </c>
      <c r="EH405" s="19">
        <v>0</v>
      </c>
      <c r="EI405" s="19">
        <v>0</v>
      </c>
      <c r="EJ405" s="19">
        <v>0</v>
      </c>
      <c r="EK405" s="19">
        <v>0</v>
      </c>
      <c r="EL405" s="19">
        <v>0</v>
      </c>
      <c r="EM405" s="19">
        <v>0</v>
      </c>
      <c r="EN405" s="19">
        <v>0</v>
      </c>
      <c r="EO405" s="19">
        <v>0</v>
      </c>
      <c r="EP405" s="19">
        <v>0</v>
      </c>
      <c r="EQ405" s="19">
        <v>0</v>
      </c>
      <c r="ER405" s="19">
        <v>0</v>
      </c>
      <c r="ES405" s="119">
        <v>0</v>
      </c>
      <c r="ET405" s="119">
        <v>0</v>
      </c>
    </row>
    <row r="406" spans="1:150" ht="16.5" customHeight="1" x14ac:dyDescent="0.35">
      <c r="A406" s="4">
        <v>216</v>
      </c>
      <c r="B406" s="4" t="str">
        <f>LOOKUP(A406,Lookup!$A$1:$A$34,Lookup!$B$1:$B$34)</f>
        <v>BUTCH  WORS/MINCE/PAT</v>
      </c>
      <c r="C406" s="5">
        <v>34212</v>
      </c>
      <c r="D406" s="6" t="s">
        <v>386</v>
      </c>
      <c r="E406" s="18">
        <v>0</v>
      </c>
      <c r="F406" s="18">
        <v>0</v>
      </c>
      <c r="G406" s="18">
        <v>0</v>
      </c>
      <c r="H406" s="18">
        <v>0</v>
      </c>
      <c r="I406" s="19">
        <v>0</v>
      </c>
      <c r="J406" s="19">
        <v>0</v>
      </c>
      <c r="K406" s="19">
        <v>0</v>
      </c>
      <c r="L406" s="19">
        <v>0</v>
      </c>
      <c r="M406" s="19">
        <v>0</v>
      </c>
      <c r="N406" s="19">
        <v>0</v>
      </c>
      <c r="O406" s="19">
        <v>0</v>
      </c>
      <c r="P406" s="19">
        <v>0</v>
      </c>
      <c r="Q406" s="19">
        <v>0</v>
      </c>
      <c r="R406" s="19">
        <v>0</v>
      </c>
      <c r="S406" s="19">
        <v>0</v>
      </c>
      <c r="T406" s="19">
        <v>0</v>
      </c>
      <c r="U406" s="19">
        <v>0</v>
      </c>
      <c r="V406" s="19">
        <v>0</v>
      </c>
      <c r="W406" s="19">
        <v>0</v>
      </c>
      <c r="X406" s="19">
        <v>0</v>
      </c>
      <c r="Y406" s="19">
        <v>0</v>
      </c>
      <c r="Z406" s="19">
        <v>0</v>
      </c>
      <c r="AA406" s="19">
        <v>0</v>
      </c>
      <c r="AB406" s="19">
        <v>0</v>
      </c>
      <c r="AC406" s="19">
        <v>0</v>
      </c>
      <c r="AD406" s="19">
        <v>0</v>
      </c>
      <c r="AE406" s="19">
        <v>0</v>
      </c>
      <c r="AF406" s="19">
        <v>0</v>
      </c>
      <c r="AG406" s="19">
        <v>0</v>
      </c>
      <c r="AH406" s="19">
        <v>0</v>
      </c>
      <c r="AI406" s="19">
        <v>0</v>
      </c>
      <c r="AJ406" s="19">
        <v>0</v>
      </c>
      <c r="AK406" s="19">
        <v>0</v>
      </c>
      <c r="AL406" s="19">
        <v>0</v>
      </c>
      <c r="AM406" s="19">
        <v>0</v>
      </c>
      <c r="AN406" s="19">
        <v>0</v>
      </c>
      <c r="AO406" s="19">
        <v>0</v>
      </c>
      <c r="AP406" s="19">
        <v>0</v>
      </c>
      <c r="AQ406" s="19">
        <v>0</v>
      </c>
      <c r="AR406" s="19">
        <v>0</v>
      </c>
      <c r="AS406" s="19">
        <v>0</v>
      </c>
      <c r="AT406" s="19">
        <v>0</v>
      </c>
      <c r="AU406" s="19">
        <v>0</v>
      </c>
      <c r="AV406" s="19">
        <v>0</v>
      </c>
      <c r="AW406" s="19">
        <v>0</v>
      </c>
      <c r="AX406" s="19">
        <v>0</v>
      </c>
      <c r="AY406" s="19">
        <v>0</v>
      </c>
      <c r="AZ406" s="19">
        <v>0</v>
      </c>
      <c r="BA406" s="19">
        <v>0</v>
      </c>
      <c r="BB406" s="19">
        <v>0</v>
      </c>
      <c r="BC406" s="19">
        <v>0</v>
      </c>
      <c r="BD406" s="19">
        <v>0</v>
      </c>
      <c r="BE406" s="19">
        <v>0</v>
      </c>
      <c r="BF406" s="19">
        <v>0</v>
      </c>
      <c r="BG406" s="19">
        <v>0</v>
      </c>
      <c r="BH406" s="19">
        <v>0</v>
      </c>
      <c r="BI406" s="19">
        <v>0</v>
      </c>
      <c r="BJ406" s="19">
        <v>0</v>
      </c>
      <c r="BK406" s="19">
        <v>0</v>
      </c>
      <c r="BL406" s="19">
        <v>0</v>
      </c>
      <c r="BM406" s="19">
        <v>0</v>
      </c>
      <c r="BN406" s="19">
        <v>0</v>
      </c>
      <c r="BO406" s="19">
        <v>0</v>
      </c>
      <c r="BP406" s="19">
        <v>0</v>
      </c>
      <c r="BQ406" s="19">
        <v>0</v>
      </c>
      <c r="BR406" s="19">
        <v>0</v>
      </c>
      <c r="BS406" s="19">
        <v>0</v>
      </c>
      <c r="BT406" s="19">
        <v>0</v>
      </c>
      <c r="BU406" s="19">
        <v>0</v>
      </c>
      <c r="BV406" s="19">
        <v>0</v>
      </c>
      <c r="BW406" s="19">
        <v>0</v>
      </c>
      <c r="BX406" s="19">
        <v>0</v>
      </c>
      <c r="BY406" s="19">
        <v>0</v>
      </c>
      <c r="BZ406" s="19">
        <v>0</v>
      </c>
      <c r="CA406" s="19">
        <v>0</v>
      </c>
      <c r="CB406" s="19">
        <v>0</v>
      </c>
      <c r="CC406" s="19">
        <v>0</v>
      </c>
      <c r="CD406" s="19">
        <v>0</v>
      </c>
      <c r="CE406" s="19">
        <v>0</v>
      </c>
      <c r="CF406" s="19">
        <v>0</v>
      </c>
      <c r="CG406" s="19">
        <v>0</v>
      </c>
      <c r="CH406" s="19">
        <v>0</v>
      </c>
      <c r="CI406" s="19">
        <v>0</v>
      </c>
      <c r="CJ406" s="19">
        <v>0</v>
      </c>
      <c r="CK406" s="19">
        <v>0</v>
      </c>
      <c r="CL406" s="19">
        <v>0</v>
      </c>
      <c r="CM406" s="19">
        <v>0</v>
      </c>
      <c r="CN406" s="19">
        <v>0</v>
      </c>
      <c r="CO406" s="19">
        <v>0</v>
      </c>
      <c r="CP406" s="19">
        <v>0</v>
      </c>
      <c r="CQ406" s="19">
        <v>0</v>
      </c>
      <c r="CR406" s="19">
        <v>0</v>
      </c>
      <c r="CS406" s="19">
        <v>0</v>
      </c>
      <c r="CT406" s="19">
        <v>0</v>
      </c>
      <c r="CU406" s="19">
        <v>0</v>
      </c>
      <c r="CV406" s="19">
        <v>0</v>
      </c>
      <c r="CW406" s="19">
        <v>0</v>
      </c>
      <c r="CX406" s="19">
        <v>0</v>
      </c>
      <c r="CY406" s="19">
        <v>0</v>
      </c>
      <c r="CZ406" s="19">
        <v>0</v>
      </c>
      <c r="DA406" s="19">
        <v>0</v>
      </c>
      <c r="DB406" s="19">
        <v>0</v>
      </c>
      <c r="DC406" s="19">
        <v>0</v>
      </c>
      <c r="DD406" s="19">
        <v>0</v>
      </c>
      <c r="DE406" s="19">
        <v>0</v>
      </c>
      <c r="DF406" s="19">
        <v>0</v>
      </c>
      <c r="DG406" s="19">
        <v>0</v>
      </c>
      <c r="DH406" s="19">
        <v>0</v>
      </c>
      <c r="DI406" s="19">
        <v>0</v>
      </c>
      <c r="DJ406" s="19">
        <v>0</v>
      </c>
      <c r="DK406" s="19">
        <v>0</v>
      </c>
      <c r="DL406" s="19">
        <v>0</v>
      </c>
      <c r="DM406" s="19">
        <v>0</v>
      </c>
      <c r="DN406" s="19">
        <v>0</v>
      </c>
      <c r="DO406" s="19">
        <v>0</v>
      </c>
      <c r="DP406" s="19">
        <v>0</v>
      </c>
      <c r="DQ406" s="19">
        <v>0</v>
      </c>
      <c r="DR406" s="19">
        <v>0</v>
      </c>
      <c r="DS406" s="19">
        <v>0</v>
      </c>
      <c r="DT406" s="19">
        <v>0</v>
      </c>
      <c r="DU406" s="19">
        <v>0</v>
      </c>
      <c r="DV406" s="19">
        <v>0</v>
      </c>
      <c r="DW406" s="19">
        <v>0</v>
      </c>
      <c r="DX406" s="19">
        <v>0</v>
      </c>
      <c r="DY406" s="19">
        <v>0</v>
      </c>
      <c r="DZ406" s="19">
        <v>0</v>
      </c>
      <c r="EA406" s="19">
        <v>0</v>
      </c>
      <c r="EB406" s="19">
        <v>0</v>
      </c>
      <c r="EC406" s="19">
        <v>0</v>
      </c>
      <c r="ED406" s="19">
        <v>0</v>
      </c>
      <c r="EE406" s="19">
        <v>0</v>
      </c>
      <c r="EF406" s="19">
        <v>0</v>
      </c>
      <c r="EG406" s="19">
        <v>0</v>
      </c>
      <c r="EH406" s="19">
        <v>0</v>
      </c>
      <c r="EI406" s="19">
        <v>0</v>
      </c>
      <c r="EJ406" s="19">
        <v>0</v>
      </c>
      <c r="EK406" s="19">
        <v>0</v>
      </c>
      <c r="EL406" s="19">
        <v>0</v>
      </c>
      <c r="EM406" s="19">
        <v>0</v>
      </c>
      <c r="EN406" s="19">
        <v>0</v>
      </c>
      <c r="EO406" s="19">
        <v>0</v>
      </c>
      <c r="EP406" s="19">
        <v>0</v>
      </c>
      <c r="EQ406" s="19">
        <v>0</v>
      </c>
      <c r="ER406" s="19">
        <v>0</v>
      </c>
      <c r="ES406" s="119">
        <v>0</v>
      </c>
      <c r="ET406" s="119">
        <v>0</v>
      </c>
    </row>
    <row r="407" spans="1:150" ht="16.5" customHeight="1" x14ac:dyDescent="0.35">
      <c r="A407" s="4">
        <v>216</v>
      </c>
      <c r="B407" s="4" t="str">
        <f>LOOKUP(A407,Lookup!$A$1:$A$34,Lookup!$B$1:$B$34)</f>
        <v>BUTCH  WORS/MINCE/PAT</v>
      </c>
      <c r="C407" s="5">
        <v>34235</v>
      </c>
      <c r="D407" s="6" t="s">
        <v>387</v>
      </c>
      <c r="E407" s="18">
        <v>1440.49675443968</v>
      </c>
      <c r="F407" s="18">
        <v>16.931999999999999</v>
      </c>
      <c r="G407" s="18">
        <v>102275.26956521699</v>
      </c>
      <c r="H407" s="18">
        <v>1202.164</v>
      </c>
      <c r="I407" s="19">
        <v>1723.51304347826</v>
      </c>
      <c r="J407" s="19">
        <v>24.779</v>
      </c>
      <c r="K407" s="19">
        <v>1431.51304347826</v>
      </c>
      <c r="L407" s="19">
        <v>20.58</v>
      </c>
      <c r="M407" s="19">
        <v>1433.46086956522</v>
      </c>
      <c r="N407" s="19">
        <v>20.606999999999999</v>
      </c>
      <c r="O407" s="19">
        <v>1992.9043478260901</v>
      </c>
      <c r="P407" s="19">
        <v>28.65</v>
      </c>
      <c r="Q407" s="19">
        <v>1365.8347826086999</v>
      </c>
      <c r="R407" s="19">
        <v>19.635000000000002</v>
      </c>
      <c r="S407" s="19">
        <v>347.82608695652198</v>
      </c>
      <c r="T407" s="19">
        <v>5</v>
      </c>
      <c r="U407" s="19">
        <v>1034.99130434783</v>
      </c>
      <c r="V407" s="19">
        <v>14.88</v>
      </c>
      <c r="W407" s="19">
        <v>820.03478260869599</v>
      </c>
      <c r="X407" s="19">
        <v>11.788</v>
      </c>
      <c r="Y407" s="19">
        <v>1775.5826086956499</v>
      </c>
      <c r="Z407" s="19">
        <v>25.527000000000001</v>
      </c>
      <c r="AA407" s="19">
        <v>1402.8434782608699</v>
      </c>
      <c r="AB407" s="19">
        <v>20.169</v>
      </c>
      <c r="AC407" s="19">
        <v>1410.6434782608701</v>
      </c>
      <c r="AD407" s="19">
        <v>20.28</v>
      </c>
      <c r="AE407" s="19">
        <v>906.573913043478</v>
      </c>
      <c r="AF407" s="19">
        <v>13.034000000000001</v>
      </c>
      <c r="AG407" s="19">
        <v>569.6</v>
      </c>
      <c r="AH407" s="19">
        <v>8.1890000000000001</v>
      </c>
      <c r="AI407" s="19">
        <v>0</v>
      </c>
      <c r="AJ407" s="19">
        <v>0</v>
      </c>
      <c r="AK407" s="19">
        <v>858.99130434782603</v>
      </c>
      <c r="AL407" s="19">
        <v>12.137</v>
      </c>
      <c r="AM407" s="19">
        <v>968.52173913043498</v>
      </c>
      <c r="AN407" s="19">
        <v>11.138</v>
      </c>
      <c r="AO407" s="19">
        <v>965.21739130434798</v>
      </c>
      <c r="AP407" s="19">
        <v>11.101000000000001</v>
      </c>
      <c r="AQ407" s="19">
        <v>1709.5652173912999</v>
      </c>
      <c r="AR407" s="19">
        <v>19.661000000000001</v>
      </c>
      <c r="AS407" s="19">
        <v>2512</v>
      </c>
      <c r="AT407" s="19">
        <v>28.89</v>
      </c>
      <c r="AU407" s="19">
        <v>1522.94782608696</v>
      </c>
      <c r="AV407" s="19">
        <v>17.515000000000001</v>
      </c>
      <c r="AW407" s="19">
        <v>1419.47826086957</v>
      </c>
      <c r="AX407" s="19">
        <v>16.324999999999999</v>
      </c>
      <c r="AY407" s="19">
        <v>2364.3478260869601</v>
      </c>
      <c r="AZ407" s="19">
        <v>27.192</v>
      </c>
      <c r="BA407" s="19">
        <v>2180.6869565217398</v>
      </c>
      <c r="BB407" s="19">
        <v>25.079000000000001</v>
      </c>
      <c r="BC407" s="19">
        <v>1439.79130434783</v>
      </c>
      <c r="BD407" s="19">
        <v>14.263</v>
      </c>
      <c r="BE407" s="19">
        <v>1107.1304347826101</v>
      </c>
      <c r="BF407" s="19">
        <v>10.61</v>
      </c>
      <c r="BG407" s="19">
        <v>2074.8434782608701</v>
      </c>
      <c r="BH407" s="19">
        <v>19.885000000000002</v>
      </c>
      <c r="BI407" s="19">
        <v>2411.46956521739</v>
      </c>
      <c r="BJ407" s="19">
        <v>23.111000000000001</v>
      </c>
      <c r="BK407" s="19">
        <v>1214.1913043478301</v>
      </c>
      <c r="BL407" s="19">
        <v>11.635999999999999</v>
      </c>
      <c r="BM407" s="19">
        <v>1268.0347826087</v>
      </c>
      <c r="BN407" s="19">
        <v>12.151999999999999</v>
      </c>
      <c r="BO407" s="19">
        <v>430.74782608695699</v>
      </c>
      <c r="BP407" s="19">
        <v>4.1280000000000001</v>
      </c>
      <c r="BQ407" s="19">
        <v>1585.49565217391</v>
      </c>
      <c r="BR407" s="19">
        <v>17.314</v>
      </c>
      <c r="BS407" s="19">
        <v>1001.27826086956</v>
      </c>
      <c r="BT407" s="19">
        <v>11.996</v>
      </c>
      <c r="BU407" s="19">
        <v>1476.73043478261</v>
      </c>
      <c r="BV407" s="19">
        <v>17.692</v>
      </c>
      <c r="BW407" s="19">
        <v>1819.98260869565</v>
      </c>
      <c r="BX407" s="19">
        <v>21.803999999999998</v>
      </c>
      <c r="BY407" s="19">
        <v>2579.53043478261</v>
      </c>
      <c r="BZ407" s="19">
        <v>30.904</v>
      </c>
      <c r="CA407" s="19">
        <v>1638.1739130434801</v>
      </c>
      <c r="CB407" s="19">
        <v>19.626000000000001</v>
      </c>
      <c r="CC407" s="19">
        <v>756.22608695652195</v>
      </c>
      <c r="CD407" s="19">
        <v>9.06</v>
      </c>
      <c r="CE407" s="19">
        <v>1285.74782608696</v>
      </c>
      <c r="CF407" s="19">
        <v>15.404</v>
      </c>
      <c r="CG407" s="19">
        <v>1206.46086956522</v>
      </c>
      <c r="CH407" s="19">
        <v>14.454000000000001</v>
      </c>
      <c r="CI407" s="19">
        <v>1937.8086956521699</v>
      </c>
      <c r="CJ407" s="19">
        <v>23.216000000000001</v>
      </c>
      <c r="CK407" s="19">
        <v>2698.03478260869</v>
      </c>
      <c r="CL407" s="19">
        <v>32.323999999999998</v>
      </c>
      <c r="CM407" s="19">
        <v>1858.21739130435</v>
      </c>
      <c r="CN407" s="19">
        <v>21.971</v>
      </c>
      <c r="CO407" s="19">
        <v>2437.6260869565199</v>
      </c>
      <c r="CP407" s="19">
        <v>28.608000000000001</v>
      </c>
      <c r="CQ407" s="19">
        <v>1803.53043478261</v>
      </c>
      <c r="CR407" s="19">
        <v>21.166</v>
      </c>
      <c r="CS407" s="19">
        <v>2016.5739130434799</v>
      </c>
      <c r="CT407" s="19">
        <v>23.666</v>
      </c>
      <c r="CU407" s="19">
        <v>1877.7652173913</v>
      </c>
      <c r="CV407" s="19">
        <v>21.773</v>
      </c>
      <c r="CW407" s="19">
        <v>1635.30434782609</v>
      </c>
      <c r="CX407" s="19">
        <v>18.806000000000001</v>
      </c>
      <c r="CY407" s="19">
        <v>1752.3478260869599</v>
      </c>
      <c r="CZ407" s="19">
        <v>20.152999999999999</v>
      </c>
      <c r="DA407" s="19">
        <v>1812.1739130434801</v>
      </c>
      <c r="DB407" s="19">
        <v>20.84</v>
      </c>
      <c r="DC407" s="19">
        <v>1532.24347826087</v>
      </c>
      <c r="DD407" s="19">
        <v>16.827000000000002</v>
      </c>
      <c r="DE407" s="19">
        <v>1330.52173913043</v>
      </c>
      <c r="DF407" s="19">
        <v>14.038</v>
      </c>
      <c r="DG407" s="19">
        <v>1371.9217391304301</v>
      </c>
      <c r="DH407" s="19">
        <v>14.474</v>
      </c>
      <c r="DI407" s="19">
        <v>1490.1913043478301</v>
      </c>
      <c r="DJ407" s="19">
        <v>15.722</v>
      </c>
      <c r="DK407" s="19">
        <v>1736.20869565217</v>
      </c>
      <c r="DL407" s="19">
        <v>18.318000000000001</v>
      </c>
      <c r="DM407" s="19">
        <v>1124.72173913043</v>
      </c>
      <c r="DN407" s="19">
        <v>11.866</v>
      </c>
      <c r="DO407" s="19">
        <v>1646.3913043478301</v>
      </c>
      <c r="DP407" s="19">
        <v>17.37</v>
      </c>
      <c r="DQ407" s="19">
        <v>1575.8521739130399</v>
      </c>
      <c r="DR407" s="19">
        <v>16.626000000000001</v>
      </c>
      <c r="DS407" s="19">
        <v>1580.4</v>
      </c>
      <c r="DT407" s="19">
        <v>16.673999999999999</v>
      </c>
      <c r="DU407" s="19">
        <v>1174.73913043478</v>
      </c>
      <c r="DV407" s="19">
        <v>12.394</v>
      </c>
      <c r="DW407" s="19">
        <v>1421.95652173913</v>
      </c>
      <c r="DX407" s="19">
        <v>15.981</v>
      </c>
      <c r="DY407" s="19">
        <v>1624</v>
      </c>
      <c r="DZ407" s="19">
        <v>18.677</v>
      </c>
      <c r="EA407" s="19">
        <v>1538.95652173913</v>
      </c>
      <c r="EB407" s="19">
        <v>17.699000000000002</v>
      </c>
      <c r="EC407" s="19">
        <v>1227.8260869565199</v>
      </c>
      <c r="ED407" s="19">
        <v>14.12</v>
      </c>
      <c r="EE407" s="19">
        <v>833.56521739130403</v>
      </c>
      <c r="EF407" s="19">
        <v>9.5860000000000003</v>
      </c>
      <c r="EG407" s="19">
        <v>1947.8260869565199</v>
      </c>
      <c r="EH407" s="19">
        <v>22.401</v>
      </c>
      <c r="EI407" s="19">
        <v>1158.4347826087001</v>
      </c>
      <c r="EJ407" s="19">
        <v>13.321999999999999</v>
      </c>
      <c r="EK407" s="19">
        <v>1545.3913043478301</v>
      </c>
      <c r="EL407" s="19">
        <v>17.773</v>
      </c>
      <c r="EM407" s="19">
        <v>1874.6086956521699</v>
      </c>
      <c r="EN407" s="19">
        <v>21.56</v>
      </c>
      <c r="EO407" s="19">
        <v>697.21739130434798</v>
      </c>
      <c r="EP407" s="19">
        <v>8.0180000000000007</v>
      </c>
      <c r="EQ407" s="19">
        <v>0</v>
      </c>
      <c r="ER407" s="19">
        <v>0</v>
      </c>
      <c r="ES407" s="119">
        <v>0</v>
      </c>
      <c r="ET407" s="119">
        <v>0</v>
      </c>
    </row>
    <row r="408" spans="1:150" ht="16.5" customHeight="1" x14ac:dyDescent="0.35">
      <c r="A408" s="4">
        <v>216</v>
      </c>
      <c r="B408" s="4" t="str">
        <f>LOOKUP(A408,Lookup!$A$1:$A$34,Lookup!$B$1:$B$34)</f>
        <v>BUTCH  WORS/MINCE/PAT</v>
      </c>
      <c r="C408" s="5">
        <v>34237</v>
      </c>
      <c r="D408" s="6" t="s">
        <v>388</v>
      </c>
      <c r="E408" s="18">
        <v>140.03980404164099</v>
      </c>
      <c r="F408" s="18">
        <v>1.4430000000000001</v>
      </c>
      <c r="G408" s="18">
        <v>9942.8260869565202</v>
      </c>
      <c r="H408" s="18">
        <v>102.43899999999999</v>
      </c>
      <c r="I408" s="19">
        <v>0</v>
      </c>
      <c r="J408" s="19">
        <v>0</v>
      </c>
      <c r="K408" s="19">
        <v>0</v>
      </c>
      <c r="L408" s="19">
        <v>0</v>
      </c>
      <c r="M408" s="19">
        <v>0</v>
      </c>
      <c r="N408" s="19">
        <v>0</v>
      </c>
      <c r="O408" s="19">
        <v>0</v>
      </c>
      <c r="P408" s="19">
        <v>0</v>
      </c>
      <c r="Q408" s="19">
        <v>0</v>
      </c>
      <c r="R408" s="19">
        <v>0</v>
      </c>
      <c r="S408" s="19">
        <v>0</v>
      </c>
      <c r="T408" s="19">
        <v>0</v>
      </c>
      <c r="U408" s="19">
        <v>0</v>
      </c>
      <c r="V408" s="19">
        <v>0</v>
      </c>
      <c r="W408" s="19">
        <v>0</v>
      </c>
      <c r="X408" s="19">
        <v>0</v>
      </c>
      <c r="Y408" s="19">
        <v>0</v>
      </c>
      <c r="Z408" s="19">
        <v>0</v>
      </c>
      <c r="AA408" s="19">
        <v>0</v>
      </c>
      <c r="AB408" s="19">
        <v>0</v>
      </c>
      <c r="AC408" s="19">
        <v>0</v>
      </c>
      <c r="AD408" s="19">
        <v>0</v>
      </c>
      <c r="AE408" s="19">
        <v>0</v>
      </c>
      <c r="AF408" s="19">
        <v>0</v>
      </c>
      <c r="AG408" s="19">
        <v>0</v>
      </c>
      <c r="AH408" s="19">
        <v>0</v>
      </c>
      <c r="AI408" s="19">
        <v>0</v>
      </c>
      <c r="AJ408" s="19">
        <v>0</v>
      </c>
      <c r="AK408" s="19">
        <v>0</v>
      </c>
      <c r="AL408" s="19">
        <v>0</v>
      </c>
      <c r="AM408" s="19">
        <v>0</v>
      </c>
      <c r="AN408" s="19">
        <v>0</v>
      </c>
      <c r="AO408" s="19">
        <v>0</v>
      </c>
      <c r="AP408" s="19">
        <v>0</v>
      </c>
      <c r="AQ408" s="19">
        <v>0</v>
      </c>
      <c r="AR408" s="19">
        <v>0</v>
      </c>
      <c r="AS408" s="19">
        <v>0</v>
      </c>
      <c r="AT408" s="19">
        <v>0</v>
      </c>
      <c r="AU408" s="19">
        <v>0</v>
      </c>
      <c r="AV408" s="19">
        <v>0</v>
      </c>
      <c r="AW408" s="19">
        <v>0</v>
      </c>
      <c r="AX408" s="19">
        <v>0</v>
      </c>
      <c r="AY408" s="19">
        <v>0</v>
      </c>
      <c r="AZ408" s="19">
        <v>0</v>
      </c>
      <c r="BA408" s="19">
        <v>0</v>
      </c>
      <c r="BB408" s="19">
        <v>0</v>
      </c>
      <c r="BC408" s="19">
        <v>1475.52173913043</v>
      </c>
      <c r="BD408" s="19">
        <v>15.427</v>
      </c>
      <c r="BE408" s="19">
        <v>2088.46086956522</v>
      </c>
      <c r="BF408" s="19">
        <v>21.835000000000001</v>
      </c>
      <c r="BG408" s="19">
        <v>2254.3739130434801</v>
      </c>
      <c r="BH408" s="19">
        <v>22.35</v>
      </c>
      <c r="BI408" s="19">
        <v>0</v>
      </c>
      <c r="BJ408" s="19">
        <v>0</v>
      </c>
      <c r="BK408" s="19">
        <v>0</v>
      </c>
      <c r="BL408" s="19">
        <v>0</v>
      </c>
      <c r="BM408" s="19">
        <v>0</v>
      </c>
      <c r="BN408" s="19">
        <v>0</v>
      </c>
      <c r="BO408" s="19">
        <v>0</v>
      </c>
      <c r="BP408" s="19">
        <v>0</v>
      </c>
      <c r="BQ408" s="19">
        <v>0</v>
      </c>
      <c r="BR408" s="19">
        <v>0</v>
      </c>
      <c r="BS408" s="19">
        <v>0</v>
      </c>
      <c r="BT408" s="19">
        <v>0</v>
      </c>
      <c r="BU408" s="19">
        <v>0</v>
      </c>
      <c r="BV408" s="19">
        <v>0</v>
      </c>
      <c r="BW408" s="19">
        <v>0</v>
      </c>
      <c r="BX408" s="19">
        <v>0</v>
      </c>
      <c r="BY408" s="19">
        <v>0</v>
      </c>
      <c r="BZ408" s="19">
        <v>0</v>
      </c>
      <c r="CA408" s="19">
        <v>0</v>
      </c>
      <c r="CB408" s="19">
        <v>0</v>
      </c>
      <c r="CC408" s="19">
        <v>0</v>
      </c>
      <c r="CD408" s="19">
        <v>0</v>
      </c>
      <c r="CE408" s="19">
        <v>0</v>
      </c>
      <c r="CF408" s="19">
        <v>0</v>
      </c>
      <c r="CG408" s="19">
        <v>0</v>
      </c>
      <c r="CH408" s="19">
        <v>0</v>
      </c>
      <c r="CI408" s="19">
        <v>0</v>
      </c>
      <c r="CJ408" s="19">
        <v>0</v>
      </c>
      <c r="CK408" s="19">
        <v>1962.1652173913001</v>
      </c>
      <c r="CL408" s="19">
        <v>20.515000000000001</v>
      </c>
      <c r="CM408" s="19">
        <v>1892.95652173913</v>
      </c>
      <c r="CN408" s="19">
        <v>19.594999999999999</v>
      </c>
      <c r="CO408" s="19">
        <v>269.34782608695701</v>
      </c>
      <c r="CP408" s="19">
        <v>2.7170000000000001</v>
      </c>
      <c r="CQ408" s="19">
        <v>0</v>
      </c>
      <c r="CR408" s="19">
        <v>0</v>
      </c>
      <c r="CS408" s="19">
        <v>0</v>
      </c>
      <c r="CT408" s="19">
        <v>0</v>
      </c>
      <c r="CU408" s="19">
        <v>0</v>
      </c>
      <c r="CV408" s="19">
        <v>0</v>
      </c>
      <c r="CW408" s="19">
        <v>0</v>
      </c>
      <c r="CX408" s="19">
        <v>0</v>
      </c>
      <c r="CY408" s="19">
        <v>0</v>
      </c>
      <c r="CZ408" s="19">
        <v>0</v>
      </c>
      <c r="DA408" s="19">
        <v>0</v>
      </c>
      <c r="DB408" s="19">
        <v>0</v>
      </c>
      <c r="DC408" s="19">
        <v>0</v>
      </c>
      <c r="DD408" s="19">
        <v>0</v>
      </c>
      <c r="DE408" s="19">
        <v>0</v>
      </c>
      <c r="DF408" s="19">
        <v>0</v>
      </c>
      <c r="DG408" s="19">
        <v>0</v>
      </c>
      <c r="DH408" s="19">
        <v>0</v>
      </c>
      <c r="DI408" s="19">
        <v>0</v>
      </c>
      <c r="DJ408" s="19">
        <v>0</v>
      </c>
      <c r="DK408" s="19">
        <v>0</v>
      </c>
      <c r="DL408" s="19">
        <v>0</v>
      </c>
      <c r="DM408" s="19">
        <v>0</v>
      </c>
      <c r="DN408" s="19">
        <v>0</v>
      </c>
      <c r="DO408" s="19">
        <v>0</v>
      </c>
      <c r="DP408" s="19">
        <v>0</v>
      </c>
      <c r="DQ408" s="19">
        <v>0</v>
      </c>
      <c r="DR408" s="19">
        <v>0</v>
      </c>
      <c r="DS408" s="19">
        <v>0</v>
      </c>
      <c r="DT408" s="19">
        <v>0</v>
      </c>
      <c r="DU408" s="19">
        <v>0</v>
      </c>
      <c r="DV408" s="19">
        <v>0</v>
      </c>
      <c r="DW408" s="19">
        <v>0</v>
      </c>
      <c r="DX408" s="19">
        <v>0</v>
      </c>
      <c r="DY408" s="19">
        <v>0</v>
      </c>
      <c r="DZ408" s="19">
        <v>0</v>
      </c>
      <c r="EA408" s="19">
        <v>0</v>
      </c>
      <c r="EB408" s="19">
        <v>0</v>
      </c>
      <c r="EC408" s="19">
        <v>0</v>
      </c>
      <c r="ED408" s="19">
        <v>0</v>
      </c>
      <c r="EE408" s="19">
        <v>0</v>
      </c>
      <c r="EF408" s="19">
        <v>0</v>
      </c>
      <c r="EG408" s="19">
        <v>0</v>
      </c>
      <c r="EH408" s="19">
        <v>0</v>
      </c>
      <c r="EI408" s="19">
        <v>0</v>
      </c>
      <c r="EJ408" s="19">
        <v>0</v>
      </c>
      <c r="EK408" s="19">
        <v>0</v>
      </c>
      <c r="EL408" s="19">
        <v>0</v>
      </c>
      <c r="EM408" s="19">
        <v>0</v>
      </c>
      <c r="EN408" s="19">
        <v>0</v>
      </c>
      <c r="EO408" s="19">
        <v>0</v>
      </c>
      <c r="EP408" s="19">
        <v>0</v>
      </c>
      <c r="EQ408" s="19">
        <v>0</v>
      </c>
      <c r="ER408" s="19">
        <v>0</v>
      </c>
      <c r="ES408" s="119">
        <v>0</v>
      </c>
      <c r="ET408" s="119">
        <v>0</v>
      </c>
    </row>
    <row r="409" spans="1:150" ht="16.5" customHeight="1" x14ac:dyDescent="0.35">
      <c r="A409" s="4">
        <v>216</v>
      </c>
      <c r="B409" s="4" t="str">
        <f>LOOKUP(A409,Lookup!$A$1:$A$34,Lookup!$B$1:$B$34)</f>
        <v>BUTCH  WORS/MINCE/PAT</v>
      </c>
      <c r="C409" s="5">
        <v>34269</v>
      </c>
      <c r="D409" s="6" t="s">
        <v>276</v>
      </c>
      <c r="E409" s="18">
        <v>0</v>
      </c>
      <c r="F409" s="18">
        <v>0</v>
      </c>
      <c r="G409" s="18">
        <v>0</v>
      </c>
      <c r="H409" s="18">
        <v>0</v>
      </c>
      <c r="I409" s="19">
        <v>0</v>
      </c>
      <c r="J409" s="19">
        <v>0</v>
      </c>
      <c r="K409" s="19">
        <v>0</v>
      </c>
      <c r="L409" s="19">
        <v>0</v>
      </c>
      <c r="M409" s="19">
        <v>0</v>
      </c>
      <c r="N409" s="19">
        <v>0</v>
      </c>
      <c r="O409" s="19">
        <v>0</v>
      </c>
      <c r="P409" s="19">
        <v>0</v>
      </c>
      <c r="Q409" s="19">
        <v>0</v>
      </c>
      <c r="R409" s="19">
        <v>0</v>
      </c>
      <c r="S409" s="19">
        <v>0</v>
      </c>
      <c r="T409" s="19">
        <v>0</v>
      </c>
      <c r="U409" s="19">
        <v>0</v>
      </c>
      <c r="V409" s="19">
        <v>0</v>
      </c>
      <c r="W409" s="19">
        <v>0</v>
      </c>
      <c r="X409" s="19">
        <v>0</v>
      </c>
      <c r="Y409" s="19">
        <v>0</v>
      </c>
      <c r="Z409" s="19">
        <v>0</v>
      </c>
      <c r="AA409" s="19">
        <v>0</v>
      </c>
      <c r="AB409" s="19">
        <v>0</v>
      </c>
      <c r="AC409" s="19">
        <v>0</v>
      </c>
      <c r="AD409" s="19">
        <v>0</v>
      </c>
      <c r="AE409" s="19">
        <v>0</v>
      </c>
      <c r="AF409" s="19">
        <v>0</v>
      </c>
      <c r="AG409" s="19">
        <v>0</v>
      </c>
      <c r="AH409" s="19">
        <v>0</v>
      </c>
      <c r="AI409" s="19">
        <v>0</v>
      </c>
      <c r="AJ409" s="19">
        <v>0</v>
      </c>
      <c r="AK409" s="19">
        <v>0</v>
      </c>
      <c r="AL409" s="19">
        <v>0</v>
      </c>
      <c r="AM409" s="19">
        <v>0</v>
      </c>
      <c r="AN409" s="19">
        <v>0</v>
      </c>
      <c r="AO409" s="19">
        <v>0</v>
      </c>
      <c r="AP409" s="19">
        <v>0</v>
      </c>
      <c r="AQ409" s="19">
        <v>0</v>
      </c>
      <c r="AR409" s="19">
        <v>0</v>
      </c>
      <c r="AS409" s="19">
        <v>0</v>
      </c>
      <c r="AT409" s="19">
        <v>0</v>
      </c>
      <c r="AU409" s="19">
        <v>0</v>
      </c>
      <c r="AV409" s="19">
        <v>0</v>
      </c>
      <c r="AW409" s="19">
        <v>0</v>
      </c>
      <c r="AX409" s="19">
        <v>0</v>
      </c>
      <c r="AY409" s="19">
        <v>0</v>
      </c>
      <c r="AZ409" s="19">
        <v>0</v>
      </c>
      <c r="BA409" s="19">
        <v>0</v>
      </c>
      <c r="BB409" s="19">
        <v>0</v>
      </c>
      <c r="BC409" s="19">
        <v>0</v>
      </c>
      <c r="BD409" s="19">
        <v>0</v>
      </c>
      <c r="BE409" s="19">
        <v>0</v>
      </c>
      <c r="BF409" s="19">
        <v>0</v>
      </c>
      <c r="BG409" s="19">
        <v>0</v>
      </c>
      <c r="BH409" s="19">
        <v>0</v>
      </c>
      <c r="BI409" s="19">
        <v>0</v>
      </c>
      <c r="BJ409" s="19">
        <v>0</v>
      </c>
      <c r="BK409" s="19">
        <v>0</v>
      </c>
      <c r="BL409" s="19">
        <v>0</v>
      </c>
      <c r="BM409" s="19">
        <v>0</v>
      </c>
      <c r="BN409" s="19">
        <v>0</v>
      </c>
      <c r="BO409" s="19">
        <v>0</v>
      </c>
      <c r="BP409" s="19">
        <v>0</v>
      </c>
      <c r="BQ409" s="19">
        <v>0</v>
      </c>
      <c r="BR409" s="19">
        <v>0</v>
      </c>
      <c r="BS409" s="19">
        <v>0</v>
      </c>
      <c r="BT409" s="19">
        <v>0</v>
      </c>
      <c r="BU409" s="19">
        <v>0</v>
      </c>
      <c r="BV409" s="19">
        <v>0</v>
      </c>
      <c r="BW409" s="19">
        <v>0</v>
      </c>
      <c r="BX409" s="19">
        <v>0</v>
      </c>
      <c r="BY409" s="19">
        <v>0</v>
      </c>
      <c r="BZ409" s="19">
        <v>0</v>
      </c>
      <c r="CA409" s="19">
        <v>0</v>
      </c>
      <c r="CB409" s="19">
        <v>0</v>
      </c>
      <c r="CC409" s="19">
        <v>0</v>
      </c>
      <c r="CD409" s="19">
        <v>0</v>
      </c>
      <c r="CE409" s="19">
        <v>0</v>
      </c>
      <c r="CF409" s="19">
        <v>0</v>
      </c>
      <c r="CG409" s="19">
        <v>0</v>
      </c>
      <c r="CH409" s="19">
        <v>0</v>
      </c>
      <c r="CI409" s="19">
        <v>0</v>
      </c>
      <c r="CJ409" s="19">
        <v>0</v>
      </c>
      <c r="CK409" s="19">
        <v>0</v>
      </c>
      <c r="CL409" s="19">
        <v>0</v>
      </c>
      <c r="CM409" s="19">
        <v>0</v>
      </c>
      <c r="CN409" s="19">
        <v>0</v>
      </c>
      <c r="CO409" s="19">
        <v>0</v>
      </c>
      <c r="CP409" s="19">
        <v>0</v>
      </c>
      <c r="CQ409" s="19">
        <v>0</v>
      </c>
      <c r="CR409" s="19">
        <v>0</v>
      </c>
      <c r="CS409" s="19">
        <v>0</v>
      </c>
      <c r="CT409" s="19">
        <v>0</v>
      </c>
      <c r="CU409" s="19">
        <v>0</v>
      </c>
      <c r="CV409" s="19">
        <v>0</v>
      </c>
      <c r="CW409" s="19">
        <v>0</v>
      </c>
      <c r="CX409" s="19">
        <v>0</v>
      </c>
      <c r="CY409" s="19">
        <v>0</v>
      </c>
      <c r="CZ409" s="19">
        <v>0</v>
      </c>
      <c r="DA409" s="19">
        <v>0</v>
      </c>
      <c r="DB409" s="19">
        <v>0</v>
      </c>
      <c r="DC409" s="19">
        <v>0</v>
      </c>
      <c r="DD409" s="19">
        <v>0</v>
      </c>
      <c r="DE409" s="19">
        <v>0</v>
      </c>
      <c r="DF409" s="19">
        <v>0</v>
      </c>
      <c r="DG409" s="19">
        <v>0</v>
      </c>
      <c r="DH409" s="19">
        <v>0</v>
      </c>
      <c r="DI409" s="19">
        <v>0</v>
      </c>
      <c r="DJ409" s="19">
        <v>0</v>
      </c>
      <c r="DK409" s="19">
        <v>0</v>
      </c>
      <c r="DL409" s="19">
        <v>0</v>
      </c>
      <c r="DM409" s="19">
        <v>0</v>
      </c>
      <c r="DN409" s="19">
        <v>0</v>
      </c>
      <c r="DO409" s="19">
        <v>0</v>
      </c>
      <c r="DP409" s="19">
        <v>0</v>
      </c>
      <c r="DQ409" s="19">
        <v>0</v>
      </c>
      <c r="DR409" s="19">
        <v>0</v>
      </c>
      <c r="DS409" s="19">
        <v>0</v>
      </c>
      <c r="DT409" s="19">
        <v>0</v>
      </c>
      <c r="DU409" s="19">
        <v>0</v>
      </c>
      <c r="DV409" s="19">
        <v>0</v>
      </c>
      <c r="DW409" s="19">
        <v>0</v>
      </c>
      <c r="DX409" s="19">
        <v>0</v>
      </c>
      <c r="DY409" s="19">
        <v>0</v>
      </c>
      <c r="DZ409" s="19">
        <v>0</v>
      </c>
      <c r="EA409" s="19">
        <v>0</v>
      </c>
      <c r="EB409" s="19">
        <v>0</v>
      </c>
      <c r="EC409" s="19">
        <v>0</v>
      </c>
      <c r="ED409" s="19">
        <v>0</v>
      </c>
      <c r="EE409" s="19">
        <v>0</v>
      </c>
      <c r="EF409" s="19">
        <v>0</v>
      </c>
      <c r="EG409" s="19">
        <v>0</v>
      </c>
      <c r="EH409" s="19">
        <v>0</v>
      </c>
      <c r="EI409" s="19">
        <v>0</v>
      </c>
      <c r="EJ409" s="19">
        <v>0</v>
      </c>
      <c r="EK409" s="19">
        <v>0</v>
      </c>
      <c r="EL409" s="19">
        <v>0</v>
      </c>
      <c r="EM409" s="19">
        <v>0</v>
      </c>
      <c r="EN409" s="19">
        <v>0</v>
      </c>
      <c r="EO409" s="19">
        <v>0</v>
      </c>
      <c r="EP409" s="19">
        <v>0</v>
      </c>
      <c r="EQ409" s="19">
        <v>0</v>
      </c>
      <c r="ER409" s="19">
        <v>0</v>
      </c>
      <c r="ES409" s="119">
        <v>0</v>
      </c>
      <c r="ET409" s="119">
        <v>0</v>
      </c>
    </row>
    <row r="410" spans="1:150" ht="16.5" customHeight="1" x14ac:dyDescent="0.35">
      <c r="A410" s="4">
        <v>216</v>
      </c>
      <c r="B410" s="4" t="str">
        <f>LOOKUP(A410,Lookup!$A$1:$A$34,Lookup!$B$1:$B$34)</f>
        <v>BUTCH  WORS/MINCE/PAT</v>
      </c>
      <c r="C410" s="5">
        <v>34279</v>
      </c>
      <c r="D410" s="6" t="s">
        <v>389</v>
      </c>
      <c r="E410" s="18">
        <v>0</v>
      </c>
      <c r="F410" s="18">
        <v>0</v>
      </c>
      <c r="G410" s="18">
        <v>0</v>
      </c>
      <c r="H410" s="18">
        <v>0</v>
      </c>
      <c r="I410" s="19">
        <v>0</v>
      </c>
      <c r="J410" s="19">
        <v>0</v>
      </c>
      <c r="K410" s="19">
        <v>0</v>
      </c>
      <c r="L410" s="19">
        <v>0</v>
      </c>
      <c r="M410" s="19">
        <v>0</v>
      </c>
      <c r="N410" s="19">
        <v>0</v>
      </c>
      <c r="O410" s="19">
        <v>0</v>
      </c>
      <c r="P410" s="19">
        <v>0</v>
      </c>
      <c r="Q410" s="19">
        <v>0</v>
      </c>
      <c r="R410" s="19">
        <v>0</v>
      </c>
      <c r="S410" s="19">
        <v>0</v>
      </c>
      <c r="T410" s="19">
        <v>0</v>
      </c>
      <c r="U410" s="19">
        <v>0</v>
      </c>
      <c r="V410" s="19">
        <v>0</v>
      </c>
      <c r="W410" s="19">
        <v>0</v>
      </c>
      <c r="X410" s="19">
        <v>0</v>
      </c>
      <c r="Y410" s="19">
        <v>0</v>
      </c>
      <c r="Z410" s="19">
        <v>0</v>
      </c>
      <c r="AA410" s="19">
        <v>0</v>
      </c>
      <c r="AB410" s="19">
        <v>0</v>
      </c>
      <c r="AC410" s="19">
        <v>0</v>
      </c>
      <c r="AD410" s="19">
        <v>0</v>
      </c>
      <c r="AE410" s="19">
        <v>0</v>
      </c>
      <c r="AF410" s="19">
        <v>0</v>
      </c>
      <c r="AG410" s="19">
        <v>0</v>
      </c>
      <c r="AH410" s="19">
        <v>0</v>
      </c>
      <c r="AI410" s="19">
        <v>0</v>
      </c>
      <c r="AJ410" s="19">
        <v>0</v>
      </c>
      <c r="AK410" s="19">
        <v>0</v>
      </c>
      <c r="AL410" s="19">
        <v>0</v>
      </c>
      <c r="AM410" s="19">
        <v>0</v>
      </c>
      <c r="AN410" s="19">
        <v>0</v>
      </c>
      <c r="AO410" s="19">
        <v>0</v>
      </c>
      <c r="AP410" s="19">
        <v>0</v>
      </c>
      <c r="AQ410" s="19">
        <v>0</v>
      </c>
      <c r="AR410" s="19">
        <v>0</v>
      </c>
      <c r="AS410" s="19">
        <v>0</v>
      </c>
      <c r="AT410" s="19">
        <v>0</v>
      </c>
      <c r="AU410" s="19">
        <v>0</v>
      </c>
      <c r="AV410" s="19">
        <v>0</v>
      </c>
      <c r="AW410" s="19">
        <v>0</v>
      </c>
      <c r="AX410" s="19">
        <v>0</v>
      </c>
      <c r="AY410" s="19">
        <v>0</v>
      </c>
      <c r="AZ410" s="19">
        <v>0</v>
      </c>
      <c r="BA410" s="19">
        <v>0</v>
      </c>
      <c r="BB410" s="19">
        <v>0</v>
      </c>
      <c r="BC410" s="19">
        <v>0</v>
      </c>
      <c r="BD410" s="19">
        <v>0</v>
      </c>
      <c r="BE410" s="19">
        <v>0</v>
      </c>
      <c r="BF410" s="19">
        <v>0</v>
      </c>
      <c r="BG410" s="19">
        <v>0</v>
      </c>
      <c r="BH410" s="19">
        <v>0</v>
      </c>
      <c r="BI410" s="19">
        <v>0</v>
      </c>
      <c r="BJ410" s="19">
        <v>0</v>
      </c>
      <c r="BK410" s="19">
        <v>0</v>
      </c>
      <c r="BL410" s="19">
        <v>0</v>
      </c>
      <c r="BM410" s="19">
        <v>0</v>
      </c>
      <c r="BN410" s="19">
        <v>0</v>
      </c>
      <c r="BO410" s="19">
        <v>0</v>
      </c>
      <c r="BP410" s="19">
        <v>0</v>
      </c>
      <c r="BQ410" s="19">
        <v>0</v>
      </c>
      <c r="BR410" s="19">
        <v>0</v>
      </c>
      <c r="BS410" s="19">
        <v>0</v>
      </c>
      <c r="BT410" s="19">
        <v>0</v>
      </c>
      <c r="BU410" s="19">
        <v>0</v>
      </c>
      <c r="BV410" s="19">
        <v>0</v>
      </c>
      <c r="BW410" s="19">
        <v>0</v>
      </c>
      <c r="BX410" s="19">
        <v>0</v>
      </c>
      <c r="BY410" s="19">
        <v>0</v>
      </c>
      <c r="BZ410" s="19">
        <v>0</v>
      </c>
      <c r="CA410" s="19">
        <v>0</v>
      </c>
      <c r="CB410" s="19">
        <v>0</v>
      </c>
      <c r="CC410" s="19">
        <v>0</v>
      </c>
      <c r="CD410" s="19">
        <v>0</v>
      </c>
      <c r="CE410" s="19">
        <v>0</v>
      </c>
      <c r="CF410" s="19">
        <v>0</v>
      </c>
      <c r="CG410" s="19">
        <v>0</v>
      </c>
      <c r="CH410" s="19">
        <v>0</v>
      </c>
      <c r="CI410" s="19">
        <v>0</v>
      </c>
      <c r="CJ410" s="19">
        <v>0</v>
      </c>
      <c r="CK410" s="19">
        <v>0</v>
      </c>
      <c r="CL410" s="19">
        <v>0</v>
      </c>
      <c r="CM410" s="19">
        <v>0</v>
      </c>
      <c r="CN410" s="19">
        <v>0</v>
      </c>
      <c r="CO410" s="19">
        <v>0</v>
      </c>
      <c r="CP410" s="19">
        <v>0</v>
      </c>
      <c r="CQ410" s="19">
        <v>0</v>
      </c>
      <c r="CR410" s="19">
        <v>0</v>
      </c>
      <c r="CS410" s="19">
        <v>0</v>
      </c>
      <c r="CT410" s="19">
        <v>0</v>
      </c>
      <c r="CU410" s="19">
        <v>0</v>
      </c>
      <c r="CV410" s="19">
        <v>0</v>
      </c>
      <c r="CW410" s="19">
        <v>0</v>
      </c>
      <c r="CX410" s="19">
        <v>0</v>
      </c>
      <c r="CY410" s="19">
        <v>0</v>
      </c>
      <c r="CZ410" s="19">
        <v>0</v>
      </c>
      <c r="DA410" s="19">
        <v>0</v>
      </c>
      <c r="DB410" s="19">
        <v>0</v>
      </c>
      <c r="DC410" s="19">
        <v>0</v>
      </c>
      <c r="DD410" s="19">
        <v>0</v>
      </c>
      <c r="DE410" s="19">
        <v>0</v>
      </c>
      <c r="DF410" s="19">
        <v>0</v>
      </c>
      <c r="DG410" s="19">
        <v>0</v>
      </c>
      <c r="DH410" s="19">
        <v>0</v>
      </c>
      <c r="DI410" s="19">
        <v>0</v>
      </c>
      <c r="DJ410" s="19">
        <v>0</v>
      </c>
      <c r="DK410" s="19">
        <v>0</v>
      </c>
      <c r="DL410" s="19">
        <v>0</v>
      </c>
      <c r="DM410" s="19">
        <v>0</v>
      </c>
      <c r="DN410" s="19">
        <v>0</v>
      </c>
      <c r="DO410" s="19">
        <v>0</v>
      </c>
      <c r="DP410" s="19">
        <v>0</v>
      </c>
      <c r="DQ410" s="19">
        <v>0</v>
      </c>
      <c r="DR410" s="19">
        <v>0</v>
      </c>
      <c r="DS410" s="19">
        <v>0</v>
      </c>
      <c r="DT410" s="19">
        <v>0</v>
      </c>
      <c r="DU410" s="19">
        <v>0</v>
      </c>
      <c r="DV410" s="19">
        <v>0</v>
      </c>
      <c r="DW410" s="19">
        <v>0</v>
      </c>
      <c r="DX410" s="19">
        <v>0</v>
      </c>
      <c r="DY410" s="19">
        <v>0</v>
      </c>
      <c r="DZ410" s="19">
        <v>0</v>
      </c>
      <c r="EA410" s="19">
        <v>0</v>
      </c>
      <c r="EB410" s="19">
        <v>0</v>
      </c>
      <c r="EC410" s="19">
        <v>0</v>
      </c>
      <c r="ED410" s="19">
        <v>0</v>
      </c>
      <c r="EE410" s="19">
        <v>0</v>
      </c>
      <c r="EF410" s="19">
        <v>0</v>
      </c>
      <c r="EG410" s="19">
        <v>0</v>
      </c>
      <c r="EH410" s="19">
        <v>0</v>
      </c>
      <c r="EI410" s="19">
        <v>0</v>
      </c>
      <c r="EJ410" s="19">
        <v>0</v>
      </c>
      <c r="EK410" s="19">
        <v>0</v>
      </c>
      <c r="EL410" s="19">
        <v>0</v>
      </c>
      <c r="EM410" s="19">
        <v>0</v>
      </c>
      <c r="EN410" s="19">
        <v>0</v>
      </c>
      <c r="EO410" s="19">
        <v>0</v>
      </c>
      <c r="EP410" s="19">
        <v>0</v>
      </c>
      <c r="EQ410" s="19">
        <v>0</v>
      </c>
      <c r="ER410" s="19">
        <v>0</v>
      </c>
      <c r="ES410" s="119">
        <v>0</v>
      </c>
      <c r="ET410" s="119">
        <v>0</v>
      </c>
    </row>
    <row r="411" spans="1:150" ht="16.5" customHeight="1" x14ac:dyDescent="0.35">
      <c r="A411" s="4">
        <v>216</v>
      </c>
      <c r="B411" s="4" t="str">
        <f>LOOKUP(A411,Lookup!$A$1:$A$34,Lookup!$B$1:$B$34)</f>
        <v>BUTCH  WORS/MINCE/PAT</v>
      </c>
      <c r="C411" s="5">
        <v>34949</v>
      </c>
      <c r="D411" s="6" t="s">
        <v>390</v>
      </c>
      <c r="E411" s="18">
        <v>1116.4710349050799</v>
      </c>
      <c r="F411" s="18">
        <v>9.8230000000000004</v>
      </c>
      <c r="G411" s="18">
        <v>79269.443478260902</v>
      </c>
      <c r="H411" s="18">
        <v>697.45399999999995</v>
      </c>
      <c r="I411" s="19">
        <v>1806.6086956521699</v>
      </c>
      <c r="J411" s="19">
        <v>17.911999999999999</v>
      </c>
      <c r="K411" s="19">
        <v>1430.21739130435</v>
      </c>
      <c r="L411" s="19">
        <v>14.18</v>
      </c>
      <c r="M411" s="19">
        <v>1265.6260869565201</v>
      </c>
      <c r="N411" s="19">
        <v>12.548</v>
      </c>
      <c r="O411" s="19">
        <v>1215.9652173913</v>
      </c>
      <c r="P411" s="19">
        <v>12.055999999999999</v>
      </c>
      <c r="Q411" s="19">
        <v>2204.2086956521698</v>
      </c>
      <c r="R411" s="19">
        <v>21.853999999999999</v>
      </c>
      <c r="S411" s="19">
        <v>2653.45217391304</v>
      </c>
      <c r="T411" s="19">
        <v>26.308</v>
      </c>
      <c r="U411" s="19">
        <v>1440.27826086957</v>
      </c>
      <c r="V411" s="19">
        <v>14.28</v>
      </c>
      <c r="W411" s="19">
        <v>1878.4434782608701</v>
      </c>
      <c r="X411" s="19">
        <v>18.623999999999999</v>
      </c>
      <c r="Y411" s="19">
        <v>0</v>
      </c>
      <c r="Z411" s="19">
        <v>0</v>
      </c>
      <c r="AA411" s="19">
        <v>0</v>
      </c>
      <c r="AB411" s="19">
        <v>0</v>
      </c>
      <c r="AC411" s="19">
        <v>365.52173913043498</v>
      </c>
      <c r="AD411" s="19">
        <v>3.6240000000000001</v>
      </c>
      <c r="AE411" s="19">
        <v>0</v>
      </c>
      <c r="AF411" s="19">
        <v>0</v>
      </c>
      <c r="AG411" s="19">
        <v>0</v>
      </c>
      <c r="AH411" s="19">
        <v>0</v>
      </c>
      <c r="AI411" s="19">
        <v>0</v>
      </c>
      <c r="AJ411" s="19">
        <v>0</v>
      </c>
      <c r="AK411" s="19">
        <v>0</v>
      </c>
      <c r="AL411" s="19">
        <v>0</v>
      </c>
      <c r="AM411" s="19">
        <v>0</v>
      </c>
      <c r="AN411" s="19">
        <v>0</v>
      </c>
      <c r="AO411" s="19">
        <v>0</v>
      </c>
      <c r="AP411" s="19">
        <v>0</v>
      </c>
      <c r="AQ411" s="19">
        <v>0</v>
      </c>
      <c r="AR411" s="19">
        <v>0</v>
      </c>
      <c r="AS411" s="19">
        <v>0</v>
      </c>
      <c r="AT411" s="19">
        <v>0</v>
      </c>
      <c r="AU411" s="19">
        <v>0</v>
      </c>
      <c r="AV411" s="19">
        <v>0</v>
      </c>
      <c r="AW411" s="19">
        <v>0</v>
      </c>
      <c r="AX411" s="19">
        <v>0</v>
      </c>
      <c r="AY411" s="19">
        <v>756.730434782609</v>
      </c>
      <c r="AZ411" s="19">
        <v>7.2519999999999998</v>
      </c>
      <c r="BA411" s="19">
        <v>1005.6869565217399</v>
      </c>
      <c r="BB411" s="19">
        <v>9.6379999999999999</v>
      </c>
      <c r="BC411" s="19">
        <v>398.17391304347802</v>
      </c>
      <c r="BD411" s="19">
        <v>3.8159999999999998</v>
      </c>
      <c r="BE411" s="19">
        <v>0</v>
      </c>
      <c r="BF411" s="19">
        <v>0</v>
      </c>
      <c r="BG411" s="19">
        <v>515.44347826087005</v>
      </c>
      <c r="BH411" s="19">
        <v>4.234</v>
      </c>
      <c r="BI411" s="19">
        <v>470.37391304347801</v>
      </c>
      <c r="BJ411" s="19">
        <v>3.8639999999999999</v>
      </c>
      <c r="BK411" s="19">
        <v>990.20869565217401</v>
      </c>
      <c r="BL411" s="19">
        <v>8.1340000000000003</v>
      </c>
      <c r="BM411" s="19">
        <v>666.39130434782601</v>
      </c>
      <c r="BN411" s="19">
        <v>5.4740000000000002</v>
      </c>
      <c r="BO411" s="19">
        <v>1475.2347826087</v>
      </c>
      <c r="BP411" s="19">
        <v>12.118</v>
      </c>
      <c r="BQ411" s="19">
        <v>1447.2347826087</v>
      </c>
      <c r="BR411" s="19">
        <v>11.888</v>
      </c>
      <c r="BS411" s="19">
        <v>1249.53043478261</v>
      </c>
      <c r="BT411" s="19">
        <v>10.263999999999999</v>
      </c>
      <c r="BU411" s="19">
        <v>1956.5913043478299</v>
      </c>
      <c r="BV411" s="19">
        <v>16.071999999999999</v>
      </c>
      <c r="BW411" s="19">
        <v>1217.9304347826101</v>
      </c>
      <c r="BX411" s="19">
        <v>10.715</v>
      </c>
      <c r="BY411" s="19">
        <v>2583.04347826087</v>
      </c>
      <c r="BZ411" s="19">
        <v>22.852</v>
      </c>
      <c r="CA411" s="19">
        <v>1065.54782608696</v>
      </c>
      <c r="CB411" s="19">
        <v>9.4260000000000002</v>
      </c>
      <c r="CC411" s="19">
        <v>1074.3565217391299</v>
      </c>
      <c r="CD411" s="19">
        <v>9.5039999999999996</v>
      </c>
      <c r="CE411" s="19">
        <v>977.82608695652198</v>
      </c>
      <c r="CF411" s="19">
        <v>8.65</v>
      </c>
      <c r="CG411" s="19">
        <v>181.09565217391301</v>
      </c>
      <c r="CH411" s="19">
        <v>1.6020000000000001</v>
      </c>
      <c r="CI411" s="19">
        <v>394.74782608695699</v>
      </c>
      <c r="CJ411" s="19">
        <v>3.492</v>
      </c>
      <c r="CK411" s="19">
        <v>1878.0695652173899</v>
      </c>
      <c r="CL411" s="19">
        <v>16.614000000000001</v>
      </c>
      <c r="CM411" s="19">
        <v>561.36521739130399</v>
      </c>
      <c r="CN411" s="19">
        <v>4.9660000000000002</v>
      </c>
      <c r="CO411" s="19">
        <v>2045.1826086956501</v>
      </c>
      <c r="CP411" s="19">
        <v>18.093</v>
      </c>
      <c r="CQ411" s="19">
        <v>1646.3565217391299</v>
      </c>
      <c r="CR411" s="19">
        <v>14.564</v>
      </c>
      <c r="CS411" s="19">
        <v>1997.2347826087</v>
      </c>
      <c r="CT411" s="19">
        <v>17.667999999999999</v>
      </c>
      <c r="CU411" s="19">
        <v>1452.28695652174</v>
      </c>
      <c r="CV411" s="19">
        <v>12.542999999999999</v>
      </c>
      <c r="CW411" s="19">
        <v>1191.75652173913</v>
      </c>
      <c r="CX411" s="19">
        <v>10.151999999999999</v>
      </c>
      <c r="CY411" s="19">
        <v>2720.6608695652199</v>
      </c>
      <c r="CZ411" s="19">
        <v>23.175999999999998</v>
      </c>
      <c r="DA411" s="19">
        <v>1993.30434782609</v>
      </c>
      <c r="DB411" s="19">
        <v>16.98</v>
      </c>
      <c r="DC411" s="19">
        <v>1388.6608695652201</v>
      </c>
      <c r="DD411" s="19">
        <v>11.175000000000001</v>
      </c>
      <c r="DE411" s="19">
        <v>2519.97391304348</v>
      </c>
      <c r="DF411" s="19">
        <v>19.986000000000001</v>
      </c>
      <c r="DG411" s="19">
        <v>2532.3304347826102</v>
      </c>
      <c r="DH411" s="19">
        <v>20.084</v>
      </c>
      <c r="DI411" s="19">
        <v>1763.95652173913</v>
      </c>
      <c r="DJ411" s="19">
        <v>13.99</v>
      </c>
      <c r="DK411" s="19">
        <v>1136.04347826087</v>
      </c>
      <c r="DL411" s="19">
        <v>9.01</v>
      </c>
      <c r="DM411" s="19">
        <v>1290.6260869565201</v>
      </c>
      <c r="DN411" s="19">
        <v>10.236000000000001</v>
      </c>
      <c r="DO411" s="19">
        <v>1085.99130434783</v>
      </c>
      <c r="DP411" s="19">
        <v>8.8650000000000002</v>
      </c>
      <c r="DQ411" s="19">
        <v>889.66956521739098</v>
      </c>
      <c r="DR411" s="19">
        <v>7.3079999999999998</v>
      </c>
      <c r="DS411" s="19">
        <v>1454.29565217391</v>
      </c>
      <c r="DT411" s="19">
        <v>11.946</v>
      </c>
      <c r="DU411" s="19">
        <v>1242.46956521739</v>
      </c>
      <c r="DV411" s="19">
        <v>10.206</v>
      </c>
      <c r="DW411" s="19">
        <v>970.26086956521794</v>
      </c>
      <c r="DX411" s="19">
        <v>8.3889999999999993</v>
      </c>
      <c r="DY411" s="19">
        <v>2762.5565217391299</v>
      </c>
      <c r="DZ411" s="19">
        <v>24.437999999999999</v>
      </c>
      <c r="EA411" s="19">
        <v>1550.27826086957</v>
      </c>
      <c r="EB411" s="19">
        <v>13.714</v>
      </c>
      <c r="EC411" s="19">
        <v>868.62608695652204</v>
      </c>
      <c r="ED411" s="19">
        <v>7.6840000000000002</v>
      </c>
      <c r="EE411" s="19">
        <v>746.08695652173901</v>
      </c>
      <c r="EF411" s="19">
        <v>6.6</v>
      </c>
      <c r="EG411" s="19">
        <v>197.37391304347801</v>
      </c>
      <c r="EH411" s="19">
        <v>1.746</v>
      </c>
      <c r="EI411" s="19">
        <v>491.73913043478302</v>
      </c>
      <c r="EJ411" s="19">
        <v>4.3499999999999996</v>
      </c>
      <c r="EK411" s="19">
        <v>978.27826086956497</v>
      </c>
      <c r="EL411" s="19">
        <v>8.6539999999999999</v>
      </c>
      <c r="EM411" s="19">
        <v>1425.9304347826101</v>
      </c>
      <c r="EN411" s="19">
        <v>12.614000000000001</v>
      </c>
      <c r="EO411" s="19">
        <v>2213.1565217391299</v>
      </c>
      <c r="EP411" s="19">
        <v>19.577999999999999</v>
      </c>
      <c r="EQ411" s="19">
        <v>1980.52173913043</v>
      </c>
      <c r="ER411" s="19">
        <v>17.52</v>
      </c>
      <c r="ES411" s="119">
        <v>1607.9304347826101</v>
      </c>
      <c r="ET411" s="119">
        <v>14.224</v>
      </c>
    </row>
    <row r="412" spans="1:150" ht="16.5" customHeight="1" x14ac:dyDescent="0.35">
      <c r="A412" s="4">
        <v>216</v>
      </c>
      <c r="B412" s="4" t="str">
        <f>LOOKUP(A412,Lookup!$A$1:$A$34,Lookup!$B$1:$B$34)</f>
        <v>BUTCH  WORS/MINCE/PAT</v>
      </c>
      <c r="C412" s="5">
        <v>35003</v>
      </c>
      <c r="D412" s="6" t="s">
        <v>391</v>
      </c>
      <c r="E412" s="18">
        <v>408.369014084507</v>
      </c>
      <c r="F412" s="18">
        <v>9.3940000000000001</v>
      </c>
      <c r="G412" s="18">
        <v>28994.2</v>
      </c>
      <c r="H412" s="18">
        <v>667</v>
      </c>
      <c r="I412" s="19">
        <v>0</v>
      </c>
      <c r="J412" s="19">
        <v>0</v>
      </c>
      <c r="K412" s="19">
        <v>0</v>
      </c>
      <c r="L412" s="19">
        <v>0</v>
      </c>
      <c r="M412" s="19">
        <v>130.408695652174</v>
      </c>
      <c r="N412" s="19">
        <v>3</v>
      </c>
      <c r="O412" s="19">
        <v>521.63478260869601</v>
      </c>
      <c r="P412" s="19">
        <v>12</v>
      </c>
      <c r="Q412" s="19">
        <v>478.165217391304</v>
      </c>
      <c r="R412" s="19">
        <v>11</v>
      </c>
      <c r="S412" s="19">
        <v>86.939130434782598</v>
      </c>
      <c r="T412" s="19">
        <v>2</v>
      </c>
      <c r="U412" s="19">
        <v>304.286956521739</v>
      </c>
      <c r="V412" s="19">
        <v>7</v>
      </c>
      <c r="W412" s="19">
        <v>434.695652173913</v>
      </c>
      <c r="X412" s="19">
        <v>10</v>
      </c>
      <c r="Y412" s="19">
        <v>738.98260869565195</v>
      </c>
      <c r="Z412" s="19">
        <v>17</v>
      </c>
      <c r="AA412" s="19">
        <v>652.04347826086996</v>
      </c>
      <c r="AB412" s="19">
        <v>15</v>
      </c>
      <c r="AC412" s="19">
        <v>434.695652173913</v>
      </c>
      <c r="AD412" s="19">
        <v>10</v>
      </c>
      <c r="AE412" s="19">
        <v>173.878260869565</v>
      </c>
      <c r="AF412" s="19">
        <v>4</v>
      </c>
      <c r="AG412" s="19">
        <v>695.51304347826101</v>
      </c>
      <c r="AH412" s="19">
        <v>16</v>
      </c>
      <c r="AI412" s="19">
        <v>608.573913043478</v>
      </c>
      <c r="AJ412" s="19">
        <v>14</v>
      </c>
      <c r="AK412" s="19">
        <v>304.286956521739</v>
      </c>
      <c r="AL412" s="19">
        <v>7</v>
      </c>
      <c r="AM412" s="19">
        <v>130.408695652174</v>
      </c>
      <c r="AN412" s="19">
        <v>3</v>
      </c>
      <c r="AO412" s="19">
        <v>652.04347826086996</v>
      </c>
      <c r="AP412" s="19">
        <v>15</v>
      </c>
      <c r="AQ412" s="19">
        <v>347.75652173912999</v>
      </c>
      <c r="AR412" s="19">
        <v>8</v>
      </c>
      <c r="AS412" s="19">
        <v>695.51304347826101</v>
      </c>
      <c r="AT412" s="19">
        <v>16</v>
      </c>
      <c r="AU412" s="19">
        <v>130.408695652174</v>
      </c>
      <c r="AV412" s="19">
        <v>3</v>
      </c>
      <c r="AW412" s="19">
        <v>434.695652173913</v>
      </c>
      <c r="AX412" s="19">
        <v>10</v>
      </c>
      <c r="AY412" s="19">
        <v>391.22608695652201</v>
      </c>
      <c r="AZ412" s="19">
        <v>9</v>
      </c>
      <c r="BA412" s="19">
        <v>260.81739130434801</v>
      </c>
      <c r="BB412" s="19">
        <v>6</v>
      </c>
      <c r="BC412" s="19">
        <v>304.286956521739</v>
      </c>
      <c r="BD412" s="19">
        <v>7</v>
      </c>
      <c r="BE412" s="19">
        <v>217.34782608695701</v>
      </c>
      <c r="BF412" s="19">
        <v>5</v>
      </c>
      <c r="BG412" s="19">
        <v>608.573913043478</v>
      </c>
      <c r="BH412" s="19">
        <v>14</v>
      </c>
      <c r="BI412" s="19">
        <v>434.695652173913</v>
      </c>
      <c r="BJ412" s="19">
        <v>10</v>
      </c>
      <c r="BK412" s="19">
        <v>260.81739130434801</v>
      </c>
      <c r="BL412" s="19">
        <v>6</v>
      </c>
      <c r="BM412" s="19">
        <v>260.81739130434801</v>
      </c>
      <c r="BN412" s="19">
        <v>6</v>
      </c>
      <c r="BO412" s="19">
        <v>347.75652173912999</v>
      </c>
      <c r="BP412" s="19">
        <v>8</v>
      </c>
      <c r="BQ412" s="19">
        <v>434.695652173913</v>
      </c>
      <c r="BR412" s="19">
        <v>10</v>
      </c>
      <c r="BS412" s="19">
        <v>478.165217391304</v>
      </c>
      <c r="BT412" s="19">
        <v>11</v>
      </c>
      <c r="BU412" s="19">
        <v>173.878260869565</v>
      </c>
      <c r="BV412" s="19">
        <v>4</v>
      </c>
      <c r="BW412" s="19">
        <v>217.34782608695701</v>
      </c>
      <c r="BX412" s="19">
        <v>5</v>
      </c>
      <c r="BY412" s="19">
        <v>478.165217391304</v>
      </c>
      <c r="BZ412" s="19">
        <v>11</v>
      </c>
      <c r="CA412" s="19">
        <v>565.10434782608695</v>
      </c>
      <c r="CB412" s="19">
        <v>13</v>
      </c>
      <c r="CC412" s="19">
        <v>347.75652173912999</v>
      </c>
      <c r="CD412" s="19">
        <v>8</v>
      </c>
      <c r="CE412" s="19">
        <v>521.63478260869601</v>
      </c>
      <c r="CF412" s="19">
        <v>12</v>
      </c>
      <c r="CG412" s="19">
        <v>825.92173913043496</v>
      </c>
      <c r="CH412" s="19">
        <v>19</v>
      </c>
      <c r="CI412" s="19">
        <v>521.63478260869601</v>
      </c>
      <c r="CJ412" s="19">
        <v>12</v>
      </c>
      <c r="CK412" s="19">
        <v>217.34782608695701</v>
      </c>
      <c r="CL412" s="19">
        <v>5</v>
      </c>
      <c r="CM412" s="19">
        <v>434.695652173913</v>
      </c>
      <c r="CN412" s="19">
        <v>10</v>
      </c>
      <c r="CO412" s="19">
        <v>521.63478260869601</v>
      </c>
      <c r="CP412" s="19">
        <v>12</v>
      </c>
      <c r="CQ412" s="19">
        <v>695.51304347826101</v>
      </c>
      <c r="CR412" s="19">
        <v>16</v>
      </c>
      <c r="CS412" s="19">
        <v>434.695652173913</v>
      </c>
      <c r="CT412" s="19">
        <v>10</v>
      </c>
      <c r="CU412" s="19">
        <v>391.22608695652201</v>
      </c>
      <c r="CV412" s="19">
        <v>9</v>
      </c>
      <c r="CW412" s="19">
        <v>260.81739130434801</v>
      </c>
      <c r="CX412" s="19">
        <v>6</v>
      </c>
      <c r="CY412" s="19">
        <v>521.63478260869601</v>
      </c>
      <c r="CZ412" s="19">
        <v>12</v>
      </c>
      <c r="DA412" s="19">
        <v>434.695652173913</v>
      </c>
      <c r="DB412" s="19">
        <v>10</v>
      </c>
      <c r="DC412" s="19">
        <v>347.75652173912999</v>
      </c>
      <c r="DD412" s="19">
        <v>8</v>
      </c>
      <c r="DE412" s="19">
        <v>391.22608695652201</v>
      </c>
      <c r="DF412" s="19">
        <v>9</v>
      </c>
      <c r="DG412" s="19">
        <v>304.286956521739</v>
      </c>
      <c r="DH412" s="19">
        <v>7</v>
      </c>
      <c r="DI412" s="19">
        <v>173.878260869565</v>
      </c>
      <c r="DJ412" s="19">
        <v>4</v>
      </c>
      <c r="DK412" s="19">
        <v>434.695652173913</v>
      </c>
      <c r="DL412" s="19">
        <v>10</v>
      </c>
      <c r="DM412" s="19">
        <v>434.695652173913</v>
      </c>
      <c r="DN412" s="19">
        <v>10</v>
      </c>
      <c r="DO412" s="19">
        <v>608.573913043478</v>
      </c>
      <c r="DP412" s="19">
        <v>14</v>
      </c>
      <c r="DQ412" s="19">
        <v>521.63478260869601</v>
      </c>
      <c r="DR412" s="19">
        <v>12</v>
      </c>
      <c r="DS412" s="19">
        <v>869.39130434782601</v>
      </c>
      <c r="DT412" s="19">
        <v>20</v>
      </c>
      <c r="DU412" s="19">
        <v>521.63478260869601</v>
      </c>
      <c r="DV412" s="19">
        <v>12</v>
      </c>
      <c r="DW412" s="19">
        <v>521.63478260869601</v>
      </c>
      <c r="DX412" s="19">
        <v>12</v>
      </c>
      <c r="DY412" s="19">
        <v>608.573913043478</v>
      </c>
      <c r="DZ412" s="19">
        <v>14</v>
      </c>
      <c r="EA412" s="19">
        <v>304.286956521739</v>
      </c>
      <c r="EB412" s="19">
        <v>7</v>
      </c>
      <c r="EC412" s="19">
        <v>391.22608695652201</v>
      </c>
      <c r="ED412" s="19">
        <v>9</v>
      </c>
      <c r="EE412" s="19">
        <v>565.10434782608695</v>
      </c>
      <c r="EF412" s="19">
        <v>13</v>
      </c>
      <c r="EG412" s="19">
        <v>565.10434782608695</v>
      </c>
      <c r="EH412" s="19">
        <v>13</v>
      </c>
      <c r="EI412" s="19">
        <v>130.408695652174</v>
      </c>
      <c r="EJ412" s="19">
        <v>3</v>
      </c>
      <c r="EK412" s="19">
        <v>130.408695652174</v>
      </c>
      <c r="EL412" s="19">
        <v>3</v>
      </c>
      <c r="EM412" s="19">
        <v>434.695652173913</v>
      </c>
      <c r="EN412" s="19">
        <v>10</v>
      </c>
      <c r="EO412" s="19">
        <v>391.22608695652201</v>
      </c>
      <c r="EP412" s="19">
        <v>9</v>
      </c>
      <c r="EQ412" s="19">
        <v>391.22608695652201</v>
      </c>
      <c r="ER412" s="19">
        <v>9</v>
      </c>
      <c r="ES412" s="119">
        <v>434.695652173913</v>
      </c>
      <c r="ET412" s="119">
        <v>10</v>
      </c>
    </row>
    <row r="413" spans="1:150" ht="16.5" customHeight="1" x14ac:dyDescent="0.35">
      <c r="A413" s="4">
        <v>216</v>
      </c>
      <c r="B413" s="4" t="str">
        <f>LOOKUP(A413,Lookup!$A$1:$A$34,Lookup!$B$1:$B$34)</f>
        <v>BUTCH  WORS/MINCE/PAT</v>
      </c>
      <c r="C413" s="5">
        <v>35005</v>
      </c>
      <c r="D413" s="6" t="s">
        <v>391</v>
      </c>
      <c r="E413" s="18">
        <v>197.775137783221</v>
      </c>
      <c r="F413" s="18">
        <v>2.3380000000000001</v>
      </c>
      <c r="G413" s="18">
        <v>14042.0347826087</v>
      </c>
      <c r="H413" s="18">
        <v>166</v>
      </c>
      <c r="I413" s="19">
        <v>260.84347826086997</v>
      </c>
      <c r="J413" s="19">
        <v>3</v>
      </c>
      <c r="K413" s="19">
        <v>782.53043478260895</v>
      </c>
      <c r="L413" s="19">
        <v>9</v>
      </c>
      <c r="M413" s="19">
        <v>608.63478260869601</v>
      </c>
      <c r="N413" s="19">
        <v>7</v>
      </c>
      <c r="O413" s="19">
        <v>434.73913043478302</v>
      </c>
      <c r="P413" s="19">
        <v>5</v>
      </c>
      <c r="Q413" s="19">
        <v>0</v>
      </c>
      <c r="R413" s="19">
        <v>0</v>
      </c>
      <c r="S413" s="19">
        <v>0</v>
      </c>
      <c r="T413" s="19">
        <v>0</v>
      </c>
      <c r="U413" s="19">
        <v>173.89565217391299</v>
      </c>
      <c r="V413" s="19">
        <v>2</v>
      </c>
      <c r="W413" s="19">
        <v>434.73913043478302</v>
      </c>
      <c r="X413" s="19">
        <v>5</v>
      </c>
      <c r="Y413" s="19">
        <v>869.47826086956502</v>
      </c>
      <c r="Z413" s="19">
        <v>10</v>
      </c>
      <c r="AA413" s="19">
        <v>1043.3739130434799</v>
      </c>
      <c r="AB413" s="19">
        <v>12</v>
      </c>
      <c r="AC413" s="19">
        <v>956.426086956522</v>
      </c>
      <c r="AD413" s="19">
        <v>11</v>
      </c>
      <c r="AE413" s="19">
        <v>260.84347826086997</v>
      </c>
      <c r="AF413" s="19">
        <v>3</v>
      </c>
      <c r="AG413" s="19">
        <v>434.73913043478302</v>
      </c>
      <c r="AH413" s="19">
        <v>5</v>
      </c>
      <c r="AI413" s="19">
        <v>86.947826086956496</v>
      </c>
      <c r="AJ413" s="19">
        <v>1</v>
      </c>
      <c r="AK413" s="19">
        <v>434.73913043478302</v>
      </c>
      <c r="AL413" s="19">
        <v>5</v>
      </c>
      <c r="AM413" s="19">
        <v>521.68695652173903</v>
      </c>
      <c r="AN413" s="19">
        <v>6</v>
      </c>
      <c r="AO413" s="19">
        <v>347.79130434782599</v>
      </c>
      <c r="AP413" s="19">
        <v>4</v>
      </c>
      <c r="AQ413" s="19">
        <v>695.58260869565197</v>
      </c>
      <c r="AR413" s="19">
        <v>8</v>
      </c>
      <c r="AS413" s="19">
        <v>608.63478260869601</v>
      </c>
      <c r="AT413" s="19">
        <v>7</v>
      </c>
      <c r="AU413" s="19">
        <v>173.89565217391299</v>
      </c>
      <c r="AV413" s="19">
        <v>2</v>
      </c>
      <c r="AW413" s="19">
        <v>86.947826086956496</v>
      </c>
      <c r="AX413" s="19">
        <v>1</v>
      </c>
      <c r="AY413" s="19">
        <v>173.89565217391299</v>
      </c>
      <c r="AZ413" s="19">
        <v>2</v>
      </c>
      <c r="BA413" s="19">
        <v>260.84347826086997</v>
      </c>
      <c r="BB413" s="19">
        <v>3</v>
      </c>
      <c r="BC413" s="19">
        <v>86.947826086956496</v>
      </c>
      <c r="BD413" s="19">
        <v>1</v>
      </c>
      <c r="BE413" s="19">
        <v>86.947826086956496</v>
      </c>
      <c r="BF413" s="19">
        <v>1</v>
      </c>
      <c r="BG413" s="19">
        <v>608.63478260869601</v>
      </c>
      <c r="BH413" s="19">
        <v>7</v>
      </c>
      <c r="BI413" s="19">
        <v>243.452173913043</v>
      </c>
      <c r="BJ413" s="19">
        <v>3</v>
      </c>
      <c r="BK413" s="19">
        <v>156.50434782608701</v>
      </c>
      <c r="BL413" s="19">
        <v>2</v>
      </c>
      <c r="BM413" s="19">
        <v>234.75652173912999</v>
      </c>
      <c r="BN413" s="19">
        <v>3</v>
      </c>
      <c r="BO413" s="19">
        <v>78.252173913043507</v>
      </c>
      <c r="BP413" s="19">
        <v>1</v>
      </c>
      <c r="BQ413" s="19">
        <v>78.252173913043507</v>
      </c>
      <c r="BR413" s="19">
        <v>1</v>
      </c>
      <c r="BS413" s="19">
        <v>156.50434782608701</v>
      </c>
      <c r="BT413" s="19">
        <v>2</v>
      </c>
      <c r="BU413" s="19">
        <v>0</v>
      </c>
      <c r="BV413" s="19">
        <v>0</v>
      </c>
      <c r="BW413" s="19">
        <v>0</v>
      </c>
      <c r="BX413" s="19">
        <v>0</v>
      </c>
      <c r="BY413" s="19">
        <v>0</v>
      </c>
      <c r="BZ413" s="19">
        <v>0</v>
      </c>
      <c r="CA413" s="19">
        <v>0</v>
      </c>
      <c r="CB413" s="19">
        <v>0</v>
      </c>
      <c r="CC413" s="19">
        <v>0</v>
      </c>
      <c r="CD413" s="19">
        <v>0</v>
      </c>
      <c r="CE413" s="19">
        <v>0</v>
      </c>
      <c r="CF413" s="19">
        <v>0</v>
      </c>
      <c r="CG413" s="19">
        <v>0</v>
      </c>
      <c r="CH413" s="19">
        <v>0</v>
      </c>
      <c r="CI413" s="19">
        <v>0</v>
      </c>
      <c r="CJ413" s="19">
        <v>0</v>
      </c>
      <c r="CK413" s="19">
        <v>0</v>
      </c>
      <c r="CL413" s="19">
        <v>0</v>
      </c>
      <c r="CM413" s="19">
        <v>234.75652173912999</v>
      </c>
      <c r="CN413" s="19">
        <v>3</v>
      </c>
      <c r="CO413" s="19">
        <v>547.76521739130396</v>
      </c>
      <c r="CP413" s="19">
        <v>7</v>
      </c>
      <c r="CQ413" s="19">
        <v>156.50434782608701</v>
      </c>
      <c r="CR413" s="19">
        <v>2</v>
      </c>
      <c r="CS413" s="19">
        <v>0</v>
      </c>
      <c r="CT413" s="19">
        <v>0</v>
      </c>
      <c r="CU413" s="19">
        <v>0</v>
      </c>
      <c r="CV413" s="19">
        <v>0</v>
      </c>
      <c r="CW413" s="19">
        <v>0</v>
      </c>
      <c r="CX413" s="19">
        <v>0</v>
      </c>
      <c r="CY413" s="19">
        <v>0</v>
      </c>
      <c r="CZ413" s="19">
        <v>0</v>
      </c>
      <c r="DA413" s="19">
        <v>0</v>
      </c>
      <c r="DB413" s="19">
        <v>0</v>
      </c>
      <c r="DC413" s="19">
        <v>0</v>
      </c>
      <c r="DD413" s="19">
        <v>0</v>
      </c>
      <c r="DE413" s="19">
        <v>0</v>
      </c>
      <c r="DF413" s="19">
        <v>0</v>
      </c>
      <c r="DG413" s="19">
        <v>0</v>
      </c>
      <c r="DH413" s="19">
        <v>0</v>
      </c>
      <c r="DI413" s="19">
        <v>0</v>
      </c>
      <c r="DJ413" s="19">
        <v>0</v>
      </c>
      <c r="DK413" s="19">
        <v>0</v>
      </c>
      <c r="DL413" s="19">
        <v>0</v>
      </c>
      <c r="DM413" s="19">
        <v>0</v>
      </c>
      <c r="DN413" s="19">
        <v>0</v>
      </c>
      <c r="DO413" s="19">
        <v>0</v>
      </c>
      <c r="DP413" s="19">
        <v>0</v>
      </c>
      <c r="DQ413" s="19">
        <v>0</v>
      </c>
      <c r="DR413" s="19">
        <v>0</v>
      </c>
      <c r="DS413" s="19">
        <v>0</v>
      </c>
      <c r="DT413" s="19">
        <v>0</v>
      </c>
      <c r="DU413" s="19">
        <v>0</v>
      </c>
      <c r="DV413" s="19">
        <v>0</v>
      </c>
      <c r="DW413" s="19">
        <v>0</v>
      </c>
      <c r="DX413" s="19">
        <v>0</v>
      </c>
      <c r="DY413" s="19">
        <v>547.76521739130396</v>
      </c>
      <c r="DZ413" s="19">
        <v>7</v>
      </c>
      <c r="EA413" s="19">
        <v>234.75652173912999</v>
      </c>
      <c r="EB413" s="19">
        <v>3</v>
      </c>
      <c r="EC413" s="19">
        <v>860.77391304347805</v>
      </c>
      <c r="ED413" s="19">
        <v>11</v>
      </c>
      <c r="EE413" s="19">
        <v>78.252173913043507</v>
      </c>
      <c r="EF413" s="19">
        <v>1</v>
      </c>
      <c r="EG413" s="19">
        <v>0</v>
      </c>
      <c r="EH413" s="19">
        <v>0</v>
      </c>
      <c r="EI413" s="19">
        <v>0</v>
      </c>
      <c r="EJ413" s="19">
        <v>0</v>
      </c>
      <c r="EK413" s="19">
        <v>0</v>
      </c>
      <c r="EL413" s="19">
        <v>0</v>
      </c>
      <c r="EM413" s="19">
        <v>0</v>
      </c>
      <c r="EN413" s="19">
        <v>0</v>
      </c>
      <c r="EO413" s="19">
        <v>0</v>
      </c>
      <c r="EP413" s="19">
        <v>0</v>
      </c>
      <c r="EQ413" s="19">
        <v>0</v>
      </c>
      <c r="ER413" s="19">
        <v>0</v>
      </c>
      <c r="ES413" s="119">
        <v>0</v>
      </c>
      <c r="ET413" s="119">
        <v>0</v>
      </c>
    </row>
    <row r="414" spans="1:150" ht="16.5" customHeight="1" x14ac:dyDescent="0.35">
      <c r="A414" s="4">
        <v>216</v>
      </c>
      <c r="B414" s="4" t="str">
        <f>LOOKUP(A414,Lookup!$A$1:$A$34,Lookup!$B$1:$B$34)</f>
        <v>BUTCH  WORS/MINCE/PAT</v>
      </c>
      <c r="C414" s="5">
        <v>39216</v>
      </c>
      <c r="D414" s="6" t="s">
        <v>392</v>
      </c>
      <c r="E414" s="18">
        <v>542.49259032455598</v>
      </c>
      <c r="F414" s="18">
        <v>5.8380000000000001</v>
      </c>
      <c r="G414" s="18">
        <v>38516.973913043497</v>
      </c>
      <c r="H414" s="18">
        <v>414.48</v>
      </c>
      <c r="I414" s="19">
        <v>0</v>
      </c>
      <c r="J414" s="19">
        <v>0</v>
      </c>
      <c r="K414" s="19">
        <v>0</v>
      </c>
      <c r="L414" s="19">
        <v>0</v>
      </c>
      <c r="M414" s="19">
        <v>0</v>
      </c>
      <c r="N414" s="19">
        <v>0</v>
      </c>
      <c r="O414" s="19">
        <v>0</v>
      </c>
      <c r="P414" s="19">
        <v>0</v>
      </c>
      <c r="Q414" s="19">
        <v>0</v>
      </c>
      <c r="R414" s="19">
        <v>0</v>
      </c>
      <c r="S414" s="19">
        <v>0</v>
      </c>
      <c r="T414" s="19">
        <v>0</v>
      </c>
      <c r="U414" s="19">
        <v>936.304347826087</v>
      </c>
      <c r="V414" s="19">
        <v>10.768000000000001</v>
      </c>
      <c r="W414" s="19">
        <v>1398.0608695652199</v>
      </c>
      <c r="X414" s="19">
        <v>16.079999999999998</v>
      </c>
      <c r="Y414" s="19">
        <v>1684.6347826087001</v>
      </c>
      <c r="Z414" s="19">
        <v>19.373999999999999</v>
      </c>
      <c r="AA414" s="19">
        <v>0</v>
      </c>
      <c r="AB414" s="19">
        <v>0</v>
      </c>
      <c r="AC414" s="19">
        <v>0</v>
      </c>
      <c r="AD414" s="19">
        <v>0</v>
      </c>
      <c r="AE414" s="19">
        <v>0</v>
      </c>
      <c r="AF414" s="19">
        <v>0</v>
      </c>
      <c r="AG414" s="19">
        <v>1304.5739130434799</v>
      </c>
      <c r="AH414" s="19">
        <v>15.004</v>
      </c>
      <c r="AI414" s="19">
        <v>915.96521739130401</v>
      </c>
      <c r="AJ414" s="19">
        <v>10.534000000000001</v>
      </c>
      <c r="AK414" s="19">
        <v>1674.1652173913001</v>
      </c>
      <c r="AL414" s="19">
        <v>19.254999999999999</v>
      </c>
      <c r="AM414" s="19">
        <v>743.00869565217397</v>
      </c>
      <c r="AN414" s="19">
        <v>8.5459999999999994</v>
      </c>
      <c r="AO414" s="19">
        <v>1008.69565217391</v>
      </c>
      <c r="AP414" s="19">
        <v>11.601000000000001</v>
      </c>
      <c r="AQ414" s="19">
        <v>0</v>
      </c>
      <c r="AR414" s="19">
        <v>0</v>
      </c>
      <c r="AS414" s="19">
        <v>0</v>
      </c>
      <c r="AT414" s="19">
        <v>0</v>
      </c>
      <c r="AU414" s="19">
        <v>632.75652173912999</v>
      </c>
      <c r="AV414" s="19">
        <v>6.8170000000000002</v>
      </c>
      <c r="AW414" s="19">
        <v>633.68695652173903</v>
      </c>
      <c r="AX414" s="19">
        <v>6.6260000000000003</v>
      </c>
      <c r="AY414" s="19">
        <v>265.86956521739103</v>
      </c>
      <c r="AZ414" s="19">
        <v>2.78</v>
      </c>
      <c r="BA414" s="19">
        <v>0</v>
      </c>
      <c r="BB414" s="19">
        <v>0</v>
      </c>
      <c r="BC414" s="19">
        <v>0</v>
      </c>
      <c r="BD414" s="19">
        <v>0</v>
      </c>
      <c r="BE414" s="19">
        <v>0</v>
      </c>
      <c r="BF414" s="19">
        <v>0</v>
      </c>
      <c r="BG414" s="19">
        <v>0</v>
      </c>
      <c r="BH414" s="19">
        <v>0</v>
      </c>
      <c r="BI414" s="19">
        <v>0</v>
      </c>
      <c r="BJ414" s="19">
        <v>0</v>
      </c>
      <c r="BK414" s="19">
        <v>0</v>
      </c>
      <c r="BL414" s="19">
        <v>0</v>
      </c>
      <c r="BM414" s="19">
        <v>0</v>
      </c>
      <c r="BN414" s="19">
        <v>0</v>
      </c>
      <c r="BO414" s="19">
        <v>0</v>
      </c>
      <c r="BP414" s="19">
        <v>0</v>
      </c>
      <c r="BQ414" s="19">
        <v>0</v>
      </c>
      <c r="BR414" s="19">
        <v>0</v>
      </c>
      <c r="BS414" s="19">
        <v>0</v>
      </c>
      <c r="BT414" s="19">
        <v>0</v>
      </c>
      <c r="BU414" s="19">
        <v>0</v>
      </c>
      <c r="BV414" s="19">
        <v>0</v>
      </c>
      <c r="BW414" s="19">
        <v>0</v>
      </c>
      <c r="BX414" s="19">
        <v>0</v>
      </c>
      <c r="BY414" s="19">
        <v>0</v>
      </c>
      <c r="BZ414" s="19">
        <v>0</v>
      </c>
      <c r="CA414" s="19">
        <v>1014.41739130435</v>
      </c>
      <c r="CB414" s="19">
        <v>9.7219999999999995</v>
      </c>
      <c r="CC414" s="19">
        <v>956.14782608695702</v>
      </c>
      <c r="CD414" s="19">
        <v>9.1639999999999997</v>
      </c>
      <c r="CE414" s="19">
        <v>0</v>
      </c>
      <c r="CF414" s="19">
        <v>0</v>
      </c>
      <c r="CG414" s="19">
        <v>0</v>
      </c>
      <c r="CH414" s="19">
        <v>0</v>
      </c>
      <c r="CI414" s="19">
        <v>306.94782608695698</v>
      </c>
      <c r="CJ414" s="19">
        <v>2.9420000000000002</v>
      </c>
      <c r="CK414" s="19">
        <v>0</v>
      </c>
      <c r="CL414" s="19">
        <v>0</v>
      </c>
      <c r="CM414" s="19">
        <v>0</v>
      </c>
      <c r="CN414" s="19">
        <v>0</v>
      </c>
      <c r="CO414" s="19">
        <v>0</v>
      </c>
      <c r="CP414" s="19">
        <v>0</v>
      </c>
      <c r="CQ414" s="19">
        <v>0</v>
      </c>
      <c r="CR414" s="19">
        <v>0</v>
      </c>
      <c r="CS414" s="19">
        <v>2271.2521739130402</v>
      </c>
      <c r="CT414" s="19">
        <v>21.768000000000001</v>
      </c>
      <c r="CU414" s="19">
        <v>1430.8173913043499</v>
      </c>
      <c r="CV414" s="19">
        <v>13.714</v>
      </c>
      <c r="CW414" s="19">
        <v>786.99130434782603</v>
      </c>
      <c r="CX414" s="19">
        <v>7.5419999999999998</v>
      </c>
      <c r="CY414" s="19">
        <v>0</v>
      </c>
      <c r="CZ414" s="19">
        <v>0</v>
      </c>
      <c r="DA414" s="19">
        <v>0</v>
      </c>
      <c r="DB414" s="19">
        <v>0</v>
      </c>
      <c r="DC414" s="19">
        <v>1737.78260869565</v>
      </c>
      <c r="DD414" s="19">
        <v>19.988</v>
      </c>
      <c r="DE414" s="19">
        <v>0</v>
      </c>
      <c r="DF414" s="19">
        <v>0</v>
      </c>
      <c r="DG414" s="19">
        <v>90.417391304347802</v>
      </c>
      <c r="DH414" s="19">
        <v>1.04</v>
      </c>
      <c r="DI414" s="19">
        <v>0</v>
      </c>
      <c r="DJ414" s="19">
        <v>0</v>
      </c>
      <c r="DK414" s="19">
        <v>0</v>
      </c>
      <c r="DL414" s="19">
        <v>0</v>
      </c>
      <c r="DM414" s="19">
        <v>0</v>
      </c>
      <c r="DN414" s="19">
        <v>0</v>
      </c>
      <c r="DO414" s="19">
        <v>1392.98260869565</v>
      </c>
      <c r="DP414" s="19">
        <v>16.021999999999998</v>
      </c>
      <c r="DQ414" s="19">
        <v>1749.8869565217401</v>
      </c>
      <c r="DR414" s="19">
        <v>20.126000000000001</v>
      </c>
      <c r="DS414" s="19">
        <v>2159.2173913043498</v>
      </c>
      <c r="DT414" s="19">
        <v>24.834</v>
      </c>
      <c r="DU414" s="19">
        <v>1547.52173913043</v>
      </c>
      <c r="DV414" s="19">
        <v>13.691000000000001</v>
      </c>
      <c r="DW414" s="19">
        <v>0</v>
      </c>
      <c r="DX414" s="19">
        <v>0</v>
      </c>
      <c r="DY414" s="19">
        <v>1688.9652173913</v>
      </c>
      <c r="DZ414" s="19">
        <v>19.425000000000001</v>
      </c>
      <c r="EA414" s="19">
        <v>2472.2956521739102</v>
      </c>
      <c r="EB414" s="19">
        <v>28.434000000000001</v>
      </c>
      <c r="EC414" s="19">
        <v>832.2</v>
      </c>
      <c r="ED414" s="19">
        <v>7.3620000000000001</v>
      </c>
      <c r="EE414" s="19">
        <v>0</v>
      </c>
      <c r="EF414" s="19">
        <v>0</v>
      </c>
      <c r="EG414" s="19">
        <v>818.31304347826097</v>
      </c>
      <c r="EH414" s="19">
        <v>9.4120000000000008</v>
      </c>
      <c r="EI414" s="19">
        <v>2154.5826086956499</v>
      </c>
      <c r="EJ414" s="19">
        <v>24.78</v>
      </c>
      <c r="EK414" s="19">
        <v>2125.1304347826099</v>
      </c>
      <c r="EL414" s="19">
        <v>21.350999999999999</v>
      </c>
      <c r="EM414" s="19">
        <v>1262.53913043478</v>
      </c>
      <c r="EN414" s="19">
        <v>11.17</v>
      </c>
      <c r="EO414" s="19">
        <v>0</v>
      </c>
      <c r="EP414" s="19">
        <v>0</v>
      </c>
      <c r="EQ414" s="19">
        <v>0</v>
      </c>
      <c r="ER414" s="19">
        <v>0</v>
      </c>
      <c r="ES414" s="119">
        <v>578.93913043478301</v>
      </c>
      <c r="ET414" s="119">
        <v>5.1219999999999999</v>
      </c>
    </row>
    <row r="415" spans="1:150" ht="16.5" customHeight="1" x14ac:dyDescent="0.35">
      <c r="A415" s="4">
        <v>216</v>
      </c>
      <c r="B415" s="4" t="str">
        <f>LOOKUP(A415,Lookup!$A$1:$A$34,Lookup!$B$1:$B$34)</f>
        <v>BUTCH  WORS/MINCE/PAT</v>
      </c>
      <c r="C415" s="5">
        <v>39413</v>
      </c>
      <c r="D415" s="6" t="s">
        <v>393</v>
      </c>
      <c r="E415" s="18">
        <v>0</v>
      </c>
      <c r="F415" s="18">
        <v>0</v>
      </c>
      <c r="G415" s="18">
        <v>0</v>
      </c>
      <c r="H415" s="18">
        <v>0</v>
      </c>
      <c r="I415" s="19">
        <v>0</v>
      </c>
      <c r="J415" s="19">
        <v>0</v>
      </c>
      <c r="K415" s="19">
        <v>0</v>
      </c>
      <c r="L415" s="19">
        <v>0</v>
      </c>
      <c r="M415" s="19">
        <v>0</v>
      </c>
      <c r="N415" s="19">
        <v>0</v>
      </c>
      <c r="O415" s="19">
        <v>0</v>
      </c>
      <c r="P415" s="19">
        <v>0</v>
      </c>
      <c r="Q415" s="19">
        <v>0</v>
      </c>
      <c r="R415" s="19">
        <v>0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  <c r="AE415" s="19">
        <v>0</v>
      </c>
      <c r="AF415" s="19">
        <v>0</v>
      </c>
      <c r="AG415" s="19">
        <v>0</v>
      </c>
      <c r="AH415" s="19">
        <v>0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v>0</v>
      </c>
      <c r="AO415" s="19">
        <v>0</v>
      </c>
      <c r="AP415" s="19">
        <v>0</v>
      </c>
      <c r="AQ415" s="19">
        <v>0</v>
      </c>
      <c r="AR415" s="19">
        <v>0</v>
      </c>
      <c r="AS415" s="19">
        <v>0</v>
      </c>
      <c r="AT415" s="19">
        <v>0</v>
      </c>
      <c r="AU415" s="19">
        <v>0</v>
      </c>
      <c r="AV415" s="19">
        <v>0</v>
      </c>
      <c r="AW415" s="19">
        <v>0</v>
      </c>
      <c r="AX415" s="19">
        <v>0</v>
      </c>
      <c r="AY415" s="19">
        <v>0</v>
      </c>
      <c r="AZ415" s="19">
        <v>0</v>
      </c>
      <c r="BA415" s="19">
        <v>0</v>
      </c>
      <c r="BB415" s="19">
        <v>0</v>
      </c>
      <c r="BC415" s="19">
        <v>0</v>
      </c>
      <c r="BD415" s="19">
        <v>0</v>
      </c>
      <c r="BE415" s="19">
        <v>0</v>
      </c>
      <c r="BF415" s="19">
        <v>0</v>
      </c>
      <c r="BG415" s="19">
        <v>0</v>
      </c>
      <c r="BH415" s="19">
        <v>0</v>
      </c>
      <c r="BI415" s="19">
        <v>0</v>
      </c>
      <c r="BJ415" s="19">
        <v>0</v>
      </c>
      <c r="BK415" s="19">
        <v>0</v>
      </c>
      <c r="BL415" s="19">
        <v>0</v>
      </c>
      <c r="BM415" s="19">
        <v>0</v>
      </c>
      <c r="BN415" s="19">
        <v>0</v>
      </c>
      <c r="BO415" s="19">
        <v>0</v>
      </c>
      <c r="BP415" s="19">
        <v>0</v>
      </c>
      <c r="BQ415" s="19">
        <v>0</v>
      </c>
      <c r="BR415" s="19">
        <v>0</v>
      </c>
      <c r="BS415" s="19">
        <v>0</v>
      </c>
      <c r="BT415" s="19">
        <v>0</v>
      </c>
      <c r="BU415" s="19">
        <v>0</v>
      </c>
      <c r="BV415" s="19">
        <v>0</v>
      </c>
      <c r="BW415" s="19">
        <v>0</v>
      </c>
      <c r="BX415" s="19">
        <v>0</v>
      </c>
      <c r="BY415" s="19">
        <v>0</v>
      </c>
      <c r="BZ415" s="19">
        <v>0</v>
      </c>
      <c r="CA415" s="19">
        <v>0</v>
      </c>
      <c r="CB415" s="19">
        <v>0</v>
      </c>
      <c r="CC415" s="19">
        <v>0</v>
      </c>
      <c r="CD415" s="19">
        <v>0</v>
      </c>
      <c r="CE415" s="19">
        <v>0</v>
      </c>
      <c r="CF415" s="19">
        <v>0</v>
      </c>
      <c r="CG415" s="19">
        <v>0</v>
      </c>
      <c r="CH415" s="19">
        <v>0</v>
      </c>
      <c r="CI415" s="19">
        <v>0</v>
      </c>
      <c r="CJ415" s="19">
        <v>0</v>
      </c>
      <c r="CK415" s="19">
        <v>0</v>
      </c>
      <c r="CL415" s="19">
        <v>0</v>
      </c>
      <c r="CM415" s="19">
        <v>0</v>
      </c>
      <c r="CN415" s="19">
        <v>0</v>
      </c>
      <c r="CO415" s="19">
        <v>0</v>
      </c>
      <c r="CP415" s="19">
        <v>0</v>
      </c>
      <c r="CQ415" s="19">
        <v>0</v>
      </c>
      <c r="CR415" s="19">
        <v>0</v>
      </c>
      <c r="CS415" s="19">
        <v>0</v>
      </c>
      <c r="CT415" s="19">
        <v>0</v>
      </c>
      <c r="CU415" s="19">
        <v>0</v>
      </c>
      <c r="CV415" s="19">
        <v>0</v>
      </c>
      <c r="CW415" s="19">
        <v>0</v>
      </c>
      <c r="CX415" s="19">
        <v>0</v>
      </c>
      <c r="CY415" s="19">
        <v>0</v>
      </c>
      <c r="CZ415" s="19">
        <v>0</v>
      </c>
      <c r="DA415" s="19">
        <v>0</v>
      </c>
      <c r="DB415" s="19">
        <v>0</v>
      </c>
      <c r="DC415" s="19">
        <v>0</v>
      </c>
      <c r="DD415" s="19">
        <v>0</v>
      </c>
      <c r="DE415" s="19">
        <v>0</v>
      </c>
      <c r="DF415" s="19">
        <v>0</v>
      </c>
      <c r="DG415" s="19">
        <v>0</v>
      </c>
      <c r="DH415" s="19">
        <v>0</v>
      </c>
      <c r="DI415" s="19">
        <v>0</v>
      </c>
      <c r="DJ415" s="19">
        <v>0</v>
      </c>
      <c r="DK415" s="19">
        <v>0</v>
      </c>
      <c r="DL415" s="19">
        <v>0</v>
      </c>
      <c r="DM415" s="19">
        <v>0</v>
      </c>
      <c r="DN415" s="19">
        <v>0</v>
      </c>
      <c r="DO415" s="19">
        <v>0</v>
      </c>
      <c r="DP415" s="19">
        <v>0</v>
      </c>
      <c r="DQ415" s="19">
        <v>0</v>
      </c>
      <c r="DR415" s="19">
        <v>0</v>
      </c>
      <c r="DS415" s="19">
        <v>0</v>
      </c>
      <c r="DT415" s="19">
        <v>0</v>
      </c>
      <c r="DU415" s="19">
        <v>0</v>
      </c>
      <c r="DV415" s="19">
        <v>0</v>
      </c>
      <c r="DW415" s="19">
        <v>0</v>
      </c>
      <c r="DX415" s="19">
        <v>0</v>
      </c>
      <c r="DY415" s="19">
        <v>0</v>
      </c>
      <c r="DZ415" s="19">
        <v>0</v>
      </c>
      <c r="EA415" s="19">
        <v>0</v>
      </c>
      <c r="EB415" s="19">
        <v>0</v>
      </c>
      <c r="EC415" s="19">
        <v>0</v>
      </c>
      <c r="ED415" s="19">
        <v>0</v>
      </c>
      <c r="EE415" s="19">
        <v>0</v>
      </c>
      <c r="EF415" s="19">
        <v>0</v>
      </c>
      <c r="EG415" s="19">
        <v>0</v>
      </c>
      <c r="EH415" s="19">
        <v>0</v>
      </c>
      <c r="EI415" s="19">
        <v>0</v>
      </c>
      <c r="EJ415" s="19">
        <v>0</v>
      </c>
      <c r="EK415" s="19">
        <v>0</v>
      </c>
      <c r="EL415" s="19">
        <v>0</v>
      </c>
      <c r="EM415" s="19">
        <v>0</v>
      </c>
      <c r="EN415" s="19">
        <v>0</v>
      </c>
      <c r="EO415" s="19">
        <v>0</v>
      </c>
      <c r="EP415" s="19">
        <v>0</v>
      </c>
      <c r="EQ415" s="19">
        <v>0</v>
      </c>
      <c r="ER415" s="19">
        <v>0</v>
      </c>
      <c r="ES415" s="119">
        <v>0</v>
      </c>
      <c r="ET415" s="119">
        <v>0</v>
      </c>
    </row>
    <row r="416" spans="1:150" ht="16.5" customHeight="1" x14ac:dyDescent="0.35">
      <c r="A416" s="4">
        <v>216</v>
      </c>
      <c r="B416" s="4" t="str">
        <f>LOOKUP(A416,Lookup!$A$1:$A$34,Lookup!$B$1:$B$34)</f>
        <v>BUTCH  WORS/MINCE/PAT</v>
      </c>
      <c r="C416" s="5">
        <v>39416</v>
      </c>
      <c r="D416" s="6" t="s">
        <v>394</v>
      </c>
      <c r="E416" s="18">
        <v>0</v>
      </c>
      <c r="F416" s="18">
        <v>0</v>
      </c>
      <c r="G416" s="18">
        <v>0</v>
      </c>
      <c r="H416" s="18">
        <v>0</v>
      </c>
      <c r="I416" s="19">
        <v>0</v>
      </c>
      <c r="J416" s="19">
        <v>0</v>
      </c>
      <c r="K416" s="19">
        <v>0</v>
      </c>
      <c r="L416" s="19">
        <v>0</v>
      </c>
      <c r="M416" s="19">
        <v>0</v>
      </c>
      <c r="N416" s="19">
        <v>0</v>
      </c>
      <c r="O416" s="19">
        <v>0</v>
      </c>
      <c r="P416" s="19">
        <v>0</v>
      </c>
      <c r="Q416" s="19">
        <v>0</v>
      </c>
      <c r="R416" s="19">
        <v>0</v>
      </c>
      <c r="S416" s="19">
        <v>0</v>
      </c>
      <c r="T416" s="19">
        <v>0</v>
      </c>
      <c r="U416" s="19">
        <v>0</v>
      </c>
      <c r="V416" s="19">
        <v>0</v>
      </c>
      <c r="W416" s="19">
        <v>0</v>
      </c>
      <c r="X416" s="19">
        <v>0</v>
      </c>
      <c r="Y416" s="19">
        <v>0</v>
      </c>
      <c r="Z416" s="19">
        <v>0</v>
      </c>
      <c r="AA416" s="19">
        <v>0</v>
      </c>
      <c r="AB416" s="19">
        <v>0</v>
      </c>
      <c r="AC416" s="19">
        <v>0</v>
      </c>
      <c r="AD416" s="19">
        <v>0</v>
      </c>
      <c r="AE416" s="19">
        <v>0</v>
      </c>
      <c r="AF416" s="19">
        <v>0</v>
      </c>
      <c r="AG416" s="19">
        <v>0</v>
      </c>
      <c r="AH416" s="19">
        <v>0</v>
      </c>
      <c r="AI416" s="19">
        <v>0</v>
      </c>
      <c r="AJ416" s="19">
        <v>0</v>
      </c>
      <c r="AK416" s="19">
        <v>0</v>
      </c>
      <c r="AL416" s="19">
        <v>0</v>
      </c>
      <c r="AM416" s="19">
        <v>0</v>
      </c>
      <c r="AN416" s="19">
        <v>0</v>
      </c>
      <c r="AO416" s="19">
        <v>0</v>
      </c>
      <c r="AP416" s="19">
        <v>0</v>
      </c>
      <c r="AQ416" s="19">
        <v>0</v>
      </c>
      <c r="AR416" s="19">
        <v>0</v>
      </c>
      <c r="AS416" s="19">
        <v>0</v>
      </c>
      <c r="AT416" s="19">
        <v>0</v>
      </c>
      <c r="AU416" s="19">
        <v>0</v>
      </c>
      <c r="AV416" s="19">
        <v>0</v>
      </c>
      <c r="AW416" s="19">
        <v>0</v>
      </c>
      <c r="AX416" s="19">
        <v>0</v>
      </c>
      <c r="AY416" s="19">
        <v>0</v>
      </c>
      <c r="AZ416" s="19">
        <v>0</v>
      </c>
      <c r="BA416" s="19">
        <v>0</v>
      </c>
      <c r="BB416" s="19">
        <v>0</v>
      </c>
      <c r="BC416" s="19">
        <v>0</v>
      </c>
      <c r="BD416" s="19">
        <v>0</v>
      </c>
      <c r="BE416" s="19">
        <v>0</v>
      </c>
      <c r="BF416" s="19">
        <v>0</v>
      </c>
      <c r="BG416" s="19">
        <v>0</v>
      </c>
      <c r="BH416" s="19">
        <v>0</v>
      </c>
      <c r="BI416" s="19">
        <v>0</v>
      </c>
      <c r="BJ416" s="19">
        <v>0</v>
      </c>
      <c r="BK416" s="19">
        <v>0</v>
      </c>
      <c r="BL416" s="19">
        <v>0</v>
      </c>
      <c r="BM416" s="19">
        <v>0</v>
      </c>
      <c r="BN416" s="19">
        <v>0</v>
      </c>
      <c r="BO416" s="19">
        <v>0</v>
      </c>
      <c r="BP416" s="19">
        <v>0</v>
      </c>
      <c r="BQ416" s="19">
        <v>0</v>
      </c>
      <c r="BR416" s="19">
        <v>0</v>
      </c>
      <c r="BS416" s="19">
        <v>0</v>
      </c>
      <c r="BT416" s="19">
        <v>0</v>
      </c>
      <c r="BU416" s="19">
        <v>0</v>
      </c>
      <c r="BV416" s="19">
        <v>0</v>
      </c>
      <c r="BW416" s="19">
        <v>0</v>
      </c>
      <c r="BX416" s="19">
        <v>0</v>
      </c>
      <c r="BY416" s="19">
        <v>0</v>
      </c>
      <c r="BZ416" s="19">
        <v>0</v>
      </c>
      <c r="CA416" s="19">
        <v>0</v>
      </c>
      <c r="CB416" s="19">
        <v>0</v>
      </c>
      <c r="CC416" s="19">
        <v>0</v>
      </c>
      <c r="CD416" s="19">
        <v>0</v>
      </c>
      <c r="CE416" s="19">
        <v>0</v>
      </c>
      <c r="CF416" s="19">
        <v>0</v>
      </c>
      <c r="CG416" s="19">
        <v>0</v>
      </c>
      <c r="CH416" s="19">
        <v>0</v>
      </c>
      <c r="CI416" s="19">
        <v>0</v>
      </c>
      <c r="CJ416" s="19">
        <v>0</v>
      </c>
      <c r="CK416" s="19">
        <v>0</v>
      </c>
      <c r="CL416" s="19">
        <v>0</v>
      </c>
      <c r="CM416" s="19">
        <v>0</v>
      </c>
      <c r="CN416" s="19">
        <v>0</v>
      </c>
      <c r="CO416" s="19">
        <v>0</v>
      </c>
      <c r="CP416" s="19">
        <v>0</v>
      </c>
      <c r="CQ416" s="19">
        <v>0</v>
      </c>
      <c r="CR416" s="19">
        <v>0</v>
      </c>
      <c r="CS416" s="19">
        <v>0</v>
      </c>
      <c r="CT416" s="19">
        <v>0</v>
      </c>
      <c r="CU416" s="19">
        <v>0</v>
      </c>
      <c r="CV416" s="19">
        <v>0</v>
      </c>
      <c r="CW416" s="19">
        <v>0</v>
      </c>
      <c r="CX416" s="19">
        <v>0</v>
      </c>
      <c r="CY416" s="19">
        <v>0</v>
      </c>
      <c r="CZ416" s="19">
        <v>0</v>
      </c>
      <c r="DA416" s="19">
        <v>0</v>
      </c>
      <c r="DB416" s="19">
        <v>0</v>
      </c>
      <c r="DC416" s="19">
        <v>0</v>
      </c>
      <c r="DD416" s="19">
        <v>0</v>
      </c>
      <c r="DE416" s="19">
        <v>0</v>
      </c>
      <c r="DF416" s="19">
        <v>0</v>
      </c>
      <c r="DG416" s="19">
        <v>0</v>
      </c>
      <c r="DH416" s="19">
        <v>0</v>
      </c>
      <c r="DI416" s="19">
        <v>0</v>
      </c>
      <c r="DJ416" s="19">
        <v>0</v>
      </c>
      <c r="DK416" s="19">
        <v>0</v>
      </c>
      <c r="DL416" s="19">
        <v>0</v>
      </c>
      <c r="DM416" s="19">
        <v>0</v>
      </c>
      <c r="DN416" s="19">
        <v>0</v>
      </c>
      <c r="DO416" s="19">
        <v>0</v>
      </c>
      <c r="DP416" s="19">
        <v>0</v>
      </c>
      <c r="DQ416" s="19">
        <v>0</v>
      </c>
      <c r="DR416" s="19">
        <v>0</v>
      </c>
      <c r="DS416" s="19">
        <v>0</v>
      </c>
      <c r="DT416" s="19">
        <v>0</v>
      </c>
      <c r="DU416" s="19">
        <v>0</v>
      </c>
      <c r="DV416" s="19">
        <v>0</v>
      </c>
      <c r="DW416" s="19">
        <v>0</v>
      </c>
      <c r="DX416" s="19">
        <v>0</v>
      </c>
      <c r="DY416" s="19">
        <v>0</v>
      </c>
      <c r="DZ416" s="19">
        <v>0</v>
      </c>
      <c r="EA416" s="19">
        <v>0</v>
      </c>
      <c r="EB416" s="19">
        <v>0</v>
      </c>
      <c r="EC416" s="19">
        <v>0</v>
      </c>
      <c r="ED416" s="19">
        <v>0</v>
      </c>
      <c r="EE416" s="19">
        <v>0</v>
      </c>
      <c r="EF416" s="19">
        <v>0</v>
      </c>
      <c r="EG416" s="19">
        <v>0</v>
      </c>
      <c r="EH416" s="19">
        <v>0</v>
      </c>
      <c r="EI416" s="19">
        <v>0</v>
      </c>
      <c r="EJ416" s="19">
        <v>0</v>
      </c>
      <c r="EK416" s="19">
        <v>0</v>
      </c>
      <c r="EL416" s="19">
        <v>0</v>
      </c>
      <c r="EM416" s="19">
        <v>0</v>
      </c>
      <c r="EN416" s="19">
        <v>0</v>
      </c>
      <c r="EO416" s="19">
        <v>0</v>
      </c>
      <c r="EP416" s="19">
        <v>0</v>
      </c>
      <c r="EQ416" s="19">
        <v>0</v>
      </c>
      <c r="ER416" s="19">
        <v>0</v>
      </c>
      <c r="ES416" s="119">
        <v>0</v>
      </c>
      <c r="ET416" s="119">
        <v>0</v>
      </c>
    </row>
    <row r="417" spans="1:150" ht="16.5" customHeight="1" x14ac:dyDescent="0.35">
      <c r="A417" s="4">
        <v>216</v>
      </c>
      <c r="B417" s="4" t="str">
        <f>LOOKUP(A417,Lookup!$A$1:$A$34,Lookup!$B$1:$B$34)</f>
        <v>BUTCH  WORS/MINCE/PAT</v>
      </c>
      <c r="C417" s="5">
        <v>39418</v>
      </c>
      <c r="D417" s="6" t="s">
        <v>395</v>
      </c>
      <c r="E417" s="18">
        <v>0</v>
      </c>
      <c r="F417" s="18">
        <v>0</v>
      </c>
      <c r="G417" s="18">
        <v>0</v>
      </c>
      <c r="H417" s="18">
        <v>0</v>
      </c>
      <c r="I417" s="19">
        <v>0</v>
      </c>
      <c r="J417" s="19">
        <v>0</v>
      </c>
      <c r="K417" s="19">
        <v>0</v>
      </c>
      <c r="L417" s="19">
        <v>0</v>
      </c>
      <c r="M417" s="19">
        <v>0</v>
      </c>
      <c r="N417" s="19">
        <v>0</v>
      </c>
      <c r="O417" s="19">
        <v>0</v>
      </c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9">
        <v>0</v>
      </c>
      <c r="V417" s="19">
        <v>0</v>
      </c>
      <c r="W417" s="19">
        <v>0</v>
      </c>
      <c r="X417" s="19">
        <v>0</v>
      </c>
      <c r="Y417" s="19">
        <v>0</v>
      </c>
      <c r="Z417" s="19">
        <v>0</v>
      </c>
      <c r="AA417" s="19">
        <v>0</v>
      </c>
      <c r="AB417" s="19">
        <v>0</v>
      </c>
      <c r="AC417" s="19">
        <v>0</v>
      </c>
      <c r="AD417" s="19">
        <v>0</v>
      </c>
      <c r="AE417" s="19">
        <v>0</v>
      </c>
      <c r="AF417" s="19">
        <v>0</v>
      </c>
      <c r="AG417" s="19">
        <v>0</v>
      </c>
      <c r="AH417" s="19">
        <v>0</v>
      </c>
      <c r="AI417" s="19">
        <v>0</v>
      </c>
      <c r="AJ417" s="19">
        <v>0</v>
      </c>
      <c r="AK417" s="19">
        <v>0</v>
      </c>
      <c r="AL417" s="19">
        <v>0</v>
      </c>
      <c r="AM417" s="19">
        <v>0</v>
      </c>
      <c r="AN417" s="19">
        <v>0</v>
      </c>
      <c r="AO417" s="19">
        <v>0</v>
      </c>
      <c r="AP417" s="19">
        <v>0</v>
      </c>
      <c r="AQ417" s="19">
        <v>0</v>
      </c>
      <c r="AR417" s="19">
        <v>0</v>
      </c>
      <c r="AS417" s="19">
        <v>0</v>
      </c>
      <c r="AT417" s="19">
        <v>0</v>
      </c>
      <c r="AU417" s="19">
        <v>0</v>
      </c>
      <c r="AV417" s="19">
        <v>0</v>
      </c>
      <c r="AW417" s="19">
        <v>0</v>
      </c>
      <c r="AX417" s="19">
        <v>0</v>
      </c>
      <c r="AY417" s="19">
        <v>0</v>
      </c>
      <c r="AZ417" s="19">
        <v>0</v>
      </c>
      <c r="BA417" s="19">
        <v>0</v>
      </c>
      <c r="BB417" s="19">
        <v>0</v>
      </c>
      <c r="BC417" s="19">
        <v>0</v>
      </c>
      <c r="BD417" s="19">
        <v>0</v>
      </c>
      <c r="BE417" s="19">
        <v>0</v>
      </c>
      <c r="BF417" s="19">
        <v>0</v>
      </c>
      <c r="BG417" s="19">
        <v>0</v>
      </c>
      <c r="BH417" s="19">
        <v>0</v>
      </c>
      <c r="BI417" s="19">
        <v>0</v>
      </c>
      <c r="BJ417" s="19">
        <v>0</v>
      </c>
      <c r="BK417" s="19">
        <v>0</v>
      </c>
      <c r="BL417" s="19">
        <v>0</v>
      </c>
      <c r="BM417" s="19">
        <v>0</v>
      </c>
      <c r="BN417" s="19">
        <v>0</v>
      </c>
      <c r="BO417" s="19">
        <v>0</v>
      </c>
      <c r="BP417" s="19">
        <v>0</v>
      </c>
      <c r="BQ417" s="19">
        <v>0</v>
      </c>
      <c r="BR417" s="19">
        <v>0</v>
      </c>
      <c r="BS417" s="19">
        <v>0</v>
      </c>
      <c r="BT417" s="19">
        <v>0</v>
      </c>
      <c r="BU417" s="19">
        <v>0</v>
      </c>
      <c r="BV417" s="19">
        <v>0</v>
      </c>
      <c r="BW417" s="19">
        <v>0</v>
      </c>
      <c r="BX417" s="19">
        <v>0</v>
      </c>
      <c r="BY417" s="19">
        <v>0</v>
      </c>
      <c r="BZ417" s="19">
        <v>0</v>
      </c>
      <c r="CA417" s="19">
        <v>0</v>
      </c>
      <c r="CB417" s="19">
        <v>0</v>
      </c>
      <c r="CC417" s="19">
        <v>0</v>
      </c>
      <c r="CD417" s="19">
        <v>0</v>
      </c>
      <c r="CE417" s="19">
        <v>0</v>
      </c>
      <c r="CF417" s="19">
        <v>0</v>
      </c>
      <c r="CG417" s="19">
        <v>0</v>
      </c>
      <c r="CH417" s="19">
        <v>0</v>
      </c>
      <c r="CI417" s="19">
        <v>0</v>
      </c>
      <c r="CJ417" s="19">
        <v>0</v>
      </c>
      <c r="CK417" s="19">
        <v>0</v>
      </c>
      <c r="CL417" s="19">
        <v>0</v>
      </c>
      <c r="CM417" s="19">
        <v>0</v>
      </c>
      <c r="CN417" s="19">
        <v>0</v>
      </c>
      <c r="CO417" s="19">
        <v>0</v>
      </c>
      <c r="CP417" s="19">
        <v>0</v>
      </c>
      <c r="CQ417" s="19">
        <v>0</v>
      </c>
      <c r="CR417" s="19">
        <v>0</v>
      </c>
      <c r="CS417" s="19">
        <v>0</v>
      </c>
      <c r="CT417" s="19">
        <v>0</v>
      </c>
      <c r="CU417" s="19">
        <v>0</v>
      </c>
      <c r="CV417" s="19">
        <v>0</v>
      </c>
      <c r="CW417" s="19">
        <v>0</v>
      </c>
      <c r="CX417" s="19">
        <v>0</v>
      </c>
      <c r="CY417" s="19">
        <v>0</v>
      </c>
      <c r="CZ417" s="19">
        <v>0</v>
      </c>
      <c r="DA417" s="19">
        <v>0</v>
      </c>
      <c r="DB417" s="19">
        <v>0</v>
      </c>
      <c r="DC417" s="19">
        <v>0</v>
      </c>
      <c r="DD417" s="19">
        <v>0</v>
      </c>
      <c r="DE417" s="19">
        <v>0</v>
      </c>
      <c r="DF417" s="19">
        <v>0</v>
      </c>
      <c r="DG417" s="19">
        <v>0</v>
      </c>
      <c r="DH417" s="19">
        <v>0</v>
      </c>
      <c r="DI417" s="19">
        <v>0</v>
      </c>
      <c r="DJ417" s="19">
        <v>0</v>
      </c>
      <c r="DK417" s="19">
        <v>0</v>
      </c>
      <c r="DL417" s="19">
        <v>0</v>
      </c>
      <c r="DM417" s="19">
        <v>0</v>
      </c>
      <c r="DN417" s="19">
        <v>0</v>
      </c>
      <c r="DO417" s="19">
        <v>0</v>
      </c>
      <c r="DP417" s="19">
        <v>0</v>
      </c>
      <c r="DQ417" s="19">
        <v>0</v>
      </c>
      <c r="DR417" s="19">
        <v>0</v>
      </c>
      <c r="DS417" s="19">
        <v>0</v>
      </c>
      <c r="DT417" s="19">
        <v>0</v>
      </c>
      <c r="DU417" s="19">
        <v>0</v>
      </c>
      <c r="DV417" s="19">
        <v>0</v>
      </c>
      <c r="DW417" s="19">
        <v>0</v>
      </c>
      <c r="DX417" s="19">
        <v>0</v>
      </c>
      <c r="DY417" s="19">
        <v>0</v>
      </c>
      <c r="DZ417" s="19">
        <v>0</v>
      </c>
      <c r="EA417" s="19">
        <v>0</v>
      </c>
      <c r="EB417" s="19">
        <v>0</v>
      </c>
      <c r="EC417" s="19">
        <v>0</v>
      </c>
      <c r="ED417" s="19">
        <v>0</v>
      </c>
      <c r="EE417" s="19">
        <v>0</v>
      </c>
      <c r="EF417" s="19">
        <v>0</v>
      </c>
      <c r="EG417" s="19">
        <v>0</v>
      </c>
      <c r="EH417" s="19">
        <v>0</v>
      </c>
      <c r="EI417" s="19">
        <v>0</v>
      </c>
      <c r="EJ417" s="19">
        <v>0</v>
      </c>
      <c r="EK417" s="19">
        <v>0</v>
      </c>
      <c r="EL417" s="19">
        <v>0</v>
      </c>
      <c r="EM417" s="19">
        <v>0</v>
      </c>
      <c r="EN417" s="19">
        <v>0</v>
      </c>
      <c r="EO417" s="19">
        <v>0</v>
      </c>
      <c r="EP417" s="19">
        <v>0</v>
      </c>
      <c r="EQ417" s="19">
        <v>0</v>
      </c>
      <c r="ER417" s="19">
        <v>0</v>
      </c>
      <c r="ES417" s="119">
        <v>0</v>
      </c>
      <c r="ET417" s="119">
        <v>0</v>
      </c>
    </row>
    <row r="418" spans="1:150" ht="16.5" customHeight="1" x14ac:dyDescent="0.35">
      <c r="A418" s="4">
        <v>216</v>
      </c>
      <c r="B418" s="4" t="str">
        <f>LOOKUP(A418,Lookup!$A$1:$A$34,Lookup!$B$1:$B$34)</f>
        <v>BUTCH  WORS/MINCE/PAT</v>
      </c>
      <c r="C418" s="5">
        <v>39494</v>
      </c>
      <c r="D418" s="6" t="s">
        <v>396</v>
      </c>
      <c r="E418" s="18">
        <v>0</v>
      </c>
      <c r="F418" s="18">
        <v>0</v>
      </c>
      <c r="G418" s="18">
        <v>0</v>
      </c>
      <c r="H418" s="18">
        <v>0</v>
      </c>
      <c r="I418" s="19">
        <v>0</v>
      </c>
      <c r="J418" s="19">
        <v>0</v>
      </c>
      <c r="K418" s="19">
        <v>0</v>
      </c>
      <c r="L418" s="19">
        <v>0</v>
      </c>
      <c r="M418" s="19">
        <v>0</v>
      </c>
      <c r="N418" s="19">
        <v>0</v>
      </c>
      <c r="O418" s="19">
        <v>0</v>
      </c>
      <c r="P418" s="19">
        <v>0</v>
      </c>
      <c r="Q418" s="19">
        <v>0</v>
      </c>
      <c r="R418" s="19">
        <v>0</v>
      </c>
      <c r="S418" s="19">
        <v>0</v>
      </c>
      <c r="T418" s="19">
        <v>0</v>
      </c>
      <c r="U418" s="19">
        <v>0</v>
      </c>
      <c r="V418" s="19">
        <v>0</v>
      </c>
      <c r="W418" s="19">
        <v>0</v>
      </c>
      <c r="X418" s="19">
        <v>0</v>
      </c>
      <c r="Y418" s="19">
        <v>0</v>
      </c>
      <c r="Z418" s="19">
        <v>0</v>
      </c>
      <c r="AA418" s="19">
        <v>0</v>
      </c>
      <c r="AB418" s="19">
        <v>0</v>
      </c>
      <c r="AC418" s="19">
        <v>0</v>
      </c>
      <c r="AD418" s="19">
        <v>0</v>
      </c>
      <c r="AE418" s="19">
        <v>0</v>
      </c>
      <c r="AF418" s="19">
        <v>0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19">
        <v>0</v>
      </c>
      <c r="AM418" s="19">
        <v>0</v>
      </c>
      <c r="AN418" s="19">
        <v>0</v>
      </c>
      <c r="AO418" s="19">
        <v>0</v>
      </c>
      <c r="AP418" s="19">
        <v>0</v>
      </c>
      <c r="AQ418" s="19">
        <v>0</v>
      </c>
      <c r="AR418" s="19">
        <v>0</v>
      </c>
      <c r="AS418" s="19">
        <v>0</v>
      </c>
      <c r="AT418" s="19">
        <v>0</v>
      </c>
      <c r="AU418" s="19">
        <v>0</v>
      </c>
      <c r="AV418" s="19">
        <v>0</v>
      </c>
      <c r="AW418" s="19">
        <v>0</v>
      </c>
      <c r="AX418" s="19">
        <v>0</v>
      </c>
      <c r="AY418" s="19">
        <v>0</v>
      </c>
      <c r="AZ418" s="19">
        <v>0</v>
      </c>
      <c r="BA418" s="19">
        <v>0</v>
      </c>
      <c r="BB418" s="19">
        <v>0</v>
      </c>
      <c r="BC418" s="19">
        <v>0</v>
      </c>
      <c r="BD418" s="19">
        <v>0</v>
      </c>
      <c r="BE418" s="19">
        <v>0</v>
      </c>
      <c r="BF418" s="19">
        <v>0</v>
      </c>
      <c r="BG418" s="19">
        <v>0</v>
      </c>
      <c r="BH418" s="19">
        <v>0</v>
      </c>
      <c r="BI418" s="19">
        <v>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  <c r="BP418" s="19">
        <v>0</v>
      </c>
      <c r="BQ418" s="19">
        <v>0</v>
      </c>
      <c r="BR418" s="19">
        <v>0</v>
      </c>
      <c r="BS418" s="19">
        <v>0</v>
      </c>
      <c r="BT418" s="19">
        <v>0</v>
      </c>
      <c r="BU418" s="19">
        <v>0</v>
      </c>
      <c r="BV418" s="19">
        <v>0</v>
      </c>
      <c r="BW418" s="19">
        <v>0</v>
      </c>
      <c r="BX418" s="19">
        <v>0</v>
      </c>
      <c r="BY418" s="19">
        <v>0</v>
      </c>
      <c r="BZ418" s="19">
        <v>0</v>
      </c>
      <c r="CA418" s="19">
        <v>0</v>
      </c>
      <c r="CB418" s="19">
        <v>0</v>
      </c>
      <c r="CC418" s="19">
        <v>0</v>
      </c>
      <c r="CD418" s="19">
        <v>0</v>
      </c>
      <c r="CE418" s="19">
        <v>0</v>
      </c>
      <c r="CF418" s="19">
        <v>0</v>
      </c>
      <c r="CG418" s="19">
        <v>0</v>
      </c>
      <c r="CH418" s="19">
        <v>0</v>
      </c>
      <c r="CI418" s="19">
        <v>0</v>
      </c>
      <c r="CJ418" s="19">
        <v>0</v>
      </c>
      <c r="CK418" s="19">
        <v>0</v>
      </c>
      <c r="CL418" s="19">
        <v>0</v>
      </c>
      <c r="CM418" s="19">
        <v>0</v>
      </c>
      <c r="CN418" s="19">
        <v>0</v>
      </c>
      <c r="CO418" s="19">
        <v>0</v>
      </c>
      <c r="CP418" s="19">
        <v>0</v>
      </c>
      <c r="CQ418" s="19">
        <v>0</v>
      </c>
      <c r="CR418" s="19">
        <v>0</v>
      </c>
      <c r="CS418" s="19">
        <v>0</v>
      </c>
      <c r="CT418" s="19">
        <v>0</v>
      </c>
      <c r="CU418" s="19">
        <v>0</v>
      </c>
      <c r="CV418" s="19">
        <v>0</v>
      </c>
      <c r="CW418" s="19">
        <v>0</v>
      </c>
      <c r="CX418" s="19">
        <v>0</v>
      </c>
      <c r="CY418" s="19">
        <v>0</v>
      </c>
      <c r="CZ418" s="19">
        <v>0</v>
      </c>
      <c r="DA418" s="19">
        <v>0</v>
      </c>
      <c r="DB418" s="19">
        <v>0</v>
      </c>
      <c r="DC418" s="19">
        <v>0</v>
      </c>
      <c r="DD418" s="19">
        <v>0</v>
      </c>
      <c r="DE418" s="19">
        <v>0</v>
      </c>
      <c r="DF418" s="19">
        <v>0</v>
      </c>
      <c r="DG418" s="19">
        <v>0</v>
      </c>
      <c r="DH418" s="19">
        <v>0</v>
      </c>
      <c r="DI418" s="19">
        <v>0</v>
      </c>
      <c r="DJ418" s="19">
        <v>0</v>
      </c>
      <c r="DK418" s="19">
        <v>0</v>
      </c>
      <c r="DL418" s="19">
        <v>0</v>
      </c>
      <c r="DM418" s="19">
        <v>0</v>
      </c>
      <c r="DN418" s="19">
        <v>0</v>
      </c>
      <c r="DO418" s="19">
        <v>0</v>
      </c>
      <c r="DP418" s="19">
        <v>0</v>
      </c>
      <c r="DQ418" s="19">
        <v>0</v>
      </c>
      <c r="DR418" s="19">
        <v>0</v>
      </c>
      <c r="DS418" s="19">
        <v>0</v>
      </c>
      <c r="DT418" s="19">
        <v>0</v>
      </c>
      <c r="DU418" s="19">
        <v>0</v>
      </c>
      <c r="DV418" s="19">
        <v>0</v>
      </c>
      <c r="DW418" s="19">
        <v>0</v>
      </c>
      <c r="DX418" s="19">
        <v>0</v>
      </c>
      <c r="DY418" s="19">
        <v>0</v>
      </c>
      <c r="DZ418" s="19">
        <v>0</v>
      </c>
      <c r="EA418" s="19">
        <v>0</v>
      </c>
      <c r="EB418" s="19">
        <v>0</v>
      </c>
      <c r="EC418" s="19">
        <v>0</v>
      </c>
      <c r="ED418" s="19">
        <v>0</v>
      </c>
      <c r="EE418" s="19">
        <v>0</v>
      </c>
      <c r="EF418" s="19">
        <v>0</v>
      </c>
      <c r="EG418" s="19">
        <v>0</v>
      </c>
      <c r="EH418" s="19">
        <v>0</v>
      </c>
      <c r="EI418" s="19">
        <v>0</v>
      </c>
      <c r="EJ418" s="19">
        <v>0</v>
      </c>
      <c r="EK418" s="19">
        <v>0</v>
      </c>
      <c r="EL418" s="19">
        <v>0</v>
      </c>
      <c r="EM418" s="19">
        <v>0</v>
      </c>
      <c r="EN418" s="19">
        <v>0</v>
      </c>
      <c r="EO418" s="19">
        <v>0</v>
      </c>
      <c r="EP418" s="19">
        <v>0</v>
      </c>
      <c r="EQ418" s="19">
        <v>0</v>
      </c>
      <c r="ER418" s="19">
        <v>0</v>
      </c>
      <c r="ES418" s="119">
        <v>0</v>
      </c>
      <c r="ET418" s="119">
        <v>0</v>
      </c>
    </row>
    <row r="419" spans="1:150" ht="16.5" customHeight="1" x14ac:dyDescent="0.35">
      <c r="A419" s="4">
        <v>216</v>
      </c>
      <c r="B419" s="4" t="str">
        <f>LOOKUP(A419,Lookup!$A$1:$A$34,Lookup!$B$1:$B$34)</f>
        <v>BUTCH  WORS/MINCE/PAT</v>
      </c>
      <c r="C419" s="5">
        <v>39499</v>
      </c>
      <c r="D419" s="6" t="s">
        <v>397</v>
      </c>
      <c r="E419" s="18">
        <v>0</v>
      </c>
      <c r="F419" s="18">
        <v>0</v>
      </c>
      <c r="G419" s="18">
        <v>0</v>
      </c>
      <c r="H419" s="18">
        <v>0</v>
      </c>
      <c r="I419" s="19">
        <v>0</v>
      </c>
      <c r="J419" s="19">
        <v>0</v>
      </c>
      <c r="K419" s="19">
        <v>0</v>
      </c>
      <c r="L419" s="19">
        <v>0</v>
      </c>
      <c r="M419" s="19">
        <v>0</v>
      </c>
      <c r="N419" s="19">
        <v>0</v>
      </c>
      <c r="O419" s="19">
        <v>0</v>
      </c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9">
        <v>0</v>
      </c>
      <c r="V419" s="19">
        <v>0</v>
      </c>
      <c r="W419" s="19">
        <v>0</v>
      </c>
      <c r="X419" s="19">
        <v>0</v>
      </c>
      <c r="Y419" s="19">
        <v>0</v>
      </c>
      <c r="Z419" s="19">
        <v>0</v>
      </c>
      <c r="AA419" s="19">
        <v>0</v>
      </c>
      <c r="AB419" s="19">
        <v>0</v>
      </c>
      <c r="AC419" s="19">
        <v>0</v>
      </c>
      <c r="AD419" s="19">
        <v>0</v>
      </c>
      <c r="AE419" s="19">
        <v>0</v>
      </c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19">
        <v>0</v>
      </c>
      <c r="AM419" s="19">
        <v>0</v>
      </c>
      <c r="AN419" s="19">
        <v>0</v>
      </c>
      <c r="AO419" s="19">
        <v>0</v>
      </c>
      <c r="AP419" s="19">
        <v>0</v>
      </c>
      <c r="AQ419" s="19">
        <v>0</v>
      </c>
      <c r="AR419" s="19">
        <v>0</v>
      </c>
      <c r="AS419" s="19">
        <v>0</v>
      </c>
      <c r="AT419" s="19">
        <v>0</v>
      </c>
      <c r="AU419" s="19">
        <v>0</v>
      </c>
      <c r="AV419" s="19">
        <v>0</v>
      </c>
      <c r="AW419" s="19">
        <v>0</v>
      </c>
      <c r="AX419" s="19">
        <v>0</v>
      </c>
      <c r="AY419" s="19">
        <v>0</v>
      </c>
      <c r="AZ419" s="19">
        <v>0</v>
      </c>
      <c r="BA419" s="19">
        <v>0</v>
      </c>
      <c r="BB419" s="19">
        <v>0</v>
      </c>
      <c r="BC419" s="19">
        <v>0</v>
      </c>
      <c r="BD419" s="19">
        <v>0</v>
      </c>
      <c r="BE419" s="19">
        <v>0</v>
      </c>
      <c r="BF419" s="19">
        <v>0</v>
      </c>
      <c r="BG419" s="19">
        <v>0</v>
      </c>
      <c r="BH419" s="19">
        <v>0</v>
      </c>
      <c r="BI419" s="19">
        <v>0</v>
      </c>
      <c r="BJ419" s="19">
        <v>0</v>
      </c>
      <c r="BK419" s="19">
        <v>0</v>
      </c>
      <c r="BL419" s="19">
        <v>0</v>
      </c>
      <c r="BM419" s="19">
        <v>0</v>
      </c>
      <c r="BN419" s="19">
        <v>0</v>
      </c>
      <c r="BO419" s="19">
        <v>0</v>
      </c>
      <c r="BP419" s="19">
        <v>0</v>
      </c>
      <c r="BQ419" s="19">
        <v>0</v>
      </c>
      <c r="BR419" s="19">
        <v>0</v>
      </c>
      <c r="BS419" s="19">
        <v>0</v>
      </c>
      <c r="BT419" s="19">
        <v>0</v>
      </c>
      <c r="BU419" s="19">
        <v>0</v>
      </c>
      <c r="BV419" s="19">
        <v>0</v>
      </c>
      <c r="BW419" s="19">
        <v>0</v>
      </c>
      <c r="BX419" s="19">
        <v>0</v>
      </c>
      <c r="BY419" s="19">
        <v>0</v>
      </c>
      <c r="BZ419" s="19">
        <v>0</v>
      </c>
      <c r="CA419" s="19">
        <v>0</v>
      </c>
      <c r="CB419" s="19">
        <v>0</v>
      </c>
      <c r="CC419" s="19">
        <v>0</v>
      </c>
      <c r="CD419" s="19">
        <v>0</v>
      </c>
      <c r="CE419" s="19">
        <v>0</v>
      </c>
      <c r="CF419" s="19">
        <v>0</v>
      </c>
      <c r="CG419" s="19">
        <v>0</v>
      </c>
      <c r="CH419" s="19">
        <v>0</v>
      </c>
      <c r="CI419" s="19">
        <v>0</v>
      </c>
      <c r="CJ419" s="19">
        <v>0</v>
      </c>
      <c r="CK419" s="19">
        <v>0</v>
      </c>
      <c r="CL419" s="19">
        <v>0</v>
      </c>
      <c r="CM419" s="19">
        <v>0</v>
      </c>
      <c r="CN419" s="19">
        <v>0</v>
      </c>
      <c r="CO419" s="19">
        <v>0</v>
      </c>
      <c r="CP419" s="19">
        <v>0</v>
      </c>
      <c r="CQ419" s="19">
        <v>0</v>
      </c>
      <c r="CR419" s="19">
        <v>0</v>
      </c>
      <c r="CS419" s="19">
        <v>0</v>
      </c>
      <c r="CT419" s="19">
        <v>0</v>
      </c>
      <c r="CU419" s="19">
        <v>0</v>
      </c>
      <c r="CV419" s="19">
        <v>0</v>
      </c>
      <c r="CW419" s="19">
        <v>0</v>
      </c>
      <c r="CX419" s="19">
        <v>0</v>
      </c>
      <c r="CY419" s="19">
        <v>0</v>
      </c>
      <c r="CZ419" s="19">
        <v>0</v>
      </c>
      <c r="DA419" s="19">
        <v>0</v>
      </c>
      <c r="DB419" s="19">
        <v>0</v>
      </c>
      <c r="DC419" s="19">
        <v>0</v>
      </c>
      <c r="DD419" s="19">
        <v>0</v>
      </c>
      <c r="DE419" s="19">
        <v>0</v>
      </c>
      <c r="DF419" s="19">
        <v>0</v>
      </c>
      <c r="DG419" s="19">
        <v>0</v>
      </c>
      <c r="DH419" s="19">
        <v>0</v>
      </c>
      <c r="DI419" s="19">
        <v>0</v>
      </c>
      <c r="DJ419" s="19">
        <v>0</v>
      </c>
      <c r="DK419" s="19">
        <v>0</v>
      </c>
      <c r="DL419" s="19">
        <v>0</v>
      </c>
      <c r="DM419" s="19">
        <v>0</v>
      </c>
      <c r="DN419" s="19">
        <v>0</v>
      </c>
      <c r="DO419" s="19">
        <v>0</v>
      </c>
      <c r="DP419" s="19">
        <v>0</v>
      </c>
      <c r="DQ419" s="19">
        <v>0</v>
      </c>
      <c r="DR419" s="19">
        <v>0</v>
      </c>
      <c r="DS419" s="19">
        <v>0</v>
      </c>
      <c r="DT419" s="19">
        <v>0</v>
      </c>
      <c r="DU419" s="19">
        <v>0</v>
      </c>
      <c r="DV419" s="19">
        <v>0</v>
      </c>
      <c r="DW419" s="19">
        <v>0</v>
      </c>
      <c r="DX419" s="19">
        <v>0</v>
      </c>
      <c r="DY419" s="19">
        <v>0</v>
      </c>
      <c r="DZ419" s="19">
        <v>0</v>
      </c>
      <c r="EA419" s="19">
        <v>0</v>
      </c>
      <c r="EB419" s="19">
        <v>0</v>
      </c>
      <c r="EC419" s="19">
        <v>0</v>
      </c>
      <c r="ED419" s="19">
        <v>0</v>
      </c>
      <c r="EE419" s="19">
        <v>0</v>
      </c>
      <c r="EF419" s="19">
        <v>0</v>
      </c>
      <c r="EG419" s="19">
        <v>0</v>
      </c>
      <c r="EH419" s="19">
        <v>0</v>
      </c>
      <c r="EI419" s="19">
        <v>0</v>
      </c>
      <c r="EJ419" s="19">
        <v>0</v>
      </c>
      <c r="EK419" s="19">
        <v>0</v>
      </c>
      <c r="EL419" s="19">
        <v>0</v>
      </c>
      <c r="EM419" s="19">
        <v>0</v>
      </c>
      <c r="EN419" s="19">
        <v>0</v>
      </c>
      <c r="EO419" s="19">
        <v>0</v>
      </c>
      <c r="EP419" s="19">
        <v>0</v>
      </c>
      <c r="EQ419" s="19">
        <v>0</v>
      </c>
      <c r="ER419" s="19">
        <v>0</v>
      </c>
      <c r="ES419" s="119">
        <v>0</v>
      </c>
      <c r="ET419" s="119">
        <v>0</v>
      </c>
    </row>
    <row r="420" spans="1:150" ht="16.5" customHeight="1" x14ac:dyDescent="0.35">
      <c r="A420" s="4">
        <v>216</v>
      </c>
      <c r="B420" s="4" t="str">
        <f>LOOKUP(A420,Lookup!$A$1:$A$34,Lookup!$B$1:$B$34)</f>
        <v>BUTCH  WORS/MINCE/PAT</v>
      </c>
      <c r="C420" s="5">
        <v>40207</v>
      </c>
      <c r="D420" s="6" t="s">
        <v>307</v>
      </c>
      <c r="E420" s="18">
        <v>0</v>
      </c>
      <c r="F420" s="18">
        <v>0</v>
      </c>
      <c r="G420" s="18">
        <v>0</v>
      </c>
      <c r="H420" s="18">
        <v>0</v>
      </c>
      <c r="I420" s="19">
        <v>0</v>
      </c>
      <c r="J420" s="19">
        <v>0</v>
      </c>
      <c r="K420" s="19">
        <v>0</v>
      </c>
      <c r="L420" s="19">
        <v>0</v>
      </c>
      <c r="M420" s="19">
        <v>0</v>
      </c>
      <c r="N420" s="19">
        <v>0</v>
      </c>
      <c r="O420" s="19">
        <v>0</v>
      </c>
      <c r="P420" s="19">
        <v>0</v>
      </c>
      <c r="Q420" s="19">
        <v>0</v>
      </c>
      <c r="R420" s="19">
        <v>0</v>
      </c>
      <c r="S420" s="19">
        <v>0</v>
      </c>
      <c r="T420" s="19">
        <v>0</v>
      </c>
      <c r="U420" s="19">
        <v>0</v>
      </c>
      <c r="V420" s="19">
        <v>0</v>
      </c>
      <c r="W420" s="19">
        <v>0</v>
      </c>
      <c r="X420" s="19">
        <v>0</v>
      </c>
      <c r="Y420" s="19">
        <v>0</v>
      </c>
      <c r="Z420" s="19">
        <v>0</v>
      </c>
      <c r="AA420" s="19">
        <v>0</v>
      </c>
      <c r="AB420" s="19">
        <v>0</v>
      </c>
      <c r="AC420" s="19">
        <v>0</v>
      </c>
      <c r="AD420" s="19">
        <v>0</v>
      </c>
      <c r="AE420" s="19">
        <v>0</v>
      </c>
      <c r="AF420" s="19">
        <v>0</v>
      </c>
      <c r="AG420" s="19">
        <v>0</v>
      </c>
      <c r="AH420" s="19">
        <v>0</v>
      </c>
      <c r="AI420" s="19">
        <v>0</v>
      </c>
      <c r="AJ420" s="19">
        <v>0</v>
      </c>
      <c r="AK420" s="19">
        <v>0</v>
      </c>
      <c r="AL420" s="19">
        <v>0</v>
      </c>
      <c r="AM420" s="19">
        <v>0</v>
      </c>
      <c r="AN420" s="19">
        <v>0</v>
      </c>
      <c r="AO420" s="19">
        <v>0</v>
      </c>
      <c r="AP420" s="19">
        <v>0</v>
      </c>
      <c r="AQ420" s="19">
        <v>0</v>
      </c>
      <c r="AR420" s="19">
        <v>0</v>
      </c>
      <c r="AS420" s="19">
        <v>0</v>
      </c>
      <c r="AT420" s="19">
        <v>0</v>
      </c>
      <c r="AU420" s="19">
        <v>0</v>
      </c>
      <c r="AV420" s="19">
        <v>0</v>
      </c>
      <c r="AW420" s="19">
        <v>0</v>
      </c>
      <c r="AX420" s="19">
        <v>0</v>
      </c>
      <c r="AY420" s="19">
        <v>0</v>
      </c>
      <c r="AZ420" s="19">
        <v>0</v>
      </c>
      <c r="BA420" s="19">
        <v>0</v>
      </c>
      <c r="BB420" s="19">
        <v>0</v>
      </c>
      <c r="BC420" s="19">
        <v>0</v>
      </c>
      <c r="BD420" s="19">
        <v>0</v>
      </c>
      <c r="BE420" s="19">
        <v>0</v>
      </c>
      <c r="BF420" s="19">
        <v>0</v>
      </c>
      <c r="BG420" s="19">
        <v>0</v>
      </c>
      <c r="BH420" s="19">
        <v>0</v>
      </c>
      <c r="BI420" s="19">
        <v>0</v>
      </c>
      <c r="BJ420" s="19">
        <v>0</v>
      </c>
      <c r="BK420" s="19">
        <v>0</v>
      </c>
      <c r="BL420" s="19">
        <v>0</v>
      </c>
      <c r="BM420" s="19">
        <v>0</v>
      </c>
      <c r="BN420" s="19">
        <v>0</v>
      </c>
      <c r="BO420" s="19">
        <v>0</v>
      </c>
      <c r="BP420" s="19">
        <v>0</v>
      </c>
      <c r="BQ420" s="19">
        <v>0</v>
      </c>
      <c r="BR420" s="19">
        <v>0</v>
      </c>
      <c r="BS420" s="19">
        <v>0</v>
      </c>
      <c r="BT420" s="19">
        <v>0</v>
      </c>
      <c r="BU420" s="19">
        <v>0</v>
      </c>
      <c r="BV420" s="19">
        <v>0</v>
      </c>
      <c r="BW420" s="19">
        <v>0</v>
      </c>
      <c r="BX420" s="19">
        <v>0</v>
      </c>
      <c r="BY420" s="19">
        <v>0</v>
      </c>
      <c r="BZ420" s="19">
        <v>0</v>
      </c>
      <c r="CA420" s="19">
        <v>0</v>
      </c>
      <c r="CB420" s="19">
        <v>0</v>
      </c>
      <c r="CC420" s="19">
        <v>0</v>
      </c>
      <c r="CD420" s="19">
        <v>0</v>
      </c>
      <c r="CE420" s="19">
        <v>0</v>
      </c>
      <c r="CF420" s="19">
        <v>0</v>
      </c>
      <c r="CG420" s="19">
        <v>0</v>
      </c>
      <c r="CH420" s="19">
        <v>0</v>
      </c>
      <c r="CI420" s="19">
        <v>0</v>
      </c>
      <c r="CJ420" s="19">
        <v>0</v>
      </c>
      <c r="CK420" s="19">
        <v>0</v>
      </c>
      <c r="CL420" s="19">
        <v>0</v>
      </c>
      <c r="CM420" s="19">
        <v>0</v>
      </c>
      <c r="CN420" s="19">
        <v>0</v>
      </c>
      <c r="CO420" s="19">
        <v>0</v>
      </c>
      <c r="CP420" s="19">
        <v>0</v>
      </c>
      <c r="CQ420" s="19">
        <v>0</v>
      </c>
      <c r="CR420" s="19">
        <v>0</v>
      </c>
      <c r="CS420" s="19">
        <v>0</v>
      </c>
      <c r="CT420" s="19">
        <v>0</v>
      </c>
      <c r="CU420" s="19">
        <v>0</v>
      </c>
      <c r="CV420" s="19">
        <v>0</v>
      </c>
      <c r="CW420" s="19">
        <v>0</v>
      </c>
      <c r="CX420" s="19">
        <v>0</v>
      </c>
      <c r="CY420" s="19">
        <v>0</v>
      </c>
      <c r="CZ420" s="19">
        <v>0</v>
      </c>
      <c r="DA420" s="19">
        <v>0</v>
      </c>
      <c r="DB420" s="19">
        <v>0</v>
      </c>
      <c r="DC420" s="19">
        <v>0</v>
      </c>
      <c r="DD420" s="19">
        <v>0</v>
      </c>
      <c r="DE420" s="19">
        <v>0</v>
      </c>
      <c r="DF420" s="19">
        <v>0</v>
      </c>
      <c r="DG420" s="19">
        <v>0</v>
      </c>
      <c r="DH420" s="19">
        <v>0</v>
      </c>
      <c r="DI420" s="19">
        <v>0</v>
      </c>
      <c r="DJ420" s="19">
        <v>0</v>
      </c>
      <c r="DK420" s="19">
        <v>0</v>
      </c>
      <c r="DL420" s="19">
        <v>0</v>
      </c>
      <c r="DM420" s="19">
        <v>0</v>
      </c>
      <c r="DN420" s="19">
        <v>0</v>
      </c>
      <c r="DO420" s="19">
        <v>0</v>
      </c>
      <c r="DP420" s="19">
        <v>0</v>
      </c>
      <c r="DQ420" s="19">
        <v>0</v>
      </c>
      <c r="DR420" s="19">
        <v>0</v>
      </c>
      <c r="DS420" s="19">
        <v>0</v>
      </c>
      <c r="DT420" s="19">
        <v>0</v>
      </c>
      <c r="DU420" s="19">
        <v>0</v>
      </c>
      <c r="DV420" s="19">
        <v>0</v>
      </c>
      <c r="DW420" s="19">
        <v>0</v>
      </c>
      <c r="DX420" s="19">
        <v>0</v>
      </c>
      <c r="DY420" s="19">
        <v>0</v>
      </c>
      <c r="DZ420" s="19">
        <v>0</v>
      </c>
      <c r="EA420" s="19">
        <v>0</v>
      </c>
      <c r="EB420" s="19">
        <v>0</v>
      </c>
      <c r="EC420" s="19">
        <v>0</v>
      </c>
      <c r="ED420" s="19">
        <v>0</v>
      </c>
      <c r="EE420" s="19">
        <v>0</v>
      </c>
      <c r="EF420" s="19">
        <v>0</v>
      </c>
      <c r="EG420" s="19">
        <v>0</v>
      </c>
      <c r="EH420" s="19">
        <v>0</v>
      </c>
      <c r="EI420" s="19">
        <v>0</v>
      </c>
      <c r="EJ420" s="19">
        <v>0</v>
      </c>
      <c r="EK420" s="19">
        <v>0</v>
      </c>
      <c r="EL420" s="19">
        <v>0</v>
      </c>
      <c r="EM420" s="19">
        <v>0</v>
      </c>
      <c r="EN420" s="19">
        <v>0</v>
      </c>
      <c r="EO420" s="19">
        <v>0</v>
      </c>
      <c r="EP420" s="19">
        <v>0</v>
      </c>
      <c r="EQ420" s="19">
        <v>0</v>
      </c>
      <c r="ER420" s="19">
        <v>0</v>
      </c>
      <c r="ES420" s="119">
        <v>0</v>
      </c>
      <c r="ET420" s="119">
        <v>0</v>
      </c>
    </row>
    <row r="421" spans="1:150" ht="16.5" customHeight="1" x14ac:dyDescent="0.35">
      <c r="A421" s="4">
        <v>216</v>
      </c>
      <c r="B421" s="4" t="str">
        <f>LOOKUP(A421,Lookup!$A$1:$A$34,Lookup!$B$1:$B$34)</f>
        <v>BUTCH  WORS/MINCE/PAT</v>
      </c>
      <c r="C421" s="5">
        <v>40360</v>
      </c>
      <c r="D421" s="6" t="s">
        <v>398</v>
      </c>
      <c r="E421" s="18">
        <v>0</v>
      </c>
      <c r="F421" s="18">
        <v>0</v>
      </c>
      <c r="G421" s="18">
        <v>0</v>
      </c>
      <c r="H421" s="18">
        <v>0</v>
      </c>
      <c r="I421" s="19">
        <v>0</v>
      </c>
      <c r="J421" s="19">
        <v>0</v>
      </c>
      <c r="K421" s="19">
        <v>0</v>
      </c>
      <c r="L421" s="19">
        <v>0</v>
      </c>
      <c r="M421" s="19">
        <v>0</v>
      </c>
      <c r="N421" s="19">
        <v>0</v>
      </c>
      <c r="O421" s="19">
        <v>0</v>
      </c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9">
        <v>0</v>
      </c>
      <c r="V421" s="19">
        <v>0</v>
      </c>
      <c r="W421" s="19">
        <v>0</v>
      </c>
      <c r="X421" s="19">
        <v>0</v>
      </c>
      <c r="Y421" s="19">
        <v>0</v>
      </c>
      <c r="Z421" s="19">
        <v>0</v>
      </c>
      <c r="AA421" s="19">
        <v>0</v>
      </c>
      <c r="AB421" s="19">
        <v>0</v>
      </c>
      <c r="AC421" s="19">
        <v>0</v>
      </c>
      <c r="AD421" s="19">
        <v>0</v>
      </c>
      <c r="AE421" s="19">
        <v>0</v>
      </c>
      <c r="AF421" s="19">
        <v>0</v>
      </c>
      <c r="AG421" s="19">
        <v>0</v>
      </c>
      <c r="AH421" s="19">
        <v>0</v>
      </c>
      <c r="AI421" s="19">
        <v>0</v>
      </c>
      <c r="AJ421" s="19">
        <v>0</v>
      </c>
      <c r="AK421" s="19">
        <v>0</v>
      </c>
      <c r="AL421" s="19">
        <v>0</v>
      </c>
      <c r="AM421" s="19">
        <v>0</v>
      </c>
      <c r="AN421" s="19">
        <v>0</v>
      </c>
      <c r="AO421" s="19">
        <v>0</v>
      </c>
      <c r="AP421" s="19">
        <v>0</v>
      </c>
      <c r="AQ421" s="19">
        <v>0</v>
      </c>
      <c r="AR421" s="19">
        <v>0</v>
      </c>
      <c r="AS421" s="19">
        <v>0</v>
      </c>
      <c r="AT421" s="19">
        <v>0</v>
      </c>
      <c r="AU421" s="19">
        <v>0</v>
      </c>
      <c r="AV421" s="19">
        <v>0</v>
      </c>
      <c r="AW421" s="19">
        <v>0</v>
      </c>
      <c r="AX421" s="19">
        <v>0</v>
      </c>
      <c r="AY421" s="19">
        <v>0</v>
      </c>
      <c r="AZ421" s="19">
        <v>0</v>
      </c>
      <c r="BA421" s="19">
        <v>0</v>
      </c>
      <c r="BB421" s="19">
        <v>0</v>
      </c>
      <c r="BC421" s="19">
        <v>0</v>
      </c>
      <c r="BD421" s="19">
        <v>0</v>
      </c>
      <c r="BE421" s="19">
        <v>0</v>
      </c>
      <c r="BF421" s="19">
        <v>0</v>
      </c>
      <c r="BG421" s="19">
        <v>0</v>
      </c>
      <c r="BH421" s="19">
        <v>0</v>
      </c>
      <c r="BI421" s="19">
        <v>0</v>
      </c>
      <c r="BJ421" s="19">
        <v>0</v>
      </c>
      <c r="BK421" s="19">
        <v>0</v>
      </c>
      <c r="BL421" s="19">
        <v>0</v>
      </c>
      <c r="BM421" s="19">
        <v>0</v>
      </c>
      <c r="BN421" s="19">
        <v>0</v>
      </c>
      <c r="BO421" s="19">
        <v>0</v>
      </c>
      <c r="BP421" s="19">
        <v>0</v>
      </c>
      <c r="BQ421" s="19">
        <v>0</v>
      </c>
      <c r="BR421" s="19">
        <v>0</v>
      </c>
      <c r="BS421" s="19">
        <v>0</v>
      </c>
      <c r="BT421" s="19">
        <v>0</v>
      </c>
      <c r="BU421" s="19">
        <v>0</v>
      </c>
      <c r="BV421" s="19">
        <v>0</v>
      </c>
      <c r="BW421" s="19">
        <v>0</v>
      </c>
      <c r="BX421" s="19">
        <v>0</v>
      </c>
      <c r="BY421" s="19">
        <v>0</v>
      </c>
      <c r="BZ421" s="19">
        <v>0</v>
      </c>
      <c r="CA421" s="19">
        <v>0</v>
      </c>
      <c r="CB421" s="19">
        <v>0</v>
      </c>
      <c r="CC421" s="19">
        <v>0</v>
      </c>
      <c r="CD421" s="19">
        <v>0</v>
      </c>
      <c r="CE421" s="19">
        <v>0</v>
      </c>
      <c r="CF421" s="19">
        <v>0</v>
      </c>
      <c r="CG421" s="19">
        <v>0</v>
      </c>
      <c r="CH421" s="19">
        <v>0</v>
      </c>
      <c r="CI421" s="19">
        <v>0</v>
      </c>
      <c r="CJ421" s="19">
        <v>0</v>
      </c>
      <c r="CK421" s="19">
        <v>0</v>
      </c>
      <c r="CL421" s="19">
        <v>0</v>
      </c>
      <c r="CM421" s="19">
        <v>0</v>
      </c>
      <c r="CN421" s="19">
        <v>0</v>
      </c>
      <c r="CO421" s="19">
        <v>0</v>
      </c>
      <c r="CP421" s="19">
        <v>0</v>
      </c>
      <c r="CQ421" s="19">
        <v>0</v>
      </c>
      <c r="CR421" s="19">
        <v>0</v>
      </c>
      <c r="CS421" s="19">
        <v>0</v>
      </c>
      <c r="CT421" s="19">
        <v>0</v>
      </c>
      <c r="CU421" s="19">
        <v>0</v>
      </c>
      <c r="CV421" s="19">
        <v>0</v>
      </c>
      <c r="CW421" s="19">
        <v>0</v>
      </c>
      <c r="CX421" s="19">
        <v>0</v>
      </c>
      <c r="CY421" s="19">
        <v>0</v>
      </c>
      <c r="CZ421" s="19">
        <v>0</v>
      </c>
      <c r="DA421" s="19">
        <v>0</v>
      </c>
      <c r="DB421" s="19">
        <v>0</v>
      </c>
      <c r="DC421" s="19">
        <v>0</v>
      </c>
      <c r="DD421" s="19">
        <v>0</v>
      </c>
      <c r="DE421" s="19">
        <v>0</v>
      </c>
      <c r="DF421" s="19">
        <v>0</v>
      </c>
      <c r="DG421" s="19">
        <v>0</v>
      </c>
      <c r="DH421" s="19">
        <v>0</v>
      </c>
      <c r="DI421" s="19">
        <v>0</v>
      </c>
      <c r="DJ421" s="19">
        <v>0</v>
      </c>
      <c r="DK421" s="19">
        <v>0</v>
      </c>
      <c r="DL421" s="19">
        <v>0</v>
      </c>
      <c r="DM421" s="19">
        <v>0</v>
      </c>
      <c r="DN421" s="19">
        <v>0</v>
      </c>
      <c r="DO421" s="19">
        <v>0</v>
      </c>
      <c r="DP421" s="19">
        <v>0</v>
      </c>
      <c r="DQ421" s="19">
        <v>0</v>
      </c>
      <c r="DR421" s="19">
        <v>0</v>
      </c>
      <c r="DS421" s="19">
        <v>0</v>
      </c>
      <c r="DT421" s="19">
        <v>0</v>
      </c>
      <c r="DU421" s="19">
        <v>0</v>
      </c>
      <c r="DV421" s="19">
        <v>0</v>
      </c>
      <c r="DW421" s="19">
        <v>0</v>
      </c>
      <c r="DX421" s="19">
        <v>0</v>
      </c>
      <c r="DY421" s="19">
        <v>0</v>
      </c>
      <c r="DZ421" s="19">
        <v>0</v>
      </c>
      <c r="EA421" s="19">
        <v>0</v>
      </c>
      <c r="EB421" s="19">
        <v>0</v>
      </c>
      <c r="EC421" s="19">
        <v>0</v>
      </c>
      <c r="ED421" s="19">
        <v>0</v>
      </c>
      <c r="EE421" s="19">
        <v>0</v>
      </c>
      <c r="EF421" s="19">
        <v>0</v>
      </c>
      <c r="EG421" s="19">
        <v>0</v>
      </c>
      <c r="EH421" s="19">
        <v>0</v>
      </c>
      <c r="EI421" s="19">
        <v>0</v>
      </c>
      <c r="EJ421" s="19">
        <v>0</v>
      </c>
      <c r="EK421" s="19">
        <v>0</v>
      </c>
      <c r="EL421" s="19">
        <v>0</v>
      </c>
      <c r="EM421" s="19">
        <v>0</v>
      </c>
      <c r="EN421" s="19">
        <v>0</v>
      </c>
      <c r="EO421" s="19">
        <v>0</v>
      </c>
      <c r="EP421" s="19">
        <v>0</v>
      </c>
      <c r="EQ421" s="19">
        <v>0</v>
      </c>
      <c r="ER421" s="19">
        <v>0</v>
      </c>
      <c r="ES421" s="119">
        <v>0</v>
      </c>
      <c r="ET421" s="119">
        <v>0</v>
      </c>
    </row>
    <row r="422" spans="1:150" ht="16.5" customHeight="1" x14ac:dyDescent="0.35">
      <c r="A422" s="4">
        <v>216</v>
      </c>
      <c r="B422" s="4" t="str">
        <f>LOOKUP(A422,Lookup!$A$1:$A$34,Lookup!$B$1:$B$34)</f>
        <v>BUTCH  WORS/MINCE/PAT</v>
      </c>
      <c r="C422" s="5">
        <v>41066</v>
      </c>
      <c r="D422" s="6" t="s">
        <v>399</v>
      </c>
      <c r="E422" s="18">
        <v>0</v>
      </c>
      <c r="F422" s="18">
        <v>0</v>
      </c>
      <c r="G422" s="18">
        <v>0</v>
      </c>
      <c r="H422" s="18">
        <v>0</v>
      </c>
      <c r="I422" s="19">
        <v>0</v>
      </c>
      <c r="J422" s="19">
        <v>0</v>
      </c>
      <c r="K422" s="19">
        <v>0</v>
      </c>
      <c r="L422" s="19">
        <v>0</v>
      </c>
      <c r="M422" s="19">
        <v>0</v>
      </c>
      <c r="N422" s="19">
        <v>0</v>
      </c>
      <c r="O422" s="19">
        <v>0</v>
      </c>
      <c r="P422" s="19">
        <v>0</v>
      </c>
      <c r="Q422" s="19">
        <v>0</v>
      </c>
      <c r="R422" s="19">
        <v>0</v>
      </c>
      <c r="S422" s="19">
        <v>0</v>
      </c>
      <c r="T422" s="19">
        <v>0</v>
      </c>
      <c r="U422" s="19">
        <v>0</v>
      </c>
      <c r="V422" s="19">
        <v>0</v>
      </c>
      <c r="W422" s="19">
        <v>0</v>
      </c>
      <c r="X422" s="19">
        <v>0</v>
      </c>
      <c r="Y422" s="19">
        <v>0</v>
      </c>
      <c r="Z422" s="19">
        <v>0</v>
      </c>
      <c r="AA422" s="19">
        <v>0</v>
      </c>
      <c r="AB422" s="19">
        <v>0</v>
      </c>
      <c r="AC422" s="19">
        <v>0</v>
      </c>
      <c r="AD422" s="19">
        <v>0</v>
      </c>
      <c r="AE422" s="19">
        <v>0</v>
      </c>
      <c r="AF422" s="19">
        <v>0</v>
      </c>
      <c r="AG422" s="19">
        <v>0</v>
      </c>
      <c r="AH422" s="19">
        <v>0</v>
      </c>
      <c r="AI422" s="19">
        <v>0</v>
      </c>
      <c r="AJ422" s="19">
        <v>0</v>
      </c>
      <c r="AK422" s="19">
        <v>0</v>
      </c>
      <c r="AL422" s="19">
        <v>0</v>
      </c>
      <c r="AM422" s="19">
        <v>0</v>
      </c>
      <c r="AN422" s="19">
        <v>0</v>
      </c>
      <c r="AO422" s="19">
        <v>0</v>
      </c>
      <c r="AP422" s="19">
        <v>0</v>
      </c>
      <c r="AQ422" s="19">
        <v>0</v>
      </c>
      <c r="AR422" s="19">
        <v>0</v>
      </c>
      <c r="AS422" s="19">
        <v>0</v>
      </c>
      <c r="AT422" s="19">
        <v>0</v>
      </c>
      <c r="AU422" s="19">
        <v>0</v>
      </c>
      <c r="AV422" s="19">
        <v>0</v>
      </c>
      <c r="AW422" s="19">
        <v>0</v>
      </c>
      <c r="AX422" s="19">
        <v>0</v>
      </c>
      <c r="AY422" s="19">
        <v>0</v>
      </c>
      <c r="AZ422" s="19">
        <v>0</v>
      </c>
      <c r="BA422" s="19">
        <v>0</v>
      </c>
      <c r="BB422" s="19">
        <v>0</v>
      </c>
      <c r="BC422" s="19">
        <v>0</v>
      </c>
      <c r="BD422" s="19">
        <v>0</v>
      </c>
      <c r="BE422" s="19">
        <v>0</v>
      </c>
      <c r="BF422" s="19">
        <v>0</v>
      </c>
      <c r="BG422" s="19">
        <v>0</v>
      </c>
      <c r="BH422" s="19">
        <v>0</v>
      </c>
      <c r="BI422" s="19">
        <v>0</v>
      </c>
      <c r="BJ422" s="19">
        <v>0</v>
      </c>
      <c r="BK422" s="19">
        <v>0</v>
      </c>
      <c r="BL422" s="19">
        <v>0</v>
      </c>
      <c r="BM422" s="19">
        <v>0</v>
      </c>
      <c r="BN422" s="19">
        <v>0</v>
      </c>
      <c r="BO422" s="19">
        <v>0</v>
      </c>
      <c r="BP422" s="19">
        <v>0</v>
      </c>
      <c r="BQ422" s="19">
        <v>0</v>
      </c>
      <c r="BR422" s="19">
        <v>0</v>
      </c>
      <c r="BS422" s="19">
        <v>0</v>
      </c>
      <c r="BT422" s="19">
        <v>0</v>
      </c>
      <c r="BU422" s="19">
        <v>0</v>
      </c>
      <c r="BV422" s="19">
        <v>0</v>
      </c>
      <c r="BW422" s="19">
        <v>0</v>
      </c>
      <c r="BX422" s="19">
        <v>0</v>
      </c>
      <c r="BY422" s="19">
        <v>0</v>
      </c>
      <c r="BZ422" s="19">
        <v>0</v>
      </c>
      <c r="CA422" s="19">
        <v>0</v>
      </c>
      <c r="CB422" s="19">
        <v>0</v>
      </c>
      <c r="CC422" s="19">
        <v>0</v>
      </c>
      <c r="CD422" s="19">
        <v>0</v>
      </c>
      <c r="CE422" s="19">
        <v>0</v>
      </c>
      <c r="CF422" s="19">
        <v>0</v>
      </c>
      <c r="CG422" s="19">
        <v>0</v>
      </c>
      <c r="CH422" s="19">
        <v>0</v>
      </c>
      <c r="CI422" s="19">
        <v>0</v>
      </c>
      <c r="CJ422" s="19">
        <v>0</v>
      </c>
      <c r="CK422" s="19">
        <v>0</v>
      </c>
      <c r="CL422" s="19">
        <v>0</v>
      </c>
      <c r="CM422" s="19">
        <v>0</v>
      </c>
      <c r="CN422" s="19">
        <v>0</v>
      </c>
      <c r="CO422" s="19">
        <v>0</v>
      </c>
      <c r="CP422" s="19">
        <v>0</v>
      </c>
      <c r="CQ422" s="19">
        <v>0</v>
      </c>
      <c r="CR422" s="19">
        <v>0</v>
      </c>
      <c r="CS422" s="19">
        <v>0</v>
      </c>
      <c r="CT422" s="19">
        <v>0</v>
      </c>
      <c r="CU422" s="19">
        <v>0</v>
      </c>
      <c r="CV422" s="19">
        <v>0</v>
      </c>
      <c r="CW422" s="19">
        <v>0</v>
      </c>
      <c r="CX422" s="19">
        <v>0</v>
      </c>
      <c r="CY422" s="19">
        <v>0</v>
      </c>
      <c r="CZ422" s="19">
        <v>0</v>
      </c>
      <c r="DA422" s="19">
        <v>0</v>
      </c>
      <c r="DB422" s="19">
        <v>0</v>
      </c>
      <c r="DC422" s="19">
        <v>0</v>
      </c>
      <c r="DD422" s="19">
        <v>0</v>
      </c>
      <c r="DE422" s="19">
        <v>0</v>
      </c>
      <c r="DF422" s="19">
        <v>0</v>
      </c>
      <c r="DG422" s="19">
        <v>0</v>
      </c>
      <c r="DH422" s="19">
        <v>0</v>
      </c>
      <c r="DI422" s="19">
        <v>0</v>
      </c>
      <c r="DJ422" s="19">
        <v>0</v>
      </c>
      <c r="DK422" s="19">
        <v>0</v>
      </c>
      <c r="DL422" s="19">
        <v>0</v>
      </c>
      <c r="DM422" s="19">
        <v>0</v>
      </c>
      <c r="DN422" s="19">
        <v>0</v>
      </c>
      <c r="DO422" s="19">
        <v>0</v>
      </c>
      <c r="DP422" s="19">
        <v>0</v>
      </c>
      <c r="DQ422" s="19">
        <v>0</v>
      </c>
      <c r="DR422" s="19">
        <v>0</v>
      </c>
      <c r="DS422" s="19">
        <v>0</v>
      </c>
      <c r="DT422" s="19">
        <v>0</v>
      </c>
      <c r="DU422" s="19">
        <v>0</v>
      </c>
      <c r="DV422" s="19">
        <v>0</v>
      </c>
      <c r="DW422" s="19">
        <v>0</v>
      </c>
      <c r="DX422" s="19">
        <v>0</v>
      </c>
      <c r="DY422" s="19">
        <v>0</v>
      </c>
      <c r="DZ422" s="19">
        <v>0</v>
      </c>
      <c r="EA422" s="19">
        <v>0</v>
      </c>
      <c r="EB422" s="19">
        <v>0</v>
      </c>
      <c r="EC422" s="19">
        <v>0</v>
      </c>
      <c r="ED422" s="19">
        <v>0</v>
      </c>
      <c r="EE422" s="19">
        <v>0</v>
      </c>
      <c r="EF422" s="19">
        <v>0</v>
      </c>
      <c r="EG422" s="19">
        <v>0</v>
      </c>
      <c r="EH422" s="19">
        <v>0</v>
      </c>
      <c r="EI422" s="19">
        <v>0</v>
      </c>
      <c r="EJ422" s="19">
        <v>0</v>
      </c>
      <c r="EK422" s="19">
        <v>0</v>
      </c>
      <c r="EL422" s="19">
        <v>0</v>
      </c>
      <c r="EM422" s="19">
        <v>0</v>
      </c>
      <c r="EN422" s="19">
        <v>0</v>
      </c>
      <c r="EO422" s="19">
        <v>0</v>
      </c>
      <c r="EP422" s="19">
        <v>0</v>
      </c>
      <c r="EQ422" s="19">
        <v>0</v>
      </c>
      <c r="ER422" s="19">
        <v>0</v>
      </c>
      <c r="ES422" s="119">
        <v>0</v>
      </c>
      <c r="ET422" s="119">
        <v>0</v>
      </c>
    </row>
    <row r="423" spans="1:150" ht="16.5" customHeight="1" x14ac:dyDescent="0.35">
      <c r="A423" s="4">
        <v>216</v>
      </c>
      <c r="B423" s="4" t="str">
        <f>LOOKUP(A423,Lookup!$A$1:$A$34,Lookup!$B$1:$B$34)</f>
        <v>BUTCH  WORS/MINCE/PAT</v>
      </c>
      <c r="C423" s="5">
        <v>42959</v>
      </c>
      <c r="D423" s="6" t="s">
        <v>400</v>
      </c>
      <c r="E423" s="18">
        <v>0</v>
      </c>
      <c r="F423" s="18">
        <v>0</v>
      </c>
      <c r="G423" s="18">
        <v>0</v>
      </c>
      <c r="H423" s="18">
        <v>0</v>
      </c>
      <c r="I423" s="19">
        <v>0</v>
      </c>
      <c r="J423" s="19">
        <v>0</v>
      </c>
      <c r="K423" s="19">
        <v>0</v>
      </c>
      <c r="L423" s="19">
        <v>0</v>
      </c>
      <c r="M423" s="19">
        <v>0</v>
      </c>
      <c r="N423" s="19">
        <v>0</v>
      </c>
      <c r="O423" s="19">
        <v>0</v>
      </c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9">
        <v>0</v>
      </c>
      <c r="V423" s="19">
        <v>0</v>
      </c>
      <c r="W423" s="19">
        <v>0</v>
      </c>
      <c r="X423" s="19">
        <v>0</v>
      </c>
      <c r="Y423" s="19">
        <v>0</v>
      </c>
      <c r="Z423" s="19">
        <v>0</v>
      </c>
      <c r="AA423" s="19">
        <v>0</v>
      </c>
      <c r="AB423" s="19">
        <v>0</v>
      </c>
      <c r="AC423" s="19">
        <v>0</v>
      </c>
      <c r="AD423" s="19">
        <v>0</v>
      </c>
      <c r="AE423" s="19">
        <v>0</v>
      </c>
      <c r="AF423" s="19">
        <v>0</v>
      </c>
      <c r="AG423" s="19">
        <v>0</v>
      </c>
      <c r="AH423" s="19">
        <v>0</v>
      </c>
      <c r="AI423" s="19">
        <v>0</v>
      </c>
      <c r="AJ423" s="19">
        <v>0</v>
      </c>
      <c r="AK423" s="19">
        <v>0</v>
      </c>
      <c r="AL423" s="19">
        <v>0</v>
      </c>
      <c r="AM423" s="19">
        <v>0</v>
      </c>
      <c r="AN423" s="19">
        <v>0</v>
      </c>
      <c r="AO423" s="19">
        <v>0</v>
      </c>
      <c r="AP423" s="19">
        <v>0</v>
      </c>
      <c r="AQ423" s="19">
        <v>0</v>
      </c>
      <c r="AR423" s="19">
        <v>0</v>
      </c>
      <c r="AS423" s="19">
        <v>0</v>
      </c>
      <c r="AT423" s="19">
        <v>0</v>
      </c>
      <c r="AU423" s="19">
        <v>0</v>
      </c>
      <c r="AV423" s="19">
        <v>0</v>
      </c>
      <c r="AW423" s="19">
        <v>0</v>
      </c>
      <c r="AX423" s="19">
        <v>0</v>
      </c>
      <c r="AY423" s="19">
        <v>0</v>
      </c>
      <c r="AZ423" s="19">
        <v>0</v>
      </c>
      <c r="BA423" s="19">
        <v>0</v>
      </c>
      <c r="BB423" s="19">
        <v>0</v>
      </c>
      <c r="BC423" s="19">
        <v>0</v>
      </c>
      <c r="BD423" s="19">
        <v>0</v>
      </c>
      <c r="BE423" s="19">
        <v>0</v>
      </c>
      <c r="BF423" s="19">
        <v>0</v>
      </c>
      <c r="BG423" s="19">
        <v>0</v>
      </c>
      <c r="BH423" s="19">
        <v>0</v>
      </c>
      <c r="BI423" s="19">
        <v>0</v>
      </c>
      <c r="BJ423" s="19">
        <v>0</v>
      </c>
      <c r="BK423" s="19">
        <v>0</v>
      </c>
      <c r="BL423" s="19">
        <v>0</v>
      </c>
      <c r="BM423" s="19">
        <v>0</v>
      </c>
      <c r="BN423" s="19">
        <v>0</v>
      </c>
      <c r="BO423" s="19">
        <v>0</v>
      </c>
      <c r="BP423" s="19">
        <v>0</v>
      </c>
      <c r="BQ423" s="19">
        <v>0</v>
      </c>
      <c r="BR423" s="19">
        <v>0</v>
      </c>
      <c r="BS423" s="19">
        <v>0</v>
      </c>
      <c r="BT423" s="19">
        <v>0</v>
      </c>
      <c r="BU423" s="19">
        <v>0</v>
      </c>
      <c r="BV423" s="19">
        <v>0</v>
      </c>
      <c r="BW423" s="19">
        <v>0</v>
      </c>
      <c r="BX423" s="19">
        <v>0</v>
      </c>
      <c r="BY423" s="19">
        <v>0</v>
      </c>
      <c r="BZ423" s="19">
        <v>0</v>
      </c>
      <c r="CA423" s="19">
        <v>0</v>
      </c>
      <c r="CB423" s="19">
        <v>0</v>
      </c>
      <c r="CC423" s="19">
        <v>0</v>
      </c>
      <c r="CD423" s="19">
        <v>0</v>
      </c>
      <c r="CE423" s="19">
        <v>0</v>
      </c>
      <c r="CF423" s="19">
        <v>0</v>
      </c>
      <c r="CG423" s="19">
        <v>0</v>
      </c>
      <c r="CH423" s="19">
        <v>0</v>
      </c>
      <c r="CI423" s="19">
        <v>0</v>
      </c>
      <c r="CJ423" s="19">
        <v>0</v>
      </c>
      <c r="CK423" s="19">
        <v>0</v>
      </c>
      <c r="CL423" s="19">
        <v>0</v>
      </c>
      <c r="CM423" s="19">
        <v>0</v>
      </c>
      <c r="CN423" s="19">
        <v>0</v>
      </c>
      <c r="CO423" s="19">
        <v>0</v>
      </c>
      <c r="CP423" s="19">
        <v>0</v>
      </c>
      <c r="CQ423" s="19">
        <v>0</v>
      </c>
      <c r="CR423" s="19">
        <v>0</v>
      </c>
      <c r="CS423" s="19">
        <v>0</v>
      </c>
      <c r="CT423" s="19">
        <v>0</v>
      </c>
      <c r="CU423" s="19">
        <v>0</v>
      </c>
      <c r="CV423" s="19">
        <v>0</v>
      </c>
      <c r="CW423" s="19">
        <v>0</v>
      </c>
      <c r="CX423" s="19">
        <v>0</v>
      </c>
      <c r="CY423" s="19">
        <v>0</v>
      </c>
      <c r="CZ423" s="19">
        <v>0</v>
      </c>
      <c r="DA423" s="19">
        <v>0</v>
      </c>
      <c r="DB423" s="19">
        <v>0</v>
      </c>
      <c r="DC423" s="19">
        <v>0</v>
      </c>
      <c r="DD423" s="19">
        <v>0</v>
      </c>
      <c r="DE423" s="19">
        <v>0</v>
      </c>
      <c r="DF423" s="19">
        <v>0</v>
      </c>
      <c r="DG423" s="19">
        <v>0</v>
      </c>
      <c r="DH423" s="19">
        <v>0</v>
      </c>
      <c r="DI423" s="19">
        <v>0</v>
      </c>
      <c r="DJ423" s="19">
        <v>0</v>
      </c>
      <c r="DK423" s="19">
        <v>0</v>
      </c>
      <c r="DL423" s="19">
        <v>0</v>
      </c>
      <c r="DM423" s="19">
        <v>0</v>
      </c>
      <c r="DN423" s="19">
        <v>0</v>
      </c>
      <c r="DO423" s="19">
        <v>0</v>
      </c>
      <c r="DP423" s="19">
        <v>0</v>
      </c>
      <c r="DQ423" s="19">
        <v>0</v>
      </c>
      <c r="DR423" s="19">
        <v>0</v>
      </c>
      <c r="DS423" s="19">
        <v>0</v>
      </c>
      <c r="DT423" s="19">
        <v>0</v>
      </c>
      <c r="DU423" s="19">
        <v>0</v>
      </c>
      <c r="DV423" s="19">
        <v>0</v>
      </c>
      <c r="DW423" s="19">
        <v>0</v>
      </c>
      <c r="DX423" s="19">
        <v>0</v>
      </c>
      <c r="DY423" s="19">
        <v>0</v>
      </c>
      <c r="DZ423" s="19">
        <v>0</v>
      </c>
      <c r="EA423" s="19">
        <v>0</v>
      </c>
      <c r="EB423" s="19">
        <v>0</v>
      </c>
      <c r="EC423" s="19">
        <v>0</v>
      </c>
      <c r="ED423" s="19">
        <v>0</v>
      </c>
      <c r="EE423" s="19">
        <v>0</v>
      </c>
      <c r="EF423" s="19">
        <v>0</v>
      </c>
      <c r="EG423" s="19">
        <v>0</v>
      </c>
      <c r="EH423" s="19">
        <v>0</v>
      </c>
      <c r="EI423" s="19">
        <v>0</v>
      </c>
      <c r="EJ423" s="19">
        <v>0</v>
      </c>
      <c r="EK423" s="19">
        <v>0</v>
      </c>
      <c r="EL423" s="19">
        <v>0</v>
      </c>
      <c r="EM423" s="19">
        <v>0</v>
      </c>
      <c r="EN423" s="19">
        <v>0</v>
      </c>
      <c r="EO423" s="19">
        <v>0</v>
      </c>
      <c r="EP423" s="19">
        <v>0</v>
      </c>
      <c r="EQ423" s="19">
        <v>0</v>
      </c>
      <c r="ER423" s="19">
        <v>0</v>
      </c>
      <c r="ES423" s="119">
        <v>0</v>
      </c>
      <c r="ET423" s="119">
        <v>0</v>
      </c>
    </row>
    <row r="424" spans="1:150" ht="16.5" customHeight="1" x14ac:dyDescent="0.35">
      <c r="A424" s="4">
        <v>216</v>
      </c>
      <c r="B424" s="4" t="str">
        <f>LOOKUP(A424,Lookup!$A$1:$A$34,Lookup!$B$1:$B$34)</f>
        <v>BUTCH  WORS/MINCE/PAT</v>
      </c>
      <c r="C424" s="5">
        <v>43246</v>
      </c>
      <c r="D424" s="6" t="s">
        <v>401</v>
      </c>
      <c r="E424" s="18">
        <v>0</v>
      </c>
      <c r="F424" s="18">
        <v>0</v>
      </c>
      <c r="G424" s="18">
        <v>0</v>
      </c>
      <c r="H424" s="18">
        <v>0</v>
      </c>
      <c r="I424" s="19">
        <v>0</v>
      </c>
      <c r="J424" s="19">
        <v>0</v>
      </c>
      <c r="K424" s="19">
        <v>0</v>
      </c>
      <c r="L424" s="19">
        <v>0</v>
      </c>
      <c r="M424" s="19">
        <v>0</v>
      </c>
      <c r="N424" s="19">
        <v>0</v>
      </c>
      <c r="O424" s="19">
        <v>0</v>
      </c>
      <c r="P424" s="19">
        <v>0</v>
      </c>
      <c r="Q424" s="19">
        <v>0</v>
      </c>
      <c r="R424" s="19">
        <v>0</v>
      </c>
      <c r="S424" s="19">
        <v>0</v>
      </c>
      <c r="T424" s="19">
        <v>0</v>
      </c>
      <c r="U424" s="19">
        <v>0</v>
      </c>
      <c r="V424" s="19">
        <v>0</v>
      </c>
      <c r="W424" s="19">
        <v>0</v>
      </c>
      <c r="X424" s="19">
        <v>0</v>
      </c>
      <c r="Y424" s="19">
        <v>0</v>
      </c>
      <c r="Z424" s="19">
        <v>0</v>
      </c>
      <c r="AA424" s="19">
        <v>0</v>
      </c>
      <c r="AB424" s="19">
        <v>0</v>
      </c>
      <c r="AC424" s="19">
        <v>0</v>
      </c>
      <c r="AD424" s="19">
        <v>0</v>
      </c>
      <c r="AE424" s="19">
        <v>0</v>
      </c>
      <c r="AF424" s="19">
        <v>0</v>
      </c>
      <c r="AG424" s="19">
        <v>0</v>
      </c>
      <c r="AH424" s="19">
        <v>0</v>
      </c>
      <c r="AI424" s="19">
        <v>0</v>
      </c>
      <c r="AJ424" s="19">
        <v>0</v>
      </c>
      <c r="AK424" s="19">
        <v>0</v>
      </c>
      <c r="AL424" s="19">
        <v>0</v>
      </c>
      <c r="AM424" s="19">
        <v>0</v>
      </c>
      <c r="AN424" s="19">
        <v>0</v>
      </c>
      <c r="AO424" s="19">
        <v>0</v>
      </c>
      <c r="AP424" s="19">
        <v>0</v>
      </c>
      <c r="AQ424" s="19">
        <v>0</v>
      </c>
      <c r="AR424" s="19">
        <v>0</v>
      </c>
      <c r="AS424" s="19">
        <v>0</v>
      </c>
      <c r="AT424" s="19">
        <v>0</v>
      </c>
      <c r="AU424" s="19">
        <v>0</v>
      </c>
      <c r="AV424" s="19">
        <v>0</v>
      </c>
      <c r="AW424" s="19">
        <v>0</v>
      </c>
      <c r="AX424" s="19">
        <v>0</v>
      </c>
      <c r="AY424" s="19">
        <v>0</v>
      </c>
      <c r="AZ424" s="19">
        <v>0</v>
      </c>
      <c r="BA424" s="19">
        <v>0</v>
      </c>
      <c r="BB424" s="19">
        <v>0</v>
      </c>
      <c r="BC424" s="19">
        <v>0</v>
      </c>
      <c r="BD424" s="19">
        <v>0</v>
      </c>
      <c r="BE424" s="19">
        <v>0</v>
      </c>
      <c r="BF424" s="19">
        <v>0</v>
      </c>
      <c r="BG424" s="19">
        <v>0</v>
      </c>
      <c r="BH424" s="19">
        <v>0</v>
      </c>
      <c r="BI424" s="19">
        <v>0</v>
      </c>
      <c r="BJ424" s="19">
        <v>0</v>
      </c>
      <c r="BK424" s="19">
        <v>0</v>
      </c>
      <c r="BL424" s="19">
        <v>0</v>
      </c>
      <c r="BM424" s="19">
        <v>0</v>
      </c>
      <c r="BN424" s="19">
        <v>0</v>
      </c>
      <c r="BO424" s="19">
        <v>0</v>
      </c>
      <c r="BP424" s="19">
        <v>0</v>
      </c>
      <c r="BQ424" s="19">
        <v>0</v>
      </c>
      <c r="BR424" s="19">
        <v>0</v>
      </c>
      <c r="BS424" s="19">
        <v>0</v>
      </c>
      <c r="BT424" s="19">
        <v>0</v>
      </c>
      <c r="BU424" s="19">
        <v>0</v>
      </c>
      <c r="BV424" s="19">
        <v>0</v>
      </c>
      <c r="BW424" s="19">
        <v>0</v>
      </c>
      <c r="BX424" s="19">
        <v>0</v>
      </c>
      <c r="BY424" s="19">
        <v>0</v>
      </c>
      <c r="BZ424" s="19">
        <v>0</v>
      </c>
      <c r="CA424" s="19">
        <v>0</v>
      </c>
      <c r="CB424" s="19">
        <v>0</v>
      </c>
      <c r="CC424" s="19">
        <v>0</v>
      </c>
      <c r="CD424" s="19">
        <v>0</v>
      </c>
      <c r="CE424" s="19">
        <v>0</v>
      </c>
      <c r="CF424" s="19">
        <v>0</v>
      </c>
      <c r="CG424" s="19">
        <v>0</v>
      </c>
      <c r="CH424" s="19">
        <v>0</v>
      </c>
      <c r="CI424" s="19">
        <v>0</v>
      </c>
      <c r="CJ424" s="19">
        <v>0</v>
      </c>
      <c r="CK424" s="19">
        <v>0</v>
      </c>
      <c r="CL424" s="19">
        <v>0</v>
      </c>
      <c r="CM424" s="19">
        <v>0</v>
      </c>
      <c r="CN424" s="19">
        <v>0</v>
      </c>
      <c r="CO424" s="19">
        <v>0</v>
      </c>
      <c r="CP424" s="19">
        <v>0</v>
      </c>
      <c r="CQ424" s="19">
        <v>0</v>
      </c>
      <c r="CR424" s="19">
        <v>0</v>
      </c>
      <c r="CS424" s="19">
        <v>0</v>
      </c>
      <c r="CT424" s="19">
        <v>0</v>
      </c>
      <c r="CU424" s="19">
        <v>0</v>
      </c>
      <c r="CV424" s="19">
        <v>0</v>
      </c>
      <c r="CW424" s="19">
        <v>0</v>
      </c>
      <c r="CX424" s="19">
        <v>0</v>
      </c>
      <c r="CY424" s="19">
        <v>0</v>
      </c>
      <c r="CZ424" s="19">
        <v>0</v>
      </c>
      <c r="DA424" s="19">
        <v>0</v>
      </c>
      <c r="DB424" s="19">
        <v>0</v>
      </c>
      <c r="DC424" s="19">
        <v>0</v>
      </c>
      <c r="DD424" s="19">
        <v>0</v>
      </c>
      <c r="DE424" s="19">
        <v>0</v>
      </c>
      <c r="DF424" s="19">
        <v>0</v>
      </c>
      <c r="DG424" s="19">
        <v>0</v>
      </c>
      <c r="DH424" s="19">
        <v>0</v>
      </c>
      <c r="DI424" s="19">
        <v>0</v>
      </c>
      <c r="DJ424" s="19">
        <v>0</v>
      </c>
      <c r="DK424" s="19">
        <v>0</v>
      </c>
      <c r="DL424" s="19">
        <v>0</v>
      </c>
      <c r="DM424" s="19">
        <v>0</v>
      </c>
      <c r="DN424" s="19">
        <v>0</v>
      </c>
      <c r="DO424" s="19">
        <v>0</v>
      </c>
      <c r="DP424" s="19">
        <v>0</v>
      </c>
      <c r="DQ424" s="19">
        <v>0</v>
      </c>
      <c r="DR424" s="19">
        <v>0</v>
      </c>
      <c r="DS424" s="19">
        <v>0</v>
      </c>
      <c r="DT424" s="19">
        <v>0</v>
      </c>
      <c r="DU424" s="19">
        <v>0</v>
      </c>
      <c r="DV424" s="19">
        <v>0</v>
      </c>
      <c r="DW424" s="19">
        <v>0</v>
      </c>
      <c r="DX424" s="19">
        <v>0</v>
      </c>
      <c r="DY424" s="19">
        <v>0</v>
      </c>
      <c r="DZ424" s="19">
        <v>0</v>
      </c>
      <c r="EA424" s="19">
        <v>0</v>
      </c>
      <c r="EB424" s="19">
        <v>0</v>
      </c>
      <c r="EC424" s="19">
        <v>0</v>
      </c>
      <c r="ED424" s="19">
        <v>0</v>
      </c>
      <c r="EE424" s="19">
        <v>0</v>
      </c>
      <c r="EF424" s="19">
        <v>0</v>
      </c>
      <c r="EG424" s="19">
        <v>0</v>
      </c>
      <c r="EH424" s="19">
        <v>0</v>
      </c>
      <c r="EI424" s="19">
        <v>0</v>
      </c>
      <c r="EJ424" s="19">
        <v>0</v>
      </c>
      <c r="EK424" s="19">
        <v>0</v>
      </c>
      <c r="EL424" s="19">
        <v>0</v>
      </c>
      <c r="EM424" s="19">
        <v>0</v>
      </c>
      <c r="EN424" s="19">
        <v>0</v>
      </c>
      <c r="EO424" s="19">
        <v>0</v>
      </c>
      <c r="EP424" s="19">
        <v>0</v>
      </c>
      <c r="EQ424" s="19">
        <v>0</v>
      </c>
      <c r="ER424" s="19">
        <v>0</v>
      </c>
      <c r="ES424" s="119">
        <v>0</v>
      </c>
      <c r="ET424" s="119">
        <v>0</v>
      </c>
    </row>
    <row r="425" spans="1:150" ht="16.5" customHeight="1" x14ac:dyDescent="0.35">
      <c r="A425" s="4">
        <v>216</v>
      </c>
      <c r="B425" s="4" t="str">
        <f>LOOKUP(A425,Lookup!$A$1:$A$34,Lookup!$B$1:$B$34)</f>
        <v>BUTCH  WORS/MINCE/PAT</v>
      </c>
      <c r="C425" s="5">
        <v>43331</v>
      </c>
      <c r="D425" s="6" t="s">
        <v>402</v>
      </c>
      <c r="E425" s="18">
        <v>0</v>
      </c>
      <c r="F425" s="18">
        <v>0</v>
      </c>
      <c r="G425" s="18">
        <v>0</v>
      </c>
      <c r="H425" s="18">
        <v>0</v>
      </c>
      <c r="I425" s="19">
        <v>0</v>
      </c>
      <c r="J425" s="19">
        <v>0</v>
      </c>
      <c r="K425" s="19">
        <v>0</v>
      </c>
      <c r="L425" s="19">
        <v>0</v>
      </c>
      <c r="M425" s="19">
        <v>0</v>
      </c>
      <c r="N425" s="19">
        <v>0</v>
      </c>
      <c r="O425" s="19">
        <v>0</v>
      </c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0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19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0</v>
      </c>
      <c r="AV425" s="19">
        <v>0</v>
      </c>
      <c r="AW425" s="19">
        <v>0</v>
      </c>
      <c r="AX425" s="19">
        <v>0</v>
      </c>
      <c r="AY425" s="19">
        <v>0</v>
      </c>
      <c r="AZ425" s="19">
        <v>0</v>
      </c>
      <c r="BA425" s="19">
        <v>0</v>
      </c>
      <c r="BB425" s="19">
        <v>0</v>
      </c>
      <c r="BC425" s="19">
        <v>0</v>
      </c>
      <c r="BD425" s="19">
        <v>0</v>
      </c>
      <c r="BE425" s="19">
        <v>0</v>
      </c>
      <c r="BF425" s="19">
        <v>0</v>
      </c>
      <c r="BG425" s="19">
        <v>0</v>
      </c>
      <c r="BH425" s="19">
        <v>0</v>
      </c>
      <c r="BI425" s="19">
        <v>0</v>
      </c>
      <c r="BJ425" s="19">
        <v>0</v>
      </c>
      <c r="BK425" s="19">
        <v>0</v>
      </c>
      <c r="BL425" s="19">
        <v>0</v>
      </c>
      <c r="BM425" s="19">
        <v>0</v>
      </c>
      <c r="BN425" s="19">
        <v>0</v>
      </c>
      <c r="BO425" s="19">
        <v>0</v>
      </c>
      <c r="BP425" s="19">
        <v>0</v>
      </c>
      <c r="BQ425" s="19">
        <v>0</v>
      </c>
      <c r="BR425" s="19">
        <v>0</v>
      </c>
      <c r="BS425" s="19">
        <v>0</v>
      </c>
      <c r="BT425" s="19">
        <v>0</v>
      </c>
      <c r="BU425" s="19">
        <v>0</v>
      </c>
      <c r="BV425" s="19">
        <v>0</v>
      </c>
      <c r="BW425" s="19">
        <v>0</v>
      </c>
      <c r="BX425" s="19">
        <v>0</v>
      </c>
      <c r="BY425" s="19">
        <v>0</v>
      </c>
      <c r="BZ425" s="19">
        <v>0</v>
      </c>
      <c r="CA425" s="19">
        <v>0</v>
      </c>
      <c r="CB425" s="19">
        <v>0</v>
      </c>
      <c r="CC425" s="19">
        <v>0</v>
      </c>
      <c r="CD425" s="19">
        <v>0</v>
      </c>
      <c r="CE425" s="19">
        <v>0</v>
      </c>
      <c r="CF425" s="19">
        <v>0</v>
      </c>
      <c r="CG425" s="19">
        <v>0</v>
      </c>
      <c r="CH425" s="19">
        <v>0</v>
      </c>
      <c r="CI425" s="19">
        <v>0</v>
      </c>
      <c r="CJ425" s="19">
        <v>0</v>
      </c>
      <c r="CK425" s="19">
        <v>0</v>
      </c>
      <c r="CL425" s="19">
        <v>0</v>
      </c>
      <c r="CM425" s="19">
        <v>0</v>
      </c>
      <c r="CN425" s="19">
        <v>0</v>
      </c>
      <c r="CO425" s="19">
        <v>0</v>
      </c>
      <c r="CP425" s="19">
        <v>0</v>
      </c>
      <c r="CQ425" s="19">
        <v>0</v>
      </c>
      <c r="CR425" s="19">
        <v>0</v>
      </c>
      <c r="CS425" s="19">
        <v>0</v>
      </c>
      <c r="CT425" s="19">
        <v>0</v>
      </c>
      <c r="CU425" s="19">
        <v>0</v>
      </c>
      <c r="CV425" s="19">
        <v>0</v>
      </c>
      <c r="CW425" s="19">
        <v>0</v>
      </c>
      <c r="CX425" s="19">
        <v>0</v>
      </c>
      <c r="CY425" s="19">
        <v>0</v>
      </c>
      <c r="CZ425" s="19">
        <v>0</v>
      </c>
      <c r="DA425" s="19">
        <v>0</v>
      </c>
      <c r="DB425" s="19">
        <v>0</v>
      </c>
      <c r="DC425" s="19">
        <v>0</v>
      </c>
      <c r="DD425" s="19">
        <v>0</v>
      </c>
      <c r="DE425" s="19">
        <v>0</v>
      </c>
      <c r="DF425" s="19">
        <v>0</v>
      </c>
      <c r="DG425" s="19">
        <v>0</v>
      </c>
      <c r="DH425" s="19">
        <v>0</v>
      </c>
      <c r="DI425" s="19">
        <v>0</v>
      </c>
      <c r="DJ425" s="19">
        <v>0</v>
      </c>
      <c r="DK425" s="19">
        <v>0</v>
      </c>
      <c r="DL425" s="19">
        <v>0</v>
      </c>
      <c r="DM425" s="19">
        <v>0</v>
      </c>
      <c r="DN425" s="19">
        <v>0</v>
      </c>
      <c r="DO425" s="19">
        <v>0</v>
      </c>
      <c r="DP425" s="19">
        <v>0</v>
      </c>
      <c r="DQ425" s="19">
        <v>0</v>
      </c>
      <c r="DR425" s="19">
        <v>0</v>
      </c>
      <c r="DS425" s="19">
        <v>0</v>
      </c>
      <c r="DT425" s="19">
        <v>0</v>
      </c>
      <c r="DU425" s="19">
        <v>0</v>
      </c>
      <c r="DV425" s="19">
        <v>0</v>
      </c>
      <c r="DW425" s="19">
        <v>0</v>
      </c>
      <c r="DX425" s="19">
        <v>0</v>
      </c>
      <c r="DY425" s="19">
        <v>0</v>
      </c>
      <c r="DZ425" s="19">
        <v>0</v>
      </c>
      <c r="EA425" s="19">
        <v>0</v>
      </c>
      <c r="EB425" s="19">
        <v>0</v>
      </c>
      <c r="EC425" s="19">
        <v>0</v>
      </c>
      <c r="ED425" s="19">
        <v>0</v>
      </c>
      <c r="EE425" s="19">
        <v>0</v>
      </c>
      <c r="EF425" s="19">
        <v>0</v>
      </c>
      <c r="EG425" s="19">
        <v>0</v>
      </c>
      <c r="EH425" s="19">
        <v>0</v>
      </c>
      <c r="EI425" s="19">
        <v>0</v>
      </c>
      <c r="EJ425" s="19">
        <v>0</v>
      </c>
      <c r="EK425" s="19">
        <v>0</v>
      </c>
      <c r="EL425" s="19">
        <v>0</v>
      </c>
      <c r="EM425" s="19">
        <v>0</v>
      </c>
      <c r="EN425" s="19">
        <v>0</v>
      </c>
      <c r="EO425" s="19">
        <v>0</v>
      </c>
      <c r="EP425" s="19">
        <v>0</v>
      </c>
      <c r="EQ425" s="19">
        <v>0</v>
      </c>
      <c r="ER425" s="19">
        <v>0</v>
      </c>
      <c r="ES425" s="119">
        <v>0</v>
      </c>
      <c r="ET425" s="119">
        <v>0</v>
      </c>
    </row>
    <row r="426" spans="1:150" ht="16.5" customHeight="1" x14ac:dyDescent="0.35">
      <c r="A426" s="4">
        <v>216</v>
      </c>
      <c r="B426" s="4" t="str">
        <f>LOOKUP(A426,Lookup!$A$1:$A$34,Lookup!$B$1:$B$34)</f>
        <v>BUTCH  WORS/MINCE/PAT</v>
      </c>
      <c r="C426" s="5">
        <v>44007</v>
      </c>
      <c r="D426" s="6" t="s">
        <v>403</v>
      </c>
      <c r="E426" s="18">
        <v>0</v>
      </c>
      <c r="F426" s="18">
        <v>0</v>
      </c>
      <c r="G426" s="18">
        <v>0</v>
      </c>
      <c r="H426" s="18">
        <v>0</v>
      </c>
      <c r="I426" s="19">
        <v>0</v>
      </c>
      <c r="J426" s="19">
        <v>0</v>
      </c>
      <c r="K426" s="19">
        <v>0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>
        <v>0</v>
      </c>
      <c r="AC426" s="19">
        <v>0</v>
      </c>
      <c r="AD426" s="19">
        <v>0</v>
      </c>
      <c r="AE426" s="19">
        <v>0</v>
      </c>
      <c r="AF426" s="19">
        <v>0</v>
      </c>
      <c r="AG426" s="19">
        <v>0</v>
      </c>
      <c r="AH426" s="19">
        <v>0</v>
      </c>
      <c r="AI426" s="19">
        <v>0</v>
      </c>
      <c r="AJ426" s="19">
        <v>0</v>
      </c>
      <c r="AK426" s="19">
        <v>0</v>
      </c>
      <c r="AL426" s="19">
        <v>0</v>
      </c>
      <c r="AM426" s="19">
        <v>0</v>
      </c>
      <c r="AN426" s="19">
        <v>0</v>
      </c>
      <c r="AO426" s="19">
        <v>0</v>
      </c>
      <c r="AP426" s="19">
        <v>0</v>
      </c>
      <c r="AQ426" s="19">
        <v>0</v>
      </c>
      <c r="AR426" s="19">
        <v>0</v>
      </c>
      <c r="AS426" s="19">
        <v>0</v>
      </c>
      <c r="AT426" s="19">
        <v>0</v>
      </c>
      <c r="AU426" s="19">
        <v>0</v>
      </c>
      <c r="AV426" s="19">
        <v>0</v>
      </c>
      <c r="AW426" s="19">
        <v>0</v>
      </c>
      <c r="AX426" s="19">
        <v>0</v>
      </c>
      <c r="AY426" s="19">
        <v>0</v>
      </c>
      <c r="AZ426" s="19">
        <v>0</v>
      </c>
      <c r="BA426" s="19">
        <v>0</v>
      </c>
      <c r="BB426" s="19">
        <v>0</v>
      </c>
      <c r="BC426" s="19">
        <v>0</v>
      </c>
      <c r="BD426" s="19">
        <v>0</v>
      </c>
      <c r="BE426" s="19">
        <v>0</v>
      </c>
      <c r="BF426" s="19">
        <v>0</v>
      </c>
      <c r="BG426" s="19">
        <v>0</v>
      </c>
      <c r="BH426" s="19">
        <v>0</v>
      </c>
      <c r="BI426" s="19">
        <v>0</v>
      </c>
      <c r="BJ426" s="19">
        <v>0</v>
      </c>
      <c r="BK426" s="19">
        <v>0</v>
      </c>
      <c r="BL426" s="19">
        <v>0</v>
      </c>
      <c r="BM426" s="19">
        <v>0</v>
      </c>
      <c r="BN426" s="19">
        <v>0</v>
      </c>
      <c r="BO426" s="19">
        <v>0</v>
      </c>
      <c r="BP426" s="19">
        <v>0</v>
      </c>
      <c r="BQ426" s="19">
        <v>0</v>
      </c>
      <c r="BR426" s="19">
        <v>0</v>
      </c>
      <c r="BS426" s="19">
        <v>0</v>
      </c>
      <c r="BT426" s="19">
        <v>0</v>
      </c>
      <c r="BU426" s="19">
        <v>0</v>
      </c>
      <c r="BV426" s="19">
        <v>0</v>
      </c>
      <c r="BW426" s="19">
        <v>0</v>
      </c>
      <c r="BX426" s="19">
        <v>0</v>
      </c>
      <c r="BY426" s="19">
        <v>0</v>
      </c>
      <c r="BZ426" s="19">
        <v>0</v>
      </c>
      <c r="CA426" s="19">
        <v>0</v>
      </c>
      <c r="CB426" s="19">
        <v>0</v>
      </c>
      <c r="CC426" s="19">
        <v>0</v>
      </c>
      <c r="CD426" s="19">
        <v>0</v>
      </c>
      <c r="CE426" s="19">
        <v>0</v>
      </c>
      <c r="CF426" s="19">
        <v>0</v>
      </c>
      <c r="CG426" s="19">
        <v>0</v>
      </c>
      <c r="CH426" s="19">
        <v>0</v>
      </c>
      <c r="CI426" s="19">
        <v>0</v>
      </c>
      <c r="CJ426" s="19">
        <v>0</v>
      </c>
      <c r="CK426" s="19">
        <v>0</v>
      </c>
      <c r="CL426" s="19">
        <v>0</v>
      </c>
      <c r="CM426" s="19">
        <v>0</v>
      </c>
      <c r="CN426" s="19">
        <v>0</v>
      </c>
      <c r="CO426" s="19">
        <v>0</v>
      </c>
      <c r="CP426" s="19">
        <v>0</v>
      </c>
      <c r="CQ426" s="19">
        <v>0</v>
      </c>
      <c r="CR426" s="19">
        <v>0</v>
      </c>
      <c r="CS426" s="19">
        <v>0</v>
      </c>
      <c r="CT426" s="19">
        <v>0</v>
      </c>
      <c r="CU426" s="19">
        <v>0</v>
      </c>
      <c r="CV426" s="19">
        <v>0</v>
      </c>
      <c r="CW426" s="19">
        <v>0</v>
      </c>
      <c r="CX426" s="19">
        <v>0</v>
      </c>
      <c r="CY426" s="19">
        <v>0</v>
      </c>
      <c r="CZ426" s="19">
        <v>0</v>
      </c>
      <c r="DA426" s="19">
        <v>0</v>
      </c>
      <c r="DB426" s="19">
        <v>0</v>
      </c>
      <c r="DC426" s="19">
        <v>0</v>
      </c>
      <c r="DD426" s="19">
        <v>0</v>
      </c>
      <c r="DE426" s="19">
        <v>0</v>
      </c>
      <c r="DF426" s="19">
        <v>0</v>
      </c>
      <c r="DG426" s="19">
        <v>0</v>
      </c>
      <c r="DH426" s="19">
        <v>0</v>
      </c>
      <c r="DI426" s="19">
        <v>0</v>
      </c>
      <c r="DJ426" s="19">
        <v>0</v>
      </c>
      <c r="DK426" s="19">
        <v>0</v>
      </c>
      <c r="DL426" s="19">
        <v>0</v>
      </c>
      <c r="DM426" s="19">
        <v>0</v>
      </c>
      <c r="DN426" s="19">
        <v>0</v>
      </c>
      <c r="DO426" s="19">
        <v>0</v>
      </c>
      <c r="DP426" s="19">
        <v>0</v>
      </c>
      <c r="DQ426" s="19">
        <v>0</v>
      </c>
      <c r="DR426" s="19">
        <v>0</v>
      </c>
      <c r="DS426" s="19">
        <v>0</v>
      </c>
      <c r="DT426" s="19">
        <v>0</v>
      </c>
      <c r="DU426" s="19">
        <v>0</v>
      </c>
      <c r="DV426" s="19">
        <v>0</v>
      </c>
      <c r="DW426" s="19">
        <v>0</v>
      </c>
      <c r="DX426" s="19">
        <v>0</v>
      </c>
      <c r="DY426" s="19">
        <v>0</v>
      </c>
      <c r="DZ426" s="19">
        <v>0</v>
      </c>
      <c r="EA426" s="19">
        <v>0</v>
      </c>
      <c r="EB426" s="19">
        <v>0</v>
      </c>
      <c r="EC426" s="19">
        <v>0</v>
      </c>
      <c r="ED426" s="19">
        <v>0</v>
      </c>
      <c r="EE426" s="19">
        <v>0</v>
      </c>
      <c r="EF426" s="19">
        <v>0</v>
      </c>
      <c r="EG426" s="19">
        <v>0</v>
      </c>
      <c r="EH426" s="19">
        <v>0</v>
      </c>
      <c r="EI426" s="19">
        <v>0</v>
      </c>
      <c r="EJ426" s="19">
        <v>0</v>
      </c>
      <c r="EK426" s="19">
        <v>0</v>
      </c>
      <c r="EL426" s="19">
        <v>0</v>
      </c>
      <c r="EM426" s="19">
        <v>0</v>
      </c>
      <c r="EN426" s="19">
        <v>0</v>
      </c>
      <c r="EO426" s="19">
        <v>0</v>
      </c>
      <c r="EP426" s="19">
        <v>0</v>
      </c>
      <c r="EQ426" s="19">
        <v>0</v>
      </c>
      <c r="ER426" s="19">
        <v>0</v>
      </c>
      <c r="ES426" s="119">
        <v>0</v>
      </c>
      <c r="ET426" s="119">
        <v>0</v>
      </c>
    </row>
    <row r="427" spans="1:150" ht="16.5" customHeight="1" x14ac:dyDescent="0.35">
      <c r="A427" s="4">
        <v>216</v>
      </c>
      <c r="B427" s="4" t="str">
        <f>LOOKUP(A427,Lookup!$A$1:$A$34,Lookup!$B$1:$B$34)</f>
        <v>BUTCH  WORS/MINCE/PAT</v>
      </c>
      <c r="C427" s="5">
        <v>44450</v>
      </c>
      <c r="D427" s="6" t="s">
        <v>404</v>
      </c>
      <c r="E427" s="18">
        <v>1522.08193508879</v>
      </c>
      <c r="F427" s="18">
        <v>24.765999999999998</v>
      </c>
      <c r="G427" s="18">
        <v>108067.81739130399</v>
      </c>
      <c r="H427" s="18">
        <v>1758.404</v>
      </c>
      <c r="I427" s="19">
        <v>1601.6782608695701</v>
      </c>
      <c r="J427" s="19">
        <v>30.704999999999998</v>
      </c>
      <c r="K427" s="19">
        <v>1412.1217391304299</v>
      </c>
      <c r="L427" s="19">
        <v>27.071000000000002</v>
      </c>
      <c r="M427" s="19">
        <v>1589.3565217391299</v>
      </c>
      <c r="N427" s="19">
        <v>30.469000000000001</v>
      </c>
      <c r="O427" s="19">
        <v>1576.8434782608699</v>
      </c>
      <c r="P427" s="19">
        <v>30.228999999999999</v>
      </c>
      <c r="Q427" s="19">
        <v>1786.46956521739</v>
      </c>
      <c r="R427" s="19">
        <v>34.247999999999998</v>
      </c>
      <c r="S427" s="19">
        <v>1718.5652173912999</v>
      </c>
      <c r="T427" s="19">
        <v>32.945999999999998</v>
      </c>
      <c r="U427" s="19">
        <v>1285.5999999999999</v>
      </c>
      <c r="V427" s="19">
        <v>24.645</v>
      </c>
      <c r="W427" s="19">
        <v>2736.8521739130401</v>
      </c>
      <c r="X427" s="19">
        <v>52.465000000000003</v>
      </c>
      <c r="Y427" s="19">
        <v>2539.6260869565199</v>
      </c>
      <c r="Z427" s="19">
        <v>48.686</v>
      </c>
      <c r="AA427" s="19">
        <v>326.64347826086998</v>
      </c>
      <c r="AB427" s="19">
        <v>6.2619999999999996</v>
      </c>
      <c r="AC427" s="19">
        <v>2127.2173913043498</v>
      </c>
      <c r="AD427" s="19">
        <v>40.779000000000003</v>
      </c>
      <c r="AE427" s="19">
        <v>1575.69565217391</v>
      </c>
      <c r="AF427" s="19">
        <v>30.207000000000001</v>
      </c>
      <c r="AG427" s="19">
        <v>1192</v>
      </c>
      <c r="AH427" s="19">
        <v>22.850999999999999</v>
      </c>
      <c r="AI427" s="19">
        <v>1820.02608695652</v>
      </c>
      <c r="AJ427" s="19">
        <v>34.89</v>
      </c>
      <c r="AK427" s="19">
        <v>836.78260869565202</v>
      </c>
      <c r="AL427" s="19">
        <v>16.041</v>
      </c>
      <c r="AM427" s="19">
        <v>1518.1217391304299</v>
      </c>
      <c r="AN427" s="19">
        <v>29.102</v>
      </c>
      <c r="AO427" s="19">
        <v>1189.30434782609</v>
      </c>
      <c r="AP427" s="19">
        <v>22.798999999999999</v>
      </c>
      <c r="AQ427" s="19">
        <v>1905.1913043478301</v>
      </c>
      <c r="AR427" s="19">
        <v>36.524000000000001</v>
      </c>
      <c r="AS427" s="19">
        <v>767.2</v>
      </c>
      <c r="AT427" s="19">
        <v>14.708</v>
      </c>
      <c r="AU427" s="19">
        <v>1371.6695652173901</v>
      </c>
      <c r="AV427" s="19">
        <v>26.295000000000002</v>
      </c>
      <c r="AW427" s="19">
        <v>1709.49565217391</v>
      </c>
      <c r="AX427" s="19">
        <v>32.771999999999998</v>
      </c>
      <c r="AY427" s="19">
        <v>2268.51304347826</v>
      </c>
      <c r="AZ427" s="19">
        <v>43.488</v>
      </c>
      <c r="BA427" s="19">
        <v>1102.50434782609</v>
      </c>
      <c r="BB427" s="19">
        <v>21.135999999999999</v>
      </c>
      <c r="BC427" s="19">
        <v>1280.3652173912999</v>
      </c>
      <c r="BD427" s="19">
        <v>24.545000000000002</v>
      </c>
      <c r="BE427" s="19">
        <v>1831.28695652174</v>
      </c>
      <c r="BF427" s="19">
        <v>33.643000000000001</v>
      </c>
      <c r="BG427" s="19">
        <v>2341.00869565217</v>
      </c>
      <c r="BH427" s="19">
        <v>38.466000000000001</v>
      </c>
      <c r="BI427" s="19">
        <v>2170.46086956522</v>
      </c>
      <c r="BJ427" s="19">
        <v>35.664000000000001</v>
      </c>
      <c r="BK427" s="19">
        <v>839.58260869565197</v>
      </c>
      <c r="BL427" s="19">
        <v>13.795</v>
      </c>
      <c r="BM427" s="19">
        <v>1435.51304347826</v>
      </c>
      <c r="BN427" s="19">
        <v>23.587</v>
      </c>
      <c r="BO427" s="19">
        <v>1778.52173913043</v>
      </c>
      <c r="BP427" s="19">
        <v>29.224</v>
      </c>
      <c r="BQ427" s="19">
        <v>930.35652173913104</v>
      </c>
      <c r="BR427" s="19">
        <v>15.286</v>
      </c>
      <c r="BS427" s="19">
        <v>1546.5826086956499</v>
      </c>
      <c r="BT427" s="19">
        <v>25.411000000000001</v>
      </c>
      <c r="BU427" s="19">
        <v>1631.53043478261</v>
      </c>
      <c r="BV427" s="19">
        <v>26.806999999999999</v>
      </c>
      <c r="BW427" s="19">
        <v>1298.04347826087</v>
      </c>
      <c r="BX427" s="19">
        <v>21.327999999999999</v>
      </c>
      <c r="BY427" s="19">
        <v>1463.70434782609</v>
      </c>
      <c r="BZ427" s="19">
        <v>24.050999999999998</v>
      </c>
      <c r="CA427" s="19">
        <v>0</v>
      </c>
      <c r="CB427" s="19">
        <v>0</v>
      </c>
      <c r="CC427" s="19">
        <v>1512.29565217391</v>
      </c>
      <c r="CD427" s="19">
        <v>24.849</v>
      </c>
      <c r="CE427" s="19">
        <v>918.67826086956495</v>
      </c>
      <c r="CF427" s="19">
        <v>15.095000000000001</v>
      </c>
      <c r="CG427" s="19">
        <v>1698.1043478260899</v>
      </c>
      <c r="CH427" s="19">
        <v>27.902000000000001</v>
      </c>
      <c r="CI427" s="19">
        <v>2001.3391304347799</v>
      </c>
      <c r="CJ427" s="19">
        <v>32.884999999999998</v>
      </c>
      <c r="CK427" s="19">
        <v>1327.6695652173901</v>
      </c>
      <c r="CL427" s="19">
        <v>21.815000000000001</v>
      </c>
      <c r="CM427" s="19">
        <v>1405.0869565217399</v>
      </c>
      <c r="CN427" s="19">
        <v>23.088000000000001</v>
      </c>
      <c r="CO427" s="19">
        <v>2588.8869565217401</v>
      </c>
      <c r="CP427" s="19">
        <v>42.537999999999997</v>
      </c>
      <c r="CQ427" s="19">
        <v>1839.50434782609</v>
      </c>
      <c r="CR427" s="19">
        <v>30.225999999999999</v>
      </c>
      <c r="CS427" s="19">
        <v>2125.6</v>
      </c>
      <c r="CT427" s="19">
        <v>34.926000000000002</v>
      </c>
      <c r="CU427" s="19">
        <v>1476.8434782608699</v>
      </c>
      <c r="CV427" s="19">
        <v>24.265999999999998</v>
      </c>
      <c r="CW427" s="19">
        <v>1609.77391304348</v>
      </c>
      <c r="CX427" s="19">
        <v>26.45</v>
      </c>
      <c r="CY427" s="19">
        <v>0</v>
      </c>
      <c r="CZ427" s="19">
        <v>0</v>
      </c>
      <c r="DA427" s="19">
        <v>2277.6260869565199</v>
      </c>
      <c r="DB427" s="19">
        <v>37.423999999999999</v>
      </c>
      <c r="DC427" s="19">
        <v>2310.5739130434799</v>
      </c>
      <c r="DD427" s="19">
        <v>33.512</v>
      </c>
      <c r="DE427" s="19">
        <v>3126.7652173913002</v>
      </c>
      <c r="DF427" s="19">
        <v>38.929000000000002</v>
      </c>
      <c r="DG427" s="19">
        <v>2545.3652173913001</v>
      </c>
      <c r="DH427" s="19">
        <v>31.14</v>
      </c>
      <c r="DI427" s="19">
        <v>2368.6521739130399</v>
      </c>
      <c r="DJ427" s="19">
        <v>28.978000000000002</v>
      </c>
      <c r="DK427" s="19">
        <v>1514.1391304347801</v>
      </c>
      <c r="DL427" s="19">
        <v>18.524000000000001</v>
      </c>
      <c r="DM427" s="19">
        <v>1389.4086956521701</v>
      </c>
      <c r="DN427" s="19">
        <v>16.998000000000001</v>
      </c>
      <c r="DO427" s="19">
        <v>1552.4173913043501</v>
      </c>
      <c r="DP427" s="19">
        <v>19.808</v>
      </c>
      <c r="DQ427" s="19">
        <v>1841.29565217391</v>
      </c>
      <c r="DR427" s="19">
        <v>23.53</v>
      </c>
      <c r="DS427" s="19">
        <v>794.66956521739098</v>
      </c>
      <c r="DT427" s="19">
        <v>10.156000000000001</v>
      </c>
      <c r="DU427" s="19">
        <v>1385.9043478260901</v>
      </c>
      <c r="DV427" s="19">
        <v>17.712</v>
      </c>
      <c r="DW427" s="19">
        <v>1023.15652173913</v>
      </c>
      <c r="DX427" s="19">
        <v>13.076000000000001</v>
      </c>
      <c r="DY427" s="19">
        <v>2052.7304347826098</v>
      </c>
      <c r="DZ427" s="19">
        <v>26.233000000000001</v>
      </c>
      <c r="EA427" s="19">
        <v>1226.1391304347801</v>
      </c>
      <c r="EB427" s="19">
        <v>15.67</v>
      </c>
      <c r="EC427" s="19">
        <v>1195.9304347826101</v>
      </c>
      <c r="ED427" s="19">
        <v>15.284000000000001</v>
      </c>
      <c r="EE427" s="19">
        <v>1022.99130434783</v>
      </c>
      <c r="EF427" s="19">
        <v>13.074</v>
      </c>
      <c r="EG427" s="19">
        <v>1076.04347826087</v>
      </c>
      <c r="EH427" s="19">
        <v>13.752000000000001</v>
      </c>
      <c r="EI427" s="19">
        <v>1684.1739130434801</v>
      </c>
      <c r="EJ427" s="19">
        <v>21.524000000000001</v>
      </c>
      <c r="EK427" s="19">
        <v>1909.4173913043501</v>
      </c>
      <c r="EL427" s="19">
        <v>24.402000000000001</v>
      </c>
      <c r="EM427" s="19">
        <v>817.86086956521694</v>
      </c>
      <c r="EN427" s="19">
        <v>10.218999999999999</v>
      </c>
      <c r="EO427" s="19">
        <v>0</v>
      </c>
      <c r="EP427" s="19">
        <v>0</v>
      </c>
      <c r="EQ427" s="19">
        <v>1275.5913043478299</v>
      </c>
      <c r="ER427" s="19">
        <v>15.282</v>
      </c>
      <c r="ES427" s="119">
        <v>876.08695652173901</v>
      </c>
      <c r="ET427" s="119">
        <v>10.496</v>
      </c>
    </row>
    <row r="428" spans="1:150" ht="16.5" customHeight="1" x14ac:dyDescent="0.35">
      <c r="A428" s="4">
        <v>216</v>
      </c>
      <c r="B428" s="4" t="str">
        <f>LOOKUP(A428,Lookup!$A$1:$A$34,Lookup!$B$1:$B$34)</f>
        <v>BUTCH  WORS/MINCE/PAT</v>
      </c>
      <c r="C428" s="5">
        <v>44670</v>
      </c>
      <c r="D428" s="6" t="s">
        <v>405</v>
      </c>
      <c r="E428" s="18">
        <v>159.857930189835</v>
      </c>
      <c r="F428" s="18">
        <v>3.323</v>
      </c>
      <c r="G428" s="18">
        <v>11349.9130434783</v>
      </c>
      <c r="H428" s="18">
        <v>235.91</v>
      </c>
      <c r="I428" s="19">
        <v>645.27826086956497</v>
      </c>
      <c r="J428" s="19">
        <v>13.494999999999999</v>
      </c>
      <c r="K428" s="19">
        <v>1246.29565217391</v>
      </c>
      <c r="L428" s="19">
        <v>26.064</v>
      </c>
      <c r="M428" s="19">
        <v>669.10434782608695</v>
      </c>
      <c r="N428" s="19">
        <v>13.994</v>
      </c>
      <c r="O428" s="19">
        <v>1553.95652173913</v>
      </c>
      <c r="P428" s="19">
        <v>32.497999999999998</v>
      </c>
      <c r="Q428" s="19">
        <v>330.4</v>
      </c>
      <c r="R428" s="19">
        <v>6.91</v>
      </c>
      <c r="S428" s="19">
        <v>31.2695652173913</v>
      </c>
      <c r="T428" s="19">
        <v>0.65400000000000003</v>
      </c>
      <c r="U428" s="19">
        <v>405.46086956521702</v>
      </c>
      <c r="V428" s="19">
        <v>8.48</v>
      </c>
      <c r="W428" s="19">
        <v>645.90434782608702</v>
      </c>
      <c r="X428" s="19">
        <v>13.507999999999999</v>
      </c>
      <c r="Y428" s="19">
        <v>989.95652173913004</v>
      </c>
      <c r="Z428" s="19">
        <v>20.702999999999999</v>
      </c>
      <c r="AA428" s="19">
        <v>1319.1130434782599</v>
      </c>
      <c r="AB428" s="19">
        <v>27.587</v>
      </c>
      <c r="AC428" s="19">
        <v>810.73913043478296</v>
      </c>
      <c r="AD428" s="19">
        <v>16.954999999999998</v>
      </c>
      <c r="AE428" s="19">
        <v>957.88695652173897</v>
      </c>
      <c r="AF428" s="19">
        <v>20.032</v>
      </c>
      <c r="AG428" s="19">
        <v>323.78260869565202</v>
      </c>
      <c r="AH428" s="19">
        <v>6.7720000000000002</v>
      </c>
      <c r="AI428" s="19">
        <v>376.286956521739</v>
      </c>
      <c r="AJ428" s="19">
        <v>7.87</v>
      </c>
      <c r="AK428" s="19">
        <v>371.41739130434797</v>
      </c>
      <c r="AL428" s="19">
        <v>7.4850000000000003</v>
      </c>
      <c r="AM428" s="19">
        <v>62.252173913043499</v>
      </c>
      <c r="AN428" s="19">
        <v>1.1930000000000001</v>
      </c>
      <c r="AO428" s="19">
        <v>610.80869565217404</v>
      </c>
      <c r="AP428" s="19">
        <v>11.71</v>
      </c>
      <c r="AQ428" s="19">
        <v>0</v>
      </c>
      <c r="AR428" s="19">
        <v>0</v>
      </c>
      <c r="AS428" s="19">
        <v>0</v>
      </c>
      <c r="AT428" s="19">
        <v>0</v>
      </c>
      <c r="AU428" s="19">
        <v>0</v>
      </c>
      <c r="AV428" s="19">
        <v>0</v>
      </c>
      <c r="AW428" s="19">
        <v>0</v>
      </c>
      <c r="AX428" s="19">
        <v>0</v>
      </c>
      <c r="AY428" s="19">
        <v>0</v>
      </c>
      <c r="AZ428" s="19">
        <v>0</v>
      </c>
      <c r="BA428" s="19">
        <v>0</v>
      </c>
      <c r="BB428" s="19">
        <v>0</v>
      </c>
      <c r="BC428" s="19">
        <v>0</v>
      </c>
      <c r="BD428" s="19">
        <v>0</v>
      </c>
      <c r="BE428" s="19">
        <v>0</v>
      </c>
      <c r="BF428" s="19">
        <v>0</v>
      </c>
      <c r="BG428" s="19">
        <v>0</v>
      </c>
      <c r="BH428" s="19">
        <v>0</v>
      </c>
      <c r="BI428" s="19">
        <v>0</v>
      </c>
      <c r="BJ428" s="19">
        <v>0</v>
      </c>
      <c r="BK428" s="19">
        <v>0</v>
      </c>
      <c r="BL428" s="19">
        <v>0</v>
      </c>
      <c r="BM428" s="19">
        <v>0</v>
      </c>
      <c r="BN428" s="19">
        <v>0</v>
      </c>
      <c r="BO428" s="19">
        <v>0</v>
      </c>
      <c r="BP428" s="19">
        <v>0</v>
      </c>
      <c r="BQ428" s="19">
        <v>0</v>
      </c>
      <c r="BR428" s="19">
        <v>0</v>
      </c>
      <c r="BS428" s="19">
        <v>0</v>
      </c>
      <c r="BT428" s="19">
        <v>0</v>
      </c>
      <c r="BU428" s="19">
        <v>0</v>
      </c>
      <c r="BV428" s="19">
        <v>0</v>
      </c>
      <c r="BW428" s="19">
        <v>0</v>
      </c>
      <c r="BX428" s="19">
        <v>0</v>
      </c>
      <c r="BY428" s="19">
        <v>0</v>
      </c>
      <c r="BZ428" s="19">
        <v>0</v>
      </c>
      <c r="CA428" s="19">
        <v>0</v>
      </c>
      <c r="CB428" s="19">
        <v>0</v>
      </c>
      <c r="CC428" s="19">
        <v>0</v>
      </c>
      <c r="CD428" s="19">
        <v>0</v>
      </c>
      <c r="CE428" s="19">
        <v>0</v>
      </c>
      <c r="CF428" s="19">
        <v>0</v>
      </c>
      <c r="CG428" s="19">
        <v>0</v>
      </c>
      <c r="CH428" s="19">
        <v>0</v>
      </c>
      <c r="CI428" s="19">
        <v>0</v>
      </c>
      <c r="CJ428" s="19">
        <v>0</v>
      </c>
      <c r="CK428" s="19">
        <v>0</v>
      </c>
      <c r="CL428" s="19">
        <v>0</v>
      </c>
      <c r="CM428" s="19">
        <v>0</v>
      </c>
      <c r="CN428" s="19">
        <v>0</v>
      </c>
      <c r="CO428" s="19">
        <v>0</v>
      </c>
      <c r="CP428" s="19">
        <v>0</v>
      </c>
      <c r="CQ428" s="19">
        <v>0</v>
      </c>
      <c r="CR428" s="19">
        <v>0</v>
      </c>
      <c r="CS428" s="19">
        <v>0</v>
      </c>
      <c r="CT428" s="19">
        <v>0</v>
      </c>
      <c r="CU428" s="19">
        <v>0</v>
      </c>
      <c r="CV428" s="19">
        <v>0</v>
      </c>
      <c r="CW428" s="19">
        <v>0</v>
      </c>
      <c r="CX428" s="19">
        <v>0</v>
      </c>
      <c r="CY428" s="19">
        <v>0</v>
      </c>
      <c r="CZ428" s="19">
        <v>0</v>
      </c>
      <c r="DA428" s="19">
        <v>0</v>
      </c>
      <c r="DB428" s="19">
        <v>0</v>
      </c>
      <c r="DC428" s="19">
        <v>0</v>
      </c>
      <c r="DD428" s="19">
        <v>0</v>
      </c>
      <c r="DE428" s="19">
        <v>0</v>
      </c>
      <c r="DF428" s="19">
        <v>0</v>
      </c>
      <c r="DG428" s="19">
        <v>0</v>
      </c>
      <c r="DH428" s="19">
        <v>0</v>
      </c>
      <c r="DI428" s="19">
        <v>0</v>
      </c>
      <c r="DJ428" s="19">
        <v>0</v>
      </c>
      <c r="DK428" s="19">
        <v>0</v>
      </c>
      <c r="DL428" s="19">
        <v>0</v>
      </c>
      <c r="DM428" s="19">
        <v>0</v>
      </c>
      <c r="DN428" s="19">
        <v>0</v>
      </c>
      <c r="DO428" s="19">
        <v>0</v>
      </c>
      <c r="DP428" s="19">
        <v>0</v>
      </c>
      <c r="DQ428" s="19">
        <v>0</v>
      </c>
      <c r="DR428" s="19">
        <v>0</v>
      </c>
      <c r="DS428" s="19">
        <v>0</v>
      </c>
      <c r="DT428" s="19">
        <v>0</v>
      </c>
      <c r="DU428" s="19">
        <v>0</v>
      </c>
      <c r="DV428" s="19">
        <v>0</v>
      </c>
      <c r="DW428" s="19">
        <v>0</v>
      </c>
      <c r="DX428" s="19">
        <v>0</v>
      </c>
      <c r="DY428" s="19">
        <v>0</v>
      </c>
      <c r="DZ428" s="19">
        <v>0</v>
      </c>
      <c r="EA428" s="19">
        <v>0</v>
      </c>
      <c r="EB428" s="19">
        <v>0</v>
      </c>
      <c r="EC428" s="19">
        <v>0</v>
      </c>
      <c r="ED428" s="19">
        <v>0</v>
      </c>
      <c r="EE428" s="19">
        <v>0</v>
      </c>
      <c r="EF428" s="19">
        <v>0</v>
      </c>
      <c r="EG428" s="19">
        <v>0</v>
      </c>
      <c r="EH428" s="19">
        <v>0</v>
      </c>
      <c r="EI428" s="19">
        <v>0</v>
      </c>
      <c r="EJ428" s="19">
        <v>0</v>
      </c>
      <c r="EK428" s="19">
        <v>0</v>
      </c>
      <c r="EL428" s="19">
        <v>0</v>
      </c>
      <c r="EM428" s="19">
        <v>0</v>
      </c>
      <c r="EN428" s="19">
        <v>0</v>
      </c>
      <c r="EO428" s="19">
        <v>0</v>
      </c>
      <c r="EP428" s="19">
        <v>0</v>
      </c>
      <c r="EQ428" s="19">
        <v>0</v>
      </c>
      <c r="ER428" s="19">
        <v>0</v>
      </c>
      <c r="ES428" s="119">
        <v>0</v>
      </c>
      <c r="ET428" s="119">
        <v>0</v>
      </c>
    </row>
    <row r="429" spans="1:150" ht="16.5" customHeight="1" x14ac:dyDescent="0.35">
      <c r="A429" s="4">
        <v>216</v>
      </c>
      <c r="B429" s="4" t="str">
        <f>LOOKUP(A429,Lookup!$A$1:$A$34,Lookup!$B$1:$B$34)</f>
        <v>BUTCH  WORS/MINCE/PAT</v>
      </c>
      <c r="C429" s="5">
        <v>44671</v>
      </c>
      <c r="D429" s="6" t="s">
        <v>406</v>
      </c>
      <c r="E429" s="18">
        <v>150.784323331292</v>
      </c>
      <c r="F429" s="18">
        <v>2.8410000000000002</v>
      </c>
      <c r="G429" s="18">
        <v>10705.6869565217</v>
      </c>
      <c r="H429" s="18">
        <v>201.71600000000001</v>
      </c>
      <c r="I429" s="19">
        <v>379.80869565217398</v>
      </c>
      <c r="J429" s="19">
        <v>7.2809999999999997</v>
      </c>
      <c r="K429" s="19">
        <v>1211.77391304348</v>
      </c>
      <c r="L429" s="19">
        <v>23.23</v>
      </c>
      <c r="M429" s="19">
        <v>583.66956521739098</v>
      </c>
      <c r="N429" s="19">
        <v>11.189</v>
      </c>
      <c r="O429" s="19">
        <v>866.34782608695696</v>
      </c>
      <c r="P429" s="19">
        <v>16.608000000000001</v>
      </c>
      <c r="Q429" s="19">
        <v>431.91304347826099</v>
      </c>
      <c r="R429" s="19">
        <v>8.2799999999999994</v>
      </c>
      <c r="S429" s="19">
        <v>22.121739130434801</v>
      </c>
      <c r="T429" s="19">
        <v>0.42399999999999999</v>
      </c>
      <c r="U429" s="19">
        <v>453.82608695652198</v>
      </c>
      <c r="V429" s="19">
        <v>8.6989999999999998</v>
      </c>
      <c r="W429" s="19">
        <v>427.8</v>
      </c>
      <c r="X429" s="19">
        <v>8.2010000000000005</v>
      </c>
      <c r="Y429" s="19">
        <v>310.90434782608702</v>
      </c>
      <c r="Z429" s="19">
        <v>5.96</v>
      </c>
      <c r="AA429" s="19">
        <v>1523.0869565217399</v>
      </c>
      <c r="AB429" s="19">
        <v>29.198</v>
      </c>
      <c r="AC429" s="19">
        <v>739.13913043478306</v>
      </c>
      <c r="AD429" s="19">
        <v>14.17</v>
      </c>
      <c r="AE429" s="19">
        <v>1124.4086956521701</v>
      </c>
      <c r="AF429" s="19">
        <v>21.555</v>
      </c>
      <c r="AG429" s="19">
        <v>683.89565217391305</v>
      </c>
      <c r="AH429" s="19">
        <v>13.11</v>
      </c>
      <c r="AI429" s="19">
        <v>433.64347826086998</v>
      </c>
      <c r="AJ429" s="19">
        <v>8.3119999999999994</v>
      </c>
      <c r="AK429" s="19">
        <v>473.93043478260898</v>
      </c>
      <c r="AL429" s="19">
        <v>8.42</v>
      </c>
      <c r="AM429" s="19">
        <v>0</v>
      </c>
      <c r="AN429" s="19">
        <v>0</v>
      </c>
      <c r="AO429" s="19">
        <v>1039.4173913043501</v>
      </c>
      <c r="AP429" s="19">
        <v>17.079000000000001</v>
      </c>
      <c r="AQ429" s="19">
        <v>0</v>
      </c>
      <c r="AR429" s="19">
        <v>0</v>
      </c>
      <c r="AS429" s="19">
        <v>0</v>
      </c>
      <c r="AT429" s="19">
        <v>0</v>
      </c>
      <c r="AU429" s="19">
        <v>0</v>
      </c>
      <c r="AV429" s="19">
        <v>0</v>
      </c>
      <c r="AW429" s="19">
        <v>0</v>
      </c>
      <c r="AX429" s="19">
        <v>0</v>
      </c>
      <c r="AY429" s="19">
        <v>0</v>
      </c>
      <c r="AZ429" s="19">
        <v>0</v>
      </c>
      <c r="BA429" s="19">
        <v>0</v>
      </c>
      <c r="BB429" s="19">
        <v>0</v>
      </c>
      <c r="BC429" s="19">
        <v>0</v>
      </c>
      <c r="BD429" s="19">
        <v>0</v>
      </c>
      <c r="BE429" s="19">
        <v>0</v>
      </c>
      <c r="BF429" s="19">
        <v>0</v>
      </c>
      <c r="BG429" s="19">
        <v>0</v>
      </c>
      <c r="BH429" s="19">
        <v>0</v>
      </c>
      <c r="BI429" s="19">
        <v>0</v>
      </c>
      <c r="BJ429" s="19">
        <v>0</v>
      </c>
      <c r="BK429" s="19">
        <v>0</v>
      </c>
      <c r="BL429" s="19">
        <v>0</v>
      </c>
      <c r="BM429" s="19">
        <v>0</v>
      </c>
      <c r="BN429" s="19">
        <v>0</v>
      </c>
      <c r="BO429" s="19">
        <v>0</v>
      </c>
      <c r="BP429" s="19">
        <v>0</v>
      </c>
      <c r="BQ429" s="19">
        <v>0</v>
      </c>
      <c r="BR429" s="19">
        <v>0</v>
      </c>
      <c r="BS429" s="19">
        <v>0</v>
      </c>
      <c r="BT429" s="19">
        <v>0</v>
      </c>
      <c r="BU429" s="19">
        <v>0</v>
      </c>
      <c r="BV429" s="19">
        <v>0</v>
      </c>
      <c r="BW429" s="19">
        <v>0</v>
      </c>
      <c r="BX429" s="19">
        <v>0</v>
      </c>
      <c r="BY429" s="19">
        <v>0</v>
      </c>
      <c r="BZ429" s="19">
        <v>0</v>
      </c>
      <c r="CA429" s="19">
        <v>0</v>
      </c>
      <c r="CB429" s="19">
        <v>0</v>
      </c>
      <c r="CC429" s="19">
        <v>0</v>
      </c>
      <c r="CD429" s="19">
        <v>0</v>
      </c>
      <c r="CE429" s="19">
        <v>0</v>
      </c>
      <c r="CF429" s="19">
        <v>0</v>
      </c>
      <c r="CG429" s="19">
        <v>0</v>
      </c>
      <c r="CH429" s="19">
        <v>0</v>
      </c>
      <c r="CI429" s="19">
        <v>0</v>
      </c>
      <c r="CJ429" s="19">
        <v>0</v>
      </c>
      <c r="CK429" s="19">
        <v>0</v>
      </c>
      <c r="CL429" s="19">
        <v>0</v>
      </c>
      <c r="CM429" s="19">
        <v>0</v>
      </c>
      <c r="CN429" s="19">
        <v>0</v>
      </c>
      <c r="CO429" s="19">
        <v>0</v>
      </c>
      <c r="CP429" s="19">
        <v>0</v>
      </c>
      <c r="CQ429" s="19">
        <v>0</v>
      </c>
      <c r="CR429" s="19">
        <v>0</v>
      </c>
      <c r="CS429" s="19">
        <v>0</v>
      </c>
      <c r="CT429" s="19">
        <v>0</v>
      </c>
      <c r="CU429" s="19">
        <v>0</v>
      </c>
      <c r="CV429" s="19">
        <v>0</v>
      </c>
      <c r="CW429" s="19">
        <v>0</v>
      </c>
      <c r="CX429" s="19">
        <v>0</v>
      </c>
      <c r="CY429" s="19">
        <v>0</v>
      </c>
      <c r="CZ429" s="19">
        <v>0</v>
      </c>
      <c r="DA429" s="19">
        <v>0</v>
      </c>
      <c r="DB429" s="19">
        <v>0</v>
      </c>
      <c r="DC429" s="19">
        <v>0</v>
      </c>
      <c r="DD429" s="19">
        <v>0</v>
      </c>
      <c r="DE429" s="19">
        <v>0</v>
      </c>
      <c r="DF429" s="19">
        <v>0</v>
      </c>
      <c r="DG429" s="19">
        <v>0</v>
      </c>
      <c r="DH429" s="19">
        <v>0</v>
      </c>
      <c r="DI429" s="19">
        <v>0</v>
      </c>
      <c r="DJ429" s="19">
        <v>0</v>
      </c>
      <c r="DK429" s="19">
        <v>0</v>
      </c>
      <c r="DL429" s="19">
        <v>0</v>
      </c>
      <c r="DM429" s="19">
        <v>0</v>
      </c>
      <c r="DN429" s="19">
        <v>0</v>
      </c>
      <c r="DO429" s="19">
        <v>0</v>
      </c>
      <c r="DP429" s="19">
        <v>0</v>
      </c>
      <c r="DQ429" s="19">
        <v>0</v>
      </c>
      <c r="DR429" s="19">
        <v>0</v>
      </c>
      <c r="DS429" s="19">
        <v>0</v>
      </c>
      <c r="DT429" s="19">
        <v>0</v>
      </c>
      <c r="DU429" s="19">
        <v>0</v>
      </c>
      <c r="DV429" s="19">
        <v>0</v>
      </c>
      <c r="DW429" s="19">
        <v>0</v>
      </c>
      <c r="DX429" s="19">
        <v>0</v>
      </c>
      <c r="DY429" s="19">
        <v>0</v>
      </c>
      <c r="DZ429" s="19">
        <v>0</v>
      </c>
      <c r="EA429" s="19">
        <v>0</v>
      </c>
      <c r="EB429" s="19">
        <v>0</v>
      </c>
      <c r="EC429" s="19">
        <v>0</v>
      </c>
      <c r="ED429" s="19">
        <v>0</v>
      </c>
      <c r="EE429" s="19">
        <v>0</v>
      </c>
      <c r="EF429" s="19">
        <v>0</v>
      </c>
      <c r="EG429" s="19">
        <v>0</v>
      </c>
      <c r="EH429" s="19">
        <v>0</v>
      </c>
      <c r="EI429" s="19">
        <v>0</v>
      </c>
      <c r="EJ429" s="19">
        <v>0</v>
      </c>
      <c r="EK429" s="19">
        <v>0</v>
      </c>
      <c r="EL429" s="19">
        <v>0</v>
      </c>
      <c r="EM429" s="19">
        <v>0</v>
      </c>
      <c r="EN429" s="19">
        <v>0</v>
      </c>
      <c r="EO429" s="19">
        <v>0</v>
      </c>
      <c r="EP429" s="19">
        <v>0</v>
      </c>
      <c r="EQ429" s="19">
        <v>0</v>
      </c>
      <c r="ER429" s="19">
        <v>0</v>
      </c>
      <c r="ES429" s="119">
        <v>0</v>
      </c>
      <c r="ET429" s="119">
        <v>0</v>
      </c>
    </row>
    <row r="430" spans="1:150" ht="16.5" customHeight="1" x14ac:dyDescent="0.35">
      <c r="A430" s="4">
        <v>216</v>
      </c>
      <c r="B430" s="4" t="str">
        <f>LOOKUP(A430,Lookup!$A$1:$A$34,Lookup!$B$1:$B$34)</f>
        <v>BUTCH  WORS/MINCE/PAT</v>
      </c>
      <c r="C430" s="5">
        <v>45224</v>
      </c>
      <c r="D430" s="6" t="s">
        <v>407</v>
      </c>
      <c r="E430" s="18">
        <v>0</v>
      </c>
      <c r="F430" s="18">
        <v>0</v>
      </c>
      <c r="G430" s="18">
        <v>0</v>
      </c>
      <c r="H430" s="18">
        <v>0</v>
      </c>
      <c r="I430" s="19">
        <v>0</v>
      </c>
      <c r="J430" s="19">
        <v>0</v>
      </c>
      <c r="K430" s="19">
        <v>0</v>
      </c>
      <c r="L430" s="19">
        <v>0</v>
      </c>
      <c r="M430" s="19">
        <v>0</v>
      </c>
      <c r="N430" s="19">
        <v>0</v>
      </c>
      <c r="O430" s="19">
        <v>0</v>
      </c>
      <c r="P430" s="19">
        <v>0</v>
      </c>
      <c r="Q430" s="19">
        <v>0</v>
      </c>
      <c r="R430" s="19">
        <v>0</v>
      </c>
      <c r="S430" s="19">
        <v>0</v>
      </c>
      <c r="T430" s="19">
        <v>0</v>
      </c>
      <c r="U430" s="19">
        <v>0</v>
      </c>
      <c r="V430" s="19">
        <v>0</v>
      </c>
      <c r="W430" s="19">
        <v>0</v>
      </c>
      <c r="X430" s="19">
        <v>0</v>
      </c>
      <c r="Y430" s="19">
        <v>0</v>
      </c>
      <c r="Z430" s="19">
        <v>0</v>
      </c>
      <c r="AA430" s="19">
        <v>0</v>
      </c>
      <c r="AB430" s="19">
        <v>0</v>
      </c>
      <c r="AC430" s="19">
        <v>0</v>
      </c>
      <c r="AD430" s="19">
        <v>0</v>
      </c>
      <c r="AE430" s="19">
        <v>0</v>
      </c>
      <c r="AF430" s="19">
        <v>0</v>
      </c>
      <c r="AG430" s="19">
        <v>0</v>
      </c>
      <c r="AH430" s="19">
        <v>0</v>
      </c>
      <c r="AI430" s="19">
        <v>0</v>
      </c>
      <c r="AJ430" s="19">
        <v>0</v>
      </c>
      <c r="AK430" s="19">
        <v>0</v>
      </c>
      <c r="AL430" s="19">
        <v>0</v>
      </c>
      <c r="AM430" s="19">
        <v>0</v>
      </c>
      <c r="AN430" s="19">
        <v>0</v>
      </c>
      <c r="AO430" s="19">
        <v>0</v>
      </c>
      <c r="AP430" s="19">
        <v>0</v>
      </c>
      <c r="AQ430" s="19">
        <v>0</v>
      </c>
      <c r="AR430" s="19">
        <v>0</v>
      </c>
      <c r="AS430" s="19">
        <v>0</v>
      </c>
      <c r="AT430" s="19">
        <v>0</v>
      </c>
      <c r="AU430" s="19">
        <v>0</v>
      </c>
      <c r="AV430" s="19">
        <v>0</v>
      </c>
      <c r="AW430" s="19">
        <v>0</v>
      </c>
      <c r="AX430" s="19">
        <v>0</v>
      </c>
      <c r="AY430" s="19">
        <v>0</v>
      </c>
      <c r="AZ430" s="19">
        <v>0</v>
      </c>
      <c r="BA430" s="19">
        <v>0</v>
      </c>
      <c r="BB430" s="19">
        <v>0</v>
      </c>
      <c r="BC430" s="19">
        <v>0</v>
      </c>
      <c r="BD430" s="19">
        <v>0</v>
      </c>
      <c r="BE430" s="19">
        <v>0</v>
      </c>
      <c r="BF430" s="19">
        <v>0</v>
      </c>
      <c r="BG430" s="19">
        <v>0</v>
      </c>
      <c r="BH430" s="19">
        <v>0</v>
      </c>
      <c r="BI430" s="19">
        <v>0</v>
      </c>
      <c r="BJ430" s="19">
        <v>0</v>
      </c>
      <c r="BK430" s="19">
        <v>0</v>
      </c>
      <c r="BL430" s="19">
        <v>0</v>
      </c>
      <c r="BM430" s="19">
        <v>0</v>
      </c>
      <c r="BN430" s="19">
        <v>0</v>
      </c>
      <c r="BO430" s="19">
        <v>0</v>
      </c>
      <c r="BP430" s="19">
        <v>0</v>
      </c>
      <c r="BQ430" s="19">
        <v>0</v>
      </c>
      <c r="BR430" s="19">
        <v>0</v>
      </c>
      <c r="BS430" s="19">
        <v>0</v>
      </c>
      <c r="BT430" s="19">
        <v>0</v>
      </c>
      <c r="BU430" s="19">
        <v>0</v>
      </c>
      <c r="BV430" s="19">
        <v>0</v>
      </c>
      <c r="BW430" s="19">
        <v>0</v>
      </c>
      <c r="BX430" s="19">
        <v>0</v>
      </c>
      <c r="BY430" s="19">
        <v>0</v>
      </c>
      <c r="BZ430" s="19">
        <v>0</v>
      </c>
      <c r="CA430" s="19">
        <v>0</v>
      </c>
      <c r="CB430" s="19">
        <v>0</v>
      </c>
      <c r="CC430" s="19">
        <v>0</v>
      </c>
      <c r="CD430" s="19">
        <v>0</v>
      </c>
      <c r="CE430" s="19">
        <v>0</v>
      </c>
      <c r="CF430" s="19">
        <v>0</v>
      </c>
      <c r="CG430" s="19">
        <v>0</v>
      </c>
      <c r="CH430" s="19">
        <v>0</v>
      </c>
      <c r="CI430" s="19">
        <v>0</v>
      </c>
      <c r="CJ430" s="19">
        <v>0</v>
      </c>
      <c r="CK430" s="19">
        <v>0</v>
      </c>
      <c r="CL430" s="19">
        <v>0</v>
      </c>
      <c r="CM430" s="19">
        <v>0</v>
      </c>
      <c r="CN430" s="19">
        <v>0</v>
      </c>
      <c r="CO430" s="19">
        <v>0</v>
      </c>
      <c r="CP430" s="19">
        <v>0</v>
      </c>
      <c r="CQ430" s="19">
        <v>0</v>
      </c>
      <c r="CR430" s="19">
        <v>0</v>
      </c>
      <c r="CS430" s="19">
        <v>0</v>
      </c>
      <c r="CT430" s="19">
        <v>0</v>
      </c>
      <c r="CU430" s="19">
        <v>0</v>
      </c>
      <c r="CV430" s="19">
        <v>0</v>
      </c>
      <c r="CW430" s="19">
        <v>0</v>
      </c>
      <c r="CX430" s="19">
        <v>0</v>
      </c>
      <c r="CY430" s="19">
        <v>0</v>
      </c>
      <c r="CZ430" s="19">
        <v>0</v>
      </c>
      <c r="DA430" s="19">
        <v>0</v>
      </c>
      <c r="DB430" s="19">
        <v>0</v>
      </c>
      <c r="DC430" s="19">
        <v>0</v>
      </c>
      <c r="DD430" s="19">
        <v>0</v>
      </c>
      <c r="DE430" s="19">
        <v>0</v>
      </c>
      <c r="DF430" s="19">
        <v>0</v>
      </c>
      <c r="DG430" s="19">
        <v>0</v>
      </c>
      <c r="DH430" s="19">
        <v>0</v>
      </c>
      <c r="DI430" s="19">
        <v>0</v>
      </c>
      <c r="DJ430" s="19">
        <v>0</v>
      </c>
      <c r="DK430" s="19">
        <v>0</v>
      </c>
      <c r="DL430" s="19">
        <v>0</v>
      </c>
      <c r="DM430" s="19">
        <v>0</v>
      </c>
      <c r="DN430" s="19">
        <v>0</v>
      </c>
      <c r="DO430" s="19">
        <v>0</v>
      </c>
      <c r="DP430" s="19">
        <v>0</v>
      </c>
      <c r="DQ430" s="19">
        <v>0</v>
      </c>
      <c r="DR430" s="19">
        <v>0</v>
      </c>
      <c r="DS430" s="19">
        <v>0</v>
      </c>
      <c r="DT430" s="19">
        <v>0</v>
      </c>
      <c r="DU430" s="19">
        <v>0</v>
      </c>
      <c r="DV430" s="19">
        <v>0</v>
      </c>
      <c r="DW430" s="19">
        <v>0</v>
      </c>
      <c r="DX430" s="19">
        <v>0</v>
      </c>
      <c r="DY430" s="19">
        <v>0</v>
      </c>
      <c r="DZ430" s="19">
        <v>0</v>
      </c>
      <c r="EA430" s="19">
        <v>0</v>
      </c>
      <c r="EB430" s="19">
        <v>0</v>
      </c>
      <c r="EC430" s="19">
        <v>0</v>
      </c>
      <c r="ED430" s="19">
        <v>0</v>
      </c>
      <c r="EE430" s="19">
        <v>0</v>
      </c>
      <c r="EF430" s="19">
        <v>0</v>
      </c>
      <c r="EG430" s="19">
        <v>0</v>
      </c>
      <c r="EH430" s="19">
        <v>0</v>
      </c>
      <c r="EI430" s="19">
        <v>0</v>
      </c>
      <c r="EJ430" s="19">
        <v>0</v>
      </c>
      <c r="EK430" s="19">
        <v>0</v>
      </c>
      <c r="EL430" s="19">
        <v>0</v>
      </c>
      <c r="EM430" s="19">
        <v>0</v>
      </c>
      <c r="EN430" s="19">
        <v>0</v>
      </c>
      <c r="EO430" s="19">
        <v>0</v>
      </c>
      <c r="EP430" s="19">
        <v>0</v>
      </c>
      <c r="EQ430" s="19">
        <v>0</v>
      </c>
      <c r="ER430" s="19">
        <v>0</v>
      </c>
      <c r="ES430" s="119">
        <v>0</v>
      </c>
      <c r="ET430" s="119">
        <v>0</v>
      </c>
    </row>
    <row r="431" spans="1:150" ht="16.5" customHeight="1" x14ac:dyDescent="0.35">
      <c r="A431" s="4">
        <v>216</v>
      </c>
      <c r="B431" s="4" t="str">
        <f>LOOKUP(A431,Lookup!$A$1:$A$34,Lookup!$B$1:$B$34)</f>
        <v>BUTCH  WORS/MINCE/PAT</v>
      </c>
      <c r="C431" s="5">
        <v>45416</v>
      </c>
      <c r="D431" s="6" t="s">
        <v>408</v>
      </c>
      <c r="E431" s="18">
        <v>878.90140845070403</v>
      </c>
      <c r="F431" s="18">
        <v>9.5990000000000002</v>
      </c>
      <c r="G431" s="18">
        <v>62402</v>
      </c>
      <c r="H431" s="18">
        <v>681.56</v>
      </c>
      <c r="I431" s="19">
        <v>947.90434782608702</v>
      </c>
      <c r="J431" s="19">
        <v>9.91</v>
      </c>
      <c r="K431" s="19">
        <v>877.66086956521701</v>
      </c>
      <c r="L431" s="19">
        <v>9.1760000000000002</v>
      </c>
      <c r="M431" s="19">
        <v>885.53043478260895</v>
      </c>
      <c r="N431" s="19">
        <v>9.2579999999999991</v>
      </c>
      <c r="O431" s="19">
        <v>914.41739130434803</v>
      </c>
      <c r="P431" s="19">
        <v>9.56</v>
      </c>
      <c r="Q431" s="19">
        <v>1470.0347826087</v>
      </c>
      <c r="R431" s="19">
        <v>15.37</v>
      </c>
      <c r="S431" s="19">
        <v>1335.72173913043</v>
      </c>
      <c r="T431" s="19">
        <v>13.965999999999999</v>
      </c>
      <c r="U431" s="19">
        <v>754.269565217391</v>
      </c>
      <c r="V431" s="19">
        <v>7.8860000000000001</v>
      </c>
      <c r="W431" s="19">
        <v>849.46956521739105</v>
      </c>
      <c r="X431" s="19">
        <v>8.8819999999999997</v>
      </c>
      <c r="Y431" s="19">
        <v>1823.72173913043</v>
      </c>
      <c r="Z431" s="19">
        <v>19.068000000000001</v>
      </c>
      <c r="AA431" s="19">
        <v>1102.79130434783</v>
      </c>
      <c r="AB431" s="19">
        <v>11.53</v>
      </c>
      <c r="AC431" s="19">
        <v>487.37391304347801</v>
      </c>
      <c r="AD431" s="19">
        <v>5.0960000000000001</v>
      </c>
      <c r="AE431" s="19">
        <v>921.03478260869599</v>
      </c>
      <c r="AF431" s="19">
        <v>9.6300000000000008</v>
      </c>
      <c r="AG431" s="19">
        <v>1137.6086956521699</v>
      </c>
      <c r="AH431" s="19">
        <v>11.894</v>
      </c>
      <c r="AI431" s="19">
        <v>630.52173913043498</v>
      </c>
      <c r="AJ431" s="19">
        <v>6.5919999999999996</v>
      </c>
      <c r="AK431" s="19">
        <v>863.730434782609</v>
      </c>
      <c r="AL431" s="19">
        <v>9.6140000000000008</v>
      </c>
      <c r="AM431" s="19">
        <v>1122.8521739130399</v>
      </c>
      <c r="AN431" s="19">
        <v>14.37</v>
      </c>
      <c r="AO431" s="19">
        <v>870.49565217391296</v>
      </c>
      <c r="AP431" s="19">
        <v>11.124000000000001</v>
      </c>
      <c r="AQ431" s="19">
        <v>1258.99130434783</v>
      </c>
      <c r="AR431" s="19">
        <v>16.088000000000001</v>
      </c>
      <c r="AS431" s="19">
        <v>724.37391304347796</v>
      </c>
      <c r="AT431" s="19">
        <v>9.2560000000000002</v>
      </c>
      <c r="AU431" s="19">
        <v>301.75652173912999</v>
      </c>
      <c r="AV431" s="19">
        <v>3.8559999999999999</v>
      </c>
      <c r="AW431" s="19">
        <v>1230.52173913043</v>
      </c>
      <c r="AX431" s="19">
        <v>15.724</v>
      </c>
      <c r="AY431" s="19">
        <v>154.62608695652199</v>
      </c>
      <c r="AZ431" s="19">
        <v>1.976</v>
      </c>
      <c r="BA431" s="19">
        <v>539.93913043478301</v>
      </c>
      <c r="BB431" s="19">
        <v>6.9</v>
      </c>
      <c r="BC431" s="19">
        <v>830.65217391304304</v>
      </c>
      <c r="BD431" s="19">
        <v>10.614000000000001</v>
      </c>
      <c r="BE431" s="19">
        <v>930.66956521739098</v>
      </c>
      <c r="BF431" s="19">
        <v>11.407999999999999</v>
      </c>
      <c r="BG431" s="19">
        <v>892.46086956521799</v>
      </c>
      <c r="BH431" s="19">
        <v>10.263999999999999</v>
      </c>
      <c r="BI431" s="19">
        <v>534.93043478260904</v>
      </c>
      <c r="BJ431" s="19">
        <v>6.1520000000000001</v>
      </c>
      <c r="BK431" s="19">
        <v>1020.99130434783</v>
      </c>
      <c r="BL431" s="19">
        <v>11.742000000000001</v>
      </c>
      <c r="BM431" s="19">
        <v>782.38260869565204</v>
      </c>
      <c r="BN431" s="19">
        <v>8.9979999999999993</v>
      </c>
      <c r="BO431" s="19">
        <v>740.852173913044</v>
      </c>
      <c r="BP431" s="19">
        <v>8.52</v>
      </c>
      <c r="BQ431" s="19">
        <v>1054.4347826087001</v>
      </c>
      <c r="BR431" s="19">
        <v>12.127000000000001</v>
      </c>
      <c r="BS431" s="19">
        <v>782.60869565217399</v>
      </c>
      <c r="BT431" s="19">
        <v>9</v>
      </c>
      <c r="BU431" s="19">
        <v>1284</v>
      </c>
      <c r="BV431" s="19">
        <v>14.766</v>
      </c>
      <c r="BW431" s="19">
        <v>746.26086956521704</v>
      </c>
      <c r="BX431" s="19">
        <v>8.5820000000000007</v>
      </c>
      <c r="BY431" s="19">
        <v>630.25217391304295</v>
      </c>
      <c r="BZ431" s="19">
        <v>7.2480000000000002</v>
      </c>
      <c r="CA431" s="19">
        <v>1024.8521739130399</v>
      </c>
      <c r="CB431" s="19">
        <v>11.786</v>
      </c>
      <c r="CC431" s="19">
        <v>622.78260869565202</v>
      </c>
      <c r="CD431" s="19">
        <v>7.1619999999999999</v>
      </c>
      <c r="CE431" s="19">
        <v>767.304347826087</v>
      </c>
      <c r="CF431" s="19">
        <v>8.8239999999999998</v>
      </c>
      <c r="CG431" s="19">
        <v>788.52173913043498</v>
      </c>
      <c r="CH431" s="19">
        <v>9.0679999999999996</v>
      </c>
      <c r="CI431" s="19">
        <v>1284.3391304347799</v>
      </c>
      <c r="CJ431" s="19">
        <v>14.771000000000001</v>
      </c>
      <c r="CK431" s="19">
        <v>0</v>
      </c>
      <c r="CL431" s="19">
        <v>0</v>
      </c>
      <c r="CM431" s="19">
        <v>1092.0695652173899</v>
      </c>
      <c r="CN431" s="19">
        <v>12.56</v>
      </c>
      <c r="CO431" s="19">
        <v>1343.26956521739</v>
      </c>
      <c r="CP431" s="19">
        <v>15.449</v>
      </c>
      <c r="CQ431" s="19">
        <v>624.34782608695696</v>
      </c>
      <c r="CR431" s="19">
        <v>7.18</v>
      </c>
      <c r="CS431" s="19">
        <v>995.82608695652198</v>
      </c>
      <c r="CT431" s="19">
        <v>11.452999999999999</v>
      </c>
      <c r="CU431" s="19">
        <v>461.56521739130397</v>
      </c>
      <c r="CV431" s="19">
        <v>5.3079999999999998</v>
      </c>
      <c r="CW431" s="19">
        <v>1160.52173913043</v>
      </c>
      <c r="CX431" s="19">
        <v>13.346</v>
      </c>
      <c r="CY431" s="19">
        <v>991.65217391304395</v>
      </c>
      <c r="CZ431" s="19">
        <v>10.706</v>
      </c>
      <c r="DA431" s="19">
        <v>608.34782608695696</v>
      </c>
      <c r="DB431" s="19">
        <v>6.36</v>
      </c>
      <c r="DC431" s="19">
        <v>1060.78260869565</v>
      </c>
      <c r="DD431" s="19">
        <v>10.869</v>
      </c>
      <c r="DE431" s="19">
        <v>1351.4</v>
      </c>
      <c r="DF431" s="19">
        <v>13.513999999999999</v>
      </c>
      <c r="DG431" s="19">
        <v>891.8</v>
      </c>
      <c r="DH431" s="19">
        <v>8.9179999999999993</v>
      </c>
      <c r="DI431" s="19">
        <v>1261.8</v>
      </c>
      <c r="DJ431" s="19">
        <v>12.618</v>
      </c>
      <c r="DK431" s="19">
        <v>804.8</v>
      </c>
      <c r="DL431" s="19">
        <v>8.048</v>
      </c>
      <c r="DM431" s="19">
        <v>1006.6</v>
      </c>
      <c r="DN431" s="19">
        <v>10.066000000000001</v>
      </c>
      <c r="DO431" s="19">
        <v>84.6</v>
      </c>
      <c r="DP431" s="19">
        <v>0.84599999999999997</v>
      </c>
      <c r="DQ431" s="19">
        <v>192.4</v>
      </c>
      <c r="DR431" s="19">
        <v>1.9239999999999999</v>
      </c>
      <c r="DS431" s="19">
        <v>1229.4000000000001</v>
      </c>
      <c r="DT431" s="19">
        <v>12.294</v>
      </c>
      <c r="DU431" s="19">
        <v>1479.6</v>
      </c>
      <c r="DV431" s="19">
        <v>14.795999999999999</v>
      </c>
      <c r="DW431" s="19">
        <v>937.86086956521694</v>
      </c>
      <c r="DX431" s="19">
        <v>9.3089999999999993</v>
      </c>
      <c r="DY431" s="19">
        <v>1921.53913043478</v>
      </c>
      <c r="DZ431" s="19">
        <v>19.052</v>
      </c>
      <c r="EA431" s="19">
        <v>1048.74782608696</v>
      </c>
      <c r="EB431" s="19">
        <v>10.398</v>
      </c>
      <c r="EC431" s="19">
        <v>76.452173913043495</v>
      </c>
      <c r="ED431" s="19">
        <v>0.75800000000000001</v>
      </c>
      <c r="EE431" s="19">
        <v>917.83478260869595</v>
      </c>
      <c r="EF431" s="19">
        <v>9.1</v>
      </c>
      <c r="EG431" s="19">
        <v>1189.1565217391301</v>
      </c>
      <c r="EH431" s="19">
        <v>11.79</v>
      </c>
      <c r="EI431" s="19">
        <v>122.64347826087</v>
      </c>
      <c r="EJ431" s="19">
        <v>1.216</v>
      </c>
      <c r="EK431" s="19">
        <v>604.77391304347805</v>
      </c>
      <c r="EL431" s="19">
        <v>5.9960000000000004</v>
      </c>
      <c r="EM431" s="19">
        <v>1179.0695652173899</v>
      </c>
      <c r="EN431" s="19">
        <v>11.69</v>
      </c>
      <c r="EO431" s="19">
        <v>768.16521739130405</v>
      </c>
      <c r="EP431" s="19">
        <v>7.6159999999999997</v>
      </c>
      <c r="EQ431" s="19">
        <v>697.34782608695696</v>
      </c>
      <c r="ER431" s="19">
        <v>6.9139999999999997</v>
      </c>
      <c r="ES431" s="119">
        <v>531.52173913043498</v>
      </c>
      <c r="ET431" s="119">
        <v>5.27</v>
      </c>
    </row>
    <row r="432" spans="1:150" ht="16.5" customHeight="1" x14ac:dyDescent="0.35">
      <c r="A432" s="4">
        <v>216</v>
      </c>
      <c r="B432" s="4" t="str">
        <f>LOOKUP(A432,Lookup!$A$1:$A$34,Lookup!$B$1:$B$34)</f>
        <v>BUTCH  WORS/MINCE/PAT</v>
      </c>
      <c r="C432" s="5">
        <v>45832</v>
      </c>
      <c r="D432" s="6" t="s">
        <v>409</v>
      </c>
      <c r="E432" s="18">
        <v>786.11414574402897</v>
      </c>
      <c r="F432" s="18">
        <v>8.4760000000000009</v>
      </c>
      <c r="G432" s="18">
        <v>55814.104347826098</v>
      </c>
      <c r="H432" s="18">
        <v>601.78</v>
      </c>
      <c r="I432" s="19">
        <v>573.878260869565</v>
      </c>
      <c r="J432" s="19">
        <v>4.7140000000000004</v>
      </c>
      <c r="K432" s="19">
        <v>1070.01739130435</v>
      </c>
      <c r="L432" s="19">
        <v>13.275</v>
      </c>
      <c r="M432" s="19">
        <v>1887.3391304347799</v>
      </c>
      <c r="N432" s="19">
        <v>24.12</v>
      </c>
      <c r="O432" s="19">
        <v>768.55652173912995</v>
      </c>
      <c r="P432" s="19">
        <v>8.84</v>
      </c>
      <c r="Q432" s="19">
        <v>1762.1043478260899</v>
      </c>
      <c r="R432" s="19">
        <v>20.265999999999998</v>
      </c>
      <c r="S432" s="19">
        <v>894.878260869565</v>
      </c>
      <c r="T432" s="19">
        <v>10.292</v>
      </c>
      <c r="U432" s="19">
        <v>836.64347826086998</v>
      </c>
      <c r="V432" s="19">
        <v>9.6219999999999999</v>
      </c>
      <c r="W432" s="19">
        <v>1681.9304347826101</v>
      </c>
      <c r="X432" s="19">
        <v>19.344000000000001</v>
      </c>
      <c r="Y432" s="19">
        <v>1278.6347826087001</v>
      </c>
      <c r="Z432" s="19">
        <v>14.706</v>
      </c>
      <c r="AA432" s="19">
        <v>2531.7913043478302</v>
      </c>
      <c r="AB432" s="19">
        <v>29.119</v>
      </c>
      <c r="AC432" s="19">
        <v>1062.1130434782599</v>
      </c>
      <c r="AD432" s="19">
        <v>12.215999999999999</v>
      </c>
      <c r="AE432" s="19">
        <v>1766.6260869565201</v>
      </c>
      <c r="AF432" s="19">
        <v>20.318000000000001</v>
      </c>
      <c r="AG432" s="19">
        <v>873.59130434782605</v>
      </c>
      <c r="AH432" s="19">
        <v>10.048</v>
      </c>
      <c r="AI432" s="19">
        <v>840.02608695652202</v>
      </c>
      <c r="AJ432" s="19">
        <v>9.6609999999999996</v>
      </c>
      <c r="AK432" s="19">
        <v>0</v>
      </c>
      <c r="AL432" s="19">
        <v>0</v>
      </c>
      <c r="AM432" s="19">
        <v>0</v>
      </c>
      <c r="AN432" s="19">
        <v>0</v>
      </c>
      <c r="AO432" s="19">
        <v>902.60869565217399</v>
      </c>
      <c r="AP432" s="19">
        <v>10.38</v>
      </c>
      <c r="AQ432" s="19">
        <v>2599.8521739130401</v>
      </c>
      <c r="AR432" s="19">
        <v>29.901</v>
      </c>
      <c r="AS432" s="19">
        <v>1558.78260869565</v>
      </c>
      <c r="AT432" s="19">
        <v>17.927</v>
      </c>
      <c r="AU432" s="19">
        <v>1040.1739130434801</v>
      </c>
      <c r="AV432" s="19">
        <v>11.709</v>
      </c>
      <c r="AW432" s="19">
        <v>763.06956521739096</v>
      </c>
      <c r="AX432" s="19">
        <v>7.9779999999999998</v>
      </c>
      <c r="AY432" s="19">
        <v>1733.71304347826</v>
      </c>
      <c r="AZ432" s="19">
        <v>18.128</v>
      </c>
      <c r="BA432" s="19">
        <v>222.452173913043</v>
      </c>
      <c r="BB432" s="19">
        <v>2.3260000000000001</v>
      </c>
      <c r="BC432" s="19">
        <v>0</v>
      </c>
      <c r="BD432" s="19">
        <v>0</v>
      </c>
      <c r="BE432" s="19">
        <v>0</v>
      </c>
      <c r="BF432" s="19">
        <v>0</v>
      </c>
      <c r="BG432" s="19">
        <v>1023.51304347826</v>
      </c>
      <c r="BH432" s="19">
        <v>9.81</v>
      </c>
      <c r="BI432" s="19">
        <v>1157.25217391304</v>
      </c>
      <c r="BJ432" s="19">
        <v>11.092000000000001</v>
      </c>
      <c r="BK432" s="19">
        <v>1038.9391304347801</v>
      </c>
      <c r="BL432" s="19">
        <v>9.9580000000000002</v>
      </c>
      <c r="BM432" s="19">
        <v>2046.1130434782599</v>
      </c>
      <c r="BN432" s="19">
        <v>19.61</v>
      </c>
      <c r="BO432" s="19">
        <v>1130.4347826087001</v>
      </c>
      <c r="BP432" s="19">
        <v>10.834</v>
      </c>
      <c r="BQ432" s="19">
        <v>549.47826086956502</v>
      </c>
      <c r="BR432" s="19">
        <v>5.266</v>
      </c>
      <c r="BS432" s="19">
        <v>640.06086956521699</v>
      </c>
      <c r="BT432" s="19">
        <v>6.1340000000000003</v>
      </c>
      <c r="BU432" s="19">
        <v>0</v>
      </c>
      <c r="BV432" s="19">
        <v>0</v>
      </c>
      <c r="BW432" s="19">
        <v>0</v>
      </c>
      <c r="BX432" s="19">
        <v>0</v>
      </c>
      <c r="BY432" s="19">
        <v>2054.1043478260899</v>
      </c>
      <c r="BZ432" s="19">
        <v>19.687000000000001</v>
      </c>
      <c r="CA432" s="19">
        <v>972.38260869565204</v>
      </c>
      <c r="CB432" s="19">
        <v>9.32</v>
      </c>
      <c r="CC432" s="19">
        <v>0</v>
      </c>
      <c r="CD432" s="19">
        <v>0</v>
      </c>
      <c r="CE432" s="19">
        <v>0</v>
      </c>
      <c r="CF432" s="19">
        <v>0</v>
      </c>
      <c r="CG432" s="19">
        <v>885.78260869565202</v>
      </c>
      <c r="CH432" s="19">
        <v>10.188000000000001</v>
      </c>
      <c r="CI432" s="19">
        <v>908.71304347826106</v>
      </c>
      <c r="CJ432" s="19">
        <v>10.452</v>
      </c>
      <c r="CK432" s="19">
        <v>2512.2086956521698</v>
      </c>
      <c r="CL432" s="19">
        <v>28.893999999999998</v>
      </c>
      <c r="CM432" s="19">
        <v>1148.3217391304299</v>
      </c>
      <c r="CN432" s="19">
        <v>11.006</v>
      </c>
      <c r="CO432" s="19">
        <v>669.60869565217399</v>
      </c>
      <c r="CP432" s="19">
        <v>6.4180000000000001</v>
      </c>
      <c r="CQ432" s="19">
        <v>1302.8695652173899</v>
      </c>
      <c r="CR432" s="19">
        <v>12.487</v>
      </c>
      <c r="CS432" s="19">
        <v>0</v>
      </c>
      <c r="CT432" s="19">
        <v>0</v>
      </c>
      <c r="CU432" s="19">
        <v>0</v>
      </c>
      <c r="CV432" s="19">
        <v>0</v>
      </c>
      <c r="CW432" s="19">
        <v>0</v>
      </c>
      <c r="CX432" s="19">
        <v>0</v>
      </c>
      <c r="CY432" s="19">
        <v>0</v>
      </c>
      <c r="CZ432" s="19">
        <v>0</v>
      </c>
      <c r="DA432" s="19">
        <v>0</v>
      </c>
      <c r="DB432" s="19">
        <v>0</v>
      </c>
      <c r="DC432" s="19">
        <v>1290.8086956521699</v>
      </c>
      <c r="DD432" s="19">
        <v>14.845000000000001</v>
      </c>
      <c r="DE432" s="19">
        <v>2949.7130434782598</v>
      </c>
      <c r="DF432" s="19">
        <v>33.924999999999997</v>
      </c>
      <c r="DG432" s="19">
        <v>1322.4173913043501</v>
      </c>
      <c r="DH432" s="19">
        <v>15.21</v>
      </c>
      <c r="DI432" s="19">
        <v>0</v>
      </c>
      <c r="DJ432" s="19">
        <v>0</v>
      </c>
      <c r="DK432" s="19">
        <v>1899.8434782608699</v>
      </c>
      <c r="DL432" s="19">
        <v>16.808</v>
      </c>
      <c r="DM432" s="19">
        <v>2585.7130434782598</v>
      </c>
      <c r="DN432" s="19">
        <v>22.876000000000001</v>
      </c>
      <c r="DO432" s="19">
        <v>1024.3565217391299</v>
      </c>
      <c r="DP432" s="19">
        <v>11.464</v>
      </c>
      <c r="DQ432" s="19">
        <v>52.686956521739098</v>
      </c>
      <c r="DR432" s="19">
        <v>0.60599999999999998</v>
      </c>
      <c r="DS432" s="19">
        <v>0</v>
      </c>
      <c r="DT432" s="19">
        <v>0</v>
      </c>
      <c r="DU432" s="19">
        <v>0</v>
      </c>
      <c r="DV432" s="19">
        <v>0</v>
      </c>
      <c r="DW432" s="19">
        <v>0</v>
      </c>
      <c r="DX432" s="19">
        <v>0</v>
      </c>
      <c r="DY432" s="19">
        <v>0</v>
      </c>
      <c r="DZ432" s="19">
        <v>0</v>
      </c>
      <c r="EA432" s="19">
        <v>0</v>
      </c>
      <c r="EB432" s="19">
        <v>0</v>
      </c>
      <c r="EC432" s="19">
        <v>0</v>
      </c>
      <c r="ED432" s="19">
        <v>0</v>
      </c>
      <c r="EE432" s="19">
        <v>0</v>
      </c>
      <c r="EF432" s="19">
        <v>0</v>
      </c>
      <c r="EG432" s="19">
        <v>0</v>
      </c>
      <c r="EH432" s="19">
        <v>0</v>
      </c>
      <c r="EI432" s="19">
        <v>0</v>
      </c>
      <c r="EJ432" s="19">
        <v>0</v>
      </c>
      <c r="EK432" s="19">
        <v>0</v>
      </c>
      <c r="EL432" s="19">
        <v>0</v>
      </c>
      <c r="EM432" s="19">
        <v>0</v>
      </c>
      <c r="EN432" s="19">
        <v>0</v>
      </c>
      <c r="EO432" s="19">
        <v>0</v>
      </c>
      <c r="EP432" s="19">
        <v>0</v>
      </c>
      <c r="EQ432" s="19">
        <v>0</v>
      </c>
      <c r="ER432" s="19">
        <v>0</v>
      </c>
      <c r="ES432" s="119">
        <v>0</v>
      </c>
      <c r="ET432" s="119">
        <v>0</v>
      </c>
    </row>
    <row r="433" spans="1:150" ht="16.5" customHeight="1" x14ac:dyDescent="0.35">
      <c r="A433" s="4">
        <v>216</v>
      </c>
      <c r="B433" s="4" t="str">
        <f>LOOKUP(A433,Lookup!$A$1:$A$34,Lookup!$B$1:$B$34)</f>
        <v>BUTCH  WORS/MINCE/PAT</v>
      </c>
      <c r="C433" s="5">
        <v>46004</v>
      </c>
      <c r="D433" s="6" t="s">
        <v>410</v>
      </c>
      <c r="E433" s="18">
        <v>0</v>
      </c>
      <c r="F433" s="18">
        <v>0</v>
      </c>
      <c r="G433" s="18">
        <v>0</v>
      </c>
      <c r="H433" s="18">
        <v>0</v>
      </c>
      <c r="I433" s="19">
        <v>0</v>
      </c>
      <c r="J433" s="19">
        <v>0</v>
      </c>
      <c r="K433" s="19">
        <v>0</v>
      </c>
      <c r="L433" s="19">
        <v>0</v>
      </c>
      <c r="M433" s="19">
        <v>0</v>
      </c>
      <c r="N433" s="19">
        <v>0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0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19">
        <v>0</v>
      </c>
      <c r="AM433" s="19">
        <v>0</v>
      </c>
      <c r="AN433" s="19">
        <v>0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0</v>
      </c>
      <c r="AU433" s="19">
        <v>0</v>
      </c>
      <c r="AV433" s="19">
        <v>0</v>
      </c>
      <c r="AW433" s="19">
        <v>0</v>
      </c>
      <c r="AX433" s="19">
        <v>0</v>
      </c>
      <c r="AY433" s="19">
        <v>0</v>
      </c>
      <c r="AZ433" s="19">
        <v>0</v>
      </c>
      <c r="BA433" s="19">
        <v>0</v>
      </c>
      <c r="BB433" s="19">
        <v>0</v>
      </c>
      <c r="BC433" s="19">
        <v>0</v>
      </c>
      <c r="BD433" s="19">
        <v>0</v>
      </c>
      <c r="BE433" s="19">
        <v>0</v>
      </c>
      <c r="BF433" s="19">
        <v>0</v>
      </c>
      <c r="BG433" s="19">
        <v>0</v>
      </c>
      <c r="BH433" s="19">
        <v>0</v>
      </c>
      <c r="BI433" s="19">
        <v>0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  <c r="BP433" s="19">
        <v>0</v>
      </c>
      <c r="BQ433" s="19">
        <v>0</v>
      </c>
      <c r="BR433" s="19">
        <v>0</v>
      </c>
      <c r="BS433" s="19">
        <v>0</v>
      </c>
      <c r="BT433" s="19">
        <v>0</v>
      </c>
      <c r="BU433" s="19">
        <v>0</v>
      </c>
      <c r="BV433" s="19">
        <v>0</v>
      </c>
      <c r="BW433" s="19">
        <v>0</v>
      </c>
      <c r="BX433" s="19">
        <v>0</v>
      </c>
      <c r="BY433" s="19">
        <v>0</v>
      </c>
      <c r="BZ433" s="19">
        <v>0</v>
      </c>
      <c r="CA433" s="19">
        <v>0</v>
      </c>
      <c r="CB433" s="19">
        <v>0</v>
      </c>
      <c r="CC433" s="19">
        <v>0</v>
      </c>
      <c r="CD433" s="19">
        <v>0</v>
      </c>
      <c r="CE433" s="19">
        <v>0</v>
      </c>
      <c r="CF433" s="19">
        <v>0</v>
      </c>
      <c r="CG433" s="19">
        <v>0</v>
      </c>
      <c r="CH433" s="19">
        <v>0</v>
      </c>
      <c r="CI433" s="19">
        <v>0</v>
      </c>
      <c r="CJ433" s="19">
        <v>0</v>
      </c>
      <c r="CK433" s="19">
        <v>0</v>
      </c>
      <c r="CL433" s="19">
        <v>0</v>
      </c>
      <c r="CM433" s="19">
        <v>0</v>
      </c>
      <c r="CN433" s="19">
        <v>0</v>
      </c>
      <c r="CO433" s="19">
        <v>0</v>
      </c>
      <c r="CP433" s="19">
        <v>0</v>
      </c>
      <c r="CQ433" s="19">
        <v>0</v>
      </c>
      <c r="CR433" s="19">
        <v>0</v>
      </c>
      <c r="CS433" s="19">
        <v>0</v>
      </c>
      <c r="CT433" s="19">
        <v>0</v>
      </c>
      <c r="CU433" s="19">
        <v>0</v>
      </c>
      <c r="CV433" s="19">
        <v>0</v>
      </c>
      <c r="CW433" s="19">
        <v>0</v>
      </c>
      <c r="CX433" s="19">
        <v>0</v>
      </c>
      <c r="CY433" s="19">
        <v>0</v>
      </c>
      <c r="CZ433" s="19">
        <v>0</v>
      </c>
      <c r="DA433" s="19">
        <v>0</v>
      </c>
      <c r="DB433" s="19">
        <v>0</v>
      </c>
      <c r="DC433" s="19">
        <v>0</v>
      </c>
      <c r="DD433" s="19">
        <v>0</v>
      </c>
      <c r="DE433" s="19">
        <v>0</v>
      </c>
      <c r="DF433" s="19">
        <v>0</v>
      </c>
      <c r="DG433" s="19">
        <v>0</v>
      </c>
      <c r="DH433" s="19">
        <v>0</v>
      </c>
      <c r="DI433" s="19">
        <v>0</v>
      </c>
      <c r="DJ433" s="19">
        <v>0</v>
      </c>
      <c r="DK433" s="19">
        <v>0</v>
      </c>
      <c r="DL433" s="19">
        <v>0</v>
      </c>
      <c r="DM433" s="19">
        <v>0</v>
      </c>
      <c r="DN433" s="19">
        <v>0</v>
      </c>
      <c r="DO433" s="19">
        <v>0</v>
      </c>
      <c r="DP433" s="19">
        <v>0</v>
      </c>
      <c r="DQ433" s="19">
        <v>0</v>
      </c>
      <c r="DR433" s="19">
        <v>0</v>
      </c>
      <c r="DS433" s="19">
        <v>0</v>
      </c>
      <c r="DT433" s="19">
        <v>0</v>
      </c>
      <c r="DU433" s="19">
        <v>0</v>
      </c>
      <c r="DV433" s="19">
        <v>0</v>
      </c>
      <c r="DW433" s="19">
        <v>0</v>
      </c>
      <c r="DX433" s="19">
        <v>0</v>
      </c>
      <c r="DY433" s="19">
        <v>0</v>
      </c>
      <c r="DZ433" s="19">
        <v>0</v>
      </c>
      <c r="EA433" s="19">
        <v>0</v>
      </c>
      <c r="EB433" s="19">
        <v>0</v>
      </c>
      <c r="EC433" s="19">
        <v>0</v>
      </c>
      <c r="ED433" s="19">
        <v>0</v>
      </c>
      <c r="EE433" s="19">
        <v>0</v>
      </c>
      <c r="EF433" s="19">
        <v>0</v>
      </c>
      <c r="EG433" s="19">
        <v>0</v>
      </c>
      <c r="EH433" s="19">
        <v>0</v>
      </c>
      <c r="EI433" s="19">
        <v>0</v>
      </c>
      <c r="EJ433" s="19">
        <v>0</v>
      </c>
      <c r="EK433" s="19">
        <v>0</v>
      </c>
      <c r="EL433" s="19">
        <v>0</v>
      </c>
      <c r="EM433" s="19">
        <v>0</v>
      </c>
      <c r="EN433" s="19">
        <v>0</v>
      </c>
      <c r="EO433" s="19">
        <v>0</v>
      </c>
      <c r="EP433" s="19">
        <v>0</v>
      </c>
      <c r="EQ433" s="19">
        <v>0</v>
      </c>
      <c r="ER433" s="19">
        <v>0</v>
      </c>
      <c r="ES433" s="119">
        <v>0</v>
      </c>
      <c r="ET433" s="119">
        <v>0</v>
      </c>
    </row>
    <row r="434" spans="1:150" ht="16.5" customHeight="1" x14ac:dyDescent="0.35">
      <c r="A434" s="4">
        <v>216</v>
      </c>
      <c r="B434" s="4" t="str">
        <f>LOOKUP(A434,Lookup!$A$1:$A$34,Lookup!$B$1:$B$34)</f>
        <v>BUTCH  WORS/MINCE/PAT</v>
      </c>
      <c r="C434" s="5">
        <v>46061</v>
      </c>
      <c r="D434" s="6" t="s">
        <v>411</v>
      </c>
      <c r="E434" s="18">
        <v>307.187752602572</v>
      </c>
      <c r="F434" s="18">
        <v>3.5329999999999999</v>
      </c>
      <c r="G434" s="18">
        <v>21810.330434782602</v>
      </c>
      <c r="H434" s="18">
        <v>250.852</v>
      </c>
      <c r="I434" s="19">
        <v>2412.2086956521698</v>
      </c>
      <c r="J434" s="19">
        <v>27.744</v>
      </c>
      <c r="K434" s="19">
        <v>1360.8608695652199</v>
      </c>
      <c r="L434" s="19">
        <v>15.651999999999999</v>
      </c>
      <c r="M434" s="19">
        <v>910.84347826087003</v>
      </c>
      <c r="N434" s="19">
        <v>10.476000000000001</v>
      </c>
      <c r="O434" s="19">
        <v>993.06086956521699</v>
      </c>
      <c r="P434" s="19">
        <v>11.422000000000001</v>
      </c>
      <c r="Q434" s="19">
        <v>1584.30434782609</v>
      </c>
      <c r="R434" s="19">
        <v>18.222000000000001</v>
      </c>
      <c r="S434" s="19">
        <v>1556.1478260869601</v>
      </c>
      <c r="T434" s="19">
        <v>17.898</v>
      </c>
      <c r="U434" s="19">
        <v>1271.6608695652201</v>
      </c>
      <c r="V434" s="19">
        <v>14.625999999999999</v>
      </c>
      <c r="W434" s="19">
        <v>1837.8956521739101</v>
      </c>
      <c r="X434" s="19">
        <v>21.138000000000002</v>
      </c>
      <c r="Y434" s="19">
        <v>1272.73913043478</v>
      </c>
      <c r="Z434" s="19">
        <v>14.638</v>
      </c>
      <c r="AA434" s="19">
        <v>1118.1130434782599</v>
      </c>
      <c r="AB434" s="19">
        <v>12.86</v>
      </c>
      <c r="AC434" s="19">
        <v>827.53913043478303</v>
      </c>
      <c r="AD434" s="19">
        <v>9.5180000000000007</v>
      </c>
      <c r="AE434" s="19">
        <v>976.03478260869599</v>
      </c>
      <c r="AF434" s="19">
        <v>11.226000000000001</v>
      </c>
      <c r="AG434" s="19">
        <v>1186.26956521739</v>
      </c>
      <c r="AH434" s="19">
        <v>13.644</v>
      </c>
      <c r="AI434" s="19">
        <v>748.75652173912999</v>
      </c>
      <c r="AJ434" s="19">
        <v>8.6120000000000001</v>
      </c>
      <c r="AK434" s="19">
        <v>950.83478260869595</v>
      </c>
      <c r="AL434" s="19">
        <v>10.936</v>
      </c>
      <c r="AM434" s="19">
        <v>2001.0956521739099</v>
      </c>
      <c r="AN434" s="19">
        <v>23.015999999999998</v>
      </c>
      <c r="AO434" s="19">
        <v>744.40869565217395</v>
      </c>
      <c r="AP434" s="19">
        <v>8.5619999999999994</v>
      </c>
      <c r="AQ434" s="19">
        <v>57.556521739130403</v>
      </c>
      <c r="AR434" s="19">
        <v>0.66200000000000003</v>
      </c>
      <c r="AS434" s="19">
        <v>0</v>
      </c>
      <c r="AT434" s="19">
        <v>0</v>
      </c>
      <c r="AU434" s="19">
        <v>0</v>
      </c>
      <c r="AV434" s="19">
        <v>0</v>
      </c>
      <c r="AW434" s="19">
        <v>0</v>
      </c>
      <c r="AX434" s="19">
        <v>0</v>
      </c>
      <c r="AY434" s="19">
        <v>0</v>
      </c>
      <c r="AZ434" s="19">
        <v>0</v>
      </c>
      <c r="BA434" s="19">
        <v>0</v>
      </c>
      <c r="BB434" s="19">
        <v>0</v>
      </c>
      <c r="BC434" s="19">
        <v>0</v>
      </c>
      <c r="BD434" s="19">
        <v>0</v>
      </c>
      <c r="BE434" s="19">
        <v>0</v>
      </c>
      <c r="BF434" s="19">
        <v>0</v>
      </c>
      <c r="BG434" s="19">
        <v>0</v>
      </c>
      <c r="BH434" s="19">
        <v>0</v>
      </c>
      <c r="BI434" s="19">
        <v>0</v>
      </c>
      <c r="BJ434" s="19">
        <v>0</v>
      </c>
      <c r="BK434" s="19">
        <v>0</v>
      </c>
      <c r="BL434" s="19">
        <v>0</v>
      </c>
      <c r="BM434" s="19">
        <v>0</v>
      </c>
      <c r="BN434" s="19">
        <v>0</v>
      </c>
      <c r="BO434" s="19">
        <v>0</v>
      </c>
      <c r="BP434" s="19">
        <v>0</v>
      </c>
      <c r="BQ434" s="19">
        <v>0</v>
      </c>
      <c r="BR434" s="19">
        <v>0</v>
      </c>
      <c r="BS434" s="19">
        <v>0</v>
      </c>
      <c r="BT434" s="19">
        <v>0</v>
      </c>
      <c r="BU434" s="19">
        <v>0</v>
      </c>
      <c r="BV434" s="19">
        <v>0</v>
      </c>
      <c r="BW434" s="19">
        <v>0</v>
      </c>
      <c r="BX434" s="19">
        <v>0</v>
      </c>
      <c r="BY434" s="19">
        <v>0</v>
      </c>
      <c r="BZ434" s="19">
        <v>0</v>
      </c>
      <c r="CA434" s="19">
        <v>0</v>
      </c>
      <c r="CB434" s="19">
        <v>0</v>
      </c>
      <c r="CC434" s="19">
        <v>0</v>
      </c>
      <c r="CD434" s="19">
        <v>0</v>
      </c>
      <c r="CE434" s="19">
        <v>0</v>
      </c>
      <c r="CF434" s="19">
        <v>0</v>
      </c>
      <c r="CG434" s="19">
        <v>0</v>
      </c>
      <c r="CH434" s="19">
        <v>0</v>
      </c>
      <c r="CI434" s="19">
        <v>0</v>
      </c>
      <c r="CJ434" s="19">
        <v>0</v>
      </c>
      <c r="CK434" s="19">
        <v>0</v>
      </c>
      <c r="CL434" s="19">
        <v>0</v>
      </c>
      <c r="CM434" s="19">
        <v>0</v>
      </c>
      <c r="CN434" s="19">
        <v>0</v>
      </c>
      <c r="CO434" s="19">
        <v>0</v>
      </c>
      <c r="CP434" s="19">
        <v>0</v>
      </c>
      <c r="CQ434" s="19">
        <v>0</v>
      </c>
      <c r="CR434" s="19">
        <v>0</v>
      </c>
      <c r="CS434" s="19">
        <v>0</v>
      </c>
      <c r="CT434" s="19">
        <v>0</v>
      </c>
      <c r="CU434" s="19">
        <v>0</v>
      </c>
      <c r="CV434" s="19">
        <v>0</v>
      </c>
      <c r="CW434" s="19">
        <v>0</v>
      </c>
      <c r="CX434" s="19">
        <v>0</v>
      </c>
      <c r="CY434" s="19">
        <v>0</v>
      </c>
      <c r="CZ434" s="19">
        <v>0</v>
      </c>
      <c r="DA434" s="19">
        <v>0</v>
      </c>
      <c r="DB434" s="19">
        <v>0</v>
      </c>
      <c r="DC434" s="19">
        <v>0</v>
      </c>
      <c r="DD434" s="19">
        <v>0</v>
      </c>
      <c r="DE434" s="19">
        <v>0</v>
      </c>
      <c r="DF434" s="19">
        <v>0</v>
      </c>
      <c r="DG434" s="19">
        <v>0</v>
      </c>
      <c r="DH434" s="19">
        <v>0</v>
      </c>
      <c r="DI434" s="19">
        <v>0</v>
      </c>
      <c r="DJ434" s="19">
        <v>0</v>
      </c>
      <c r="DK434" s="19">
        <v>0</v>
      </c>
      <c r="DL434" s="19">
        <v>0</v>
      </c>
      <c r="DM434" s="19">
        <v>0</v>
      </c>
      <c r="DN434" s="19">
        <v>0</v>
      </c>
      <c r="DO434" s="19">
        <v>0</v>
      </c>
      <c r="DP434" s="19">
        <v>0</v>
      </c>
      <c r="DQ434" s="19">
        <v>0</v>
      </c>
      <c r="DR434" s="19">
        <v>0</v>
      </c>
      <c r="DS434" s="19">
        <v>0</v>
      </c>
      <c r="DT434" s="19">
        <v>0</v>
      </c>
      <c r="DU434" s="19">
        <v>0</v>
      </c>
      <c r="DV434" s="19">
        <v>0</v>
      </c>
      <c r="DW434" s="19">
        <v>0</v>
      </c>
      <c r="DX434" s="19">
        <v>0</v>
      </c>
      <c r="DY434" s="19">
        <v>0</v>
      </c>
      <c r="DZ434" s="19">
        <v>0</v>
      </c>
      <c r="EA434" s="19">
        <v>0</v>
      </c>
      <c r="EB434" s="19">
        <v>0</v>
      </c>
      <c r="EC434" s="19">
        <v>0</v>
      </c>
      <c r="ED434" s="19">
        <v>0</v>
      </c>
      <c r="EE434" s="19">
        <v>0</v>
      </c>
      <c r="EF434" s="19">
        <v>0</v>
      </c>
      <c r="EG434" s="19">
        <v>0</v>
      </c>
      <c r="EH434" s="19">
        <v>0</v>
      </c>
      <c r="EI434" s="19">
        <v>0</v>
      </c>
      <c r="EJ434" s="19">
        <v>0</v>
      </c>
      <c r="EK434" s="19">
        <v>0</v>
      </c>
      <c r="EL434" s="19">
        <v>0</v>
      </c>
      <c r="EM434" s="19">
        <v>0</v>
      </c>
      <c r="EN434" s="19">
        <v>0</v>
      </c>
      <c r="EO434" s="19">
        <v>0</v>
      </c>
      <c r="EP434" s="19">
        <v>0</v>
      </c>
      <c r="EQ434" s="19">
        <v>0</v>
      </c>
      <c r="ER434" s="19">
        <v>0</v>
      </c>
      <c r="ES434" s="119">
        <v>0</v>
      </c>
      <c r="ET434" s="119">
        <v>0</v>
      </c>
    </row>
    <row r="435" spans="1:150" ht="16.5" customHeight="1" x14ac:dyDescent="0.35">
      <c r="A435" s="4">
        <v>216</v>
      </c>
      <c r="B435" s="4" t="str">
        <f>LOOKUP(A435,Lookup!$A$1:$A$34,Lookup!$B$1:$B$34)</f>
        <v>BUTCH  WORS/MINCE/PAT</v>
      </c>
      <c r="C435" s="5">
        <v>46386</v>
      </c>
      <c r="D435" s="6" t="s">
        <v>412</v>
      </c>
      <c r="E435" s="18">
        <v>732.78505817513803</v>
      </c>
      <c r="F435" s="18">
        <v>7.1989999999999998</v>
      </c>
      <c r="G435" s="18">
        <v>52027.739130434798</v>
      </c>
      <c r="H435" s="18">
        <v>511.13600000000002</v>
      </c>
      <c r="I435" s="19">
        <v>1311.4434782608701</v>
      </c>
      <c r="J435" s="19">
        <v>15.084</v>
      </c>
      <c r="K435" s="19">
        <v>1140.72173913043</v>
      </c>
      <c r="L435" s="19">
        <v>13.12</v>
      </c>
      <c r="M435" s="19">
        <v>188.834782608696</v>
      </c>
      <c r="N435" s="19">
        <v>2.1720000000000002</v>
      </c>
      <c r="O435" s="19">
        <v>1237.20869565217</v>
      </c>
      <c r="P435" s="19">
        <v>14.23</v>
      </c>
      <c r="Q435" s="19">
        <v>1016.86956521739</v>
      </c>
      <c r="R435" s="19">
        <v>11.695</v>
      </c>
      <c r="S435" s="19">
        <v>1310.5739130434799</v>
      </c>
      <c r="T435" s="19">
        <v>15.074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2613.7826086956502</v>
      </c>
      <c r="AD435" s="19">
        <v>30.062000000000001</v>
      </c>
      <c r="AE435" s="19">
        <v>646.13913043478306</v>
      </c>
      <c r="AF435" s="19">
        <v>7.4320000000000004</v>
      </c>
      <c r="AG435" s="19">
        <v>674.147826086956</v>
      </c>
      <c r="AH435" s="19">
        <v>7.7539999999999996</v>
      </c>
      <c r="AI435" s="19">
        <v>764.04347826086996</v>
      </c>
      <c r="AJ435" s="19">
        <v>8.7880000000000003</v>
      </c>
      <c r="AK435" s="19">
        <v>472.62608695652199</v>
      </c>
      <c r="AL435" s="19">
        <v>5.4359999999999999</v>
      </c>
      <c r="AM435" s="19">
        <v>1166.22608695652</v>
      </c>
      <c r="AN435" s="19">
        <v>13.414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0</v>
      </c>
      <c r="AV435" s="19">
        <v>0</v>
      </c>
      <c r="AW435" s="19">
        <v>1282.0782608695699</v>
      </c>
      <c r="AX435" s="19">
        <v>14.744999999999999</v>
      </c>
      <c r="AY435" s="19">
        <v>0</v>
      </c>
      <c r="AZ435" s="19">
        <v>0</v>
      </c>
      <c r="BA435" s="19">
        <v>2207.1652173912998</v>
      </c>
      <c r="BB435" s="19">
        <v>23.077999999999999</v>
      </c>
      <c r="BC435" s="19">
        <v>2289.6695652173898</v>
      </c>
      <c r="BD435" s="19">
        <v>22.192</v>
      </c>
      <c r="BE435" s="19">
        <v>1772.8347826086999</v>
      </c>
      <c r="BF435" s="19">
        <v>18.38</v>
      </c>
      <c r="BG435" s="19">
        <v>1530.9391304347801</v>
      </c>
      <c r="BH435" s="19">
        <v>14.313000000000001</v>
      </c>
      <c r="BI435" s="19">
        <v>631.26086956521704</v>
      </c>
      <c r="BJ435" s="19">
        <v>5.9020000000000001</v>
      </c>
      <c r="BK435" s="19">
        <v>893.09565217391298</v>
      </c>
      <c r="BL435" s="19">
        <v>8.35</v>
      </c>
      <c r="BM435" s="19">
        <v>0</v>
      </c>
      <c r="BN435" s="19">
        <v>0</v>
      </c>
      <c r="BO435" s="19">
        <v>403.21739130434798</v>
      </c>
      <c r="BP435" s="19">
        <v>3.77</v>
      </c>
      <c r="BQ435" s="19">
        <v>1161.3304347826099</v>
      </c>
      <c r="BR435" s="19">
        <v>10.907</v>
      </c>
      <c r="BS435" s="19">
        <v>880.44347826087005</v>
      </c>
      <c r="BT435" s="19">
        <v>8.4380000000000006</v>
      </c>
      <c r="BU435" s="19">
        <v>2013.9304347826101</v>
      </c>
      <c r="BV435" s="19">
        <v>19.302</v>
      </c>
      <c r="BW435" s="19">
        <v>1946.1391304347801</v>
      </c>
      <c r="BX435" s="19">
        <v>18.652000000000001</v>
      </c>
      <c r="BY435" s="19">
        <v>40.695652173912997</v>
      </c>
      <c r="BZ435" s="19">
        <v>0.39</v>
      </c>
      <c r="CA435" s="19">
        <v>0</v>
      </c>
      <c r="CB435" s="19">
        <v>0</v>
      </c>
      <c r="CC435" s="19">
        <v>916.31304347826097</v>
      </c>
      <c r="CD435" s="19">
        <v>8.1059999999999999</v>
      </c>
      <c r="CE435" s="19">
        <v>1524.6173913043499</v>
      </c>
      <c r="CF435" s="19">
        <v>13.488</v>
      </c>
      <c r="CG435" s="19">
        <v>913.94782608695698</v>
      </c>
      <c r="CH435" s="19">
        <v>8.0860000000000003</v>
      </c>
      <c r="CI435" s="19">
        <v>0</v>
      </c>
      <c r="CJ435" s="19">
        <v>0</v>
      </c>
      <c r="CK435" s="19">
        <v>1393.02608695652</v>
      </c>
      <c r="CL435" s="19">
        <v>12.324</v>
      </c>
      <c r="CM435" s="19">
        <v>1012.73913043478</v>
      </c>
      <c r="CN435" s="19">
        <v>8.9600000000000009</v>
      </c>
      <c r="CO435" s="19">
        <v>2743.0695652173899</v>
      </c>
      <c r="CP435" s="19">
        <v>24.268000000000001</v>
      </c>
      <c r="CQ435" s="19">
        <v>2035.8695652173899</v>
      </c>
      <c r="CR435" s="19">
        <v>18.012</v>
      </c>
      <c r="CS435" s="19">
        <v>0</v>
      </c>
      <c r="CT435" s="19">
        <v>0</v>
      </c>
      <c r="CU435" s="19">
        <v>0</v>
      </c>
      <c r="CV435" s="19">
        <v>0</v>
      </c>
      <c r="CW435" s="19">
        <v>0</v>
      </c>
      <c r="CX435" s="19">
        <v>0</v>
      </c>
      <c r="CY435" s="19">
        <v>0</v>
      </c>
      <c r="CZ435" s="19">
        <v>0</v>
      </c>
      <c r="DA435" s="19">
        <v>0</v>
      </c>
      <c r="DB435" s="19">
        <v>0</v>
      </c>
      <c r="DC435" s="19">
        <v>0</v>
      </c>
      <c r="DD435" s="19">
        <v>0</v>
      </c>
      <c r="DE435" s="19">
        <v>0</v>
      </c>
      <c r="DF435" s="19">
        <v>0</v>
      </c>
      <c r="DG435" s="19">
        <v>0</v>
      </c>
      <c r="DH435" s="19">
        <v>0</v>
      </c>
      <c r="DI435" s="19">
        <v>1707.3478260869599</v>
      </c>
      <c r="DJ435" s="19">
        <v>15.103999999999999</v>
      </c>
      <c r="DK435" s="19">
        <v>0</v>
      </c>
      <c r="DL435" s="19">
        <v>0</v>
      </c>
      <c r="DM435" s="19">
        <v>0</v>
      </c>
      <c r="DN435" s="19">
        <v>0</v>
      </c>
      <c r="DO435" s="19">
        <v>0</v>
      </c>
      <c r="DP435" s="19">
        <v>0</v>
      </c>
      <c r="DQ435" s="19">
        <v>0</v>
      </c>
      <c r="DR435" s="19">
        <v>0</v>
      </c>
      <c r="DS435" s="19">
        <v>0</v>
      </c>
      <c r="DT435" s="19">
        <v>0</v>
      </c>
      <c r="DU435" s="19">
        <v>0</v>
      </c>
      <c r="DV435" s="19">
        <v>0</v>
      </c>
      <c r="DW435" s="19">
        <v>2033.4</v>
      </c>
      <c r="DX435" s="19">
        <v>17.988</v>
      </c>
      <c r="DY435" s="19">
        <v>1225.99130434783</v>
      </c>
      <c r="DZ435" s="19">
        <v>10.846</v>
      </c>
      <c r="EA435" s="19">
        <v>0</v>
      </c>
      <c r="EB435" s="19">
        <v>0</v>
      </c>
      <c r="EC435" s="19">
        <v>1545.1478260869601</v>
      </c>
      <c r="ED435" s="19">
        <v>13.67</v>
      </c>
      <c r="EE435" s="19">
        <v>1015.94782608696</v>
      </c>
      <c r="EF435" s="19">
        <v>8.9879999999999995</v>
      </c>
      <c r="EG435" s="19">
        <v>773.58260869565197</v>
      </c>
      <c r="EH435" s="19">
        <v>6.8440000000000003</v>
      </c>
      <c r="EI435" s="19">
        <v>0</v>
      </c>
      <c r="EJ435" s="19">
        <v>0</v>
      </c>
      <c r="EK435" s="19">
        <v>0</v>
      </c>
      <c r="EL435" s="19">
        <v>0</v>
      </c>
      <c r="EM435" s="19">
        <v>443.75652173912999</v>
      </c>
      <c r="EN435" s="19">
        <v>3.9260000000000002</v>
      </c>
      <c r="EO435" s="19">
        <v>1186.8086956521699</v>
      </c>
      <c r="EP435" s="19">
        <v>10.5</v>
      </c>
      <c r="EQ435" s="19">
        <v>1848.4</v>
      </c>
      <c r="ER435" s="19">
        <v>16.352</v>
      </c>
      <c r="ES435" s="119">
        <v>112.35652173913</v>
      </c>
      <c r="ET435" s="119">
        <v>0.99399999999999999</v>
      </c>
    </row>
    <row r="436" spans="1:150" ht="16.5" customHeight="1" x14ac:dyDescent="0.35">
      <c r="A436" s="4">
        <v>216</v>
      </c>
      <c r="B436" s="4" t="str">
        <f>LOOKUP(A436,Lookup!$A$1:$A$34,Lookup!$B$1:$B$34)</f>
        <v>BUTCH  WORS/MINCE/PAT</v>
      </c>
      <c r="C436" s="5">
        <v>46387</v>
      </c>
      <c r="D436" s="6" t="s">
        <v>413</v>
      </c>
      <c r="E436" s="18">
        <v>7.5222290263318996</v>
      </c>
      <c r="F436" s="18">
        <v>7.9000000000000001E-2</v>
      </c>
      <c r="G436" s="18">
        <v>534.07826086956504</v>
      </c>
      <c r="H436" s="18">
        <v>5.5839999999999996</v>
      </c>
      <c r="I436" s="19">
        <v>0</v>
      </c>
      <c r="J436" s="19">
        <v>0</v>
      </c>
      <c r="K436" s="19">
        <v>0</v>
      </c>
      <c r="L436" s="19">
        <v>0</v>
      </c>
      <c r="M436" s="19">
        <v>0</v>
      </c>
      <c r="N436" s="19">
        <v>0</v>
      </c>
      <c r="O436" s="19">
        <v>0</v>
      </c>
      <c r="P436" s="19">
        <v>0</v>
      </c>
      <c r="Q436" s="19">
        <v>0</v>
      </c>
      <c r="R436" s="19">
        <v>0</v>
      </c>
      <c r="S436" s="19">
        <v>0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0</v>
      </c>
      <c r="AD436" s="19">
        <v>0</v>
      </c>
      <c r="AE436" s="19">
        <v>0</v>
      </c>
      <c r="AF436" s="19">
        <v>0</v>
      </c>
      <c r="AG436" s="19">
        <v>0</v>
      </c>
      <c r="AH436" s="19">
        <v>0</v>
      </c>
      <c r="AI436" s="19">
        <v>0</v>
      </c>
      <c r="AJ436" s="19">
        <v>0</v>
      </c>
      <c r="AK436" s="19">
        <v>0</v>
      </c>
      <c r="AL436" s="19">
        <v>0</v>
      </c>
      <c r="AM436" s="19">
        <v>0</v>
      </c>
      <c r="AN436" s="19">
        <v>0</v>
      </c>
      <c r="AO436" s="19">
        <v>0</v>
      </c>
      <c r="AP436" s="19">
        <v>0</v>
      </c>
      <c r="AQ436" s="19">
        <v>0</v>
      </c>
      <c r="AR436" s="19">
        <v>0</v>
      </c>
      <c r="AS436" s="19">
        <v>0</v>
      </c>
      <c r="AT436" s="19">
        <v>0</v>
      </c>
      <c r="AU436" s="19">
        <v>0</v>
      </c>
      <c r="AV436" s="19">
        <v>0</v>
      </c>
      <c r="AW436" s="19">
        <v>0</v>
      </c>
      <c r="AX436" s="19">
        <v>0</v>
      </c>
      <c r="AY436" s="19">
        <v>0</v>
      </c>
      <c r="AZ436" s="19">
        <v>0</v>
      </c>
      <c r="BA436" s="19">
        <v>0</v>
      </c>
      <c r="BB436" s="19">
        <v>0</v>
      </c>
      <c r="BC436" s="19">
        <v>534.07826086956504</v>
      </c>
      <c r="BD436" s="19">
        <v>5.5839999999999996</v>
      </c>
      <c r="BE436" s="19">
        <v>0</v>
      </c>
      <c r="BF436" s="19">
        <v>0</v>
      </c>
      <c r="BG436" s="19">
        <v>0</v>
      </c>
      <c r="BH436" s="19">
        <v>0</v>
      </c>
      <c r="BI436" s="19">
        <v>0</v>
      </c>
      <c r="BJ436" s="19">
        <v>0</v>
      </c>
      <c r="BK436" s="19">
        <v>0</v>
      </c>
      <c r="BL436" s="19">
        <v>0</v>
      </c>
      <c r="BM436" s="19">
        <v>0</v>
      </c>
      <c r="BN436" s="19">
        <v>0</v>
      </c>
      <c r="BO436" s="19">
        <v>0</v>
      </c>
      <c r="BP436" s="19">
        <v>0</v>
      </c>
      <c r="BQ436" s="19">
        <v>0</v>
      </c>
      <c r="BR436" s="19">
        <v>0</v>
      </c>
      <c r="BS436" s="19">
        <v>0</v>
      </c>
      <c r="BT436" s="19">
        <v>0</v>
      </c>
      <c r="BU436" s="19">
        <v>0</v>
      </c>
      <c r="BV436" s="19">
        <v>0</v>
      </c>
      <c r="BW436" s="19">
        <v>0</v>
      </c>
      <c r="BX436" s="19">
        <v>0</v>
      </c>
      <c r="BY436" s="19">
        <v>0</v>
      </c>
      <c r="BZ436" s="19">
        <v>0</v>
      </c>
      <c r="CA436" s="19">
        <v>0</v>
      </c>
      <c r="CB436" s="19">
        <v>0</v>
      </c>
      <c r="CC436" s="19">
        <v>0</v>
      </c>
      <c r="CD436" s="19">
        <v>0</v>
      </c>
      <c r="CE436" s="19">
        <v>0</v>
      </c>
      <c r="CF436" s="19">
        <v>0</v>
      </c>
      <c r="CG436" s="19">
        <v>0</v>
      </c>
      <c r="CH436" s="19">
        <v>0</v>
      </c>
      <c r="CI436" s="19">
        <v>0</v>
      </c>
      <c r="CJ436" s="19">
        <v>0</v>
      </c>
      <c r="CK436" s="19">
        <v>0</v>
      </c>
      <c r="CL436" s="19">
        <v>0</v>
      </c>
      <c r="CM436" s="19">
        <v>0</v>
      </c>
      <c r="CN436" s="19">
        <v>0</v>
      </c>
      <c r="CO436" s="19">
        <v>0</v>
      </c>
      <c r="CP436" s="19">
        <v>0</v>
      </c>
      <c r="CQ436" s="19">
        <v>0</v>
      </c>
      <c r="CR436" s="19">
        <v>0</v>
      </c>
      <c r="CS436" s="19">
        <v>0</v>
      </c>
      <c r="CT436" s="19">
        <v>0</v>
      </c>
      <c r="CU436" s="19">
        <v>0</v>
      </c>
      <c r="CV436" s="19">
        <v>0</v>
      </c>
      <c r="CW436" s="19">
        <v>0</v>
      </c>
      <c r="CX436" s="19">
        <v>0</v>
      </c>
      <c r="CY436" s="19">
        <v>0</v>
      </c>
      <c r="CZ436" s="19">
        <v>0</v>
      </c>
      <c r="DA436" s="19">
        <v>0</v>
      </c>
      <c r="DB436" s="19">
        <v>0</v>
      </c>
      <c r="DC436" s="19">
        <v>0</v>
      </c>
      <c r="DD436" s="19">
        <v>0</v>
      </c>
      <c r="DE436" s="19">
        <v>0</v>
      </c>
      <c r="DF436" s="19">
        <v>0</v>
      </c>
      <c r="DG436" s="19">
        <v>0</v>
      </c>
      <c r="DH436" s="19">
        <v>0</v>
      </c>
      <c r="DI436" s="19">
        <v>0</v>
      </c>
      <c r="DJ436" s="19">
        <v>0</v>
      </c>
      <c r="DK436" s="19">
        <v>0</v>
      </c>
      <c r="DL436" s="19">
        <v>0</v>
      </c>
      <c r="DM436" s="19">
        <v>0</v>
      </c>
      <c r="DN436" s="19">
        <v>0</v>
      </c>
      <c r="DO436" s="19">
        <v>0</v>
      </c>
      <c r="DP436" s="19">
        <v>0</v>
      </c>
      <c r="DQ436" s="19">
        <v>0</v>
      </c>
      <c r="DR436" s="19">
        <v>0</v>
      </c>
      <c r="DS436" s="19">
        <v>0</v>
      </c>
      <c r="DT436" s="19">
        <v>0</v>
      </c>
      <c r="DU436" s="19">
        <v>0</v>
      </c>
      <c r="DV436" s="19">
        <v>0</v>
      </c>
      <c r="DW436" s="19">
        <v>0</v>
      </c>
      <c r="DX436" s="19">
        <v>0</v>
      </c>
      <c r="DY436" s="19">
        <v>0</v>
      </c>
      <c r="DZ436" s="19">
        <v>0</v>
      </c>
      <c r="EA436" s="19">
        <v>0</v>
      </c>
      <c r="EB436" s="19">
        <v>0</v>
      </c>
      <c r="EC436" s="19">
        <v>0</v>
      </c>
      <c r="ED436" s="19">
        <v>0</v>
      </c>
      <c r="EE436" s="19">
        <v>0</v>
      </c>
      <c r="EF436" s="19">
        <v>0</v>
      </c>
      <c r="EG436" s="19">
        <v>0</v>
      </c>
      <c r="EH436" s="19">
        <v>0</v>
      </c>
      <c r="EI436" s="19">
        <v>0</v>
      </c>
      <c r="EJ436" s="19">
        <v>0</v>
      </c>
      <c r="EK436" s="19">
        <v>0</v>
      </c>
      <c r="EL436" s="19">
        <v>0</v>
      </c>
      <c r="EM436" s="19">
        <v>0</v>
      </c>
      <c r="EN436" s="19">
        <v>0</v>
      </c>
      <c r="EO436" s="19">
        <v>0</v>
      </c>
      <c r="EP436" s="19">
        <v>0</v>
      </c>
      <c r="EQ436" s="19">
        <v>0</v>
      </c>
      <c r="ER436" s="19">
        <v>0</v>
      </c>
      <c r="ES436" s="119">
        <v>0</v>
      </c>
      <c r="ET436" s="119">
        <v>0</v>
      </c>
    </row>
    <row r="437" spans="1:150" ht="16.5" customHeight="1" x14ac:dyDescent="0.35">
      <c r="A437" s="4">
        <v>216</v>
      </c>
      <c r="B437" s="4" t="str">
        <f>LOOKUP(A437,Lookup!$A$1:$A$34,Lookup!$B$1:$B$34)</f>
        <v>BUTCH  WORS/MINCE/PAT</v>
      </c>
      <c r="C437" s="5">
        <v>47251</v>
      </c>
      <c r="D437" s="6" t="s">
        <v>414</v>
      </c>
      <c r="E437" s="18">
        <v>780.77085119412095</v>
      </c>
      <c r="F437" s="18">
        <v>9.375</v>
      </c>
      <c r="G437" s="18">
        <v>55434.730434782599</v>
      </c>
      <c r="H437" s="18">
        <v>665.59100000000001</v>
      </c>
      <c r="I437" s="19">
        <v>1299.27826086957</v>
      </c>
      <c r="J437" s="19">
        <v>14.944000000000001</v>
      </c>
      <c r="K437" s="19">
        <v>1037.24347826087</v>
      </c>
      <c r="L437" s="19">
        <v>11.93</v>
      </c>
      <c r="M437" s="19">
        <v>692.41739130434803</v>
      </c>
      <c r="N437" s="19">
        <v>7.9640000000000004</v>
      </c>
      <c r="O437" s="19">
        <v>687.02608695652202</v>
      </c>
      <c r="P437" s="19">
        <v>7.9020000000000001</v>
      </c>
      <c r="Q437" s="19">
        <v>1245.5739130434799</v>
      </c>
      <c r="R437" s="19">
        <v>14.326000000000001</v>
      </c>
      <c r="S437" s="19">
        <v>947.70434782608697</v>
      </c>
      <c r="T437" s="19">
        <v>10.9</v>
      </c>
      <c r="U437" s="19">
        <v>1192.02608695652</v>
      </c>
      <c r="V437" s="19">
        <v>13.71</v>
      </c>
      <c r="W437" s="19">
        <v>1103.00869565217</v>
      </c>
      <c r="X437" s="19">
        <v>12.686</v>
      </c>
      <c r="Y437" s="19">
        <v>1344.3652173912999</v>
      </c>
      <c r="Z437" s="19">
        <v>15.462</v>
      </c>
      <c r="AA437" s="19">
        <v>958.32173913043505</v>
      </c>
      <c r="AB437" s="19">
        <v>11.022</v>
      </c>
      <c r="AC437" s="19">
        <v>804.6</v>
      </c>
      <c r="AD437" s="19">
        <v>9.2539999999999996</v>
      </c>
      <c r="AE437" s="19">
        <v>676.08695652173901</v>
      </c>
      <c r="AF437" s="19">
        <v>7.7759999999999998</v>
      </c>
      <c r="AG437" s="19">
        <v>907.52173913043498</v>
      </c>
      <c r="AH437" s="19">
        <v>10.438000000000001</v>
      </c>
      <c r="AI437" s="19">
        <v>695.36521739130399</v>
      </c>
      <c r="AJ437" s="19">
        <v>7.9980000000000002</v>
      </c>
      <c r="AK437" s="19">
        <v>612.94782608695698</v>
      </c>
      <c r="AL437" s="19">
        <v>7.6929999999999996</v>
      </c>
      <c r="AM437" s="19">
        <v>753.452173913043</v>
      </c>
      <c r="AN437" s="19">
        <v>10.577</v>
      </c>
      <c r="AO437" s="19">
        <v>599.13913043478306</v>
      </c>
      <c r="AP437" s="19">
        <v>8.6140000000000008</v>
      </c>
      <c r="AQ437" s="19">
        <v>939.37391304347796</v>
      </c>
      <c r="AR437" s="19">
        <v>13.506</v>
      </c>
      <c r="AS437" s="19">
        <v>605.94782608695698</v>
      </c>
      <c r="AT437" s="19">
        <v>8.7119999999999997</v>
      </c>
      <c r="AU437" s="19">
        <v>289.61739130434802</v>
      </c>
      <c r="AV437" s="19">
        <v>4.1639999999999997</v>
      </c>
      <c r="AW437" s="19">
        <v>1196.0347826087</v>
      </c>
      <c r="AX437" s="19">
        <v>17.196000000000002</v>
      </c>
      <c r="AY437" s="19">
        <v>953.60869565217399</v>
      </c>
      <c r="AZ437" s="19">
        <v>13.71</v>
      </c>
      <c r="BA437" s="19">
        <v>815.44347826086903</v>
      </c>
      <c r="BB437" s="19">
        <v>11.724</v>
      </c>
      <c r="BC437" s="19">
        <v>1013.9391304347801</v>
      </c>
      <c r="BD437" s="19">
        <v>14.577999999999999</v>
      </c>
      <c r="BE437" s="19">
        <v>573.39130434782601</v>
      </c>
      <c r="BF437" s="19">
        <v>7.5469999999999997</v>
      </c>
      <c r="BG437" s="19">
        <v>721.14782608695702</v>
      </c>
      <c r="BH437" s="19">
        <v>9.2159999999999993</v>
      </c>
      <c r="BI437" s="19">
        <v>582.17391304347802</v>
      </c>
      <c r="BJ437" s="19">
        <v>7.44</v>
      </c>
      <c r="BK437" s="19">
        <v>736.32173913043505</v>
      </c>
      <c r="BL437" s="19">
        <v>9.41</v>
      </c>
      <c r="BM437" s="19">
        <v>659.16521739130405</v>
      </c>
      <c r="BN437" s="19">
        <v>8.4239999999999995</v>
      </c>
      <c r="BO437" s="19">
        <v>829.89565217391305</v>
      </c>
      <c r="BP437" s="19">
        <v>10.606</v>
      </c>
      <c r="BQ437" s="19">
        <v>796.4</v>
      </c>
      <c r="BR437" s="19">
        <v>10.178000000000001</v>
      </c>
      <c r="BS437" s="19">
        <v>648.34782608695696</v>
      </c>
      <c r="BT437" s="19">
        <v>8.2859999999999996</v>
      </c>
      <c r="BU437" s="19">
        <v>1038.1739130434801</v>
      </c>
      <c r="BV437" s="19">
        <v>13.268000000000001</v>
      </c>
      <c r="BW437" s="19">
        <v>104.539130434783</v>
      </c>
      <c r="BX437" s="19">
        <v>1.3360000000000001</v>
      </c>
      <c r="BY437" s="19">
        <v>775.147826086956</v>
      </c>
      <c r="BZ437" s="19">
        <v>9.9060000000000006</v>
      </c>
      <c r="CA437" s="19">
        <v>452.11304347826098</v>
      </c>
      <c r="CB437" s="19">
        <v>5.7779999999999996</v>
      </c>
      <c r="CC437" s="19">
        <v>592.33043478260902</v>
      </c>
      <c r="CD437" s="19">
        <v>7.57</v>
      </c>
      <c r="CE437" s="19">
        <v>707.82608695652198</v>
      </c>
      <c r="CF437" s="19">
        <v>9.0459999999999994</v>
      </c>
      <c r="CG437" s="19">
        <v>542.86956521739103</v>
      </c>
      <c r="CH437" s="19">
        <v>6.9370000000000003</v>
      </c>
      <c r="CI437" s="19">
        <v>598.74782608695705</v>
      </c>
      <c r="CJ437" s="19">
        <v>7.6520000000000001</v>
      </c>
      <c r="CK437" s="19">
        <v>0</v>
      </c>
      <c r="CL437" s="19">
        <v>0</v>
      </c>
      <c r="CM437" s="19">
        <v>1064.3565217391299</v>
      </c>
      <c r="CN437" s="19">
        <v>13.602</v>
      </c>
      <c r="CO437" s="19">
        <v>834.43478260869597</v>
      </c>
      <c r="CP437" s="19">
        <v>10.664</v>
      </c>
      <c r="CQ437" s="19">
        <v>833.19130434782596</v>
      </c>
      <c r="CR437" s="19">
        <v>10.648</v>
      </c>
      <c r="CS437" s="19">
        <v>676.51304347826101</v>
      </c>
      <c r="CT437" s="19">
        <v>8.6460000000000008</v>
      </c>
      <c r="CU437" s="19">
        <v>323.93913043478301</v>
      </c>
      <c r="CV437" s="19">
        <v>4.1399999999999997</v>
      </c>
      <c r="CW437" s="19">
        <v>946.95652173913004</v>
      </c>
      <c r="CX437" s="19">
        <v>12.102</v>
      </c>
      <c r="CY437" s="19">
        <v>619.24347826087001</v>
      </c>
      <c r="CZ437" s="19">
        <v>7.65</v>
      </c>
      <c r="DA437" s="19">
        <v>946.62608695652204</v>
      </c>
      <c r="DB437" s="19">
        <v>10.888</v>
      </c>
      <c r="DC437" s="19">
        <v>397.33043478260902</v>
      </c>
      <c r="DD437" s="19">
        <v>4.5350000000000001</v>
      </c>
      <c r="DE437" s="19">
        <v>1437.6782608695701</v>
      </c>
      <c r="DF437" s="19">
        <v>15.746</v>
      </c>
      <c r="DG437" s="19">
        <v>1701.73043478261</v>
      </c>
      <c r="DH437" s="19">
        <v>18.638000000000002</v>
      </c>
      <c r="DI437" s="19">
        <v>634.93043478260904</v>
      </c>
      <c r="DJ437" s="19">
        <v>6.9539999999999997</v>
      </c>
      <c r="DK437" s="19">
        <v>1184.5826086956499</v>
      </c>
      <c r="DL437" s="19">
        <v>12.974</v>
      </c>
      <c r="DM437" s="19">
        <v>1024.8</v>
      </c>
      <c r="DN437" s="19">
        <v>11.224</v>
      </c>
      <c r="DO437" s="19">
        <v>311.53043478260901</v>
      </c>
      <c r="DP437" s="19">
        <v>3.4119999999999999</v>
      </c>
      <c r="DQ437" s="19">
        <v>413.24347826087001</v>
      </c>
      <c r="DR437" s="19">
        <v>4.5259999999999998</v>
      </c>
      <c r="DS437" s="19">
        <v>1221.6521739130401</v>
      </c>
      <c r="DT437" s="19">
        <v>13.38</v>
      </c>
      <c r="DU437" s="19">
        <v>1421.0608695652199</v>
      </c>
      <c r="DV437" s="19">
        <v>15.564</v>
      </c>
      <c r="DW437" s="19">
        <v>1214.4000000000001</v>
      </c>
      <c r="DX437" s="19">
        <v>12.97</v>
      </c>
      <c r="DY437" s="19">
        <v>740.43478260869597</v>
      </c>
      <c r="DZ437" s="19">
        <v>7.742</v>
      </c>
      <c r="EA437" s="19">
        <v>724.36521739130399</v>
      </c>
      <c r="EB437" s="19">
        <v>7.5739999999999998</v>
      </c>
      <c r="EC437" s="19">
        <v>0</v>
      </c>
      <c r="ED437" s="19">
        <v>0</v>
      </c>
      <c r="EE437" s="19">
        <v>592.95652173913004</v>
      </c>
      <c r="EF437" s="19">
        <v>6.2</v>
      </c>
      <c r="EG437" s="19">
        <v>782.121739130435</v>
      </c>
      <c r="EH437" s="19">
        <v>8.1780000000000008</v>
      </c>
      <c r="EI437" s="19">
        <v>0</v>
      </c>
      <c r="EJ437" s="19">
        <v>0</v>
      </c>
      <c r="EK437" s="19">
        <v>574.99130434782603</v>
      </c>
      <c r="EL437" s="19">
        <v>6.0119999999999996</v>
      </c>
      <c r="EM437" s="19">
        <v>635.43478260869597</v>
      </c>
      <c r="EN437" s="19">
        <v>6.6440000000000001</v>
      </c>
      <c r="EO437" s="19">
        <v>1254.9652173913</v>
      </c>
      <c r="EP437" s="19">
        <v>13.122</v>
      </c>
      <c r="EQ437" s="19">
        <v>1063.8956521739101</v>
      </c>
      <c r="ER437" s="19">
        <v>11.124000000000001</v>
      </c>
      <c r="ES437" s="119">
        <v>198.35652173912999</v>
      </c>
      <c r="ET437" s="119">
        <v>2.0739999999999998</v>
      </c>
    </row>
    <row r="438" spans="1:150" ht="16.5" customHeight="1" x14ac:dyDescent="0.35">
      <c r="A438" s="4">
        <v>216</v>
      </c>
      <c r="B438" s="4" t="str">
        <f>LOOKUP(A438,Lookup!$A$1:$A$34,Lookup!$B$1:$B$34)</f>
        <v>BUTCH  WORS/MINCE/PAT</v>
      </c>
      <c r="C438" s="5">
        <v>47669</v>
      </c>
      <c r="D438" s="6" t="s">
        <v>415</v>
      </c>
      <c r="E438" s="18">
        <v>187.35786895284701</v>
      </c>
      <c r="F438" s="18">
        <v>3.996</v>
      </c>
      <c r="G438" s="18">
        <v>13302.408695652201</v>
      </c>
      <c r="H438" s="18">
        <v>283.721</v>
      </c>
      <c r="I438" s="19">
        <v>0</v>
      </c>
      <c r="J438" s="19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19">
        <v>0</v>
      </c>
      <c r="AJ438" s="19">
        <v>0</v>
      </c>
      <c r="AK438" s="19">
        <v>0</v>
      </c>
      <c r="AL438" s="19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0</v>
      </c>
      <c r="AU438" s="19">
        <v>0</v>
      </c>
      <c r="AV438" s="19">
        <v>0</v>
      </c>
      <c r="AW438" s="19">
        <v>0</v>
      </c>
      <c r="AX438" s="19">
        <v>0</v>
      </c>
      <c r="AY438" s="19">
        <v>0</v>
      </c>
      <c r="AZ438" s="19">
        <v>0</v>
      </c>
      <c r="BA438" s="19">
        <v>0</v>
      </c>
      <c r="BB438" s="19">
        <v>0</v>
      </c>
      <c r="BC438" s="19">
        <v>0</v>
      </c>
      <c r="BD438" s="19">
        <v>0</v>
      </c>
      <c r="BE438" s="19">
        <v>0</v>
      </c>
      <c r="BF438" s="19">
        <v>0</v>
      </c>
      <c r="BG438" s="19">
        <v>0</v>
      </c>
      <c r="BH438" s="19">
        <v>0</v>
      </c>
      <c r="BI438" s="19">
        <v>0</v>
      </c>
      <c r="BJ438" s="19">
        <v>0</v>
      </c>
      <c r="BK438" s="19">
        <v>0</v>
      </c>
      <c r="BL438" s="19">
        <v>0</v>
      </c>
      <c r="BM438" s="19">
        <v>0</v>
      </c>
      <c r="BN438" s="19">
        <v>0</v>
      </c>
      <c r="BO438" s="19">
        <v>0</v>
      </c>
      <c r="BP438" s="19">
        <v>0</v>
      </c>
      <c r="BQ438" s="19">
        <v>990.60869565217399</v>
      </c>
      <c r="BR438" s="19">
        <v>22.789000000000001</v>
      </c>
      <c r="BS438" s="19">
        <v>1116.1565217391301</v>
      </c>
      <c r="BT438" s="19">
        <v>25.677</v>
      </c>
      <c r="BU438" s="19">
        <v>57.304347826087003</v>
      </c>
      <c r="BV438" s="19">
        <v>1.3180000000000001</v>
      </c>
      <c r="BW438" s="19">
        <v>0</v>
      </c>
      <c r="BX438" s="19">
        <v>0</v>
      </c>
      <c r="BY438" s="19">
        <v>0</v>
      </c>
      <c r="BZ438" s="19">
        <v>0</v>
      </c>
      <c r="CA438" s="19">
        <v>0</v>
      </c>
      <c r="CB438" s="19">
        <v>0</v>
      </c>
      <c r="CC438" s="19">
        <v>0</v>
      </c>
      <c r="CD438" s="19">
        <v>0</v>
      </c>
      <c r="CE438" s="19">
        <v>462.08695652173901</v>
      </c>
      <c r="CF438" s="19">
        <v>10.028</v>
      </c>
      <c r="CG438" s="19">
        <v>288.86956521739103</v>
      </c>
      <c r="CH438" s="19">
        <v>6.2690000000000001</v>
      </c>
      <c r="CI438" s="19">
        <v>0</v>
      </c>
      <c r="CJ438" s="19">
        <v>0</v>
      </c>
      <c r="CK438" s="19">
        <v>0</v>
      </c>
      <c r="CL438" s="19">
        <v>0</v>
      </c>
      <c r="CM438" s="19">
        <v>0</v>
      </c>
      <c r="CN438" s="19">
        <v>0</v>
      </c>
      <c r="CO438" s="19">
        <v>1030.8695652173899</v>
      </c>
      <c r="CP438" s="19">
        <v>23.71</v>
      </c>
      <c r="CQ438" s="19">
        <v>364.86956521739103</v>
      </c>
      <c r="CR438" s="19">
        <v>8.3919999999999995</v>
      </c>
      <c r="CS438" s="19">
        <v>491.21739130434798</v>
      </c>
      <c r="CT438" s="19">
        <v>11.477</v>
      </c>
      <c r="CU438" s="19">
        <v>517.20000000000005</v>
      </c>
      <c r="CV438" s="19">
        <v>12.138999999999999</v>
      </c>
      <c r="CW438" s="19">
        <v>432.730434782609</v>
      </c>
      <c r="CX438" s="19">
        <v>10.156000000000001</v>
      </c>
      <c r="CY438" s="19">
        <v>551.46086956521697</v>
      </c>
      <c r="CZ438" s="19">
        <v>12.942</v>
      </c>
      <c r="DA438" s="19">
        <v>360.73913043478302</v>
      </c>
      <c r="DB438" s="19">
        <v>8.4659999999999993</v>
      </c>
      <c r="DC438" s="19">
        <v>0</v>
      </c>
      <c r="DD438" s="19">
        <v>0</v>
      </c>
      <c r="DE438" s="19">
        <v>0</v>
      </c>
      <c r="DF438" s="19">
        <v>0</v>
      </c>
      <c r="DG438" s="19">
        <v>0</v>
      </c>
      <c r="DH438" s="19">
        <v>0</v>
      </c>
      <c r="DI438" s="19">
        <v>0</v>
      </c>
      <c r="DJ438" s="19">
        <v>0</v>
      </c>
      <c r="DK438" s="19">
        <v>1097.8086956521699</v>
      </c>
      <c r="DL438" s="19">
        <v>21.398</v>
      </c>
      <c r="DM438" s="19">
        <v>1106.2</v>
      </c>
      <c r="DN438" s="19">
        <v>21.562000000000001</v>
      </c>
      <c r="DO438" s="19">
        <v>930.13043478260897</v>
      </c>
      <c r="DP438" s="19">
        <v>17.843</v>
      </c>
      <c r="DQ438" s="19">
        <v>675.50434782608704</v>
      </c>
      <c r="DR438" s="19">
        <v>12.95</v>
      </c>
      <c r="DS438" s="19">
        <v>349.21739130434798</v>
      </c>
      <c r="DT438" s="19">
        <v>6.6950000000000003</v>
      </c>
      <c r="DU438" s="19">
        <v>481.14782608695702</v>
      </c>
      <c r="DV438" s="19">
        <v>9.2230000000000008</v>
      </c>
      <c r="DW438" s="19">
        <v>473.21739130434798</v>
      </c>
      <c r="DX438" s="19">
        <v>9.3640000000000008</v>
      </c>
      <c r="DY438" s="19">
        <v>70.330434782608705</v>
      </c>
      <c r="DZ438" s="19">
        <v>1.444</v>
      </c>
      <c r="EA438" s="19">
        <v>387.84347826086997</v>
      </c>
      <c r="EB438" s="19">
        <v>7.9660000000000002</v>
      </c>
      <c r="EC438" s="19">
        <v>149.95652173913001</v>
      </c>
      <c r="ED438" s="19">
        <v>3.08</v>
      </c>
      <c r="EE438" s="19">
        <v>284.19130434782602</v>
      </c>
      <c r="EF438" s="19">
        <v>5.8369999999999997</v>
      </c>
      <c r="EG438" s="19">
        <v>0</v>
      </c>
      <c r="EH438" s="19">
        <v>0</v>
      </c>
      <c r="EI438" s="19">
        <v>0</v>
      </c>
      <c r="EJ438" s="19">
        <v>0</v>
      </c>
      <c r="EK438" s="19">
        <v>0</v>
      </c>
      <c r="EL438" s="19">
        <v>0</v>
      </c>
      <c r="EM438" s="19">
        <v>0</v>
      </c>
      <c r="EN438" s="19">
        <v>0</v>
      </c>
      <c r="EO438" s="19">
        <v>549.29565217391303</v>
      </c>
      <c r="EP438" s="19">
        <v>11.282</v>
      </c>
      <c r="EQ438" s="19">
        <v>83.452173913043495</v>
      </c>
      <c r="ER438" s="19">
        <v>1.714</v>
      </c>
      <c r="ES438" s="119">
        <v>0</v>
      </c>
      <c r="ET438" s="119">
        <v>0</v>
      </c>
    </row>
    <row r="439" spans="1:150" ht="16.5" customHeight="1" x14ac:dyDescent="0.35">
      <c r="A439" s="4">
        <v>216</v>
      </c>
      <c r="B439" s="4" t="str">
        <f>LOOKUP(A439,Lookup!$A$1:$A$34,Lookup!$B$1:$B$34)</f>
        <v>BUTCH  WORS/MINCE/PAT</v>
      </c>
      <c r="C439" s="5">
        <v>47745</v>
      </c>
      <c r="D439" s="6" t="s">
        <v>416</v>
      </c>
      <c r="E439" s="18">
        <v>230.95199020208199</v>
      </c>
      <c r="F439" s="18">
        <v>5.577</v>
      </c>
      <c r="G439" s="18">
        <v>16397.591304347799</v>
      </c>
      <c r="H439" s="18">
        <v>395.97199999999998</v>
      </c>
      <c r="I439" s="19">
        <v>0</v>
      </c>
      <c r="J439" s="19">
        <v>0</v>
      </c>
      <c r="K439" s="19">
        <v>0</v>
      </c>
      <c r="L439" s="19">
        <v>0</v>
      </c>
      <c r="M439" s="19">
        <v>0</v>
      </c>
      <c r="N439" s="19">
        <v>0</v>
      </c>
      <c r="O439" s="19">
        <v>0</v>
      </c>
      <c r="P439" s="19">
        <v>0</v>
      </c>
      <c r="Q439" s="19">
        <v>0</v>
      </c>
      <c r="R439" s="19">
        <v>0</v>
      </c>
      <c r="S439" s="19">
        <v>0</v>
      </c>
      <c r="T439" s="19">
        <v>0</v>
      </c>
      <c r="U439" s="19">
        <v>0</v>
      </c>
      <c r="V439" s="19">
        <v>0</v>
      </c>
      <c r="W439" s="19">
        <v>0</v>
      </c>
      <c r="X439" s="19">
        <v>0</v>
      </c>
      <c r="Y439" s="19">
        <v>0</v>
      </c>
      <c r="Z439" s="19">
        <v>0</v>
      </c>
      <c r="AA439" s="19">
        <v>0</v>
      </c>
      <c r="AB439" s="19">
        <v>0</v>
      </c>
      <c r="AC439" s="19">
        <v>0</v>
      </c>
      <c r="AD439" s="19">
        <v>0</v>
      </c>
      <c r="AE439" s="19">
        <v>0</v>
      </c>
      <c r="AF439" s="19">
        <v>0</v>
      </c>
      <c r="AG439" s="19">
        <v>0</v>
      </c>
      <c r="AH439" s="19">
        <v>0</v>
      </c>
      <c r="AI439" s="19">
        <v>0</v>
      </c>
      <c r="AJ439" s="19">
        <v>0</v>
      </c>
      <c r="AK439" s="19">
        <v>0</v>
      </c>
      <c r="AL439" s="19">
        <v>0</v>
      </c>
      <c r="AM439" s="19">
        <v>0</v>
      </c>
      <c r="AN439" s="19">
        <v>0</v>
      </c>
      <c r="AO439" s="19">
        <v>0</v>
      </c>
      <c r="AP439" s="19">
        <v>0</v>
      </c>
      <c r="AQ439" s="19">
        <v>0</v>
      </c>
      <c r="AR439" s="19">
        <v>0</v>
      </c>
      <c r="AS439" s="19">
        <v>0</v>
      </c>
      <c r="AT439" s="19">
        <v>0</v>
      </c>
      <c r="AU439" s="19">
        <v>0</v>
      </c>
      <c r="AV439" s="19">
        <v>0</v>
      </c>
      <c r="AW439" s="19">
        <v>0</v>
      </c>
      <c r="AX439" s="19">
        <v>0</v>
      </c>
      <c r="AY439" s="19">
        <v>0</v>
      </c>
      <c r="AZ439" s="19">
        <v>0</v>
      </c>
      <c r="BA439" s="19">
        <v>0</v>
      </c>
      <c r="BB439" s="19">
        <v>0</v>
      </c>
      <c r="BC439" s="19">
        <v>0</v>
      </c>
      <c r="BD439" s="19">
        <v>0</v>
      </c>
      <c r="BE439" s="19">
        <v>0</v>
      </c>
      <c r="BF439" s="19">
        <v>0</v>
      </c>
      <c r="BG439" s="19">
        <v>0</v>
      </c>
      <c r="BH439" s="19">
        <v>0</v>
      </c>
      <c r="BI439" s="19">
        <v>0</v>
      </c>
      <c r="BJ439" s="19">
        <v>0</v>
      </c>
      <c r="BK439" s="19">
        <v>0</v>
      </c>
      <c r="BL439" s="19">
        <v>0</v>
      </c>
      <c r="BM439" s="19">
        <v>0</v>
      </c>
      <c r="BN439" s="19">
        <v>0</v>
      </c>
      <c r="BO439" s="19">
        <v>0</v>
      </c>
      <c r="BP439" s="19">
        <v>0</v>
      </c>
      <c r="BQ439" s="19">
        <v>1782.6347826087001</v>
      </c>
      <c r="BR439" s="19">
        <v>51.262999999999998</v>
      </c>
      <c r="BS439" s="19">
        <v>908.99130434782603</v>
      </c>
      <c r="BT439" s="19">
        <v>26.140999999999998</v>
      </c>
      <c r="BU439" s="19">
        <v>40.6086956521739</v>
      </c>
      <c r="BV439" s="19">
        <v>1.0469999999999999</v>
      </c>
      <c r="BW439" s="19">
        <v>0</v>
      </c>
      <c r="BX439" s="19">
        <v>0</v>
      </c>
      <c r="BY439" s="19">
        <v>0</v>
      </c>
      <c r="BZ439" s="19">
        <v>0</v>
      </c>
      <c r="CA439" s="19">
        <v>0</v>
      </c>
      <c r="CB439" s="19">
        <v>0</v>
      </c>
      <c r="CC439" s="19">
        <v>0</v>
      </c>
      <c r="CD439" s="19">
        <v>0</v>
      </c>
      <c r="CE439" s="19">
        <v>796.55652173913097</v>
      </c>
      <c r="CF439" s="19">
        <v>18.324000000000002</v>
      </c>
      <c r="CG439" s="19">
        <v>213.35652173912999</v>
      </c>
      <c r="CH439" s="19">
        <v>4.9089999999999998</v>
      </c>
      <c r="CI439" s="19">
        <v>0</v>
      </c>
      <c r="CJ439" s="19">
        <v>0</v>
      </c>
      <c r="CK439" s="19">
        <v>0</v>
      </c>
      <c r="CL439" s="19">
        <v>0</v>
      </c>
      <c r="CM439" s="19">
        <v>0</v>
      </c>
      <c r="CN439" s="19">
        <v>0</v>
      </c>
      <c r="CO439" s="19">
        <v>621.39130434782601</v>
      </c>
      <c r="CP439" s="19">
        <v>15.88</v>
      </c>
      <c r="CQ439" s="19">
        <v>847.72173913043503</v>
      </c>
      <c r="CR439" s="19">
        <v>21.664000000000001</v>
      </c>
      <c r="CS439" s="19">
        <v>1223.8434782608699</v>
      </c>
      <c r="CT439" s="19">
        <v>28.974</v>
      </c>
      <c r="CU439" s="19">
        <v>467.06086956521699</v>
      </c>
      <c r="CV439" s="19">
        <v>10.961</v>
      </c>
      <c r="CW439" s="19">
        <v>404.61739130434802</v>
      </c>
      <c r="CX439" s="19">
        <v>9.4960000000000004</v>
      </c>
      <c r="CY439" s="19">
        <v>850.43478260869597</v>
      </c>
      <c r="CZ439" s="19">
        <v>19.959</v>
      </c>
      <c r="DA439" s="19">
        <v>639.13043478260897</v>
      </c>
      <c r="DB439" s="19">
        <v>15</v>
      </c>
      <c r="DC439" s="19">
        <v>0</v>
      </c>
      <c r="DD439" s="19">
        <v>0</v>
      </c>
      <c r="DE439" s="19">
        <v>0</v>
      </c>
      <c r="DF439" s="19">
        <v>0</v>
      </c>
      <c r="DG439" s="19">
        <v>0</v>
      </c>
      <c r="DH439" s="19">
        <v>0</v>
      </c>
      <c r="DI439" s="19">
        <v>0</v>
      </c>
      <c r="DJ439" s="19">
        <v>0</v>
      </c>
      <c r="DK439" s="19">
        <v>690.82608695652198</v>
      </c>
      <c r="DL439" s="19">
        <v>14.99</v>
      </c>
      <c r="DM439" s="19">
        <v>1145.73043478261</v>
      </c>
      <c r="DN439" s="19">
        <v>24.86</v>
      </c>
      <c r="DO439" s="19">
        <v>526.68695652173903</v>
      </c>
      <c r="DP439" s="19">
        <v>11.999000000000001</v>
      </c>
      <c r="DQ439" s="19">
        <v>585.14782608695702</v>
      </c>
      <c r="DR439" s="19">
        <v>13.462</v>
      </c>
      <c r="DS439" s="19">
        <v>195.426086956522</v>
      </c>
      <c r="DT439" s="19">
        <v>4.4960000000000004</v>
      </c>
      <c r="DU439" s="19">
        <v>651.81739130434801</v>
      </c>
      <c r="DV439" s="19">
        <v>14.996</v>
      </c>
      <c r="DW439" s="19">
        <v>768.21739130434798</v>
      </c>
      <c r="DX439" s="19">
        <v>17.672999999999998</v>
      </c>
      <c r="DY439" s="19">
        <v>340.52173913043498</v>
      </c>
      <c r="DZ439" s="19">
        <v>7.8339999999999996</v>
      </c>
      <c r="EA439" s="19">
        <v>606.06956521739096</v>
      </c>
      <c r="EB439" s="19">
        <v>13.943</v>
      </c>
      <c r="EC439" s="19">
        <v>425.34782608695701</v>
      </c>
      <c r="ED439" s="19">
        <v>9.7859999999999996</v>
      </c>
      <c r="EE439" s="19">
        <v>188.20869565217399</v>
      </c>
      <c r="EF439" s="19">
        <v>4.33</v>
      </c>
      <c r="EG439" s="19">
        <v>0</v>
      </c>
      <c r="EH439" s="19">
        <v>0</v>
      </c>
      <c r="EI439" s="19">
        <v>0</v>
      </c>
      <c r="EJ439" s="19">
        <v>0</v>
      </c>
      <c r="EK439" s="19">
        <v>0</v>
      </c>
      <c r="EL439" s="19">
        <v>0</v>
      </c>
      <c r="EM439" s="19">
        <v>0</v>
      </c>
      <c r="EN439" s="19">
        <v>0</v>
      </c>
      <c r="EO439" s="19">
        <v>1378.1391304347801</v>
      </c>
      <c r="EP439" s="19">
        <v>31.704999999999998</v>
      </c>
      <c r="EQ439" s="19">
        <v>65.895652173913007</v>
      </c>
      <c r="ER439" s="19">
        <v>1.516</v>
      </c>
      <c r="ES439" s="119">
        <v>33.208695652173901</v>
      </c>
      <c r="ET439" s="119">
        <v>0.76400000000000001</v>
      </c>
    </row>
    <row r="440" spans="1:150" ht="16.5" customHeight="1" x14ac:dyDescent="0.35">
      <c r="A440" s="4">
        <v>216</v>
      </c>
      <c r="B440" s="4" t="str">
        <f>LOOKUP(A440,Lookup!$A$1:$A$34,Lookup!$B$1:$B$34)</f>
        <v>BUTCH  WORS/MINCE/PAT</v>
      </c>
      <c r="C440" s="5">
        <v>50302</v>
      </c>
      <c r="D440" s="6" t="s">
        <v>417</v>
      </c>
      <c r="E440" s="18">
        <v>0</v>
      </c>
      <c r="F440" s="18">
        <v>0</v>
      </c>
      <c r="G440" s="18">
        <v>0</v>
      </c>
      <c r="H440" s="18">
        <v>0</v>
      </c>
      <c r="I440" s="19">
        <v>0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9">
        <v>0</v>
      </c>
      <c r="Q440" s="19">
        <v>0</v>
      </c>
      <c r="R440" s="19">
        <v>0</v>
      </c>
      <c r="S440" s="19">
        <v>0</v>
      </c>
      <c r="T440" s="19">
        <v>0</v>
      </c>
      <c r="U440" s="19">
        <v>0</v>
      </c>
      <c r="V440" s="19">
        <v>0</v>
      </c>
      <c r="W440" s="19">
        <v>0</v>
      </c>
      <c r="X440" s="19">
        <v>0</v>
      </c>
      <c r="Y440" s="19">
        <v>0</v>
      </c>
      <c r="Z440" s="19">
        <v>0</v>
      </c>
      <c r="AA440" s="19">
        <v>0</v>
      </c>
      <c r="AB440" s="19">
        <v>0</v>
      </c>
      <c r="AC440" s="19">
        <v>0</v>
      </c>
      <c r="AD440" s="19">
        <v>0</v>
      </c>
      <c r="AE440" s="19">
        <v>0</v>
      </c>
      <c r="AF440" s="19">
        <v>0</v>
      </c>
      <c r="AG440" s="19">
        <v>0</v>
      </c>
      <c r="AH440" s="19">
        <v>0</v>
      </c>
      <c r="AI440" s="19">
        <v>0</v>
      </c>
      <c r="AJ440" s="19">
        <v>0</v>
      </c>
      <c r="AK440" s="19">
        <v>0</v>
      </c>
      <c r="AL440" s="19">
        <v>0</v>
      </c>
      <c r="AM440" s="19">
        <v>0</v>
      </c>
      <c r="AN440" s="19">
        <v>0</v>
      </c>
      <c r="AO440" s="19">
        <v>0</v>
      </c>
      <c r="AP440" s="19">
        <v>0</v>
      </c>
      <c r="AQ440" s="19">
        <v>0</v>
      </c>
      <c r="AR440" s="19">
        <v>0</v>
      </c>
      <c r="AS440" s="19">
        <v>0</v>
      </c>
      <c r="AT440" s="19">
        <v>0</v>
      </c>
      <c r="AU440" s="19">
        <v>0</v>
      </c>
      <c r="AV440" s="19">
        <v>0</v>
      </c>
      <c r="AW440" s="19">
        <v>0</v>
      </c>
      <c r="AX440" s="19">
        <v>0</v>
      </c>
      <c r="AY440" s="19">
        <v>0</v>
      </c>
      <c r="AZ440" s="19">
        <v>0</v>
      </c>
      <c r="BA440" s="19">
        <v>0</v>
      </c>
      <c r="BB440" s="19">
        <v>0</v>
      </c>
      <c r="BC440" s="19">
        <v>0</v>
      </c>
      <c r="BD440" s="19">
        <v>0</v>
      </c>
      <c r="BE440" s="19">
        <v>0</v>
      </c>
      <c r="BF440" s="19">
        <v>0</v>
      </c>
      <c r="BG440" s="19">
        <v>0</v>
      </c>
      <c r="BH440" s="19">
        <v>0</v>
      </c>
      <c r="BI440" s="19">
        <v>0</v>
      </c>
      <c r="BJ440" s="19">
        <v>0</v>
      </c>
      <c r="BK440" s="19">
        <v>0</v>
      </c>
      <c r="BL440" s="19">
        <v>0</v>
      </c>
      <c r="BM440" s="19">
        <v>0</v>
      </c>
      <c r="BN440" s="19">
        <v>0</v>
      </c>
      <c r="BO440" s="19">
        <v>0</v>
      </c>
      <c r="BP440" s="19">
        <v>0</v>
      </c>
      <c r="BQ440" s="19">
        <v>0</v>
      </c>
      <c r="BR440" s="19">
        <v>0</v>
      </c>
      <c r="BS440" s="19">
        <v>0</v>
      </c>
      <c r="BT440" s="19">
        <v>0</v>
      </c>
      <c r="BU440" s="19">
        <v>0</v>
      </c>
      <c r="BV440" s="19">
        <v>0</v>
      </c>
      <c r="BW440" s="19">
        <v>0</v>
      </c>
      <c r="BX440" s="19">
        <v>0</v>
      </c>
      <c r="BY440" s="19">
        <v>0</v>
      </c>
      <c r="BZ440" s="19">
        <v>0</v>
      </c>
      <c r="CA440" s="19">
        <v>0</v>
      </c>
      <c r="CB440" s="19">
        <v>0</v>
      </c>
      <c r="CC440" s="19">
        <v>0</v>
      </c>
      <c r="CD440" s="19">
        <v>0</v>
      </c>
      <c r="CE440" s="19">
        <v>0</v>
      </c>
      <c r="CF440" s="19">
        <v>0</v>
      </c>
      <c r="CG440" s="19">
        <v>0</v>
      </c>
      <c r="CH440" s="19">
        <v>0</v>
      </c>
      <c r="CI440" s="19">
        <v>0</v>
      </c>
      <c r="CJ440" s="19">
        <v>0</v>
      </c>
      <c r="CK440" s="19">
        <v>0</v>
      </c>
      <c r="CL440" s="19">
        <v>0</v>
      </c>
      <c r="CM440" s="19">
        <v>0</v>
      </c>
      <c r="CN440" s="19">
        <v>0</v>
      </c>
      <c r="CO440" s="19">
        <v>0</v>
      </c>
      <c r="CP440" s="19">
        <v>0</v>
      </c>
      <c r="CQ440" s="19">
        <v>0</v>
      </c>
      <c r="CR440" s="19">
        <v>0</v>
      </c>
      <c r="CS440" s="19">
        <v>0</v>
      </c>
      <c r="CT440" s="19">
        <v>0</v>
      </c>
      <c r="CU440" s="19">
        <v>0</v>
      </c>
      <c r="CV440" s="19">
        <v>0</v>
      </c>
      <c r="CW440" s="19">
        <v>0</v>
      </c>
      <c r="CX440" s="19">
        <v>0</v>
      </c>
      <c r="CY440" s="19">
        <v>0</v>
      </c>
      <c r="CZ440" s="19">
        <v>0</v>
      </c>
      <c r="DA440" s="19">
        <v>0</v>
      </c>
      <c r="DB440" s="19">
        <v>0</v>
      </c>
      <c r="DC440" s="19">
        <v>0</v>
      </c>
      <c r="DD440" s="19">
        <v>0</v>
      </c>
      <c r="DE440" s="19">
        <v>0</v>
      </c>
      <c r="DF440" s="19">
        <v>0</v>
      </c>
      <c r="DG440" s="19">
        <v>0</v>
      </c>
      <c r="DH440" s="19">
        <v>0</v>
      </c>
      <c r="DI440" s="19">
        <v>0</v>
      </c>
      <c r="DJ440" s="19">
        <v>0</v>
      </c>
      <c r="DK440" s="19">
        <v>0</v>
      </c>
      <c r="DL440" s="19">
        <v>0</v>
      </c>
      <c r="DM440" s="19">
        <v>0</v>
      </c>
      <c r="DN440" s="19">
        <v>0</v>
      </c>
      <c r="DO440" s="19">
        <v>0</v>
      </c>
      <c r="DP440" s="19">
        <v>0</v>
      </c>
      <c r="DQ440" s="19">
        <v>0</v>
      </c>
      <c r="DR440" s="19">
        <v>0</v>
      </c>
      <c r="DS440" s="19">
        <v>0</v>
      </c>
      <c r="DT440" s="19">
        <v>0</v>
      </c>
      <c r="DU440" s="19">
        <v>0</v>
      </c>
      <c r="DV440" s="19">
        <v>0</v>
      </c>
      <c r="DW440" s="19">
        <v>0</v>
      </c>
      <c r="DX440" s="19">
        <v>0</v>
      </c>
      <c r="DY440" s="19">
        <v>0</v>
      </c>
      <c r="DZ440" s="19">
        <v>0</v>
      </c>
      <c r="EA440" s="19">
        <v>0</v>
      </c>
      <c r="EB440" s="19">
        <v>0</v>
      </c>
      <c r="EC440" s="19">
        <v>0</v>
      </c>
      <c r="ED440" s="19">
        <v>0</v>
      </c>
      <c r="EE440" s="19">
        <v>0</v>
      </c>
      <c r="EF440" s="19">
        <v>0</v>
      </c>
      <c r="EG440" s="19">
        <v>0</v>
      </c>
      <c r="EH440" s="19">
        <v>0</v>
      </c>
      <c r="EI440" s="19">
        <v>0</v>
      </c>
      <c r="EJ440" s="19">
        <v>0</v>
      </c>
      <c r="EK440" s="19">
        <v>0</v>
      </c>
      <c r="EL440" s="19">
        <v>0</v>
      </c>
      <c r="EM440" s="19">
        <v>0</v>
      </c>
      <c r="EN440" s="19">
        <v>0</v>
      </c>
      <c r="EO440" s="19">
        <v>0</v>
      </c>
      <c r="EP440" s="19">
        <v>0</v>
      </c>
      <c r="EQ440" s="19">
        <v>0</v>
      </c>
      <c r="ER440" s="19">
        <v>0</v>
      </c>
      <c r="ES440" s="119">
        <v>0</v>
      </c>
      <c r="ET440" s="119">
        <v>0</v>
      </c>
    </row>
    <row r="441" spans="1:150" ht="16.5" customHeight="1" x14ac:dyDescent="0.35">
      <c r="A441" s="4">
        <v>216</v>
      </c>
      <c r="B441" s="4" t="str">
        <f>LOOKUP(A441,Lookup!$A$1:$A$34,Lookup!$B$1:$B$34)</f>
        <v>BUTCH  WORS/MINCE/PAT</v>
      </c>
      <c r="C441" s="5">
        <v>51078</v>
      </c>
      <c r="D441" s="6" t="s">
        <v>418</v>
      </c>
      <c r="E441" s="18">
        <v>730.56558481322702</v>
      </c>
      <c r="F441" s="18">
        <v>7.2140000000000004</v>
      </c>
      <c r="G441" s="18">
        <v>51870.156521739103</v>
      </c>
      <c r="H441" s="18">
        <v>512.16600000000005</v>
      </c>
      <c r="I441" s="19">
        <v>0</v>
      </c>
      <c r="J441" s="19">
        <v>0</v>
      </c>
      <c r="K441" s="19">
        <v>0</v>
      </c>
      <c r="L441" s="19">
        <v>0</v>
      </c>
      <c r="M441" s="19">
        <v>0</v>
      </c>
      <c r="N441" s="19">
        <v>0</v>
      </c>
      <c r="O441" s="19">
        <v>0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19">
        <v>0</v>
      </c>
      <c r="AJ441" s="19">
        <v>0</v>
      </c>
      <c r="AK441" s="19">
        <v>1265.48695652174</v>
      </c>
      <c r="AL441" s="19">
        <v>13.231999999999999</v>
      </c>
      <c r="AM441" s="19">
        <v>1393.46086956522</v>
      </c>
      <c r="AN441" s="19">
        <v>14.57</v>
      </c>
      <c r="AO441" s="19">
        <v>194.721739130435</v>
      </c>
      <c r="AP441" s="19">
        <v>2.036</v>
      </c>
      <c r="AQ441" s="19">
        <v>0</v>
      </c>
      <c r="AR441" s="19">
        <v>0</v>
      </c>
      <c r="AS441" s="19">
        <v>1869.3739130434799</v>
      </c>
      <c r="AT441" s="19">
        <v>19.545999999999999</v>
      </c>
      <c r="AU441" s="19">
        <v>1026.02608695652</v>
      </c>
      <c r="AV441" s="19">
        <v>10.728</v>
      </c>
      <c r="AW441" s="19">
        <v>0</v>
      </c>
      <c r="AX441" s="19">
        <v>0</v>
      </c>
      <c r="AY441" s="19">
        <v>0</v>
      </c>
      <c r="AZ441" s="19">
        <v>0</v>
      </c>
      <c r="BA441" s="19">
        <v>0</v>
      </c>
      <c r="BB441" s="19">
        <v>0</v>
      </c>
      <c r="BC441" s="19">
        <v>0</v>
      </c>
      <c r="BD441" s="19">
        <v>0</v>
      </c>
      <c r="BE441" s="19">
        <v>0</v>
      </c>
      <c r="BF441" s="19">
        <v>0</v>
      </c>
      <c r="BG441" s="19">
        <v>0</v>
      </c>
      <c r="BH441" s="19">
        <v>0</v>
      </c>
      <c r="BI441" s="19">
        <v>0</v>
      </c>
      <c r="BJ441" s="19">
        <v>0</v>
      </c>
      <c r="BK441" s="19">
        <v>0</v>
      </c>
      <c r="BL441" s="19">
        <v>0</v>
      </c>
      <c r="BM441" s="19">
        <v>0</v>
      </c>
      <c r="BN441" s="19">
        <v>0</v>
      </c>
      <c r="BO441" s="19">
        <v>0</v>
      </c>
      <c r="BP441" s="19">
        <v>0</v>
      </c>
      <c r="BQ441" s="19">
        <v>0</v>
      </c>
      <c r="BR441" s="19">
        <v>0</v>
      </c>
      <c r="BS441" s="19">
        <v>0</v>
      </c>
      <c r="BT441" s="19">
        <v>0</v>
      </c>
      <c r="BU441" s="19">
        <v>0</v>
      </c>
      <c r="BV441" s="19">
        <v>0</v>
      </c>
      <c r="BW441" s="19">
        <v>0</v>
      </c>
      <c r="BX441" s="19">
        <v>0</v>
      </c>
      <c r="BY441" s="19">
        <v>0</v>
      </c>
      <c r="BZ441" s="19">
        <v>0</v>
      </c>
      <c r="CA441" s="19">
        <v>0</v>
      </c>
      <c r="CB441" s="19">
        <v>0</v>
      </c>
      <c r="CC441" s="19">
        <v>0</v>
      </c>
      <c r="CD441" s="19">
        <v>0</v>
      </c>
      <c r="CE441" s="19">
        <v>0</v>
      </c>
      <c r="CF441" s="19">
        <v>0</v>
      </c>
      <c r="CG441" s="19">
        <v>0</v>
      </c>
      <c r="CH441" s="19">
        <v>0</v>
      </c>
      <c r="CI441" s="19">
        <v>0</v>
      </c>
      <c r="CJ441" s="19">
        <v>0</v>
      </c>
      <c r="CK441" s="19">
        <v>0</v>
      </c>
      <c r="CL441" s="19">
        <v>0</v>
      </c>
      <c r="CM441" s="19">
        <v>0</v>
      </c>
      <c r="CN441" s="19">
        <v>0</v>
      </c>
      <c r="CO441" s="19">
        <v>2021.0782608695599</v>
      </c>
      <c r="CP441" s="19">
        <v>21.132000000000001</v>
      </c>
      <c r="CQ441" s="19">
        <v>2498.6782608695698</v>
      </c>
      <c r="CR441" s="19">
        <v>26.126000000000001</v>
      </c>
      <c r="CS441" s="19">
        <v>2328.8260869565202</v>
      </c>
      <c r="CT441" s="19">
        <v>24.35</v>
      </c>
      <c r="CU441" s="19">
        <v>2150.52173913043</v>
      </c>
      <c r="CV441" s="19">
        <v>20.611000000000001</v>
      </c>
      <c r="CW441" s="19">
        <v>2749.9391304347801</v>
      </c>
      <c r="CX441" s="19">
        <v>26.356000000000002</v>
      </c>
      <c r="CY441" s="19">
        <v>350.14782608695702</v>
      </c>
      <c r="CZ441" s="19">
        <v>3.661</v>
      </c>
      <c r="DA441" s="19">
        <v>0</v>
      </c>
      <c r="DB441" s="19">
        <v>0</v>
      </c>
      <c r="DC441" s="19">
        <v>2795.1391304347799</v>
      </c>
      <c r="DD441" s="19">
        <v>25.835999999999999</v>
      </c>
      <c r="DE441" s="19">
        <v>2396.8956521739101</v>
      </c>
      <c r="DF441" s="19">
        <v>20.417999999999999</v>
      </c>
      <c r="DG441" s="19">
        <v>7324.5130434782604</v>
      </c>
      <c r="DH441" s="19">
        <v>62.393999999999998</v>
      </c>
      <c r="DI441" s="19">
        <v>525.20869565217401</v>
      </c>
      <c r="DJ441" s="19">
        <v>4.4740000000000002</v>
      </c>
      <c r="DK441" s="19">
        <v>0</v>
      </c>
      <c r="DL441" s="19">
        <v>0</v>
      </c>
      <c r="DM441" s="19">
        <v>1808.0869565217399</v>
      </c>
      <c r="DN441" s="19">
        <v>17.329999999999998</v>
      </c>
      <c r="DO441" s="19">
        <v>2633.7913043478302</v>
      </c>
      <c r="DP441" s="19">
        <v>27.326000000000001</v>
      </c>
      <c r="DQ441" s="19">
        <v>2780.00869565217</v>
      </c>
      <c r="DR441" s="19">
        <v>29.067</v>
      </c>
      <c r="DS441" s="19">
        <v>2950.6782608695598</v>
      </c>
      <c r="DT441" s="19">
        <v>30.850999999999999</v>
      </c>
      <c r="DU441" s="19">
        <v>0</v>
      </c>
      <c r="DV441" s="19">
        <v>0</v>
      </c>
      <c r="DW441" s="19">
        <v>0</v>
      </c>
      <c r="DX441" s="19">
        <v>0</v>
      </c>
      <c r="DY441" s="19">
        <v>0</v>
      </c>
      <c r="DZ441" s="19">
        <v>0</v>
      </c>
      <c r="EA441" s="19">
        <v>0</v>
      </c>
      <c r="EB441" s="19">
        <v>0</v>
      </c>
      <c r="EC441" s="19">
        <v>2496.01739130435</v>
      </c>
      <c r="ED441" s="19">
        <v>26.097999999999999</v>
      </c>
      <c r="EE441" s="19">
        <v>2212.47826086957</v>
      </c>
      <c r="EF441" s="19">
        <v>23.134</v>
      </c>
      <c r="EG441" s="19">
        <v>2594.3304347826102</v>
      </c>
      <c r="EH441" s="19">
        <v>27.126000000000001</v>
      </c>
      <c r="EI441" s="19">
        <v>2425</v>
      </c>
      <c r="EJ441" s="19">
        <v>25.356000000000002</v>
      </c>
      <c r="EK441" s="19">
        <v>1005.46086956522</v>
      </c>
      <c r="EL441" s="19">
        <v>9.6959999999999997</v>
      </c>
      <c r="EM441" s="19">
        <v>74.2869565217391</v>
      </c>
      <c r="EN441" s="19">
        <v>0.71199999999999997</v>
      </c>
      <c r="EO441" s="19">
        <v>0</v>
      </c>
      <c r="EP441" s="19">
        <v>0</v>
      </c>
      <c r="EQ441" s="19">
        <v>0</v>
      </c>
      <c r="ER441" s="19">
        <v>0</v>
      </c>
      <c r="ES441" s="119">
        <v>0</v>
      </c>
      <c r="ET441" s="119">
        <v>0</v>
      </c>
    </row>
    <row r="442" spans="1:150" ht="16.5" customHeight="1" x14ac:dyDescent="0.35">
      <c r="A442" s="4">
        <v>216</v>
      </c>
      <c r="B442" s="4" t="str">
        <f>LOOKUP(A442,Lookup!$A$1:$A$34,Lookup!$B$1:$B$34)</f>
        <v>BUTCH  WORS/MINCE/PAT</v>
      </c>
      <c r="C442" s="5">
        <v>52186</v>
      </c>
      <c r="D442" s="6" t="s">
        <v>419</v>
      </c>
      <c r="E442" s="18">
        <v>1967.0322106552401</v>
      </c>
      <c r="F442" s="18">
        <v>24.983000000000001</v>
      </c>
      <c r="G442" s="18">
        <v>139659.286956522</v>
      </c>
      <c r="H442" s="18">
        <v>1773.7840000000001</v>
      </c>
      <c r="I442" s="19">
        <v>1703.3826086956501</v>
      </c>
      <c r="J442" s="19">
        <v>25.777999999999999</v>
      </c>
      <c r="K442" s="19">
        <v>2544.5565217391299</v>
      </c>
      <c r="L442" s="19">
        <v>38.508000000000003</v>
      </c>
      <c r="M442" s="19">
        <v>1698.8782608695701</v>
      </c>
      <c r="N442" s="19">
        <v>25.71</v>
      </c>
      <c r="O442" s="19">
        <v>1681.1739130434801</v>
      </c>
      <c r="P442" s="19">
        <v>25.442</v>
      </c>
      <c r="Q442" s="19">
        <v>1676.8173913043499</v>
      </c>
      <c r="R442" s="19">
        <v>25.376000000000001</v>
      </c>
      <c r="S442" s="19">
        <v>505.22608695652201</v>
      </c>
      <c r="T442" s="19">
        <v>7.6459999999999999</v>
      </c>
      <c r="U442" s="19">
        <v>1853.6173913043499</v>
      </c>
      <c r="V442" s="19">
        <v>28.052</v>
      </c>
      <c r="W442" s="19">
        <v>1876.73913043478</v>
      </c>
      <c r="X442" s="19">
        <v>28.402000000000001</v>
      </c>
      <c r="Y442" s="19">
        <v>2899.8</v>
      </c>
      <c r="Z442" s="19">
        <v>43.884</v>
      </c>
      <c r="AA442" s="19">
        <v>2292.53913043478</v>
      </c>
      <c r="AB442" s="19">
        <v>34.694000000000003</v>
      </c>
      <c r="AC442" s="19">
        <v>1247.1478260869601</v>
      </c>
      <c r="AD442" s="19">
        <v>18.873999999999999</v>
      </c>
      <c r="AE442" s="19">
        <v>1309.53043478261</v>
      </c>
      <c r="AF442" s="19">
        <v>19.818000000000001</v>
      </c>
      <c r="AG442" s="19">
        <v>246.73913043478299</v>
      </c>
      <c r="AH442" s="19">
        <v>3.734</v>
      </c>
      <c r="AI442" s="19">
        <v>370.43478260869603</v>
      </c>
      <c r="AJ442" s="19">
        <v>5.6059999999999999</v>
      </c>
      <c r="AK442" s="19">
        <v>1436.25217391304</v>
      </c>
      <c r="AL442" s="19">
        <v>21.34</v>
      </c>
      <c r="AM442" s="19">
        <v>1540.27826086957</v>
      </c>
      <c r="AN442" s="19">
        <v>19.684000000000001</v>
      </c>
      <c r="AO442" s="19">
        <v>1239.3391304347799</v>
      </c>
      <c r="AP442" s="19">
        <v>15.837999999999999</v>
      </c>
      <c r="AQ442" s="19">
        <v>3159.6173913043499</v>
      </c>
      <c r="AR442" s="19">
        <v>40.378</v>
      </c>
      <c r="AS442" s="19">
        <v>3276.52173913043</v>
      </c>
      <c r="AT442" s="19">
        <v>41.872</v>
      </c>
      <c r="AU442" s="19">
        <v>1967.2</v>
      </c>
      <c r="AV442" s="19">
        <v>25.14</v>
      </c>
      <c r="AW442" s="19">
        <v>2084.7739130434802</v>
      </c>
      <c r="AX442" s="19">
        <v>26.641999999999999</v>
      </c>
      <c r="AY442" s="19">
        <v>2875.8695652173901</v>
      </c>
      <c r="AZ442" s="19">
        <v>36.752000000000002</v>
      </c>
      <c r="BA442" s="19">
        <v>2573.6695652173898</v>
      </c>
      <c r="BB442" s="19">
        <v>32.89</v>
      </c>
      <c r="BC442" s="19">
        <v>2805.0956521739099</v>
      </c>
      <c r="BD442" s="19">
        <v>29.611999999999998</v>
      </c>
      <c r="BE442" s="19">
        <v>1897.73043478261</v>
      </c>
      <c r="BF442" s="19">
        <v>19.841999999999999</v>
      </c>
      <c r="BG442" s="19">
        <v>2555.53043478261</v>
      </c>
      <c r="BH442" s="19">
        <v>26.72</v>
      </c>
      <c r="BI442" s="19">
        <v>2750.0956521739099</v>
      </c>
      <c r="BJ442" s="19">
        <v>28.754000000000001</v>
      </c>
      <c r="BK442" s="19">
        <v>1864.8260869565199</v>
      </c>
      <c r="BL442" s="19">
        <v>19.498000000000001</v>
      </c>
      <c r="BM442" s="19">
        <v>1500.8086956521699</v>
      </c>
      <c r="BN442" s="19">
        <v>15.692</v>
      </c>
      <c r="BO442" s="19">
        <v>1736.8695652173899</v>
      </c>
      <c r="BP442" s="19">
        <v>18.16</v>
      </c>
      <c r="BQ442" s="19">
        <v>2155.8782608695701</v>
      </c>
      <c r="BR442" s="19">
        <v>25.785</v>
      </c>
      <c r="BS442" s="19">
        <v>1822.5913043478299</v>
      </c>
      <c r="BT442" s="19">
        <v>23.292000000000002</v>
      </c>
      <c r="BU442" s="19">
        <v>2470.53913043478</v>
      </c>
      <c r="BV442" s="19">
        <v>31.571999999999999</v>
      </c>
      <c r="BW442" s="19">
        <v>1688.94782608696</v>
      </c>
      <c r="BX442" s="19">
        <v>21.584</v>
      </c>
      <c r="BY442" s="19">
        <v>3625.5739130434799</v>
      </c>
      <c r="BZ442" s="19">
        <v>46.332000000000001</v>
      </c>
      <c r="CA442" s="19">
        <v>2063.0347826087</v>
      </c>
      <c r="CB442" s="19">
        <v>26.364000000000001</v>
      </c>
      <c r="CC442" s="19">
        <v>2524.9217391304401</v>
      </c>
      <c r="CD442" s="19">
        <v>32.265999999999998</v>
      </c>
      <c r="CE442" s="19">
        <v>1494.4347826087001</v>
      </c>
      <c r="CF442" s="19">
        <v>19.097999999999999</v>
      </c>
      <c r="CG442" s="19">
        <v>1228.8521739130399</v>
      </c>
      <c r="CH442" s="19">
        <v>15.704000000000001</v>
      </c>
      <c r="CI442" s="19">
        <v>2352.7130434782598</v>
      </c>
      <c r="CJ442" s="19">
        <v>30.065999999999999</v>
      </c>
      <c r="CK442" s="19">
        <v>3235.6869565217398</v>
      </c>
      <c r="CL442" s="19">
        <v>41.35</v>
      </c>
      <c r="CM442" s="19">
        <v>1974.5913043478299</v>
      </c>
      <c r="CN442" s="19">
        <v>25.234000000000002</v>
      </c>
      <c r="CO442" s="19">
        <v>2671.1565217391299</v>
      </c>
      <c r="CP442" s="19">
        <v>34.136000000000003</v>
      </c>
      <c r="CQ442" s="19">
        <v>1970.3478260869599</v>
      </c>
      <c r="CR442" s="19">
        <v>25.18</v>
      </c>
      <c r="CS442" s="19">
        <v>2485.53043478261</v>
      </c>
      <c r="CT442" s="19">
        <v>31.763999999999999</v>
      </c>
      <c r="CU442" s="19">
        <v>2398.53043478261</v>
      </c>
      <c r="CV442" s="19">
        <v>29.956</v>
      </c>
      <c r="CW442" s="19">
        <v>1864.0956521739099</v>
      </c>
      <c r="CX442" s="19">
        <v>22.808</v>
      </c>
      <c r="CY442" s="19">
        <v>2446.8608695652201</v>
      </c>
      <c r="CZ442" s="19">
        <v>29.937999999999999</v>
      </c>
      <c r="DA442" s="19">
        <v>2315.1217391304299</v>
      </c>
      <c r="DB442" s="19">
        <v>28.326000000000001</v>
      </c>
      <c r="DC442" s="19">
        <v>2727.50434782609</v>
      </c>
      <c r="DD442" s="19">
        <v>32.768000000000001</v>
      </c>
      <c r="DE442" s="19">
        <v>2612.7391304347798</v>
      </c>
      <c r="DF442" s="19">
        <v>30.35</v>
      </c>
      <c r="DG442" s="19">
        <v>2518.53913043478</v>
      </c>
      <c r="DH442" s="19">
        <v>29.256</v>
      </c>
      <c r="DI442" s="19">
        <v>1841.5652173912999</v>
      </c>
      <c r="DJ442" s="19">
        <v>21.391999999999999</v>
      </c>
      <c r="DK442" s="19">
        <v>2143.3913043478301</v>
      </c>
      <c r="DL442" s="19">
        <v>24.898</v>
      </c>
      <c r="DM442" s="19">
        <v>1386.8608695652199</v>
      </c>
      <c r="DN442" s="19">
        <v>16.11</v>
      </c>
      <c r="DO442" s="19">
        <v>2527.3565217391301</v>
      </c>
      <c r="DP442" s="19">
        <v>29.358000000000001</v>
      </c>
      <c r="DQ442" s="19">
        <v>1511.6782608695701</v>
      </c>
      <c r="DR442" s="19">
        <v>17.559999999999999</v>
      </c>
      <c r="DS442" s="19">
        <v>2218.6434782608699</v>
      </c>
      <c r="DT442" s="19">
        <v>25.771999999999998</v>
      </c>
      <c r="DU442" s="19">
        <v>1893.4</v>
      </c>
      <c r="DV442" s="19">
        <v>21.994</v>
      </c>
      <c r="DW442" s="19">
        <v>2230.8782608695701</v>
      </c>
      <c r="DX442" s="19">
        <v>27.658999999999999</v>
      </c>
      <c r="DY442" s="19">
        <v>3366.3565217391301</v>
      </c>
      <c r="DZ442" s="19">
        <v>43.02</v>
      </c>
      <c r="EA442" s="19">
        <v>1986.47826086957</v>
      </c>
      <c r="EB442" s="19">
        <v>25.385999999999999</v>
      </c>
      <c r="EC442" s="19">
        <v>1324.46086956522</v>
      </c>
      <c r="ED442" s="19">
        <v>16.925999999999998</v>
      </c>
      <c r="EE442" s="19">
        <v>1246.05217391304</v>
      </c>
      <c r="EF442" s="19">
        <v>15.923999999999999</v>
      </c>
      <c r="EG442" s="19">
        <v>1718.3391304347799</v>
      </c>
      <c r="EH442" s="19">
        <v>21.96</v>
      </c>
      <c r="EI442" s="19">
        <v>1603.1913043478301</v>
      </c>
      <c r="EJ442" s="19">
        <v>20.488</v>
      </c>
      <c r="EK442" s="19">
        <v>2048.1304347826099</v>
      </c>
      <c r="EL442" s="19">
        <v>26.173999999999999</v>
      </c>
      <c r="EM442" s="19">
        <v>1822.46086956522</v>
      </c>
      <c r="EN442" s="19">
        <v>23.29</v>
      </c>
      <c r="EO442" s="19">
        <v>970.79130434782599</v>
      </c>
      <c r="EP442" s="19">
        <v>12.406000000000001</v>
      </c>
      <c r="EQ442" s="19">
        <v>0</v>
      </c>
      <c r="ER442" s="19">
        <v>0</v>
      </c>
      <c r="ES442" s="119">
        <v>0</v>
      </c>
      <c r="ET442" s="119">
        <v>0</v>
      </c>
    </row>
    <row r="443" spans="1:150" ht="16.5" customHeight="1" x14ac:dyDescent="0.35">
      <c r="A443" s="4">
        <v>216</v>
      </c>
      <c r="B443" s="4" t="str">
        <f>LOOKUP(A443,Lookup!$A$1:$A$34,Lookup!$B$1:$B$34)</f>
        <v>BUTCH  WORS/MINCE/PAT</v>
      </c>
      <c r="C443" s="5">
        <v>52388</v>
      </c>
      <c r="D443" s="6" t="s">
        <v>420</v>
      </c>
      <c r="E443" s="18">
        <v>0</v>
      </c>
      <c r="F443" s="18">
        <v>0</v>
      </c>
      <c r="G443" s="18">
        <v>0</v>
      </c>
      <c r="H443" s="18">
        <v>0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0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0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19">
        <v>0</v>
      </c>
      <c r="AJ443" s="19">
        <v>0</v>
      </c>
      <c r="AK443" s="19">
        <v>0</v>
      </c>
      <c r="AL443" s="19">
        <v>0</v>
      </c>
      <c r="AM443" s="19">
        <v>0</v>
      </c>
      <c r="AN443" s="19">
        <v>0</v>
      </c>
      <c r="AO443" s="19">
        <v>0</v>
      </c>
      <c r="AP443" s="19">
        <v>0</v>
      </c>
      <c r="AQ443" s="19">
        <v>0</v>
      </c>
      <c r="AR443" s="19">
        <v>0</v>
      </c>
      <c r="AS443" s="19">
        <v>0</v>
      </c>
      <c r="AT443" s="19">
        <v>0</v>
      </c>
      <c r="AU443" s="19">
        <v>0</v>
      </c>
      <c r="AV443" s="19">
        <v>0</v>
      </c>
      <c r="AW443" s="19">
        <v>0</v>
      </c>
      <c r="AX443" s="19">
        <v>0</v>
      </c>
      <c r="AY443" s="19">
        <v>0</v>
      </c>
      <c r="AZ443" s="19">
        <v>0</v>
      </c>
      <c r="BA443" s="19">
        <v>0</v>
      </c>
      <c r="BB443" s="19">
        <v>0</v>
      </c>
      <c r="BC443" s="19">
        <v>0</v>
      </c>
      <c r="BD443" s="19">
        <v>0</v>
      </c>
      <c r="BE443" s="19">
        <v>0</v>
      </c>
      <c r="BF443" s="19">
        <v>0</v>
      </c>
      <c r="BG443" s="19">
        <v>0</v>
      </c>
      <c r="BH443" s="19">
        <v>0</v>
      </c>
      <c r="BI443" s="19">
        <v>0</v>
      </c>
      <c r="BJ443" s="19">
        <v>0</v>
      </c>
      <c r="BK443" s="19">
        <v>0</v>
      </c>
      <c r="BL443" s="19">
        <v>0</v>
      </c>
      <c r="BM443" s="19">
        <v>0</v>
      </c>
      <c r="BN443" s="19">
        <v>0</v>
      </c>
      <c r="BO443" s="19">
        <v>0</v>
      </c>
      <c r="BP443" s="19">
        <v>0</v>
      </c>
      <c r="BQ443" s="19">
        <v>0</v>
      </c>
      <c r="BR443" s="19">
        <v>0</v>
      </c>
      <c r="BS443" s="19">
        <v>0</v>
      </c>
      <c r="BT443" s="19">
        <v>0</v>
      </c>
      <c r="BU443" s="19">
        <v>0</v>
      </c>
      <c r="BV443" s="19">
        <v>0</v>
      </c>
      <c r="BW443" s="19">
        <v>0</v>
      </c>
      <c r="BX443" s="19">
        <v>0</v>
      </c>
      <c r="BY443" s="19">
        <v>0</v>
      </c>
      <c r="BZ443" s="19">
        <v>0</v>
      </c>
      <c r="CA443" s="19">
        <v>0</v>
      </c>
      <c r="CB443" s="19">
        <v>0</v>
      </c>
      <c r="CC443" s="19">
        <v>0</v>
      </c>
      <c r="CD443" s="19">
        <v>0</v>
      </c>
      <c r="CE443" s="19">
        <v>0</v>
      </c>
      <c r="CF443" s="19">
        <v>0</v>
      </c>
      <c r="CG443" s="19">
        <v>0</v>
      </c>
      <c r="CH443" s="19">
        <v>0</v>
      </c>
      <c r="CI443" s="19">
        <v>0</v>
      </c>
      <c r="CJ443" s="19">
        <v>0</v>
      </c>
      <c r="CK443" s="19">
        <v>0</v>
      </c>
      <c r="CL443" s="19">
        <v>0</v>
      </c>
      <c r="CM443" s="19">
        <v>0</v>
      </c>
      <c r="CN443" s="19">
        <v>0</v>
      </c>
      <c r="CO443" s="19">
        <v>0</v>
      </c>
      <c r="CP443" s="19">
        <v>0</v>
      </c>
      <c r="CQ443" s="19">
        <v>0</v>
      </c>
      <c r="CR443" s="19">
        <v>0</v>
      </c>
      <c r="CS443" s="19">
        <v>0</v>
      </c>
      <c r="CT443" s="19">
        <v>0</v>
      </c>
      <c r="CU443" s="19">
        <v>0</v>
      </c>
      <c r="CV443" s="19">
        <v>0</v>
      </c>
      <c r="CW443" s="19">
        <v>0</v>
      </c>
      <c r="CX443" s="19">
        <v>0</v>
      </c>
      <c r="CY443" s="19">
        <v>0</v>
      </c>
      <c r="CZ443" s="19">
        <v>0</v>
      </c>
      <c r="DA443" s="19">
        <v>0</v>
      </c>
      <c r="DB443" s="19">
        <v>0</v>
      </c>
      <c r="DC443" s="19">
        <v>0</v>
      </c>
      <c r="DD443" s="19">
        <v>0</v>
      </c>
      <c r="DE443" s="19">
        <v>0</v>
      </c>
      <c r="DF443" s="19">
        <v>0</v>
      </c>
      <c r="DG443" s="19">
        <v>0</v>
      </c>
      <c r="DH443" s="19">
        <v>0</v>
      </c>
      <c r="DI443" s="19">
        <v>0</v>
      </c>
      <c r="DJ443" s="19">
        <v>0</v>
      </c>
      <c r="DK443" s="19">
        <v>0</v>
      </c>
      <c r="DL443" s="19">
        <v>0</v>
      </c>
      <c r="DM443" s="19">
        <v>0</v>
      </c>
      <c r="DN443" s="19">
        <v>0</v>
      </c>
      <c r="DO443" s="19">
        <v>0</v>
      </c>
      <c r="DP443" s="19">
        <v>0</v>
      </c>
      <c r="DQ443" s="19">
        <v>0</v>
      </c>
      <c r="DR443" s="19">
        <v>0</v>
      </c>
      <c r="DS443" s="19">
        <v>0</v>
      </c>
      <c r="DT443" s="19">
        <v>0</v>
      </c>
      <c r="DU443" s="19">
        <v>0</v>
      </c>
      <c r="DV443" s="19">
        <v>0</v>
      </c>
      <c r="DW443" s="19">
        <v>0</v>
      </c>
      <c r="DX443" s="19">
        <v>0</v>
      </c>
      <c r="DY443" s="19">
        <v>0</v>
      </c>
      <c r="DZ443" s="19">
        <v>0</v>
      </c>
      <c r="EA443" s="19">
        <v>0</v>
      </c>
      <c r="EB443" s="19">
        <v>0</v>
      </c>
      <c r="EC443" s="19">
        <v>0</v>
      </c>
      <c r="ED443" s="19">
        <v>0</v>
      </c>
      <c r="EE443" s="19">
        <v>0</v>
      </c>
      <c r="EF443" s="19">
        <v>0</v>
      </c>
      <c r="EG443" s="19">
        <v>0</v>
      </c>
      <c r="EH443" s="19">
        <v>0</v>
      </c>
      <c r="EI443" s="19">
        <v>0</v>
      </c>
      <c r="EJ443" s="19">
        <v>0</v>
      </c>
      <c r="EK443" s="19">
        <v>0</v>
      </c>
      <c r="EL443" s="19">
        <v>0</v>
      </c>
      <c r="EM443" s="19">
        <v>0</v>
      </c>
      <c r="EN443" s="19">
        <v>0</v>
      </c>
      <c r="EO443" s="19">
        <v>0</v>
      </c>
      <c r="EP443" s="19">
        <v>0</v>
      </c>
      <c r="EQ443" s="19">
        <v>0</v>
      </c>
      <c r="ER443" s="19">
        <v>0</v>
      </c>
      <c r="ES443" s="119">
        <v>0</v>
      </c>
      <c r="ET443" s="119">
        <v>0</v>
      </c>
    </row>
    <row r="444" spans="1:150" ht="16.5" customHeight="1" x14ac:dyDescent="0.35">
      <c r="A444" s="4">
        <v>216</v>
      </c>
      <c r="B444" s="4" t="str">
        <f>LOOKUP(A444,Lookup!$A$1:$A$34,Lookup!$B$1:$B$34)</f>
        <v>BUTCH  WORS/MINCE/PAT</v>
      </c>
      <c r="C444" s="5">
        <v>52461</v>
      </c>
      <c r="D444" s="6" t="s">
        <v>421</v>
      </c>
      <c r="E444" s="18">
        <v>0</v>
      </c>
      <c r="F444" s="18">
        <v>0</v>
      </c>
      <c r="G444" s="18">
        <v>0</v>
      </c>
      <c r="H444" s="18">
        <v>0</v>
      </c>
      <c r="I444" s="19">
        <v>0</v>
      </c>
      <c r="J444" s="19">
        <v>0</v>
      </c>
      <c r="K444" s="19">
        <v>0</v>
      </c>
      <c r="L444" s="19">
        <v>0</v>
      </c>
      <c r="M444" s="19">
        <v>0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0</v>
      </c>
      <c r="AD444" s="19">
        <v>0</v>
      </c>
      <c r="AE444" s="19">
        <v>0</v>
      </c>
      <c r="AF444" s="19">
        <v>0</v>
      </c>
      <c r="AG444" s="19">
        <v>0</v>
      </c>
      <c r="AH444" s="19">
        <v>0</v>
      </c>
      <c r="AI444" s="19">
        <v>0</v>
      </c>
      <c r="AJ444" s="19">
        <v>0</v>
      </c>
      <c r="AK444" s="19">
        <v>0</v>
      </c>
      <c r="AL444" s="19">
        <v>0</v>
      </c>
      <c r="AM444" s="19">
        <v>0</v>
      </c>
      <c r="AN444" s="19">
        <v>0</v>
      </c>
      <c r="AO444" s="19">
        <v>0</v>
      </c>
      <c r="AP444" s="19">
        <v>0</v>
      </c>
      <c r="AQ444" s="19">
        <v>0</v>
      </c>
      <c r="AR444" s="19">
        <v>0</v>
      </c>
      <c r="AS444" s="19">
        <v>0</v>
      </c>
      <c r="AT444" s="19">
        <v>0</v>
      </c>
      <c r="AU444" s="19">
        <v>0</v>
      </c>
      <c r="AV444" s="19">
        <v>0</v>
      </c>
      <c r="AW444" s="19">
        <v>0</v>
      </c>
      <c r="AX444" s="19">
        <v>0</v>
      </c>
      <c r="AY444" s="19">
        <v>0</v>
      </c>
      <c r="AZ444" s="19">
        <v>0</v>
      </c>
      <c r="BA444" s="19">
        <v>0</v>
      </c>
      <c r="BB444" s="19">
        <v>0</v>
      </c>
      <c r="BC444" s="19">
        <v>0</v>
      </c>
      <c r="BD444" s="19">
        <v>0</v>
      </c>
      <c r="BE444" s="19">
        <v>0</v>
      </c>
      <c r="BF444" s="19">
        <v>0</v>
      </c>
      <c r="BG444" s="19">
        <v>0</v>
      </c>
      <c r="BH444" s="19">
        <v>0</v>
      </c>
      <c r="BI444" s="19">
        <v>0</v>
      </c>
      <c r="BJ444" s="19">
        <v>0</v>
      </c>
      <c r="BK444" s="19">
        <v>0</v>
      </c>
      <c r="BL444" s="19">
        <v>0</v>
      </c>
      <c r="BM444" s="19">
        <v>0</v>
      </c>
      <c r="BN444" s="19">
        <v>0</v>
      </c>
      <c r="BO444" s="19">
        <v>0</v>
      </c>
      <c r="BP444" s="19">
        <v>0</v>
      </c>
      <c r="BQ444" s="19">
        <v>0</v>
      </c>
      <c r="BR444" s="19">
        <v>0</v>
      </c>
      <c r="BS444" s="19">
        <v>0</v>
      </c>
      <c r="BT444" s="19">
        <v>0</v>
      </c>
      <c r="BU444" s="19">
        <v>0</v>
      </c>
      <c r="BV444" s="19">
        <v>0</v>
      </c>
      <c r="BW444" s="19">
        <v>0</v>
      </c>
      <c r="BX444" s="19">
        <v>0</v>
      </c>
      <c r="BY444" s="19">
        <v>0</v>
      </c>
      <c r="BZ444" s="19">
        <v>0</v>
      </c>
      <c r="CA444" s="19">
        <v>0</v>
      </c>
      <c r="CB444" s="19">
        <v>0</v>
      </c>
      <c r="CC444" s="19">
        <v>0</v>
      </c>
      <c r="CD444" s="19">
        <v>0</v>
      </c>
      <c r="CE444" s="19">
        <v>0</v>
      </c>
      <c r="CF444" s="19">
        <v>0</v>
      </c>
      <c r="CG444" s="19">
        <v>0</v>
      </c>
      <c r="CH444" s="19">
        <v>0</v>
      </c>
      <c r="CI444" s="19">
        <v>0</v>
      </c>
      <c r="CJ444" s="19">
        <v>0</v>
      </c>
      <c r="CK444" s="19">
        <v>0</v>
      </c>
      <c r="CL444" s="19">
        <v>0</v>
      </c>
      <c r="CM444" s="19">
        <v>0</v>
      </c>
      <c r="CN444" s="19">
        <v>0</v>
      </c>
      <c r="CO444" s="19">
        <v>0</v>
      </c>
      <c r="CP444" s="19">
        <v>0</v>
      </c>
      <c r="CQ444" s="19">
        <v>0</v>
      </c>
      <c r="CR444" s="19">
        <v>0</v>
      </c>
      <c r="CS444" s="19">
        <v>0</v>
      </c>
      <c r="CT444" s="19">
        <v>0</v>
      </c>
      <c r="CU444" s="19">
        <v>0</v>
      </c>
      <c r="CV444" s="19">
        <v>0</v>
      </c>
      <c r="CW444" s="19">
        <v>0</v>
      </c>
      <c r="CX444" s="19">
        <v>0</v>
      </c>
      <c r="CY444" s="19">
        <v>0</v>
      </c>
      <c r="CZ444" s="19">
        <v>0</v>
      </c>
      <c r="DA444" s="19">
        <v>0</v>
      </c>
      <c r="DB444" s="19">
        <v>0</v>
      </c>
      <c r="DC444" s="19">
        <v>0</v>
      </c>
      <c r="DD444" s="19">
        <v>0</v>
      </c>
      <c r="DE444" s="19">
        <v>0</v>
      </c>
      <c r="DF444" s="19">
        <v>0</v>
      </c>
      <c r="DG444" s="19">
        <v>0</v>
      </c>
      <c r="DH444" s="19">
        <v>0</v>
      </c>
      <c r="DI444" s="19">
        <v>0</v>
      </c>
      <c r="DJ444" s="19">
        <v>0</v>
      </c>
      <c r="DK444" s="19">
        <v>0</v>
      </c>
      <c r="DL444" s="19">
        <v>0</v>
      </c>
      <c r="DM444" s="19">
        <v>0</v>
      </c>
      <c r="DN444" s="19">
        <v>0</v>
      </c>
      <c r="DO444" s="19">
        <v>0</v>
      </c>
      <c r="DP444" s="19">
        <v>0</v>
      </c>
      <c r="DQ444" s="19">
        <v>0</v>
      </c>
      <c r="DR444" s="19">
        <v>0</v>
      </c>
      <c r="DS444" s="19">
        <v>0</v>
      </c>
      <c r="DT444" s="19">
        <v>0</v>
      </c>
      <c r="DU444" s="19">
        <v>0</v>
      </c>
      <c r="DV444" s="19">
        <v>0</v>
      </c>
      <c r="DW444" s="19">
        <v>0</v>
      </c>
      <c r="DX444" s="19">
        <v>0</v>
      </c>
      <c r="DY444" s="19">
        <v>0</v>
      </c>
      <c r="DZ444" s="19">
        <v>0</v>
      </c>
      <c r="EA444" s="19">
        <v>0</v>
      </c>
      <c r="EB444" s="19">
        <v>0</v>
      </c>
      <c r="EC444" s="19">
        <v>0</v>
      </c>
      <c r="ED444" s="19">
        <v>0</v>
      </c>
      <c r="EE444" s="19">
        <v>0</v>
      </c>
      <c r="EF444" s="19">
        <v>0</v>
      </c>
      <c r="EG444" s="19">
        <v>0</v>
      </c>
      <c r="EH444" s="19">
        <v>0</v>
      </c>
      <c r="EI444" s="19">
        <v>0</v>
      </c>
      <c r="EJ444" s="19">
        <v>0</v>
      </c>
      <c r="EK444" s="19">
        <v>0</v>
      </c>
      <c r="EL444" s="19">
        <v>0</v>
      </c>
      <c r="EM444" s="19">
        <v>0</v>
      </c>
      <c r="EN444" s="19">
        <v>0</v>
      </c>
      <c r="EO444" s="19">
        <v>0</v>
      </c>
      <c r="EP444" s="19">
        <v>0</v>
      </c>
      <c r="EQ444" s="19">
        <v>0</v>
      </c>
      <c r="ER444" s="19">
        <v>0</v>
      </c>
      <c r="ES444" s="119">
        <v>0</v>
      </c>
      <c r="ET444" s="119">
        <v>0</v>
      </c>
    </row>
    <row r="445" spans="1:150" ht="16.5" customHeight="1" x14ac:dyDescent="0.35">
      <c r="A445" s="4">
        <v>216</v>
      </c>
      <c r="B445" s="4" t="str">
        <f>LOOKUP(A445,Lookup!$A$1:$A$34,Lookup!$B$1:$B$34)</f>
        <v>BUTCH  WORS/MINCE/PAT</v>
      </c>
      <c r="C445" s="5">
        <v>52975</v>
      </c>
      <c r="D445" s="6" t="s">
        <v>422</v>
      </c>
      <c r="E445" s="18">
        <v>0</v>
      </c>
      <c r="F445" s="18">
        <v>0</v>
      </c>
      <c r="G445" s="18">
        <v>0</v>
      </c>
      <c r="H445" s="18">
        <v>0</v>
      </c>
      <c r="I445" s="19">
        <v>0</v>
      </c>
      <c r="J445" s="19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19">
        <v>0</v>
      </c>
      <c r="Q445" s="19">
        <v>0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0</v>
      </c>
      <c r="AE445" s="19">
        <v>0</v>
      </c>
      <c r="AF445" s="19">
        <v>0</v>
      </c>
      <c r="AG445" s="19">
        <v>0</v>
      </c>
      <c r="AH445" s="19">
        <v>0</v>
      </c>
      <c r="AI445" s="19">
        <v>0</v>
      </c>
      <c r="AJ445" s="19">
        <v>0</v>
      </c>
      <c r="AK445" s="19">
        <v>0</v>
      </c>
      <c r="AL445" s="19">
        <v>0</v>
      </c>
      <c r="AM445" s="19">
        <v>0</v>
      </c>
      <c r="AN445" s="19">
        <v>0</v>
      </c>
      <c r="AO445" s="19">
        <v>0</v>
      </c>
      <c r="AP445" s="19">
        <v>0</v>
      </c>
      <c r="AQ445" s="19">
        <v>0</v>
      </c>
      <c r="AR445" s="19">
        <v>0</v>
      </c>
      <c r="AS445" s="19">
        <v>0</v>
      </c>
      <c r="AT445" s="19">
        <v>0</v>
      </c>
      <c r="AU445" s="19">
        <v>0</v>
      </c>
      <c r="AV445" s="19">
        <v>0</v>
      </c>
      <c r="AW445" s="19">
        <v>0</v>
      </c>
      <c r="AX445" s="19">
        <v>0</v>
      </c>
      <c r="AY445" s="19">
        <v>0</v>
      </c>
      <c r="AZ445" s="19">
        <v>0</v>
      </c>
      <c r="BA445" s="19">
        <v>0</v>
      </c>
      <c r="BB445" s="19">
        <v>0</v>
      </c>
      <c r="BC445" s="19">
        <v>0</v>
      </c>
      <c r="BD445" s="19">
        <v>0</v>
      </c>
      <c r="BE445" s="19">
        <v>0</v>
      </c>
      <c r="BF445" s="19">
        <v>0</v>
      </c>
      <c r="BG445" s="19">
        <v>0</v>
      </c>
      <c r="BH445" s="19">
        <v>0</v>
      </c>
      <c r="BI445" s="19">
        <v>0</v>
      </c>
      <c r="BJ445" s="19">
        <v>0</v>
      </c>
      <c r="BK445" s="19">
        <v>0</v>
      </c>
      <c r="BL445" s="19">
        <v>0</v>
      </c>
      <c r="BM445" s="19">
        <v>0</v>
      </c>
      <c r="BN445" s="19">
        <v>0</v>
      </c>
      <c r="BO445" s="19">
        <v>0</v>
      </c>
      <c r="BP445" s="19">
        <v>0</v>
      </c>
      <c r="BQ445" s="19">
        <v>0</v>
      </c>
      <c r="BR445" s="19">
        <v>0</v>
      </c>
      <c r="BS445" s="19">
        <v>0</v>
      </c>
      <c r="BT445" s="19">
        <v>0</v>
      </c>
      <c r="BU445" s="19">
        <v>0</v>
      </c>
      <c r="BV445" s="19">
        <v>0</v>
      </c>
      <c r="BW445" s="19">
        <v>0</v>
      </c>
      <c r="BX445" s="19">
        <v>0</v>
      </c>
      <c r="BY445" s="19">
        <v>0</v>
      </c>
      <c r="BZ445" s="19">
        <v>0</v>
      </c>
      <c r="CA445" s="19">
        <v>0</v>
      </c>
      <c r="CB445" s="19">
        <v>0</v>
      </c>
      <c r="CC445" s="19">
        <v>0</v>
      </c>
      <c r="CD445" s="19">
        <v>0</v>
      </c>
      <c r="CE445" s="19">
        <v>0</v>
      </c>
      <c r="CF445" s="19">
        <v>0</v>
      </c>
      <c r="CG445" s="19">
        <v>0</v>
      </c>
      <c r="CH445" s="19">
        <v>0</v>
      </c>
      <c r="CI445" s="19">
        <v>0</v>
      </c>
      <c r="CJ445" s="19">
        <v>0</v>
      </c>
      <c r="CK445" s="19">
        <v>0</v>
      </c>
      <c r="CL445" s="19">
        <v>0</v>
      </c>
      <c r="CM445" s="19">
        <v>0</v>
      </c>
      <c r="CN445" s="19">
        <v>0</v>
      </c>
      <c r="CO445" s="19">
        <v>0</v>
      </c>
      <c r="CP445" s="19">
        <v>0</v>
      </c>
      <c r="CQ445" s="19">
        <v>0</v>
      </c>
      <c r="CR445" s="19">
        <v>0</v>
      </c>
      <c r="CS445" s="19">
        <v>0</v>
      </c>
      <c r="CT445" s="19">
        <v>0</v>
      </c>
      <c r="CU445" s="19">
        <v>0</v>
      </c>
      <c r="CV445" s="19">
        <v>0</v>
      </c>
      <c r="CW445" s="19">
        <v>0</v>
      </c>
      <c r="CX445" s="19">
        <v>0</v>
      </c>
      <c r="CY445" s="19">
        <v>0</v>
      </c>
      <c r="CZ445" s="19">
        <v>0</v>
      </c>
      <c r="DA445" s="19">
        <v>0</v>
      </c>
      <c r="DB445" s="19">
        <v>0</v>
      </c>
      <c r="DC445" s="19">
        <v>0</v>
      </c>
      <c r="DD445" s="19">
        <v>0</v>
      </c>
      <c r="DE445" s="19">
        <v>0</v>
      </c>
      <c r="DF445" s="19">
        <v>0</v>
      </c>
      <c r="DG445" s="19">
        <v>0</v>
      </c>
      <c r="DH445" s="19">
        <v>0</v>
      </c>
      <c r="DI445" s="19">
        <v>0</v>
      </c>
      <c r="DJ445" s="19">
        <v>0</v>
      </c>
      <c r="DK445" s="19">
        <v>0</v>
      </c>
      <c r="DL445" s="19">
        <v>0</v>
      </c>
      <c r="DM445" s="19">
        <v>0</v>
      </c>
      <c r="DN445" s="19">
        <v>0</v>
      </c>
      <c r="DO445" s="19">
        <v>0</v>
      </c>
      <c r="DP445" s="19">
        <v>0</v>
      </c>
      <c r="DQ445" s="19">
        <v>0</v>
      </c>
      <c r="DR445" s="19">
        <v>0</v>
      </c>
      <c r="DS445" s="19">
        <v>0</v>
      </c>
      <c r="DT445" s="19">
        <v>0</v>
      </c>
      <c r="DU445" s="19">
        <v>0</v>
      </c>
      <c r="DV445" s="19">
        <v>0</v>
      </c>
      <c r="DW445" s="19">
        <v>0</v>
      </c>
      <c r="DX445" s="19">
        <v>0</v>
      </c>
      <c r="DY445" s="19">
        <v>0</v>
      </c>
      <c r="DZ445" s="19">
        <v>0</v>
      </c>
      <c r="EA445" s="19">
        <v>0</v>
      </c>
      <c r="EB445" s="19">
        <v>0</v>
      </c>
      <c r="EC445" s="19">
        <v>0</v>
      </c>
      <c r="ED445" s="19">
        <v>0</v>
      </c>
      <c r="EE445" s="19">
        <v>0</v>
      </c>
      <c r="EF445" s="19">
        <v>0</v>
      </c>
      <c r="EG445" s="19">
        <v>0</v>
      </c>
      <c r="EH445" s="19">
        <v>0</v>
      </c>
      <c r="EI445" s="19">
        <v>0</v>
      </c>
      <c r="EJ445" s="19">
        <v>0</v>
      </c>
      <c r="EK445" s="19">
        <v>0</v>
      </c>
      <c r="EL445" s="19">
        <v>0</v>
      </c>
      <c r="EM445" s="19">
        <v>0</v>
      </c>
      <c r="EN445" s="19">
        <v>0</v>
      </c>
      <c r="EO445" s="19">
        <v>0</v>
      </c>
      <c r="EP445" s="19">
        <v>0</v>
      </c>
      <c r="EQ445" s="19">
        <v>0</v>
      </c>
      <c r="ER445" s="19">
        <v>0</v>
      </c>
      <c r="ES445" s="119">
        <v>0</v>
      </c>
      <c r="ET445" s="119">
        <v>0</v>
      </c>
    </row>
    <row r="446" spans="1:150" ht="16.5" customHeight="1" x14ac:dyDescent="0.35">
      <c r="A446" s="4">
        <v>216</v>
      </c>
      <c r="B446" s="4" t="str">
        <f>LOOKUP(A446,Lookup!$A$1:$A$34,Lookup!$B$1:$B$34)</f>
        <v>BUTCH  WORS/MINCE/PAT</v>
      </c>
      <c r="C446" s="5">
        <v>53069</v>
      </c>
      <c r="D446" s="6" t="s">
        <v>423</v>
      </c>
      <c r="E446" s="18">
        <v>0</v>
      </c>
      <c r="F446" s="18">
        <v>0</v>
      </c>
      <c r="G446" s="18">
        <v>0</v>
      </c>
      <c r="H446" s="18">
        <v>0</v>
      </c>
      <c r="I446" s="19">
        <v>0</v>
      </c>
      <c r="J446" s="19">
        <v>0</v>
      </c>
      <c r="K446" s="19">
        <v>0</v>
      </c>
      <c r="L446" s="19">
        <v>0</v>
      </c>
      <c r="M446" s="19">
        <v>0</v>
      </c>
      <c r="N446" s="19">
        <v>0</v>
      </c>
      <c r="O446" s="19">
        <v>0</v>
      </c>
      <c r="P446" s="19">
        <v>0</v>
      </c>
      <c r="Q446" s="19">
        <v>0</v>
      </c>
      <c r="R446" s="19">
        <v>0</v>
      </c>
      <c r="S446" s="19">
        <v>0</v>
      </c>
      <c r="T446" s="19">
        <v>0</v>
      </c>
      <c r="U446" s="19">
        <v>0</v>
      </c>
      <c r="V446" s="19">
        <v>0</v>
      </c>
      <c r="W446" s="19">
        <v>0</v>
      </c>
      <c r="X446" s="19">
        <v>0</v>
      </c>
      <c r="Y446" s="19">
        <v>0</v>
      </c>
      <c r="Z446" s="19">
        <v>0</v>
      </c>
      <c r="AA446" s="19">
        <v>0</v>
      </c>
      <c r="AB446" s="19">
        <v>0</v>
      </c>
      <c r="AC446" s="19">
        <v>0</v>
      </c>
      <c r="AD446" s="19">
        <v>0</v>
      </c>
      <c r="AE446" s="19">
        <v>0</v>
      </c>
      <c r="AF446" s="19">
        <v>0</v>
      </c>
      <c r="AG446" s="19">
        <v>0</v>
      </c>
      <c r="AH446" s="19">
        <v>0</v>
      </c>
      <c r="AI446" s="19">
        <v>0</v>
      </c>
      <c r="AJ446" s="19">
        <v>0</v>
      </c>
      <c r="AK446" s="19">
        <v>0</v>
      </c>
      <c r="AL446" s="19">
        <v>0</v>
      </c>
      <c r="AM446" s="19">
        <v>0</v>
      </c>
      <c r="AN446" s="19">
        <v>0</v>
      </c>
      <c r="AO446" s="19">
        <v>0</v>
      </c>
      <c r="AP446" s="19">
        <v>0</v>
      </c>
      <c r="AQ446" s="19">
        <v>0</v>
      </c>
      <c r="AR446" s="19">
        <v>0</v>
      </c>
      <c r="AS446" s="19">
        <v>0</v>
      </c>
      <c r="AT446" s="19">
        <v>0</v>
      </c>
      <c r="AU446" s="19">
        <v>0</v>
      </c>
      <c r="AV446" s="19">
        <v>0</v>
      </c>
      <c r="AW446" s="19">
        <v>0</v>
      </c>
      <c r="AX446" s="19">
        <v>0</v>
      </c>
      <c r="AY446" s="19">
        <v>0</v>
      </c>
      <c r="AZ446" s="19">
        <v>0</v>
      </c>
      <c r="BA446" s="19">
        <v>0</v>
      </c>
      <c r="BB446" s="19">
        <v>0</v>
      </c>
      <c r="BC446" s="19">
        <v>0</v>
      </c>
      <c r="BD446" s="19">
        <v>0</v>
      </c>
      <c r="BE446" s="19">
        <v>0</v>
      </c>
      <c r="BF446" s="19">
        <v>0</v>
      </c>
      <c r="BG446" s="19">
        <v>0</v>
      </c>
      <c r="BH446" s="19">
        <v>0</v>
      </c>
      <c r="BI446" s="19">
        <v>0</v>
      </c>
      <c r="BJ446" s="19">
        <v>0</v>
      </c>
      <c r="BK446" s="19">
        <v>0</v>
      </c>
      <c r="BL446" s="19">
        <v>0</v>
      </c>
      <c r="BM446" s="19">
        <v>0</v>
      </c>
      <c r="BN446" s="19">
        <v>0</v>
      </c>
      <c r="BO446" s="19">
        <v>0</v>
      </c>
      <c r="BP446" s="19">
        <v>0</v>
      </c>
      <c r="BQ446" s="19">
        <v>0</v>
      </c>
      <c r="BR446" s="19">
        <v>0</v>
      </c>
      <c r="BS446" s="19">
        <v>0</v>
      </c>
      <c r="BT446" s="19">
        <v>0</v>
      </c>
      <c r="BU446" s="19">
        <v>0</v>
      </c>
      <c r="BV446" s="19">
        <v>0</v>
      </c>
      <c r="BW446" s="19">
        <v>0</v>
      </c>
      <c r="BX446" s="19">
        <v>0</v>
      </c>
      <c r="BY446" s="19">
        <v>0</v>
      </c>
      <c r="BZ446" s="19">
        <v>0</v>
      </c>
      <c r="CA446" s="19">
        <v>0</v>
      </c>
      <c r="CB446" s="19">
        <v>0</v>
      </c>
      <c r="CC446" s="19">
        <v>0</v>
      </c>
      <c r="CD446" s="19">
        <v>0</v>
      </c>
      <c r="CE446" s="19">
        <v>0</v>
      </c>
      <c r="CF446" s="19">
        <v>0</v>
      </c>
      <c r="CG446" s="19">
        <v>0</v>
      </c>
      <c r="CH446" s="19">
        <v>0</v>
      </c>
      <c r="CI446" s="19">
        <v>0</v>
      </c>
      <c r="CJ446" s="19">
        <v>0</v>
      </c>
      <c r="CK446" s="19">
        <v>0</v>
      </c>
      <c r="CL446" s="19">
        <v>0</v>
      </c>
      <c r="CM446" s="19">
        <v>0</v>
      </c>
      <c r="CN446" s="19">
        <v>0</v>
      </c>
      <c r="CO446" s="19">
        <v>0</v>
      </c>
      <c r="CP446" s="19">
        <v>0</v>
      </c>
      <c r="CQ446" s="19">
        <v>0</v>
      </c>
      <c r="CR446" s="19">
        <v>0</v>
      </c>
      <c r="CS446" s="19">
        <v>0</v>
      </c>
      <c r="CT446" s="19">
        <v>0</v>
      </c>
      <c r="CU446" s="19">
        <v>0</v>
      </c>
      <c r="CV446" s="19">
        <v>0</v>
      </c>
      <c r="CW446" s="19">
        <v>0</v>
      </c>
      <c r="CX446" s="19">
        <v>0</v>
      </c>
      <c r="CY446" s="19">
        <v>0</v>
      </c>
      <c r="CZ446" s="19">
        <v>0</v>
      </c>
      <c r="DA446" s="19">
        <v>0</v>
      </c>
      <c r="DB446" s="19">
        <v>0</v>
      </c>
      <c r="DC446" s="19">
        <v>0</v>
      </c>
      <c r="DD446" s="19">
        <v>0</v>
      </c>
      <c r="DE446" s="19">
        <v>0</v>
      </c>
      <c r="DF446" s="19">
        <v>0</v>
      </c>
      <c r="DG446" s="19">
        <v>0</v>
      </c>
      <c r="DH446" s="19">
        <v>0</v>
      </c>
      <c r="DI446" s="19">
        <v>0</v>
      </c>
      <c r="DJ446" s="19">
        <v>0</v>
      </c>
      <c r="DK446" s="19">
        <v>0</v>
      </c>
      <c r="DL446" s="19">
        <v>0</v>
      </c>
      <c r="DM446" s="19">
        <v>0</v>
      </c>
      <c r="DN446" s="19">
        <v>0</v>
      </c>
      <c r="DO446" s="19">
        <v>0</v>
      </c>
      <c r="DP446" s="19">
        <v>0</v>
      </c>
      <c r="DQ446" s="19">
        <v>0</v>
      </c>
      <c r="DR446" s="19">
        <v>0</v>
      </c>
      <c r="DS446" s="19">
        <v>0</v>
      </c>
      <c r="DT446" s="19">
        <v>0</v>
      </c>
      <c r="DU446" s="19">
        <v>0</v>
      </c>
      <c r="DV446" s="19">
        <v>0</v>
      </c>
      <c r="DW446" s="19">
        <v>0</v>
      </c>
      <c r="DX446" s="19">
        <v>0</v>
      </c>
      <c r="DY446" s="19">
        <v>0</v>
      </c>
      <c r="DZ446" s="19">
        <v>0</v>
      </c>
      <c r="EA446" s="19">
        <v>0</v>
      </c>
      <c r="EB446" s="19">
        <v>0</v>
      </c>
      <c r="EC446" s="19">
        <v>0</v>
      </c>
      <c r="ED446" s="19">
        <v>0</v>
      </c>
      <c r="EE446" s="19">
        <v>0</v>
      </c>
      <c r="EF446" s="19">
        <v>0</v>
      </c>
      <c r="EG446" s="19">
        <v>0</v>
      </c>
      <c r="EH446" s="19">
        <v>0</v>
      </c>
      <c r="EI446" s="19">
        <v>0</v>
      </c>
      <c r="EJ446" s="19">
        <v>0</v>
      </c>
      <c r="EK446" s="19">
        <v>0</v>
      </c>
      <c r="EL446" s="19">
        <v>0</v>
      </c>
      <c r="EM446" s="19">
        <v>0</v>
      </c>
      <c r="EN446" s="19">
        <v>0</v>
      </c>
      <c r="EO446" s="19">
        <v>0</v>
      </c>
      <c r="EP446" s="19">
        <v>0</v>
      </c>
      <c r="EQ446" s="19">
        <v>0</v>
      </c>
      <c r="ER446" s="19">
        <v>0</v>
      </c>
      <c r="ES446" s="119">
        <v>0</v>
      </c>
      <c r="ET446" s="119">
        <v>0</v>
      </c>
    </row>
    <row r="447" spans="1:150" ht="16.5" customHeight="1" x14ac:dyDescent="0.35">
      <c r="A447" s="4">
        <v>216</v>
      </c>
      <c r="B447" s="4" t="str">
        <f>LOOKUP(A447,Lookup!$A$1:$A$34,Lookup!$B$1:$B$34)</f>
        <v>BUTCH  WORS/MINCE/PAT</v>
      </c>
      <c r="C447" s="5">
        <v>54108</v>
      </c>
      <c r="D447" s="6" t="s">
        <v>424</v>
      </c>
      <c r="E447" s="18">
        <v>0</v>
      </c>
      <c r="F447" s="18">
        <v>0</v>
      </c>
      <c r="G447" s="18">
        <v>0</v>
      </c>
      <c r="H447" s="18">
        <v>0</v>
      </c>
      <c r="I447" s="19">
        <v>0</v>
      </c>
      <c r="J447" s="19">
        <v>0</v>
      </c>
      <c r="K447" s="19">
        <v>0</v>
      </c>
      <c r="L447" s="19">
        <v>0</v>
      </c>
      <c r="M447" s="19">
        <v>0</v>
      </c>
      <c r="N447" s="19">
        <v>0</v>
      </c>
      <c r="O447" s="19">
        <v>0</v>
      </c>
      <c r="P447" s="19">
        <v>0</v>
      </c>
      <c r="Q447" s="19">
        <v>0</v>
      </c>
      <c r="R447" s="19">
        <v>0</v>
      </c>
      <c r="S447" s="19">
        <v>0</v>
      </c>
      <c r="T447" s="19">
        <v>0</v>
      </c>
      <c r="U447" s="19">
        <v>0</v>
      </c>
      <c r="V447" s="19">
        <v>0</v>
      </c>
      <c r="W447" s="19">
        <v>0</v>
      </c>
      <c r="X447" s="19">
        <v>0</v>
      </c>
      <c r="Y447" s="19">
        <v>0</v>
      </c>
      <c r="Z447" s="19">
        <v>0</v>
      </c>
      <c r="AA447" s="19">
        <v>0</v>
      </c>
      <c r="AB447" s="19">
        <v>0</v>
      </c>
      <c r="AC447" s="19">
        <v>0</v>
      </c>
      <c r="AD447" s="19">
        <v>0</v>
      </c>
      <c r="AE447" s="19">
        <v>0</v>
      </c>
      <c r="AF447" s="19">
        <v>0</v>
      </c>
      <c r="AG447" s="19">
        <v>0</v>
      </c>
      <c r="AH447" s="19">
        <v>0</v>
      </c>
      <c r="AI447" s="19">
        <v>0</v>
      </c>
      <c r="AJ447" s="19">
        <v>0</v>
      </c>
      <c r="AK447" s="19">
        <v>0</v>
      </c>
      <c r="AL447" s="19">
        <v>0</v>
      </c>
      <c r="AM447" s="19">
        <v>0</v>
      </c>
      <c r="AN447" s="19">
        <v>0</v>
      </c>
      <c r="AO447" s="19">
        <v>0</v>
      </c>
      <c r="AP447" s="19">
        <v>0</v>
      </c>
      <c r="AQ447" s="19">
        <v>0</v>
      </c>
      <c r="AR447" s="19">
        <v>0</v>
      </c>
      <c r="AS447" s="19">
        <v>0</v>
      </c>
      <c r="AT447" s="19">
        <v>0</v>
      </c>
      <c r="AU447" s="19">
        <v>0</v>
      </c>
      <c r="AV447" s="19">
        <v>0</v>
      </c>
      <c r="AW447" s="19">
        <v>0</v>
      </c>
      <c r="AX447" s="19">
        <v>0</v>
      </c>
      <c r="AY447" s="19">
        <v>0</v>
      </c>
      <c r="AZ447" s="19">
        <v>0</v>
      </c>
      <c r="BA447" s="19">
        <v>0</v>
      </c>
      <c r="BB447" s="19">
        <v>0</v>
      </c>
      <c r="BC447" s="19">
        <v>0</v>
      </c>
      <c r="BD447" s="19">
        <v>0</v>
      </c>
      <c r="BE447" s="19">
        <v>0</v>
      </c>
      <c r="BF447" s="19">
        <v>0</v>
      </c>
      <c r="BG447" s="19">
        <v>0</v>
      </c>
      <c r="BH447" s="19">
        <v>0</v>
      </c>
      <c r="BI447" s="19">
        <v>0</v>
      </c>
      <c r="BJ447" s="19">
        <v>0</v>
      </c>
      <c r="BK447" s="19">
        <v>0</v>
      </c>
      <c r="BL447" s="19">
        <v>0</v>
      </c>
      <c r="BM447" s="19">
        <v>0</v>
      </c>
      <c r="BN447" s="19">
        <v>0</v>
      </c>
      <c r="BO447" s="19">
        <v>0</v>
      </c>
      <c r="BP447" s="19">
        <v>0</v>
      </c>
      <c r="BQ447" s="19">
        <v>0</v>
      </c>
      <c r="BR447" s="19">
        <v>0</v>
      </c>
      <c r="BS447" s="19">
        <v>0</v>
      </c>
      <c r="BT447" s="19">
        <v>0</v>
      </c>
      <c r="BU447" s="19">
        <v>0</v>
      </c>
      <c r="BV447" s="19">
        <v>0</v>
      </c>
      <c r="BW447" s="19">
        <v>0</v>
      </c>
      <c r="BX447" s="19">
        <v>0</v>
      </c>
      <c r="BY447" s="19">
        <v>0</v>
      </c>
      <c r="BZ447" s="19">
        <v>0</v>
      </c>
      <c r="CA447" s="19">
        <v>0</v>
      </c>
      <c r="CB447" s="19">
        <v>0</v>
      </c>
      <c r="CC447" s="19">
        <v>0</v>
      </c>
      <c r="CD447" s="19">
        <v>0</v>
      </c>
      <c r="CE447" s="19">
        <v>0</v>
      </c>
      <c r="CF447" s="19">
        <v>0</v>
      </c>
      <c r="CG447" s="19">
        <v>0</v>
      </c>
      <c r="CH447" s="19">
        <v>0</v>
      </c>
      <c r="CI447" s="19">
        <v>0</v>
      </c>
      <c r="CJ447" s="19">
        <v>0</v>
      </c>
      <c r="CK447" s="19">
        <v>0</v>
      </c>
      <c r="CL447" s="19">
        <v>0</v>
      </c>
      <c r="CM447" s="19">
        <v>0</v>
      </c>
      <c r="CN447" s="19">
        <v>0</v>
      </c>
      <c r="CO447" s="19">
        <v>0</v>
      </c>
      <c r="CP447" s="19">
        <v>0</v>
      </c>
      <c r="CQ447" s="19">
        <v>0</v>
      </c>
      <c r="CR447" s="19">
        <v>0</v>
      </c>
      <c r="CS447" s="19">
        <v>0</v>
      </c>
      <c r="CT447" s="19">
        <v>0</v>
      </c>
      <c r="CU447" s="19">
        <v>0</v>
      </c>
      <c r="CV447" s="19">
        <v>0</v>
      </c>
      <c r="CW447" s="19">
        <v>0</v>
      </c>
      <c r="CX447" s="19">
        <v>0</v>
      </c>
      <c r="CY447" s="19">
        <v>0</v>
      </c>
      <c r="CZ447" s="19">
        <v>0</v>
      </c>
      <c r="DA447" s="19">
        <v>0</v>
      </c>
      <c r="DB447" s="19">
        <v>0</v>
      </c>
      <c r="DC447" s="19">
        <v>0</v>
      </c>
      <c r="DD447" s="19">
        <v>0</v>
      </c>
      <c r="DE447" s="19">
        <v>0</v>
      </c>
      <c r="DF447" s="19">
        <v>0</v>
      </c>
      <c r="DG447" s="19">
        <v>0</v>
      </c>
      <c r="DH447" s="19">
        <v>0</v>
      </c>
      <c r="DI447" s="19">
        <v>0</v>
      </c>
      <c r="DJ447" s="19">
        <v>0</v>
      </c>
      <c r="DK447" s="19">
        <v>0</v>
      </c>
      <c r="DL447" s="19">
        <v>0</v>
      </c>
      <c r="DM447" s="19">
        <v>0</v>
      </c>
      <c r="DN447" s="19">
        <v>0</v>
      </c>
      <c r="DO447" s="19">
        <v>0</v>
      </c>
      <c r="DP447" s="19">
        <v>0</v>
      </c>
      <c r="DQ447" s="19">
        <v>0</v>
      </c>
      <c r="DR447" s="19">
        <v>0</v>
      </c>
      <c r="DS447" s="19">
        <v>0</v>
      </c>
      <c r="DT447" s="19">
        <v>0</v>
      </c>
      <c r="DU447" s="19">
        <v>0</v>
      </c>
      <c r="DV447" s="19">
        <v>0</v>
      </c>
      <c r="DW447" s="19">
        <v>0</v>
      </c>
      <c r="DX447" s="19">
        <v>0</v>
      </c>
      <c r="DY447" s="19">
        <v>0</v>
      </c>
      <c r="DZ447" s="19">
        <v>0</v>
      </c>
      <c r="EA447" s="19">
        <v>0</v>
      </c>
      <c r="EB447" s="19">
        <v>0</v>
      </c>
      <c r="EC447" s="19">
        <v>0</v>
      </c>
      <c r="ED447" s="19">
        <v>0</v>
      </c>
      <c r="EE447" s="19">
        <v>0</v>
      </c>
      <c r="EF447" s="19">
        <v>0</v>
      </c>
      <c r="EG447" s="19">
        <v>0</v>
      </c>
      <c r="EH447" s="19">
        <v>0</v>
      </c>
      <c r="EI447" s="19">
        <v>0</v>
      </c>
      <c r="EJ447" s="19">
        <v>0</v>
      </c>
      <c r="EK447" s="19">
        <v>0</v>
      </c>
      <c r="EL447" s="19">
        <v>0</v>
      </c>
      <c r="EM447" s="19">
        <v>0</v>
      </c>
      <c r="EN447" s="19">
        <v>0</v>
      </c>
      <c r="EO447" s="19">
        <v>0</v>
      </c>
      <c r="EP447" s="19">
        <v>0</v>
      </c>
      <c r="EQ447" s="19">
        <v>0</v>
      </c>
      <c r="ER447" s="19">
        <v>0</v>
      </c>
      <c r="ES447" s="119">
        <v>0</v>
      </c>
      <c r="ET447" s="119">
        <v>0</v>
      </c>
    </row>
    <row r="448" spans="1:150" ht="16.5" customHeight="1" x14ac:dyDescent="0.35">
      <c r="A448" s="4">
        <v>216</v>
      </c>
      <c r="B448" s="4" t="str">
        <f>LOOKUP(A448,Lookup!$A$1:$A$34,Lookup!$B$1:$B$34)</f>
        <v>BUTCH  WORS/MINCE/PAT</v>
      </c>
      <c r="C448" s="5">
        <v>54432</v>
      </c>
      <c r="D448" s="6" t="s">
        <v>425</v>
      </c>
      <c r="E448" s="18">
        <v>0</v>
      </c>
      <c r="F448" s="18">
        <v>0</v>
      </c>
      <c r="G448" s="18">
        <v>0</v>
      </c>
      <c r="H448" s="18">
        <v>0</v>
      </c>
      <c r="I448" s="19">
        <v>0</v>
      </c>
      <c r="J448" s="19">
        <v>0</v>
      </c>
      <c r="K448" s="19">
        <v>0</v>
      </c>
      <c r="L448" s="19">
        <v>0</v>
      </c>
      <c r="M448" s="19">
        <v>0</v>
      </c>
      <c r="N448" s="19">
        <v>0</v>
      </c>
      <c r="O448" s="19">
        <v>0</v>
      </c>
      <c r="P448" s="19">
        <v>0</v>
      </c>
      <c r="Q448" s="19">
        <v>0</v>
      </c>
      <c r="R448" s="19">
        <v>0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19">
        <v>0</v>
      </c>
      <c r="AJ448" s="19">
        <v>0</v>
      </c>
      <c r="AK448" s="19">
        <v>0</v>
      </c>
      <c r="AL448" s="19">
        <v>0</v>
      </c>
      <c r="AM448" s="19">
        <v>0</v>
      </c>
      <c r="AN448" s="19">
        <v>0</v>
      </c>
      <c r="AO448" s="19">
        <v>0</v>
      </c>
      <c r="AP448" s="19">
        <v>0</v>
      </c>
      <c r="AQ448" s="19">
        <v>0</v>
      </c>
      <c r="AR448" s="19">
        <v>0</v>
      </c>
      <c r="AS448" s="19">
        <v>0</v>
      </c>
      <c r="AT448" s="19">
        <v>0</v>
      </c>
      <c r="AU448" s="19">
        <v>0</v>
      </c>
      <c r="AV448" s="19">
        <v>0</v>
      </c>
      <c r="AW448" s="19">
        <v>0</v>
      </c>
      <c r="AX448" s="19">
        <v>0</v>
      </c>
      <c r="AY448" s="19">
        <v>0</v>
      </c>
      <c r="AZ448" s="19">
        <v>0</v>
      </c>
      <c r="BA448" s="19">
        <v>0</v>
      </c>
      <c r="BB448" s="19">
        <v>0</v>
      </c>
      <c r="BC448" s="19">
        <v>0</v>
      </c>
      <c r="BD448" s="19">
        <v>0</v>
      </c>
      <c r="BE448" s="19">
        <v>0</v>
      </c>
      <c r="BF448" s="19">
        <v>0</v>
      </c>
      <c r="BG448" s="19">
        <v>0</v>
      </c>
      <c r="BH448" s="19">
        <v>0</v>
      </c>
      <c r="BI448" s="19">
        <v>0</v>
      </c>
      <c r="BJ448" s="19">
        <v>0</v>
      </c>
      <c r="BK448" s="19">
        <v>0</v>
      </c>
      <c r="BL448" s="19">
        <v>0</v>
      </c>
      <c r="BM448" s="19">
        <v>0</v>
      </c>
      <c r="BN448" s="19">
        <v>0</v>
      </c>
      <c r="BO448" s="19">
        <v>0</v>
      </c>
      <c r="BP448" s="19">
        <v>0</v>
      </c>
      <c r="BQ448" s="19">
        <v>0</v>
      </c>
      <c r="BR448" s="19">
        <v>0</v>
      </c>
      <c r="BS448" s="19">
        <v>0</v>
      </c>
      <c r="BT448" s="19">
        <v>0</v>
      </c>
      <c r="BU448" s="19">
        <v>0</v>
      </c>
      <c r="BV448" s="19">
        <v>0</v>
      </c>
      <c r="BW448" s="19">
        <v>0</v>
      </c>
      <c r="BX448" s="19">
        <v>0</v>
      </c>
      <c r="BY448" s="19">
        <v>0</v>
      </c>
      <c r="BZ448" s="19">
        <v>0</v>
      </c>
      <c r="CA448" s="19">
        <v>0</v>
      </c>
      <c r="CB448" s="19">
        <v>0</v>
      </c>
      <c r="CC448" s="19">
        <v>0</v>
      </c>
      <c r="CD448" s="19">
        <v>0</v>
      </c>
      <c r="CE448" s="19">
        <v>0</v>
      </c>
      <c r="CF448" s="19">
        <v>0</v>
      </c>
      <c r="CG448" s="19">
        <v>0</v>
      </c>
      <c r="CH448" s="19">
        <v>0</v>
      </c>
      <c r="CI448" s="19">
        <v>0</v>
      </c>
      <c r="CJ448" s="19">
        <v>0</v>
      </c>
      <c r="CK448" s="19">
        <v>0</v>
      </c>
      <c r="CL448" s="19">
        <v>0</v>
      </c>
      <c r="CM448" s="19">
        <v>0</v>
      </c>
      <c r="CN448" s="19">
        <v>0</v>
      </c>
      <c r="CO448" s="19">
        <v>0</v>
      </c>
      <c r="CP448" s="19">
        <v>0</v>
      </c>
      <c r="CQ448" s="19">
        <v>0</v>
      </c>
      <c r="CR448" s="19">
        <v>0</v>
      </c>
      <c r="CS448" s="19">
        <v>0</v>
      </c>
      <c r="CT448" s="19">
        <v>0</v>
      </c>
      <c r="CU448" s="19">
        <v>0</v>
      </c>
      <c r="CV448" s="19">
        <v>0</v>
      </c>
      <c r="CW448" s="19">
        <v>0</v>
      </c>
      <c r="CX448" s="19">
        <v>0</v>
      </c>
      <c r="CY448" s="19">
        <v>0</v>
      </c>
      <c r="CZ448" s="19">
        <v>0</v>
      </c>
      <c r="DA448" s="19">
        <v>0</v>
      </c>
      <c r="DB448" s="19">
        <v>0</v>
      </c>
      <c r="DC448" s="19">
        <v>0</v>
      </c>
      <c r="DD448" s="19">
        <v>0</v>
      </c>
      <c r="DE448" s="19">
        <v>0</v>
      </c>
      <c r="DF448" s="19">
        <v>0</v>
      </c>
      <c r="DG448" s="19">
        <v>0</v>
      </c>
      <c r="DH448" s="19">
        <v>0</v>
      </c>
      <c r="DI448" s="19">
        <v>0</v>
      </c>
      <c r="DJ448" s="19">
        <v>0</v>
      </c>
      <c r="DK448" s="19">
        <v>0</v>
      </c>
      <c r="DL448" s="19">
        <v>0</v>
      </c>
      <c r="DM448" s="19">
        <v>0</v>
      </c>
      <c r="DN448" s="19">
        <v>0</v>
      </c>
      <c r="DO448" s="19">
        <v>0</v>
      </c>
      <c r="DP448" s="19">
        <v>0</v>
      </c>
      <c r="DQ448" s="19">
        <v>0</v>
      </c>
      <c r="DR448" s="19">
        <v>0</v>
      </c>
      <c r="DS448" s="19">
        <v>0</v>
      </c>
      <c r="DT448" s="19">
        <v>0</v>
      </c>
      <c r="DU448" s="19">
        <v>0</v>
      </c>
      <c r="DV448" s="19">
        <v>0</v>
      </c>
      <c r="DW448" s="19">
        <v>0</v>
      </c>
      <c r="DX448" s="19">
        <v>0</v>
      </c>
      <c r="DY448" s="19">
        <v>0</v>
      </c>
      <c r="DZ448" s="19">
        <v>0</v>
      </c>
      <c r="EA448" s="19">
        <v>0</v>
      </c>
      <c r="EB448" s="19">
        <v>0</v>
      </c>
      <c r="EC448" s="19">
        <v>0</v>
      </c>
      <c r="ED448" s="19">
        <v>0</v>
      </c>
      <c r="EE448" s="19">
        <v>0</v>
      </c>
      <c r="EF448" s="19">
        <v>0</v>
      </c>
      <c r="EG448" s="19">
        <v>0</v>
      </c>
      <c r="EH448" s="19">
        <v>0</v>
      </c>
      <c r="EI448" s="19">
        <v>0</v>
      </c>
      <c r="EJ448" s="19">
        <v>0</v>
      </c>
      <c r="EK448" s="19">
        <v>0</v>
      </c>
      <c r="EL448" s="19">
        <v>0</v>
      </c>
      <c r="EM448" s="19">
        <v>0</v>
      </c>
      <c r="EN448" s="19">
        <v>0</v>
      </c>
      <c r="EO448" s="19">
        <v>0</v>
      </c>
      <c r="EP448" s="19">
        <v>0</v>
      </c>
      <c r="EQ448" s="19">
        <v>0</v>
      </c>
      <c r="ER448" s="19">
        <v>0</v>
      </c>
      <c r="ES448" s="119">
        <v>0</v>
      </c>
      <c r="ET448" s="119">
        <v>0</v>
      </c>
    </row>
    <row r="449" spans="1:150" ht="16.5" customHeight="1" x14ac:dyDescent="0.35">
      <c r="A449" s="4">
        <v>216</v>
      </c>
      <c r="B449" s="4" t="str">
        <f>LOOKUP(A449,Lookup!$A$1:$A$34,Lookup!$B$1:$B$34)</f>
        <v>BUTCH  WORS/MINCE/PAT</v>
      </c>
      <c r="C449" s="5">
        <v>55336</v>
      </c>
      <c r="D449" s="6" t="s">
        <v>426</v>
      </c>
      <c r="E449" s="18">
        <v>0</v>
      </c>
      <c r="F449" s="18">
        <v>0</v>
      </c>
      <c r="G449" s="18">
        <v>0</v>
      </c>
      <c r="H449" s="18">
        <v>0</v>
      </c>
      <c r="I449" s="19">
        <v>0</v>
      </c>
      <c r="J449" s="19">
        <v>0</v>
      </c>
      <c r="K449" s="19">
        <v>0</v>
      </c>
      <c r="L449" s="19">
        <v>0</v>
      </c>
      <c r="M449" s="19">
        <v>0</v>
      </c>
      <c r="N449" s="19">
        <v>0</v>
      </c>
      <c r="O449" s="19">
        <v>0</v>
      </c>
      <c r="P449" s="19">
        <v>0</v>
      </c>
      <c r="Q449" s="19">
        <v>0</v>
      </c>
      <c r="R449" s="19">
        <v>0</v>
      </c>
      <c r="S449" s="19">
        <v>0</v>
      </c>
      <c r="T449" s="19">
        <v>0</v>
      </c>
      <c r="U449" s="19">
        <v>0</v>
      </c>
      <c r="V449" s="19">
        <v>0</v>
      </c>
      <c r="W449" s="19">
        <v>0</v>
      </c>
      <c r="X449" s="19">
        <v>0</v>
      </c>
      <c r="Y449" s="19">
        <v>0</v>
      </c>
      <c r="Z449" s="19">
        <v>0</v>
      </c>
      <c r="AA449" s="19">
        <v>0</v>
      </c>
      <c r="AB449" s="19">
        <v>0</v>
      </c>
      <c r="AC449" s="19">
        <v>0</v>
      </c>
      <c r="AD449" s="19">
        <v>0</v>
      </c>
      <c r="AE449" s="19">
        <v>0</v>
      </c>
      <c r="AF449" s="19">
        <v>0</v>
      </c>
      <c r="AG449" s="19">
        <v>0</v>
      </c>
      <c r="AH449" s="19">
        <v>0</v>
      </c>
      <c r="AI449" s="19">
        <v>0</v>
      </c>
      <c r="AJ449" s="19">
        <v>0</v>
      </c>
      <c r="AK449" s="19">
        <v>0</v>
      </c>
      <c r="AL449" s="19">
        <v>0</v>
      </c>
      <c r="AM449" s="19">
        <v>0</v>
      </c>
      <c r="AN449" s="19">
        <v>0</v>
      </c>
      <c r="AO449" s="19">
        <v>0</v>
      </c>
      <c r="AP449" s="19">
        <v>0</v>
      </c>
      <c r="AQ449" s="19">
        <v>0</v>
      </c>
      <c r="AR449" s="19">
        <v>0</v>
      </c>
      <c r="AS449" s="19">
        <v>0</v>
      </c>
      <c r="AT449" s="19">
        <v>0</v>
      </c>
      <c r="AU449" s="19">
        <v>0</v>
      </c>
      <c r="AV449" s="19">
        <v>0</v>
      </c>
      <c r="AW449" s="19">
        <v>0</v>
      </c>
      <c r="AX449" s="19">
        <v>0</v>
      </c>
      <c r="AY449" s="19">
        <v>0</v>
      </c>
      <c r="AZ449" s="19">
        <v>0</v>
      </c>
      <c r="BA449" s="19">
        <v>0</v>
      </c>
      <c r="BB449" s="19">
        <v>0</v>
      </c>
      <c r="BC449" s="19">
        <v>0</v>
      </c>
      <c r="BD449" s="19">
        <v>0</v>
      </c>
      <c r="BE449" s="19">
        <v>0</v>
      </c>
      <c r="BF449" s="19">
        <v>0</v>
      </c>
      <c r="BG449" s="19">
        <v>0</v>
      </c>
      <c r="BH449" s="19">
        <v>0</v>
      </c>
      <c r="BI449" s="19">
        <v>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  <c r="BP449" s="19">
        <v>0</v>
      </c>
      <c r="BQ449" s="19">
        <v>0</v>
      </c>
      <c r="BR449" s="19">
        <v>0</v>
      </c>
      <c r="BS449" s="19">
        <v>0</v>
      </c>
      <c r="BT449" s="19">
        <v>0</v>
      </c>
      <c r="BU449" s="19">
        <v>0</v>
      </c>
      <c r="BV449" s="19">
        <v>0</v>
      </c>
      <c r="BW449" s="19">
        <v>0</v>
      </c>
      <c r="BX449" s="19">
        <v>0</v>
      </c>
      <c r="BY449" s="19">
        <v>0</v>
      </c>
      <c r="BZ449" s="19">
        <v>0</v>
      </c>
      <c r="CA449" s="19">
        <v>0</v>
      </c>
      <c r="CB449" s="19">
        <v>0</v>
      </c>
      <c r="CC449" s="19">
        <v>0</v>
      </c>
      <c r="CD449" s="19">
        <v>0</v>
      </c>
      <c r="CE449" s="19">
        <v>0</v>
      </c>
      <c r="CF449" s="19">
        <v>0</v>
      </c>
      <c r="CG449" s="19">
        <v>0</v>
      </c>
      <c r="CH449" s="19">
        <v>0</v>
      </c>
      <c r="CI449" s="19">
        <v>0</v>
      </c>
      <c r="CJ449" s="19">
        <v>0</v>
      </c>
      <c r="CK449" s="19">
        <v>0</v>
      </c>
      <c r="CL449" s="19">
        <v>0</v>
      </c>
      <c r="CM449" s="19">
        <v>0</v>
      </c>
      <c r="CN449" s="19">
        <v>0</v>
      </c>
      <c r="CO449" s="19">
        <v>0</v>
      </c>
      <c r="CP449" s="19">
        <v>0</v>
      </c>
      <c r="CQ449" s="19">
        <v>0</v>
      </c>
      <c r="CR449" s="19">
        <v>0</v>
      </c>
      <c r="CS449" s="19">
        <v>0</v>
      </c>
      <c r="CT449" s="19">
        <v>0</v>
      </c>
      <c r="CU449" s="19">
        <v>0</v>
      </c>
      <c r="CV449" s="19">
        <v>0</v>
      </c>
      <c r="CW449" s="19">
        <v>0</v>
      </c>
      <c r="CX449" s="19">
        <v>0</v>
      </c>
      <c r="CY449" s="19">
        <v>0</v>
      </c>
      <c r="CZ449" s="19">
        <v>0</v>
      </c>
      <c r="DA449" s="19">
        <v>0</v>
      </c>
      <c r="DB449" s="19">
        <v>0</v>
      </c>
      <c r="DC449" s="19">
        <v>0</v>
      </c>
      <c r="DD449" s="19">
        <v>0</v>
      </c>
      <c r="DE449" s="19">
        <v>0</v>
      </c>
      <c r="DF449" s="19">
        <v>0</v>
      </c>
      <c r="DG449" s="19">
        <v>0</v>
      </c>
      <c r="DH449" s="19">
        <v>0</v>
      </c>
      <c r="DI449" s="19">
        <v>0</v>
      </c>
      <c r="DJ449" s="19">
        <v>0</v>
      </c>
      <c r="DK449" s="19">
        <v>0</v>
      </c>
      <c r="DL449" s="19">
        <v>0</v>
      </c>
      <c r="DM449" s="19">
        <v>0</v>
      </c>
      <c r="DN449" s="19">
        <v>0</v>
      </c>
      <c r="DO449" s="19">
        <v>0</v>
      </c>
      <c r="DP449" s="19">
        <v>0</v>
      </c>
      <c r="DQ449" s="19">
        <v>0</v>
      </c>
      <c r="DR449" s="19">
        <v>0</v>
      </c>
      <c r="DS449" s="19">
        <v>0</v>
      </c>
      <c r="DT449" s="19">
        <v>0</v>
      </c>
      <c r="DU449" s="19">
        <v>0</v>
      </c>
      <c r="DV449" s="19">
        <v>0</v>
      </c>
      <c r="DW449" s="19">
        <v>0</v>
      </c>
      <c r="DX449" s="19">
        <v>0</v>
      </c>
      <c r="DY449" s="19">
        <v>0</v>
      </c>
      <c r="DZ449" s="19">
        <v>0</v>
      </c>
      <c r="EA449" s="19">
        <v>0</v>
      </c>
      <c r="EB449" s="19">
        <v>0</v>
      </c>
      <c r="EC449" s="19">
        <v>0</v>
      </c>
      <c r="ED449" s="19">
        <v>0</v>
      </c>
      <c r="EE449" s="19">
        <v>0</v>
      </c>
      <c r="EF449" s="19">
        <v>0</v>
      </c>
      <c r="EG449" s="19">
        <v>0</v>
      </c>
      <c r="EH449" s="19">
        <v>0</v>
      </c>
      <c r="EI449" s="19">
        <v>0</v>
      </c>
      <c r="EJ449" s="19">
        <v>0</v>
      </c>
      <c r="EK449" s="19">
        <v>0</v>
      </c>
      <c r="EL449" s="19">
        <v>0</v>
      </c>
      <c r="EM449" s="19">
        <v>0</v>
      </c>
      <c r="EN449" s="19">
        <v>0</v>
      </c>
      <c r="EO449" s="19">
        <v>0</v>
      </c>
      <c r="EP449" s="19">
        <v>0</v>
      </c>
      <c r="EQ449" s="19">
        <v>0</v>
      </c>
      <c r="ER449" s="19">
        <v>0</v>
      </c>
      <c r="ES449" s="119">
        <v>0</v>
      </c>
      <c r="ET449" s="119">
        <v>0</v>
      </c>
    </row>
    <row r="450" spans="1:150" ht="16.5" customHeight="1" x14ac:dyDescent="0.35">
      <c r="A450" s="4">
        <v>216</v>
      </c>
      <c r="B450" s="4" t="str">
        <f>LOOKUP(A450,Lookup!$A$1:$A$34,Lookup!$B$1:$B$34)</f>
        <v>BUTCH  WORS/MINCE/PAT</v>
      </c>
      <c r="C450" s="5">
        <v>56164</v>
      </c>
      <c r="D450" s="6" t="s">
        <v>427</v>
      </c>
      <c r="E450" s="18">
        <v>0</v>
      </c>
      <c r="F450" s="18">
        <v>0</v>
      </c>
      <c r="G450" s="18">
        <v>0</v>
      </c>
      <c r="H450" s="18">
        <v>0</v>
      </c>
      <c r="I450" s="19">
        <v>0</v>
      </c>
      <c r="J450" s="19">
        <v>0</v>
      </c>
      <c r="K450" s="19">
        <v>0</v>
      </c>
      <c r="L450" s="19">
        <v>0</v>
      </c>
      <c r="M450" s="19">
        <v>0</v>
      </c>
      <c r="N450" s="19">
        <v>0</v>
      </c>
      <c r="O450" s="19">
        <v>0</v>
      </c>
      <c r="P450" s="19">
        <v>0</v>
      </c>
      <c r="Q450" s="19">
        <v>0</v>
      </c>
      <c r="R450" s="19">
        <v>0</v>
      </c>
      <c r="S450" s="19">
        <v>0</v>
      </c>
      <c r="T450" s="19">
        <v>0</v>
      </c>
      <c r="U450" s="19">
        <v>0</v>
      </c>
      <c r="V450" s="19">
        <v>0</v>
      </c>
      <c r="W450" s="19">
        <v>0</v>
      </c>
      <c r="X450" s="19">
        <v>0</v>
      </c>
      <c r="Y450" s="19">
        <v>0</v>
      </c>
      <c r="Z450" s="19">
        <v>0</v>
      </c>
      <c r="AA450" s="19">
        <v>0</v>
      </c>
      <c r="AB450" s="19">
        <v>0</v>
      </c>
      <c r="AC450" s="19">
        <v>0</v>
      </c>
      <c r="AD450" s="19">
        <v>0</v>
      </c>
      <c r="AE450" s="19">
        <v>0</v>
      </c>
      <c r="AF450" s="19">
        <v>0</v>
      </c>
      <c r="AG450" s="19">
        <v>0</v>
      </c>
      <c r="AH450" s="19">
        <v>0</v>
      </c>
      <c r="AI450" s="19">
        <v>0</v>
      </c>
      <c r="AJ450" s="19">
        <v>0</v>
      </c>
      <c r="AK450" s="19">
        <v>0</v>
      </c>
      <c r="AL450" s="19">
        <v>0</v>
      </c>
      <c r="AM450" s="19">
        <v>0</v>
      </c>
      <c r="AN450" s="19">
        <v>0</v>
      </c>
      <c r="AO450" s="19">
        <v>0</v>
      </c>
      <c r="AP450" s="19">
        <v>0</v>
      </c>
      <c r="AQ450" s="19">
        <v>0</v>
      </c>
      <c r="AR450" s="19">
        <v>0</v>
      </c>
      <c r="AS450" s="19">
        <v>0</v>
      </c>
      <c r="AT450" s="19">
        <v>0</v>
      </c>
      <c r="AU450" s="19">
        <v>0</v>
      </c>
      <c r="AV450" s="19">
        <v>0</v>
      </c>
      <c r="AW450" s="19">
        <v>0</v>
      </c>
      <c r="AX450" s="19">
        <v>0</v>
      </c>
      <c r="AY450" s="19">
        <v>0</v>
      </c>
      <c r="AZ450" s="19">
        <v>0</v>
      </c>
      <c r="BA450" s="19">
        <v>0</v>
      </c>
      <c r="BB450" s="19">
        <v>0</v>
      </c>
      <c r="BC450" s="19">
        <v>0</v>
      </c>
      <c r="BD450" s="19">
        <v>0</v>
      </c>
      <c r="BE450" s="19">
        <v>0</v>
      </c>
      <c r="BF450" s="19">
        <v>0</v>
      </c>
      <c r="BG450" s="19">
        <v>0</v>
      </c>
      <c r="BH450" s="19">
        <v>0</v>
      </c>
      <c r="BI450" s="19">
        <v>0</v>
      </c>
      <c r="BJ450" s="19">
        <v>0</v>
      </c>
      <c r="BK450" s="19">
        <v>0</v>
      </c>
      <c r="BL450" s="19">
        <v>0</v>
      </c>
      <c r="BM450" s="19">
        <v>0</v>
      </c>
      <c r="BN450" s="19">
        <v>0</v>
      </c>
      <c r="BO450" s="19">
        <v>0</v>
      </c>
      <c r="BP450" s="19">
        <v>0</v>
      </c>
      <c r="BQ450" s="19">
        <v>0</v>
      </c>
      <c r="BR450" s="19">
        <v>0</v>
      </c>
      <c r="BS450" s="19">
        <v>0</v>
      </c>
      <c r="BT450" s="19">
        <v>0</v>
      </c>
      <c r="BU450" s="19">
        <v>0</v>
      </c>
      <c r="BV450" s="19">
        <v>0</v>
      </c>
      <c r="BW450" s="19">
        <v>0</v>
      </c>
      <c r="BX450" s="19">
        <v>0</v>
      </c>
      <c r="BY450" s="19">
        <v>0</v>
      </c>
      <c r="BZ450" s="19">
        <v>0</v>
      </c>
      <c r="CA450" s="19">
        <v>0</v>
      </c>
      <c r="CB450" s="19">
        <v>0</v>
      </c>
      <c r="CC450" s="19">
        <v>0</v>
      </c>
      <c r="CD450" s="19">
        <v>0</v>
      </c>
      <c r="CE450" s="19">
        <v>0</v>
      </c>
      <c r="CF450" s="19">
        <v>0</v>
      </c>
      <c r="CG450" s="19">
        <v>0</v>
      </c>
      <c r="CH450" s="19">
        <v>0</v>
      </c>
      <c r="CI450" s="19">
        <v>0</v>
      </c>
      <c r="CJ450" s="19">
        <v>0</v>
      </c>
      <c r="CK450" s="19">
        <v>0</v>
      </c>
      <c r="CL450" s="19">
        <v>0</v>
      </c>
      <c r="CM450" s="19">
        <v>0</v>
      </c>
      <c r="CN450" s="19">
        <v>0</v>
      </c>
      <c r="CO450" s="19">
        <v>0</v>
      </c>
      <c r="CP450" s="19">
        <v>0</v>
      </c>
      <c r="CQ450" s="19">
        <v>0</v>
      </c>
      <c r="CR450" s="19">
        <v>0</v>
      </c>
      <c r="CS450" s="19">
        <v>0</v>
      </c>
      <c r="CT450" s="19">
        <v>0</v>
      </c>
      <c r="CU450" s="19">
        <v>0</v>
      </c>
      <c r="CV450" s="19">
        <v>0</v>
      </c>
      <c r="CW450" s="19">
        <v>0</v>
      </c>
      <c r="CX450" s="19">
        <v>0</v>
      </c>
      <c r="CY450" s="19">
        <v>0</v>
      </c>
      <c r="CZ450" s="19">
        <v>0</v>
      </c>
      <c r="DA450" s="19">
        <v>0</v>
      </c>
      <c r="DB450" s="19">
        <v>0</v>
      </c>
      <c r="DC450" s="19">
        <v>0</v>
      </c>
      <c r="DD450" s="19">
        <v>0</v>
      </c>
      <c r="DE450" s="19">
        <v>0</v>
      </c>
      <c r="DF450" s="19">
        <v>0</v>
      </c>
      <c r="DG450" s="19">
        <v>0</v>
      </c>
      <c r="DH450" s="19">
        <v>0</v>
      </c>
      <c r="DI450" s="19">
        <v>0</v>
      </c>
      <c r="DJ450" s="19">
        <v>0</v>
      </c>
      <c r="DK450" s="19">
        <v>0</v>
      </c>
      <c r="DL450" s="19">
        <v>0</v>
      </c>
      <c r="DM450" s="19">
        <v>0</v>
      </c>
      <c r="DN450" s="19">
        <v>0</v>
      </c>
      <c r="DO450" s="19">
        <v>0</v>
      </c>
      <c r="DP450" s="19">
        <v>0</v>
      </c>
      <c r="DQ450" s="19">
        <v>0</v>
      </c>
      <c r="DR450" s="19">
        <v>0</v>
      </c>
      <c r="DS450" s="19">
        <v>0</v>
      </c>
      <c r="DT450" s="19">
        <v>0</v>
      </c>
      <c r="DU450" s="19">
        <v>0</v>
      </c>
      <c r="DV450" s="19">
        <v>0</v>
      </c>
      <c r="DW450" s="19">
        <v>0</v>
      </c>
      <c r="DX450" s="19">
        <v>0</v>
      </c>
      <c r="DY450" s="19">
        <v>0</v>
      </c>
      <c r="DZ450" s="19">
        <v>0</v>
      </c>
      <c r="EA450" s="19">
        <v>0</v>
      </c>
      <c r="EB450" s="19">
        <v>0</v>
      </c>
      <c r="EC450" s="19">
        <v>0</v>
      </c>
      <c r="ED450" s="19">
        <v>0</v>
      </c>
      <c r="EE450" s="19">
        <v>0</v>
      </c>
      <c r="EF450" s="19">
        <v>0</v>
      </c>
      <c r="EG450" s="19">
        <v>0</v>
      </c>
      <c r="EH450" s="19">
        <v>0</v>
      </c>
      <c r="EI450" s="19">
        <v>0</v>
      </c>
      <c r="EJ450" s="19">
        <v>0</v>
      </c>
      <c r="EK450" s="19">
        <v>0</v>
      </c>
      <c r="EL450" s="19">
        <v>0</v>
      </c>
      <c r="EM450" s="19">
        <v>0</v>
      </c>
      <c r="EN450" s="19">
        <v>0</v>
      </c>
      <c r="EO450" s="19">
        <v>0</v>
      </c>
      <c r="EP450" s="19">
        <v>0</v>
      </c>
      <c r="EQ450" s="19">
        <v>0</v>
      </c>
      <c r="ER450" s="19">
        <v>0</v>
      </c>
      <c r="ES450" s="119">
        <v>0</v>
      </c>
      <c r="ET450" s="119">
        <v>0</v>
      </c>
    </row>
    <row r="451" spans="1:150" ht="16.5" customHeight="1" x14ac:dyDescent="0.35">
      <c r="A451" s="4">
        <v>216</v>
      </c>
      <c r="B451" s="4" t="str">
        <f>LOOKUP(A451,Lookup!$A$1:$A$34,Lookup!$B$1:$B$34)</f>
        <v>BUTCH  WORS/MINCE/PAT</v>
      </c>
      <c r="C451" s="5">
        <v>57067</v>
      </c>
      <c r="D451" s="6" t="s">
        <v>428</v>
      </c>
      <c r="E451" s="18">
        <v>0</v>
      </c>
      <c r="F451" s="18">
        <v>0</v>
      </c>
      <c r="G451" s="18">
        <v>0</v>
      </c>
      <c r="H451" s="18">
        <v>0</v>
      </c>
      <c r="I451" s="19">
        <v>0</v>
      </c>
      <c r="J451" s="19">
        <v>0</v>
      </c>
      <c r="K451" s="19">
        <v>0</v>
      </c>
      <c r="L451" s="19">
        <v>0</v>
      </c>
      <c r="M451" s="19">
        <v>0</v>
      </c>
      <c r="N451" s="19">
        <v>0</v>
      </c>
      <c r="O451" s="19">
        <v>0</v>
      </c>
      <c r="P451" s="19">
        <v>0</v>
      </c>
      <c r="Q451" s="19">
        <v>0</v>
      </c>
      <c r="R451" s="19">
        <v>0</v>
      </c>
      <c r="S451" s="19">
        <v>0</v>
      </c>
      <c r="T451" s="19">
        <v>0</v>
      </c>
      <c r="U451" s="19">
        <v>0</v>
      </c>
      <c r="V451" s="19">
        <v>0</v>
      </c>
      <c r="W451" s="19">
        <v>0</v>
      </c>
      <c r="X451" s="19">
        <v>0</v>
      </c>
      <c r="Y451" s="19">
        <v>0</v>
      </c>
      <c r="Z451" s="19">
        <v>0</v>
      </c>
      <c r="AA451" s="19">
        <v>0</v>
      </c>
      <c r="AB451" s="19">
        <v>0</v>
      </c>
      <c r="AC451" s="19">
        <v>0</v>
      </c>
      <c r="AD451" s="19">
        <v>0</v>
      </c>
      <c r="AE451" s="19">
        <v>0</v>
      </c>
      <c r="AF451" s="19">
        <v>0</v>
      </c>
      <c r="AG451" s="19">
        <v>0</v>
      </c>
      <c r="AH451" s="19">
        <v>0</v>
      </c>
      <c r="AI451" s="19">
        <v>0</v>
      </c>
      <c r="AJ451" s="19">
        <v>0</v>
      </c>
      <c r="AK451" s="19">
        <v>0</v>
      </c>
      <c r="AL451" s="19">
        <v>0</v>
      </c>
      <c r="AM451" s="19">
        <v>0</v>
      </c>
      <c r="AN451" s="19">
        <v>0</v>
      </c>
      <c r="AO451" s="19">
        <v>0</v>
      </c>
      <c r="AP451" s="19">
        <v>0</v>
      </c>
      <c r="AQ451" s="19">
        <v>0</v>
      </c>
      <c r="AR451" s="19">
        <v>0</v>
      </c>
      <c r="AS451" s="19">
        <v>0</v>
      </c>
      <c r="AT451" s="19">
        <v>0</v>
      </c>
      <c r="AU451" s="19">
        <v>0</v>
      </c>
      <c r="AV451" s="19">
        <v>0</v>
      </c>
      <c r="AW451" s="19">
        <v>0</v>
      </c>
      <c r="AX451" s="19">
        <v>0</v>
      </c>
      <c r="AY451" s="19">
        <v>0</v>
      </c>
      <c r="AZ451" s="19">
        <v>0</v>
      </c>
      <c r="BA451" s="19">
        <v>0</v>
      </c>
      <c r="BB451" s="19">
        <v>0</v>
      </c>
      <c r="BC451" s="19">
        <v>0</v>
      </c>
      <c r="BD451" s="19">
        <v>0</v>
      </c>
      <c r="BE451" s="19">
        <v>0</v>
      </c>
      <c r="BF451" s="19">
        <v>0</v>
      </c>
      <c r="BG451" s="19">
        <v>0</v>
      </c>
      <c r="BH451" s="19">
        <v>0</v>
      </c>
      <c r="BI451" s="19">
        <v>0</v>
      </c>
      <c r="BJ451" s="19">
        <v>0</v>
      </c>
      <c r="BK451" s="19">
        <v>0</v>
      </c>
      <c r="BL451" s="19">
        <v>0</v>
      </c>
      <c r="BM451" s="19">
        <v>0</v>
      </c>
      <c r="BN451" s="19">
        <v>0</v>
      </c>
      <c r="BO451" s="19">
        <v>0</v>
      </c>
      <c r="BP451" s="19">
        <v>0</v>
      </c>
      <c r="BQ451" s="19">
        <v>0</v>
      </c>
      <c r="BR451" s="19">
        <v>0</v>
      </c>
      <c r="BS451" s="19">
        <v>0</v>
      </c>
      <c r="BT451" s="19">
        <v>0</v>
      </c>
      <c r="BU451" s="19">
        <v>0</v>
      </c>
      <c r="BV451" s="19">
        <v>0</v>
      </c>
      <c r="BW451" s="19">
        <v>0</v>
      </c>
      <c r="BX451" s="19">
        <v>0</v>
      </c>
      <c r="BY451" s="19">
        <v>0</v>
      </c>
      <c r="BZ451" s="19">
        <v>0</v>
      </c>
      <c r="CA451" s="19">
        <v>0</v>
      </c>
      <c r="CB451" s="19">
        <v>0</v>
      </c>
      <c r="CC451" s="19">
        <v>0</v>
      </c>
      <c r="CD451" s="19">
        <v>0</v>
      </c>
      <c r="CE451" s="19">
        <v>0</v>
      </c>
      <c r="CF451" s="19">
        <v>0</v>
      </c>
      <c r="CG451" s="19">
        <v>0</v>
      </c>
      <c r="CH451" s="19">
        <v>0</v>
      </c>
      <c r="CI451" s="19">
        <v>0</v>
      </c>
      <c r="CJ451" s="19">
        <v>0</v>
      </c>
      <c r="CK451" s="19">
        <v>0</v>
      </c>
      <c r="CL451" s="19">
        <v>0</v>
      </c>
      <c r="CM451" s="19">
        <v>0</v>
      </c>
      <c r="CN451" s="19">
        <v>0</v>
      </c>
      <c r="CO451" s="19">
        <v>0</v>
      </c>
      <c r="CP451" s="19">
        <v>0</v>
      </c>
      <c r="CQ451" s="19">
        <v>0</v>
      </c>
      <c r="CR451" s="19">
        <v>0</v>
      </c>
      <c r="CS451" s="19">
        <v>0</v>
      </c>
      <c r="CT451" s="19">
        <v>0</v>
      </c>
      <c r="CU451" s="19">
        <v>0</v>
      </c>
      <c r="CV451" s="19">
        <v>0</v>
      </c>
      <c r="CW451" s="19">
        <v>0</v>
      </c>
      <c r="CX451" s="19">
        <v>0</v>
      </c>
      <c r="CY451" s="19">
        <v>0</v>
      </c>
      <c r="CZ451" s="19">
        <v>0</v>
      </c>
      <c r="DA451" s="19">
        <v>0</v>
      </c>
      <c r="DB451" s="19">
        <v>0</v>
      </c>
      <c r="DC451" s="19">
        <v>0</v>
      </c>
      <c r="DD451" s="19">
        <v>0</v>
      </c>
      <c r="DE451" s="19">
        <v>0</v>
      </c>
      <c r="DF451" s="19">
        <v>0</v>
      </c>
      <c r="DG451" s="19">
        <v>0</v>
      </c>
      <c r="DH451" s="19">
        <v>0</v>
      </c>
      <c r="DI451" s="19">
        <v>0</v>
      </c>
      <c r="DJ451" s="19">
        <v>0</v>
      </c>
      <c r="DK451" s="19">
        <v>0</v>
      </c>
      <c r="DL451" s="19">
        <v>0</v>
      </c>
      <c r="DM451" s="19">
        <v>0</v>
      </c>
      <c r="DN451" s="19">
        <v>0</v>
      </c>
      <c r="DO451" s="19">
        <v>0</v>
      </c>
      <c r="DP451" s="19">
        <v>0</v>
      </c>
      <c r="DQ451" s="19">
        <v>0</v>
      </c>
      <c r="DR451" s="19">
        <v>0</v>
      </c>
      <c r="DS451" s="19">
        <v>0</v>
      </c>
      <c r="DT451" s="19">
        <v>0</v>
      </c>
      <c r="DU451" s="19">
        <v>0</v>
      </c>
      <c r="DV451" s="19">
        <v>0</v>
      </c>
      <c r="DW451" s="19">
        <v>0</v>
      </c>
      <c r="DX451" s="19">
        <v>0</v>
      </c>
      <c r="DY451" s="19">
        <v>0</v>
      </c>
      <c r="DZ451" s="19">
        <v>0</v>
      </c>
      <c r="EA451" s="19">
        <v>0</v>
      </c>
      <c r="EB451" s="19">
        <v>0</v>
      </c>
      <c r="EC451" s="19">
        <v>0</v>
      </c>
      <c r="ED451" s="19">
        <v>0</v>
      </c>
      <c r="EE451" s="19">
        <v>0</v>
      </c>
      <c r="EF451" s="19">
        <v>0</v>
      </c>
      <c r="EG451" s="19">
        <v>0</v>
      </c>
      <c r="EH451" s="19">
        <v>0</v>
      </c>
      <c r="EI451" s="19">
        <v>0</v>
      </c>
      <c r="EJ451" s="19">
        <v>0</v>
      </c>
      <c r="EK451" s="19">
        <v>0</v>
      </c>
      <c r="EL451" s="19">
        <v>0</v>
      </c>
      <c r="EM451" s="19">
        <v>0</v>
      </c>
      <c r="EN451" s="19">
        <v>0</v>
      </c>
      <c r="EO451" s="19">
        <v>0</v>
      </c>
      <c r="EP451" s="19">
        <v>0</v>
      </c>
      <c r="EQ451" s="19">
        <v>0</v>
      </c>
      <c r="ER451" s="19">
        <v>0</v>
      </c>
      <c r="ES451" s="119">
        <v>0</v>
      </c>
      <c r="ET451" s="119">
        <v>0</v>
      </c>
    </row>
    <row r="452" spans="1:150" ht="16.5" customHeight="1" x14ac:dyDescent="0.35">
      <c r="A452" s="4">
        <v>216</v>
      </c>
      <c r="B452" s="4" t="str">
        <f>LOOKUP(A452,Lookup!$A$1:$A$34,Lookup!$B$1:$B$34)</f>
        <v>BUTCH  WORS/MINCE/PAT</v>
      </c>
      <c r="C452" s="5">
        <v>57930</v>
      </c>
      <c r="D452" s="6" t="s">
        <v>429</v>
      </c>
      <c r="E452" s="18">
        <v>0</v>
      </c>
      <c r="F452" s="18">
        <v>0</v>
      </c>
      <c r="G452" s="18">
        <v>0</v>
      </c>
      <c r="H452" s="18">
        <v>0</v>
      </c>
      <c r="I452" s="19">
        <v>0</v>
      </c>
      <c r="J452" s="19">
        <v>0</v>
      </c>
      <c r="K452" s="19">
        <v>0</v>
      </c>
      <c r="L452" s="19">
        <v>0</v>
      </c>
      <c r="M452" s="19">
        <v>0</v>
      </c>
      <c r="N452" s="19">
        <v>0</v>
      </c>
      <c r="O452" s="19">
        <v>0</v>
      </c>
      <c r="P452" s="19">
        <v>0</v>
      </c>
      <c r="Q452" s="19">
        <v>0</v>
      </c>
      <c r="R452" s="19">
        <v>0</v>
      </c>
      <c r="S452" s="19">
        <v>0</v>
      </c>
      <c r="T452" s="19">
        <v>0</v>
      </c>
      <c r="U452" s="19">
        <v>0</v>
      </c>
      <c r="V452" s="19">
        <v>0</v>
      </c>
      <c r="W452" s="19">
        <v>0</v>
      </c>
      <c r="X452" s="19">
        <v>0</v>
      </c>
      <c r="Y452" s="19">
        <v>0</v>
      </c>
      <c r="Z452" s="19">
        <v>0</v>
      </c>
      <c r="AA452" s="19">
        <v>0</v>
      </c>
      <c r="AB452" s="19">
        <v>0</v>
      </c>
      <c r="AC452" s="19">
        <v>0</v>
      </c>
      <c r="AD452" s="19">
        <v>0</v>
      </c>
      <c r="AE452" s="19">
        <v>0</v>
      </c>
      <c r="AF452" s="19">
        <v>0</v>
      </c>
      <c r="AG452" s="19">
        <v>0</v>
      </c>
      <c r="AH452" s="19">
        <v>0</v>
      </c>
      <c r="AI452" s="19">
        <v>0</v>
      </c>
      <c r="AJ452" s="19">
        <v>0</v>
      </c>
      <c r="AK452" s="19">
        <v>0</v>
      </c>
      <c r="AL452" s="19">
        <v>0</v>
      </c>
      <c r="AM452" s="19">
        <v>0</v>
      </c>
      <c r="AN452" s="19">
        <v>0</v>
      </c>
      <c r="AO452" s="19">
        <v>0</v>
      </c>
      <c r="AP452" s="19">
        <v>0</v>
      </c>
      <c r="AQ452" s="19">
        <v>0</v>
      </c>
      <c r="AR452" s="19">
        <v>0</v>
      </c>
      <c r="AS452" s="19">
        <v>0</v>
      </c>
      <c r="AT452" s="19">
        <v>0</v>
      </c>
      <c r="AU452" s="19">
        <v>0</v>
      </c>
      <c r="AV452" s="19">
        <v>0</v>
      </c>
      <c r="AW452" s="19">
        <v>0</v>
      </c>
      <c r="AX452" s="19">
        <v>0</v>
      </c>
      <c r="AY452" s="19">
        <v>0</v>
      </c>
      <c r="AZ452" s="19">
        <v>0</v>
      </c>
      <c r="BA452" s="19">
        <v>0</v>
      </c>
      <c r="BB452" s="19">
        <v>0</v>
      </c>
      <c r="BC452" s="19">
        <v>0</v>
      </c>
      <c r="BD452" s="19">
        <v>0</v>
      </c>
      <c r="BE452" s="19">
        <v>0</v>
      </c>
      <c r="BF452" s="19">
        <v>0</v>
      </c>
      <c r="BG452" s="19">
        <v>0</v>
      </c>
      <c r="BH452" s="19">
        <v>0</v>
      </c>
      <c r="BI452" s="19">
        <v>0</v>
      </c>
      <c r="BJ452" s="19">
        <v>0</v>
      </c>
      <c r="BK452" s="19">
        <v>0</v>
      </c>
      <c r="BL452" s="19">
        <v>0</v>
      </c>
      <c r="BM452" s="19">
        <v>0</v>
      </c>
      <c r="BN452" s="19">
        <v>0</v>
      </c>
      <c r="BO452" s="19">
        <v>0</v>
      </c>
      <c r="BP452" s="19">
        <v>0</v>
      </c>
      <c r="BQ452" s="19">
        <v>0</v>
      </c>
      <c r="BR452" s="19">
        <v>0</v>
      </c>
      <c r="BS452" s="19">
        <v>0</v>
      </c>
      <c r="BT452" s="19">
        <v>0</v>
      </c>
      <c r="BU452" s="19">
        <v>0</v>
      </c>
      <c r="BV452" s="19">
        <v>0</v>
      </c>
      <c r="BW452" s="19">
        <v>0</v>
      </c>
      <c r="BX452" s="19">
        <v>0</v>
      </c>
      <c r="BY452" s="19">
        <v>0</v>
      </c>
      <c r="BZ452" s="19">
        <v>0</v>
      </c>
      <c r="CA452" s="19">
        <v>0</v>
      </c>
      <c r="CB452" s="19">
        <v>0</v>
      </c>
      <c r="CC452" s="19">
        <v>0</v>
      </c>
      <c r="CD452" s="19">
        <v>0</v>
      </c>
      <c r="CE452" s="19">
        <v>0</v>
      </c>
      <c r="CF452" s="19">
        <v>0</v>
      </c>
      <c r="CG452" s="19">
        <v>0</v>
      </c>
      <c r="CH452" s="19">
        <v>0</v>
      </c>
      <c r="CI452" s="19">
        <v>0</v>
      </c>
      <c r="CJ452" s="19">
        <v>0</v>
      </c>
      <c r="CK452" s="19">
        <v>0</v>
      </c>
      <c r="CL452" s="19">
        <v>0</v>
      </c>
      <c r="CM452" s="19">
        <v>0</v>
      </c>
      <c r="CN452" s="19">
        <v>0</v>
      </c>
      <c r="CO452" s="19">
        <v>0</v>
      </c>
      <c r="CP452" s="19">
        <v>0</v>
      </c>
      <c r="CQ452" s="19">
        <v>0</v>
      </c>
      <c r="CR452" s="19">
        <v>0</v>
      </c>
      <c r="CS452" s="19">
        <v>0</v>
      </c>
      <c r="CT452" s="19">
        <v>0</v>
      </c>
      <c r="CU452" s="19">
        <v>0</v>
      </c>
      <c r="CV452" s="19">
        <v>0</v>
      </c>
      <c r="CW452" s="19">
        <v>0</v>
      </c>
      <c r="CX452" s="19">
        <v>0</v>
      </c>
      <c r="CY452" s="19">
        <v>0</v>
      </c>
      <c r="CZ452" s="19">
        <v>0</v>
      </c>
      <c r="DA452" s="19">
        <v>0</v>
      </c>
      <c r="DB452" s="19">
        <v>0</v>
      </c>
      <c r="DC452" s="19">
        <v>0</v>
      </c>
      <c r="DD452" s="19">
        <v>0</v>
      </c>
      <c r="DE452" s="19">
        <v>0</v>
      </c>
      <c r="DF452" s="19">
        <v>0</v>
      </c>
      <c r="DG452" s="19">
        <v>0</v>
      </c>
      <c r="DH452" s="19">
        <v>0</v>
      </c>
      <c r="DI452" s="19">
        <v>0</v>
      </c>
      <c r="DJ452" s="19">
        <v>0</v>
      </c>
      <c r="DK452" s="19">
        <v>0</v>
      </c>
      <c r="DL452" s="19">
        <v>0</v>
      </c>
      <c r="DM452" s="19">
        <v>0</v>
      </c>
      <c r="DN452" s="19">
        <v>0</v>
      </c>
      <c r="DO452" s="19">
        <v>0</v>
      </c>
      <c r="DP452" s="19">
        <v>0</v>
      </c>
      <c r="DQ452" s="19">
        <v>0</v>
      </c>
      <c r="DR452" s="19">
        <v>0</v>
      </c>
      <c r="DS452" s="19">
        <v>0</v>
      </c>
      <c r="DT452" s="19">
        <v>0</v>
      </c>
      <c r="DU452" s="19">
        <v>0</v>
      </c>
      <c r="DV452" s="19">
        <v>0</v>
      </c>
      <c r="DW452" s="19">
        <v>0</v>
      </c>
      <c r="DX452" s="19">
        <v>0</v>
      </c>
      <c r="DY452" s="19">
        <v>0</v>
      </c>
      <c r="DZ452" s="19">
        <v>0</v>
      </c>
      <c r="EA452" s="19">
        <v>0</v>
      </c>
      <c r="EB452" s="19">
        <v>0</v>
      </c>
      <c r="EC452" s="19">
        <v>0</v>
      </c>
      <c r="ED452" s="19">
        <v>0</v>
      </c>
      <c r="EE452" s="19">
        <v>0</v>
      </c>
      <c r="EF452" s="19">
        <v>0</v>
      </c>
      <c r="EG452" s="19">
        <v>0</v>
      </c>
      <c r="EH452" s="19">
        <v>0</v>
      </c>
      <c r="EI452" s="19">
        <v>0</v>
      </c>
      <c r="EJ452" s="19">
        <v>0</v>
      </c>
      <c r="EK452" s="19">
        <v>0</v>
      </c>
      <c r="EL452" s="19">
        <v>0</v>
      </c>
      <c r="EM452" s="19">
        <v>0</v>
      </c>
      <c r="EN452" s="19">
        <v>0</v>
      </c>
      <c r="EO452" s="19">
        <v>0</v>
      </c>
      <c r="EP452" s="19">
        <v>0</v>
      </c>
      <c r="EQ452" s="19">
        <v>0</v>
      </c>
      <c r="ER452" s="19">
        <v>0</v>
      </c>
      <c r="ES452" s="119">
        <v>0</v>
      </c>
      <c r="ET452" s="119">
        <v>0</v>
      </c>
    </row>
    <row r="453" spans="1:150" ht="16.5" customHeight="1" x14ac:dyDescent="0.35">
      <c r="A453" s="4">
        <v>216</v>
      </c>
      <c r="B453" s="4" t="str">
        <f>LOOKUP(A453,Lookup!$A$1:$A$34,Lookup!$B$1:$B$34)</f>
        <v>BUTCH  WORS/MINCE/PAT</v>
      </c>
      <c r="C453" s="5">
        <v>58148</v>
      </c>
      <c r="D453" s="6" t="s">
        <v>430</v>
      </c>
      <c r="E453" s="18">
        <v>0</v>
      </c>
      <c r="F453" s="18">
        <v>0</v>
      </c>
      <c r="G453" s="18">
        <v>0</v>
      </c>
      <c r="H453" s="18">
        <v>0</v>
      </c>
      <c r="I453" s="19">
        <v>0</v>
      </c>
      <c r="J453" s="19">
        <v>0</v>
      </c>
      <c r="K453" s="19">
        <v>0</v>
      </c>
      <c r="L453" s="19">
        <v>0</v>
      </c>
      <c r="M453" s="19">
        <v>0</v>
      </c>
      <c r="N453" s="19">
        <v>0</v>
      </c>
      <c r="O453" s="19">
        <v>0</v>
      </c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9">
        <v>0</v>
      </c>
      <c r="V453" s="19">
        <v>0</v>
      </c>
      <c r="W453" s="19">
        <v>0</v>
      </c>
      <c r="X453" s="19">
        <v>0</v>
      </c>
      <c r="Y453" s="19">
        <v>0</v>
      </c>
      <c r="Z453" s="19">
        <v>0</v>
      </c>
      <c r="AA453" s="19">
        <v>0</v>
      </c>
      <c r="AB453" s="19">
        <v>0</v>
      </c>
      <c r="AC453" s="19">
        <v>0</v>
      </c>
      <c r="AD453" s="19">
        <v>0</v>
      </c>
      <c r="AE453" s="19">
        <v>0</v>
      </c>
      <c r="AF453" s="19">
        <v>0</v>
      </c>
      <c r="AG453" s="19">
        <v>0</v>
      </c>
      <c r="AH453" s="19">
        <v>0</v>
      </c>
      <c r="AI453" s="19">
        <v>0</v>
      </c>
      <c r="AJ453" s="19">
        <v>0</v>
      </c>
      <c r="AK453" s="19">
        <v>0</v>
      </c>
      <c r="AL453" s="19">
        <v>0</v>
      </c>
      <c r="AM453" s="19">
        <v>0</v>
      </c>
      <c r="AN453" s="19">
        <v>0</v>
      </c>
      <c r="AO453" s="19">
        <v>0</v>
      </c>
      <c r="AP453" s="19">
        <v>0</v>
      </c>
      <c r="AQ453" s="19">
        <v>0</v>
      </c>
      <c r="AR453" s="19">
        <v>0</v>
      </c>
      <c r="AS453" s="19">
        <v>0</v>
      </c>
      <c r="AT453" s="19">
        <v>0</v>
      </c>
      <c r="AU453" s="19">
        <v>0</v>
      </c>
      <c r="AV453" s="19">
        <v>0</v>
      </c>
      <c r="AW453" s="19">
        <v>0</v>
      </c>
      <c r="AX453" s="19">
        <v>0</v>
      </c>
      <c r="AY453" s="19">
        <v>0</v>
      </c>
      <c r="AZ453" s="19">
        <v>0</v>
      </c>
      <c r="BA453" s="19">
        <v>0</v>
      </c>
      <c r="BB453" s="19">
        <v>0</v>
      </c>
      <c r="BC453" s="19">
        <v>0</v>
      </c>
      <c r="BD453" s="19">
        <v>0</v>
      </c>
      <c r="BE453" s="19">
        <v>0</v>
      </c>
      <c r="BF453" s="19">
        <v>0</v>
      </c>
      <c r="BG453" s="19">
        <v>0</v>
      </c>
      <c r="BH453" s="19">
        <v>0</v>
      </c>
      <c r="BI453" s="19">
        <v>0</v>
      </c>
      <c r="BJ453" s="19">
        <v>0</v>
      </c>
      <c r="BK453" s="19">
        <v>0</v>
      </c>
      <c r="BL453" s="19">
        <v>0</v>
      </c>
      <c r="BM453" s="19">
        <v>0</v>
      </c>
      <c r="BN453" s="19">
        <v>0</v>
      </c>
      <c r="BO453" s="19">
        <v>0</v>
      </c>
      <c r="BP453" s="19">
        <v>0</v>
      </c>
      <c r="BQ453" s="19">
        <v>0</v>
      </c>
      <c r="BR453" s="19">
        <v>0</v>
      </c>
      <c r="BS453" s="19">
        <v>0</v>
      </c>
      <c r="BT453" s="19">
        <v>0</v>
      </c>
      <c r="BU453" s="19">
        <v>0</v>
      </c>
      <c r="BV453" s="19">
        <v>0</v>
      </c>
      <c r="BW453" s="19">
        <v>0</v>
      </c>
      <c r="BX453" s="19">
        <v>0</v>
      </c>
      <c r="BY453" s="19">
        <v>0</v>
      </c>
      <c r="BZ453" s="19">
        <v>0</v>
      </c>
      <c r="CA453" s="19">
        <v>0</v>
      </c>
      <c r="CB453" s="19">
        <v>0</v>
      </c>
      <c r="CC453" s="19">
        <v>0</v>
      </c>
      <c r="CD453" s="19">
        <v>0</v>
      </c>
      <c r="CE453" s="19">
        <v>0</v>
      </c>
      <c r="CF453" s="19">
        <v>0</v>
      </c>
      <c r="CG453" s="19">
        <v>0</v>
      </c>
      <c r="CH453" s="19">
        <v>0</v>
      </c>
      <c r="CI453" s="19">
        <v>0</v>
      </c>
      <c r="CJ453" s="19">
        <v>0</v>
      </c>
      <c r="CK453" s="19">
        <v>0</v>
      </c>
      <c r="CL453" s="19">
        <v>0</v>
      </c>
      <c r="CM453" s="19">
        <v>0</v>
      </c>
      <c r="CN453" s="19">
        <v>0</v>
      </c>
      <c r="CO453" s="19">
        <v>0</v>
      </c>
      <c r="CP453" s="19">
        <v>0</v>
      </c>
      <c r="CQ453" s="19">
        <v>0</v>
      </c>
      <c r="CR453" s="19">
        <v>0</v>
      </c>
      <c r="CS453" s="19">
        <v>0</v>
      </c>
      <c r="CT453" s="19">
        <v>0</v>
      </c>
      <c r="CU453" s="19">
        <v>0</v>
      </c>
      <c r="CV453" s="19">
        <v>0</v>
      </c>
      <c r="CW453" s="19">
        <v>0</v>
      </c>
      <c r="CX453" s="19">
        <v>0</v>
      </c>
      <c r="CY453" s="19">
        <v>0</v>
      </c>
      <c r="CZ453" s="19">
        <v>0</v>
      </c>
      <c r="DA453" s="19">
        <v>0</v>
      </c>
      <c r="DB453" s="19">
        <v>0</v>
      </c>
      <c r="DC453" s="19">
        <v>0</v>
      </c>
      <c r="DD453" s="19">
        <v>0</v>
      </c>
      <c r="DE453" s="19">
        <v>0</v>
      </c>
      <c r="DF453" s="19">
        <v>0</v>
      </c>
      <c r="DG453" s="19">
        <v>0</v>
      </c>
      <c r="DH453" s="19">
        <v>0</v>
      </c>
      <c r="DI453" s="19">
        <v>0</v>
      </c>
      <c r="DJ453" s="19">
        <v>0</v>
      </c>
      <c r="DK453" s="19">
        <v>0</v>
      </c>
      <c r="DL453" s="19">
        <v>0</v>
      </c>
      <c r="DM453" s="19">
        <v>0</v>
      </c>
      <c r="DN453" s="19">
        <v>0</v>
      </c>
      <c r="DO453" s="19">
        <v>0</v>
      </c>
      <c r="DP453" s="19">
        <v>0</v>
      </c>
      <c r="DQ453" s="19">
        <v>0</v>
      </c>
      <c r="DR453" s="19">
        <v>0</v>
      </c>
      <c r="DS453" s="19">
        <v>0</v>
      </c>
      <c r="DT453" s="19">
        <v>0</v>
      </c>
      <c r="DU453" s="19">
        <v>0</v>
      </c>
      <c r="DV453" s="19">
        <v>0</v>
      </c>
      <c r="DW453" s="19">
        <v>0</v>
      </c>
      <c r="DX453" s="19">
        <v>0</v>
      </c>
      <c r="DY453" s="19">
        <v>0</v>
      </c>
      <c r="DZ453" s="19">
        <v>0</v>
      </c>
      <c r="EA453" s="19">
        <v>0</v>
      </c>
      <c r="EB453" s="19">
        <v>0</v>
      </c>
      <c r="EC453" s="19">
        <v>0</v>
      </c>
      <c r="ED453" s="19">
        <v>0</v>
      </c>
      <c r="EE453" s="19">
        <v>0</v>
      </c>
      <c r="EF453" s="19">
        <v>0</v>
      </c>
      <c r="EG453" s="19">
        <v>0</v>
      </c>
      <c r="EH453" s="19">
        <v>0</v>
      </c>
      <c r="EI453" s="19">
        <v>0</v>
      </c>
      <c r="EJ453" s="19">
        <v>0</v>
      </c>
      <c r="EK453" s="19">
        <v>0</v>
      </c>
      <c r="EL453" s="19">
        <v>0</v>
      </c>
      <c r="EM453" s="19">
        <v>0</v>
      </c>
      <c r="EN453" s="19">
        <v>0</v>
      </c>
      <c r="EO453" s="19">
        <v>0</v>
      </c>
      <c r="EP453" s="19">
        <v>0</v>
      </c>
      <c r="EQ453" s="19">
        <v>0</v>
      </c>
      <c r="ER453" s="19">
        <v>0</v>
      </c>
      <c r="ES453" s="119">
        <v>0</v>
      </c>
      <c r="ET453" s="119">
        <v>0</v>
      </c>
    </row>
    <row r="454" spans="1:150" ht="16.5" customHeight="1" x14ac:dyDescent="0.35">
      <c r="A454" s="4">
        <v>216</v>
      </c>
      <c r="B454" s="4" t="str">
        <f>LOOKUP(A454,Lookup!$A$1:$A$34,Lookup!$B$1:$B$34)</f>
        <v>BUTCH  WORS/MINCE/PAT</v>
      </c>
      <c r="C454" s="5">
        <v>58157</v>
      </c>
      <c r="D454" s="6" t="s">
        <v>431</v>
      </c>
      <c r="E454" s="18">
        <v>0</v>
      </c>
      <c r="F454" s="18">
        <v>0</v>
      </c>
      <c r="G454" s="18">
        <v>0</v>
      </c>
      <c r="H454" s="18">
        <v>0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0</v>
      </c>
      <c r="O454" s="19">
        <v>0</v>
      </c>
      <c r="P454" s="19">
        <v>0</v>
      </c>
      <c r="Q454" s="19">
        <v>0</v>
      </c>
      <c r="R454" s="19">
        <v>0</v>
      </c>
      <c r="S454" s="19">
        <v>0</v>
      </c>
      <c r="T454" s="19">
        <v>0</v>
      </c>
      <c r="U454" s="19">
        <v>0</v>
      </c>
      <c r="V454" s="19">
        <v>0</v>
      </c>
      <c r="W454" s="19">
        <v>0</v>
      </c>
      <c r="X454" s="19">
        <v>0</v>
      </c>
      <c r="Y454" s="19">
        <v>0</v>
      </c>
      <c r="Z454" s="19">
        <v>0</v>
      </c>
      <c r="AA454" s="19">
        <v>0</v>
      </c>
      <c r="AB454" s="19">
        <v>0</v>
      </c>
      <c r="AC454" s="19">
        <v>0</v>
      </c>
      <c r="AD454" s="19">
        <v>0</v>
      </c>
      <c r="AE454" s="19">
        <v>0</v>
      </c>
      <c r="AF454" s="19">
        <v>0</v>
      </c>
      <c r="AG454" s="19">
        <v>0</v>
      </c>
      <c r="AH454" s="19">
        <v>0</v>
      </c>
      <c r="AI454" s="19">
        <v>0</v>
      </c>
      <c r="AJ454" s="19">
        <v>0</v>
      </c>
      <c r="AK454" s="19">
        <v>0</v>
      </c>
      <c r="AL454" s="19">
        <v>0</v>
      </c>
      <c r="AM454" s="19">
        <v>0</v>
      </c>
      <c r="AN454" s="19">
        <v>0</v>
      </c>
      <c r="AO454" s="19">
        <v>0</v>
      </c>
      <c r="AP454" s="19">
        <v>0</v>
      </c>
      <c r="AQ454" s="19">
        <v>0</v>
      </c>
      <c r="AR454" s="19">
        <v>0</v>
      </c>
      <c r="AS454" s="19">
        <v>0</v>
      </c>
      <c r="AT454" s="19">
        <v>0</v>
      </c>
      <c r="AU454" s="19">
        <v>0</v>
      </c>
      <c r="AV454" s="19">
        <v>0</v>
      </c>
      <c r="AW454" s="19">
        <v>0</v>
      </c>
      <c r="AX454" s="19">
        <v>0</v>
      </c>
      <c r="AY454" s="19">
        <v>0</v>
      </c>
      <c r="AZ454" s="19">
        <v>0</v>
      </c>
      <c r="BA454" s="19">
        <v>0</v>
      </c>
      <c r="BB454" s="19">
        <v>0</v>
      </c>
      <c r="BC454" s="19">
        <v>0</v>
      </c>
      <c r="BD454" s="19">
        <v>0</v>
      </c>
      <c r="BE454" s="19">
        <v>0</v>
      </c>
      <c r="BF454" s="19">
        <v>0</v>
      </c>
      <c r="BG454" s="19">
        <v>0</v>
      </c>
      <c r="BH454" s="19">
        <v>0</v>
      </c>
      <c r="BI454" s="19">
        <v>0</v>
      </c>
      <c r="BJ454" s="19">
        <v>0</v>
      </c>
      <c r="BK454" s="19">
        <v>0</v>
      </c>
      <c r="BL454" s="19">
        <v>0</v>
      </c>
      <c r="BM454" s="19">
        <v>0</v>
      </c>
      <c r="BN454" s="19">
        <v>0</v>
      </c>
      <c r="BO454" s="19">
        <v>0</v>
      </c>
      <c r="BP454" s="19">
        <v>0</v>
      </c>
      <c r="BQ454" s="19">
        <v>0</v>
      </c>
      <c r="BR454" s="19">
        <v>0</v>
      </c>
      <c r="BS454" s="19">
        <v>0</v>
      </c>
      <c r="BT454" s="19">
        <v>0</v>
      </c>
      <c r="BU454" s="19">
        <v>0</v>
      </c>
      <c r="BV454" s="19">
        <v>0</v>
      </c>
      <c r="BW454" s="19">
        <v>0</v>
      </c>
      <c r="BX454" s="19">
        <v>0</v>
      </c>
      <c r="BY454" s="19">
        <v>0</v>
      </c>
      <c r="BZ454" s="19">
        <v>0</v>
      </c>
      <c r="CA454" s="19">
        <v>0</v>
      </c>
      <c r="CB454" s="19">
        <v>0</v>
      </c>
      <c r="CC454" s="19">
        <v>0</v>
      </c>
      <c r="CD454" s="19">
        <v>0</v>
      </c>
      <c r="CE454" s="19">
        <v>0</v>
      </c>
      <c r="CF454" s="19">
        <v>0</v>
      </c>
      <c r="CG454" s="19">
        <v>0</v>
      </c>
      <c r="CH454" s="19">
        <v>0</v>
      </c>
      <c r="CI454" s="19">
        <v>0</v>
      </c>
      <c r="CJ454" s="19">
        <v>0</v>
      </c>
      <c r="CK454" s="19">
        <v>0</v>
      </c>
      <c r="CL454" s="19">
        <v>0</v>
      </c>
      <c r="CM454" s="19">
        <v>0</v>
      </c>
      <c r="CN454" s="19">
        <v>0</v>
      </c>
      <c r="CO454" s="19">
        <v>0</v>
      </c>
      <c r="CP454" s="19">
        <v>0</v>
      </c>
      <c r="CQ454" s="19">
        <v>0</v>
      </c>
      <c r="CR454" s="19">
        <v>0</v>
      </c>
      <c r="CS454" s="19">
        <v>0</v>
      </c>
      <c r="CT454" s="19">
        <v>0</v>
      </c>
      <c r="CU454" s="19">
        <v>0</v>
      </c>
      <c r="CV454" s="19">
        <v>0</v>
      </c>
      <c r="CW454" s="19">
        <v>0</v>
      </c>
      <c r="CX454" s="19">
        <v>0</v>
      </c>
      <c r="CY454" s="19">
        <v>0</v>
      </c>
      <c r="CZ454" s="19">
        <v>0</v>
      </c>
      <c r="DA454" s="19">
        <v>0</v>
      </c>
      <c r="DB454" s="19">
        <v>0</v>
      </c>
      <c r="DC454" s="19">
        <v>0</v>
      </c>
      <c r="DD454" s="19">
        <v>0</v>
      </c>
      <c r="DE454" s="19">
        <v>0</v>
      </c>
      <c r="DF454" s="19">
        <v>0</v>
      </c>
      <c r="DG454" s="19">
        <v>0</v>
      </c>
      <c r="DH454" s="19">
        <v>0</v>
      </c>
      <c r="DI454" s="19">
        <v>0</v>
      </c>
      <c r="DJ454" s="19">
        <v>0</v>
      </c>
      <c r="DK454" s="19">
        <v>0</v>
      </c>
      <c r="DL454" s="19">
        <v>0</v>
      </c>
      <c r="DM454" s="19">
        <v>0</v>
      </c>
      <c r="DN454" s="19">
        <v>0</v>
      </c>
      <c r="DO454" s="19">
        <v>0</v>
      </c>
      <c r="DP454" s="19">
        <v>0</v>
      </c>
      <c r="DQ454" s="19">
        <v>0</v>
      </c>
      <c r="DR454" s="19">
        <v>0</v>
      </c>
      <c r="DS454" s="19">
        <v>0</v>
      </c>
      <c r="DT454" s="19">
        <v>0</v>
      </c>
      <c r="DU454" s="19">
        <v>0</v>
      </c>
      <c r="DV454" s="19">
        <v>0</v>
      </c>
      <c r="DW454" s="19">
        <v>0</v>
      </c>
      <c r="DX454" s="19">
        <v>0</v>
      </c>
      <c r="DY454" s="19">
        <v>0</v>
      </c>
      <c r="DZ454" s="19">
        <v>0</v>
      </c>
      <c r="EA454" s="19">
        <v>0</v>
      </c>
      <c r="EB454" s="19">
        <v>0</v>
      </c>
      <c r="EC454" s="19">
        <v>0</v>
      </c>
      <c r="ED454" s="19">
        <v>0</v>
      </c>
      <c r="EE454" s="19">
        <v>0</v>
      </c>
      <c r="EF454" s="19">
        <v>0</v>
      </c>
      <c r="EG454" s="19">
        <v>0</v>
      </c>
      <c r="EH454" s="19">
        <v>0</v>
      </c>
      <c r="EI454" s="19">
        <v>0</v>
      </c>
      <c r="EJ454" s="19">
        <v>0</v>
      </c>
      <c r="EK454" s="19">
        <v>0</v>
      </c>
      <c r="EL454" s="19">
        <v>0</v>
      </c>
      <c r="EM454" s="19">
        <v>0</v>
      </c>
      <c r="EN454" s="19">
        <v>0</v>
      </c>
      <c r="EO454" s="19">
        <v>0</v>
      </c>
      <c r="EP454" s="19">
        <v>0</v>
      </c>
      <c r="EQ454" s="19">
        <v>0</v>
      </c>
      <c r="ER454" s="19">
        <v>0</v>
      </c>
      <c r="ES454" s="119">
        <v>0</v>
      </c>
      <c r="ET454" s="119">
        <v>0</v>
      </c>
    </row>
    <row r="455" spans="1:150" ht="16.5" customHeight="1" x14ac:dyDescent="0.35">
      <c r="A455" s="4">
        <v>216</v>
      </c>
      <c r="B455" s="4" t="str">
        <f>LOOKUP(A455,Lookup!$A$1:$A$34,Lookup!$B$1:$B$34)</f>
        <v>BUTCH  WORS/MINCE/PAT</v>
      </c>
      <c r="C455" s="5">
        <v>58766</v>
      </c>
      <c r="D455" s="6" t="s">
        <v>432</v>
      </c>
      <c r="E455" s="18">
        <v>0</v>
      </c>
      <c r="F455" s="18">
        <v>0</v>
      </c>
      <c r="G455" s="18">
        <v>0</v>
      </c>
      <c r="H455" s="18">
        <v>0</v>
      </c>
      <c r="I455" s="19">
        <v>0</v>
      </c>
      <c r="J455" s="19">
        <v>0</v>
      </c>
      <c r="K455" s="19">
        <v>0</v>
      </c>
      <c r="L455" s="19">
        <v>0</v>
      </c>
      <c r="M455" s="19">
        <v>0</v>
      </c>
      <c r="N455" s="19">
        <v>0</v>
      </c>
      <c r="O455" s="19">
        <v>0</v>
      </c>
      <c r="P455" s="19">
        <v>0</v>
      </c>
      <c r="Q455" s="19">
        <v>0</v>
      </c>
      <c r="R455" s="19">
        <v>0</v>
      </c>
      <c r="S455" s="19">
        <v>0</v>
      </c>
      <c r="T455" s="19">
        <v>0</v>
      </c>
      <c r="U455" s="19">
        <v>0</v>
      </c>
      <c r="V455" s="19">
        <v>0</v>
      </c>
      <c r="W455" s="19">
        <v>0</v>
      </c>
      <c r="X455" s="19">
        <v>0</v>
      </c>
      <c r="Y455" s="19">
        <v>0</v>
      </c>
      <c r="Z455" s="19">
        <v>0</v>
      </c>
      <c r="AA455" s="19">
        <v>0</v>
      </c>
      <c r="AB455" s="19">
        <v>0</v>
      </c>
      <c r="AC455" s="19">
        <v>0</v>
      </c>
      <c r="AD455" s="19">
        <v>0</v>
      </c>
      <c r="AE455" s="19">
        <v>0</v>
      </c>
      <c r="AF455" s="19">
        <v>0</v>
      </c>
      <c r="AG455" s="19">
        <v>0</v>
      </c>
      <c r="AH455" s="19">
        <v>0</v>
      </c>
      <c r="AI455" s="19">
        <v>0</v>
      </c>
      <c r="AJ455" s="19">
        <v>0</v>
      </c>
      <c r="AK455" s="19">
        <v>0</v>
      </c>
      <c r="AL455" s="19">
        <v>0</v>
      </c>
      <c r="AM455" s="19">
        <v>0</v>
      </c>
      <c r="AN455" s="19">
        <v>0</v>
      </c>
      <c r="AO455" s="19">
        <v>0</v>
      </c>
      <c r="AP455" s="19">
        <v>0</v>
      </c>
      <c r="AQ455" s="19">
        <v>0</v>
      </c>
      <c r="AR455" s="19">
        <v>0</v>
      </c>
      <c r="AS455" s="19">
        <v>0</v>
      </c>
      <c r="AT455" s="19">
        <v>0</v>
      </c>
      <c r="AU455" s="19">
        <v>0</v>
      </c>
      <c r="AV455" s="19">
        <v>0</v>
      </c>
      <c r="AW455" s="19">
        <v>0</v>
      </c>
      <c r="AX455" s="19">
        <v>0</v>
      </c>
      <c r="AY455" s="19">
        <v>0</v>
      </c>
      <c r="AZ455" s="19">
        <v>0</v>
      </c>
      <c r="BA455" s="19">
        <v>0</v>
      </c>
      <c r="BB455" s="19">
        <v>0</v>
      </c>
      <c r="BC455" s="19">
        <v>0</v>
      </c>
      <c r="BD455" s="19">
        <v>0</v>
      </c>
      <c r="BE455" s="19">
        <v>0</v>
      </c>
      <c r="BF455" s="19">
        <v>0</v>
      </c>
      <c r="BG455" s="19">
        <v>0</v>
      </c>
      <c r="BH455" s="19">
        <v>0</v>
      </c>
      <c r="BI455" s="19">
        <v>0</v>
      </c>
      <c r="BJ455" s="19">
        <v>0</v>
      </c>
      <c r="BK455" s="19">
        <v>0</v>
      </c>
      <c r="BL455" s="19">
        <v>0</v>
      </c>
      <c r="BM455" s="19">
        <v>0</v>
      </c>
      <c r="BN455" s="19">
        <v>0</v>
      </c>
      <c r="BO455" s="19">
        <v>0</v>
      </c>
      <c r="BP455" s="19">
        <v>0</v>
      </c>
      <c r="BQ455" s="19">
        <v>0</v>
      </c>
      <c r="BR455" s="19">
        <v>0</v>
      </c>
      <c r="BS455" s="19">
        <v>0</v>
      </c>
      <c r="BT455" s="19">
        <v>0</v>
      </c>
      <c r="BU455" s="19">
        <v>0</v>
      </c>
      <c r="BV455" s="19">
        <v>0</v>
      </c>
      <c r="BW455" s="19">
        <v>0</v>
      </c>
      <c r="BX455" s="19">
        <v>0</v>
      </c>
      <c r="BY455" s="19">
        <v>0</v>
      </c>
      <c r="BZ455" s="19">
        <v>0</v>
      </c>
      <c r="CA455" s="19">
        <v>0</v>
      </c>
      <c r="CB455" s="19">
        <v>0</v>
      </c>
      <c r="CC455" s="19">
        <v>0</v>
      </c>
      <c r="CD455" s="19">
        <v>0</v>
      </c>
      <c r="CE455" s="19">
        <v>0</v>
      </c>
      <c r="CF455" s="19">
        <v>0</v>
      </c>
      <c r="CG455" s="19">
        <v>0</v>
      </c>
      <c r="CH455" s="19">
        <v>0</v>
      </c>
      <c r="CI455" s="19">
        <v>0</v>
      </c>
      <c r="CJ455" s="19">
        <v>0</v>
      </c>
      <c r="CK455" s="19">
        <v>0</v>
      </c>
      <c r="CL455" s="19">
        <v>0</v>
      </c>
      <c r="CM455" s="19">
        <v>0</v>
      </c>
      <c r="CN455" s="19">
        <v>0</v>
      </c>
      <c r="CO455" s="19">
        <v>0</v>
      </c>
      <c r="CP455" s="19">
        <v>0</v>
      </c>
      <c r="CQ455" s="19">
        <v>0</v>
      </c>
      <c r="CR455" s="19">
        <v>0</v>
      </c>
      <c r="CS455" s="19">
        <v>0</v>
      </c>
      <c r="CT455" s="19">
        <v>0</v>
      </c>
      <c r="CU455" s="19">
        <v>0</v>
      </c>
      <c r="CV455" s="19">
        <v>0</v>
      </c>
      <c r="CW455" s="19">
        <v>0</v>
      </c>
      <c r="CX455" s="19">
        <v>0</v>
      </c>
      <c r="CY455" s="19">
        <v>0</v>
      </c>
      <c r="CZ455" s="19">
        <v>0</v>
      </c>
      <c r="DA455" s="19">
        <v>0</v>
      </c>
      <c r="DB455" s="19">
        <v>0</v>
      </c>
      <c r="DC455" s="19">
        <v>0</v>
      </c>
      <c r="DD455" s="19">
        <v>0</v>
      </c>
      <c r="DE455" s="19">
        <v>0</v>
      </c>
      <c r="DF455" s="19">
        <v>0</v>
      </c>
      <c r="DG455" s="19">
        <v>0</v>
      </c>
      <c r="DH455" s="19">
        <v>0</v>
      </c>
      <c r="DI455" s="19">
        <v>0</v>
      </c>
      <c r="DJ455" s="19">
        <v>0</v>
      </c>
      <c r="DK455" s="19">
        <v>0</v>
      </c>
      <c r="DL455" s="19">
        <v>0</v>
      </c>
      <c r="DM455" s="19">
        <v>0</v>
      </c>
      <c r="DN455" s="19">
        <v>0</v>
      </c>
      <c r="DO455" s="19">
        <v>0</v>
      </c>
      <c r="DP455" s="19">
        <v>0</v>
      </c>
      <c r="DQ455" s="19">
        <v>0</v>
      </c>
      <c r="DR455" s="19">
        <v>0</v>
      </c>
      <c r="DS455" s="19">
        <v>0</v>
      </c>
      <c r="DT455" s="19">
        <v>0</v>
      </c>
      <c r="DU455" s="19">
        <v>0</v>
      </c>
      <c r="DV455" s="19">
        <v>0</v>
      </c>
      <c r="DW455" s="19">
        <v>0</v>
      </c>
      <c r="DX455" s="19">
        <v>0</v>
      </c>
      <c r="DY455" s="19">
        <v>0</v>
      </c>
      <c r="DZ455" s="19">
        <v>0</v>
      </c>
      <c r="EA455" s="19">
        <v>0</v>
      </c>
      <c r="EB455" s="19">
        <v>0</v>
      </c>
      <c r="EC455" s="19">
        <v>0</v>
      </c>
      <c r="ED455" s="19">
        <v>0</v>
      </c>
      <c r="EE455" s="19">
        <v>0</v>
      </c>
      <c r="EF455" s="19">
        <v>0</v>
      </c>
      <c r="EG455" s="19">
        <v>0</v>
      </c>
      <c r="EH455" s="19">
        <v>0</v>
      </c>
      <c r="EI455" s="19">
        <v>0</v>
      </c>
      <c r="EJ455" s="19">
        <v>0</v>
      </c>
      <c r="EK455" s="19">
        <v>0</v>
      </c>
      <c r="EL455" s="19">
        <v>0</v>
      </c>
      <c r="EM455" s="19">
        <v>0</v>
      </c>
      <c r="EN455" s="19">
        <v>0</v>
      </c>
      <c r="EO455" s="19">
        <v>0</v>
      </c>
      <c r="EP455" s="19">
        <v>0</v>
      </c>
      <c r="EQ455" s="19">
        <v>0</v>
      </c>
      <c r="ER455" s="19">
        <v>0</v>
      </c>
      <c r="ES455" s="119">
        <v>0</v>
      </c>
      <c r="ET455" s="119">
        <v>0</v>
      </c>
    </row>
    <row r="456" spans="1:150" ht="16.5" customHeight="1" x14ac:dyDescent="0.35">
      <c r="A456" s="4">
        <v>216</v>
      </c>
      <c r="B456" s="4" t="str">
        <f>LOOKUP(A456,Lookup!$A$1:$A$34,Lookup!$B$1:$B$34)</f>
        <v>BUTCH  WORS/MINCE/PAT</v>
      </c>
      <c r="C456" s="5">
        <v>59027</v>
      </c>
      <c r="D456" s="6" t="s">
        <v>433</v>
      </c>
      <c r="E456" s="18">
        <v>0</v>
      </c>
      <c r="F456" s="18">
        <v>0</v>
      </c>
      <c r="G456" s="18">
        <v>0</v>
      </c>
      <c r="H456" s="18">
        <v>0</v>
      </c>
      <c r="I456" s="19">
        <v>0</v>
      </c>
      <c r="J456" s="19">
        <v>0</v>
      </c>
      <c r="K456" s="19">
        <v>0</v>
      </c>
      <c r="L456" s="19">
        <v>0</v>
      </c>
      <c r="M456" s="19">
        <v>0</v>
      </c>
      <c r="N456" s="19">
        <v>0</v>
      </c>
      <c r="O456" s="19">
        <v>0</v>
      </c>
      <c r="P456" s="19">
        <v>0</v>
      </c>
      <c r="Q456" s="19">
        <v>0</v>
      </c>
      <c r="R456" s="19">
        <v>0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0</v>
      </c>
      <c r="AI456" s="19">
        <v>0</v>
      </c>
      <c r="AJ456" s="19">
        <v>0</v>
      </c>
      <c r="AK456" s="19">
        <v>0</v>
      </c>
      <c r="AL456" s="19">
        <v>0</v>
      </c>
      <c r="AM456" s="19">
        <v>0</v>
      </c>
      <c r="AN456" s="19">
        <v>0</v>
      </c>
      <c r="AO456" s="19">
        <v>0</v>
      </c>
      <c r="AP456" s="19">
        <v>0</v>
      </c>
      <c r="AQ456" s="19">
        <v>0</v>
      </c>
      <c r="AR456" s="19">
        <v>0</v>
      </c>
      <c r="AS456" s="19">
        <v>0</v>
      </c>
      <c r="AT456" s="19">
        <v>0</v>
      </c>
      <c r="AU456" s="19">
        <v>0</v>
      </c>
      <c r="AV456" s="19">
        <v>0</v>
      </c>
      <c r="AW456" s="19">
        <v>0</v>
      </c>
      <c r="AX456" s="19">
        <v>0</v>
      </c>
      <c r="AY456" s="19">
        <v>0</v>
      </c>
      <c r="AZ456" s="19">
        <v>0</v>
      </c>
      <c r="BA456" s="19">
        <v>0</v>
      </c>
      <c r="BB456" s="19">
        <v>0</v>
      </c>
      <c r="BC456" s="19">
        <v>0</v>
      </c>
      <c r="BD456" s="19">
        <v>0</v>
      </c>
      <c r="BE456" s="19">
        <v>0</v>
      </c>
      <c r="BF456" s="19">
        <v>0</v>
      </c>
      <c r="BG456" s="19">
        <v>0</v>
      </c>
      <c r="BH456" s="19">
        <v>0</v>
      </c>
      <c r="BI456" s="19">
        <v>0</v>
      </c>
      <c r="BJ456" s="19">
        <v>0</v>
      </c>
      <c r="BK456" s="19">
        <v>0</v>
      </c>
      <c r="BL456" s="19">
        <v>0</v>
      </c>
      <c r="BM456" s="19">
        <v>0</v>
      </c>
      <c r="BN456" s="19">
        <v>0</v>
      </c>
      <c r="BO456" s="19">
        <v>0</v>
      </c>
      <c r="BP456" s="19">
        <v>0</v>
      </c>
      <c r="BQ456" s="19">
        <v>0</v>
      </c>
      <c r="BR456" s="19">
        <v>0</v>
      </c>
      <c r="BS456" s="19">
        <v>0</v>
      </c>
      <c r="BT456" s="19">
        <v>0</v>
      </c>
      <c r="BU456" s="19">
        <v>0</v>
      </c>
      <c r="BV456" s="19">
        <v>0</v>
      </c>
      <c r="BW456" s="19">
        <v>0</v>
      </c>
      <c r="BX456" s="19">
        <v>0</v>
      </c>
      <c r="BY456" s="19">
        <v>0</v>
      </c>
      <c r="BZ456" s="19">
        <v>0</v>
      </c>
      <c r="CA456" s="19">
        <v>0</v>
      </c>
      <c r="CB456" s="19">
        <v>0</v>
      </c>
      <c r="CC456" s="19">
        <v>0</v>
      </c>
      <c r="CD456" s="19">
        <v>0</v>
      </c>
      <c r="CE456" s="19">
        <v>0</v>
      </c>
      <c r="CF456" s="19">
        <v>0</v>
      </c>
      <c r="CG456" s="19">
        <v>0</v>
      </c>
      <c r="CH456" s="19">
        <v>0</v>
      </c>
      <c r="CI456" s="19">
        <v>0</v>
      </c>
      <c r="CJ456" s="19">
        <v>0</v>
      </c>
      <c r="CK456" s="19">
        <v>0</v>
      </c>
      <c r="CL456" s="19">
        <v>0</v>
      </c>
      <c r="CM456" s="19">
        <v>0</v>
      </c>
      <c r="CN456" s="19">
        <v>0</v>
      </c>
      <c r="CO456" s="19">
        <v>0</v>
      </c>
      <c r="CP456" s="19">
        <v>0</v>
      </c>
      <c r="CQ456" s="19">
        <v>0</v>
      </c>
      <c r="CR456" s="19">
        <v>0</v>
      </c>
      <c r="CS456" s="19">
        <v>0</v>
      </c>
      <c r="CT456" s="19">
        <v>0</v>
      </c>
      <c r="CU456" s="19">
        <v>0</v>
      </c>
      <c r="CV456" s="19">
        <v>0</v>
      </c>
      <c r="CW456" s="19">
        <v>0</v>
      </c>
      <c r="CX456" s="19">
        <v>0</v>
      </c>
      <c r="CY456" s="19">
        <v>0</v>
      </c>
      <c r="CZ456" s="19">
        <v>0</v>
      </c>
      <c r="DA456" s="19">
        <v>0</v>
      </c>
      <c r="DB456" s="19">
        <v>0</v>
      </c>
      <c r="DC456" s="19">
        <v>0</v>
      </c>
      <c r="DD456" s="19">
        <v>0</v>
      </c>
      <c r="DE456" s="19">
        <v>0</v>
      </c>
      <c r="DF456" s="19">
        <v>0</v>
      </c>
      <c r="DG456" s="19">
        <v>0</v>
      </c>
      <c r="DH456" s="19">
        <v>0</v>
      </c>
      <c r="DI456" s="19">
        <v>0</v>
      </c>
      <c r="DJ456" s="19">
        <v>0</v>
      </c>
      <c r="DK456" s="19">
        <v>0</v>
      </c>
      <c r="DL456" s="19">
        <v>0</v>
      </c>
      <c r="DM456" s="19">
        <v>0</v>
      </c>
      <c r="DN456" s="19">
        <v>0</v>
      </c>
      <c r="DO456" s="19">
        <v>0</v>
      </c>
      <c r="DP456" s="19">
        <v>0</v>
      </c>
      <c r="DQ456" s="19">
        <v>0</v>
      </c>
      <c r="DR456" s="19">
        <v>0</v>
      </c>
      <c r="DS456" s="19">
        <v>0</v>
      </c>
      <c r="DT456" s="19">
        <v>0</v>
      </c>
      <c r="DU456" s="19">
        <v>0</v>
      </c>
      <c r="DV456" s="19">
        <v>0</v>
      </c>
      <c r="DW456" s="19">
        <v>0</v>
      </c>
      <c r="DX456" s="19">
        <v>0</v>
      </c>
      <c r="DY456" s="19">
        <v>0</v>
      </c>
      <c r="DZ456" s="19">
        <v>0</v>
      </c>
      <c r="EA456" s="19">
        <v>0</v>
      </c>
      <c r="EB456" s="19">
        <v>0</v>
      </c>
      <c r="EC456" s="19">
        <v>0</v>
      </c>
      <c r="ED456" s="19">
        <v>0</v>
      </c>
      <c r="EE456" s="19">
        <v>0</v>
      </c>
      <c r="EF456" s="19">
        <v>0</v>
      </c>
      <c r="EG456" s="19">
        <v>0</v>
      </c>
      <c r="EH456" s="19">
        <v>0</v>
      </c>
      <c r="EI456" s="19">
        <v>0</v>
      </c>
      <c r="EJ456" s="19">
        <v>0</v>
      </c>
      <c r="EK456" s="19">
        <v>0</v>
      </c>
      <c r="EL456" s="19">
        <v>0</v>
      </c>
      <c r="EM456" s="19">
        <v>0</v>
      </c>
      <c r="EN456" s="19">
        <v>0</v>
      </c>
      <c r="EO456" s="19">
        <v>0</v>
      </c>
      <c r="EP456" s="19">
        <v>0</v>
      </c>
      <c r="EQ456" s="19">
        <v>0</v>
      </c>
      <c r="ER456" s="19">
        <v>0</v>
      </c>
      <c r="ES456" s="119">
        <v>0</v>
      </c>
      <c r="ET456" s="119">
        <v>0</v>
      </c>
    </row>
    <row r="457" spans="1:150" ht="16.5" customHeight="1" x14ac:dyDescent="0.35">
      <c r="A457" s="4">
        <v>216</v>
      </c>
      <c r="B457" s="4" t="str">
        <f>LOOKUP(A457,Lookup!$A$1:$A$34,Lookup!$B$1:$B$34)</f>
        <v>BUTCH  WORS/MINCE/PAT</v>
      </c>
      <c r="C457" s="5">
        <v>59480</v>
      </c>
      <c r="D457" s="6" t="s">
        <v>434</v>
      </c>
      <c r="E457" s="18">
        <v>0</v>
      </c>
      <c r="F457" s="18">
        <v>0</v>
      </c>
      <c r="G457" s="18">
        <v>0</v>
      </c>
      <c r="H457" s="18">
        <v>0</v>
      </c>
      <c r="I457" s="19">
        <v>0</v>
      </c>
      <c r="J457" s="19">
        <v>0</v>
      </c>
      <c r="K457" s="19">
        <v>0</v>
      </c>
      <c r="L457" s="19">
        <v>0</v>
      </c>
      <c r="M457" s="19">
        <v>0</v>
      </c>
      <c r="N457" s="19">
        <v>0</v>
      </c>
      <c r="O457" s="19">
        <v>0</v>
      </c>
      <c r="P457" s="19">
        <v>0</v>
      </c>
      <c r="Q457" s="19">
        <v>0</v>
      </c>
      <c r="R457" s="19">
        <v>0</v>
      </c>
      <c r="S457" s="19">
        <v>0</v>
      </c>
      <c r="T457" s="19">
        <v>0</v>
      </c>
      <c r="U457" s="19">
        <v>0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0</v>
      </c>
      <c r="AD457" s="19">
        <v>0</v>
      </c>
      <c r="AE457" s="19">
        <v>0</v>
      </c>
      <c r="AF457" s="19">
        <v>0</v>
      </c>
      <c r="AG457" s="19">
        <v>0</v>
      </c>
      <c r="AH457" s="19">
        <v>0</v>
      </c>
      <c r="AI457" s="19">
        <v>0</v>
      </c>
      <c r="AJ457" s="19">
        <v>0</v>
      </c>
      <c r="AK457" s="19">
        <v>0</v>
      </c>
      <c r="AL457" s="19">
        <v>0</v>
      </c>
      <c r="AM457" s="19">
        <v>0</v>
      </c>
      <c r="AN457" s="19">
        <v>0</v>
      </c>
      <c r="AO457" s="19">
        <v>0</v>
      </c>
      <c r="AP457" s="19">
        <v>0</v>
      </c>
      <c r="AQ457" s="19">
        <v>0</v>
      </c>
      <c r="AR457" s="19">
        <v>0</v>
      </c>
      <c r="AS457" s="19">
        <v>0</v>
      </c>
      <c r="AT457" s="19">
        <v>0</v>
      </c>
      <c r="AU457" s="19">
        <v>0</v>
      </c>
      <c r="AV457" s="19">
        <v>0</v>
      </c>
      <c r="AW457" s="19">
        <v>0</v>
      </c>
      <c r="AX457" s="19">
        <v>0</v>
      </c>
      <c r="AY457" s="19">
        <v>0</v>
      </c>
      <c r="AZ457" s="19">
        <v>0</v>
      </c>
      <c r="BA457" s="19">
        <v>0</v>
      </c>
      <c r="BB457" s="19">
        <v>0</v>
      </c>
      <c r="BC457" s="19">
        <v>0</v>
      </c>
      <c r="BD457" s="19">
        <v>0</v>
      </c>
      <c r="BE457" s="19">
        <v>0</v>
      </c>
      <c r="BF457" s="19">
        <v>0</v>
      </c>
      <c r="BG457" s="19">
        <v>0</v>
      </c>
      <c r="BH457" s="19">
        <v>0</v>
      </c>
      <c r="BI457" s="19">
        <v>0</v>
      </c>
      <c r="BJ457" s="19">
        <v>0</v>
      </c>
      <c r="BK457" s="19">
        <v>0</v>
      </c>
      <c r="BL457" s="19">
        <v>0</v>
      </c>
      <c r="BM457" s="19">
        <v>0</v>
      </c>
      <c r="BN457" s="19">
        <v>0</v>
      </c>
      <c r="BO457" s="19">
        <v>0</v>
      </c>
      <c r="BP457" s="19">
        <v>0</v>
      </c>
      <c r="BQ457" s="19">
        <v>0</v>
      </c>
      <c r="BR457" s="19">
        <v>0</v>
      </c>
      <c r="BS457" s="19">
        <v>0</v>
      </c>
      <c r="BT457" s="19">
        <v>0</v>
      </c>
      <c r="BU457" s="19">
        <v>0</v>
      </c>
      <c r="BV457" s="19">
        <v>0</v>
      </c>
      <c r="BW457" s="19">
        <v>0</v>
      </c>
      <c r="BX457" s="19">
        <v>0</v>
      </c>
      <c r="BY457" s="19">
        <v>0</v>
      </c>
      <c r="BZ457" s="19">
        <v>0</v>
      </c>
      <c r="CA457" s="19">
        <v>0</v>
      </c>
      <c r="CB457" s="19">
        <v>0</v>
      </c>
      <c r="CC457" s="19">
        <v>0</v>
      </c>
      <c r="CD457" s="19">
        <v>0</v>
      </c>
      <c r="CE457" s="19">
        <v>0</v>
      </c>
      <c r="CF457" s="19">
        <v>0</v>
      </c>
      <c r="CG457" s="19">
        <v>0</v>
      </c>
      <c r="CH457" s="19">
        <v>0</v>
      </c>
      <c r="CI457" s="19">
        <v>0</v>
      </c>
      <c r="CJ457" s="19">
        <v>0</v>
      </c>
      <c r="CK457" s="19">
        <v>0</v>
      </c>
      <c r="CL457" s="19">
        <v>0</v>
      </c>
      <c r="CM457" s="19">
        <v>0</v>
      </c>
      <c r="CN457" s="19">
        <v>0</v>
      </c>
      <c r="CO457" s="19">
        <v>0</v>
      </c>
      <c r="CP457" s="19">
        <v>0</v>
      </c>
      <c r="CQ457" s="19">
        <v>0</v>
      </c>
      <c r="CR457" s="19">
        <v>0</v>
      </c>
      <c r="CS457" s="19">
        <v>0</v>
      </c>
      <c r="CT457" s="19">
        <v>0</v>
      </c>
      <c r="CU457" s="19">
        <v>0</v>
      </c>
      <c r="CV457" s="19">
        <v>0</v>
      </c>
      <c r="CW457" s="19">
        <v>0</v>
      </c>
      <c r="CX457" s="19">
        <v>0</v>
      </c>
      <c r="CY457" s="19">
        <v>0</v>
      </c>
      <c r="CZ457" s="19">
        <v>0</v>
      </c>
      <c r="DA457" s="19">
        <v>0</v>
      </c>
      <c r="DB457" s="19">
        <v>0</v>
      </c>
      <c r="DC457" s="19">
        <v>0</v>
      </c>
      <c r="DD457" s="19">
        <v>0</v>
      </c>
      <c r="DE457" s="19">
        <v>0</v>
      </c>
      <c r="DF457" s="19">
        <v>0</v>
      </c>
      <c r="DG457" s="19">
        <v>0</v>
      </c>
      <c r="DH457" s="19">
        <v>0</v>
      </c>
      <c r="DI457" s="19">
        <v>0</v>
      </c>
      <c r="DJ457" s="19">
        <v>0</v>
      </c>
      <c r="DK457" s="19">
        <v>0</v>
      </c>
      <c r="DL457" s="19">
        <v>0</v>
      </c>
      <c r="DM457" s="19">
        <v>0</v>
      </c>
      <c r="DN457" s="19">
        <v>0</v>
      </c>
      <c r="DO457" s="19">
        <v>0</v>
      </c>
      <c r="DP457" s="19">
        <v>0</v>
      </c>
      <c r="DQ457" s="19">
        <v>0</v>
      </c>
      <c r="DR457" s="19">
        <v>0</v>
      </c>
      <c r="DS457" s="19">
        <v>0</v>
      </c>
      <c r="DT457" s="19">
        <v>0</v>
      </c>
      <c r="DU457" s="19">
        <v>0</v>
      </c>
      <c r="DV457" s="19">
        <v>0</v>
      </c>
      <c r="DW457" s="19">
        <v>0</v>
      </c>
      <c r="DX457" s="19">
        <v>0</v>
      </c>
      <c r="DY457" s="19">
        <v>0</v>
      </c>
      <c r="DZ457" s="19">
        <v>0</v>
      </c>
      <c r="EA457" s="19">
        <v>0</v>
      </c>
      <c r="EB457" s="19">
        <v>0</v>
      </c>
      <c r="EC457" s="19">
        <v>0</v>
      </c>
      <c r="ED457" s="19">
        <v>0</v>
      </c>
      <c r="EE457" s="19">
        <v>0</v>
      </c>
      <c r="EF457" s="19">
        <v>0</v>
      </c>
      <c r="EG457" s="19">
        <v>0</v>
      </c>
      <c r="EH457" s="19">
        <v>0</v>
      </c>
      <c r="EI457" s="19">
        <v>0</v>
      </c>
      <c r="EJ457" s="19">
        <v>0</v>
      </c>
      <c r="EK457" s="19">
        <v>0</v>
      </c>
      <c r="EL457" s="19">
        <v>0</v>
      </c>
      <c r="EM457" s="19">
        <v>0</v>
      </c>
      <c r="EN457" s="19">
        <v>0</v>
      </c>
      <c r="EO457" s="19">
        <v>0</v>
      </c>
      <c r="EP457" s="19">
        <v>0</v>
      </c>
      <c r="EQ457" s="19">
        <v>0</v>
      </c>
      <c r="ER457" s="19">
        <v>0</v>
      </c>
      <c r="ES457" s="119">
        <v>0</v>
      </c>
      <c r="ET457" s="119">
        <v>0</v>
      </c>
    </row>
    <row r="458" spans="1:150" ht="16.5" customHeight="1" x14ac:dyDescent="0.35">
      <c r="A458" s="4">
        <v>216</v>
      </c>
      <c r="B458" s="4" t="str">
        <f>LOOKUP(A458,Lookup!$A$1:$A$34,Lookup!$B$1:$B$34)</f>
        <v>BUTCH  WORS/MINCE/PAT</v>
      </c>
      <c r="C458" s="5">
        <v>59677</v>
      </c>
      <c r="D458" s="6" t="s">
        <v>435</v>
      </c>
      <c r="E458" s="18">
        <v>0</v>
      </c>
      <c r="F458" s="18">
        <v>0</v>
      </c>
      <c r="G458" s="18">
        <v>0</v>
      </c>
      <c r="H458" s="18">
        <v>0</v>
      </c>
      <c r="I458" s="19">
        <v>0</v>
      </c>
      <c r="J458" s="19">
        <v>0</v>
      </c>
      <c r="K458" s="19">
        <v>0</v>
      </c>
      <c r="L458" s="19">
        <v>0</v>
      </c>
      <c r="M458" s="19">
        <v>0</v>
      </c>
      <c r="N458" s="19">
        <v>0</v>
      </c>
      <c r="O458" s="19">
        <v>0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0</v>
      </c>
      <c r="AE458" s="19">
        <v>0</v>
      </c>
      <c r="AF458" s="19">
        <v>0</v>
      </c>
      <c r="AG458" s="19">
        <v>0</v>
      </c>
      <c r="AH458" s="19">
        <v>0</v>
      </c>
      <c r="AI458" s="19">
        <v>0</v>
      </c>
      <c r="AJ458" s="19">
        <v>0</v>
      </c>
      <c r="AK458" s="19">
        <v>0</v>
      </c>
      <c r="AL458" s="19">
        <v>0</v>
      </c>
      <c r="AM458" s="19">
        <v>0</v>
      </c>
      <c r="AN458" s="19">
        <v>0</v>
      </c>
      <c r="AO458" s="19">
        <v>0</v>
      </c>
      <c r="AP458" s="19">
        <v>0</v>
      </c>
      <c r="AQ458" s="19">
        <v>0</v>
      </c>
      <c r="AR458" s="19">
        <v>0</v>
      </c>
      <c r="AS458" s="19">
        <v>0</v>
      </c>
      <c r="AT458" s="19">
        <v>0</v>
      </c>
      <c r="AU458" s="19">
        <v>0</v>
      </c>
      <c r="AV458" s="19">
        <v>0</v>
      </c>
      <c r="AW458" s="19">
        <v>0</v>
      </c>
      <c r="AX458" s="19">
        <v>0</v>
      </c>
      <c r="AY458" s="19">
        <v>0</v>
      </c>
      <c r="AZ458" s="19">
        <v>0</v>
      </c>
      <c r="BA458" s="19">
        <v>0</v>
      </c>
      <c r="BB458" s="19">
        <v>0</v>
      </c>
      <c r="BC458" s="19">
        <v>0</v>
      </c>
      <c r="BD458" s="19">
        <v>0</v>
      </c>
      <c r="BE458" s="19">
        <v>0</v>
      </c>
      <c r="BF458" s="19">
        <v>0</v>
      </c>
      <c r="BG458" s="19">
        <v>0</v>
      </c>
      <c r="BH458" s="19">
        <v>0</v>
      </c>
      <c r="BI458" s="19">
        <v>0</v>
      </c>
      <c r="BJ458" s="19">
        <v>0</v>
      </c>
      <c r="BK458" s="19">
        <v>0</v>
      </c>
      <c r="BL458" s="19">
        <v>0</v>
      </c>
      <c r="BM458" s="19">
        <v>0</v>
      </c>
      <c r="BN458" s="19">
        <v>0</v>
      </c>
      <c r="BO458" s="19">
        <v>0</v>
      </c>
      <c r="BP458" s="19">
        <v>0</v>
      </c>
      <c r="BQ458" s="19">
        <v>0</v>
      </c>
      <c r="BR458" s="19">
        <v>0</v>
      </c>
      <c r="BS458" s="19">
        <v>0</v>
      </c>
      <c r="BT458" s="19">
        <v>0</v>
      </c>
      <c r="BU458" s="19">
        <v>0</v>
      </c>
      <c r="BV458" s="19">
        <v>0</v>
      </c>
      <c r="BW458" s="19">
        <v>0</v>
      </c>
      <c r="BX458" s="19">
        <v>0</v>
      </c>
      <c r="BY458" s="19">
        <v>0</v>
      </c>
      <c r="BZ458" s="19">
        <v>0</v>
      </c>
      <c r="CA458" s="19">
        <v>0</v>
      </c>
      <c r="CB458" s="19">
        <v>0</v>
      </c>
      <c r="CC458" s="19">
        <v>0</v>
      </c>
      <c r="CD458" s="19">
        <v>0</v>
      </c>
      <c r="CE458" s="19">
        <v>0</v>
      </c>
      <c r="CF458" s="19">
        <v>0</v>
      </c>
      <c r="CG458" s="19">
        <v>0</v>
      </c>
      <c r="CH458" s="19">
        <v>0</v>
      </c>
      <c r="CI458" s="19">
        <v>0</v>
      </c>
      <c r="CJ458" s="19">
        <v>0</v>
      </c>
      <c r="CK458" s="19">
        <v>0</v>
      </c>
      <c r="CL458" s="19">
        <v>0</v>
      </c>
      <c r="CM458" s="19">
        <v>0</v>
      </c>
      <c r="CN458" s="19">
        <v>0</v>
      </c>
      <c r="CO458" s="19">
        <v>0</v>
      </c>
      <c r="CP458" s="19">
        <v>0</v>
      </c>
      <c r="CQ458" s="19">
        <v>0</v>
      </c>
      <c r="CR458" s="19">
        <v>0</v>
      </c>
      <c r="CS458" s="19">
        <v>0</v>
      </c>
      <c r="CT458" s="19">
        <v>0</v>
      </c>
      <c r="CU458" s="19">
        <v>0</v>
      </c>
      <c r="CV458" s="19">
        <v>0</v>
      </c>
      <c r="CW458" s="19">
        <v>0</v>
      </c>
      <c r="CX458" s="19">
        <v>0</v>
      </c>
      <c r="CY458" s="19">
        <v>0</v>
      </c>
      <c r="CZ458" s="19">
        <v>0</v>
      </c>
      <c r="DA458" s="19">
        <v>0</v>
      </c>
      <c r="DB458" s="19">
        <v>0</v>
      </c>
      <c r="DC458" s="19">
        <v>0</v>
      </c>
      <c r="DD458" s="19">
        <v>0</v>
      </c>
      <c r="DE458" s="19">
        <v>0</v>
      </c>
      <c r="DF458" s="19">
        <v>0</v>
      </c>
      <c r="DG458" s="19">
        <v>0</v>
      </c>
      <c r="DH458" s="19">
        <v>0</v>
      </c>
      <c r="DI458" s="19">
        <v>0</v>
      </c>
      <c r="DJ458" s="19">
        <v>0</v>
      </c>
      <c r="DK458" s="19">
        <v>0</v>
      </c>
      <c r="DL458" s="19">
        <v>0</v>
      </c>
      <c r="DM458" s="19">
        <v>0</v>
      </c>
      <c r="DN458" s="19">
        <v>0</v>
      </c>
      <c r="DO458" s="19">
        <v>0</v>
      </c>
      <c r="DP458" s="19">
        <v>0</v>
      </c>
      <c r="DQ458" s="19">
        <v>0</v>
      </c>
      <c r="DR458" s="19">
        <v>0</v>
      </c>
      <c r="DS458" s="19">
        <v>0</v>
      </c>
      <c r="DT458" s="19">
        <v>0</v>
      </c>
      <c r="DU458" s="19">
        <v>0</v>
      </c>
      <c r="DV458" s="19">
        <v>0</v>
      </c>
      <c r="DW458" s="19">
        <v>0</v>
      </c>
      <c r="DX458" s="19">
        <v>0</v>
      </c>
      <c r="DY458" s="19">
        <v>0</v>
      </c>
      <c r="DZ458" s="19">
        <v>0</v>
      </c>
      <c r="EA458" s="19">
        <v>0</v>
      </c>
      <c r="EB458" s="19">
        <v>0</v>
      </c>
      <c r="EC458" s="19">
        <v>0</v>
      </c>
      <c r="ED458" s="19">
        <v>0</v>
      </c>
      <c r="EE458" s="19">
        <v>0</v>
      </c>
      <c r="EF458" s="19">
        <v>0</v>
      </c>
      <c r="EG458" s="19">
        <v>0</v>
      </c>
      <c r="EH458" s="19">
        <v>0</v>
      </c>
      <c r="EI458" s="19">
        <v>0</v>
      </c>
      <c r="EJ458" s="19">
        <v>0</v>
      </c>
      <c r="EK458" s="19">
        <v>0</v>
      </c>
      <c r="EL458" s="19">
        <v>0</v>
      </c>
      <c r="EM458" s="19">
        <v>0</v>
      </c>
      <c r="EN458" s="19">
        <v>0</v>
      </c>
      <c r="EO458" s="19">
        <v>0</v>
      </c>
      <c r="EP458" s="19">
        <v>0</v>
      </c>
      <c r="EQ458" s="19">
        <v>0</v>
      </c>
      <c r="ER458" s="19">
        <v>0</v>
      </c>
      <c r="ES458" s="119">
        <v>0</v>
      </c>
      <c r="ET458" s="119">
        <v>0</v>
      </c>
    </row>
    <row r="459" spans="1:150" ht="16.5" customHeight="1" x14ac:dyDescent="0.35">
      <c r="A459" s="4">
        <v>216</v>
      </c>
      <c r="B459" s="4" t="str">
        <f>LOOKUP(A459,Lookup!$A$1:$A$34,Lookup!$B$1:$B$34)</f>
        <v>BUTCH  WORS/MINCE/PAT</v>
      </c>
      <c r="C459" s="5">
        <v>59678</v>
      </c>
      <c r="D459" s="6" t="s">
        <v>436</v>
      </c>
      <c r="E459" s="18">
        <v>0</v>
      </c>
      <c r="F459" s="18">
        <v>0</v>
      </c>
      <c r="G459" s="18">
        <v>0</v>
      </c>
      <c r="H459" s="18">
        <v>0</v>
      </c>
      <c r="I459" s="19">
        <v>0</v>
      </c>
      <c r="J459" s="19">
        <v>0</v>
      </c>
      <c r="K459" s="19">
        <v>0</v>
      </c>
      <c r="L459" s="19">
        <v>0</v>
      </c>
      <c r="M459" s="19">
        <v>0</v>
      </c>
      <c r="N459" s="19">
        <v>0</v>
      </c>
      <c r="O459" s="19">
        <v>0</v>
      </c>
      <c r="P459" s="19">
        <v>0</v>
      </c>
      <c r="Q459" s="19">
        <v>0</v>
      </c>
      <c r="R459" s="19">
        <v>0</v>
      </c>
      <c r="S459" s="19">
        <v>0</v>
      </c>
      <c r="T459" s="19">
        <v>0</v>
      </c>
      <c r="U459" s="19">
        <v>0</v>
      </c>
      <c r="V459" s="19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0</v>
      </c>
      <c r="AD459" s="19">
        <v>0</v>
      </c>
      <c r="AE459" s="19">
        <v>0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19">
        <v>0</v>
      </c>
      <c r="AM459" s="19">
        <v>0</v>
      </c>
      <c r="AN459" s="19">
        <v>0</v>
      </c>
      <c r="AO459" s="19">
        <v>0</v>
      </c>
      <c r="AP459" s="19">
        <v>0</v>
      </c>
      <c r="AQ459" s="19">
        <v>0</v>
      </c>
      <c r="AR459" s="19">
        <v>0</v>
      </c>
      <c r="AS459" s="19">
        <v>0</v>
      </c>
      <c r="AT459" s="19">
        <v>0</v>
      </c>
      <c r="AU459" s="19">
        <v>0</v>
      </c>
      <c r="AV459" s="19">
        <v>0</v>
      </c>
      <c r="AW459" s="19">
        <v>0</v>
      </c>
      <c r="AX459" s="19">
        <v>0</v>
      </c>
      <c r="AY459" s="19">
        <v>0</v>
      </c>
      <c r="AZ459" s="19">
        <v>0</v>
      </c>
      <c r="BA459" s="19">
        <v>0</v>
      </c>
      <c r="BB459" s="19">
        <v>0</v>
      </c>
      <c r="BC459" s="19">
        <v>0</v>
      </c>
      <c r="BD459" s="19">
        <v>0</v>
      </c>
      <c r="BE459" s="19">
        <v>0</v>
      </c>
      <c r="BF459" s="19">
        <v>0</v>
      </c>
      <c r="BG459" s="19">
        <v>0</v>
      </c>
      <c r="BH459" s="19">
        <v>0</v>
      </c>
      <c r="BI459" s="19">
        <v>0</v>
      </c>
      <c r="BJ459" s="19">
        <v>0</v>
      </c>
      <c r="BK459" s="19">
        <v>0</v>
      </c>
      <c r="BL459" s="19">
        <v>0</v>
      </c>
      <c r="BM459" s="19">
        <v>0</v>
      </c>
      <c r="BN459" s="19">
        <v>0</v>
      </c>
      <c r="BO459" s="19">
        <v>0</v>
      </c>
      <c r="BP459" s="19">
        <v>0</v>
      </c>
      <c r="BQ459" s="19">
        <v>0</v>
      </c>
      <c r="BR459" s="19">
        <v>0</v>
      </c>
      <c r="BS459" s="19">
        <v>0</v>
      </c>
      <c r="BT459" s="19">
        <v>0</v>
      </c>
      <c r="BU459" s="19">
        <v>0</v>
      </c>
      <c r="BV459" s="19">
        <v>0</v>
      </c>
      <c r="BW459" s="19">
        <v>0</v>
      </c>
      <c r="BX459" s="19">
        <v>0</v>
      </c>
      <c r="BY459" s="19">
        <v>0</v>
      </c>
      <c r="BZ459" s="19">
        <v>0</v>
      </c>
      <c r="CA459" s="19">
        <v>0</v>
      </c>
      <c r="CB459" s="19">
        <v>0</v>
      </c>
      <c r="CC459" s="19">
        <v>0</v>
      </c>
      <c r="CD459" s="19">
        <v>0</v>
      </c>
      <c r="CE459" s="19">
        <v>0</v>
      </c>
      <c r="CF459" s="19">
        <v>0</v>
      </c>
      <c r="CG459" s="19">
        <v>0</v>
      </c>
      <c r="CH459" s="19">
        <v>0</v>
      </c>
      <c r="CI459" s="19">
        <v>0</v>
      </c>
      <c r="CJ459" s="19">
        <v>0</v>
      </c>
      <c r="CK459" s="19">
        <v>0</v>
      </c>
      <c r="CL459" s="19">
        <v>0</v>
      </c>
      <c r="CM459" s="19">
        <v>0</v>
      </c>
      <c r="CN459" s="19">
        <v>0</v>
      </c>
      <c r="CO459" s="19">
        <v>0</v>
      </c>
      <c r="CP459" s="19">
        <v>0</v>
      </c>
      <c r="CQ459" s="19">
        <v>0</v>
      </c>
      <c r="CR459" s="19">
        <v>0</v>
      </c>
      <c r="CS459" s="19">
        <v>0</v>
      </c>
      <c r="CT459" s="19">
        <v>0</v>
      </c>
      <c r="CU459" s="19">
        <v>0</v>
      </c>
      <c r="CV459" s="19">
        <v>0</v>
      </c>
      <c r="CW459" s="19">
        <v>0</v>
      </c>
      <c r="CX459" s="19">
        <v>0</v>
      </c>
      <c r="CY459" s="19">
        <v>0</v>
      </c>
      <c r="CZ459" s="19">
        <v>0</v>
      </c>
      <c r="DA459" s="19">
        <v>0</v>
      </c>
      <c r="DB459" s="19">
        <v>0</v>
      </c>
      <c r="DC459" s="19">
        <v>0</v>
      </c>
      <c r="DD459" s="19">
        <v>0</v>
      </c>
      <c r="DE459" s="19">
        <v>0</v>
      </c>
      <c r="DF459" s="19">
        <v>0</v>
      </c>
      <c r="DG459" s="19">
        <v>0</v>
      </c>
      <c r="DH459" s="19">
        <v>0</v>
      </c>
      <c r="DI459" s="19">
        <v>0</v>
      </c>
      <c r="DJ459" s="19">
        <v>0</v>
      </c>
      <c r="DK459" s="19">
        <v>0</v>
      </c>
      <c r="DL459" s="19">
        <v>0</v>
      </c>
      <c r="DM459" s="19">
        <v>0</v>
      </c>
      <c r="DN459" s="19">
        <v>0</v>
      </c>
      <c r="DO459" s="19">
        <v>0</v>
      </c>
      <c r="DP459" s="19">
        <v>0</v>
      </c>
      <c r="DQ459" s="19">
        <v>0</v>
      </c>
      <c r="DR459" s="19">
        <v>0</v>
      </c>
      <c r="DS459" s="19">
        <v>0</v>
      </c>
      <c r="DT459" s="19">
        <v>0</v>
      </c>
      <c r="DU459" s="19">
        <v>0</v>
      </c>
      <c r="DV459" s="19">
        <v>0</v>
      </c>
      <c r="DW459" s="19">
        <v>0</v>
      </c>
      <c r="DX459" s="19">
        <v>0</v>
      </c>
      <c r="DY459" s="19">
        <v>0</v>
      </c>
      <c r="DZ459" s="19">
        <v>0</v>
      </c>
      <c r="EA459" s="19">
        <v>0</v>
      </c>
      <c r="EB459" s="19">
        <v>0</v>
      </c>
      <c r="EC459" s="19">
        <v>0</v>
      </c>
      <c r="ED459" s="19">
        <v>0</v>
      </c>
      <c r="EE459" s="19">
        <v>0</v>
      </c>
      <c r="EF459" s="19">
        <v>0</v>
      </c>
      <c r="EG459" s="19">
        <v>0</v>
      </c>
      <c r="EH459" s="19">
        <v>0</v>
      </c>
      <c r="EI459" s="19">
        <v>0</v>
      </c>
      <c r="EJ459" s="19">
        <v>0</v>
      </c>
      <c r="EK459" s="19">
        <v>0</v>
      </c>
      <c r="EL459" s="19">
        <v>0</v>
      </c>
      <c r="EM459" s="19">
        <v>0</v>
      </c>
      <c r="EN459" s="19">
        <v>0</v>
      </c>
      <c r="EO459" s="19">
        <v>0</v>
      </c>
      <c r="EP459" s="19">
        <v>0</v>
      </c>
      <c r="EQ459" s="19">
        <v>0</v>
      </c>
      <c r="ER459" s="19">
        <v>0</v>
      </c>
      <c r="ES459" s="119">
        <v>0</v>
      </c>
      <c r="ET459" s="119">
        <v>0</v>
      </c>
    </row>
    <row r="460" spans="1:150" ht="16.5" customHeight="1" x14ac:dyDescent="0.35">
      <c r="A460" s="4">
        <v>216</v>
      </c>
      <c r="B460" s="4" t="str">
        <f>LOOKUP(A460,Lookup!$A$1:$A$34,Lookup!$B$1:$B$34)</f>
        <v>BUTCH  WORS/MINCE/PAT</v>
      </c>
      <c r="C460" s="5">
        <v>59688</v>
      </c>
      <c r="D460" s="6" t="s">
        <v>437</v>
      </c>
      <c r="E460" s="18">
        <v>46.8707899571341</v>
      </c>
      <c r="F460" s="18">
        <v>0.749</v>
      </c>
      <c r="G460" s="18">
        <v>3327.8260869565202</v>
      </c>
      <c r="H460" s="18">
        <v>53.177999999999997</v>
      </c>
      <c r="I460" s="19">
        <v>0</v>
      </c>
      <c r="J460" s="19">
        <v>0</v>
      </c>
      <c r="K460" s="19">
        <v>0</v>
      </c>
      <c r="L460" s="19">
        <v>0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>
        <v>0</v>
      </c>
      <c r="AC460" s="19">
        <v>0</v>
      </c>
      <c r="AD460" s="19">
        <v>0</v>
      </c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0</v>
      </c>
      <c r="AK460" s="19">
        <v>0</v>
      </c>
      <c r="AL460" s="19">
        <v>0</v>
      </c>
      <c r="AM460" s="19">
        <v>0</v>
      </c>
      <c r="AN460" s="19">
        <v>0</v>
      </c>
      <c r="AO460" s="19">
        <v>0</v>
      </c>
      <c r="AP460" s="19">
        <v>0</v>
      </c>
      <c r="AQ460" s="19">
        <v>0</v>
      </c>
      <c r="AR460" s="19">
        <v>0</v>
      </c>
      <c r="AS460" s="19">
        <v>0</v>
      </c>
      <c r="AT460" s="19">
        <v>0</v>
      </c>
      <c r="AU460" s="19">
        <v>0</v>
      </c>
      <c r="AV460" s="19">
        <v>0</v>
      </c>
      <c r="AW460" s="19">
        <v>0</v>
      </c>
      <c r="AX460" s="19">
        <v>0</v>
      </c>
      <c r="AY460" s="19">
        <v>0</v>
      </c>
      <c r="AZ460" s="19">
        <v>0</v>
      </c>
      <c r="BA460" s="19">
        <v>0</v>
      </c>
      <c r="BB460" s="19">
        <v>0</v>
      </c>
      <c r="BC460" s="19">
        <v>0</v>
      </c>
      <c r="BD460" s="19">
        <v>0</v>
      </c>
      <c r="BE460" s="19">
        <v>0</v>
      </c>
      <c r="BF460" s="19">
        <v>0</v>
      </c>
      <c r="BG460" s="19">
        <v>1028.78260869565</v>
      </c>
      <c r="BH460" s="19">
        <v>14.79</v>
      </c>
      <c r="BI460" s="19">
        <v>507.36521739130399</v>
      </c>
      <c r="BJ460" s="19">
        <v>7.2939999999999996</v>
      </c>
      <c r="BK460" s="19">
        <v>579.26086956521704</v>
      </c>
      <c r="BL460" s="19">
        <v>8.3279999999999994</v>
      </c>
      <c r="BM460" s="19">
        <v>98.504347826086999</v>
      </c>
      <c r="BN460" s="19">
        <v>1.4159999999999999</v>
      </c>
      <c r="BO460" s="19">
        <v>1113.9130434782601</v>
      </c>
      <c r="BP460" s="19">
        <v>21.35</v>
      </c>
      <c r="BQ460" s="19">
        <v>0</v>
      </c>
      <c r="BR460" s="19">
        <v>0</v>
      </c>
      <c r="BS460" s="19">
        <v>0</v>
      </c>
      <c r="BT460" s="19">
        <v>0</v>
      </c>
      <c r="BU460" s="19">
        <v>0</v>
      </c>
      <c r="BV460" s="19">
        <v>0</v>
      </c>
      <c r="BW460" s="19">
        <v>0</v>
      </c>
      <c r="BX460" s="19">
        <v>0</v>
      </c>
      <c r="BY460" s="19">
        <v>0</v>
      </c>
      <c r="BZ460" s="19">
        <v>0</v>
      </c>
      <c r="CA460" s="19">
        <v>0</v>
      </c>
      <c r="CB460" s="19">
        <v>0</v>
      </c>
      <c r="CC460" s="19">
        <v>0</v>
      </c>
      <c r="CD460" s="19">
        <v>0</v>
      </c>
      <c r="CE460" s="19">
        <v>0</v>
      </c>
      <c r="CF460" s="19">
        <v>0</v>
      </c>
      <c r="CG460" s="19">
        <v>0</v>
      </c>
      <c r="CH460" s="19">
        <v>0</v>
      </c>
      <c r="CI460" s="19">
        <v>0</v>
      </c>
      <c r="CJ460" s="19">
        <v>0</v>
      </c>
      <c r="CK460" s="19">
        <v>0</v>
      </c>
      <c r="CL460" s="19">
        <v>0</v>
      </c>
      <c r="CM460" s="19">
        <v>0</v>
      </c>
      <c r="CN460" s="19">
        <v>0</v>
      </c>
      <c r="CO460" s="19">
        <v>0</v>
      </c>
      <c r="CP460" s="19">
        <v>0</v>
      </c>
      <c r="CQ460" s="19">
        <v>0</v>
      </c>
      <c r="CR460" s="19">
        <v>0</v>
      </c>
      <c r="CS460" s="19">
        <v>0</v>
      </c>
      <c r="CT460" s="19">
        <v>0</v>
      </c>
      <c r="CU460" s="19">
        <v>0</v>
      </c>
      <c r="CV460" s="19">
        <v>0</v>
      </c>
      <c r="CW460" s="19">
        <v>0</v>
      </c>
      <c r="CX460" s="19">
        <v>0</v>
      </c>
      <c r="CY460" s="19">
        <v>0</v>
      </c>
      <c r="CZ460" s="19">
        <v>0</v>
      </c>
      <c r="DA460" s="19">
        <v>0</v>
      </c>
      <c r="DB460" s="19">
        <v>0</v>
      </c>
      <c r="DC460" s="19">
        <v>0</v>
      </c>
      <c r="DD460" s="19">
        <v>0</v>
      </c>
      <c r="DE460" s="19">
        <v>0</v>
      </c>
      <c r="DF460" s="19">
        <v>0</v>
      </c>
      <c r="DG460" s="19">
        <v>0</v>
      </c>
      <c r="DH460" s="19">
        <v>0</v>
      </c>
      <c r="DI460" s="19">
        <v>0</v>
      </c>
      <c r="DJ460" s="19">
        <v>0</v>
      </c>
      <c r="DK460" s="19">
        <v>0</v>
      </c>
      <c r="DL460" s="19">
        <v>0</v>
      </c>
      <c r="DM460" s="19">
        <v>0</v>
      </c>
      <c r="DN460" s="19">
        <v>0</v>
      </c>
      <c r="DO460" s="19">
        <v>0</v>
      </c>
      <c r="DP460" s="19">
        <v>0</v>
      </c>
      <c r="DQ460" s="19">
        <v>0</v>
      </c>
      <c r="DR460" s="19">
        <v>0</v>
      </c>
      <c r="DS460" s="19">
        <v>0</v>
      </c>
      <c r="DT460" s="19">
        <v>0</v>
      </c>
      <c r="DU460" s="19">
        <v>0</v>
      </c>
      <c r="DV460" s="19">
        <v>0</v>
      </c>
      <c r="DW460" s="19">
        <v>0</v>
      </c>
      <c r="DX460" s="19">
        <v>0</v>
      </c>
      <c r="DY460" s="19">
        <v>0</v>
      </c>
      <c r="DZ460" s="19">
        <v>0</v>
      </c>
      <c r="EA460" s="19">
        <v>0</v>
      </c>
      <c r="EB460" s="19">
        <v>0</v>
      </c>
      <c r="EC460" s="19">
        <v>0</v>
      </c>
      <c r="ED460" s="19">
        <v>0</v>
      </c>
      <c r="EE460" s="19">
        <v>0</v>
      </c>
      <c r="EF460" s="19">
        <v>0</v>
      </c>
      <c r="EG460" s="19">
        <v>0</v>
      </c>
      <c r="EH460" s="19">
        <v>0</v>
      </c>
      <c r="EI460" s="19">
        <v>0</v>
      </c>
      <c r="EJ460" s="19">
        <v>0</v>
      </c>
      <c r="EK460" s="19">
        <v>0</v>
      </c>
      <c r="EL460" s="19">
        <v>0</v>
      </c>
      <c r="EM460" s="19">
        <v>0</v>
      </c>
      <c r="EN460" s="19">
        <v>0</v>
      </c>
      <c r="EO460" s="19">
        <v>0</v>
      </c>
      <c r="EP460" s="19">
        <v>0</v>
      </c>
      <c r="EQ460" s="19">
        <v>0</v>
      </c>
      <c r="ER460" s="19">
        <v>0</v>
      </c>
      <c r="ES460" s="119">
        <v>0</v>
      </c>
      <c r="ET460" s="119">
        <v>0</v>
      </c>
    </row>
    <row r="461" spans="1:150" ht="16.5" customHeight="1" x14ac:dyDescent="0.35">
      <c r="A461" s="4">
        <v>216</v>
      </c>
      <c r="B461" s="4" t="str">
        <f>LOOKUP(A461,Lookup!$A$1:$A$34,Lookup!$B$1:$B$34)</f>
        <v>BUTCH  WORS/MINCE/PAT</v>
      </c>
      <c r="C461" s="5">
        <v>59689</v>
      </c>
      <c r="D461" s="6" t="s">
        <v>438</v>
      </c>
      <c r="E461" s="18">
        <v>36.874954072259598</v>
      </c>
      <c r="F461" s="18">
        <v>0.64300000000000002</v>
      </c>
      <c r="G461" s="18">
        <v>2618.1217391304299</v>
      </c>
      <c r="H461" s="18">
        <v>45.673999999999999</v>
      </c>
      <c r="I461" s="19">
        <v>0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19">
        <v>0</v>
      </c>
      <c r="AC461" s="19">
        <v>0</v>
      </c>
      <c r="AD461" s="19">
        <v>0</v>
      </c>
      <c r="AE461" s="19">
        <v>0</v>
      </c>
      <c r="AF461" s="19">
        <v>0</v>
      </c>
      <c r="AG461" s="19">
        <v>0</v>
      </c>
      <c r="AH461" s="19">
        <v>0</v>
      </c>
      <c r="AI461" s="19">
        <v>0</v>
      </c>
      <c r="AJ461" s="19">
        <v>0</v>
      </c>
      <c r="AK461" s="19">
        <v>0</v>
      </c>
      <c r="AL461" s="19">
        <v>0</v>
      </c>
      <c r="AM461" s="19">
        <v>0</v>
      </c>
      <c r="AN461" s="19">
        <v>0</v>
      </c>
      <c r="AO461" s="19">
        <v>0</v>
      </c>
      <c r="AP461" s="19">
        <v>0</v>
      </c>
      <c r="AQ461" s="19">
        <v>0</v>
      </c>
      <c r="AR461" s="19">
        <v>0</v>
      </c>
      <c r="AS461" s="19">
        <v>0</v>
      </c>
      <c r="AT461" s="19">
        <v>0</v>
      </c>
      <c r="AU461" s="19">
        <v>0</v>
      </c>
      <c r="AV461" s="19">
        <v>0</v>
      </c>
      <c r="AW461" s="19">
        <v>0</v>
      </c>
      <c r="AX461" s="19">
        <v>0</v>
      </c>
      <c r="AY461" s="19">
        <v>0</v>
      </c>
      <c r="AZ461" s="19">
        <v>0</v>
      </c>
      <c r="BA461" s="19">
        <v>0</v>
      </c>
      <c r="BB461" s="19">
        <v>0</v>
      </c>
      <c r="BC461" s="19">
        <v>0</v>
      </c>
      <c r="BD461" s="19">
        <v>0</v>
      </c>
      <c r="BE461" s="19">
        <v>0</v>
      </c>
      <c r="BF461" s="19">
        <v>0</v>
      </c>
      <c r="BG461" s="19">
        <v>806.00869565217397</v>
      </c>
      <c r="BH461" s="19">
        <v>13.244</v>
      </c>
      <c r="BI461" s="19">
        <v>636.58260869565197</v>
      </c>
      <c r="BJ461" s="19">
        <v>10.46</v>
      </c>
      <c r="BK461" s="19">
        <v>415.78260869565202</v>
      </c>
      <c r="BL461" s="19">
        <v>6.8319999999999999</v>
      </c>
      <c r="BM461" s="19">
        <v>214.582608695652</v>
      </c>
      <c r="BN461" s="19">
        <v>3.5259999999999998</v>
      </c>
      <c r="BO461" s="19">
        <v>545.16521739130405</v>
      </c>
      <c r="BP461" s="19">
        <v>11.612</v>
      </c>
      <c r="BQ461" s="19">
        <v>0</v>
      </c>
      <c r="BR461" s="19">
        <v>0</v>
      </c>
      <c r="BS461" s="19">
        <v>0</v>
      </c>
      <c r="BT461" s="19">
        <v>0</v>
      </c>
      <c r="BU461" s="19">
        <v>0</v>
      </c>
      <c r="BV461" s="19">
        <v>0</v>
      </c>
      <c r="BW461" s="19">
        <v>0</v>
      </c>
      <c r="BX461" s="19">
        <v>0</v>
      </c>
      <c r="BY461" s="19">
        <v>0</v>
      </c>
      <c r="BZ461" s="19">
        <v>0</v>
      </c>
      <c r="CA461" s="19">
        <v>0</v>
      </c>
      <c r="CB461" s="19">
        <v>0</v>
      </c>
      <c r="CC461" s="19">
        <v>0</v>
      </c>
      <c r="CD461" s="19">
        <v>0</v>
      </c>
      <c r="CE461" s="19">
        <v>0</v>
      </c>
      <c r="CF461" s="19">
        <v>0</v>
      </c>
      <c r="CG461" s="19">
        <v>0</v>
      </c>
      <c r="CH461" s="19">
        <v>0</v>
      </c>
      <c r="CI461" s="19">
        <v>0</v>
      </c>
      <c r="CJ461" s="19">
        <v>0</v>
      </c>
      <c r="CK461" s="19">
        <v>0</v>
      </c>
      <c r="CL461" s="19">
        <v>0</v>
      </c>
      <c r="CM461" s="19">
        <v>0</v>
      </c>
      <c r="CN461" s="19">
        <v>0</v>
      </c>
      <c r="CO461" s="19">
        <v>0</v>
      </c>
      <c r="CP461" s="19">
        <v>0</v>
      </c>
      <c r="CQ461" s="19">
        <v>0</v>
      </c>
      <c r="CR461" s="19">
        <v>0</v>
      </c>
      <c r="CS461" s="19">
        <v>0</v>
      </c>
      <c r="CT461" s="19">
        <v>0</v>
      </c>
      <c r="CU461" s="19">
        <v>0</v>
      </c>
      <c r="CV461" s="19">
        <v>0</v>
      </c>
      <c r="CW461" s="19">
        <v>0</v>
      </c>
      <c r="CX461" s="19">
        <v>0</v>
      </c>
      <c r="CY461" s="19">
        <v>0</v>
      </c>
      <c r="CZ461" s="19">
        <v>0</v>
      </c>
      <c r="DA461" s="19">
        <v>0</v>
      </c>
      <c r="DB461" s="19">
        <v>0</v>
      </c>
      <c r="DC461" s="19">
        <v>0</v>
      </c>
      <c r="DD461" s="19">
        <v>0</v>
      </c>
      <c r="DE461" s="19">
        <v>0</v>
      </c>
      <c r="DF461" s="19">
        <v>0</v>
      </c>
      <c r="DG461" s="19">
        <v>0</v>
      </c>
      <c r="DH461" s="19">
        <v>0</v>
      </c>
      <c r="DI461" s="19">
        <v>0</v>
      </c>
      <c r="DJ461" s="19">
        <v>0</v>
      </c>
      <c r="DK461" s="19">
        <v>0</v>
      </c>
      <c r="DL461" s="19">
        <v>0</v>
      </c>
      <c r="DM461" s="19">
        <v>0</v>
      </c>
      <c r="DN461" s="19">
        <v>0</v>
      </c>
      <c r="DO461" s="19">
        <v>0</v>
      </c>
      <c r="DP461" s="19">
        <v>0</v>
      </c>
      <c r="DQ461" s="19">
        <v>0</v>
      </c>
      <c r="DR461" s="19">
        <v>0</v>
      </c>
      <c r="DS461" s="19">
        <v>0</v>
      </c>
      <c r="DT461" s="19">
        <v>0</v>
      </c>
      <c r="DU461" s="19">
        <v>0</v>
      </c>
      <c r="DV461" s="19">
        <v>0</v>
      </c>
      <c r="DW461" s="19">
        <v>0</v>
      </c>
      <c r="DX461" s="19">
        <v>0</v>
      </c>
      <c r="DY461" s="19">
        <v>0</v>
      </c>
      <c r="DZ461" s="19">
        <v>0</v>
      </c>
      <c r="EA461" s="19">
        <v>0</v>
      </c>
      <c r="EB461" s="19">
        <v>0</v>
      </c>
      <c r="EC461" s="19">
        <v>0</v>
      </c>
      <c r="ED461" s="19">
        <v>0</v>
      </c>
      <c r="EE461" s="19">
        <v>0</v>
      </c>
      <c r="EF461" s="19">
        <v>0</v>
      </c>
      <c r="EG461" s="19">
        <v>0</v>
      </c>
      <c r="EH461" s="19">
        <v>0</v>
      </c>
      <c r="EI461" s="19">
        <v>0</v>
      </c>
      <c r="EJ461" s="19">
        <v>0</v>
      </c>
      <c r="EK461" s="19">
        <v>0</v>
      </c>
      <c r="EL461" s="19">
        <v>0</v>
      </c>
      <c r="EM461" s="19">
        <v>0</v>
      </c>
      <c r="EN461" s="19">
        <v>0</v>
      </c>
      <c r="EO461" s="19">
        <v>0</v>
      </c>
      <c r="EP461" s="19">
        <v>0</v>
      </c>
      <c r="EQ461" s="19">
        <v>0</v>
      </c>
      <c r="ER461" s="19">
        <v>0</v>
      </c>
      <c r="ES461" s="119">
        <v>0</v>
      </c>
      <c r="ET461" s="119">
        <v>0</v>
      </c>
    </row>
    <row r="462" spans="1:150" ht="16.5" customHeight="1" x14ac:dyDescent="0.35">
      <c r="A462" s="4">
        <v>216</v>
      </c>
      <c r="B462" s="4" t="str">
        <f>LOOKUP(A462,Lookup!$A$1:$A$34,Lookup!$B$1:$B$34)</f>
        <v>BUTCH  WORS/MINCE/PAT</v>
      </c>
      <c r="C462" s="5">
        <v>60439</v>
      </c>
      <c r="D462" s="6" t="s">
        <v>439</v>
      </c>
      <c r="E462" s="18">
        <v>0</v>
      </c>
      <c r="F462" s="18">
        <v>0</v>
      </c>
      <c r="G462" s="18">
        <v>0</v>
      </c>
      <c r="H462" s="18">
        <v>0</v>
      </c>
      <c r="I462" s="19">
        <v>0</v>
      </c>
      <c r="J462" s="19">
        <v>0</v>
      </c>
      <c r="K462" s="19">
        <v>0</v>
      </c>
      <c r="L462" s="19">
        <v>0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0</v>
      </c>
      <c r="AA462" s="19">
        <v>0</v>
      </c>
      <c r="AB462" s="19">
        <v>0</v>
      </c>
      <c r="AC462" s="19">
        <v>0</v>
      </c>
      <c r="AD462" s="19">
        <v>0</v>
      </c>
      <c r="AE462" s="19">
        <v>0</v>
      </c>
      <c r="AF462" s="19">
        <v>0</v>
      </c>
      <c r="AG462" s="19">
        <v>0</v>
      </c>
      <c r="AH462" s="19">
        <v>0</v>
      </c>
      <c r="AI462" s="19">
        <v>0</v>
      </c>
      <c r="AJ462" s="19">
        <v>0</v>
      </c>
      <c r="AK462" s="19">
        <v>0</v>
      </c>
      <c r="AL462" s="19">
        <v>0</v>
      </c>
      <c r="AM462" s="19">
        <v>0</v>
      </c>
      <c r="AN462" s="19">
        <v>0</v>
      </c>
      <c r="AO462" s="19">
        <v>0</v>
      </c>
      <c r="AP462" s="19">
        <v>0</v>
      </c>
      <c r="AQ462" s="19">
        <v>0</v>
      </c>
      <c r="AR462" s="19">
        <v>0</v>
      </c>
      <c r="AS462" s="19">
        <v>0</v>
      </c>
      <c r="AT462" s="19">
        <v>0</v>
      </c>
      <c r="AU462" s="19">
        <v>0</v>
      </c>
      <c r="AV462" s="19">
        <v>0</v>
      </c>
      <c r="AW462" s="19">
        <v>0</v>
      </c>
      <c r="AX462" s="19">
        <v>0</v>
      </c>
      <c r="AY462" s="19">
        <v>0</v>
      </c>
      <c r="AZ462" s="19">
        <v>0</v>
      </c>
      <c r="BA462" s="19">
        <v>0</v>
      </c>
      <c r="BB462" s="19">
        <v>0</v>
      </c>
      <c r="BC462" s="19">
        <v>0</v>
      </c>
      <c r="BD462" s="19">
        <v>0</v>
      </c>
      <c r="BE462" s="19">
        <v>0</v>
      </c>
      <c r="BF462" s="19">
        <v>0</v>
      </c>
      <c r="BG462" s="19">
        <v>0</v>
      </c>
      <c r="BH462" s="19">
        <v>0</v>
      </c>
      <c r="BI462" s="19">
        <v>0</v>
      </c>
      <c r="BJ462" s="19">
        <v>0</v>
      </c>
      <c r="BK462" s="19">
        <v>0</v>
      </c>
      <c r="BL462" s="19">
        <v>0</v>
      </c>
      <c r="BM462" s="19">
        <v>0</v>
      </c>
      <c r="BN462" s="19">
        <v>0</v>
      </c>
      <c r="BO462" s="19">
        <v>0</v>
      </c>
      <c r="BP462" s="19">
        <v>0</v>
      </c>
      <c r="BQ462" s="19">
        <v>0</v>
      </c>
      <c r="BR462" s="19">
        <v>0</v>
      </c>
      <c r="BS462" s="19">
        <v>0</v>
      </c>
      <c r="BT462" s="19">
        <v>0</v>
      </c>
      <c r="BU462" s="19">
        <v>0</v>
      </c>
      <c r="BV462" s="19">
        <v>0</v>
      </c>
      <c r="BW462" s="19">
        <v>0</v>
      </c>
      <c r="BX462" s="19">
        <v>0</v>
      </c>
      <c r="BY462" s="19">
        <v>0</v>
      </c>
      <c r="BZ462" s="19">
        <v>0</v>
      </c>
      <c r="CA462" s="19">
        <v>0</v>
      </c>
      <c r="CB462" s="19">
        <v>0</v>
      </c>
      <c r="CC462" s="19">
        <v>0</v>
      </c>
      <c r="CD462" s="19">
        <v>0</v>
      </c>
      <c r="CE462" s="19">
        <v>0</v>
      </c>
      <c r="CF462" s="19">
        <v>0</v>
      </c>
      <c r="CG462" s="19">
        <v>0</v>
      </c>
      <c r="CH462" s="19">
        <v>0</v>
      </c>
      <c r="CI462" s="19">
        <v>0</v>
      </c>
      <c r="CJ462" s="19">
        <v>0</v>
      </c>
      <c r="CK462" s="19">
        <v>0</v>
      </c>
      <c r="CL462" s="19">
        <v>0</v>
      </c>
      <c r="CM462" s="19">
        <v>0</v>
      </c>
      <c r="CN462" s="19">
        <v>0</v>
      </c>
      <c r="CO462" s="19">
        <v>0</v>
      </c>
      <c r="CP462" s="19">
        <v>0</v>
      </c>
      <c r="CQ462" s="19">
        <v>0</v>
      </c>
      <c r="CR462" s="19">
        <v>0</v>
      </c>
      <c r="CS462" s="19">
        <v>0</v>
      </c>
      <c r="CT462" s="19">
        <v>0</v>
      </c>
      <c r="CU462" s="19">
        <v>0</v>
      </c>
      <c r="CV462" s="19">
        <v>0</v>
      </c>
      <c r="CW462" s="19">
        <v>0</v>
      </c>
      <c r="CX462" s="19">
        <v>0</v>
      </c>
      <c r="CY462" s="19">
        <v>0</v>
      </c>
      <c r="CZ462" s="19">
        <v>0</v>
      </c>
      <c r="DA462" s="19">
        <v>0</v>
      </c>
      <c r="DB462" s="19">
        <v>0</v>
      </c>
      <c r="DC462" s="19">
        <v>0</v>
      </c>
      <c r="DD462" s="19">
        <v>0</v>
      </c>
      <c r="DE462" s="19">
        <v>0</v>
      </c>
      <c r="DF462" s="19">
        <v>0</v>
      </c>
      <c r="DG462" s="19">
        <v>0</v>
      </c>
      <c r="DH462" s="19">
        <v>0</v>
      </c>
      <c r="DI462" s="19">
        <v>0</v>
      </c>
      <c r="DJ462" s="19">
        <v>0</v>
      </c>
      <c r="DK462" s="19">
        <v>0</v>
      </c>
      <c r="DL462" s="19">
        <v>0</v>
      </c>
      <c r="DM462" s="19">
        <v>0</v>
      </c>
      <c r="DN462" s="19">
        <v>0</v>
      </c>
      <c r="DO462" s="19">
        <v>0</v>
      </c>
      <c r="DP462" s="19">
        <v>0</v>
      </c>
      <c r="DQ462" s="19">
        <v>0</v>
      </c>
      <c r="DR462" s="19">
        <v>0</v>
      </c>
      <c r="DS462" s="19">
        <v>0</v>
      </c>
      <c r="DT462" s="19">
        <v>0</v>
      </c>
      <c r="DU462" s="19">
        <v>0</v>
      </c>
      <c r="DV462" s="19">
        <v>0</v>
      </c>
      <c r="DW462" s="19">
        <v>0</v>
      </c>
      <c r="DX462" s="19">
        <v>0</v>
      </c>
      <c r="DY462" s="19">
        <v>0</v>
      </c>
      <c r="DZ462" s="19">
        <v>0</v>
      </c>
      <c r="EA462" s="19">
        <v>0</v>
      </c>
      <c r="EB462" s="19">
        <v>0</v>
      </c>
      <c r="EC462" s="19">
        <v>0</v>
      </c>
      <c r="ED462" s="19">
        <v>0</v>
      </c>
      <c r="EE462" s="19">
        <v>0</v>
      </c>
      <c r="EF462" s="19">
        <v>0</v>
      </c>
      <c r="EG462" s="19">
        <v>0</v>
      </c>
      <c r="EH462" s="19">
        <v>0</v>
      </c>
      <c r="EI462" s="19">
        <v>0</v>
      </c>
      <c r="EJ462" s="19">
        <v>0</v>
      </c>
      <c r="EK462" s="19">
        <v>0</v>
      </c>
      <c r="EL462" s="19">
        <v>0</v>
      </c>
      <c r="EM462" s="19">
        <v>0</v>
      </c>
      <c r="EN462" s="19">
        <v>0</v>
      </c>
      <c r="EO462" s="19">
        <v>0</v>
      </c>
      <c r="EP462" s="19">
        <v>0</v>
      </c>
      <c r="EQ462" s="19">
        <v>0</v>
      </c>
      <c r="ER462" s="19">
        <v>0</v>
      </c>
      <c r="ES462" s="119">
        <v>0</v>
      </c>
      <c r="ET462" s="119">
        <v>0</v>
      </c>
    </row>
    <row r="463" spans="1:150" ht="16.5" customHeight="1" x14ac:dyDescent="0.35">
      <c r="A463" s="4">
        <v>216</v>
      </c>
      <c r="B463" s="4" t="str">
        <f>LOOKUP(A463,Lookup!$A$1:$A$34,Lookup!$B$1:$B$34)</f>
        <v>BUTCH  WORS/MINCE/PAT</v>
      </c>
      <c r="C463" s="5">
        <v>60866</v>
      </c>
      <c r="D463" s="6" t="s">
        <v>440</v>
      </c>
      <c r="E463" s="18">
        <v>0</v>
      </c>
      <c r="F463" s="18">
        <v>0</v>
      </c>
      <c r="G463" s="18">
        <v>0</v>
      </c>
      <c r="H463" s="18">
        <v>0</v>
      </c>
      <c r="I463" s="19">
        <v>0</v>
      </c>
      <c r="J463" s="19">
        <v>0</v>
      </c>
      <c r="K463" s="19">
        <v>0</v>
      </c>
      <c r="L463" s="19">
        <v>0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>
        <v>0</v>
      </c>
      <c r="AC463" s="19">
        <v>0</v>
      </c>
      <c r="AD463" s="19">
        <v>0</v>
      </c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0</v>
      </c>
      <c r="AL463" s="19">
        <v>0</v>
      </c>
      <c r="AM463" s="19">
        <v>0</v>
      </c>
      <c r="AN463" s="19">
        <v>0</v>
      </c>
      <c r="AO463" s="19">
        <v>0</v>
      </c>
      <c r="AP463" s="19">
        <v>0</v>
      </c>
      <c r="AQ463" s="19">
        <v>0</v>
      </c>
      <c r="AR463" s="19">
        <v>0</v>
      </c>
      <c r="AS463" s="19">
        <v>0</v>
      </c>
      <c r="AT463" s="19">
        <v>0</v>
      </c>
      <c r="AU463" s="19">
        <v>0</v>
      </c>
      <c r="AV463" s="19">
        <v>0</v>
      </c>
      <c r="AW463" s="19">
        <v>0</v>
      </c>
      <c r="AX463" s="19">
        <v>0</v>
      </c>
      <c r="AY463" s="19">
        <v>0</v>
      </c>
      <c r="AZ463" s="19">
        <v>0</v>
      </c>
      <c r="BA463" s="19">
        <v>0</v>
      </c>
      <c r="BB463" s="19">
        <v>0</v>
      </c>
      <c r="BC463" s="19">
        <v>0</v>
      </c>
      <c r="BD463" s="19">
        <v>0</v>
      </c>
      <c r="BE463" s="19">
        <v>0</v>
      </c>
      <c r="BF463" s="19">
        <v>0</v>
      </c>
      <c r="BG463" s="19">
        <v>0</v>
      </c>
      <c r="BH463" s="19">
        <v>0</v>
      </c>
      <c r="BI463" s="19">
        <v>0</v>
      </c>
      <c r="BJ463" s="19">
        <v>0</v>
      </c>
      <c r="BK463" s="19">
        <v>0</v>
      </c>
      <c r="BL463" s="19">
        <v>0</v>
      </c>
      <c r="BM463" s="19">
        <v>0</v>
      </c>
      <c r="BN463" s="19">
        <v>0</v>
      </c>
      <c r="BO463" s="19">
        <v>0</v>
      </c>
      <c r="BP463" s="19">
        <v>0</v>
      </c>
      <c r="BQ463" s="19">
        <v>0</v>
      </c>
      <c r="BR463" s="19">
        <v>0</v>
      </c>
      <c r="BS463" s="19">
        <v>0</v>
      </c>
      <c r="BT463" s="19">
        <v>0</v>
      </c>
      <c r="BU463" s="19">
        <v>0</v>
      </c>
      <c r="BV463" s="19">
        <v>0</v>
      </c>
      <c r="BW463" s="19">
        <v>0</v>
      </c>
      <c r="BX463" s="19">
        <v>0</v>
      </c>
      <c r="BY463" s="19">
        <v>0</v>
      </c>
      <c r="BZ463" s="19">
        <v>0</v>
      </c>
      <c r="CA463" s="19">
        <v>0</v>
      </c>
      <c r="CB463" s="19">
        <v>0</v>
      </c>
      <c r="CC463" s="19">
        <v>0</v>
      </c>
      <c r="CD463" s="19">
        <v>0</v>
      </c>
      <c r="CE463" s="19">
        <v>0</v>
      </c>
      <c r="CF463" s="19">
        <v>0</v>
      </c>
      <c r="CG463" s="19">
        <v>0</v>
      </c>
      <c r="CH463" s="19">
        <v>0</v>
      </c>
      <c r="CI463" s="19">
        <v>0</v>
      </c>
      <c r="CJ463" s="19">
        <v>0</v>
      </c>
      <c r="CK463" s="19">
        <v>0</v>
      </c>
      <c r="CL463" s="19">
        <v>0</v>
      </c>
      <c r="CM463" s="19">
        <v>0</v>
      </c>
      <c r="CN463" s="19">
        <v>0</v>
      </c>
      <c r="CO463" s="19">
        <v>0</v>
      </c>
      <c r="CP463" s="19">
        <v>0</v>
      </c>
      <c r="CQ463" s="19">
        <v>0</v>
      </c>
      <c r="CR463" s="19">
        <v>0</v>
      </c>
      <c r="CS463" s="19">
        <v>0</v>
      </c>
      <c r="CT463" s="19">
        <v>0</v>
      </c>
      <c r="CU463" s="19">
        <v>0</v>
      </c>
      <c r="CV463" s="19">
        <v>0</v>
      </c>
      <c r="CW463" s="19">
        <v>0</v>
      </c>
      <c r="CX463" s="19">
        <v>0</v>
      </c>
      <c r="CY463" s="19">
        <v>0</v>
      </c>
      <c r="CZ463" s="19">
        <v>0</v>
      </c>
      <c r="DA463" s="19">
        <v>0</v>
      </c>
      <c r="DB463" s="19">
        <v>0</v>
      </c>
      <c r="DC463" s="19">
        <v>0</v>
      </c>
      <c r="DD463" s="19">
        <v>0</v>
      </c>
      <c r="DE463" s="19">
        <v>0</v>
      </c>
      <c r="DF463" s="19">
        <v>0</v>
      </c>
      <c r="DG463" s="19">
        <v>0</v>
      </c>
      <c r="DH463" s="19">
        <v>0</v>
      </c>
      <c r="DI463" s="19">
        <v>0</v>
      </c>
      <c r="DJ463" s="19">
        <v>0</v>
      </c>
      <c r="DK463" s="19">
        <v>0</v>
      </c>
      <c r="DL463" s="19">
        <v>0</v>
      </c>
      <c r="DM463" s="19">
        <v>0</v>
      </c>
      <c r="DN463" s="19">
        <v>0</v>
      </c>
      <c r="DO463" s="19">
        <v>0</v>
      </c>
      <c r="DP463" s="19">
        <v>0</v>
      </c>
      <c r="DQ463" s="19">
        <v>0</v>
      </c>
      <c r="DR463" s="19">
        <v>0</v>
      </c>
      <c r="DS463" s="19">
        <v>0</v>
      </c>
      <c r="DT463" s="19">
        <v>0</v>
      </c>
      <c r="DU463" s="19">
        <v>0</v>
      </c>
      <c r="DV463" s="19">
        <v>0</v>
      </c>
      <c r="DW463" s="19">
        <v>0</v>
      </c>
      <c r="DX463" s="19">
        <v>0</v>
      </c>
      <c r="DY463" s="19">
        <v>0</v>
      </c>
      <c r="DZ463" s="19">
        <v>0</v>
      </c>
      <c r="EA463" s="19">
        <v>0</v>
      </c>
      <c r="EB463" s="19">
        <v>0</v>
      </c>
      <c r="EC463" s="19">
        <v>0</v>
      </c>
      <c r="ED463" s="19">
        <v>0</v>
      </c>
      <c r="EE463" s="19">
        <v>0</v>
      </c>
      <c r="EF463" s="19">
        <v>0</v>
      </c>
      <c r="EG463" s="19">
        <v>0</v>
      </c>
      <c r="EH463" s="19">
        <v>0</v>
      </c>
      <c r="EI463" s="19">
        <v>0</v>
      </c>
      <c r="EJ463" s="19">
        <v>0</v>
      </c>
      <c r="EK463" s="19">
        <v>0</v>
      </c>
      <c r="EL463" s="19">
        <v>0</v>
      </c>
      <c r="EM463" s="19">
        <v>0</v>
      </c>
      <c r="EN463" s="19">
        <v>0</v>
      </c>
      <c r="EO463" s="19">
        <v>0</v>
      </c>
      <c r="EP463" s="19">
        <v>0</v>
      </c>
      <c r="EQ463" s="19">
        <v>0</v>
      </c>
      <c r="ER463" s="19">
        <v>0</v>
      </c>
      <c r="ES463" s="119">
        <v>0</v>
      </c>
      <c r="ET463" s="119">
        <v>0</v>
      </c>
    </row>
    <row r="464" spans="1:150" ht="16.5" customHeight="1" x14ac:dyDescent="0.35">
      <c r="A464" s="4">
        <v>216</v>
      </c>
      <c r="B464" s="4" t="str">
        <f>LOOKUP(A464,Lookup!$A$1:$A$34,Lookup!$B$1:$B$34)</f>
        <v>BUTCH  WORS/MINCE/PAT</v>
      </c>
      <c r="C464" s="5">
        <v>60886</v>
      </c>
      <c r="D464" s="6" t="s">
        <v>441</v>
      </c>
      <c r="E464" s="18">
        <v>1793.9922128487999</v>
      </c>
      <c r="F464" s="18">
        <v>16.119</v>
      </c>
      <c r="G464" s="18">
        <v>120197.47826087</v>
      </c>
      <c r="H464" s="18">
        <v>1079.9760000000001</v>
      </c>
      <c r="I464" s="19">
        <v>0</v>
      </c>
      <c r="J464" s="19">
        <v>0</v>
      </c>
      <c r="K464" s="19">
        <v>0</v>
      </c>
      <c r="L464" s="19">
        <v>0</v>
      </c>
      <c r="M464" s="19">
        <v>0</v>
      </c>
      <c r="N464" s="19">
        <v>0</v>
      </c>
      <c r="O464" s="19">
        <v>0</v>
      </c>
      <c r="P464" s="19">
        <v>0</v>
      </c>
      <c r="Q464" s="19">
        <v>3392.51304347826</v>
      </c>
      <c r="R464" s="19">
        <v>33.636000000000003</v>
      </c>
      <c r="S464" s="19">
        <v>2588.2782608695702</v>
      </c>
      <c r="T464" s="19">
        <v>25.661999999999999</v>
      </c>
      <c r="U464" s="19">
        <v>1859.46956521739</v>
      </c>
      <c r="V464" s="19">
        <v>18.436</v>
      </c>
      <c r="W464" s="19">
        <v>1189.94782608696</v>
      </c>
      <c r="X464" s="19">
        <v>11.798</v>
      </c>
      <c r="Y464" s="19">
        <v>2935.04347826087</v>
      </c>
      <c r="Z464" s="19">
        <v>29.1</v>
      </c>
      <c r="AA464" s="19">
        <v>1373.3391304347799</v>
      </c>
      <c r="AB464" s="19">
        <v>13.616</v>
      </c>
      <c r="AC464" s="19">
        <v>1710.3913043478301</v>
      </c>
      <c r="AD464" s="19">
        <v>16.957999999999998</v>
      </c>
      <c r="AE464" s="19">
        <v>1267.21739130435</v>
      </c>
      <c r="AF464" s="19">
        <v>12.564</v>
      </c>
      <c r="AG464" s="19">
        <v>2256.8782608695701</v>
      </c>
      <c r="AH464" s="19">
        <v>22.376000000000001</v>
      </c>
      <c r="AI464" s="19">
        <v>1655.3478260869599</v>
      </c>
      <c r="AJ464" s="19">
        <v>16.411999999999999</v>
      </c>
      <c r="AK464" s="19">
        <v>1330.77391304348</v>
      </c>
      <c r="AL464" s="19">
        <v>13.194000000000001</v>
      </c>
      <c r="AM464" s="19">
        <v>1877.4086956521701</v>
      </c>
      <c r="AN464" s="19">
        <v>18.614000000000001</v>
      </c>
      <c r="AO464" s="19">
        <v>1600.25217391304</v>
      </c>
      <c r="AP464" s="19">
        <v>15.866</v>
      </c>
      <c r="AQ464" s="19">
        <v>2768.8434782608701</v>
      </c>
      <c r="AR464" s="19">
        <v>27.452000000000002</v>
      </c>
      <c r="AS464" s="19">
        <v>1680.5652173912999</v>
      </c>
      <c r="AT464" s="19">
        <v>16.661999999999999</v>
      </c>
      <c r="AU464" s="19">
        <v>1978.52173913043</v>
      </c>
      <c r="AV464" s="19">
        <v>19.616</v>
      </c>
      <c r="AW464" s="19">
        <v>3560.2173913043498</v>
      </c>
      <c r="AX464" s="19">
        <v>35.298000000000002</v>
      </c>
      <c r="AY464" s="19">
        <v>1679.8</v>
      </c>
      <c r="AZ464" s="19">
        <v>16.152999999999999</v>
      </c>
      <c r="BA464" s="19">
        <v>1065.1652173913001</v>
      </c>
      <c r="BB464" s="19">
        <v>10.208</v>
      </c>
      <c r="BC464" s="19">
        <v>1485.9130434782601</v>
      </c>
      <c r="BD464" s="19">
        <v>13.561</v>
      </c>
      <c r="BE464" s="19">
        <v>1442.6347826087001</v>
      </c>
      <c r="BF464" s="19">
        <v>12.762</v>
      </c>
      <c r="BG464" s="19">
        <v>1261.1652173913001</v>
      </c>
      <c r="BH464" s="19">
        <v>10.388999999999999</v>
      </c>
      <c r="BI464" s="19">
        <v>1123.6260869565201</v>
      </c>
      <c r="BJ464" s="19">
        <v>9.23</v>
      </c>
      <c r="BK464" s="19">
        <v>1409.47826086957</v>
      </c>
      <c r="BL464" s="19">
        <v>11.577999999999999</v>
      </c>
      <c r="BM464" s="19">
        <v>1508.30434782609</v>
      </c>
      <c r="BN464" s="19">
        <v>12.39</v>
      </c>
      <c r="BO464" s="19">
        <v>2582.0782608695699</v>
      </c>
      <c r="BP464" s="19">
        <v>21.21</v>
      </c>
      <c r="BQ464" s="19">
        <v>2181.0695652173899</v>
      </c>
      <c r="BR464" s="19">
        <v>17.916</v>
      </c>
      <c r="BS464" s="19">
        <v>1242.71304347826</v>
      </c>
      <c r="BT464" s="19">
        <v>10.208</v>
      </c>
      <c r="BU464" s="19">
        <v>1214.8347826086999</v>
      </c>
      <c r="BV464" s="19">
        <v>10.58</v>
      </c>
      <c r="BW464" s="19">
        <v>1468.4260869565201</v>
      </c>
      <c r="BX464" s="19">
        <v>12.99</v>
      </c>
      <c r="BY464" s="19">
        <v>2614.6956521739098</v>
      </c>
      <c r="BZ464" s="19">
        <v>23.13</v>
      </c>
      <c r="CA464" s="19">
        <v>2005.1565217391301</v>
      </c>
      <c r="CB464" s="19">
        <v>17.738</v>
      </c>
      <c r="CC464" s="19">
        <v>1612.8956521739101</v>
      </c>
      <c r="CD464" s="19">
        <v>14.268000000000001</v>
      </c>
      <c r="CE464" s="19">
        <v>1342.95652173913</v>
      </c>
      <c r="CF464" s="19">
        <v>11.88</v>
      </c>
      <c r="CG464" s="19">
        <v>2722.7652173913002</v>
      </c>
      <c r="CH464" s="19">
        <v>24.085999999999999</v>
      </c>
      <c r="CI464" s="19">
        <v>985.28695652173894</v>
      </c>
      <c r="CJ464" s="19">
        <v>8.7159999999999993</v>
      </c>
      <c r="CK464" s="19">
        <v>1822.1913043478301</v>
      </c>
      <c r="CL464" s="19">
        <v>16.12</v>
      </c>
      <c r="CM464" s="19">
        <v>1212.73043478261</v>
      </c>
      <c r="CN464" s="19">
        <v>10.728</v>
      </c>
      <c r="CO464" s="19">
        <v>2150.0782608695599</v>
      </c>
      <c r="CP464" s="19">
        <v>19.02</v>
      </c>
      <c r="CQ464" s="19">
        <v>1732.25217391304</v>
      </c>
      <c r="CR464" s="19">
        <v>15.324</v>
      </c>
      <c r="CS464" s="19">
        <v>1999.94782608696</v>
      </c>
      <c r="CT464" s="19">
        <v>17.692</v>
      </c>
      <c r="CU464" s="19">
        <v>1693.20869565217</v>
      </c>
      <c r="CV464" s="19">
        <v>14.74</v>
      </c>
      <c r="CW464" s="19">
        <v>1038.0695652173899</v>
      </c>
      <c r="CX464" s="19">
        <v>8.7789999999999999</v>
      </c>
      <c r="CY464" s="19">
        <v>3350.1043478260899</v>
      </c>
      <c r="CZ464" s="19">
        <v>28.33</v>
      </c>
      <c r="DA464" s="19">
        <v>2803.04347826087</v>
      </c>
      <c r="DB464" s="19">
        <v>23.704000000000001</v>
      </c>
      <c r="DC464" s="19">
        <v>1079.8869565217401</v>
      </c>
      <c r="DD464" s="19">
        <v>8.6609999999999996</v>
      </c>
      <c r="DE464" s="19">
        <v>1075.77391304348</v>
      </c>
      <c r="DF464" s="19">
        <v>8.532</v>
      </c>
      <c r="DG464" s="19">
        <v>3264.8956521739101</v>
      </c>
      <c r="DH464" s="19">
        <v>25.893999999999998</v>
      </c>
      <c r="DI464" s="19">
        <v>2675.3130434782602</v>
      </c>
      <c r="DJ464" s="19">
        <v>21.218</v>
      </c>
      <c r="DK464" s="19">
        <v>1408.6434782608701</v>
      </c>
      <c r="DL464" s="19">
        <v>11.172000000000001</v>
      </c>
      <c r="DM464" s="19">
        <v>726.26086956521704</v>
      </c>
      <c r="DN464" s="19">
        <v>5.76</v>
      </c>
      <c r="DO464" s="19">
        <v>1081.71304347826</v>
      </c>
      <c r="DP464" s="19">
        <v>8.8849999999999998</v>
      </c>
      <c r="DQ464" s="19">
        <v>1127.54782608696</v>
      </c>
      <c r="DR464" s="19">
        <v>9.2620000000000005</v>
      </c>
      <c r="DS464" s="19">
        <v>2117.7739130434802</v>
      </c>
      <c r="DT464" s="19">
        <v>17.396000000000001</v>
      </c>
      <c r="DU464" s="19">
        <v>1277.77391304348</v>
      </c>
      <c r="DV464" s="19">
        <v>10.496</v>
      </c>
      <c r="DW464" s="19">
        <v>1337.04347826087</v>
      </c>
      <c r="DX464" s="19">
        <v>11.728</v>
      </c>
      <c r="DY464" s="19">
        <v>1625.1130434782599</v>
      </c>
      <c r="DZ464" s="19">
        <v>14.375999999999999</v>
      </c>
      <c r="EA464" s="19">
        <v>2301.7913043478302</v>
      </c>
      <c r="EB464" s="19">
        <v>20.361999999999998</v>
      </c>
      <c r="EC464" s="19">
        <v>1438.8173913043499</v>
      </c>
      <c r="ED464" s="19">
        <v>12.728</v>
      </c>
      <c r="EE464" s="19">
        <v>1207.53043478261</v>
      </c>
      <c r="EF464" s="19">
        <v>10.682</v>
      </c>
      <c r="EG464" s="19">
        <v>3047.8782608695701</v>
      </c>
      <c r="EH464" s="19">
        <v>26.962</v>
      </c>
      <c r="EI464" s="19">
        <v>2186.7130434782598</v>
      </c>
      <c r="EJ464" s="19">
        <v>19.344000000000001</v>
      </c>
      <c r="EK464" s="19">
        <v>1189.6695652173901</v>
      </c>
      <c r="EL464" s="19">
        <v>10.523999999999999</v>
      </c>
      <c r="EM464" s="19">
        <v>1381.6</v>
      </c>
      <c r="EN464" s="19">
        <v>12.222</v>
      </c>
      <c r="EO464" s="19">
        <v>1799.8782608695601</v>
      </c>
      <c r="EP464" s="19">
        <v>15.922000000000001</v>
      </c>
      <c r="EQ464" s="19">
        <v>1548.46956521739</v>
      </c>
      <c r="ER464" s="19">
        <v>13.698</v>
      </c>
      <c r="ES464" s="119">
        <v>2003.3565217391299</v>
      </c>
      <c r="ET464" s="119">
        <v>17.722000000000001</v>
      </c>
    </row>
    <row r="465" spans="1:150" ht="16.5" customHeight="1" x14ac:dyDescent="0.35">
      <c r="A465" s="4">
        <v>216</v>
      </c>
      <c r="B465" s="4" t="str">
        <f>LOOKUP(A465,Lookup!$A$1:$A$34,Lookup!$B$1:$B$34)</f>
        <v>BUTCH  WORS/MINCE/PAT</v>
      </c>
      <c r="C465" s="5">
        <v>60887</v>
      </c>
      <c r="D465" s="6" t="s">
        <v>442</v>
      </c>
      <c r="E465" s="18">
        <v>2155.90343932511</v>
      </c>
      <c r="F465" s="18">
        <v>20.940999999999999</v>
      </c>
      <c r="G465" s="18">
        <v>144445.530434783</v>
      </c>
      <c r="H465" s="18">
        <v>1403.0650000000001</v>
      </c>
      <c r="I465" s="19">
        <v>0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0</v>
      </c>
      <c r="P465" s="19">
        <v>0</v>
      </c>
      <c r="Q465" s="19">
        <v>3918.2956521739102</v>
      </c>
      <c r="R465" s="19">
        <v>42.514000000000003</v>
      </c>
      <c r="S465" s="19">
        <v>2566.2434782608698</v>
      </c>
      <c r="T465" s="19">
        <v>27.844000000000001</v>
      </c>
      <c r="U465" s="19">
        <v>2319.6173913043499</v>
      </c>
      <c r="V465" s="19">
        <v>25.167999999999999</v>
      </c>
      <c r="W465" s="19">
        <v>2123.3043478260902</v>
      </c>
      <c r="X465" s="19">
        <v>23.038</v>
      </c>
      <c r="Y465" s="19">
        <v>3753.1391304347799</v>
      </c>
      <c r="Z465" s="19">
        <v>40.722000000000001</v>
      </c>
      <c r="AA465" s="19">
        <v>1541.72173913044</v>
      </c>
      <c r="AB465" s="19">
        <v>16.728000000000002</v>
      </c>
      <c r="AC465" s="19">
        <v>1261.3739130434799</v>
      </c>
      <c r="AD465" s="19">
        <v>13.686</v>
      </c>
      <c r="AE465" s="19">
        <v>2216.5739130434799</v>
      </c>
      <c r="AF465" s="19">
        <v>24.05</v>
      </c>
      <c r="AG465" s="19">
        <v>2227.0608695652199</v>
      </c>
      <c r="AH465" s="19">
        <v>24.164000000000001</v>
      </c>
      <c r="AI465" s="19">
        <v>2199.0608695652199</v>
      </c>
      <c r="AJ465" s="19">
        <v>23.86</v>
      </c>
      <c r="AK465" s="19">
        <v>1336.01739130435</v>
      </c>
      <c r="AL465" s="19">
        <v>14.496</v>
      </c>
      <c r="AM465" s="19">
        <v>2199.6086956521699</v>
      </c>
      <c r="AN465" s="19">
        <v>23.866</v>
      </c>
      <c r="AO465" s="19">
        <v>1679.4260869565201</v>
      </c>
      <c r="AP465" s="19">
        <v>18.222000000000001</v>
      </c>
      <c r="AQ465" s="19">
        <v>2779.3565217391301</v>
      </c>
      <c r="AR465" s="19">
        <v>30.155999999999999</v>
      </c>
      <c r="AS465" s="19">
        <v>1519.46956521739</v>
      </c>
      <c r="AT465" s="19">
        <v>16.486000000000001</v>
      </c>
      <c r="AU465" s="19">
        <v>2228.3826086956501</v>
      </c>
      <c r="AV465" s="19">
        <v>24.178000000000001</v>
      </c>
      <c r="AW465" s="19">
        <v>3480.8782608695701</v>
      </c>
      <c r="AX465" s="19">
        <v>37.768000000000001</v>
      </c>
      <c r="AY465" s="19">
        <v>3557.3391304347801</v>
      </c>
      <c r="AZ465" s="19">
        <v>37.640999999999998</v>
      </c>
      <c r="BA465" s="19">
        <v>2304.94782608696</v>
      </c>
      <c r="BB465" s="19">
        <v>24.1</v>
      </c>
      <c r="BC465" s="19">
        <v>1503.1304347826101</v>
      </c>
      <c r="BD465" s="19">
        <v>14.712</v>
      </c>
      <c r="BE465" s="19">
        <v>2330.6434782608699</v>
      </c>
      <c r="BF465" s="19">
        <v>22.338000000000001</v>
      </c>
      <c r="BG465" s="19">
        <v>2073.2434782608698</v>
      </c>
      <c r="BH465" s="19">
        <v>18.436</v>
      </c>
      <c r="BI465" s="19">
        <v>1489.77391304348</v>
      </c>
      <c r="BJ465" s="19">
        <v>13.18</v>
      </c>
      <c r="BK465" s="19">
        <v>2368.6869565217398</v>
      </c>
      <c r="BL465" s="19">
        <v>20.956</v>
      </c>
      <c r="BM465" s="19">
        <v>1652.27826086957</v>
      </c>
      <c r="BN465" s="19">
        <v>14.618</v>
      </c>
      <c r="BO465" s="19">
        <v>2671.3652173913001</v>
      </c>
      <c r="BP465" s="19">
        <v>23.634</v>
      </c>
      <c r="BQ465" s="19">
        <v>2835.6869565217398</v>
      </c>
      <c r="BR465" s="19">
        <v>25.088000000000001</v>
      </c>
      <c r="BS465" s="19">
        <v>1676.9043478260901</v>
      </c>
      <c r="BT465" s="19">
        <v>14.836</v>
      </c>
      <c r="BU465" s="19">
        <v>1436.00869565217</v>
      </c>
      <c r="BV465" s="19">
        <v>13.523</v>
      </c>
      <c r="BW465" s="19">
        <v>3950.02608695652</v>
      </c>
      <c r="BX465" s="19">
        <v>37.857999999999997</v>
      </c>
      <c r="BY465" s="19">
        <v>3155.2782608695602</v>
      </c>
      <c r="BZ465" s="19">
        <v>30.242000000000001</v>
      </c>
      <c r="CA465" s="19">
        <v>2179.9304347826101</v>
      </c>
      <c r="CB465" s="19">
        <v>20.893999999999998</v>
      </c>
      <c r="CC465" s="19">
        <v>1749.8782608695701</v>
      </c>
      <c r="CD465" s="19">
        <v>16.771999999999998</v>
      </c>
      <c r="CE465" s="19">
        <v>889.96521739130401</v>
      </c>
      <c r="CF465" s="19">
        <v>8.5299999999999994</v>
      </c>
      <c r="CG465" s="19">
        <v>3553.7913043478302</v>
      </c>
      <c r="CH465" s="19">
        <v>34.061999999999998</v>
      </c>
      <c r="CI465" s="19">
        <v>1552.26086956522</v>
      </c>
      <c r="CJ465" s="19">
        <v>14.878</v>
      </c>
      <c r="CK465" s="19">
        <v>1657.8782608695701</v>
      </c>
      <c r="CL465" s="19">
        <v>15.89</v>
      </c>
      <c r="CM465" s="19">
        <v>1471.53043478261</v>
      </c>
      <c r="CN465" s="19">
        <v>14.103999999999999</v>
      </c>
      <c r="CO465" s="19">
        <v>2784.48695652174</v>
      </c>
      <c r="CP465" s="19">
        <v>26.687999999999999</v>
      </c>
      <c r="CQ465" s="19">
        <v>2310.3826086956501</v>
      </c>
      <c r="CR465" s="19">
        <v>22.143999999999998</v>
      </c>
      <c r="CS465" s="19">
        <v>1878.4434782608701</v>
      </c>
      <c r="CT465" s="19">
        <v>18.004000000000001</v>
      </c>
      <c r="CU465" s="19">
        <v>1933.1391304347801</v>
      </c>
      <c r="CV465" s="19">
        <v>18.198</v>
      </c>
      <c r="CW465" s="19">
        <v>1134.3565217391299</v>
      </c>
      <c r="CX465" s="19">
        <v>10.036</v>
      </c>
      <c r="CY465" s="19">
        <v>3881.4260869565201</v>
      </c>
      <c r="CZ465" s="19">
        <v>34.340000000000003</v>
      </c>
      <c r="DA465" s="19">
        <v>2240.00869565217</v>
      </c>
      <c r="DB465" s="19">
        <v>19.818000000000001</v>
      </c>
      <c r="DC465" s="19">
        <v>1874.25217391304</v>
      </c>
      <c r="DD465" s="19">
        <v>16.161000000000001</v>
      </c>
      <c r="DE465" s="19">
        <v>2979.8608695652201</v>
      </c>
      <c r="DF465" s="19">
        <v>25.384</v>
      </c>
      <c r="DG465" s="19">
        <v>3317.7130434782598</v>
      </c>
      <c r="DH465" s="19">
        <v>28.262</v>
      </c>
      <c r="DI465" s="19">
        <v>3955.1478260869599</v>
      </c>
      <c r="DJ465" s="19">
        <v>33.692</v>
      </c>
      <c r="DK465" s="19">
        <v>1342.95652173913</v>
      </c>
      <c r="DL465" s="19">
        <v>11.44</v>
      </c>
      <c r="DM465" s="19">
        <v>1180.25217391304</v>
      </c>
      <c r="DN465" s="19">
        <v>10.054</v>
      </c>
      <c r="DO465" s="19">
        <v>1487.47826086957</v>
      </c>
      <c r="DP465" s="19">
        <v>13.077999999999999</v>
      </c>
      <c r="DQ465" s="19">
        <v>1957.20869565217</v>
      </c>
      <c r="DR465" s="19">
        <v>17.315999999999999</v>
      </c>
      <c r="DS465" s="19">
        <v>1090.73913043478</v>
      </c>
      <c r="DT465" s="19">
        <v>9.65</v>
      </c>
      <c r="DU465" s="19">
        <v>1490.8608695652199</v>
      </c>
      <c r="DV465" s="19">
        <v>13.19</v>
      </c>
      <c r="DW465" s="19">
        <v>1481.51304347826</v>
      </c>
      <c r="DX465" s="19">
        <v>13.826000000000001</v>
      </c>
      <c r="DY465" s="19">
        <v>1900.97391304348</v>
      </c>
      <c r="DZ465" s="19">
        <v>18.22</v>
      </c>
      <c r="EA465" s="19">
        <v>2089.5913043478299</v>
      </c>
      <c r="EB465" s="19">
        <v>20.027999999999999</v>
      </c>
      <c r="EC465" s="19">
        <v>1407.05217391304</v>
      </c>
      <c r="ED465" s="19">
        <v>13.486000000000001</v>
      </c>
      <c r="EE465" s="19">
        <v>1116.78260869565</v>
      </c>
      <c r="EF465" s="19">
        <v>10.704000000000001</v>
      </c>
      <c r="EG465" s="19">
        <v>2380.52173913043</v>
      </c>
      <c r="EH465" s="19">
        <v>22.815999999999999</v>
      </c>
      <c r="EI465" s="19">
        <v>2166.3913043478301</v>
      </c>
      <c r="EJ465" s="19">
        <v>20.763999999999999</v>
      </c>
      <c r="EK465" s="19">
        <v>2564.99130434783</v>
      </c>
      <c r="EL465" s="19">
        <v>24.584</v>
      </c>
      <c r="EM465" s="19">
        <v>1281.02608695652</v>
      </c>
      <c r="EN465" s="19">
        <v>12.278</v>
      </c>
      <c r="EO465" s="19">
        <v>2632.7826086956502</v>
      </c>
      <c r="EP465" s="19">
        <v>25.234000000000002</v>
      </c>
      <c r="EQ465" s="19">
        <v>2413.05217391304</v>
      </c>
      <c r="ER465" s="19">
        <v>23.128</v>
      </c>
      <c r="ES465" s="119">
        <v>1152.8956521739101</v>
      </c>
      <c r="ET465" s="119">
        <v>11.05</v>
      </c>
    </row>
    <row r="466" spans="1:150" ht="16.5" customHeight="1" x14ac:dyDescent="0.35">
      <c r="A466" s="4">
        <v>216</v>
      </c>
      <c r="B466" s="4" t="str">
        <f>LOOKUP(A466,Lookup!$A$1:$A$34,Lookup!$B$1:$B$34)</f>
        <v>BUTCH  WORS/MINCE/PAT</v>
      </c>
      <c r="C466" s="5">
        <v>62009</v>
      </c>
      <c r="D466" s="6" t="s">
        <v>443</v>
      </c>
      <c r="E466" s="18">
        <v>1009.52795031056</v>
      </c>
      <c r="F466" s="18">
        <v>9.1959999999999997</v>
      </c>
      <c r="G466" s="18">
        <v>56533.565217391297</v>
      </c>
      <c r="H466" s="18">
        <v>514.97400000000005</v>
      </c>
      <c r="I466" s="19">
        <v>0</v>
      </c>
      <c r="J466" s="19">
        <v>0</v>
      </c>
      <c r="K466" s="19">
        <v>0</v>
      </c>
      <c r="L466" s="19">
        <v>0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0</v>
      </c>
      <c r="AA466" s="19">
        <v>0</v>
      </c>
      <c r="AB466" s="19">
        <v>0</v>
      </c>
      <c r="AC466" s="19">
        <v>0</v>
      </c>
      <c r="AD466" s="19">
        <v>0</v>
      </c>
      <c r="AE466" s="19">
        <v>0</v>
      </c>
      <c r="AF466" s="19">
        <v>0</v>
      </c>
      <c r="AG466" s="19">
        <v>0</v>
      </c>
      <c r="AH466" s="19">
        <v>0</v>
      </c>
      <c r="AI466" s="19">
        <v>0</v>
      </c>
      <c r="AJ466" s="19">
        <v>0</v>
      </c>
      <c r="AK466" s="19">
        <v>0</v>
      </c>
      <c r="AL466" s="19">
        <v>0</v>
      </c>
      <c r="AM466" s="19">
        <v>652.52173913043498</v>
      </c>
      <c r="AN466" s="19">
        <v>7.5039999999999996</v>
      </c>
      <c r="AO466" s="19">
        <v>1724.1130434782599</v>
      </c>
      <c r="AP466" s="19">
        <v>19.829000000000001</v>
      </c>
      <c r="AQ466" s="19">
        <v>3418.0608695652199</v>
      </c>
      <c r="AR466" s="19">
        <v>39.311</v>
      </c>
      <c r="AS466" s="19">
        <v>1793.1304347826101</v>
      </c>
      <c r="AT466" s="19">
        <v>18.603999999999999</v>
      </c>
      <c r="AU466" s="19">
        <v>1512.1478260869601</v>
      </c>
      <c r="AV466" s="19">
        <v>14.492000000000001</v>
      </c>
      <c r="AW466" s="19">
        <v>1285.3478260869599</v>
      </c>
      <c r="AX466" s="19">
        <v>12.318</v>
      </c>
      <c r="AY466" s="19">
        <v>1599.1913043478301</v>
      </c>
      <c r="AZ466" s="19">
        <v>15.326000000000001</v>
      </c>
      <c r="BA466" s="19">
        <v>1437.4260869565201</v>
      </c>
      <c r="BB466" s="19">
        <v>13.776</v>
      </c>
      <c r="BC466" s="19">
        <v>1637.94782608696</v>
      </c>
      <c r="BD466" s="19">
        <v>14.738</v>
      </c>
      <c r="BE466" s="19">
        <v>995.21739130434798</v>
      </c>
      <c r="BF466" s="19">
        <v>8.8040000000000003</v>
      </c>
      <c r="BG466" s="19">
        <v>1387.6434782608701</v>
      </c>
      <c r="BH466" s="19">
        <v>12.276</v>
      </c>
      <c r="BI466" s="19">
        <v>1135.8086956521699</v>
      </c>
      <c r="BJ466" s="19">
        <v>10.048</v>
      </c>
      <c r="BK466" s="19">
        <v>1392.4260869565201</v>
      </c>
      <c r="BL466" s="19">
        <v>12.318</v>
      </c>
      <c r="BM466" s="19">
        <v>1410.3130434782599</v>
      </c>
      <c r="BN466" s="19">
        <v>12.476000000000001</v>
      </c>
      <c r="BO466" s="19">
        <v>1016</v>
      </c>
      <c r="BP466" s="19">
        <v>8.9879999999999995</v>
      </c>
      <c r="BQ466" s="19">
        <v>1619.9043478260901</v>
      </c>
      <c r="BR466" s="19">
        <v>14.33</v>
      </c>
      <c r="BS466" s="19">
        <v>692.730434782609</v>
      </c>
      <c r="BT466" s="19">
        <v>6.1280000000000001</v>
      </c>
      <c r="BU466" s="19">
        <v>1233.0782608695699</v>
      </c>
      <c r="BV466" s="19">
        <v>10.907999999999999</v>
      </c>
      <c r="BW466" s="19">
        <v>1856.8521739130399</v>
      </c>
      <c r="BX466" s="19">
        <v>16.427</v>
      </c>
      <c r="BY466" s="19">
        <v>718.730434782609</v>
      </c>
      <c r="BZ466" s="19">
        <v>6.3579999999999997</v>
      </c>
      <c r="CA466" s="19">
        <v>2441.95652173913</v>
      </c>
      <c r="CB466" s="19">
        <v>21.603000000000002</v>
      </c>
      <c r="CC466" s="19">
        <v>842.85217391304298</v>
      </c>
      <c r="CD466" s="19">
        <v>7.4560000000000004</v>
      </c>
      <c r="CE466" s="19">
        <v>1623.75652173913</v>
      </c>
      <c r="CF466" s="19">
        <v>14.364000000000001</v>
      </c>
      <c r="CG466" s="19">
        <v>313.58260869565203</v>
      </c>
      <c r="CH466" s="19">
        <v>2.774</v>
      </c>
      <c r="CI466" s="19">
        <v>1396.53913043478</v>
      </c>
      <c r="CJ466" s="19">
        <v>12.353999999999999</v>
      </c>
      <c r="CK466" s="19">
        <v>1191.2347826087</v>
      </c>
      <c r="CL466" s="19">
        <v>10.538</v>
      </c>
      <c r="CM466" s="19">
        <v>581.93913043478301</v>
      </c>
      <c r="CN466" s="19">
        <v>5.1479999999999997</v>
      </c>
      <c r="CO466" s="19">
        <v>1637.99130434783</v>
      </c>
      <c r="CP466" s="19">
        <v>14.49</v>
      </c>
      <c r="CQ466" s="19">
        <v>1691.8086956521699</v>
      </c>
      <c r="CR466" s="19">
        <v>14.965999999999999</v>
      </c>
      <c r="CS466" s="19">
        <v>1079.1130434782599</v>
      </c>
      <c r="CT466" s="19">
        <v>9.5459999999999994</v>
      </c>
      <c r="CU466" s="19">
        <v>1014.90434782609</v>
      </c>
      <c r="CV466" s="19">
        <v>8.9779999999999998</v>
      </c>
      <c r="CW466" s="19">
        <v>1192.6086956521699</v>
      </c>
      <c r="CX466" s="19">
        <v>10.55</v>
      </c>
      <c r="CY466" s="19">
        <v>2483.3391304347801</v>
      </c>
      <c r="CZ466" s="19">
        <v>21.231000000000002</v>
      </c>
      <c r="DA466" s="19">
        <v>1609.1478260869601</v>
      </c>
      <c r="DB466" s="19">
        <v>13.608000000000001</v>
      </c>
      <c r="DC466" s="19">
        <v>2208.2434782608698</v>
      </c>
      <c r="DD466" s="19">
        <v>18.009</v>
      </c>
      <c r="DE466" s="19">
        <v>652.121739130435</v>
      </c>
      <c r="DF466" s="19">
        <v>5.1719999999999997</v>
      </c>
      <c r="DG466" s="19">
        <v>1394.01739130435</v>
      </c>
      <c r="DH466" s="19">
        <v>11.055999999999999</v>
      </c>
      <c r="DI466" s="19">
        <v>596.39130434782601</v>
      </c>
      <c r="DJ466" s="19">
        <v>4.7300000000000004</v>
      </c>
      <c r="DK466" s="19">
        <v>894.20869565217401</v>
      </c>
      <c r="DL466" s="19">
        <v>7.0919999999999996</v>
      </c>
      <c r="DM466" s="19">
        <v>804.43478260869597</v>
      </c>
      <c r="DN466" s="19">
        <v>6.38</v>
      </c>
      <c r="DO466" s="19">
        <v>1284.9130434782601</v>
      </c>
      <c r="DP466" s="19">
        <v>10.837999999999999</v>
      </c>
      <c r="DQ466" s="19">
        <v>1026.1826086956501</v>
      </c>
      <c r="DR466" s="19">
        <v>8.6780000000000008</v>
      </c>
      <c r="DS466" s="19">
        <v>53.686956521739098</v>
      </c>
      <c r="DT466" s="19">
        <v>0.45400000000000001</v>
      </c>
      <c r="DU466" s="19">
        <v>0</v>
      </c>
      <c r="DV466" s="19">
        <v>0</v>
      </c>
      <c r="DW466" s="19">
        <v>0</v>
      </c>
      <c r="DX466" s="19">
        <v>0</v>
      </c>
      <c r="DY466" s="19">
        <v>0</v>
      </c>
      <c r="DZ466" s="19">
        <v>0</v>
      </c>
      <c r="EA466" s="19">
        <v>0</v>
      </c>
      <c r="EB466" s="19">
        <v>0</v>
      </c>
      <c r="EC466" s="19">
        <v>0</v>
      </c>
      <c r="ED466" s="19">
        <v>0</v>
      </c>
      <c r="EE466" s="19">
        <v>0</v>
      </c>
      <c r="EF466" s="19">
        <v>0</v>
      </c>
      <c r="EG466" s="19">
        <v>0</v>
      </c>
      <c r="EH466" s="19">
        <v>0</v>
      </c>
      <c r="EI466" s="19">
        <v>0</v>
      </c>
      <c r="EJ466" s="19">
        <v>0</v>
      </c>
      <c r="EK466" s="19">
        <v>0</v>
      </c>
      <c r="EL466" s="19">
        <v>0</v>
      </c>
      <c r="EM466" s="19">
        <v>0</v>
      </c>
      <c r="EN466" s="19">
        <v>0</v>
      </c>
      <c r="EO466" s="19">
        <v>0</v>
      </c>
      <c r="EP466" s="19">
        <v>0</v>
      </c>
      <c r="EQ466" s="19">
        <v>0</v>
      </c>
      <c r="ER466" s="19">
        <v>0</v>
      </c>
      <c r="ES466" s="119">
        <v>0</v>
      </c>
      <c r="ET466" s="119">
        <v>0</v>
      </c>
    </row>
    <row r="467" spans="1:150" ht="16.5" customHeight="1" x14ac:dyDescent="0.35">
      <c r="A467" s="4">
        <v>216</v>
      </c>
      <c r="B467" s="4" t="str">
        <f>LOOKUP(A467,Lookup!$A$1:$A$34,Lookup!$B$1:$B$34)</f>
        <v>BUTCH  WORS/MINCE/PAT</v>
      </c>
      <c r="C467" s="5">
        <v>62010</v>
      </c>
      <c r="D467" s="6" t="s">
        <v>444</v>
      </c>
      <c r="E467" s="18">
        <v>934.19580745341602</v>
      </c>
      <c r="F467" s="18">
        <v>9.0489999999999995</v>
      </c>
      <c r="G467" s="18">
        <v>52314.965217391298</v>
      </c>
      <c r="H467" s="18">
        <v>506.72800000000001</v>
      </c>
      <c r="I467" s="19">
        <v>0</v>
      </c>
      <c r="J467" s="19">
        <v>0</v>
      </c>
      <c r="K467" s="19">
        <v>0</v>
      </c>
      <c r="L467" s="19">
        <v>0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0</v>
      </c>
      <c r="AD467" s="19">
        <v>0</v>
      </c>
      <c r="AE467" s="19">
        <v>0</v>
      </c>
      <c r="AF467" s="19">
        <v>0</v>
      </c>
      <c r="AG467" s="19">
        <v>0</v>
      </c>
      <c r="AH467" s="19">
        <v>0</v>
      </c>
      <c r="AI467" s="19">
        <v>0</v>
      </c>
      <c r="AJ467" s="19">
        <v>0</v>
      </c>
      <c r="AK467" s="19">
        <v>0</v>
      </c>
      <c r="AL467" s="19">
        <v>0</v>
      </c>
      <c r="AM467" s="19">
        <v>313.34782608695701</v>
      </c>
      <c r="AN467" s="19">
        <v>3.6040000000000001</v>
      </c>
      <c r="AO467" s="19">
        <v>2095.8695652173901</v>
      </c>
      <c r="AP467" s="19">
        <v>24.106000000000002</v>
      </c>
      <c r="AQ467" s="19">
        <v>951.52173913043498</v>
      </c>
      <c r="AR467" s="19">
        <v>10.944000000000001</v>
      </c>
      <c r="AS467" s="19">
        <v>1633.21739130435</v>
      </c>
      <c r="AT467" s="19">
        <v>17.744</v>
      </c>
      <c r="AU467" s="19">
        <v>2172.1739130434798</v>
      </c>
      <c r="AV467" s="19">
        <v>22.712</v>
      </c>
      <c r="AW467" s="19">
        <v>1454.48695652174</v>
      </c>
      <c r="AX467" s="19">
        <v>15.208</v>
      </c>
      <c r="AY467" s="19">
        <v>1769.9043478260901</v>
      </c>
      <c r="AZ467" s="19">
        <v>18.506</v>
      </c>
      <c r="BA467" s="19">
        <v>1045.9130434782601</v>
      </c>
      <c r="BB467" s="19">
        <v>10.936</v>
      </c>
      <c r="BC467" s="19">
        <v>1167.2347826087</v>
      </c>
      <c r="BD467" s="19">
        <v>11.763999999999999</v>
      </c>
      <c r="BE467" s="19">
        <v>597.426086956522</v>
      </c>
      <c r="BF467" s="19">
        <v>5.726</v>
      </c>
      <c r="BG467" s="19">
        <v>2147.2434782608698</v>
      </c>
      <c r="BH467" s="19">
        <v>20.58</v>
      </c>
      <c r="BI467" s="19">
        <v>1327.77391304348</v>
      </c>
      <c r="BJ467" s="19">
        <v>12.726000000000001</v>
      </c>
      <c r="BK467" s="19">
        <v>1061.9217391304301</v>
      </c>
      <c r="BL467" s="19">
        <v>10.178000000000001</v>
      </c>
      <c r="BM467" s="19">
        <v>1075.8956521739101</v>
      </c>
      <c r="BN467" s="19">
        <v>10.311999999999999</v>
      </c>
      <c r="BO467" s="19">
        <v>1067.3478260869599</v>
      </c>
      <c r="BP467" s="19">
        <v>10.23</v>
      </c>
      <c r="BQ467" s="19">
        <v>1557.0782608695699</v>
      </c>
      <c r="BR467" s="19">
        <v>14.923999999999999</v>
      </c>
      <c r="BS467" s="19">
        <v>750.77391304347805</v>
      </c>
      <c r="BT467" s="19">
        <v>7.1959999999999997</v>
      </c>
      <c r="BU467" s="19">
        <v>1176.6695652173901</v>
      </c>
      <c r="BV467" s="19">
        <v>11.278</v>
      </c>
      <c r="BW467" s="19">
        <v>1503.02608695652</v>
      </c>
      <c r="BX467" s="19">
        <v>14.406000000000001</v>
      </c>
      <c r="BY467" s="19">
        <v>190.09565217391301</v>
      </c>
      <c r="BZ467" s="19">
        <v>1.8220000000000001</v>
      </c>
      <c r="CA467" s="19">
        <v>1662.2347826087</v>
      </c>
      <c r="CB467" s="19">
        <v>15.932</v>
      </c>
      <c r="CC467" s="19">
        <v>643.53043478260895</v>
      </c>
      <c r="CD467" s="19">
        <v>6.1680000000000001</v>
      </c>
      <c r="CE467" s="19">
        <v>646.89565217391305</v>
      </c>
      <c r="CF467" s="19">
        <v>6.2</v>
      </c>
      <c r="CG467" s="19">
        <v>2830.0956521739099</v>
      </c>
      <c r="CH467" s="19">
        <v>27.123999999999999</v>
      </c>
      <c r="CI467" s="19">
        <v>957.8</v>
      </c>
      <c r="CJ467" s="19">
        <v>9.18</v>
      </c>
      <c r="CK467" s="19">
        <v>1176.6869565217401</v>
      </c>
      <c r="CL467" s="19">
        <v>11.278</v>
      </c>
      <c r="CM467" s="19">
        <v>687.35652173913002</v>
      </c>
      <c r="CN467" s="19">
        <v>6.5880000000000001</v>
      </c>
      <c r="CO467" s="19">
        <v>1394.9652173913</v>
      </c>
      <c r="CP467" s="19">
        <v>13.37</v>
      </c>
      <c r="CQ467" s="19">
        <v>1349.6782608695701</v>
      </c>
      <c r="CR467" s="19">
        <v>12.936</v>
      </c>
      <c r="CS467" s="19">
        <v>714.88695652173897</v>
      </c>
      <c r="CT467" s="19">
        <v>6.8520000000000003</v>
      </c>
      <c r="CU467" s="19">
        <v>703.40869565217395</v>
      </c>
      <c r="CV467" s="19">
        <v>6.742</v>
      </c>
      <c r="CW467" s="19">
        <v>2083.1652173912998</v>
      </c>
      <c r="CX467" s="19">
        <v>19.966000000000001</v>
      </c>
      <c r="CY467" s="19">
        <v>1700.6434782608701</v>
      </c>
      <c r="CZ467" s="19">
        <v>15.916</v>
      </c>
      <c r="DA467" s="19">
        <v>1890.50434782609</v>
      </c>
      <c r="DB467" s="19">
        <v>17.256</v>
      </c>
      <c r="DC467" s="19">
        <v>1431.26956521739</v>
      </c>
      <c r="DD467" s="19">
        <v>12.385999999999999</v>
      </c>
      <c r="DE467" s="19">
        <v>2306.50434782609</v>
      </c>
      <c r="DF467" s="19">
        <v>19.648</v>
      </c>
      <c r="DG467" s="19">
        <v>1470.9130434782601</v>
      </c>
      <c r="DH467" s="19">
        <v>12.53</v>
      </c>
      <c r="DI467" s="19">
        <v>450.547826086957</v>
      </c>
      <c r="DJ467" s="19">
        <v>3.8380000000000001</v>
      </c>
      <c r="DK467" s="19">
        <v>1063.3304347826099</v>
      </c>
      <c r="DL467" s="19">
        <v>9.0579999999999998</v>
      </c>
      <c r="DM467" s="19">
        <v>322.35652173913002</v>
      </c>
      <c r="DN467" s="19">
        <v>2.746</v>
      </c>
      <c r="DO467" s="19">
        <v>774.50434782608704</v>
      </c>
      <c r="DP467" s="19">
        <v>7.032</v>
      </c>
      <c r="DQ467" s="19">
        <v>994.76521739130396</v>
      </c>
      <c r="DR467" s="19">
        <v>9.08</v>
      </c>
      <c r="DS467" s="19">
        <v>0</v>
      </c>
      <c r="DT467" s="19">
        <v>0</v>
      </c>
      <c r="DU467" s="19">
        <v>0</v>
      </c>
      <c r="DV467" s="19">
        <v>0</v>
      </c>
      <c r="DW467" s="19">
        <v>0</v>
      </c>
      <c r="DX467" s="19">
        <v>0</v>
      </c>
      <c r="DY467" s="19">
        <v>0</v>
      </c>
      <c r="DZ467" s="19">
        <v>0</v>
      </c>
      <c r="EA467" s="19">
        <v>0</v>
      </c>
      <c r="EB467" s="19">
        <v>0</v>
      </c>
      <c r="EC467" s="19">
        <v>0</v>
      </c>
      <c r="ED467" s="19">
        <v>0</v>
      </c>
      <c r="EE467" s="19">
        <v>0</v>
      </c>
      <c r="EF467" s="19">
        <v>0</v>
      </c>
      <c r="EG467" s="19">
        <v>0</v>
      </c>
      <c r="EH467" s="19">
        <v>0</v>
      </c>
      <c r="EI467" s="19">
        <v>0</v>
      </c>
      <c r="EJ467" s="19">
        <v>0</v>
      </c>
      <c r="EK467" s="19">
        <v>0</v>
      </c>
      <c r="EL467" s="19">
        <v>0</v>
      </c>
      <c r="EM467" s="19">
        <v>0</v>
      </c>
      <c r="EN467" s="19">
        <v>0</v>
      </c>
      <c r="EO467" s="19">
        <v>0</v>
      </c>
      <c r="EP467" s="19">
        <v>0</v>
      </c>
      <c r="EQ467" s="19">
        <v>0</v>
      </c>
      <c r="ER467" s="19">
        <v>0</v>
      </c>
      <c r="ES467" s="119">
        <v>0</v>
      </c>
      <c r="ET467" s="119">
        <v>0</v>
      </c>
    </row>
    <row r="468" spans="1:150" ht="16.5" customHeight="1" x14ac:dyDescent="0.35">
      <c r="A468" s="4">
        <v>216</v>
      </c>
      <c r="B468" s="4" t="str">
        <f>LOOKUP(A468,Lookup!$A$1:$A$34,Lookup!$B$1:$B$34)</f>
        <v>BUTCH  WORS/MINCE/PAT</v>
      </c>
      <c r="C468" s="5">
        <v>62041</v>
      </c>
      <c r="D468" s="6" t="s">
        <v>445</v>
      </c>
      <c r="E468" s="18">
        <v>0</v>
      </c>
      <c r="F468" s="18">
        <v>0</v>
      </c>
      <c r="G468" s="18">
        <v>0</v>
      </c>
      <c r="H468" s="18">
        <v>0</v>
      </c>
      <c r="I468" s="19">
        <v>0</v>
      </c>
      <c r="J468" s="19">
        <v>0</v>
      </c>
      <c r="K468" s="19">
        <v>0</v>
      </c>
      <c r="L468" s="19">
        <v>0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19">
        <v>0</v>
      </c>
      <c r="AM468" s="19">
        <v>0</v>
      </c>
      <c r="AN468" s="19">
        <v>0</v>
      </c>
      <c r="AO468" s="19">
        <v>0</v>
      </c>
      <c r="AP468" s="19">
        <v>0</v>
      </c>
      <c r="AQ468" s="19">
        <v>0</v>
      </c>
      <c r="AR468" s="19">
        <v>0</v>
      </c>
      <c r="AS468" s="19">
        <v>0</v>
      </c>
      <c r="AT468" s="19">
        <v>0</v>
      </c>
      <c r="AU468" s="19">
        <v>0</v>
      </c>
      <c r="AV468" s="19">
        <v>0</v>
      </c>
      <c r="AW468" s="19">
        <v>0</v>
      </c>
      <c r="AX468" s="19">
        <v>0</v>
      </c>
      <c r="AY468" s="19">
        <v>0</v>
      </c>
      <c r="AZ468" s="19">
        <v>0</v>
      </c>
      <c r="BA468" s="19">
        <v>0</v>
      </c>
      <c r="BB468" s="19">
        <v>0</v>
      </c>
      <c r="BC468" s="19">
        <v>0</v>
      </c>
      <c r="BD468" s="19">
        <v>0</v>
      </c>
      <c r="BE468" s="19">
        <v>0</v>
      </c>
      <c r="BF468" s="19">
        <v>0</v>
      </c>
      <c r="BG468" s="19">
        <v>0</v>
      </c>
      <c r="BH468" s="19">
        <v>0</v>
      </c>
      <c r="BI468" s="19">
        <v>0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  <c r="BP468" s="19">
        <v>0</v>
      </c>
      <c r="BQ468" s="19">
        <v>0</v>
      </c>
      <c r="BR468" s="19">
        <v>0</v>
      </c>
      <c r="BS468" s="19">
        <v>0</v>
      </c>
      <c r="BT468" s="19">
        <v>0</v>
      </c>
      <c r="BU468" s="19">
        <v>0</v>
      </c>
      <c r="BV468" s="19">
        <v>0</v>
      </c>
      <c r="BW468" s="19">
        <v>0</v>
      </c>
      <c r="BX468" s="19">
        <v>0</v>
      </c>
      <c r="BY468" s="19">
        <v>0</v>
      </c>
      <c r="BZ468" s="19">
        <v>0</v>
      </c>
      <c r="CA468" s="19">
        <v>0</v>
      </c>
      <c r="CB468" s="19">
        <v>0</v>
      </c>
      <c r="CC468" s="19">
        <v>0</v>
      </c>
      <c r="CD468" s="19">
        <v>0</v>
      </c>
      <c r="CE468" s="19">
        <v>0</v>
      </c>
      <c r="CF468" s="19">
        <v>0</v>
      </c>
      <c r="CG468" s="19">
        <v>0</v>
      </c>
      <c r="CH468" s="19">
        <v>0</v>
      </c>
      <c r="CI468" s="19">
        <v>0</v>
      </c>
      <c r="CJ468" s="19">
        <v>0</v>
      </c>
      <c r="CK468" s="19">
        <v>0</v>
      </c>
      <c r="CL468" s="19">
        <v>0</v>
      </c>
      <c r="CM468" s="19">
        <v>0</v>
      </c>
      <c r="CN468" s="19">
        <v>0</v>
      </c>
      <c r="CO468" s="19">
        <v>0</v>
      </c>
      <c r="CP468" s="19">
        <v>0</v>
      </c>
      <c r="CQ468" s="19">
        <v>0</v>
      </c>
      <c r="CR468" s="19">
        <v>0</v>
      </c>
      <c r="CS468" s="19">
        <v>0</v>
      </c>
      <c r="CT468" s="19">
        <v>0</v>
      </c>
      <c r="CU468" s="19">
        <v>0</v>
      </c>
      <c r="CV468" s="19">
        <v>0</v>
      </c>
      <c r="CW468" s="19">
        <v>0</v>
      </c>
      <c r="CX468" s="19">
        <v>0</v>
      </c>
      <c r="CY468" s="19">
        <v>0</v>
      </c>
      <c r="CZ468" s="19">
        <v>0</v>
      </c>
      <c r="DA468" s="19">
        <v>0</v>
      </c>
      <c r="DB468" s="19">
        <v>0</v>
      </c>
      <c r="DC468" s="19">
        <v>0</v>
      </c>
      <c r="DD468" s="19">
        <v>0</v>
      </c>
      <c r="DE468" s="19">
        <v>0</v>
      </c>
      <c r="DF468" s="19">
        <v>0</v>
      </c>
      <c r="DG468" s="19">
        <v>0</v>
      </c>
      <c r="DH468" s="19">
        <v>0</v>
      </c>
      <c r="DI468" s="19">
        <v>0</v>
      </c>
      <c r="DJ468" s="19">
        <v>0</v>
      </c>
      <c r="DK468" s="19">
        <v>0</v>
      </c>
      <c r="DL468" s="19">
        <v>0</v>
      </c>
      <c r="DM468" s="19">
        <v>0</v>
      </c>
      <c r="DN468" s="19">
        <v>0</v>
      </c>
      <c r="DO468" s="19">
        <v>0</v>
      </c>
      <c r="DP468" s="19">
        <v>0</v>
      </c>
      <c r="DQ468" s="19">
        <v>0</v>
      </c>
      <c r="DR468" s="19">
        <v>0</v>
      </c>
      <c r="DS468" s="19">
        <v>0</v>
      </c>
      <c r="DT468" s="19">
        <v>0</v>
      </c>
      <c r="DU468" s="19">
        <v>0</v>
      </c>
      <c r="DV468" s="19">
        <v>0</v>
      </c>
      <c r="DW468" s="19">
        <v>0</v>
      </c>
      <c r="DX468" s="19">
        <v>0</v>
      </c>
      <c r="DY468" s="19">
        <v>0</v>
      </c>
      <c r="DZ468" s="19">
        <v>0</v>
      </c>
      <c r="EA468" s="19">
        <v>0</v>
      </c>
      <c r="EB468" s="19">
        <v>0</v>
      </c>
      <c r="EC468" s="19">
        <v>0</v>
      </c>
      <c r="ED468" s="19">
        <v>0</v>
      </c>
      <c r="EE468" s="19">
        <v>0</v>
      </c>
      <c r="EF468" s="19">
        <v>0</v>
      </c>
      <c r="EG468" s="19">
        <v>0</v>
      </c>
      <c r="EH468" s="19">
        <v>0</v>
      </c>
      <c r="EI468" s="19">
        <v>0</v>
      </c>
      <c r="EJ468" s="19">
        <v>0</v>
      </c>
      <c r="EK468" s="19">
        <v>0</v>
      </c>
      <c r="EL468" s="19">
        <v>0</v>
      </c>
      <c r="EM468" s="19">
        <v>0</v>
      </c>
      <c r="EN468" s="19">
        <v>0</v>
      </c>
      <c r="EO468" s="19">
        <v>0</v>
      </c>
      <c r="EP468" s="19">
        <v>0</v>
      </c>
      <c r="EQ468" s="19">
        <v>0</v>
      </c>
      <c r="ER468" s="19">
        <v>0</v>
      </c>
      <c r="ES468" s="119">
        <v>0</v>
      </c>
      <c r="ET468" s="119">
        <v>0</v>
      </c>
    </row>
    <row r="469" spans="1:150" ht="16.5" customHeight="1" x14ac:dyDescent="0.35">
      <c r="A469" s="4">
        <v>216</v>
      </c>
      <c r="B469" s="4" t="str">
        <f>LOOKUP(A469,Lookup!$A$1:$A$34,Lookup!$B$1:$B$34)</f>
        <v>BUTCH  WORS/MINCE/PAT</v>
      </c>
      <c r="C469" s="5">
        <v>62046</v>
      </c>
      <c r="D469" s="6" t="s">
        <v>446</v>
      </c>
      <c r="E469" s="18">
        <v>160.02007905138299</v>
      </c>
      <c r="F469" s="18">
        <v>2.0190000000000001</v>
      </c>
      <c r="G469" s="18">
        <v>8801.1043478260908</v>
      </c>
      <c r="H469" s="18">
        <v>111.027</v>
      </c>
      <c r="I469" s="19">
        <v>0</v>
      </c>
      <c r="J469" s="19">
        <v>0</v>
      </c>
      <c r="K469" s="19">
        <v>0</v>
      </c>
      <c r="L469" s="19">
        <v>0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0</v>
      </c>
      <c r="AD469" s="19">
        <v>0</v>
      </c>
      <c r="AE469" s="19">
        <v>0</v>
      </c>
      <c r="AF469" s="19">
        <v>0</v>
      </c>
      <c r="AG469" s="19">
        <v>0</v>
      </c>
      <c r="AH469" s="19">
        <v>0</v>
      </c>
      <c r="AI469" s="19">
        <v>0</v>
      </c>
      <c r="AJ469" s="19">
        <v>0</v>
      </c>
      <c r="AK469" s="19">
        <v>0</v>
      </c>
      <c r="AL469" s="19">
        <v>0</v>
      </c>
      <c r="AM469" s="19">
        <v>0</v>
      </c>
      <c r="AN469" s="19">
        <v>0</v>
      </c>
      <c r="AO469" s="19">
        <v>282.04347826087002</v>
      </c>
      <c r="AP469" s="19">
        <v>3.6040000000000001</v>
      </c>
      <c r="AQ469" s="19">
        <v>1795.4173913043501</v>
      </c>
      <c r="AR469" s="19">
        <v>22.943000000000001</v>
      </c>
      <c r="AS469" s="19">
        <v>751.60869565217399</v>
      </c>
      <c r="AT469" s="19">
        <v>9.6039999999999992</v>
      </c>
      <c r="AU469" s="19">
        <v>728.573913043478</v>
      </c>
      <c r="AV469" s="19">
        <v>9.31</v>
      </c>
      <c r="AW469" s="19">
        <v>778.33913043478299</v>
      </c>
      <c r="AX469" s="19">
        <v>9.9459999999999997</v>
      </c>
      <c r="AY469" s="19">
        <v>1816.4086956521701</v>
      </c>
      <c r="AZ469" s="19">
        <v>23.212</v>
      </c>
      <c r="BA469" s="19">
        <v>1243.70434782609</v>
      </c>
      <c r="BB469" s="19">
        <v>15.891999999999999</v>
      </c>
      <c r="BC469" s="19">
        <v>754.573913043478</v>
      </c>
      <c r="BD469" s="19">
        <v>9.0359999999999996</v>
      </c>
      <c r="BE469" s="19">
        <v>650.43478260869597</v>
      </c>
      <c r="BF469" s="19">
        <v>7.48</v>
      </c>
      <c r="BG469" s="19">
        <v>0</v>
      </c>
      <c r="BH469" s="19">
        <v>0</v>
      </c>
      <c r="BI469" s="19">
        <v>0</v>
      </c>
      <c r="BJ469" s="19">
        <v>0</v>
      </c>
      <c r="BK469" s="19">
        <v>0</v>
      </c>
      <c r="BL469" s="19">
        <v>0</v>
      </c>
      <c r="BM469" s="19">
        <v>0</v>
      </c>
      <c r="BN469" s="19">
        <v>0</v>
      </c>
      <c r="BO469" s="19">
        <v>0</v>
      </c>
      <c r="BP469" s="19">
        <v>0</v>
      </c>
      <c r="BQ469" s="19">
        <v>0</v>
      </c>
      <c r="BR469" s="19">
        <v>0</v>
      </c>
      <c r="BS469" s="19">
        <v>0</v>
      </c>
      <c r="BT469" s="19">
        <v>0</v>
      </c>
      <c r="BU469" s="19">
        <v>0</v>
      </c>
      <c r="BV469" s="19">
        <v>0</v>
      </c>
      <c r="BW469" s="19">
        <v>0</v>
      </c>
      <c r="BX469" s="19">
        <v>0</v>
      </c>
      <c r="BY469" s="19">
        <v>0</v>
      </c>
      <c r="BZ469" s="19">
        <v>0</v>
      </c>
      <c r="CA469" s="19">
        <v>0</v>
      </c>
      <c r="CB469" s="19">
        <v>0</v>
      </c>
      <c r="CC469" s="19">
        <v>0</v>
      </c>
      <c r="CD469" s="19">
        <v>0</v>
      </c>
      <c r="CE469" s="19">
        <v>0</v>
      </c>
      <c r="CF469" s="19">
        <v>0</v>
      </c>
      <c r="CG469" s="19">
        <v>0</v>
      </c>
      <c r="CH469" s="19">
        <v>0</v>
      </c>
      <c r="CI469" s="19">
        <v>0</v>
      </c>
      <c r="CJ469" s="19">
        <v>0</v>
      </c>
      <c r="CK469" s="19">
        <v>0</v>
      </c>
      <c r="CL469" s="19">
        <v>0</v>
      </c>
      <c r="CM469" s="19">
        <v>0</v>
      </c>
      <c r="CN469" s="19">
        <v>0</v>
      </c>
      <c r="CO469" s="19">
        <v>0</v>
      </c>
      <c r="CP469" s="19">
        <v>0</v>
      </c>
      <c r="CQ469" s="19">
        <v>0</v>
      </c>
      <c r="CR469" s="19">
        <v>0</v>
      </c>
      <c r="CS469" s="19">
        <v>0</v>
      </c>
      <c r="CT469" s="19">
        <v>0</v>
      </c>
      <c r="CU469" s="19">
        <v>0</v>
      </c>
      <c r="CV469" s="19">
        <v>0</v>
      </c>
      <c r="CW469" s="19">
        <v>0</v>
      </c>
      <c r="CX469" s="19">
        <v>0</v>
      </c>
      <c r="CY469" s="19">
        <v>0</v>
      </c>
      <c r="CZ469" s="19">
        <v>0</v>
      </c>
      <c r="DA469" s="19">
        <v>0</v>
      </c>
      <c r="DB469" s="19">
        <v>0</v>
      </c>
      <c r="DC469" s="19">
        <v>0</v>
      </c>
      <c r="DD469" s="19">
        <v>0</v>
      </c>
      <c r="DE469" s="19">
        <v>0</v>
      </c>
      <c r="DF469" s="19">
        <v>0</v>
      </c>
      <c r="DG469" s="19">
        <v>0</v>
      </c>
      <c r="DH469" s="19">
        <v>0</v>
      </c>
      <c r="DI469" s="19">
        <v>0</v>
      </c>
      <c r="DJ469" s="19">
        <v>0</v>
      </c>
      <c r="DK469" s="19">
        <v>0</v>
      </c>
      <c r="DL469" s="19">
        <v>0</v>
      </c>
      <c r="DM469" s="19">
        <v>0</v>
      </c>
      <c r="DN469" s="19">
        <v>0</v>
      </c>
      <c r="DO469" s="19">
        <v>0</v>
      </c>
      <c r="DP469" s="19">
        <v>0</v>
      </c>
      <c r="DQ469" s="19">
        <v>0</v>
      </c>
      <c r="DR469" s="19">
        <v>0</v>
      </c>
      <c r="DS469" s="19">
        <v>0</v>
      </c>
      <c r="DT469" s="19">
        <v>0</v>
      </c>
      <c r="DU469" s="19">
        <v>0</v>
      </c>
      <c r="DV469" s="19">
        <v>0</v>
      </c>
      <c r="DW469" s="19">
        <v>0</v>
      </c>
      <c r="DX469" s="19">
        <v>0</v>
      </c>
      <c r="DY469" s="19">
        <v>0</v>
      </c>
      <c r="DZ469" s="19">
        <v>0</v>
      </c>
      <c r="EA469" s="19">
        <v>0</v>
      </c>
      <c r="EB469" s="19">
        <v>0</v>
      </c>
      <c r="EC469" s="19">
        <v>0</v>
      </c>
      <c r="ED469" s="19">
        <v>0</v>
      </c>
      <c r="EE469" s="19">
        <v>0</v>
      </c>
      <c r="EF469" s="19">
        <v>0</v>
      </c>
      <c r="EG469" s="19">
        <v>0</v>
      </c>
      <c r="EH469" s="19">
        <v>0</v>
      </c>
      <c r="EI469" s="19">
        <v>0</v>
      </c>
      <c r="EJ469" s="19">
        <v>0</v>
      </c>
      <c r="EK469" s="19">
        <v>0</v>
      </c>
      <c r="EL469" s="19">
        <v>0</v>
      </c>
      <c r="EM469" s="19">
        <v>0</v>
      </c>
      <c r="EN469" s="19">
        <v>0</v>
      </c>
      <c r="EO469" s="19">
        <v>0</v>
      </c>
      <c r="EP469" s="19">
        <v>0</v>
      </c>
      <c r="EQ469" s="19">
        <v>0</v>
      </c>
      <c r="ER469" s="19">
        <v>0</v>
      </c>
      <c r="ES469" s="119">
        <v>0</v>
      </c>
      <c r="ET469" s="119">
        <v>0</v>
      </c>
    </row>
    <row r="470" spans="1:150" ht="16.5" customHeight="1" x14ac:dyDescent="0.35">
      <c r="A470" s="4">
        <v>216</v>
      </c>
      <c r="B470" s="4" t="str">
        <f>LOOKUP(A470,Lookup!$A$1:$A$34,Lookup!$B$1:$B$34)</f>
        <v>BUTCH  WORS/MINCE/PAT</v>
      </c>
      <c r="C470" s="5">
        <v>62047</v>
      </c>
      <c r="D470" s="6" t="s">
        <v>447</v>
      </c>
      <c r="E470" s="18">
        <v>170.35826086956499</v>
      </c>
      <c r="F470" s="18">
        <v>2.3359999999999999</v>
      </c>
      <c r="G470" s="18">
        <v>9369.7043478260894</v>
      </c>
      <c r="H470" s="18">
        <v>128.47800000000001</v>
      </c>
      <c r="I470" s="19">
        <v>0</v>
      </c>
      <c r="J470" s="19">
        <v>0</v>
      </c>
      <c r="K470" s="19">
        <v>0</v>
      </c>
      <c r="L470" s="19">
        <v>0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19">
        <v>0</v>
      </c>
      <c r="AJ470" s="19">
        <v>0</v>
      </c>
      <c r="AK470" s="19">
        <v>0</v>
      </c>
      <c r="AL470" s="19">
        <v>0</v>
      </c>
      <c r="AM470" s="19">
        <v>0</v>
      </c>
      <c r="AN470" s="19">
        <v>0</v>
      </c>
      <c r="AO470" s="19">
        <v>1505.8260869565199</v>
      </c>
      <c r="AP470" s="19">
        <v>21.65</v>
      </c>
      <c r="AQ470" s="19">
        <v>1581.3478260869599</v>
      </c>
      <c r="AR470" s="19">
        <v>22.736000000000001</v>
      </c>
      <c r="AS470" s="19">
        <v>212.826086956522</v>
      </c>
      <c r="AT470" s="19">
        <v>3.06</v>
      </c>
      <c r="AU470" s="19">
        <v>760.62608695652204</v>
      </c>
      <c r="AV470" s="19">
        <v>10.331</v>
      </c>
      <c r="AW470" s="19">
        <v>1462.94782608696</v>
      </c>
      <c r="AX470" s="19">
        <v>19.795999999999999</v>
      </c>
      <c r="AY470" s="19">
        <v>1387.4</v>
      </c>
      <c r="AZ470" s="19">
        <v>18.577999999999999</v>
      </c>
      <c r="BA470" s="19">
        <v>1109.20869565217</v>
      </c>
      <c r="BB470" s="19">
        <v>14.834</v>
      </c>
      <c r="BC470" s="19">
        <v>753.730434782609</v>
      </c>
      <c r="BD470" s="19">
        <v>9.8789999999999996</v>
      </c>
      <c r="BE470" s="19">
        <v>535.22608695652195</v>
      </c>
      <c r="BF470" s="19">
        <v>6.84</v>
      </c>
      <c r="BG470" s="19">
        <v>60.565217391304401</v>
      </c>
      <c r="BH470" s="19">
        <v>0.77400000000000002</v>
      </c>
      <c r="BI470" s="19">
        <v>0</v>
      </c>
      <c r="BJ470" s="19">
        <v>0</v>
      </c>
      <c r="BK470" s="19">
        <v>0</v>
      </c>
      <c r="BL470" s="19">
        <v>0</v>
      </c>
      <c r="BM470" s="19">
        <v>0</v>
      </c>
      <c r="BN470" s="19">
        <v>0</v>
      </c>
      <c r="BO470" s="19">
        <v>0</v>
      </c>
      <c r="BP470" s="19">
        <v>0</v>
      </c>
      <c r="BQ470" s="19">
        <v>0</v>
      </c>
      <c r="BR470" s="19">
        <v>0</v>
      </c>
      <c r="BS470" s="19">
        <v>0</v>
      </c>
      <c r="BT470" s="19">
        <v>0</v>
      </c>
      <c r="BU470" s="19">
        <v>0</v>
      </c>
      <c r="BV470" s="19">
        <v>0</v>
      </c>
      <c r="BW470" s="19">
        <v>0</v>
      </c>
      <c r="BX470" s="19">
        <v>0</v>
      </c>
      <c r="BY470" s="19">
        <v>0</v>
      </c>
      <c r="BZ470" s="19">
        <v>0</v>
      </c>
      <c r="CA470" s="19">
        <v>0</v>
      </c>
      <c r="CB470" s="19">
        <v>0</v>
      </c>
      <c r="CC470" s="19">
        <v>0</v>
      </c>
      <c r="CD470" s="19">
        <v>0</v>
      </c>
      <c r="CE470" s="19">
        <v>0</v>
      </c>
      <c r="CF470" s="19">
        <v>0</v>
      </c>
      <c r="CG470" s="19">
        <v>0</v>
      </c>
      <c r="CH470" s="19">
        <v>0</v>
      </c>
      <c r="CI470" s="19">
        <v>0</v>
      </c>
      <c r="CJ470" s="19">
        <v>0</v>
      </c>
      <c r="CK470" s="19">
        <v>0</v>
      </c>
      <c r="CL470" s="19">
        <v>0</v>
      </c>
      <c r="CM470" s="19">
        <v>0</v>
      </c>
      <c r="CN470" s="19">
        <v>0</v>
      </c>
      <c r="CO470" s="19">
        <v>0</v>
      </c>
      <c r="CP470" s="19">
        <v>0</v>
      </c>
      <c r="CQ470" s="19">
        <v>0</v>
      </c>
      <c r="CR470" s="19">
        <v>0</v>
      </c>
      <c r="CS470" s="19">
        <v>0</v>
      </c>
      <c r="CT470" s="19">
        <v>0</v>
      </c>
      <c r="CU470" s="19">
        <v>0</v>
      </c>
      <c r="CV470" s="19">
        <v>0</v>
      </c>
      <c r="CW470" s="19">
        <v>0</v>
      </c>
      <c r="CX470" s="19">
        <v>0</v>
      </c>
      <c r="CY470" s="19">
        <v>0</v>
      </c>
      <c r="CZ470" s="19">
        <v>0</v>
      </c>
      <c r="DA470" s="19">
        <v>0</v>
      </c>
      <c r="DB470" s="19">
        <v>0</v>
      </c>
      <c r="DC470" s="19">
        <v>0</v>
      </c>
      <c r="DD470" s="19">
        <v>0</v>
      </c>
      <c r="DE470" s="19">
        <v>0</v>
      </c>
      <c r="DF470" s="19">
        <v>0</v>
      </c>
      <c r="DG470" s="19">
        <v>0</v>
      </c>
      <c r="DH470" s="19">
        <v>0</v>
      </c>
      <c r="DI470" s="19">
        <v>0</v>
      </c>
      <c r="DJ470" s="19">
        <v>0</v>
      </c>
      <c r="DK470" s="19">
        <v>0</v>
      </c>
      <c r="DL470" s="19">
        <v>0</v>
      </c>
      <c r="DM470" s="19">
        <v>0</v>
      </c>
      <c r="DN470" s="19">
        <v>0</v>
      </c>
      <c r="DO470" s="19">
        <v>0</v>
      </c>
      <c r="DP470" s="19">
        <v>0</v>
      </c>
      <c r="DQ470" s="19">
        <v>0</v>
      </c>
      <c r="DR470" s="19">
        <v>0</v>
      </c>
      <c r="DS470" s="19">
        <v>0</v>
      </c>
      <c r="DT470" s="19">
        <v>0</v>
      </c>
      <c r="DU470" s="19">
        <v>0</v>
      </c>
      <c r="DV470" s="19">
        <v>0</v>
      </c>
      <c r="DW470" s="19">
        <v>0</v>
      </c>
      <c r="DX470" s="19">
        <v>0</v>
      </c>
      <c r="DY470" s="19">
        <v>0</v>
      </c>
      <c r="DZ470" s="19">
        <v>0</v>
      </c>
      <c r="EA470" s="19">
        <v>0</v>
      </c>
      <c r="EB470" s="19">
        <v>0</v>
      </c>
      <c r="EC470" s="19">
        <v>0</v>
      </c>
      <c r="ED470" s="19">
        <v>0</v>
      </c>
      <c r="EE470" s="19">
        <v>0</v>
      </c>
      <c r="EF470" s="19">
        <v>0</v>
      </c>
      <c r="EG470" s="19">
        <v>0</v>
      </c>
      <c r="EH470" s="19">
        <v>0</v>
      </c>
      <c r="EI470" s="19">
        <v>0</v>
      </c>
      <c r="EJ470" s="19">
        <v>0</v>
      </c>
      <c r="EK470" s="19">
        <v>0</v>
      </c>
      <c r="EL470" s="19">
        <v>0</v>
      </c>
      <c r="EM470" s="19">
        <v>0</v>
      </c>
      <c r="EN470" s="19">
        <v>0</v>
      </c>
      <c r="EO470" s="19">
        <v>0</v>
      </c>
      <c r="EP470" s="19">
        <v>0</v>
      </c>
      <c r="EQ470" s="19">
        <v>0</v>
      </c>
      <c r="ER470" s="19">
        <v>0</v>
      </c>
      <c r="ES470" s="119">
        <v>0</v>
      </c>
      <c r="ET470" s="119">
        <v>0</v>
      </c>
    </row>
    <row r="471" spans="1:150" ht="16.5" customHeight="1" x14ac:dyDescent="0.35">
      <c r="A471" s="4">
        <v>216</v>
      </c>
      <c r="B471" s="4" t="str">
        <f>LOOKUP(A471,Lookup!$A$1:$A$34,Lookup!$B$1:$B$34)</f>
        <v>BUTCH  WORS/MINCE/PAT</v>
      </c>
      <c r="C471" s="5">
        <v>62225</v>
      </c>
      <c r="D471" s="6" t="s">
        <v>448</v>
      </c>
      <c r="E471" s="18">
        <v>0</v>
      </c>
      <c r="F471" s="18">
        <v>0</v>
      </c>
      <c r="G471" s="18">
        <v>0</v>
      </c>
      <c r="H471" s="18">
        <v>0</v>
      </c>
      <c r="I471" s="19">
        <v>0</v>
      </c>
      <c r="J471" s="19">
        <v>0</v>
      </c>
      <c r="K471" s="19">
        <v>0</v>
      </c>
      <c r="L471" s="19">
        <v>0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0</v>
      </c>
      <c r="AE471" s="19">
        <v>0</v>
      </c>
      <c r="AF471" s="19">
        <v>0</v>
      </c>
      <c r="AG471" s="19">
        <v>0</v>
      </c>
      <c r="AH471" s="19">
        <v>0</v>
      </c>
      <c r="AI471" s="19">
        <v>0</v>
      </c>
      <c r="AJ471" s="19">
        <v>0</v>
      </c>
      <c r="AK471" s="19">
        <v>0</v>
      </c>
      <c r="AL471" s="19">
        <v>0</v>
      </c>
      <c r="AM471" s="19">
        <v>0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0</v>
      </c>
      <c r="AT471" s="19">
        <v>0</v>
      </c>
      <c r="AU471" s="19">
        <v>0</v>
      </c>
      <c r="AV471" s="19">
        <v>0</v>
      </c>
      <c r="AW471" s="19">
        <v>0</v>
      </c>
      <c r="AX471" s="19">
        <v>0</v>
      </c>
      <c r="AY471" s="19">
        <v>0</v>
      </c>
      <c r="AZ471" s="19">
        <v>0</v>
      </c>
      <c r="BA471" s="19">
        <v>0</v>
      </c>
      <c r="BB471" s="19">
        <v>0</v>
      </c>
      <c r="BC471" s="19">
        <v>0</v>
      </c>
      <c r="BD471" s="19">
        <v>0</v>
      </c>
      <c r="BE471" s="19">
        <v>0</v>
      </c>
      <c r="BF471" s="19">
        <v>0</v>
      </c>
      <c r="BG471" s="19">
        <v>0</v>
      </c>
      <c r="BH471" s="19">
        <v>0</v>
      </c>
      <c r="BI471" s="19">
        <v>0</v>
      </c>
      <c r="BJ471" s="19">
        <v>0</v>
      </c>
      <c r="BK471" s="19">
        <v>0</v>
      </c>
      <c r="BL471" s="19">
        <v>0</v>
      </c>
      <c r="BM471" s="19">
        <v>0</v>
      </c>
      <c r="BN471" s="19">
        <v>0</v>
      </c>
      <c r="BO471" s="19">
        <v>0</v>
      </c>
      <c r="BP471" s="19">
        <v>0</v>
      </c>
      <c r="BQ471" s="19">
        <v>0</v>
      </c>
      <c r="BR471" s="19">
        <v>0</v>
      </c>
      <c r="BS471" s="19">
        <v>0</v>
      </c>
      <c r="BT471" s="19">
        <v>0</v>
      </c>
      <c r="BU471" s="19">
        <v>0</v>
      </c>
      <c r="BV471" s="19">
        <v>0</v>
      </c>
      <c r="BW471" s="19">
        <v>0</v>
      </c>
      <c r="BX471" s="19">
        <v>0</v>
      </c>
      <c r="BY471" s="19">
        <v>0</v>
      </c>
      <c r="BZ471" s="19">
        <v>0</v>
      </c>
      <c r="CA471" s="19">
        <v>0</v>
      </c>
      <c r="CB471" s="19">
        <v>0</v>
      </c>
      <c r="CC471" s="19">
        <v>0</v>
      </c>
      <c r="CD471" s="19">
        <v>0</v>
      </c>
      <c r="CE471" s="19">
        <v>0</v>
      </c>
      <c r="CF471" s="19">
        <v>0</v>
      </c>
      <c r="CG471" s="19">
        <v>0</v>
      </c>
      <c r="CH471" s="19">
        <v>0</v>
      </c>
      <c r="CI471" s="19">
        <v>0</v>
      </c>
      <c r="CJ471" s="19">
        <v>0</v>
      </c>
      <c r="CK471" s="19">
        <v>0</v>
      </c>
      <c r="CL471" s="19">
        <v>0</v>
      </c>
      <c r="CM471" s="19">
        <v>0</v>
      </c>
      <c r="CN471" s="19">
        <v>0</v>
      </c>
      <c r="CO471" s="19">
        <v>0</v>
      </c>
      <c r="CP471" s="19">
        <v>0</v>
      </c>
      <c r="CQ471" s="19">
        <v>0</v>
      </c>
      <c r="CR471" s="19">
        <v>0</v>
      </c>
      <c r="CS471" s="19">
        <v>0</v>
      </c>
      <c r="CT471" s="19">
        <v>0</v>
      </c>
      <c r="CU471" s="19">
        <v>0</v>
      </c>
      <c r="CV471" s="19">
        <v>0</v>
      </c>
      <c r="CW471" s="19">
        <v>0</v>
      </c>
      <c r="CX471" s="19">
        <v>0</v>
      </c>
      <c r="CY471" s="19">
        <v>0</v>
      </c>
      <c r="CZ471" s="19">
        <v>0</v>
      </c>
      <c r="DA471" s="19">
        <v>0</v>
      </c>
      <c r="DB471" s="19">
        <v>0</v>
      </c>
      <c r="DC471" s="19">
        <v>0</v>
      </c>
      <c r="DD471" s="19">
        <v>0</v>
      </c>
      <c r="DE471" s="19">
        <v>0</v>
      </c>
      <c r="DF471" s="19">
        <v>0</v>
      </c>
      <c r="DG471" s="19">
        <v>0</v>
      </c>
      <c r="DH471" s="19">
        <v>0</v>
      </c>
      <c r="DI471" s="19">
        <v>0</v>
      </c>
      <c r="DJ471" s="19">
        <v>0</v>
      </c>
      <c r="DK471" s="19">
        <v>0</v>
      </c>
      <c r="DL471" s="19">
        <v>0</v>
      </c>
      <c r="DM471" s="19">
        <v>0</v>
      </c>
      <c r="DN471" s="19">
        <v>0</v>
      </c>
      <c r="DO471" s="19">
        <v>0</v>
      </c>
      <c r="DP471" s="19">
        <v>0</v>
      </c>
      <c r="DQ471" s="19">
        <v>0</v>
      </c>
      <c r="DR471" s="19">
        <v>0</v>
      </c>
      <c r="DS471" s="19">
        <v>0</v>
      </c>
      <c r="DT471" s="19">
        <v>0</v>
      </c>
      <c r="DU471" s="19">
        <v>0</v>
      </c>
      <c r="DV471" s="19">
        <v>0</v>
      </c>
      <c r="DW471" s="19">
        <v>0</v>
      </c>
      <c r="DX471" s="19">
        <v>0</v>
      </c>
      <c r="DY471" s="19">
        <v>0</v>
      </c>
      <c r="DZ471" s="19">
        <v>0</v>
      </c>
      <c r="EA471" s="19">
        <v>0</v>
      </c>
      <c r="EB471" s="19">
        <v>0</v>
      </c>
      <c r="EC471" s="19">
        <v>0</v>
      </c>
      <c r="ED471" s="19">
        <v>0</v>
      </c>
      <c r="EE471" s="19">
        <v>0</v>
      </c>
      <c r="EF471" s="19">
        <v>0</v>
      </c>
      <c r="EG471" s="19">
        <v>0</v>
      </c>
      <c r="EH471" s="19">
        <v>0</v>
      </c>
      <c r="EI471" s="19">
        <v>0</v>
      </c>
      <c r="EJ471" s="19">
        <v>0</v>
      </c>
      <c r="EK471" s="19">
        <v>0</v>
      </c>
      <c r="EL471" s="19">
        <v>0</v>
      </c>
      <c r="EM471" s="19">
        <v>0</v>
      </c>
      <c r="EN471" s="19">
        <v>0</v>
      </c>
      <c r="EO471" s="19">
        <v>0</v>
      </c>
      <c r="EP471" s="19">
        <v>0</v>
      </c>
      <c r="EQ471" s="19">
        <v>0</v>
      </c>
      <c r="ER471" s="19">
        <v>0</v>
      </c>
      <c r="ES471" s="119">
        <v>0</v>
      </c>
      <c r="ET471" s="119">
        <v>0</v>
      </c>
    </row>
    <row r="472" spans="1:150" ht="16.5" customHeight="1" x14ac:dyDescent="0.35">
      <c r="A472" s="4">
        <v>216</v>
      </c>
      <c r="B472" s="4" t="str">
        <f>LOOKUP(A472,Lookup!$A$1:$A$34,Lookup!$B$1:$B$34)</f>
        <v>BUTCH  WORS/MINCE/PAT</v>
      </c>
      <c r="C472" s="5">
        <v>62234</v>
      </c>
      <c r="D472" s="6" t="s">
        <v>449</v>
      </c>
      <c r="E472" s="18">
        <v>0</v>
      </c>
      <c r="F472" s="18">
        <v>0</v>
      </c>
      <c r="G472" s="18">
        <v>0</v>
      </c>
      <c r="H472" s="18">
        <v>0</v>
      </c>
      <c r="I472" s="19">
        <v>0</v>
      </c>
      <c r="J472" s="19">
        <v>0</v>
      </c>
      <c r="K472" s="19">
        <v>0</v>
      </c>
      <c r="L472" s="19">
        <v>0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0</v>
      </c>
      <c r="AD472" s="19">
        <v>0</v>
      </c>
      <c r="AE472" s="19">
        <v>0</v>
      </c>
      <c r="AF472" s="19">
        <v>0</v>
      </c>
      <c r="AG472" s="19">
        <v>0</v>
      </c>
      <c r="AH472" s="19">
        <v>0</v>
      </c>
      <c r="AI472" s="19">
        <v>0</v>
      </c>
      <c r="AJ472" s="19">
        <v>0</v>
      </c>
      <c r="AK472" s="19">
        <v>0</v>
      </c>
      <c r="AL472" s="19">
        <v>0</v>
      </c>
      <c r="AM472" s="19">
        <v>0</v>
      </c>
      <c r="AN472" s="19">
        <v>0</v>
      </c>
      <c r="AO472" s="19">
        <v>0</v>
      </c>
      <c r="AP472" s="19">
        <v>0</v>
      </c>
      <c r="AQ472" s="19">
        <v>0</v>
      </c>
      <c r="AR472" s="19">
        <v>0</v>
      </c>
      <c r="AS472" s="19">
        <v>0</v>
      </c>
      <c r="AT472" s="19">
        <v>0</v>
      </c>
      <c r="AU472" s="19">
        <v>0</v>
      </c>
      <c r="AV472" s="19">
        <v>0</v>
      </c>
      <c r="AW472" s="19">
        <v>0</v>
      </c>
      <c r="AX472" s="19">
        <v>0</v>
      </c>
      <c r="AY472" s="19">
        <v>0</v>
      </c>
      <c r="AZ472" s="19">
        <v>0</v>
      </c>
      <c r="BA472" s="19">
        <v>0</v>
      </c>
      <c r="BB472" s="19">
        <v>0</v>
      </c>
      <c r="BC472" s="19">
        <v>0</v>
      </c>
      <c r="BD472" s="19">
        <v>0</v>
      </c>
      <c r="BE472" s="19">
        <v>0</v>
      </c>
      <c r="BF472" s="19">
        <v>0</v>
      </c>
      <c r="BG472" s="19">
        <v>0</v>
      </c>
      <c r="BH472" s="19">
        <v>0</v>
      </c>
      <c r="BI472" s="19">
        <v>0</v>
      </c>
      <c r="BJ472" s="19">
        <v>0</v>
      </c>
      <c r="BK472" s="19">
        <v>0</v>
      </c>
      <c r="BL472" s="19">
        <v>0</v>
      </c>
      <c r="BM472" s="19">
        <v>0</v>
      </c>
      <c r="BN472" s="19">
        <v>0</v>
      </c>
      <c r="BO472" s="19">
        <v>0</v>
      </c>
      <c r="BP472" s="19">
        <v>0</v>
      </c>
      <c r="BQ472" s="19">
        <v>0</v>
      </c>
      <c r="BR472" s="19">
        <v>0</v>
      </c>
      <c r="BS472" s="19">
        <v>0</v>
      </c>
      <c r="BT472" s="19">
        <v>0</v>
      </c>
      <c r="BU472" s="19">
        <v>0</v>
      </c>
      <c r="BV472" s="19">
        <v>0</v>
      </c>
      <c r="BW472" s="19">
        <v>0</v>
      </c>
      <c r="BX472" s="19">
        <v>0</v>
      </c>
      <c r="BY472" s="19">
        <v>0</v>
      </c>
      <c r="BZ472" s="19">
        <v>0</v>
      </c>
      <c r="CA472" s="19">
        <v>0</v>
      </c>
      <c r="CB472" s="19">
        <v>0</v>
      </c>
      <c r="CC472" s="19">
        <v>0</v>
      </c>
      <c r="CD472" s="19">
        <v>0</v>
      </c>
      <c r="CE472" s="19">
        <v>0</v>
      </c>
      <c r="CF472" s="19">
        <v>0</v>
      </c>
      <c r="CG472" s="19">
        <v>0</v>
      </c>
      <c r="CH472" s="19">
        <v>0</v>
      </c>
      <c r="CI472" s="19">
        <v>0</v>
      </c>
      <c r="CJ472" s="19">
        <v>0</v>
      </c>
      <c r="CK472" s="19">
        <v>0</v>
      </c>
      <c r="CL472" s="19">
        <v>0</v>
      </c>
      <c r="CM472" s="19">
        <v>0</v>
      </c>
      <c r="CN472" s="19">
        <v>0</v>
      </c>
      <c r="CO472" s="19">
        <v>0</v>
      </c>
      <c r="CP472" s="19">
        <v>0</v>
      </c>
      <c r="CQ472" s="19">
        <v>0</v>
      </c>
      <c r="CR472" s="19">
        <v>0</v>
      </c>
      <c r="CS472" s="19">
        <v>0</v>
      </c>
      <c r="CT472" s="19">
        <v>0</v>
      </c>
      <c r="CU472" s="19">
        <v>0</v>
      </c>
      <c r="CV472" s="19">
        <v>0</v>
      </c>
      <c r="CW472" s="19">
        <v>0</v>
      </c>
      <c r="CX472" s="19">
        <v>0</v>
      </c>
      <c r="CY472" s="19">
        <v>0</v>
      </c>
      <c r="CZ472" s="19">
        <v>0</v>
      </c>
      <c r="DA472" s="19">
        <v>0</v>
      </c>
      <c r="DB472" s="19">
        <v>0</v>
      </c>
      <c r="DC472" s="19">
        <v>0</v>
      </c>
      <c r="DD472" s="19">
        <v>0</v>
      </c>
      <c r="DE472" s="19">
        <v>0</v>
      </c>
      <c r="DF472" s="19">
        <v>0</v>
      </c>
      <c r="DG472" s="19">
        <v>0</v>
      </c>
      <c r="DH472" s="19">
        <v>0</v>
      </c>
      <c r="DI472" s="19">
        <v>0</v>
      </c>
      <c r="DJ472" s="19">
        <v>0</v>
      </c>
      <c r="DK472" s="19">
        <v>0</v>
      </c>
      <c r="DL472" s="19">
        <v>0</v>
      </c>
      <c r="DM472" s="19">
        <v>0</v>
      </c>
      <c r="DN472" s="19">
        <v>0</v>
      </c>
      <c r="DO472" s="19">
        <v>0</v>
      </c>
      <c r="DP472" s="19">
        <v>0</v>
      </c>
      <c r="DQ472" s="19">
        <v>0</v>
      </c>
      <c r="DR472" s="19">
        <v>0</v>
      </c>
      <c r="DS472" s="19">
        <v>0</v>
      </c>
      <c r="DT472" s="19">
        <v>0</v>
      </c>
      <c r="DU472" s="19">
        <v>0</v>
      </c>
      <c r="DV472" s="19">
        <v>0</v>
      </c>
      <c r="DW472" s="19">
        <v>0</v>
      </c>
      <c r="DX472" s="19">
        <v>0</v>
      </c>
      <c r="DY472" s="19">
        <v>0</v>
      </c>
      <c r="DZ472" s="19">
        <v>0</v>
      </c>
      <c r="EA472" s="19">
        <v>0</v>
      </c>
      <c r="EB472" s="19">
        <v>0</v>
      </c>
      <c r="EC472" s="19">
        <v>0</v>
      </c>
      <c r="ED472" s="19">
        <v>0</v>
      </c>
      <c r="EE472" s="19">
        <v>0</v>
      </c>
      <c r="EF472" s="19">
        <v>0</v>
      </c>
      <c r="EG472" s="19">
        <v>0</v>
      </c>
      <c r="EH472" s="19">
        <v>0</v>
      </c>
      <c r="EI472" s="19">
        <v>0</v>
      </c>
      <c r="EJ472" s="19">
        <v>0</v>
      </c>
      <c r="EK472" s="19">
        <v>0</v>
      </c>
      <c r="EL472" s="19">
        <v>0</v>
      </c>
      <c r="EM472" s="19">
        <v>0</v>
      </c>
      <c r="EN472" s="19">
        <v>0</v>
      </c>
      <c r="EO472" s="19">
        <v>0</v>
      </c>
      <c r="EP472" s="19">
        <v>0</v>
      </c>
      <c r="EQ472" s="19">
        <v>0</v>
      </c>
      <c r="ER472" s="19">
        <v>0</v>
      </c>
      <c r="ES472" s="119">
        <v>0</v>
      </c>
      <c r="ET472" s="119">
        <v>0</v>
      </c>
    </row>
    <row r="473" spans="1:150" ht="16.5" customHeight="1" x14ac:dyDescent="0.35">
      <c r="A473" s="4">
        <v>216</v>
      </c>
      <c r="B473" s="4" t="str">
        <f>LOOKUP(A473,Lookup!$A$1:$A$34,Lookup!$B$1:$B$34)</f>
        <v>BUTCH  WORS/MINCE/PAT</v>
      </c>
      <c r="C473" s="5">
        <v>62607</v>
      </c>
      <c r="D473" s="6" t="s">
        <v>450</v>
      </c>
      <c r="E473" s="18">
        <v>322.18913043478301</v>
      </c>
      <c r="F473" s="18">
        <v>4.5</v>
      </c>
      <c r="G473" s="18">
        <v>15465.078260869601</v>
      </c>
      <c r="H473" s="18">
        <v>216</v>
      </c>
      <c r="I473" s="19">
        <v>0</v>
      </c>
      <c r="J473" s="19">
        <v>0</v>
      </c>
      <c r="K473" s="19">
        <v>0</v>
      </c>
      <c r="L473" s="19">
        <v>0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0</v>
      </c>
      <c r="AD473" s="19">
        <v>0</v>
      </c>
      <c r="AE473" s="19">
        <v>0</v>
      </c>
      <c r="AF473" s="19">
        <v>0</v>
      </c>
      <c r="AG473" s="19">
        <v>0</v>
      </c>
      <c r="AH473" s="19">
        <v>0</v>
      </c>
      <c r="AI473" s="19">
        <v>0</v>
      </c>
      <c r="AJ473" s="19">
        <v>0</v>
      </c>
      <c r="AK473" s="19">
        <v>0</v>
      </c>
      <c r="AL473" s="19">
        <v>0</v>
      </c>
      <c r="AM473" s="19">
        <v>0</v>
      </c>
      <c r="AN473" s="19">
        <v>0</v>
      </c>
      <c r="AO473" s="19">
        <v>0</v>
      </c>
      <c r="AP473" s="19">
        <v>0</v>
      </c>
      <c r="AQ473" s="19">
        <v>0</v>
      </c>
      <c r="AR473" s="19">
        <v>0</v>
      </c>
      <c r="AS473" s="19">
        <v>0</v>
      </c>
      <c r="AT473" s="19">
        <v>0</v>
      </c>
      <c r="AU473" s="19">
        <v>0</v>
      </c>
      <c r="AV473" s="19">
        <v>0</v>
      </c>
      <c r="AW473" s="19">
        <v>0</v>
      </c>
      <c r="AX473" s="19">
        <v>0</v>
      </c>
      <c r="AY473" s="19">
        <v>0</v>
      </c>
      <c r="AZ473" s="19">
        <v>0</v>
      </c>
      <c r="BA473" s="19">
        <v>0</v>
      </c>
      <c r="BB473" s="19">
        <v>0</v>
      </c>
      <c r="BC473" s="19">
        <v>347.78260869565202</v>
      </c>
      <c r="BD473" s="19">
        <v>5</v>
      </c>
      <c r="BE473" s="19">
        <v>69.556521739130403</v>
      </c>
      <c r="BF473" s="19">
        <v>1</v>
      </c>
      <c r="BG473" s="19">
        <v>417.33913043478299</v>
      </c>
      <c r="BH473" s="19">
        <v>6</v>
      </c>
      <c r="BI473" s="19">
        <v>288.66086956521701</v>
      </c>
      <c r="BJ473" s="19">
        <v>4</v>
      </c>
      <c r="BK473" s="19">
        <v>288.66086956521701</v>
      </c>
      <c r="BL473" s="19">
        <v>4</v>
      </c>
      <c r="BM473" s="19">
        <v>505.15652173913003</v>
      </c>
      <c r="BN473" s="19">
        <v>7</v>
      </c>
      <c r="BO473" s="19">
        <v>360.82608695652198</v>
      </c>
      <c r="BP473" s="19">
        <v>5</v>
      </c>
      <c r="BQ473" s="19">
        <v>505.15652173913003</v>
      </c>
      <c r="BR473" s="19">
        <v>7</v>
      </c>
      <c r="BS473" s="19">
        <v>432.99130434782597</v>
      </c>
      <c r="BT473" s="19">
        <v>6</v>
      </c>
      <c r="BU473" s="19">
        <v>505.15652173913003</v>
      </c>
      <c r="BV473" s="19">
        <v>7</v>
      </c>
      <c r="BW473" s="19">
        <v>432.99130434782597</v>
      </c>
      <c r="BX473" s="19">
        <v>6</v>
      </c>
      <c r="BY473" s="19">
        <v>505.15652173913003</v>
      </c>
      <c r="BZ473" s="19">
        <v>7</v>
      </c>
      <c r="CA473" s="19">
        <v>577.32173913043505</v>
      </c>
      <c r="CB473" s="19">
        <v>8</v>
      </c>
      <c r="CC473" s="19">
        <v>216.49565217391299</v>
      </c>
      <c r="CD473" s="19">
        <v>3</v>
      </c>
      <c r="CE473" s="19">
        <v>288.66086956521701</v>
      </c>
      <c r="CF473" s="19">
        <v>4</v>
      </c>
      <c r="CG473" s="19">
        <v>432.99130434782597</v>
      </c>
      <c r="CH473" s="19">
        <v>6</v>
      </c>
      <c r="CI473" s="19">
        <v>360.82608695652198</v>
      </c>
      <c r="CJ473" s="19">
        <v>5</v>
      </c>
      <c r="CK473" s="19">
        <v>288.66086956521701</v>
      </c>
      <c r="CL473" s="19">
        <v>4</v>
      </c>
      <c r="CM473" s="19">
        <v>216.49565217391299</v>
      </c>
      <c r="CN473" s="19">
        <v>3</v>
      </c>
      <c r="CO473" s="19">
        <v>360.82608695652198</v>
      </c>
      <c r="CP473" s="19">
        <v>5</v>
      </c>
      <c r="CQ473" s="19">
        <v>505.15652173913003</v>
      </c>
      <c r="CR473" s="19">
        <v>7</v>
      </c>
      <c r="CS473" s="19">
        <v>288.66086956521701</v>
      </c>
      <c r="CT473" s="19">
        <v>4</v>
      </c>
      <c r="CU473" s="19">
        <v>288.66086956521701</v>
      </c>
      <c r="CV473" s="19">
        <v>4</v>
      </c>
      <c r="CW473" s="19">
        <v>360.82608695652198</v>
      </c>
      <c r="CX473" s="19">
        <v>5</v>
      </c>
      <c r="CY473" s="19">
        <v>649.48695652173899</v>
      </c>
      <c r="CZ473" s="19">
        <v>9</v>
      </c>
      <c r="DA473" s="19">
        <v>649.48695652173899</v>
      </c>
      <c r="DB473" s="19">
        <v>9</v>
      </c>
      <c r="DC473" s="19">
        <v>144.33043478260899</v>
      </c>
      <c r="DD473" s="19">
        <v>2</v>
      </c>
      <c r="DE473" s="19">
        <v>505.15652173913003</v>
      </c>
      <c r="DF473" s="19">
        <v>7</v>
      </c>
      <c r="DG473" s="19">
        <v>360.82608695652198</v>
      </c>
      <c r="DH473" s="19">
        <v>5</v>
      </c>
      <c r="DI473" s="19">
        <v>432.99130434782597</v>
      </c>
      <c r="DJ473" s="19">
        <v>6</v>
      </c>
      <c r="DK473" s="19">
        <v>577.32173913043505</v>
      </c>
      <c r="DL473" s="19">
        <v>8</v>
      </c>
      <c r="DM473" s="19">
        <v>72.165217391304296</v>
      </c>
      <c r="DN473" s="19">
        <v>1</v>
      </c>
      <c r="DO473" s="19">
        <v>432.99130434782597</v>
      </c>
      <c r="DP473" s="19">
        <v>6</v>
      </c>
      <c r="DQ473" s="19">
        <v>360.82608695652198</v>
      </c>
      <c r="DR473" s="19">
        <v>5</v>
      </c>
      <c r="DS473" s="19">
        <v>0</v>
      </c>
      <c r="DT473" s="19">
        <v>0</v>
      </c>
      <c r="DU473" s="19">
        <v>0</v>
      </c>
      <c r="DV473" s="19">
        <v>0</v>
      </c>
      <c r="DW473" s="19">
        <v>0</v>
      </c>
      <c r="DX473" s="19">
        <v>0</v>
      </c>
      <c r="DY473" s="19">
        <v>0</v>
      </c>
      <c r="DZ473" s="19">
        <v>0</v>
      </c>
      <c r="EA473" s="19">
        <v>0</v>
      </c>
      <c r="EB473" s="19">
        <v>0</v>
      </c>
      <c r="EC473" s="19">
        <v>0</v>
      </c>
      <c r="ED473" s="19">
        <v>0</v>
      </c>
      <c r="EE473" s="19">
        <v>139.11304347826101</v>
      </c>
      <c r="EF473" s="19">
        <v>2</v>
      </c>
      <c r="EG473" s="19">
        <v>417.33913043478299</v>
      </c>
      <c r="EH473" s="19">
        <v>6</v>
      </c>
      <c r="EI473" s="19">
        <v>417.33913043478299</v>
      </c>
      <c r="EJ473" s="19">
        <v>6</v>
      </c>
      <c r="EK473" s="19">
        <v>347.78260869565202</v>
      </c>
      <c r="EL473" s="19">
        <v>5</v>
      </c>
      <c r="EM473" s="19">
        <v>347.78260869565202</v>
      </c>
      <c r="EN473" s="19">
        <v>5</v>
      </c>
      <c r="EO473" s="19">
        <v>347.78260869565202</v>
      </c>
      <c r="EP473" s="19">
        <v>5</v>
      </c>
      <c r="EQ473" s="19">
        <v>417.33913043478299</v>
      </c>
      <c r="ER473" s="19">
        <v>6</v>
      </c>
      <c r="ES473" s="119">
        <v>69.556521739130403</v>
      </c>
      <c r="ET473" s="119">
        <v>1</v>
      </c>
    </row>
    <row r="474" spans="1:150" ht="16.5" customHeight="1" x14ac:dyDescent="0.35">
      <c r="A474" s="4">
        <v>216</v>
      </c>
      <c r="B474" s="4" t="str">
        <f>LOOKUP(A474,Lookup!$A$1:$A$34,Lookup!$B$1:$B$34)</f>
        <v>BUTCH  WORS/MINCE/PAT</v>
      </c>
      <c r="C474" s="5">
        <v>62925</v>
      </c>
      <c r="D474" s="6" t="s">
        <v>451</v>
      </c>
      <c r="E474" s="18">
        <v>0</v>
      </c>
      <c r="F474" s="18">
        <v>0</v>
      </c>
      <c r="G474" s="18">
        <v>0</v>
      </c>
      <c r="H474" s="18">
        <v>0</v>
      </c>
      <c r="I474" s="19">
        <v>0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19">
        <v>0</v>
      </c>
      <c r="AJ474" s="19">
        <v>0</v>
      </c>
      <c r="AK474" s="19">
        <v>0</v>
      </c>
      <c r="AL474" s="19">
        <v>0</v>
      </c>
      <c r="AM474" s="19">
        <v>0</v>
      </c>
      <c r="AN474" s="19">
        <v>0</v>
      </c>
      <c r="AO474" s="19">
        <v>0</v>
      </c>
      <c r="AP474" s="19">
        <v>0</v>
      </c>
      <c r="AQ474" s="19">
        <v>0</v>
      </c>
      <c r="AR474" s="19">
        <v>0</v>
      </c>
      <c r="AS474" s="19">
        <v>0</v>
      </c>
      <c r="AT474" s="19">
        <v>0</v>
      </c>
      <c r="AU474" s="19">
        <v>0</v>
      </c>
      <c r="AV474" s="19">
        <v>0</v>
      </c>
      <c r="AW474" s="19">
        <v>0</v>
      </c>
      <c r="AX474" s="19">
        <v>0</v>
      </c>
      <c r="AY474" s="19">
        <v>0</v>
      </c>
      <c r="AZ474" s="19">
        <v>0</v>
      </c>
      <c r="BA474" s="19">
        <v>0</v>
      </c>
      <c r="BB474" s="19">
        <v>0</v>
      </c>
      <c r="BC474" s="19">
        <v>0</v>
      </c>
      <c r="BD474" s="19">
        <v>0</v>
      </c>
      <c r="BE474" s="19">
        <v>0</v>
      </c>
      <c r="BF474" s="19">
        <v>0</v>
      </c>
      <c r="BG474" s="19">
        <v>0</v>
      </c>
      <c r="BH474" s="19">
        <v>0</v>
      </c>
      <c r="BI474" s="19">
        <v>0</v>
      </c>
      <c r="BJ474" s="19">
        <v>0</v>
      </c>
      <c r="BK474" s="19">
        <v>0</v>
      </c>
      <c r="BL474" s="19">
        <v>0</v>
      </c>
      <c r="BM474" s="19">
        <v>0</v>
      </c>
      <c r="BN474" s="19">
        <v>0</v>
      </c>
      <c r="BO474" s="19">
        <v>0</v>
      </c>
      <c r="BP474" s="19">
        <v>0</v>
      </c>
      <c r="BQ474" s="19">
        <v>0</v>
      </c>
      <c r="BR474" s="19">
        <v>0</v>
      </c>
      <c r="BS474" s="19">
        <v>0</v>
      </c>
      <c r="BT474" s="19">
        <v>0</v>
      </c>
      <c r="BU474" s="19">
        <v>0</v>
      </c>
      <c r="BV474" s="19">
        <v>0</v>
      </c>
      <c r="BW474" s="19">
        <v>0</v>
      </c>
      <c r="BX474" s="19">
        <v>0</v>
      </c>
      <c r="BY474" s="19">
        <v>0</v>
      </c>
      <c r="BZ474" s="19">
        <v>0</v>
      </c>
      <c r="CA474" s="19">
        <v>0</v>
      </c>
      <c r="CB474" s="19">
        <v>0</v>
      </c>
      <c r="CC474" s="19">
        <v>0</v>
      </c>
      <c r="CD474" s="19">
        <v>0</v>
      </c>
      <c r="CE474" s="19">
        <v>0</v>
      </c>
      <c r="CF474" s="19">
        <v>0</v>
      </c>
      <c r="CG474" s="19">
        <v>0</v>
      </c>
      <c r="CH474" s="19">
        <v>0</v>
      </c>
      <c r="CI474" s="19">
        <v>0</v>
      </c>
      <c r="CJ474" s="19">
        <v>0</v>
      </c>
      <c r="CK474" s="19">
        <v>0</v>
      </c>
      <c r="CL474" s="19">
        <v>0</v>
      </c>
      <c r="CM474" s="19">
        <v>0</v>
      </c>
      <c r="CN474" s="19">
        <v>0</v>
      </c>
      <c r="CO474" s="19">
        <v>0</v>
      </c>
      <c r="CP474" s="19">
        <v>0</v>
      </c>
      <c r="CQ474" s="19">
        <v>0</v>
      </c>
      <c r="CR474" s="19">
        <v>0</v>
      </c>
      <c r="CS474" s="19">
        <v>0</v>
      </c>
      <c r="CT474" s="19">
        <v>0</v>
      </c>
      <c r="CU474" s="19">
        <v>0</v>
      </c>
      <c r="CV474" s="19">
        <v>0</v>
      </c>
      <c r="CW474" s="19">
        <v>0</v>
      </c>
      <c r="CX474" s="19">
        <v>0</v>
      </c>
      <c r="CY474" s="19">
        <v>0</v>
      </c>
      <c r="CZ474" s="19">
        <v>0</v>
      </c>
      <c r="DA474" s="19">
        <v>0</v>
      </c>
      <c r="DB474" s="19">
        <v>0</v>
      </c>
      <c r="DC474" s="19">
        <v>0</v>
      </c>
      <c r="DD474" s="19">
        <v>0</v>
      </c>
      <c r="DE474" s="19">
        <v>0</v>
      </c>
      <c r="DF474" s="19">
        <v>0</v>
      </c>
      <c r="DG474" s="19">
        <v>0</v>
      </c>
      <c r="DH474" s="19">
        <v>0</v>
      </c>
      <c r="DI474" s="19">
        <v>0</v>
      </c>
      <c r="DJ474" s="19">
        <v>0</v>
      </c>
      <c r="DK474" s="19">
        <v>0</v>
      </c>
      <c r="DL474" s="19">
        <v>0</v>
      </c>
      <c r="DM474" s="19">
        <v>0</v>
      </c>
      <c r="DN474" s="19">
        <v>0</v>
      </c>
      <c r="DO474" s="19">
        <v>0</v>
      </c>
      <c r="DP474" s="19">
        <v>0</v>
      </c>
      <c r="DQ474" s="19">
        <v>0</v>
      </c>
      <c r="DR474" s="19">
        <v>0</v>
      </c>
      <c r="DS474" s="19">
        <v>0</v>
      </c>
      <c r="DT474" s="19">
        <v>0</v>
      </c>
      <c r="DU474" s="19">
        <v>0</v>
      </c>
      <c r="DV474" s="19">
        <v>0</v>
      </c>
      <c r="DW474" s="19">
        <v>0</v>
      </c>
      <c r="DX474" s="19">
        <v>0</v>
      </c>
      <c r="DY474" s="19">
        <v>0</v>
      </c>
      <c r="DZ474" s="19">
        <v>0</v>
      </c>
      <c r="EA474" s="19">
        <v>0</v>
      </c>
      <c r="EB474" s="19">
        <v>0</v>
      </c>
      <c r="EC474" s="19">
        <v>0</v>
      </c>
      <c r="ED474" s="19">
        <v>0</v>
      </c>
      <c r="EE474" s="19">
        <v>0</v>
      </c>
      <c r="EF474" s="19">
        <v>0</v>
      </c>
      <c r="EG474" s="19">
        <v>0</v>
      </c>
      <c r="EH474" s="19">
        <v>0</v>
      </c>
      <c r="EI474" s="19">
        <v>0</v>
      </c>
      <c r="EJ474" s="19">
        <v>0</v>
      </c>
      <c r="EK474" s="19">
        <v>0</v>
      </c>
      <c r="EL474" s="19">
        <v>0</v>
      </c>
      <c r="EM474" s="19">
        <v>0</v>
      </c>
      <c r="EN474" s="19">
        <v>0</v>
      </c>
      <c r="EO474" s="19">
        <v>0</v>
      </c>
      <c r="EP474" s="19">
        <v>0</v>
      </c>
      <c r="EQ474" s="19">
        <v>0</v>
      </c>
      <c r="ER474" s="19">
        <v>0</v>
      </c>
      <c r="ES474" s="119">
        <v>0</v>
      </c>
      <c r="ET474" s="119">
        <v>0</v>
      </c>
    </row>
    <row r="475" spans="1:150" ht="16.5" customHeight="1" x14ac:dyDescent="0.35">
      <c r="A475" s="4">
        <v>216</v>
      </c>
      <c r="B475" s="4" t="str">
        <f>LOOKUP(A475,Lookup!$A$1:$A$34,Lookup!$B$1:$B$34)</f>
        <v>BUTCH  WORS/MINCE/PAT</v>
      </c>
      <c r="C475" s="5">
        <v>63038</v>
      </c>
      <c r="D475" s="6" t="s">
        <v>452</v>
      </c>
      <c r="E475" s="18">
        <v>0</v>
      </c>
      <c r="F475" s="18">
        <v>0</v>
      </c>
      <c r="G475" s="18">
        <v>0</v>
      </c>
      <c r="H475" s="18">
        <v>0</v>
      </c>
      <c r="I475" s="19">
        <v>0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0</v>
      </c>
      <c r="AT475" s="19">
        <v>0</v>
      </c>
      <c r="AU475" s="19">
        <v>0</v>
      </c>
      <c r="AV475" s="19">
        <v>0</v>
      </c>
      <c r="AW475" s="19">
        <v>0</v>
      </c>
      <c r="AX475" s="19">
        <v>0</v>
      </c>
      <c r="AY475" s="19">
        <v>0</v>
      </c>
      <c r="AZ475" s="19">
        <v>0</v>
      </c>
      <c r="BA475" s="19">
        <v>0</v>
      </c>
      <c r="BB475" s="19">
        <v>0</v>
      </c>
      <c r="BC475" s="19">
        <v>0</v>
      </c>
      <c r="BD475" s="19">
        <v>0</v>
      </c>
      <c r="BE475" s="19">
        <v>0</v>
      </c>
      <c r="BF475" s="19">
        <v>0</v>
      </c>
      <c r="BG475" s="19">
        <v>0</v>
      </c>
      <c r="BH475" s="19">
        <v>0</v>
      </c>
      <c r="BI475" s="19">
        <v>0</v>
      </c>
      <c r="BJ475" s="19">
        <v>0</v>
      </c>
      <c r="BK475" s="19">
        <v>0</v>
      </c>
      <c r="BL475" s="19">
        <v>0</v>
      </c>
      <c r="BM475" s="19">
        <v>0</v>
      </c>
      <c r="BN475" s="19">
        <v>0</v>
      </c>
      <c r="BO475" s="19">
        <v>0</v>
      </c>
      <c r="BP475" s="19">
        <v>0</v>
      </c>
      <c r="BQ475" s="19">
        <v>0</v>
      </c>
      <c r="BR475" s="19">
        <v>0</v>
      </c>
      <c r="BS475" s="19">
        <v>0</v>
      </c>
      <c r="BT475" s="19">
        <v>0</v>
      </c>
      <c r="BU475" s="19">
        <v>0</v>
      </c>
      <c r="BV475" s="19">
        <v>0</v>
      </c>
      <c r="BW475" s="19">
        <v>0</v>
      </c>
      <c r="BX475" s="19">
        <v>0</v>
      </c>
      <c r="BY475" s="19">
        <v>0</v>
      </c>
      <c r="BZ475" s="19">
        <v>0</v>
      </c>
      <c r="CA475" s="19">
        <v>0</v>
      </c>
      <c r="CB475" s="19">
        <v>0</v>
      </c>
      <c r="CC475" s="19">
        <v>0</v>
      </c>
      <c r="CD475" s="19">
        <v>0</v>
      </c>
      <c r="CE475" s="19">
        <v>0</v>
      </c>
      <c r="CF475" s="19">
        <v>0</v>
      </c>
      <c r="CG475" s="19">
        <v>0</v>
      </c>
      <c r="CH475" s="19">
        <v>0</v>
      </c>
      <c r="CI475" s="19">
        <v>0</v>
      </c>
      <c r="CJ475" s="19">
        <v>0</v>
      </c>
      <c r="CK475" s="19">
        <v>0</v>
      </c>
      <c r="CL475" s="19">
        <v>0</v>
      </c>
      <c r="CM475" s="19">
        <v>0</v>
      </c>
      <c r="CN475" s="19">
        <v>0</v>
      </c>
      <c r="CO475" s="19">
        <v>0</v>
      </c>
      <c r="CP475" s="19">
        <v>0</v>
      </c>
      <c r="CQ475" s="19">
        <v>0</v>
      </c>
      <c r="CR475" s="19">
        <v>0</v>
      </c>
      <c r="CS475" s="19">
        <v>0</v>
      </c>
      <c r="CT475" s="19">
        <v>0</v>
      </c>
      <c r="CU475" s="19">
        <v>0</v>
      </c>
      <c r="CV475" s="19">
        <v>0</v>
      </c>
      <c r="CW475" s="19">
        <v>0</v>
      </c>
      <c r="CX475" s="19">
        <v>0</v>
      </c>
      <c r="CY475" s="19">
        <v>0</v>
      </c>
      <c r="CZ475" s="19">
        <v>0</v>
      </c>
      <c r="DA475" s="19">
        <v>0</v>
      </c>
      <c r="DB475" s="19">
        <v>0</v>
      </c>
      <c r="DC475" s="19">
        <v>0</v>
      </c>
      <c r="DD475" s="19">
        <v>0</v>
      </c>
      <c r="DE475" s="19">
        <v>0</v>
      </c>
      <c r="DF475" s="19">
        <v>0</v>
      </c>
      <c r="DG475" s="19">
        <v>0</v>
      </c>
      <c r="DH475" s="19">
        <v>0</v>
      </c>
      <c r="DI475" s="19">
        <v>0</v>
      </c>
      <c r="DJ475" s="19">
        <v>0</v>
      </c>
      <c r="DK475" s="19">
        <v>0</v>
      </c>
      <c r="DL475" s="19">
        <v>0</v>
      </c>
      <c r="DM475" s="19">
        <v>0</v>
      </c>
      <c r="DN475" s="19">
        <v>0</v>
      </c>
      <c r="DO475" s="19">
        <v>0</v>
      </c>
      <c r="DP475" s="19">
        <v>0</v>
      </c>
      <c r="DQ475" s="19">
        <v>0</v>
      </c>
      <c r="DR475" s="19">
        <v>0</v>
      </c>
      <c r="DS475" s="19">
        <v>0</v>
      </c>
      <c r="DT475" s="19">
        <v>0</v>
      </c>
      <c r="DU475" s="19">
        <v>0</v>
      </c>
      <c r="DV475" s="19">
        <v>0</v>
      </c>
      <c r="DW475" s="19">
        <v>0</v>
      </c>
      <c r="DX475" s="19">
        <v>0</v>
      </c>
      <c r="DY475" s="19">
        <v>0</v>
      </c>
      <c r="DZ475" s="19">
        <v>0</v>
      </c>
      <c r="EA475" s="19">
        <v>0</v>
      </c>
      <c r="EB475" s="19">
        <v>0</v>
      </c>
      <c r="EC475" s="19">
        <v>0</v>
      </c>
      <c r="ED475" s="19">
        <v>0</v>
      </c>
      <c r="EE475" s="19">
        <v>0</v>
      </c>
      <c r="EF475" s="19">
        <v>0</v>
      </c>
      <c r="EG475" s="19">
        <v>0</v>
      </c>
      <c r="EH475" s="19">
        <v>0</v>
      </c>
      <c r="EI475" s="19">
        <v>0</v>
      </c>
      <c r="EJ475" s="19">
        <v>0</v>
      </c>
      <c r="EK475" s="19">
        <v>0</v>
      </c>
      <c r="EL475" s="19">
        <v>0</v>
      </c>
      <c r="EM475" s="19">
        <v>0</v>
      </c>
      <c r="EN475" s="19">
        <v>0</v>
      </c>
      <c r="EO475" s="19">
        <v>0</v>
      </c>
      <c r="EP475" s="19">
        <v>0</v>
      </c>
      <c r="EQ475" s="19">
        <v>0</v>
      </c>
      <c r="ER475" s="19">
        <v>0</v>
      </c>
      <c r="ES475" s="119">
        <v>0</v>
      </c>
      <c r="ET475" s="119">
        <v>0</v>
      </c>
    </row>
    <row r="476" spans="1:150" ht="16.5" customHeight="1" x14ac:dyDescent="0.35">
      <c r="A476" s="4">
        <v>216</v>
      </c>
      <c r="B476" s="4" t="str">
        <f>LOOKUP(A476,Lookup!$A$1:$A$34,Lookup!$B$1:$B$34)</f>
        <v>BUTCH  WORS/MINCE/PAT</v>
      </c>
      <c r="C476" s="5">
        <v>63101</v>
      </c>
      <c r="D476" s="6" t="s">
        <v>453</v>
      </c>
      <c r="E476" s="18">
        <v>37.623809523809499</v>
      </c>
      <c r="F476" s="18">
        <v>0.41699999999999998</v>
      </c>
      <c r="G476" s="18">
        <v>1580.2</v>
      </c>
      <c r="H476" s="18">
        <v>17.504000000000001</v>
      </c>
      <c r="I476" s="19">
        <v>0</v>
      </c>
      <c r="J476" s="19">
        <v>0</v>
      </c>
      <c r="K476" s="19">
        <v>0</v>
      </c>
      <c r="L476" s="19">
        <v>0</v>
      </c>
      <c r="M476" s="19">
        <v>0</v>
      </c>
      <c r="N476" s="19">
        <v>0</v>
      </c>
      <c r="O476" s="19">
        <v>0</v>
      </c>
      <c r="P476" s="19">
        <v>0</v>
      </c>
      <c r="Q476" s="19">
        <v>0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19">
        <v>0</v>
      </c>
      <c r="AJ476" s="19">
        <v>0</v>
      </c>
      <c r="AK476" s="19">
        <v>0</v>
      </c>
      <c r="AL476" s="19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0</v>
      </c>
      <c r="AU476" s="19">
        <v>0</v>
      </c>
      <c r="AV476" s="19">
        <v>0</v>
      </c>
      <c r="AW476" s="19">
        <v>0</v>
      </c>
      <c r="AX476" s="19">
        <v>0</v>
      </c>
      <c r="AY476" s="19">
        <v>0</v>
      </c>
      <c r="AZ476" s="19">
        <v>0</v>
      </c>
      <c r="BA476" s="19">
        <v>0</v>
      </c>
      <c r="BB476" s="19">
        <v>0</v>
      </c>
      <c r="BC476" s="19">
        <v>0</v>
      </c>
      <c r="BD476" s="19">
        <v>0</v>
      </c>
      <c r="BE476" s="19">
        <v>0</v>
      </c>
      <c r="BF476" s="19">
        <v>0</v>
      </c>
      <c r="BG476" s="19">
        <v>0</v>
      </c>
      <c r="BH476" s="19">
        <v>0</v>
      </c>
      <c r="BI476" s="19">
        <v>0</v>
      </c>
      <c r="BJ476" s="19">
        <v>0</v>
      </c>
      <c r="BK476" s="19">
        <v>0</v>
      </c>
      <c r="BL476" s="19">
        <v>0</v>
      </c>
      <c r="BM476" s="19">
        <v>0</v>
      </c>
      <c r="BN476" s="19">
        <v>0</v>
      </c>
      <c r="BO476" s="19">
        <v>659.18260869565199</v>
      </c>
      <c r="BP476" s="19">
        <v>7.1520000000000001</v>
      </c>
      <c r="BQ476" s="19">
        <v>368.66956521739098</v>
      </c>
      <c r="BR476" s="19">
        <v>4</v>
      </c>
      <c r="BS476" s="19">
        <v>0</v>
      </c>
      <c r="BT476" s="19">
        <v>0</v>
      </c>
      <c r="BU476" s="19">
        <v>0</v>
      </c>
      <c r="BV476" s="19">
        <v>0</v>
      </c>
      <c r="BW476" s="19">
        <v>0</v>
      </c>
      <c r="BX476" s="19">
        <v>0</v>
      </c>
      <c r="BY476" s="19">
        <v>0</v>
      </c>
      <c r="BZ476" s="19">
        <v>0</v>
      </c>
      <c r="CA476" s="19">
        <v>552.34782608695696</v>
      </c>
      <c r="CB476" s="19">
        <v>6.3520000000000003</v>
      </c>
      <c r="CC476" s="19">
        <v>0</v>
      </c>
      <c r="CD476" s="19">
        <v>0</v>
      </c>
      <c r="CE476" s="19">
        <v>0</v>
      </c>
      <c r="CF476" s="19">
        <v>0</v>
      </c>
      <c r="CG476" s="19">
        <v>0</v>
      </c>
      <c r="CH476" s="19">
        <v>0</v>
      </c>
      <c r="CI476" s="19">
        <v>0</v>
      </c>
      <c r="CJ476" s="19">
        <v>0</v>
      </c>
      <c r="CK476" s="19">
        <v>0</v>
      </c>
      <c r="CL476" s="19">
        <v>0</v>
      </c>
      <c r="CM476" s="19">
        <v>0</v>
      </c>
      <c r="CN476" s="19">
        <v>0</v>
      </c>
      <c r="CO476" s="19">
        <v>0</v>
      </c>
      <c r="CP476" s="19">
        <v>0</v>
      </c>
      <c r="CQ476" s="19">
        <v>0</v>
      </c>
      <c r="CR476" s="19">
        <v>0</v>
      </c>
      <c r="CS476" s="19">
        <v>0</v>
      </c>
      <c r="CT476" s="19">
        <v>0</v>
      </c>
      <c r="CU476" s="19">
        <v>0</v>
      </c>
      <c r="CV476" s="19">
        <v>0</v>
      </c>
      <c r="CW476" s="19">
        <v>0</v>
      </c>
      <c r="CX476" s="19">
        <v>0</v>
      </c>
      <c r="CY476" s="19">
        <v>0</v>
      </c>
      <c r="CZ476" s="19">
        <v>0</v>
      </c>
      <c r="DA476" s="19">
        <v>0</v>
      </c>
      <c r="DB476" s="19">
        <v>0</v>
      </c>
      <c r="DC476" s="19">
        <v>0</v>
      </c>
      <c r="DD476" s="19">
        <v>0</v>
      </c>
      <c r="DE476" s="19">
        <v>0</v>
      </c>
      <c r="DF476" s="19">
        <v>0</v>
      </c>
      <c r="DG476" s="19">
        <v>0</v>
      </c>
      <c r="DH476" s="19">
        <v>0</v>
      </c>
      <c r="DI476" s="19">
        <v>0</v>
      </c>
      <c r="DJ476" s="19">
        <v>0</v>
      </c>
      <c r="DK476" s="19">
        <v>0</v>
      </c>
      <c r="DL476" s="19">
        <v>0</v>
      </c>
      <c r="DM476" s="19">
        <v>0</v>
      </c>
      <c r="DN476" s="19">
        <v>0</v>
      </c>
      <c r="DO476" s="19">
        <v>0</v>
      </c>
      <c r="DP476" s="19">
        <v>0</v>
      </c>
      <c r="DQ476" s="19">
        <v>0</v>
      </c>
      <c r="DR476" s="19">
        <v>0</v>
      </c>
      <c r="DS476" s="19">
        <v>0</v>
      </c>
      <c r="DT476" s="19">
        <v>0</v>
      </c>
      <c r="DU476" s="19">
        <v>0</v>
      </c>
      <c r="DV476" s="19">
        <v>0</v>
      </c>
      <c r="DW476" s="19">
        <v>0</v>
      </c>
      <c r="DX476" s="19">
        <v>0</v>
      </c>
      <c r="DY476" s="19">
        <v>0</v>
      </c>
      <c r="DZ476" s="19">
        <v>0</v>
      </c>
      <c r="EA476" s="19">
        <v>0</v>
      </c>
      <c r="EB476" s="19">
        <v>0</v>
      </c>
      <c r="EC476" s="19">
        <v>0</v>
      </c>
      <c r="ED476" s="19">
        <v>0</v>
      </c>
      <c r="EE476" s="19">
        <v>0</v>
      </c>
      <c r="EF476" s="19">
        <v>0</v>
      </c>
      <c r="EG476" s="19">
        <v>0</v>
      </c>
      <c r="EH476" s="19">
        <v>0</v>
      </c>
      <c r="EI476" s="19">
        <v>0</v>
      </c>
      <c r="EJ476" s="19">
        <v>0</v>
      </c>
      <c r="EK476" s="19">
        <v>0</v>
      </c>
      <c r="EL476" s="19">
        <v>0</v>
      </c>
      <c r="EM476" s="19">
        <v>0</v>
      </c>
      <c r="EN476" s="19">
        <v>0</v>
      </c>
      <c r="EO476" s="19">
        <v>0</v>
      </c>
      <c r="EP476" s="19">
        <v>0</v>
      </c>
      <c r="EQ476" s="19">
        <v>0</v>
      </c>
      <c r="ER476" s="19">
        <v>0</v>
      </c>
      <c r="ES476" s="119">
        <v>0</v>
      </c>
      <c r="ET476" s="119">
        <v>0</v>
      </c>
    </row>
    <row r="477" spans="1:150" ht="16.5" customHeight="1" x14ac:dyDescent="0.35">
      <c r="A477" s="4">
        <v>216</v>
      </c>
      <c r="B477" s="4" t="str">
        <f>LOOKUP(A477,Lookup!$A$1:$A$34,Lookup!$B$1:$B$34)</f>
        <v>BUTCH  WORS/MINCE/PAT</v>
      </c>
      <c r="C477" s="5">
        <v>63222</v>
      </c>
      <c r="D477" s="6" t="s">
        <v>454</v>
      </c>
      <c r="E477" s="18">
        <v>207.91495227995799</v>
      </c>
      <c r="F477" s="18">
        <v>2.391</v>
      </c>
      <c r="G477" s="18">
        <v>8524.5130434782604</v>
      </c>
      <c r="H477" s="18">
        <v>98.042000000000002</v>
      </c>
      <c r="I477" s="19">
        <v>0</v>
      </c>
      <c r="J477" s="19">
        <v>0</v>
      </c>
      <c r="K477" s="19">
        <v>0</v>
      </c>
      <c r="L477" s="19">
        <v>0</v>
      </c>
      <c r="M477" s="19">
        <v>0</v>
      </c>
      <c r="N477" s="19">
        <v>0</v>
      </c>
      <c r="O477" s="19">
        <v>0</v>
      </c>
      <c r="P477" s="19">
        <v>0</v>
      </c>
      <c r="Q477" s="19">
        <v>0</v>
      </c>
      <c r="R477" s="19">
        <v>0</v>
      </c>
      <c r="S477" s="19">
        <v>0</v>
      </c>
      <c r="T477" s="19">
        <v>0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 s="19">
        <v>0</v>
      </c>
      <c r="AD477" s="19">
        <v>0</v>
      </c>
      <c r="AE477" s="19">
        <v>0</v>
      </c>
      <c r="AF477" s="19">
        <v>0</v>
      </c>
      <c r="AG477" s="19">
        <v>0</v>
      </c>
      <c r="AH477" s="19">
        <v>0</v>
      </c>
      <c r="AI477" s="19">
        <v>0</v>
      </c>
      <c r="AJ477" s="19">
        <v>0</v>
      </c>
      <c r="AK477" s="19">
        <v>0</v>
      </c>
      <c r="AL477" s="19">
        <v>0</v>
      </c>
      <c r="AM477" s="19">
        <v>0</v>
      </c>
      <c r="AN477" s="19">
        <v>0</v>
      </c>
      <c r="AO477" s="19">
        <v>0</v>
      </c>
      <c r="AP477" s="19">
        <v>0</v>
      </c>
      <c r="AQ477" s="19">
        <v>0</v>
      </c>
      <c r="AR477" s="19">
        <v>0</v>
      </c>
      <c r="AS477" s="19">
        <v>0</v>
      </c>
      <c r="AT477" s="19">
        <v>0</v>
      </c>
      <c r="AU477" s="19">
        <v>0</v>
      </c>
      <c r="AV477" s="19">
        <v>0</v>
      </c>
      <c r="AW477" s="19">
        <v>0</v>
      </c>
      <c r="AX477" s="19">
        <v>0</v>
      </c>
      <c r="AY477" s="19">
        <v>0</v>
      </c>
      <c r="AZ477" s="19">
        <v>0</v>
      </c>
      <c r="BA477" s="19">
        <v>0</v>
      </c>
      <c r="BB477" s="19">
        <v>0</v>
      </c>
      <c r="BC477" s="19">
        <v>0</v>
      </c>
      <c r="BD477" s="19">
        <v>0</v>
      </c>
      <c r="BE477" s="19">
        <v>0</v>
      </c>
      <c r="BF477" s="19">
        <v>0</v>
      </c>
      <c r="BG477" s="19">
        <v>0</v>
      </c>
      <c r="BH477" s="19">
        <v>0</v>
      </c>
      <c r="BI477" s="19">
        <v>0</v>
      </c>
      <c r="BJ477" s="19">
        <v>0</v>
      </c>
      <c r="BK477" s="19">
        <v>0</v>
      </c>
      <c r="BL477" s="19">
        <v>0</v>
      </c>
      <c r="BM477" s="19">
        <v>0</v>
      </c>
      <c r="BN477" s="19">
        <v>0</v>
      </c>
      <c r="BO477" s="19">
        <v>0</v>
      </c>
      <c r="BP477" s="19">
        <v>0</v>
      </c>
      <c r="BQ477" s="19">
        <v>336.49565217391302</v>
      </c>
      <c r="BR477" s="19">
        <v>3.87</v>
      </c>
      <c r="BS477" s="19">
        <v>609.147826086956</v>
      </c>
      <c r="BT477" s="19">
        <v>7.0060000000000002</v>
      </c>
      <c r="BU477" s="19">
        <v>302.06086956521699</v>
      </c>
      <c r="BV477" s="19">
        <v>3.4740000000000002</v>
      </c>
      <c r="BW477" s="19">
        <v>609.67826086956495</v>
      </c>
      <c r="BX477" s="19">
        <v>7.0119999999999996</v>
      </c>
      <c r="BY477" s="19">
        <v>0</v>
      </c>
      <c r="BZ477" s="19">
        <v>0</v>
      </c>
      <c r="CA477" s="19">
        <v>624.10434782608695</v>
      </c>
      <c r="CB477" s="19">
        <v>7.1779999999999999</v>
      </c>
      <c r="CC477" s="19">
        <v>296.84347826086997</v>
      </c>
      <c r="CD477" s="19">
        <v>3.4140000000000001</v>
      </c>
      <c r="CE477" s="19">
        <v>896.07826086956504</v>
      </c>
      <c r="CF477" s="19">
        <v>10.305999999999999</v>
      </c>
      <c r="CG477" s="19">
        <v>752.96521739130401</v>
      </c>
      <c r="CH477" s="19">
        <v>8.66</v>
      </c>
      <c r="CI477" s="19">
        <v>920.77391304347805</v>
      </c>
      <c r="CJ477" s="19">
        <v>10.59</v>
      </c>
      <c r="CK477" s="19">
        <v>265.36521739130399</v>
      </c>
      <c r="CL477" s="19">
        <v>3.052</v>
      </c>
      <c r="CM477" s="19">
        <v>837.99130434782603</v>
      </c>
      <c r="CN477" s="19">
        <v>9.6379999999999999</v>
      </c>
      <c r="CO477" s="19">
        <v>295.62608695652199</v>
      </c>
      <c r="CP477" s="19">
        <v>3.4</v>
      </c>
      <c r="CQ477" s="19">
        <v>617.49565217391296</v>
      </c>
      <c r="CR477" s="19">
        <v>7.1020000000000003</v>
      </c>
      <c r="CS477" s="19">
        <v>304.32173913043499</v>
      </c>
      <c r="CT477" s="19">
        <v>3.5</v>
      </c>
      <c r="CU477" s="19">
        <v>566.547826086957</v>
      </c>
      <c r="CV477" s="19">
        <v>6.516</v>
      </c>
      <c r="CW477" s="19">
        <v>289.017391304348</v>
      </c>
      <c r="CX477" s="19">
        <v>3.3239999999999998</v>
      </c>
      <c r="CY477" s="19">
        <v>0</v>
      </c>
      <c r="CZ477" s="19">
        <v>0</v>
      </c>
      <c r="DA477" s="19">
        <v>0</v>
      </c>
      <c r="DB477" s="19">
        <v>0</v>
      </c>
      <c r="DC477" s="19">
        <v>0</v>
      </c>
      <c r="DD477" s="19">
        <v>0</v>
      </c>
      <c r="DE477" s="19">
        <v>0</v>
      </c>
      <c r="DF477" s="19">
        <v>0</v>
      </c>
      <c r="DG477" s="19">
        <v>0</v>
      </c>
      <c r="DH477" s="19">
        <v>0</v>
      </c>
      <c r="DI477" s="19">
        <v>0</v>
      </c>
      <c r="DJ477" s="19">
        <v>0</v>
      </c>
      <c r="DK477" s="19">
        <v>0</v>
      </c>
      <c r="DL477" s="19">
        <v>0</v>
      </c>
      <c r="DM477" s="19">
        <v>0</v>
      </c>
      <c r="DN477" s="19">
        <v>0</v>
      </c>
      <c r="DO477" s="19">
        <v>0</v>
      </c>
      <c r="DP477" s="19">
        <v>0</v>
      </c>
      <c r="DQ477" s="19">
        <v>0</v>
      </c>
      <c r="DR477" s="19">
        <v>0</v>
      </c>
      <c r="DS477" s="19">
        <v>0</v>
      </c>
      <c r="DT477" s="19">
        <v>0</v>
      </c>
      <c r="DU477" s="19">
        <v>0</v>
      </c>
      <c r="DV477" s="19">
        <v>0</v>
      </c>
      <c r="DW477" s="19">
        <v>0</v>
      </c>
      <c r="DX477" s="19">
        <v>0</v>
      </c>
      <c r="DY477" s="19">
        <v>0</v>
      </c>
      <c r="DZ477" s="19">
        <v>0</v>
      </c>
      <c r="EA477" s="19">
        <v>0</v>
      </c>
      <c r="EB477" s="19">
        <v>0</v>
      </c>
      <c r="EC477" s="19">
        <v>0</v>
      </c>
      <c r="ED477" s="19">
        <v>0</v>
      </c>
      <c r="EE477" s="19">
        <v>0</v>
      </c>
      <c r="EF477" s="19">
        <v>0</v>
      </c>
      <c r="EG477" s="19">
        <v>0</v>
      </c>
      <c r="EH477" s="19">
        <v>0</v>
      </c>
      <c r="EI477" s="19">
        <v>0</v>
      </c>
      <c r="EJ477" s="19">
        <v>0</v>
      </c>
      <c r="EK477" s="19">
        <v>0</v>
      </c>
      <c r="EL477" s="19">
        <v>0</v>
      </c>
      <c r="EM477" s="19">
        <v>0</v>
      </c>
      <c r="EN477" s="19">
        <v>0</v>
      </c>
      <c r="EO477" s="19">
        <v>0</v>
      </c>
      <c r="EP477" s="19">
        <v>0</v>
      </c>
      <c r="EQ477" s="19">
        <v>0</v>
      </c>
      <c r="ER477" s="19">
        <v>0</v>
      </c>
      <c r="ES477" s="119">
        <v>0</v>
      </c>
      <c r="ET477" s="119">
        <v>0</v>
      </c>
    </row>
    <row r="478" spans="1:150" ht="16.5" customHeight="1" x14ac:dyDescent="0.35">
      <c r="A478" s="4">
        <v>216</v>
      </c>
      <c r="B478" s="4" t="str">
        <f>LOOKUP(A478,Lookup!$A$1:$A$34,Lookup!$B$1:$B$34)</f>
        <v>BUTCH  WORS/MINCE/PAT</v>
      </c>
      <c r="C478" s="5">
        <v>63415</v>
      </c>
      <c r="D478" s="6" t="s">
        <v>455</v>
      </c>
      <c r="E478" s="18">
        <v>0</v>
      </c>
      <c r="F478" s="18">
        <v>0</v>
      </c>
      <c r="G478" s="18">
        <v>0</v>
      </c>
      <c r="H478" s="18">
        <v>0</v>
      </c>
      <c r="I478" s="19">
        <v>0</v>
      </c>
      <c r="J478" s="19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0</v>
      </c>
      <c r="Y478" s="19">
        <v>0</v>
      </c>
      <c r="Z478" s="19">
        <v>0</v>
      </c>
      <c r="AA478" s="19">
        <v>0</v>
      </c>
      <c r="AB478" s="19">
        <v>0</v>
      </c>
      <c r="AC478" s="19">
        <v>0</v>
      </c>
      <c r="AD478" s="19">
        <v>0</v>
      </c>
      <c r="AE478" s="19">
        <v>0</v>
      </c>
      <c r="AF478" s="19">
        <v>0</v>
      </c>
      <c r="AG478" s="19">
        <v>0</v>
      </c>
      <c r="AH478" s="19">
        <v>0</v>
      </c>
      <c r="AI478" s="19">
        <v>0</v>
      </c>
      <c r="AJ478" s="19">
        <v>0</v>
      </c>
      <c r="AK478" s="19">
        <v>0</v>
      </c>
      <c r="AL478" s="19">
        <v>0</v>
      </c>
      <c r="AM478" s="19">
        <v>0</v>
      </c>
      <c r="AN478" s="19">
        <v>0</v>
      </c>
      <c r="AO478" s="19">
        <v>0</v>
      </c>
      <c r="AP478" s="19">
        <v>0</v>
      </c>
      <c r="AQ478" s="19">
        <v>0</v>
      </c>
      <c r="AR478" s="19">
        <v>0</v>
      </c>
      <c r="AS478" s="19">
        <v>0</v>
      </c>
      <c r="AT478" s="19">
        <v>0</v>
      </c>
      <c r="AU478" s="19">
        <v>0</v>
      </c>
      <c r="AV478" s="19">
        <v>0</v>
      </c>
      <c r="AW478" s="19">
        <v>0</v>
      </c>
      <c r="AX478" s="19">
        <v>0</v>
      </c>
      <c r="AY478" s="19">
        <v>0</v>
      </c>
      <c r="AZ478" s="19">
        <v>0</v>
      </c>
      <c r="BA478" s="19">
        <v>0</v>
      </c>
      <c r="BB478" s="19">
        <v>0</v>
      </c>
      <c r="BC478" s="19">
        <v>0</v>
      </c>
      <c r="BD478" s="19">
        <v>0</v>
      </c>
      <c r="BE478" s="19">
        <v>0</v>
      </c>
      <c r="BF478" s="19">
        <v>0</v>
      </c>
      <c r="BG478" s="19">
        <v>0</v>
      </c>
      <c r="BH478" s="19">
        <v>0</v>
      </c>
      <c r="BI478" s="19">
        <v>0</v>
      </c>
      <c r="BJ478" s="19">
        <v>0</v>
      </c>
      <c r="BK478" s="19">
        <v>0</v>
      </c>
      <c r="BL478" s="19">
        <v>0</v>
      </c>
      <c r="BM478" s="19">
        <v>0</v>
      </c>
      <c r="BN478" s="19">
        <v>0</v>
      </c>
      <c r="BO478" s="19">
        <v>0</v>
      </c>
      <c r="BP478" s="19">
        <v>0</v>
      </c>
      <c r="BQ478" s="19">
        <v>0</v>
      </c>
      <c r="BR478" s="19">
        <v>0</v>
      </c>
      <c r="BS478" s="19">
        <v>0</v>
      </c>
      <c r="BT478" s="19">
        <v>0</v>
      </c>
      <c r="BU478" s="19">
        <v>0</v>
      </c>
      <c r="BV478" s="19">
        <v>0</v>
      </c>
      <c r="BW478" s="19">
        <v>0</v>
      </c>
      <c r="BX478" s="19">
        <v>0</v>
      </c>
      <c r="BY478" s="19">
        <v>0</v>
      </c>
      <c r="BZ478" s="19">
        <v>0</v>
      </c>
      <c r="CA478" s="19">
        <v>0</v>
      </c>
      <c r="CB478" s="19">
        <v>0</v>
      </c>
      <c r="CC478" s="19">
        <v>0</v>
      </c>
      <c r="CD478" s="19">
        <v>0</v>
      </c>
      <c r="CE478" s="19">
        <v>0</v>
      </c>
      <c r="CF478" s="19">
        <v>0</v>
      </c>
      <c r="CG478" s="19">
        <v>0</v>
      </c>
      <c r="CH478" s="19">
        <v>0</v>
      </c>
      <c r="CI478" s="19">
        <v>0</v>
      </c>
      <c r="CJ478" s="19">
        <v>0</v>
      </c>
      <c r="CK478" s="19">
        <v>0</v>
      </c>
      <c r="CL478" s="19">
        <v>0</v>
      </c>
      <c r="CM478" s="19">
        <v>0</v>
      </c>
      <c r="CN478" s="19">
        <v>0</v>
      </c>
      <c r="CO478" s="19">
        <v>0</v>
      </c>
      <c r="CP478" s="19">
        <v>0</v>
      </c>
      <c r="CQ478" s="19">
        <v>0</v>
      </c>
      <c r="CR478" s="19">
        <v>0</v>
      </c>
      <c r="CS478" s="19">
        <v>0</v>
      </c>
      <c r="CT478" s="19">
        <v>0</v>
      </c>
      <c r="CU478" s="19">
        <v>0</v>
      </c>
      <c r="CV478" s="19">
        <v>0</v>
      </c>
      <c r="CW478" s="19">
        <v>0</v>
      </c>
      <c r="CX478" s="19">
        <v>0</v>
      </c>
      <c r="CY478" s="19">
        <v>0</v>
      </c>
      <c r="CZ478" s="19">
        <v>0</v>
      </c>
      <c r="DA478" s="19">
        <v>0</v>
      </c>
      <c r="DB478" s="19">
        <v>0</v>
      </c>
      <c r="DC478" s="19">
        <v>0</v>
      </c>
      <c r="DD478" s="19">
        <v>0</v>
      </c>
      <c r="DE478" s="19">
        <v>0</v>
      </c>
      <c r="DF478" s="19">
        <v>0</v>
      </c>
      <c r="DG478" s="19">
        <v>0</v>
      </c>
      <c r="DH478" s="19">
        <v>0</v>
      </c>
      <c r="DI478" s="19">
        <v>0</v>
      </c>
      <c r="DJ478" s="19">
        <v>0</v>
      </c>
      <c r="DK478" s="19">
        <v>0</v>
      </c>
      <c r="DL478" s="19">
        <v>0</v>
      </c>
      <c r="DM478" s="19">
        <v>0</v>
      </c>
      <c r="DN478" s="19">
        <v>0</v>
      </c>
      <c r="DO478" s="19">
        <v>0</v>
      </c>
      <c r="DP478" s="19">
        <v>0</v>
      </c>
      <c r="DQ478" s="19">
        <v>0</v>
      </c>
      <c r="DR478" s="19">
        <v>0</v>
      </c>
      <c r="DS478" s="19">
        <v>0</v>
      </c>
      <c r="DT478" s="19">
        <v>0</v>
      </c>
      <c r="DU478" s="19">
        <v>0</v>
      </c>
      <c r="DV478" s="19">
        <v>0</v>
      </c>
      <c r="DW478" s="19">
        <v>0</v>
      </c>
      <c r="DX478" s="19">
        <v>0</v>
      </c>
      <c r="DY478" s="19">
        <v>0</v>
      </c>
      <c r="DZ478" s="19">
        <v>0</v>
      </c>
      <c r="EA478" s="19">
        <v>0</v>
      </c>
      <c r="EB478" s="19">
        <v>0</v>
      </c>
      <c r="EC478" s="19">
        <v>0</v>
      </c>
      <c r="ED478" s="19">
        <v>0</v>
      </c>
      <c r="EE478" s="19">
        <v>0</v>
      </c>
      <c r="EF478" s="19">
        <v>0</v>
      </c>
      <c r="EG478" s="19">
        <v>0</v>
      </c>
      <c r="EH478" s="19">
        <v>0</v>
      </c>
      <c r="EI478" s="19">
        <v>0</v>
      </c>
      <c r="EJ478" s="19">
        <v>0</v>
      </c>
      <c r="EK478" s="19">
        <v>0</v>
      </c>
      <c r="EL478" s="19">
        <v>0</v>
      </c>
      <c r="EM478" s="19">
        <v>0</v>
      </c>
      <c r="EN478" s="19">
        <v>0</v>
      </c>
      <c r="EO478" s="19">
        <v>0</v>
      </c>
      <c r="EP478" s="19">
        <v>0</v>
      </c>
      <c r="EQ478" s="19">
        <v>0</v>
      </c>
      <c r="ER478" s="19">
        <v>0</v>
      </c>
      <c r="ES478" s="119">
        <v>0</v>
      </c>
      <c r="ET478" s="119">
        <v>0</v>
      </c>
    </row>
    <row r="479" spans="1:150" ht="16.5" customHeight="1" x14ac:dyDescent="0.35">
      <c r="A479" s="4">
        <v>216</v>
      </c>
      <c r="B479" s="4" t="str">
        <f>LOOKUP(A479,Lookup!$A$1:$A$34,Lookup!$B$1:$B$34)</f>
        <v>BUTCH  WORS/MINCE/PAT</v>
      </c>
      <c r="C479" s="5">
        <v>63469</v>
      </c>
      <c r="D479" s="6" t="s">
        <v>456</v>
      </c>
      <c r="E479" s="18">
        <v>22.755606407322698</v>
      </c>
      <c r="F479" s="18">
        <v>0.20100000000000001</v>
      </c>
      <c r="G479" s="18">
        <v>864.71304347826106</v>
      </c>
      <c r="H479" s="18">
        <v>7.65</v>
      </c>
      <c r="I479" s="19">
        <v>0</v>
      </c>
      <c r="J479" s="19">
        <v>0</v>
      </c>
      <c r="K479" s="19">
        <v>0</v>
      </c>
      <c r="L479" s="19">
        <v>0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19">
        <v>0</v>
      </c>
      <c r="AJ479" s="19">
        <v>0</v>
      </c>
      <c r="AK479" s="19">
        <v>0</v>
      </c>
      <c r="AL479" s="19">
        <v>0</v>
      </c>
      <c r="AM479" s="19">
        <v>0</v>
      </c>
      <c r="AN479" s="19">
        <v>0</v>
      </c>
      <c r="AO479" s="19">
        <v>0</v>
      </c>
      <c r="AP479" s="19">
        <v>0</v>
      </c>
      <c r="AQ479" s="19">
        <v>0</v>
      </c>
      <c r="AR479" s="19">
        <v>0</v>
      </c>
      <c r="AS479" s="19">
        <v>0</v>
      </c>
      <c r="AT479" s="19">
        <v>0</v>
      </c>
      <c r="AU479" s="19">
        <v>0</v>
      </c>
      <c r="AV479" s="19">
        <v>0</v>
      </c>
      <c r="AW479" s="19">
        <v>0</v>
      </c>
      <c r="AX479" s="19">
        <v>0</v>
      </c>
      <c r="AY479" s="19">
        <v>0</v>
      </c>
      <c r="AZ479" s="19">
        <v>0</v>
      </c>
      <c r="BA479" s="19">
        <v>0</v>
      </c>
      <c r="BB479" s="19">
        <v>0</v>
      </c>
      <c r="BC479" s="19">
        <v>0</v>
      </c>
      <c r="BD479" s="19">
        <v>0</v>
      </c>
      <c r="BE479" s="19">
        <v>0</v>
      </c>
      <c r="BF479" s="19">
        <v>0</v>
      </c>
      <c r="BG479" s="19">
        <v>0</v>
      </c>
      <c r="BH479" s="19">
        <v>0</v>
      </c>
      <c r="BI479" s="19">
        <v>0</v>
      </c>
      <c r="BJ479" s="19">
        <v>0</v>
      </c>
      <c r="BK479" s="19">
        <v>0</v>
      </c>
      <c r="BL479" s="19">
        <v>0</v>
      </c>
      <c r="BM479" s="19">
        <v>0</v>
      </c>
      <c r="BN479" s="19">
        <v>0</v>
      </c>
      <c r="BO479" s="19">
        <v>0</v>
      </c>
      <c r="BP479" s="19">
        <v>0</v>
      </c>
      <c r="BQ479" s="19">
        <v>0</v>
      </c>
      <c r="BR479" s="19">
        <v>0</v>
      </c>
      <c r="BS479" s="19">
        <v>0</v>
      </c>
      <c r="BT479" s="19">
        <v>0</v>
      </c>
      <c r="BU479" s="19">
        <v>0</v>
      </c>
      <c r="BV479" s="19">
        <v>0</v>
      </c>
      <c r="BW479" s="19">
        <v>864.71304347826106</v>
      </c>
      <c r="BX479" s="19">
        <v>7.65</v>
      </c>
      <c r="BY479" s="19">
        <v>0</v>
      </c>
      <c r="BZ479" s="19">
        <v>0</v>
      </c>
      <c r="CA479" s="19">
        <v>0</v>
      </c>
      <c r="CB479" s="19">
        <v>0</v>
      </c>
      <c r="CC479" s="19">
        <v>0</v>
      </c>
      <c r="CD479" s="19">
        <v>0</v>
      </c>
      <c r="CE479" s="19">
        <v>0</v>
      </c>
      <c r="CF479" s="19">
        <v>0</v>
      </c>
      <c r="CG479" s="19">
        <v>0</v>
      </c>
      <c r="CH479" s="19">
        <v>0</v>
      </c>
      <c r="CI479" s="19">
        <v>0</v>
      </c>
      <c r="CJ479" s="19">
        <v>0</v>
      </c>
      <c r="CK479" s="19">
        <v>0</v>
      </c>
      <c r="CL479" s="19">
        <v>0</v>
      </c>
      <c r="CM479" s="19">
        <v>0</v>
      </c>
      <c r="CN479" s="19">
        <v>0</v>
      </c>
      <c r="CO479" s="19">
        <v>0</v>
      </c>
      <c r="CP479" s="19">
        <v>0</v>
      </c>
      <c r="CQ479" s="19">
        <v>0</v>
      </c>
      <c r="CR479" s="19">
        <v>0</v>
      </c>
      <c r="CS479" s="19">
        <v>0</v>
      </c>
      <c r="CT479" s="19">
        <v>0</v>
      </c>
      <c r="CU479" s="19">
        <v>0</v>
      </c>
      <c r="CV479" s="19">
        <v>0</v>
      </c>
      <c r="CW479" s="19">
        <v>0</v>
      </c>
      <c r="CX479" s="19">
        <v>0</v>
      </c>
      <c r="CY479" s="19">
        <v>0</v>
      </c>
      <c r="CZ479" s="19">
        <v>0</v>
      </c>
      <c r="DA479" s="19">
        <v>0</v>
      </c>
      <c r="DB479" s="19">
        <v>0</v>
      </c>
      <c r="DC479" s="19">
        <v>0</v>
      </c>
      <c r="DD479" s="19">
        <v>0</v>
      </c>
      <c r="DE479" s="19">
        <v>0</v>
      </c>
      <c r="DF479" s="19">
        <v>0</v>
      </c>
      <c r="DG479" s="19">
        <v>0</v>
      </c>
      <c r="DH479" s="19">
        <v>0</v>
      </c>
      <c r="DI479" s="19">
        <v>0</v>
      </c>
      <c r="DJ479" s="19">
        <v>0</v>
      </c>
      <c r="DK479" s="19">
        <v>0</v>
      </c>
      <c r="DL479" s="19">
        <v>0</v>
      </c>
      <c r="DM479" s="19">
        <v>0</v>
      </c>
      <c r="DN479" s="19">
        <v>0</v>
      </c>
      <c r="DO479" s="19">
        <v>0</v>
      </c>
      <c r="DP479" s="19">
        <v>0</v>
      </c>
      <c r="DQ479" s="19">
        <v>0</v>
      </c>
      <c r="DR479" s="19">
        <v>0</v>
      </c>
      <c r="DS479" s="19">
        <v>0</v>
      </c>
      <c r="DT479" s="19">
        <v>0</v>
      </c>
      <c r="DU479" s="19">
        <v>0</v>
      </c>
      <c r="DV479" s="19">
        <v>0</v>
      </c>
      <c r="DW479" s="19">
        <v>0</v>
      </c>
      <c r="DX479" s="19">
        <v>0</v>
      </c>
      <c r="DY479" s="19">
        <v>0</v>
      </c>
      <c r="DZ479" s="19">
        <v>0</v>
      </c>
      <c r="EA479" s="19">
        <v>0</v>
      </c>
      <c r="EB479" s="19">
        <v>0</v>
      </c>
      <c r="EC479" s="19">
        <v>0</v>
      </c>
      <c r="ED479" s="19">
        <v>0</v>
      </c>
      <c r="EE479" s="19">
        <v>0</v>
      </c>
      <c r="EF479" s="19">
        <v>0</v>
      </c>
      <c r="EG479" s="19">
        <v>0</v>
      </c>
      <c r="EH479" s="19">
        <v>0</v>
      </c>
      <c r="EI479" s="19">
        <v>0</v>
      </c>
      <c r="EJ479" s="19">
        <v>0</v>
      </c>
      <c r="EK479" s="19">
        <v>0</v>
      </c>
      <c r="EL479" s="19">
        <v>0</v>
      </c>
      <c r="EM479" s="19">
        <v>0</v>
      </c>
      <c r="EN479" s="19">
        <v>0</v>
      </c>
      <c r="EO479" s="19">
        <v>0</v>
      </c>
      <c r="EP479" s="19">
        <v>0</v>
      </c>
      <c r="EQ479" s="19">
        <v>0</v>
      </c>
      <c r="ER479" s="19">
        <v>0</v>
      </c>
      <c r="ES479" s="119">
        <v>0</v>
      </c>
      <c r="ET479" s="119">
        <v>0</v>
      </c>
    </row>
    <row r="480" spans="1:150" ht="16.5" customHeight="1" x14ac:dyDescent="0.35">
      <c r="A480" s="4">
        <v>216</v>
      </c>
      <c r="B480" s="4" t="str">
        <f>LOOKUP(A480,Lookup!$A$1:$A$34,Lookup!$B$1:$B$34)</f>
        <v>BUTCH  WORS/MINCE/PAT</v>
      </c>
      <c r="C480" s="5">
        <v>63735</v>
      </c>
      <c r="D480" s="6" t="s">
        <v>457</v>
      </c>
      <c r="E480" s="18">
        <v>397.90458937198099</v>
      </c>
      <c r="F480" s="18">
        <v>3.1949999999999998</v>
      </c>
      <c r="G480" s="18">
        <v>14324.5652173913</v>
      </c>
      <c r="H480" s="18">
        <v>115.009</v>
      </c>
      <c r="I480" s="19">
        <v>0</v>
      </c>
      <c r="J480" s="19">
        <v>0</v>
      </c>
      <c r="K480" s="19">
        <v>0</v>
      </c>
      <c r="L480" s="19">
        <v>0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  <c r="U480" s="19">
        <v>0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 s="19">
        <v>0</v>
      </c>
      <c r="AD480" s="19">
        <v>0</v>
      </c>
      <c r="AE480" s="19">
        <v>0</v>
      </c>
      <c r="AF480" s="19">
        <v>0</v>
      </c>
      <c r="AG480" s="19">
        <v>0</v>
      </c>
      <c r="AH480" s="19">
        <v>0</v>
      </c>
      <c r="AI480" s="19">
        <v>0</v>
      </c>
      <c r="AJ480" s="19">
        <v>0</v>
      </c>
      <c r="AK480" s="19">
        <v>0</v>
      </c>
      <c r="AL480" s="19">
        <v>0</v>
      </c>
      <c r="AM480" s="19">
        <v>0</v>
      </c>
      <c r="AN480" s="19">
        <v>0</v>
      </c>
      <c r="AO480" s="19">
        <v>0</v>
      </c>
      <c r="AP480" s="19">
        <v>0</v>
      </c>
      <c r="AQ480" s="19">
        <v>0</v>
      </c>
      <c r="AR480" s="19">
        <v>0</v>
      </c>
      <c r="AS480" s="19">
        <v>0</v>
      </c>
      <c r="AT480" s="19">
        <v>0</v>
      </c>
      <c r="AU480" s="19">
        <v>0</v>
      </c>
      <c r="AV480" s="19">
        <v>0</v>
      </c>
      <c r="AW480" s="19">
        <v>0</v>
      </c>
      <c r="AX480" s="19">
        <v>0</v>
      </c>
      <c r="AY480" s="19">
        <v>0</v>
      </c>
      <c r="AZ480" s="19">
        <v>0</v>
      </c>
      <c r="BA480" s="19">
        <v>0</v>
      </c>
      <c r="BB480" s="19">
        <v>0</v>
      </c>
      <c r="BC480" s="19">
        <v>0</v>
      </c>
      <c r="BD480" s="19">
        <v>0</v>
      </c>
      <c r="BE480" s="19">
        <v>0</v>
      </c>
      <c r="BF480" s="19">
        <v>0</v>
      </c>
      <c r="BG480" s="19">
        <v>0</v>
      </c>
      <c r="BH480" s="19">
        <v>0</v>
      </c>
      <c r="BI480" s="19">
        <v>0</v>
      </c>
      <c r="BJ480" s="19">
        <v>0</v>
      </c>
      <c r="BK480" s="19">
        <v>0</v>
      </c>
      <c r="BL480" s="19">
        <v>0</v>
      </c>
      <c r="BM480" s="19">
        <v>0</v>
      </c>
      <c r="BN480" s="19">
        <v>0</v>
      </c>
      <c r="BO480" s="19">
        <v>0</v>
      </c>
      <c r="BP480" s="19">
        <v>0</v>
      </c>
      <c r="BQ480" s="19">
        <v>0</v>
      </c>
      <c r="BR480" s="19">
        <v>0</v>
      </c>
      <c r="BS480" s="19">
        <v>0</v>
      </c>
      <c r="BT480" s="19">
        <v>0</v>
      </c>
      <c r="BU480" s="19">
        <v>0</v>
      </c>
      <c r="BV480" s="19">
        <v>0</v>
      </c>
      <c r="BW480" s="19">
        <v>0</v>
      </c>
      <c r="BX480" s="19">
        <v>0</v>
      </c>
      <c r="BY480" s="19">
        <v>0</v>
      </c>
      <c r="BZ480" s="19">
        <v>0</v>
      </c>
      <c r="CA480" s="19">
        <v>549.74782608695705</v>
      </c>
      <c r="CB480" s="19">
        <v>3.5720000000000001</v>
      </c>
      <c r="CC480" s="19">
        <v>476.18260869565199</v>
      </c>
      <c r="CD480" s="19">
        <v>3.1789999999999998</v>
      </c>
      <c r="CE480" s="19">
        <v>0</v>
      </c>
      <c r="CF480" s="19">
        <v>0</v>
      </c>
      <c r="CG480" s="19">
        <v>0</v>
      </c>
      <c r="CH480" s="19">
        <v>0</v>
      </c>
      <c r="CI480" s="19">
        <v>0</v>
      </c>
      <c r="CJ480" s="19">
        <v>0</v>
      </c>
      <c r="CK480" s="19">
        <v>0</v>
      </c>
      <c r="CL480" s="19">
        <v>0</v>
      </c>
      <c r="CM480" s="19">
        <v>0</v>
      </c>
      <c r="CN480" s="19">
        <v>0</v>
      </c>
      <c r="CO480" s="19">
        <v>0</v>
      </c>
      <c r="CP480" s="19">
        <v>0</v>
      </c>
      <c r="CQ480" s="19">
        <v>0</v>
      </c>
      <c r="CR480" s="19">
        <v>0</v>
      </c>
      <c r="CS480" s="19">
        <v>0</v>
      </c>
      <c r="CT480" s="19">
        <v>0</v>
      </c>
      <c r="CU480" s="19">
        <v>0</v>
      </c>
      <c r="CV480" s="19">
        <v>0</v>
      </c>
      <c r="CW480" s="19">
        <v>0</v>
      </c>
      <c r="CX480" s="19">
        <v>0</v>
      </c>
      <c r="CY480" s="19">
        <v>0</v>
      </c>
      <c r="CZ480" s="19">
        <v>0</v>
      </c>
      <c r="DA480" s="19">
        <v>1666.1739130434801</v>
      </c>
      <c r="DB480" s="19">
        <v>13.688000000000001</v>
      </c>
      <c r="DC480" s="19">
        <v>1631.0869565217399</v>
      </c>
      <c r="DD480" s="19">
        <v>12.406000000000001</v>
      </c>
      <c r="DE480" s="19">
        <v>0</v>
      </c>
      <c r="DF480" s="19">
        <v>0</v>
      </c>
      <c r="DG480" s="19">
        <v>0</v>
      </c>
      <c r="DH480" s="19">
        <v>0</v>
      </c>
      <c r="DI480" s="19">
        <v>1736.26956521739</v>
      </c>
      <c r="DJ480" s="19">
        <v>14.263999999999999</v>
      </c>
      <c r="DK480" s="19">
        <v>505.147826086956</v>
      </c>
      <c r="DL480" s="19">
        <v>4.1500000000000004</v>
      </c>
      <c r="DM480" s="19">
        <v>0</v>
      </c>
      <c r="DN480" s="19">
        <v>0</v>
      </c>
      <c r="DO480" s="19">
        <v>0</v>
      </c>
      <c r="DP480" s="19">
        <v>0</v>
      </c>
      <c r="DQ480" s="19">
        <v>0</v>
      </c>
      <c r="DR480" s="19">
        <v>0</v>
      </c>
      <c r="DS480" s="19">
        <v>1227.2347826087</v>
      </c>
      <c r="DT480" s="19">
        <v>10.082000000000001</v>
      </c>
      <c r="DU480" s="19">
        <v>743.25217391304398</v>
      </c>
      <c r="DV480" s="19">
        <v>6.1059999999999999</v>
      </c>
      <c r="DW480" s="19">
        <v>0</v>
      </c>
      <c r="DX480" s="19">
        <v>0</v>
      </c>
      <c r="DY480" s="19">
        <v>1550.28695652174</v>
      </c>
      <c r="DZ480" s="19">
        <v>12.736000000000001</v>
      </c>
      <c r="EA480" s="19">
        <v>427.50434782608698</v>
      </c>
      <c r="EB480" s="19">
        <v>3.512</v>
      </c>
      <c r="EC480" s="19">
        <v>0</v>
      </c>
      <c r="ED480" s="19">
        <v>0</v>
      </c>
      <c r="EE480" s="19">
        <v>0</v>
      </c>
      <c r="EF480" s="19">
        <v>0</v>
      </c>
      <c r="EG480" s="19">
        <v>1437.30434782609</v>
      </c>
      <c r="EH480" s="19">
        <v>11.808</v>
      </c>
      <c r="EI480" s="19">
        <v>0</v>
      </c>
      <c r="EJ480" s="19">
        <v>0</v>
      </c>
      <c r="EK480" s="19">
        <v>0</v>
      </c>
      <c r="EL480" s="19">
        <v>0</v>
      </c>
      <c r="EM480" s="19">
        <v>0</v>
      </c>
      <c r="EN480" s="19">
        <v>0</v>
      </c>
      <c r="EO480" s="19">
        <v>0</v>
      </c>
      <c r="EP480" s="19">
        <v>0</v>
      </c>
      <c r="EQ480" s="19">
        <v>947.73913043478296</v>
      </c>
      <c r="ER480" s="19">
        <v>7.7859999999999996</v>
      </c>
      <c r="ES480" s="119">
        <v>1868.73043478261</v>
      </c>
      <c r="ET480" s="119">
        <v>15.352</v>
      </c>
    </row>
    <row r="481" spans="1:150" ht="16.5" customHeight="1" x14ac:dyDescent="0.35">
      <c r="A481" s="4">
        <v>216</v>
      </c>
      <c r="B481" s="4" t="str">
        <f>LOOKUP(A481,Lookup!$A$1:$A$34,Lookup!$B$1:$B$34)</f>
        <v>BUTCH  WORS/MINCE/PAT</v>
      </c>
      <c r="C481" s="5">
        <v>65747</v>
      </c>
      <c r="D481" s="6" t="s">
        <v>458</v>
      </c>
      <c r="E481" s="18">
        <v>342.15652173913003</v>
      </c>
      <c r="F481" s="18">
        <v>3.577</v>
      </c>
      <c r="G481" s="18">
        <v>3763.7217391304298</v>
      </c>
      <c r="H481" s="18">
        <v>39.348999999999997</v>
      </c>
      <c r="I481" s="19">
        <v>0</v>
      </c>
      <c r="J481" s="19">
        <v>0</v>
      </c>
      <c r="K481" s="19">
        <v>0</v>
      </c>
      <c r="L481" s="19">
        <v>0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 s="19">
        <v>0</v>
      </c>
      <c r="AD481" s="19">
        <v>0</v>
      </c>
      <c r="AE481" s="19">
        <v>0</v>
      </c>
      <c r="AF481" s="19">
        <v>0</v>
      </c>
      <c r="AG481" s="19">
        <v>0</v>
      </c>
      <c r="AH481" s="19">
        <v>0</v>
      </c>
      <c r="AI481" s="19">
        <v>0</v>
      </c>
      <c r="AJ481" s="19">
        <v>0</v>
      </c>
      <c r="AK481" s="19">
        <v>0</v>
      </c>
      <c r="AL481" s="19">
        <v>0</v>
      </c>
      <c r="AM481" s="19">
        <v>0</v>
      </c>
      <c r="AN481" s="19">
        <v>0</v>
      </c>
      <c r="AO481" s="19">
        <v>0</v>
      </c>
      <c r="AP481" s="19">
        <v>0</v>
      </c>
      <c r="AQ481" s="19">
        <v>0</v>
      </c>
      <c r="AR481" s="19">
        <v>0</v>
      </c>
      <c r="AS481" s="19">
        <v>0</v>
      </c>
      <c r="AT481" s="19">
        <v>0</v>
      </c>
      <c r="AU481" s="19">
        <v>0</v>
      </c>
      <c r="AV481" s="19">
        <v>0</v>
      </c>
      <c r="AW481" s="19">
        <v>0</v>
      </c>
      <c r="AX481" s="19">
        <v>0</v>
      </c>
      <c r="AY481" s="19">
        <v>0</v>
      </c>
      <c r="AZ481" s="19">
        <v>0</v>
      </c>
      <c r="BA481" s="19">
        <v>0</v>
      </c>
      <c r="BB481" s="19">
        <v>0</v>
      </c>
      <c r="BC481" s="19">
        <v>0</v>
      </c>
      <c r="BD481" s="19">
        <v>0</v>
      </c>
      <c r="BE481" s="19">
        <v>0</v>
      </c>
      <c r="BF481" s="19">
        <v>0</v>
      </c>
      <c r="BG481" s="19">
        <v>0</v>
      </c>
      <c r="BH481" s="19">
        <v>0</v>
      </c>
      <c r="BI481" s="19">
        <v>0</v>
      </c>
      <c r="BJ481" s="19">
        <v>0</v>
      </c>
      <c r="BK481" s="19">
        <v>0</v>
      </c>
      <c r="BL481" s="19">
        <v>0</v>
      </c>
      <c r="BM481" s="19">
        <v>0</v>
      </c>
      <c r="BN481" s="19">
        <v>0</v>
      </c>
      <c r="BO481" s="19">
        <v>0</v>
      </c>
      <c r="BP481" s="19">
        <v>0</v>
      </c>
      <c r="BQ481" s="19">
        <v>0</v>
      </c>
      <c r="BR481" s="19">
        <v>0</v>
      </c>
      <c r="BS481" s="19">
        <v>0</v>
      </c>
      <c r="BT481" s="19">
        <v>0</v>
      </c>
      <c r="BU481" s="19">
        <v>0</v>
      </c>
      <c r="BV481" s="19">
        <v>0</v>
      </c>
      <c r="BW481" s="19">
        <v>0</v>
      </c>
      <c r="BX481" s="19">
        <v>0</v>
      </c>
      <c r="BY481" s="19">
        <v>0</v>
      </c>
      <c r="BZ481" s="19">
        <v>0</v>
      </c>
      <c r="CA481" s="19">
        <v>0</v>
      </c>
      <c r="CB481" s="19">
        <v>0</v>
      </c>
      <c r="CC481" s="19">
        <v>0</v>
      </c>
      <c r="CD481" s="19">
        <v>0</v>
      </c>
      <c r="CE481" s="19">
        <v>0</v>
      </c>
      <c r="CF481" s="19">
        <v>0</v>
      </c>
      <c r="CG481" s="19">
        <v>0</v>
      </c>
      <c r="CH481" s="19">
        <v>0</v>
      </c>
      <c r="CI481" s="19">
        <v>0</v>
      </c>
      <c r="CJ481" s="19">
        <v>0</v>
      </c>
      <c r="CK481" s="19">
        <v>0</v>
      </c>
      <c r="CL481" s="19">
        <v>0</v>
      </c>
      <c r="CM481" s="19">
        <v>0</v>
      </c>
      <c r="CN481" s="19">
        <v>0</v>
      </c>
      <c r="CO481" s="19">
        <v>0</v>
      </c>
      <c r="CP481" s="19">
        <v>0</v>
      </c>
      <c r="CQ481" s="19">
        <v>0</v>
      </c>
      <c r="CR481" s="19">
        <v>0</v>
      </c>
      <c r="CS481" s="19">
        <v>0</v>
      </c>
      <c r="CT481" s="19">
        <v>0</v>
      </c>
      <c r="CU481" s="19">
        <v>0</v>
      </c>
      <c r="CV481" s="19">
        <v>0</v>
      </c>
      <c r="CW481" s="19">
        <v>0</v>
      </c>
      <c r="CX481" s="19">
        <v>0</v>
      </c>
      <c r="CY481" s="19">
        <v>0</v>
      </c>
      <c r="CZ481" s="19">
        <v>0</v>
      </c>
      <c r="DA481" s="19">
        <v>0</v>
      </c>
      <c r="DB481" s="19">
        <v>0</v>
      </c>
      <c r="DC481" s="19">
        <v>0</v>
      </c>
      <c r="DD481" s="19">
        <v>0</v>
      </c>
      <c r="DE481" s="19">
        <v>0</v>
      </c>
      <c r="DF481" s="19">
        <v>0</v>
      </c>
      <c r="DG481" s="19">
        <v>0</v>
      </c>
      <c r="DH481" s="19">
        <v>0</v>
      </c>
      <c r="DI481" s="19">
        <v>0</v>
      </c>
      <c r="DJ481" s="19">
        <v>0</v>
      </c>
      <c r="DK481" s="19">
        <v>0</v>
      </c>
      <c r="DL481" s="19">
        <v>0</v>
      </c>
      <c r="DM481" s="19">
        <v>0</v>
      </c>
      <c r="DN481" s="19">
        <v>0</v>
      </c>
      <c r="DO481" s="19">
        <v>0</v>
      </c>
      <c r="DP481" s="19">
        <v>0</v>
      </c>
      <c r="DQ481" s="19">
        <v>0</v>
      </c>
      <c r="DR481" s="19">
        <v>0</v>
      </c>
      <c r="DS481" s="19">
        <v>0</v>
      </c>
      <c r="DT481" s="19">
        <v>0</v>
      </c>
      <c r="DU481" s="19">
        <v>0</v>
      </c>
      <c r="DV481" s="19">
        <v>0</v>
      </c>
      <c r="DW481" s="19">
        <v>0</v>
      </c>
      <c r="DX481" s="19">
        <v>0</v>
      </c>
      <c r="DY481" s="19">
        <v>1240.4173913043501</v>
      </c>
      <c r="DZ481" s="19">
        <v>12.968</v>
      </c>
      <c r="EA481" s="19">
        <v>1289.2</v>
      </c>
      <c r="EB481" s="19">
        <v>13.478</v>
      </c>
      <c r="EC481" s="19">
        <v>1234.1043478260899</v>
      </c>
      <c r="ED481" s="19">
        <v>12.903</v>
      </c>
      <c r="EE481" s="19">
        <v>0</v>
      </c>
      <c r="EF481" s="19">
        <v>0</v>
      </c>
      <c r="EG481" s="19">
        <v>0</v>
      </c>
      <c r="EH481" s="19">
        <v>0</v>
      </c>
      <c r="EI481" s="19">
        <v>0</v>
      </c>
      <c r="EJ481" s="19">
        <v>0</v>
      </c>
      <c r="EK481" s="19">
        <v>0</v>
      </c>
      <c r="EL481" s="19">
        <v>0</v>
      </c>
      <c r="EM481" s="19">
        <v>0</v>
      </c>
      <c r="EN481" s="19">
        <v>0</v>
      </c>
      <c r="EO481" s="19">
        <v>0</v>
      </c>
      <c r="EP481" s="19">
        <v>0</v>
      </c>
      <c r="EQ481" s="19">
        <v>0</v>
      </c>
      <c r="ER481" s="19">
        <v>0</v>
      </c>
      <c r="ES481" s="119">
        <v>0</v>
      </c>
      <c r="ET481" s="119">
        <v>0</v>
      </c>
    </row>
    <row r="482" spans="1:150" ht="16.5" customHeight="1" x14ac:dyDescent="0.35">
      <c r="A482" s="4">
        <v>216</v>
      </c>
      <c r="B482" s="4" t="str">
        <f>LOOKUP(A482,Lookup!$A$1:$A$34,Lookup!$B$1:$B$34)</f>
        <v>BUTCH  WORS/MINCE/PAT</v>
      </c>
      <c r="C482" s="5">
        <v>65748</v>
      </c>
      <c r="D482" s="6" t="s">
        <v>459</v>
      </c>
      <c r="E482" s="18">
        <v>348.14229249011902</v>
      </c>
      <c r="F482" s="18">
        <v>3.64</v>
      </c>
      <c r="G482" s="18">
        <v>3829.5652173912999</v>
      </c>
      <c r="H482" s="18">
        <v>40.042000000000002</v>
      </c>
      <c r="I482" s="19">
        <v>0</v>
      </c>
      <c r="J482" s="19">
        <v>0</v>
      </c>
      <c r="K482" s="19">
        <v>0</v>
      </c>
      <c r="L482" s="19">
        <v>0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19">
        <v>0</v>
      </c>
      <c r="AC482" s="19">
        <v>0</v>
      </c>
      <c r="AD482" s="19">
        <v>0</v>
      </c>
      <c r="AE482" s="19">
        <v>0</v>
      </c>
      <c r="AF482" s="19">
        <v>0</v>
      </c>
      <c r="AG482" s="19">
        <v>0</v>
      </c>
      <c r="AH482" s="19">
        <v>0</v>
      </c>
      <c r="AI482" s="19">
        <v>0</v>
      </c>
      <c r="AJ482" s="19">
        <v>0</v>
      </c>
      <c r="AK482" s="19">
        <v>0</v>
      </c>
      <c r="AL482" s="19">
        <v>0</v>
      </c>
      <c r="AM482" s="19">
        <v>0</v>
      </c>
      <c r="AN482" s="19">
        <v>0</v>
      </c>
      <c r="AO482" s="19">
        <v>0</v>
      </c>
      <c r="AP482" s="19">
        <v>0</v>
      </c>
      <c r="AQ482" s="19">
        <v>0</v>
      </c>
      <c r="AR482" s="19">
        <v>0</v>
      </c>
      <c r="AS482" s="19">
        <v>0</v>
      </c>
      <c r="AT482" s="19">
        <v>0</v>
      </c>
      <c r="AU482" s="19">
        <v>0</v>
      </c>
      <c r="AV482" s="19">
        <v>0</v>
      </c>
      <c r="AW482" s="19">
        <v>0</v>
      </c>
      <c r="AX482" s="19">
        <v>0</v>
      </c>
      <c r="AY482" s="19">
        <v>0</v>
      </c>
      <c r="AZ482" s="19">
        <v>0</v>
      </c>
      <c r="BA482" s="19">
        <v>0</v>
      </c>
      <c r="BB482" s="19">
        <v>0</v>
      </c>
      <c r="BC482" s="19">
        <v>0</v>
      </c>
      <c r="BD482" s="19">
        <v>0</v>
      </c>
      <c r="BE482" s="19">
        <v>0</v>
      </c>
      <c r="BF482" s="19">
        <v>0</v>
      </c>
      <c r="BG482" s="19">
        <v>0</v>
      </c>
      <c r="BH482" s="19">
        <v>0</v>
      </c>
      <c r="BI482" s="19">
        <v>0</v>
      </c>
      <c r="BJ482" s="19">
        <v>0</v>
      </c>
      <c r="BK482" s="19">
        <v>0</v>
      </c>
      <c r="BL482" s="19">
        <v>0</v>
      </c>
      <c r="BM482" s="19">
        <v>0</v>
      </c>
      <c r="BN482" s="19">
        <v>0</v>
      </c>
      <c r="BO482" s="19">
        <v>0</v>
      </c>
      <c r="BP482" s="19">
        <v>0</v>
      </c>
      <c r="BQ482" s="19">
        <v>0</v>
      </c>
      <c r="BR482" s="19">
        <v>0</v>
      </c>
      <c r="BS482" s="19">
        <v>0</v>
      </c>
      <c r="BT482" s="19">
        <v>0</v>
      </c>
      <c r="BU482" s="19">
        <v>0</v>
      </c>
      <c r="BV482" s="19">
        <v>0</v>
      </c>
      <c r="BW482" s="19">
        <v>0</v>
      </c>
      <c r="BX482" s="19">
        <v>0</v>
      </c>
      <c r="BY482" s="19">
        <v>0</v>
      </c>
      <c r="BZ482" s="19">
        <v>0</v>
      </c>
      <c r="CA482" s="19">
        <v>0</v>
      </c>
      <c r="CB482" s="19">
        <v>0</v>
      </c>
      <c r="CC482" s="19">
        <v>0</v>
      </c>
      <c r="CD482" s="19">
        <v>0</v>
      </c>
      <c r="CE482" s="19">
        <v>0</v>
      </c>
      <c r="CF482" s="19">
        <v>0</v>
      </c>
      <c r="CG482" s="19">
        <v>0</v>
      </c>
      <c r="CH482" s="19">
        <v>0</v>
      </c>
      <c r="CI482" s="19">
        <v>0</v>
      </c>
      <c r="CJ482" s="19">
        <v>0</v>
      </c>
      <c r="CK482" s="19">
        <v>0</v>
      </c>
      <c r="CL482" s="19">
        <v>0</v>
      </c>
      <c r="CM482" s="19">
        <v>0</v>
      </c>
      <c r="CN482" s="19">
        <v>0</v>
      </c>
      <c r="CO482" s="19">
        <v>0</v>
      </c>
      <c r="CP482" s="19">
        <v>0</v>
      </c>
      <c r="CQ482" s="19">
        <v>0</v>
      </c>
      <c r="CR482" s="19">
        <v>0</v>
      </c>
      <c r="CS482" s="19">
        <v>0</v>
      </c>
      <c r="CT482" s="19">
        <v>0</v>
      </c>
      <c r="CU482" s="19">
        <v>0</v>
      </c>
      <c r="CV482" s="19">
        <v>0</v>
      </c>
      <c r="CW482" s="19">
        <v>0</v>
      </c>
      <c r="CX482" s="19">
        <v>0</v>
      </c>
      <c r="CY482" s="19">
        <v>0</v>
      </c>
      <c r="CZ482" s="19">
        <v>0</v>
      </c>
      <c r="DA482" s="19">
        <v>0</v>
      </c>
      <c r="DB482" s="19">
        <v>0</v>
      </c>
      <c r="DC482" s="19">
        <v>0</v>
      </c>
      <c r="DD482" s="19">
        <v>0</v>
      </c>
      <c r="DE482" s="19">
        <v>0</v>
      </c>
      <c r="DF482" s="19">
        <v>0</v>
      </c>
      <c r="DG482" s="19">
        <v>0</v>
      </c>
      <c r="DH482" s="19">
        <v>0</v>
      </c>
      <c r="DI482" s="19">
        <v>0</v>
      </c>
      <c r="DJ482" s="19">
        <v>0</v>
      </c>
      <c r="DK482" s="19">
        <v>0</v>
      </c>
      <c r="DL482" s="19">
        <v>0</v>
      </c>
      <c r="DM482" s="19">
        <v>0</v>
      </c>
      <c r="DN482" s="19">
        <v>0</v>
      </c>
      <c r="DO482" s="19">
        <v>0</v>
      </c>
      <c r="DP482" s="19">
        <v>0</v>
      </c>
      <c r="DQ482" s="19">
        <v>0</v>
      </c>
      <c r="DR482" s="19">
        <v>0</v>
      </c>
      <c r="DS482" s="19">
        <v>0</v>
      </c>
      <c r="DT482" s="19">
        <v>0</v>
      </c>
      <c r="DU482" s="19">
        <v>0</v>
      </c>
      <c r="DV482" s="19">
        <v>0</v>
      </c>
      <c r="DW482" s="19">
        <v>0</v>
      </c>
      <c r="DX482" s="19">
        <v>0</v>
      </c>
      <c r="DY482" s="19">
        <v>1071.9217391304301</v>
      </c>
      <c r="DZ482" s="19">
        <v>11.208</v>
      </c>
      <c r="EA482" s="19">
        <v>1834.53913043478</v>
      </c>
      <c r="EB482" s="19">
        <v>19.181999999999999</v>
      </c>
      <c r="EC482" s="19">
        <v>923.10434782608695</v>
      </c>
      <c r="ED482" s="19">
        <v>9.6519999999999992</v>
      </c>
      <c r="EE482" s="19">
        <v>0</v>
      </c>
      <c r="EF482" s="19">
        <v>0</v>
      </c>
      <c r="EG482" s="19">
        <v>0</v>
      </c>
      <c r="EH482" s="19">
        <v>0</v>
      </c>
      <c r="EI482" s="19">
        <v>0</v>
      </c>
      <c r="EJ482" s="19">
        <v>0</v>
      </c>
      <c r="EK482" s="19">
        <v>0</v>
      </c>
      <c r="EL482" s="19">
        <v>0</v>
      </c>
      <c r="EM482" s="19">
        <v>0</v>
      </c>
      <c r="EN482" s="19">
        <v>0</v>
      </c>
      <c r="EO482" s="19">
        <v>0</v>
      </c>
      <c r="EP482" s="19">
        <v>0</v>
      </c>
      <c r="EQ482" s="19">
        <v>0</v>
      </c>
      <c r="ER482" s="19">
        <v>0</v>
      </c>
      <c r="ES482" s="119">
        <v>0</v>
      </c>
      <c r="ET482" s="119">
        <v>0</v>
      </c>
    </row>
    <row r="483" spans="1:150" ht="16.5" customHeight="1" x14ac:dyDescent="0.35">
      <c r="A483" s="4">
        <v>216</v>
      </c>
      <c r="B483" s="4" t="str">
        <f>LOOKUP(A483,Lookup!$A$1:$A$34,Lookup!$B$1:$B$34)</f>
        <v>BUTCH  WORS/MINCE/PAT</v>
      </c>
      <c r="C483" s="5">
        <v>66805</v>
      </c>
      <c r="D483" s="6" t="s">
        <v>460</v>
      </c>
      <c r="E483" s="18">
        <v>404.74782608695699</v>
      </c>
      <c r="F483" s="18">
        <v>5.1719999999999997</v>
      </c>
      <c r="G483" s="18">
        <v>404.74782608695699</v>
      </c>
      <c r="H483" s="18">
        <v>5.1719999999999997</v>
      </c>
      <c r="I483" s="19">
        <v>0</v>
      </c>
      <c r="J483" s="19">
        <v>0</v>
      </c>
      <c r="K483" s="19">
        <v>0</v>
      </c>
      <c r="L483" s="19">
        <v>0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0</v>
      </c>
      <c r="AC483" s="19">
        <v>0</v>
      </c>
      <c r="AD483" s="19">
        <v>0</v>
      </c>
      <c r="AE483" s="19">
        <v>0</v>
      </c>
      <c r="AF483" s="19">
        <v>0</v>
      </c>
      <c r="AG483" s="19">
        <v>0</v>
      </c>
      <c r="AH483" s="19">
        <v>0</v>
      </c>
      <c r="AI483" s="19">
        <v>0</v>
      </c>
      <c r="AJ483" s="19">
        <v>0</v>
      </c>
      <c r="AK483" s="19">
        <v>0</v>
      </c>
      <c r="AL483" s="19">
        <v>0</v>
      </c>
      <c r="AM483" s="19">
        <v>0</v>
      </c>
      <c r="AN483" s="19">
        <v>0</v>
      </c>
      <c r="AO483" s="19">
        <v>0</v>
      </c>
      <c r="AP483" s="19">
        <v>0</v>
      </c>
      <c r="AQ483" s="19">
        <v>0</v>
      </c>
      <c r="AR483" s="19">
        <v>0</v>
      </c>
      <c r="AS483" s="19">
        <v>0</v>
      </c>
      <c r="AT483" s="19">
        <v>0</v>
      </c>
      <c r="AU483" s="19">
        <v>0</v>
      </c>
      <c r="AV483" s="19">
        <v>0</v>
      </c>
      <c r="AW483" s="19">
        <v>0</v>
      </c>
      <c r="AX483" s="19">
        <v>0</v>
      </c>
      <c r="AY483" s="19">
        <v>0</v>
      </c>
      <c r="AZ483" s="19">
        <v>0</v>
      </c>
      <c r="BA483" s="19">
        <v>0</v>
      </c>
      <c r="BB483" s="19">
        <v>0</v>
      </c>
      <c r="BC483" s="19">
        <v>0</v>
      </c>
      <c r="BD483" s="19">
        <v>0</v>
      </c>
      <c r="BE483" s="19">
        <v>0</v>
      </c>
      <c r="BF483" s="19">
        <v>0</v>
      </c>
      <c r="BG483" s="19">
        <v>0</v>
      </c>
      <c r="BH483" s="19">
        <v>0</v>
      </c>
      <c r="BI483" s="19">
        <v>0</v>
      </c>
      <c r="BJ483" s="19">
        <v>0</v>
      </c>
      <c r="BK483" s="19">
        <v>0</v>
      </c>
      <c r="BL483" s="19">
        <v>0</v>
      </c>
      <c r="BM483" s="19">
        <v>0</v>
      </c>
      <c r="BN483" s="19">
        <v>0</v>
      </c>
      <c r="BO483" s="19">
        <v>0</v>
      </c>
      <c r="BP483" s="19">
        <v>0</v>
      </c>
      <c r="BQ483" s="19">
        <v>0</v>
      </c>
      <c r="BR483" s="19">
        <v>0</v>
      </c>
      <c r="BS483" s="19">
        <v>0</v>
      </c>
      <c r="BT483" s="19">
        <v>0</v>
      </c>
      <c r="BU483" s="19">
        <v>0</v>
      </c>
      <c r="BV483" s="19">
        <v>0</v>
      </c>
      <c r="BW483" s="19">
        <v>0</v>
      </c>
      <c r="BX483" s="19">
        <v>0</v>
      </c>
      <c r="BY483" s="19">
        <v>0</v>
      </c>
      <c r="BZ483" s="19">
        <v>0</v>
      </c>
      <c r="CA483" s="19">
        <v>0</v>
      </c>
      <c r="CB483" s="19">
        <v>0</v>
      </c>
      <c r="CC483" s="19">
        <v>0</v>
      </c>
      <c r="CD483" s="19">
        <v>0</v>
      </c>
      <c r="CE483" s="19">
        <v>0</v>
      </c>
      <c r="CF483" s="19">
        <v>0</v>
      </c>
      <c r="CG483" s="19">
        <v>0</v>
      </c>
      <c r="CH483" s="19">
        <v>0</v>
      </c>
      <c r="CI483" s="19">
        <v>0</v>
      </c>
      <c r="CJ483" s="19">
        <v>0</v>
      </c>
      <c r="CK483" s="19">
        <v>0</v>
      </c>
      <c r="CL483" s="19">
        <v>0</v>
      </c>
      <c r="CM483" s="19">
        <v>0</v>
      </c>
      <c r="CN483" s="19">
        <v>0</v>
      </c>
      <c r="CO483" s="19">
        <v>0</v>
      </c>
      <c r="CP483" s="19">
        <v>0</v>
      </c>
      <c r="CQ483" s="19">
        <v>0</v>
      </c>
      <c r="CR483" s="19">
        <v>0</v>
      </c>
      <c r="CS483" s="19">
        <v>0</v>
      </c>
      <c r="CT483" s="19">
        <v>0</v>
      </c>
      <c r="CU483" s="19">
        <v>0</v>
      </c>
      <c r="CV483" s="19">
        <v>0</v>
      </c>
      <c r="CW483" s="19">
        <v>0</v>
      </c>
      <c r="CX483" s="19">
        <v>0</v>
      </c>
      <c r="CY483" s="19">
        <v>0</v>
      </c>
      <c r="CZ483" s="19">
        <v>0</v>
      </c>
      <c r="DA483" s="19">
        <v>0</v>
      </c>
      <c r="DB483" s="19">
        <v>0</v>
      </c>
      <c r="DC483" s="19">
        <v>0</v>
      </c>
      <c r="DD483" s="19">
        <v>0</v>
      </c>
      <c r="DE483" s="19">
        <v>0</v>
      </c>
      <c r="DF483" s="19">
        <v>0</v>
      </c>
      <c r="DG483" s="19">
        <v>0</v>
      </c>
      <c r="DH483" s="19">
        <v>0</v>
      </c>
      <c r="DI483" s="19">
        <v>0</v>
      </c>
      <c r="DJ483" s="19">
        <v>0</v>
      </c>
      <c r="DK483" s="19">
        <v>0</v>
      </c>
      <c r="DL483" s="19">
        <v>0</v>
      </c>
      <c r="DM483" s="19">
        <v>0</v>
      </c>
      <c r="DN483" s="19">
        <v>0</v>
      </c>
      <c r="DO483" s="19">
        <v>0</v>
      </c>
      <c r="DP483" s="19">
        <v>0</v>
      </c>
      <c r="DQ483" s="19">
        <v>0</v>
      </c>
      <c r="DR483" s="19">
        <v>0</v>
      </c>
      <c r="DS483" s="19">
        <v>0</v>
      </c>
      <c r="DT483" s="19">
        <v>0</v>
      </c>
      <c r="DU483" s="19">
        <v>0</v>
      </c>
      <c r="DV483" s="19">
        <v>0</v>
      </c>
      <c r="DW483" s="19">
        <v>0</v>
      </c>
      <c r="DX483" s="19">
        <v>0</v>
      </c>
      <c r="DY483" s="19">
        <v>0</v>
      </c>
      <c r="DZ483" s="19">
        <v>0</v>
      </c>
      <c r="EA483" s="19">
        <v>0</v>
      </c>
      <c r="EB483" s="19">
        <v>0</v>
      </c>
      <c r="EC483" s="19">
        <v>0</v>
      </c>
      <c r="ED483" s="19">
        <v>0</v>
      </c>
      <c r="EE483" s="19">
        <v>0</v>
      </c>
      <c r="EF483" s="19">
        <v>0</v>
      </c>
      <c r="EG483" s="19">
        <v>0</v>
      </c>
      <c r="EH483" s="19">
        <v>0</v>
      </c>
      <c r="EI483" s="19">
        <v>0</v>
      </c>
      <c r="EJ483" s="19">
        <v>0</v>
      </c>
      <c r="EK483" s="19">
        <v>0</v>
      </c>
      <c r="EL483" s="19">
        <v>0</v>
      </c>
      <c r="EM483" s="19">
        <v>0</v>
      </c>
      <c r="EN483" s="19">
        <v>0</v>
      </c>
      <c r="EO483" s="19">
        <v>0</v>
      </c>
      <c r="EP483" s="19">
        <v>0</v>
      </c>
      <c r="EQ483" s="19">
        <v>0</v>
      </c>
      <c r="ER483" s="19">
        <v>0</v>
      </c>
      <c r="ES483" s="119">
        <v>494.730434782609</v>
      </c>
      <c r="ET483" s="119">
        <v>6.3220000000000001</v>
      </c>
    </row>
    <row r="484" spans="1:150" ht="16.5" customHeight="1" x14ac:dyDescent="0.35">
      <c r="A484" s="4">
        <v>216</v>
      </c>
      <c r="B484" s="4" t="str">
        <f>LOOKUP(A484,Lookup!$A$1:$A$34,Lookup!$B$1:$B$34)</f>
        <v>BUTCH  WORS/MINCE/PAT</v>
      </c>
      <c r="C484" s="5">
        <v>99990216</v>
      </c>
      <c r="D484" s="6" t="s">
        <v>461</v>
      </c>
      <c r="E484" s="18">
        <v>0</v>
      </c>
      <c r="F484" s="18">
        <v>0</v>
      </c>
      <c r="G484" s="18">
        <v>0</v>
      </c>
      <c r="H484" s="18">
        <v>0</v>
      </c>
      <c r="I484" s="19">
        <v>0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 s="19">
        <v>0</v>
      </c>
      <c r="AD484" s="19">
        <v>0</v>
      </c>
      <c r="AE484" s="19">
        <v>0</v>
      </c>
      <c r="AF484" s="19">
        <v>0</v>
      </c>
      <c r="AG484" s="19">
        <v>0</v>
      </c>
      <c r="AH484" s="19">
        <v>0</v>
      </c>
      <c r="AI484" s="19">
        <v>0</v>
      </c>
      <c r="AJ484" s="19">
        <v>0</v>
      </c>
      <c r="AK484" s="19">
        <v>0</v>
      </c>
      <c r="AL484" s="19">
        <v>0</v>
      </c>
      <c r="AM484" s="19">
        <v>0</v>
      </c>
      <c r="AN484" s="19">
        <v>0</v>
      </c>
      <c r="AO484" s="19">
        <v>0</v>
      </c>
      <c r="AP484" s="19">
        <v>0</v>
      </c>
      <c r="AQ484" s="19">
        <v>0</v>
      </c>
      <c r="AR484" s="19">
        <v>0</v>
      </c>
      <c r="AS484" s="19">
        <v>0</v>
      </c>
      <c r="AT484" s="19">
        <v>0</v>
      </c>
      <c r="AU484" s="19">
        <v>0</v>
      </c>
      <c r="AV484" s="19">
        <v>0</v>
      </c>
      <c r="AW484" s="19">
        <v>0</v>
      </c>
      <c r="AX484" s="19">
        <v>0</v>
      </c>
      <c r="AY484" s="19">
        <v>0</v>
      </c>
      <c r="AZ484" s="19">
        <v>0</v>
      </c>
      <c r="BA484" s="19">
        <v>0</v>
      </c>
      <c r="BB484" s="19">
        <v>0</v>
      </c>
      <c r="BC484" s="19">
        <v>0</v>
      </c>
      <c r="BD484" s="19">
        <v>0</v>
      </c>
      <c r="BE484" s="19">
        <v>0</v>
      </c>
      <c r="BF484" s="19">
        <v>0</v>
      </c>
      <c r="BG484" s="19">
        <v>0</v>
      </c>
      <c r="BH484" s="19">
        <v>0</v>
      </c>
      <c r="BI484" s="19">
        <v>0</v>
      </c>
      <c r="BJ484" s="19">
        <v>0</v>
      </c>
      <c r="BK484" s="19">
        <v>0</v>
      </c>
      <c r="BL484" s="19">
        <v>0</v>
      </c>
      <c r="BM484" s="19">
        <v>0</v>
      </c>
      <c r="BN484" s="19">
        <v>0</v>
      </c>
      <c r="BO484" s="19">
        <v>0</v>
      </c>
      <c r="BP484" s="19">
        <v>0</v>
      </c>
      <c r="BQ484" s="19">
        <v>0</v>
      </c>
      <c r="BR484" s="19">
        <v>0</v>
      </c>
      <c r="BS484" s="19">
        <v>0</v>
      </c>
      <c r="BT484" s="19">
        <v>0</v>
      </c>
      <c r="BU484" s="19">
        <v>0</v>
      </c>
      <c r="BV484" s="19">
        <v>0</v>
      </c>
      <c r="BW484" s="19">
        <v>0</v>
      </c>
      <c r="BX484" s="19">
        <v>0</v>
      </c>
      <c r="BY484" s="19">
        <v>0</v>
      </c>
      <c r="BZ484" s="19">
        <v>0</v>
      </c>
      <c r="CA484" s="19">
        <v>0</v>
      </c>
      <c r="CB484" s="19">
        <v>0</v>
      </c>
      <c r="CC484" s="19">
        <v>0</v>
      </c>
      <c r="CD484" s="19">
        <v>0</v>
      </c>
      <c r="CE484" s="19">
        <v>0</v>
      </c>
      <c r="CF484" s="19">
        <v>0</v>
      </c>
      <c r="CG484" s="19">
        <v>0</v>
      </c>
      <c r="CH484" s="19">
        <v>0</v>
      </c>
      <c r="CI484" s="19">
        <v>0</v>
      </c>
      <c r="CJ484" s="19">
        <v>0</v>
      </c>
      <c r="CK484" s="19">
        <v>0</v>
      </c>
      <c r="CL484" s="19">
        <v>0</v>
      </c>
      <c r="CM484" s="19">
        <v>0</v>
      </c>
      <c r="CN484" s="19">
        <v>0</v>
      </c>
      <c r="CO484" s="19">
        <v>0</v>
      </c>
      <c r="CP484" s="19">
        <v>0</v>
      </c>
      <c r="CQ484" s="19">
        <v>0</v>
      </c>
      <c r="CR484" s="19">
        <v>0</v>
      </c>
      <c r="CS484" s="19">
        <v>0</v>
      </c>
      <c r="CT484" s="19">
        <v>0</v>
      </c>
      <c r="CU484" s="19">
        <v>0</v>
      </c>
      <c r="CV484" s="19">
        <v>0</v>
      </c>
      <c r="CW484" s="19">
        <v>0</v>
      </c>
      <c r="CX484" s="19">
        <v>0</v>
      </c>
      <c r="CY484" s="19">
        <v>0</v>
      </c>
      <c r="CZ484" s="19">
        <v>0</v>
      </c>
      <c r="DA484" s="19">
        <v>0</v>
      </c>
      <c r="DB484" s="19">
        <v>0</v>
      </c>
      <c r="DC484" s="19">
        <v>0</v>
      </c>
      <c r="DD484" s="19">
        <v>0</v>
      </c>
      <c r="DE484" s="19">
        <v>0</v>
      </c>
      <c r="DF484" s="19">
        <v>0</v>
      </c>
      <c r="DG484" s="19">
        <v>0</v>
      </c>
      <c r="DH484" s="19">
        <v>0</v>
      </c>
      <c r="DI484" s="19">
        <v>0</v>
      </c>
      <c r="DJ484" s="19">
        <v>0</v>
      </c>
      <c r="DK484" s="19">
        <v>0</v>
      </c>
      <c r="DL484" s="19">
        <v>0</v>
      </c>
      <c r="DM484" s="19">
        <v>0</v>
      </c>
      <c r="DN484" s="19">
        <v>0</v>
      </c>
      <c r="DO484" s="19">
        <v>0</v>
      </c>
      <c r="DP484" s="19">
        <v>0</v>
      </c>
      <c r="DQ484" s="19">
        <v>0</v>
      </c>
      <c r="DR484" s="19">
        <v>0</v>
      </c>
      <c r="DS484" s="19">
        <v>0</v>
      </c>
      <c r="DT484" s="19">
        <v>0</v>
      </c>
      <c r="DU484" s="19">
        <v>0</v>
      </c>
      <c r="DV484" s="19">
        <v>0</v>
      </c>
      <c r="DW484" s="19">
        <v>0</v>
      </c>
      <c r="DX484" s="19">
        <v>0</v>
      </c>
      <c r="DY484" s="19">
        <v>0</v>
      </c>
      <c r="DZ484" s="19">
        <v>0</v>
      </c>
      <c r="EA484" s="19">
        <v>0</v>
      </c>
      <c r="EB484" s="19">
        <v>0</v>
      </c>
      <c r="EC484" s="19">
        <v>0</v>
      </c>
      <c r="ED484" s="19">
        <v>0</v>
      </c>
      <c r="EE484" s="19">
        <v>0</v>
      </c>
      <c r="EF484" s="19">
        <v>0</v>
      </c>
      <c r="EG484" s="19">
        <v>0</v>
      </c>
      <c r="EH484" s="19">
        <v>0</v>
      </c>
      <c r="EI484" s="19">
        <v>0</v>
      </c>
      <c r="EJ484" s="19">
        <v>0</v>
      </c>
      <c r="EK484" s="19">
        <v>0</v>
      </c>
      <c r="EL484" s="19">
        <v>0</v>
      </c>
      <c r="EM484" s="19">
        <v>0</v>
      </c>
      <c r="EN484" s="19">
        <v>0</v>
      </c>
      <c r="EO484" s="19">
        <v>0</v>
      </c>
      <c r="EP484" s="19">
        <v>0</v>
      </c>
      <c r="EQ484" s="19">
        <v>0</v>
      </c>
      <c r="ER484" s="19">
        <v>0</v>
      </c>
      <c r="ES484" s="119">
        <v>0</v>
      </c>
      <c r="ET484" s="119">
        <v>0</v>
      </c>
    </row>
    <row r="485" spans="1:150" ht="16.5" customHeight="1" x14ac:dyDescent="0.35">
      <c r="A485" s="4">
        <v>218</v>
      </c>
      <c r="B485" s="4" t="str">
        <f>LOOKUP(A485,Lookup!$A$1:$A$34,Lookup!$B$1:$B$34)</f>
        <v>BUTCHERY SPICE</v>
      </c>
      <c r="C485" s="5">
        <v>34383</v>
      </c>
      <c r="D485" s="6" t="s">
        <v>462</v>
      </c>
      <c r="E485" s="18">
        <v>217.10875688916099</v>
      </c>
      <c r="F485" s="18">
        <v>8.5489999999999995</v>
      </c>
      <c r="G485" s="18">
        <v>15414.7217391304</v>
      </c>
      <c r="H485" s="18">
        <v>607</v>
      </c>
      <c r="I485" s="19">
        <v>50.417391304347802</v>
      </c>
      <c r="J485" s="19">
        <v>2</v>
      </c>
      <c r="K485" s="19">
        <v>252.08695652173901</v>
      </c>
      <c r="L485" s="19">
        <v>10</v>
      </c>
      <c r="M485" s="19">
        <v>176.460869565217</v>
      </c>
      <c r="N485" s="19">
        <v>7</v>
      </c>
      <c r="O485" s="19">
        <v>0</v>
      </c>
      <c r="P485" s="19">
        <v>0</v>
      </c>
      <c r="Q485" s="19">
        <v>0</v>
      </c>
      <c r="R485" s="19">
        <v>0</v>
      </c>
      <c r="S485" s="19">
        <v>126.04347826087</v>
      </c>
      <c r="T485" s="19">
        <v>5</v>
      </c>
      <c r="U485" s="19">
        <v>252.08695652173901</v>
      </c>
      <c r="V485" s="19">
        <v>10</v>
      </c>
      <c r="W485" s="19">
        <v>352.92173913043501</v>
      </c>
      <c r="X485" s="19">
        <v>14</v>
      </c>
      <c r="Y485" s="19">
        <v>478.96521739130401</v>
      </c>
      <c r="Z485" s="19">
        <v>19</v>
      </c>
      <c r="AA485" s="19">
        <v>151.25217391304301</v>
      </c>
      <c r="AB485" s="19">
        <v>6</v>
      </c>
      <c r="AC485" s="19">
        <v>277.29565217391303</v>
      </c>
      <c r="AD485" s="19">
        <v>11</v>
      </c>
      <c r="AE485" s="19">
        <v>252.08695652173901</v>
      </c>
      <c r="AF485" s="19">
        <v>10</v>
      </c>
      <c r="AG485" s="19">
        <v>0</v>
      </c>
      <c r="AH485" s="19">
        <v>0</v>
      </c>
      <c r="AI485" s="19">
        <v>327.713043478261</v>
      </c>
      <c r="AJ485" s="19">
        <v>13</v>
      </c>
      <c r="AK485" s="19">
        <v>151.25217391304301</v>
      </c>
      <c r="AL485" s="19">
        <v>6</v>
      </c>
      <c r="AM485" s="19">
        <v>201.66956521739101</v>
      </c>
      <c r="AN485" s="19">
        <v>8</v>
      </c>
      <c r="AO485" s="19">
        <v>403.33913043478299</v>
      </c>
      <c r="AP485" s="19">
        <v>16</v>
      </c>
      <c r="AQ485" s="19">
        <v>176.460869565217</v>
      </c>
      <c r="AR485" s="19">
        <v>7</v>
      </c>
      <c r="AS485" s="19">
        <v>252.08695652173901</v>
      </c>
      <c r="AT485" s="19">
        <v>10</v>
      </c>
      <c r="AU485" s="19">
        <v>75.626086956521704</v>
      </c>
      <c r="AV485" s="19">
        <v>3</v>
      </c>
      <c r="AW485" s="19">
        <v>302.50434782608698</v>
      </c>
      <c r="AX485" s="19">
        <v>12</v>
      </c>
      <c r="AY485" s="19">
        <v>201.66956521739101</v>
      </c>
      <c r="AZ485" s="19">
        <v>8</v>
      </c>
      <c r="BA485" s="19">
        <v>252.08695652173901</v>
      </c>
      <c r="BB485" s="19">
        <v>10</v>
      </c>
      <c r="BC485" s="19">
        <v>201.66956521739101</v>
      </c>
      <c r="BD485" s="19">
        <v>8</v>
      </c>
      <c r="BE485" s="19">
        <v>151.25217391304301</v>
      </c>
      <c r="BF485" s="19">
        <v>6</v>
      </c>
      <c r="BG485" s="19">
        <v>403.33913043478299</v>
      </c>
      <c r="BH485" s="19">
        <v>16</v>
      </c>
      <c r="BI485" s="19">
        <v>25.208695652173901</v>
      </c>
      <c r="BJ485" s="19">
        <v>1</v>
      </c>
      <c r="BK485" s="19">
        <v>151.25217391304301</v>
      </c>
      <c r="BL485" s="19">
        <v>6</v>
      </c>
      <c r="BM485" s="19">
        <v>100.834782608696</v>
      </c>
      <c r="BN485" s="19">
        <v>4</v>
      </c>
      <c r="BO485" s="19">
        <v>302.50434782608698</v>
      </c>
      <c r="BP485" s="19">
        <v>12</v>
      </c>
      <c r="BQ485" s="19">
        <v>126.04347826087</v>
      </c>
      <c r="BR485" s="19">
        <v>5</v>
      </c>
      <c r="BS485" s="19">
        <v>327.713043478261</v>
      </c>
      <c r="BT485" s="19">
        <v>13</v>
      </c>
      <c r="BU485" s="19">
        <v>201.66956521739101</v>
      </c>
      <c r="BV485" s="19">
        <v>8</v>
      </c>
      <c r="BW485" s="19">
        <v>50.417391304347802</v>
      </c>
      <c r="BX485" s="19">
        <v>2</v>
      </c>
      <c r="BY485" s="19">
        <v>378.13043478260897</v>
      </c>
      <c r="BZ485" s="19">
        <v>15</v>
      </c>
      <c r="CA485" s="19">
        <v>201.66956521739101</v>
      </c>
      <c r="CB485" s="19">
        <v>8</v>
      </c>
      <c r="CC485" s="19">
        <v>75.626086956521704</v>
      </c>
      <c r="CD485" s="19">
        <v>3</v>
      </c>
      <c r="CE485" s="19">
        <v>151.25217391304301</v>
      </c>
      <c r="CF485" s="19">
        <v>6</v>
      </c>
      <c r="CG485" s="19">
        <v>352.92173913043501</v>
      </c>
      <c r="CH485" s="19">
        <v>14</v>
      </c>
      <c r="CI485" s="19">
        <v>126.04347826087</v>
      </c>
      <c r="CJ485" s="19">
        <v>5</v>
      </c>
      <c r="CK485" s="19">
        <v>277.29565217391303</v>
      </c>
      <c r="CL485" s="19">
        <v>11</v>
      </c>
      <c r="CM485" s="19">
        <v>226.878260869565</v>
      </c>
      <c r="CN485" s="19">
        <v>9</v>
      </c>
      <c r="CO485" s="19">
        <v>0</v>
      </c>
      <c r="CP485" s="19">
        <v>0</v>
      </c>
      <c r="CQ485" s="19">
        <v>201.66956521739101</v>
      </c>
      <c r="CR485" s="19">
        <v>8</v>
      </c>
      <c r="CS485" s="19">
        <v>252.08695652173901</v>
      </c>
      <c r="CT485" s="19">
        <v>10</v>
      </c>
      <c r="CU485" s="19">
        <v>100.834782608696</v>
      </c>
      <c r="CV485" s="19">
        <v>4</v>
      </c>
      <c r="CW485" s="19">
        <v>176.460869565217</v>
      </c>
      <c r="CX485" s="19">
        <v>7</v>
      </c>
      <c r="CY485" s="19">
        <v>327.713043478261</v>
      </c>
      <c r="CZ485" s="19">
        <v>13</v>
      </c>
      <c r="DA485" s="19">
        <v>352.92173913043501</v>
      </c>
      <c r="DB485" s="19">
        <v>14</v>
      </c>
      <c r="DC485" s="19">
        <v>277.29565217391303</v>
      </c>
      <c r="DD485" s="19">
        <v>11</v>
      </c>
      <c r="DE485" s="19">
        <v>126.04347826087</v>
      </c>
      <c r="DF485" s="19">
        <v>5</v>
      </c>
      <c r="DG485" s="19">
        <v>100.834782608696</v>
      </c>
      <c r="DH485" s="19">
        <v>4</v>
      </c>
      <c r="DI485" s="19">
        <v>0</v>
      </c>
      <c r="DJ485" s="19">
        <v>0</v>
      </c>
      <c r="DK485" s="19">
        <v>252.08695652173901</v>
      </c>
      <c r="DL485" s="19">
        <v>10</v>
      </c>
      <c r="DM485" s="19">
        <v>226.878260869565</v>
      </c>
      <c r="DN485" s="19">
        <v>9</v>
      </c>
      <c r="DO485" s="19">
        <v>478.96521739130401</v>
      </c>
      <c r="DP485" s="19">
        <v>19</v>
      </c>
      <c r="DQ485" s="19">
        <v>302.50434782608698</v>
      </c>
      <c r="DR485" s="19">
        <v>12</v>
      </c>
      <c r="DS485" s="19">
        <v>151.25217391304301</v>
      </c>
      <c r="DT485" s="19">
        <v>6</v>
      </c>
      <c r="DU485" s="19">
        <v>412.03478260869599</v>
      </c>
      <c r="DV485" s="19">
        <v>16</v>
      </c>
      <c r="DW485" s="19">
        <v>286.860869565217</v>
      </c>
      <c r="DX485" s="19">
        <v>11</v>
      </c>
      <c r="DY485" s="19">
        <v>469.408695652174</v>
      </c>
      <c r="DZ485" s="19">
        <v>18</v>
      </c>
      <c r="EA485" s="19">
        <v>443.33043478260902</v>
      </c>
      <c r="EB485" s="19">
        <v>17</v>
      </c>
      <c r="EC485" s="19">
        <v>26.078260869565199</v>
      </c>
      <c r="ED485" s="19">
        <v>1</v>
      </c>
      <c r="EE485" s="19">
        <v>156.46956521739099</v>
      </c>
      <c r="EF485" s="19">
        <v>6</v>
      </c>
      <c r="EG485" s="19">
        <v>417.25217391304398</v>
      </c>
      <c r="EH485" s="19">
        <v>16</v>
      </c>
      <c r="EI485" s="19">
        <v>234.704347826087</v>
      </c>
      <c r="EJ485" s="19">
        <v>9</v>
      </c>
      <c r="EK485" s="19">
        <v>156.46956521739099</v>
      </c>
      <c r="EL485" s="19">
        <v>6</v>
      </c>
      <c r="EM485" s="19">
        <v>312.93913043478301</v>
      </c>
      <c r="EN485" s="19">
        <v>12</v>
      </c>
      <c r="EO485" s="19">
        <v>599.79999999999995</v>
      </c>
      <c r="EP485" s="19">
        <v>23</v>
      </c>
      <c r="EQ485" s="19">
        <v>26.078260869565199</v>
      </c>
      <c r="ER485" s="19">
        <v>1</v>
      </c>
      <c r="ES485" s="119">
        <v>0</v>
      </c>
      <c r="ET485" s="119">
        <v>0</v>
      </c>
    </row>
    <row r="486" spans="1:150" ht="16.5" customHeight="1" x14ac:dyDescent="0.35">
      <c r="A486" s="4">
        <v>218</v>
      </c>
      <c r="B486" s="4" t="str">
        <f>LOOKUP(A486,Lookup!$A$1:$A$34,Lookup!$B$1:$B$34)</f>
        <v>BUTCHERY SPICE</v>
      </c>
      <c r="C486" s="5">
        <v>34385</v>
      </c>
      <c r="D486" s="6" t="s">
        <v>463</v>
      </c>
      <c r="E486" s="18">
        <v>16.9447642375995</v>
      </c>
      <c r="F486" s="18">
        <v>0.64800000000000002</v>
      </c>
      <c r="G486" s="18">
        <v>1203.0782608695699</v>
      </c>
      <c r="H486" s="18">
        <v>46</v>
      </c>
      <c r="I486" s="19">
        <v>57.373913043478296</v>
      </c>
      <c r="J486" s="19">
        <v>2</v>
      </c>
      <c r="K486" s="19">
        <v>57.373913043478296</v>
      </c>
      <c r="L486" s="19">
        <v>2</v>
      </c>
      <c r="M486" s="19">
        <v>86.060869565217402</v>
      </c>
      <c r="N486" s="19">
        <v>3</v>
      </c>
      <c r="O486" s="19">
        <v>57.373913043478296</v>
      </c>
      <c r="P486" s="19">
        <v>2</v>
      </c>
      <c r="Q486" s="19">
        <v>143.434782608696</v>
      </c>
      <c r="R486" s="19">
        <v>5</v>
      </c>
      <c r="S486" s="19">
        <v>0</v>
      </c>
      <c r="T486" s="19">
        <v>0</v>
      </c>
      <c r="U486" s="19">
        <v>57.373913043478296</v>
      </c>
      <c r="V486" s="19">
        <v>2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 s="19">
        <v>0</v>
      </c>
      <c r="AD486" s="19">
        <v>0</v>
      </c>
      <c r="AE486" s="19">
        <v>0</v>
      </c>
      <c r="AF486" s="19">
        <v>0</v>
      </c>
      <c r="AG486" s="19">
        <v>0</v>
      </c>
      <c r="AH486" s="19">
        <v>0</v>
      </c>
      <c r="AI486" s="19">
        <v>0</v>
      </c>
      <c r="AJ486" s="19">
        <v>0</v>
      </c>
      <c r="AK486" s="19">
        <v>0</v>
      </c>
      <c r="AL486" s="19">
        <v>0</v>
      </c>
      <c r="AM486" s="19">
        <v>0</v>
      </c>
      <c r="AN486" s="19">
        <v>0</v>
      </c>
      <c r="AO486" s="19">
        <v>0</v>
      </c>
      <c r="AP486" s="19">
        <v>0</v>
      </c>
      <c r="AQ486" s="19">
        <v>0</v>
      </c>
      <c r="AR486" s="19">
        <v>0</v>
      </c>
      <c r="AS486" s="19">
        <v>0</v>
      </c>
      <c r="AT486" s="19">
        <v>0</v>
      </c>
      <c r="AU486" s="19">
        <v>0</v>
      </c>
      <c r="AV486" s="19">
        <v>0</v>
      </c>
      <c r="AW486" s="19">
        <v>0</v>
      </c>
      <c r="AX486" s="19">
        <v>0</v>
      </c>
      <c r="AY486" s="19">
        <v>0</v>
      </c>
      <c r="AZ486" s="19">
        <v>0</v>
      </c>
      <c r="BA486" s="19">
        <v>0</v>
      </c>
      <c r="BB486" s="19">
        <v>0</v>
      </c>
      <c r="BC486" s="19">
        <v>0</v>
      </c>
      <c r="BD486" s="19">
        <v>0</v>
      </c>
      <c r="BE486" s="19">
        <v>0</v>
      </c>
      <c r="BF486" s="19">
        <v>0</v>
      </c>
      <c r="BG486" s="19">
        <v>0</v>
      </c>
      <c r="BH486" s="19">
        <v>0</v>
      </c>
      <c r="BI486" s="19">
        <v>0</v>
      </c>
      <c r="BJ486" s="19">
        <v>0</v>
      </c>
      <c r="BK486" s="19">
        <v>0</v>
      </c>
      <c r="BL486" s="19">
        <v>0</v>
      </c>
      <c r="BM486" s="19">
        <v>0</v>
      </c>
      <c r="BN486" s="19">
        <v>0</v>
      </c>
      <c r="BO486" s="19">
        <v>0</v>
      </c>
      <c r="BP486" s="19">
        <v>0</v>
      </c>
      <c r="BQ486" s="19">
        <v>0</v>
      </c>
      <c r="BR486" s="19">
        <v>0</v>
      </c>
      <c r="BS486" s="19">
        <v>0</v>
      </c>
      <c r="BT486" s="19">
        <v>0</v>
      </c>
      <c r="BU486" s="19">
        <v>0</v>
      </c>
      <c r="BV486" s="19">
        <v>0</v>
      </c>
      <c r="BW486" s="19">
        <v>0</v>
      </c>
      <c r="BX486" s="19">
        <v>0</v>
      </c>
      <c r="BY486" s="19">
        <v>0</v>
      </c>
      <c r="BZ486" s="19">
        <v>0</v>
      </c>
      <c r="CA486" s="19">
        <v>0</v>
      </c>
      <c r="CB486" s="19">
        <v>0</v>
      </c>
      <c r="CC486" s="19">
        <v>0</v>
      </c>
      <c r="CD486" s="19">
        <v>0</v>
      </c>
      <c r="CE486" s="19">
        <v>0</v>
      </c>
      <c r="CF486" s="19">
        <v>0</v>
      </c>
      <c r="CG486" s="19">
        <v>0</v>
      </c>
      <c r="CH486" s="19">
        <v>0</v>
      </c>
      <c r="CI486" s="19">
        <v>0</v>
      </c>
      <c r="CJ486" s="19">
        <v>0</v>
      </c>
      <c r="CK486" s="19">
        <v>0</v>
      </c>
      <c r="CL486" s="19">
        <v>0</v>
      </c>
      <c r="CM486" s="19">
        <v>0</v>
      </c>
      <c r="CN486" s="19">
        <v>0</v>
      </c>
      <c r="CO486" s="19">
        <v>0</v>
      </c>
      <c r="CP486" s="19">
        <v>0</v>
      </c>
      <c r="CQ486" s="19">
        <v>0</v>
      </c>
      <c r="CR486" s="19">
        <v>0</v>
      </c>
      <c r="CS486" s="19">
        <v>0</v>
      </c>
      <c r="CT486" s="19">
        <v>0</v>
      </c>
      <c r="CU486" s="19">
        <v>0</v>
      </c>
      <c r="CV486" s="19">
        <v>0</v>
      </c>
      <c r="CW486" s="19">
        <v>0</v>
      </c>
      <c r="CX486" s="19">
        <v>0</v>
      </c>
      <c r="CY486" s="19">
        <v>0</v>
      </c>
      <c r="CZ486" s="19">
        <v>0</v>
      </c>
      <c r="DA486" s="19">
        <v>0</v>
      </c>
      <c r="DB486" s="19">
        <v>0</v>
      </c>
      <c r="DC486" s="19">
        <v>0</v>
      </c>
      <c r="DD486" s="19">
        <v>0</v>
      </c>
      <c r="DE486" s="19">
        <v>0</v>
      </c>
      <c r="DF486" s="19">
        <v>0</v>
      </c>
      <c r="DG486" s="19">
        <v>0</v>
      </c>
      <c r="DH486" s="19">
        <v>0</v>
      </c>
      <c r="DI486" s="19">
        <v>0</v>
      </c>
      <c r="DJ486" s="19">
        <v>0</v>
      </c>
      <c r="DK486" s="19">
        <v>0</v>
      </c>
      <c r="DL486" s="19">
        <v>0</v>
      </c>
      <c r="DM486" s="19">
        <v>14.7739130434783</v>
      </c>
      <c r="DN486" s="19">
        <v>1</v>
      </c>
      <c r="DO486" s="19">
        <v>29.547826086956501</v>
      </c>
      <c r="DP486" s="19">
        <v>2</v>
      </c>
      <c r="DQ486" s="19">
        <v>44.3217391304348</v>
      </c>
      <c r="DR486" s="19">
        <v>3</v>
      </c>
      <c r="DS486" s="19">
        <v>29.547826086956501</v>
      </c>
      <c r="DT486" s="19">
        <v>2</v>
      </c>
      <c r="DU486" s="19">
        <v>26.078260869565199</v>
      </c>
      <c r="DV486" s="19">
        <v>1</v>
      </c>
      <c r="DW486" s="19">
        <v>78.234782608695696</v>
      </c>
      <c r="DX486" s="19">
        <v>3</v>
      </c>
      <c r="DY486" s="19">
        <v>26.078260869565199</v>
      </c>
      <c r="DZ486" s="19">
        <v>1</v>
      </c>
      <c r="EA486" s="19">
        <v>0</v>
      </c>
      <c r="EB486" s="19">
        <v>0</v>
      </c>
      <c r="EC486" s="19">
        <v>78.234782608695696</v>
      </c>
      <c r="ED486" s="19">
        <v>3</v>
      </c>
      <c r="EE486" s="19">
        <v>78.234782608695696</v>
      </c>
      <c r="EF486" s="19">
        <v>3</v>
      </c>
      <c r="EG486" s="19">
        <v>0</v>
      </c>
      <c r="EH486" s="19">
        <v>0</v>
      </c>
      <c r="EI486" s="19">
        <v>26.078260869565199</v>
      </c>
      <c r="EJ486" s="19">
        <v>1</v>
      </c>
      <c r="EK486" s="19">
        <v>0</v>
      </c>
      <c r="EL486" s="19">
        <v>0</v>
      </c>
      <c r="EM486" s="19">
        <v>125.18260869565199</v>
      </c>
      <c r="EN486" s="19">
        <v>4</v>
      </c>
      <c r="EO486" s="19">
        <v>93.886956521739094</v>
      </c>
      <c r="EP486" s="19">
        <v>3</v>
      </c>
      <c r="EQ486" s="19">
        <v>62.591304347826103</v>
      </c>
      <c r="ER486" s="19">
        <v>2</v>
      </c>
      <c r="ES486" s="119">
        <v>31.295652173912998</v>
      </c>
      <c r="ET486" s="119">
        <v>1</v>
      </c>
    </row>
    <row r="487" spans="1:150" ht="16.5" customHeight="1" x14ac:dyDescent="0.35">
      <c r="A487" s="4">
        <v>218</v>
      </c>
      <c r="B487" s="4" t="str">
        <f>LOOKUP(A487,Lookup!$A$1:$A$34,Lookup!$B$1:$B$34)</f>
        <v>BUTCHERY SPICE</v>
      </c>
      <c r="C487" s="5">
        <v>41524</v>
      </c>
      <c r="D487" s="6" t="s">
        <v>464</v>
      </c>
      <c r="E487" s="18">
        <v>0</v>
      </c>
      <c r="F487" s="18">
        <v>0</v>
      </c>
      <c r="G487" s="18">
        <v>0</v>
      </c>
      <c r="H487" s="18">
        <v>0</v>
      </c>
      <c r="I487" s="19">
        <v>0</v>
      </c>
      <c r="J487" s="19">
        <v>0</v>
      </c>
      <c r="K487" s="19">
        <v>0</v>
      </c>
      <c r="L487" s="19">
        <v>0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0</v>
      </c>
      <c r="AD487" s="19">
        <v>0</v>
      </c>
      <c r="AE487" s="19">
        <v>0</v>
      </c>
      <c r="AF487" s="19">
        <v>0</v>
      </c>
      <c r="AG487" s="19">
        <v>0</v>
      </c>
      <c r="AH487" s="19">
        <v>0</v>
      </c>
      <c r="AI487" s="19">
        <v>0</v>
      </c>
      <c r="AJ487" s="19">
        <v>0</v>
      </c>
      <c r="AK487" s="19">
        <v>0</v>
      </c>
      <c r="AL487" s="19">
        <v>0</v>
      </c>
      <c r="AM487" s="19">
        <v>0</v>
      </c>
      <c r="AN487" s="19">
        <v>0</v>
      </c>
      <c r="AO487" s="19">
        <v>0</v>
      </c>
      <c r="AP487" s="19">
        <v>0</v>
      </c>
      <c r="AQ487" s="19">
        <v>0</v>
      </c>
      <c r="AR487" s="19">
        <v>0</v>
      </c>
      <c r="AS487" s="19">
        <v>0</v>
      </c>
      <c r="AT487" s="19">
        <v>0</v>
      </c>
      <c r="AU487" s="19">
        <v>0</v>
      </c>
      <c r="AV487" s="19">
        <v>0</v>
      </c>
      <c r="AW487" s="19">
        <v>0</v>
      </c>
      <c r="AX487" s="19">
        <v>0</v>
      </c>
      <c r="AY487" s="19">
        <v>0</v>
      </c>
      <c r="AZ487" s="19">
        <v>0</v>
      </c>
      <c r="BA487" s="19">
        <v>0</v>
      </c>
      <c r="BB487" s="19">
        <v>0</v>
      </c>
      <c r="BC487" s="19">
        <v>0</v>
      </c>
      <c r="BD487" s="19">
        <v>0</v>
      </c>
      <c r="BE487" s="19">
        <v>0</v>
      </c>
      <c r="BF487" s="19">
        <v>0</v>
      </c>
      <c r="BG487" s="19">
        <v>0</v>
      </c>
      <c r="BH487" s="19">
        <v>0</v>
      </c>
      <c r="BI487" s="19">
        <v>0</v>
      </c>
      <c r="BJ487" s="19">
        <v>0</v>
      </c>
      <c r="BK487" s="19">
        <v>0</v>
      </c>
      <c r="BL487" s="19">
        <v>0</v>
      </c>
      <c r="BM487" s="19">
        <v>0</v>
      </c>
      <c r="BN487" s="19">
        <v>0</v>
      </c>
      <c r="BO487" s="19">
        <v>0</v>
      </c>
      <c r="BP487" s="19">
        <v>0</v>
      </c>
      <c r="BQ487" s="19">
        <v>0</v>
      </c>
      <c r="BR487" s="19">
        <v>0</v>
      </c>
      <c r="BS487" s="19">
        <v>0</v>
      </c>
      <c r="BT487" s="19">
        <v>0</v>
      </c>
      <c r="BU487" s="19">
        <v>0</v>
      </c>
      <c r="BV487" s="19">
        <v>0</v>
      </c>
      <c r="BW487" s="19">
        <v>0</v>
      </c>
      <c r="BX487" s="19">
        <v>0</v>
      </c>
      <c r="BY487" s="19">
        <v>0</v>
      </c>
      <c r="BZ487" s="19">
        <v>0</v>
      </c>
      <c r="CA487" s="19">
        <v>0</v>
      </c>
      <c r="CB487" s="19">
        <v>0</v>
      </c>
      <c r="CC487" s="19">
        <v>0</v>
      </c>
      <c r="CD487" s="19">
        <v>0</v>
      </c>
      <c r="CE487" s="19">
        <v>0</v>
      </c>
      <c r="CF487" s="19">
        <v>0</v>
      </c>
      <c r="CG487" s="19">
        <v>0</v>
      </c>
      <c r="CH487" s="19">
        <v>0</v>
      </c>
      <c r="CI487" s="19">
        <v>0</v>
      </c>
      <c r="CJ487" s="19">
        <v>0</v>
      </c>
      <c r="CK487" s="19">
        <v>0</v>
      </c>
      <c r="CL487" s="19">
        <v>0</v>
      </c>
      <c r="CM487" s="19">
        <v>0</v>
      </c>
      <c r="CN487" s="19">
        <v>0</v>
      </c>
      <c r="CO487" s="19">
        <v>0</v>
      </c>
      <c r="CP487" s="19">
        <v>0</v>
      </c>
      <c r="CQ487" s="19">
        <v>0</v>
      </c>
      <c r="CR487" s="19">
        <v>0</v>
      </c>
      <c r="CS487" s="19">
        <v>0</v>
      </c>
      <c r="CT487" s="19">
        <v>0</v>
      </c>
      <c r="CU487" s="19">
        <v>0</v>
      </c>
      <c r="CV487" s="19">
        <v>0</v>
      </c>
      <c r="CW487" s="19">
        <v>0</v>
      </c>
      <c r="CX487" s="19">
        <v>0</v>
      </c>
      <c r="CY487" s="19">
        <v>0</v>
      </c>
      <c r="CZ487" s="19">
        <v>0</v>
      </c>
      <c r="DA487" s="19">
        <v>0</v>
      </c>
      <c r="DB487" s="19">
        <v>0</v>
      </c>
      <c r="DC487" s="19">
        <v>0</v>
      </c>
      <c r="DD487" s="19">
        <v>0</v>
      </c>
      <c r="DE487" s="19">
        <v>0</v>
      </c>
      <c r="DF487" s="19">
        <v>0</v>
      </c>
      <c r="DG487" s="19">
        <v>0</v>
      </c>
      <c r="DH487" s="19">
        <v>0</v>
      </c>
      <c r="DI487" s="19">
        <v>0</v>
      </c>
      <c r="DJ487" s="19">
        <v>0</v>
      </c>
      <c r="DK487" s="19">
        <v>0</v>
      </c>
      <c r="DL487" s="19">
        <v>0</v>
      </c>
      <c r="DM487" s="19">
        <v>0</v>
      </c>
      <c r="DN487" s="19">
        <v>0</v>
      </c>
      <c r="DO487" s="19">
        <v>0</v>
      </c>
      <c r="DP487" s="19">
        <v>0</v>
      </c>
      <c r="DQ487" s="19">
        <v>0</v>
      </c>
      <c r="DR487" s="19">
        <v>0</v>
      </c>
      <c r="DS487" s="19">
        <v>0</v>
      </c>
      <c r="DT487" s="19">
        <v>0</v>
      </c>
      <c r="DU487" s="19">
        <v>0</v>
      </c>
      <c r="DV487" s="19">
        <v>0</v>
      </c>
      <c r="DW487" s="19">
        <v>0</v>
      </c>
      <c r="DX487" s="19">
        <v>0</v>
      </c>
      <c r="DY487" s="19">
        <v>0</v>
      </c>
      <c r="DZ487" s="19">
        <v>0</v>
      </c>
      <c r="EA487" s="19">
        <v>0</v>
      </c>
      <c r="EB487" s="19">
        <v>0</v>
      </c>
      <c r="EC487" s="19">
        <v>0</v>
      </c>
      <c r="ED487" s="19">
        <v>0</v>
      </c>
      <c r="EE487" s="19">
        <v>0</v>
      </c>
      <c r="EF487" s="19">
        <v>0</v>
      </c>
      <c r="EG487" s="19">
        <v>0</v>
      </c>
      <c r="EH487" s="19">
        <v>0</v>
      </c>
      <c r="EI487" s="19">
        <v>0</v>
      </c>
      <c r="EJ487" s="19">
        <v>0</v>
      </c>
      <c r="EK487" s="19">
        <v>0</v>
      </c>
      <c r="EL487" s="19">
        <v>0</v>
      </c>
      <c r="EM487" s="19">
        <v>0</v>
      </c>
      <c r="EN487" s="19">
        <v>0</v>
      </c>
      <c r="EO487" s="19">
        <v>0</v>
      </c>
      <c r="EP487" s="19">
        <v>0</v>
      </c>
      <c r="EQ487" s="19">
        <v>0</v>
      </c>
      <c r="ER487" s="19">
        <v>0</v>
      </c>
      <c r="ES487" s="119">
        <v>0</v>
      </c>
      <c r="ET487" s="119">
        <v>0</v>
      </c>
    </row>
    <row r="488" spans="1:150" ht="16.5" customHeight="1" x14ac:dyDescent="0.35">
      <c r="A488" s="4">
        <v>218</v>
      </c>
      <c r="B488" s="4" t="str">
        <f>LOOKUP(A488,Lookup!$A$1:$A$34,Lookup!$B$1:$B$34)</f>
        <v>BUTCHERY SPICE</v>
      </c>
      <c r="C488" s="5">
        <v>42417</v>
      </c>
      <c r="D488" s="6" t="s">
        <v>465</v>
      </c>
      <c r="E488" s="18">
        <v>0</v>
      </c>
      <c r="F488" s="18">
        <v>0</v>
      </c>
      <c r="G488" s="18">
        <v>0</v>
      </c>
      <c r="H488" s="18">
        <v>0</v>
      </c>
      <c r="I488" s="19">
        <v>0</v>
      </c>
      <c r="J488" s="19">
        <v>0</v>
      </c>
      <c r="K488" s="19">
        <v>0</v>
      </c>
      <c r="L488" s="19">
        <v>0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 s="19">
        <v>0</v>
      </c>
      <c r="AD488" s="19">
        <v>0</v>
      </c>
      <c r="AE488" s="19">
        <v>0</v>
      </c>
      <c r="AF488" s="19">
        <v>0</v>
      </c>
      <c r="AG488" s="19">
        <v>0</v>
      </c>
      <c r="AH488" s="19">
        <v>0</v>
      </c>
      <c r="AI488" s="19">
        <v>0</v>
      </c>
      <c r="AJ488" s="19">
        <v>0</v>
      </c>
      <c r="AK488" s="19">
        <v>0</v>
      </c>
      <c r="AL488" s="19">
        <v>0</v>
      </c>
      <c r="AM488" s="19">
        <v>0</v>
      </c>
      <c r="AN488" s="19">
        <v>0</v>
      </c>
      <c r="AO488" s="19">
        <v>0</v>
      </c>
      <c r="AP488" s="19">
        <v>0</v>
      </c>
      <c r="AQ488" s="19">
        <v>0</v>
      </c>
      <c r="AR488" s="19">
        <v>0</v>
      </c>
      <c r="AS488" s="19">
        <v>0</v>
      </c>
      <c r="AT488" s="19">
        <v>0</v>
      </c>
      <c r="AU488" s="19">
        <v>0</v>
      </c>
      <c r="AV488" s="19">
        <v>0</v>
      </c>
      <c r="AW488" s="19">
        <v>0</v>
      </c>
      <c r="AX488" s="19">
        <v>0</v>
      </c>
      <c r="AY488" s="19">
        <v>0</v>
      </c>
      <c r="AZ488" s="19">
        <v>0</v>
      </c>
      <c r="BA488" s="19">
        <v>0</v>
      </c>
      <c r="BB488" s="19">
        <v>0</v>
      </c>
      <c r="BC488" s="19">
        <v>0</v>
      </c>
      <c r="BD488" s="19">
        <v>0</v>
      </c>
      <c r="BE488" s="19">
        <v>0</v>
      </c>
      <c r="BF488" s="19">
        <v>0</v>
      </c>
      <c r="BG488" s="19">
        <v>0</v>
      </c>
      <c r="BH488" s="19">
        <v>0</v>
      </c>
      <c r="BI488" s="19">
        <v>0</v>
      </c>
      <c r="BJ488" s="19">
        <v>0</v>
      </c>
      <c r="BK488" s="19">
        <v>0</v>
      </c>
      <c r="BL488" s="19">
        <v>0</v>
      </c>
      <c r="BM488" s="19">
        <v>0</v>
      </c>
      <c r="BN488" s="19">
        <v>0</v>
      </c>
      <c r="BO488" s="19">
        <v>0</v>
      </c>
      <c r="BP488" s="19">
        <v>0</v>
      </c>
      <c r="BQ488" s="19">
        <v>0</v>
      </c>
      <c r="BR488" s="19">
        <v>0</v>
      </c>
      <c r="BS488" s="19">
        <v>0</v>
      </c>
      <c r="BT488" s="19">
        <v>0</v>
      </c>
      <c r="BU488" s="19">
        <v>0</v>
      </c>
      <c r="BV488" s="19">
        <v>0</v>
      </c>
      <c r="BW488" s="19">
        <v>0</v>
      </c>
      <c r="BX488" s="19">
        <v>0</v>
      </c>
      <c r="BY488" s="19">
        <v>0</v>
      </c>
      <c r="BZ488" s="19">
        <v>0</v>
      </c>
      <c r="CA488" s="19">
        <v>0</v>
      </c>
      <c r="CB488" s="19">
        <v>0</v>
      </c>
      <c r="CC488" s="19">
        <v>0</v>
      </c>
      <c r="CD488" s="19">
        <v>0</v>
      </c>
      <c r="CE488" s="19">
        <v>0</v>
      </c>
      <c r="CF488" s="19">
        <v>0</v>
      </c>
      <c r="CG488" s="19">
        <v>0</v>
      </c>
      <c r="CH488" s="19">
        <v>0</v>
      </c>
      <c r="CI488" s="19">
        <v>0</v>
      </c>
      <c r="CJ488" s="19">
        <v>0</v>
      </c>
      <c r="CK488" s="19">
        <v>0</v>
      </c>
      <c r="CL488" s="19">
        <v>0</v>
      </c>
      <c r="CM488" s="19">
        <v>0</v>
      </c>
      <c r="CN488" s="19">
        <v>0</v>
      </c>
      <c r="CO488" s="19">
        <v>0</v>
      </c>
      <c r="CP488" s="19">
        <v>0</v>
      </c>
      <c r="CQ488" s="19">
        <v>0</v>
      </c>
      <c r="CR488" s="19">
        <v>0</v>
      </c>
      <c r="CS488" s="19">
        <v>0</v>
      </c>
      <c r="CT488" s="19">
        <v>0</v>
      </c>
      <c r="CU488" s="19">
        <v>0</v>
      </c>
      <c r="CV488" s="19">
        <v>0</v>
      </c>
      <c r="CW488" s="19">
        <v>0</v>
      </c>
      <c r="CX488" s="19">
        <v>0</v>
      </c>
      <c r="CY488" s="19">
        <v>0</v>
      </c>
      <c r="CZ488" s="19">
        <v>0</v>
      </c>
      <c r="DA488" s="19">
        <v>0</v>
      </c>
      <c r="DB488" s="19">
        <v>0</v>
      </c>
      <c r="DC488" s="19">
        <v>0</v>
      </c>
      <c r="DD488" s="19">
        <v>0</v>
      </c>
      <c r="DE488" s="19">
        <v>0</v>
      </c>
      <c r="DF488" s="19">
        <v>0</v>
      </c>
      <c r="DG488" s="19">
        <v>0</v>
      </c>
      <c r="DH488" s="19">
        <v>0</v>
      </c>
      <c r="DI488" s="19">
        <v>0</v>
      </c>
      <c r="DJ488" s="19">
        <v>0</v>
      </c>
      <c r="DK488" s="19">
        <v>0</v>
      </c>
      <c r="DL488" s="19">
        <v>0</v>
      </c>
      <c r="DM488" s="19">
        <v>0</v>
      </c>
      <c r="DN488" s="19">
        <v>0</v>
      </c>
      <c r="DO488" s="19">
        <v>0</v>
      </c>
      <c r="DP488" s="19">
        <v>0</v>
      </c>
      <c r="DQ488" s="19">
        <v>0</v>
      </c>
      <c r="DR488" s="19">
        <v>0</v>
      </c>
      <c r="DS488" s="19">
        <v>0</v>
      </c>
      <c r="DT488" s="19">
        <v>0</v>
      </c>
      <c r="DU488" s="19">
        <v>0</v>
      </c>
      <c r="DV488" s="19">
        <v>0</v>
      </c>
      <c r="DW488" s="19">
        <v>0</v>
      </c>
      <c r="DX488" s="19">
        <v>0</v>
      </c>
      <c r="DY488" s="19">
        <v>0</v>
      </c>
      <c r="DZ488" s="19">
        <v>0</v>
      </c>
      <c r="EA488" s="19">
        <v>0</v>
      </c>
      <c r="EB488" s="19">
        <v>0</v>
      </c>
      <c r="EC488" s="19">
        <v>0</v>
      </c>
      <c r="ED488" s="19">
        <v>0</v>
      </c>
      <c r="EE488" s="19">
        <v>0</v>
      </c>
      <c r="EF488" s="19">
        <v>0</v>
      </c>
      <c r="EG488" s="19">
        <v>0</v>
      </c>
      <c r="EH488" s="19">
        <v>0</v>
      </c>
      <c r="EI488" s="19">
        <v>0</v>
      </c>
      <c r="EJ488" s="19">
        <v>0</v>
      </c>
      <c r="EK488" s="19">
        <v>0</v>
      </c>
      <c r="EL488" s="19">
        <v>0</v>
      </c>
      <c r="EM488" s="19">
        <v>0</v>
      </c>
      <c r="EN488" s="19">
        <v>0</v>
      </c>
      <c r="EO488" s="19">
        <v>0</v>
      </c>
      <c r="EP488" s="19">
        <v>0</v>
      </c>
      <c r="EQ488" s="19">
        <v>0</v>
      </c>
      <c r="ER488" s="19">
        <v>0</v>
      </c>
      <c r="ES488" s="119">
        <v>0</v>
      </c>
      <c r="ET488" s="119">
        <v>0</v>
      </c>
    </row>
    <row r="489" spans="1:150" ht="16.5" customHeight="1" x14ac:dyDescent="0.35">
      <c r="A489" s="4">
        <v>218</v>
      </c>
      <c r="B489" s="4" t="str">
        <f>LOOKUP(A489,Lookup!$A$1:$A$34,Lookup!$B$1:$B$34)</f>
        <v>BUTCHERY SPICE</v>
      </c>
      <c r="C489" s="5">
        <v>44616</v>
      </c>
      <c r="D489" s="6" t="s">
        <v>466</v>
      </c>
      <c r="E489" s="18">
        <v>0</v>
      </c>
      <c r="F489" s="18">
        <v>0</v>
      </c>
      <c r="G489" s="18">
        <v>0</v>
      </c>
      <c r="H489" s="18">
        <v>0</v>
      </c>
      <c r="I489" s="19">
        <v>0</v>
      </c>
      <c r="J489" s="19">
        <v>0</v>
      </c>
      <c r="K489" s="19">
        <v>0</v>
      </c>
      <c r="L489" s="19">
        <v>0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 s="19">
        <v>0</v>
      </c>
      <c r="AD489" s="19">
        <v>0</v>
      </c>
      <c r="AE489" s="19">
        <v>0</v>
      </c>
      <c r="AF489" s="19">
        <v>0</v>
      </c>
      <c r="AG489" s="19">
        <v>0</v>
      </c>
      <c r="AH489" s="19">
        <v>0</v>
      </c>
      <c r="AI489" s="19">
        <v>0</v>
      </c>
      <c r="AJ489" s="19">
        <v>0</v>
      </c>
      <c r="AK489" s="19">
        <v>0</v>
      </c>
      <c r="AL489" s="19">
        <v>0</v>
      </c>
      <c r="AM489" s="19">
        <v>0</v>
      </c>
      <c r="AN489" s="19">
        <v>0</v>
      </c>
      <c r="AO489" s="19">
        <v>0</v>
      </c>
      <c r="AP489" s="19">
        <v>0</v>
      </c>
      <c r="AQ489" s="19">
        <v>0</v>
      </c>
      <c r="AR489" s="19">
        <v>0</v>
      </c>
      <c r="AS489" s="19">
        <v>0</v>
      </c>
      <c r="AT489" s="19">
        <v>0</v>
      </c>
      <c r="AU489" s="19">
        <v>0</v>
      </c>
      <c r="AV489" s="19">
        <v>0</v>
      </c>
      <c r="AW489" s="19">
        <v>0</v>
      </c>
      <c r="AX489" s="19">
        <v>0</v>
      </c>
      <c r="AY489" s="19">
        <v>0</v>
      </c>
      <c r="AZ489" s="19">
        <v>0</v>
      </c>
      <c r="BA489" s="19">
        <v>0</v>
      </c>
      <c r="BB489" s="19">
        <v>0</v>
      </c>
      <c r="BC489" s="19">
        <v>0</v>
      </c>
      <c r="BD489" s="19">
        <v>0</v>
      </c>
      <c r="BE489" s="19">
        <v>0</v>
      </c>
      <c r="BF489" s="19">
        <v>0</v>
      </c>
      <c r="BG489" s="19">
        <v>0</v>
      </c>
      <c r="BH489" s="19">
        <v>0</v>
      </c>
      <c r="BI489" s="19">
        <v>0</v>
      </c>
      <c r="BJ489" s="19">
        <v>0</v>
      </c>
      <c r="BK489" s="19">
        <v>0</v>
      </c>
      <c r="BL489" s="19">
        <v>0</v>
      </c>
      <c r="BM489" s="19">
        <v>0</v>
      </c>
      <c r="BN489" s="19">
        <v>0</v>
      </c>
      <c r="BO489" s="19">
        <v>0</v>
      </c>
      <c r="BP489" s="19">
        <v>0</v>
      </c>
      <c r="BQ489" s="19">
        <v>0</v>
      </c>
      <c r="BR489" s="19">
        <v>0</v>
      </c>
      <c r="BS489" s="19">
        <v>0</v>
      </c>
      <c r="BT489" s="19">
        <v>0</v>
      </c>
      <c r="BU489" s="19">
        <v>0</v>
      </c>
      <c r="BV489" s="19">
        <v>0</v>
      </c>
      <c r="BW489" s="19">
        <v>0</v>
      </c>
      <c r="BX489" s="19">
        <v>0</v>
      </c>
      <c r="BY489" s="19">
        <v>0</v>
      </c>
      <c r="BZ489" s="19">
        <v>0</v>
      </c>
      <c r="CA489" s="19">
        <v>0</v>
      </c>
      <c r="CB489" s="19">
        <v>0</v>
      </c>
      <c r="CC489" s="19">
        <v>0</v>
      </c>
      <c r="CD489" s="19">
        <v>0</v>
      </c>
      <c r="CE489" s="19">
        <v>0</v>
      </c>
      <c r="CF489" s="19">
        <v>0</v>
      </c>
      <c r="CG489" s="19">
        <v>0</v>
      </c>
      <c r="CH489" s="19">
        <v>0</v>
      </c>
      <c r="CI489" s="19">
        <v>0</v>
      </c>
      <c r="CJ489" s="19">
        <v>0</v>
      </c>
      <c r="CK489" s="19">
        <v>0</v>
      </c>
      <c r="CL489" s="19">
        <v>0</v>
      </c>
      <c r="CM489" s="19">
        <v>0</v>
      </c>
      <c r="CN489" s="19">
        <v>0</v>
      </c>
      <c r="CO489" s="19">
        <v>0</v>
      </c>
      <c r="CP489" s="19">
        <v>0</v>
      </c>
      <c r="CQ489" s="19">
        <v>0</v>
      </c>
      <c r="CR489" s="19">
        <v>0</v>
      </c>
      <c r="CS489" s="19">
        <v>0</v>
      </c>
      <c r="CT489" s="19">
        <v>0</v>
      </c>
      <c r="CU489" s="19">
        <v>0</v>
      </c>
      <c r="CV489" s="19">
        <v>0</v>
      </c>
      <c r="CW489" s="19">
        <v>0</v>
      </c>
      <c r="CX489" s="19">
        <v>0</v>
      </c>
      <c r="CY489" s="19">
        <v>0</v>
      </c>
      <c r="CZ489" s="19">
        <v>0</v>
      </c>
      <c r="DA489" s="19">
        <v>0</v>
      </c>
      <c r="DB489" s="19">
        <v>0</v>
      </c>
      <c r="DC489" s="19">
        <v>0</v>
      </c>
      <c r="DD489" s="19">
        <v>0</v>
      </c>
      <c r="DE489" s="19">
        <v>0</v>
      </c>
      <c r="DF489" s="19">
        <v>0</v>
      </c>
      <c r="DG489" s="19">
        <v>0</v>
      </c>
      <c r="DH489" s="19">
        <v>0</v>
      </c>
      <c r="DI489" s="19">
        <v>0</v>
      </c>
      <c r="DJ489" s="19">
        <v>0</v>
      </c>
      <c r="DK489" s="19">
        <v>0</v>
      </c>
      <c r="DL489" s="19">
        <v>0</v>
      </c>
      <c r="DM489" s="19">
        <v>0</v>
      </c>
      <c r="DN489" s="19">
        <v>0</v>
      </c>
      <c r="DO489" s="19">
        <v>0</v>
      </c>
      <c r="DP489" s="19">
        <v>0</v>
      </c>
      <c r="DQ489" s="19">
        <v>0</v>
      </c>
      <c r="DR489" s="19">
        <v>0</v>
      </c>
      <c r="DS489" s="19">
        <v>0</v>
      </c>
      <c r="DT489" s="19">
        <v>0</v>
      </c>
      <c r="DU489" s="19">
        <v>0</v>
      </c>
      <c r="DV489" s="19">
        <v>0</v>
      </c>
      <c r="DW489" s="19">
        <v>0</v>
      </c>
      <c r="DX489" s="19">
        <v>0</v>
      </c>
      <c r="DY489" s="19">
        <v>0</v>
      </c>
      <c r="DZ489" s="19">
        <v>0</v>
      </c>
      <c r="EA489" s="19">
        <v>0</v>
      </c>
      <c r="EB489" s="19">
        <v>0</v>
      </c>
      <c r="EC489" s="19">
        <v>0</v>
      </c>
      <c r="ED489" s="19">
        <v>0</v>
      </c>
      <c r="EE489" s="19">
        <v>0</v>
      </c>
      <c r="EF489" s="19">
        <v>0</v>
      </c>
      <c r="EG489" s="19">
        <v>0</v>
      </c>
      <c r="EH489" s="19">
        <v>0</v>
      </c>
      <c r="EI489" s="19">
        <v>0</v>
      </c>
      <c r="EJ489" s="19">
        <v>0</v>
      </c>
      <c r="EK489" s="19">
        <v>0</v>
      </c>
      <c r="EL489" s="19">
        <v>0</v>
      </c>
      <c r="EM489" s="19">
        <v>0</v>
      </c>
      <c r="EN489" s="19">
        <v>0</v>
      </c>
      <c r="EO489" s="19">
        <v>0</v>
      </c>
      <c r="EP489" s="19">
        <v>0</v>
      </c>
      <c r="EQ489" s="19">
        <v>0</v>
      </c>
      <c r="ER489" s="19">
        <v>0</v>
      </c>
      <c r="ES489" s="119">
        <v>0</v>
      </c>
      <c r="ET489" s="119">
        <v>0</v>
      </c>
    </row>
    <row r="490" spans="1:150" ht="16.5" customHeight="1" x14ac:dyDescent="0.35">
      <c r="A490" s="4">
        <v>218</v>
      </c>
      <c r="B490" s="4" t="str">
        <f>LOOKUP(A490,Lookup!$A$1:$A$34,Lookup!$B$1:$B$34)</f>
        <v>BUTCHERY SPICE</v>
      </c>
      <c r="C490" s="5">
        <v>48247</v>
      </c>
      <c r="D490" s="6" t="s">
        <v>467</v>
      </c>
      <c r="E490" s="18">
        <v>0</v>
      </c>
      <c r="F490" s="18">
        <v>0</v>
      </c>
      <c r="G490" s="18">
        <v>0</v>
      </c>
      <c r="H490" s="18">
        <v>0</v>
      </c>
      <c r="I490" s="19">
        <v>0</v>
      </c>
      <c r="J490" s="19">
        <v>0</v>
      </c>
      <c r="K490" s="19">
        <v>0</v>
      </c>
      <c r="L490" s="19">
        <v>0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 s="19">
        <v>0</v>
      </c>
      <c r="AD490" s="19">
        <v>0</v>
      </c>
      <c r="AE490" s="19">
        <v>0</v>
      </c>
      <c r="AF490" s="19">
        <v>0</v>
      </c>
      <c r="AG490" s="19">
        <v>0</v>
      </c>
      <c r="AH490" s="19">
        <v>0</v>
      </c>
      <c r="AI490" s="19">
        <v>0</v>
      </c>
      <c r="AJ490" s="19">
        <v>0</v>
      </c>
      <c r="AK490" s="19">
        <v>0</v>
      </c>
      <c r="AL490" s="19">
        <v>0</v>
      </c>
      <c r="AM490" s="19">
        <v>0</v>
      </c>
      <c r="AN490" s="19">
        <v>0</v>
      </c>
      <c r="AO490" s="19">
        <v>0</v>
      </c>
      <c r="AP490" s="19">
        <v>0</v>
      </c>
      <c r="AQ490" s="19">
        <v>0</v>
      </c>
      <c r="AR490" s="19">
        <v>0</v>
      </c>
      <c r="AS490" s="19">
        <v>0</v>
      </c>
      <c r="AT490" s="19">
        <v>0</v>
      </c>
      <c r="AU490" s="19">
        <v>0</v>
      </c>
      <c r="AV490" s="19">
        <v>0</v>
      </c>
      <c r="AW490" s="19">
        <v>0</v>
      </c>
      <c r="AX490" s="19">
        <v>0</v>
      </c>
      <c r="AY490" s="19">
        <v>0</v>
      </c>
      <c r="AZ490" s="19">
        <v>0</v>
      </c>
      <c r="BA490" s="19">
        <v>0</v>
      </c>
      <c r="BB490" s="19">
        <v>0</v>
      </c>
      <c r="BC490" s="19">
        <v>0</v>
      </c>
      <c r="BD490" s="19">
        <v>0</v>
      </c>
      <c r="BE490" s="19">
        <v>0</v>
      </c>
      <c r="BF490" s="19">
        <v>0</v>
      </c>
      <c r="BG490" s="19">
        <v>0</v>
      </c>
      <c r="BH490" s="19">
        <v>0</v>
      </c>
      <c r="BI490" s="19">
        <v>0</v>
      </c>
      <c r="BJ490" s="19">
        <v>0</v>
      </c>
      <c r="BK490" s="19">
        <v>0</v>
      </c>
      <c r="BL490" s="19">
        <v>0</v>
      </c>
      <c r="BM490" s="19">
        <v>0</v>
      </c>
      <c r="BN490" s="19">
        <v>0</v>
      </c>
      <c r="BO490" s="19">
        <v>0</v>
      </c>
      <c r="BP490" s="19">
        <v>0</v>
      </c>
      <c r="BQ490" s="19">
        <v>0</v>
      </c>
      <c r="BR490" s="19">
        <v>0</v>
      </c>
      <c r="BS490" s="19">
        <v>0</v>
      </c>
      <c r="BT490" s="19">
        <v>0</v>
      </c>
      <c r="BU490" s="19">
        <v>0</v>
      </c>
      <c r="BV490" s="19">
        <v>0</v>
      </c>
      <c r="BW490" s="19">
        <v>0</v>
      </c>
      <c r="BX490" s="19">
        <v>0</v>
      </c>
      <c r="BY490" s="19">
        <v>0</v>
      </c>
      <c r="BZ490" s="19">
        <v>0</v>
      </c>
      <c r="CA490" s="19">
        <v>0</v>
      </c>
      <c r="CB490" s="19">
        <v>0</v>
      </c>
      <c r="CC490" s="19">
        <v>0</v>
      </c>
      <c r="CD490" s="19">
        <v>0</v>
      </c>
      <c r="CE490" s="19">
        <v>0</v>
      </c>
      <c r="CF490" s="19">
        <v>0</v>
      </c>
      <c r="CG490" s="19">
        <v>0</v>
      </c>
      <c r="CH490" s="19">
        <v>0</v>
      </c>
      <c r="CI490" s="19">
        <v>0</v>
      </c>
      <c r="CJ490" s="19">
        <v>0</v>
      </c>
      <c r="CK490" s="19">
        <v>0</v>
      </c>
      <c r="CL490" s="19">
        <v>0</v>
      </c>
      <c r="CM490" s="19">
        <v>0</v>
      </c>
      <c r="CN490" s="19">
        <v>0</v>
      </c>
      <c r="CO490" s="19">
        <v>0</v>
      </c>
      <c r="CP490" s="19">
        <v>0</v>
      </c>
      <c r="CQ490" s="19">
        <v>0</v>
      </c>
      <c r="CR490" s="19">
        <v>0</v>
      </c>
      <c r="CS490" s="19">
        <v>0</v>
      </c>
      <c r="CT490" s="19">
        <v>0</v>
      </c>
      <c r="CU490" s="19">
        <v>0</v>
      </c>
      <c r="CV490" s="19">
        <v>0</v>
      </c>
      <c r="CW490" s="19">
        <v>0</v>
      </c>
      <c r="CX490" s="19">
        <v>0</v>
      </c>
      <c r="CY490" s="19">
        <v>0</v>
      </c>
      <c r="CZ490" s="19">
        <v>0</v>
      </c>
      <c r="DA490" s="19">
        <v>0</v>
      </c>
      <c r="DB490" s="19">
        <v>0</v>
      </c>
      <c r="DC490" s="19">
        <v>0</v>
      </c>
      <c r="DD490" s="19">
        <v>0</v>
      </c>
      <c r="DE490" s="19">
        <v>0</v>
      </c>
      <c r="DF490" s="19">
        <v>0</v>
      </c>
      <c r="DG490" s="19">
        <v>0</v>
      </c>
      <c r="DH490" s="19">
        <v>0</v>
      </c>
      <c r="DI490" s="19">
        <v>0</v>
      </c>
      <c r="DJ490" s="19">
        <v>0</v>
      </c>
      <c r="DK490" s="19">
        <v>0</v>
      </c>
      <c r="DL490" s="19">
        <v>0</v>
      </c>
      <c r="DM490" s="19">
        <v>0</v>
      </c>
      <c r="DN490" s="19">
        <v>0</v>
      </c>
      <c r="DO490" s="19">
        <v>0</v>
      </c>
      <c r="DP490" s="19">
        <v>0</v>
      </c>
      <c r="DQ490" s="19">
        <v>0</v>
      </c>
      <c r="DR490" s="19">
        <v>0</v>
      </c>
      <c r="DS490" s="19">
        <v>0</v>
      </c>
      <c r="DT490" s="19">
        <v>0</v>
      </c>
      <c r="DU490" s="19">
        <v>0</v>
      </c>
      <c r="DV490" s="19">
        <v>0</v>
      </c>
      <c r="DW490" s="19">
        <v>0</v>
      </c>
      <c r="DX490" s="19">
        <v>0</v>
      </c>
      <c r="DY490" s="19">
        <v>0</v>
      </c>
      <c r="DZ490" s="19">
        <v>0</v>
      </c>
      <c r="EA490" s="19">
        <v>0</v>
      </c>
      <c r="EB490" s="19">
        <v>0</v>
      </c>
      <c r="EC490" s="19">
        <v>0</v>
      </c>
      <c r="ED490" s="19">
        <v>0</v>
      </c>
      <c r="EE490" s="19">
        <v>0</v>
      </c>
      <c r="EF490" s="19">
        <v>0</v>
      </c>
      <c r="EG490" s="19">
        <v>0</v>
      </c>
      <c r="EH490" s="19">
        <v>0</v>
      </c>
      <c r="EI490" s="19">
        <v>0</v>
      </c>
      <c r="EJ490" s="19">
        <v>0</v>
      </c>
      <c r="EK490" s="19">
        <v>0</v>
      </c>
      <c r="EL490" s="19">
        <v>0</v>
      </c>
      <c r="EM490" s="19">
        <v>0</v>
      </c>
      <c r="EN490" s="19">
        <v>0</v>
      </c>
      <c r="EO490" s="19">
        <v>0</v>
      </c>
      <c r="EP490" s="19">
        <v>0</v>
      </c>
      <c r="EQ490" s="19">
        <v>0</v>
      </c>
      <c r="ER490" s="19">
        <v>0</v>
      </c>
      <c r="ES490" s="119">
        <v>0</v>
      </c>
      <c r="ET490" s="119">
        <v>0</v>
      </c>
    </row>
    <row r="491" spans="1:150" ht="16.5" customHeight="1" x14ac:dyDescent="0.35">
      <c r="A491" s="4">
        <v>218</v>
      </c>
      <c r="B491" s="4" t="str">
        <f>LOOKUP(A491,Lookup!$A$1:$A$34,Lookup!$B$1:$B$34)</f>
        <v>BUTCHERY SPICE</v>
      </c>
      <c r="C491" s="5">
        <v>48250</v>
      </c>
      <c r="D491" s="6" t="s">
        <v>468</v>
      </c>
      <c r="E491" s="18">
        <v>0</v>
      </c>
      <c r="F491" s="18">
        <v>0</v>
      </c>
      <c r="G491" s="18">
        <v>0</v>
      </c>
      <c r="H491" s="18">
        <v>0</v>
      </c>
      <c r="I491" s="19">
        <v>0</v>
      </c>
      <c r="J491" s="19">
        <v>0</v>
      </c>
      <c r="K491" s="19">
        <v>0</v>
      </c>
      <c r="L491" s="19">
        <v>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0</v>
      </c>
      <c r="AD491" s="19">
        <v>0</v>
      </c>
      <c r="AE491" s="19">
        <v>0</v>
      </c>
      <c r="AF491" s="19">
        <v>0</v>
      </c>
      <c r="AG491" s="19">
        <v>0</v>
      </c>
      <c r="AH491" s="19">
        <v>0</v>
      </c>
      <c r="AI491" s="19">
        <v>0</v>
      </c>
      <c r="AJ491" s="19">
        <v>0</v>
      </c>
      <c r="AK491" s="19">
        <v>0</v>
      </c>
      <c r="AL491" s="19">
        <v>0</v>
      </c>
      <c r="AM491" s="19">
        <v>0</v>
      </c>
      <c r="AN491" s="19">
        <v>0</v>
      </c>
      <c r="AO491" s="19">
        <v>0</v>
      </c>
      <c r="AP491" s="19">
        <v>0</v>
      </c>
      <c r="AQ491" s="19">
        <v>0</v>
      </c>
      <c r="AR491" s="19">
        <v>0</v>
      </c>
      <c r="AS491" s="19">
        <v>0</v>
      </c>
      <c r="AT491" s="19">
        <v>0</v>
      </c>
      <c r="AU491" s="19">
        <v>0</v>
      </c>
      <c r="AV491" s="19">
        <v>0</v>
      </c>
      <c r="AW491" s="19">
        <v>0</v>
      </c>
      <c r="AX491" s="19">
        <v>0</v>
      </c>
      <c r="AY491" s="19">
        <v>0</v>
      </c>
      <c r="AZ491" s="19">
        <v>0</v>
      </c>
      <c r="BA491" s="19">
        <v>0</v>
      </c>
      <c r="BB491" s="19">
        <v>0</v>
      </c>
      <c r="BC491" s="19">
        <v>0</v>
      </c>
      <c r="BD491" s="19">
        <v>0</v>
      </c>
      <c r="BE491" s="19">
        <v>0</v>
      </c>
      <c r="BF491" s="19">
        <v>0</v>
      </c>
      <c r="BG491" s="19">
        <v>0</v>
      </c>
      <c r="BH491" s="19">
        <v>0</v>
      </c>
      <c r="BI491" s="19">
        <v>0</v>
      </c>
      <c r="BJ491" s="19">
        <v>0</v>
      </c>
      <c r="BK491" s="19">
        <v>0</v>
      </c>
      <c r="BL491" s="19">
        <v>0</v>
      </c>
      <c r="BM491" s="19">
        <v>0</v>
      </c>
      <c r="BN491" s="19">
        <v>0</v>
      </c>
      <c r="BO491" s="19">
        <v>0</v>
      </c>
      <c r="BP491" s="19">
        <v>0</v>
      </c>
      <c r="BQ491" s="19">
        <v>0</v>
      </c>
      <c r="BR491" s="19">
        <v>0</v>
      </c>
      <c r="BS491" s="19">
        <v>0</v>
      </c>
      <c r="BT491" s="19">
        <v>0</v>
      </c>
      <c r="BU491" s="19">
        <v>0</v>
      </c>
      <c r="BV491" s="19">
        <v>0</v>
      </c>
      <c r="BW491" s="19">
        <v>0</v>
      </c>
      <c r="BX491" s="19">
        <v>0</v>
      </c>
      <c r="BY491" s="19">
        <v>0</v>
      </c>
      <c r="BZ491" s="19">
        <v>0</v>
      </c>
      <c r="CA491" s="19">
        <v>0</v>
      </c>
      <c r="CB491" s="19">
        <v>0</v>
      </c>
      <c r="CC491" s="19">
        <v>0</v>
      </c>
      <c r="CD491" s="19">
        <v>0</v>
      </c>
      <c r="CE491" s="19">
        <v>0</v>
      </c>
      <c r="CF491" s="19">
        <v>0</v>
      </c>
      <c r="CG491" s="19">
        <v>0</v>
      </c>
      <c r="CH491" s="19">
        <v>0</v>
      </c>
      <c r="CI491" s="19">
        <v>0</v>
      </c>
      <c r="CJ491" s="19">
        <v>0</v>
      </c>
      <c r="CK491" s="19">
        <v>0</v>
      </c>
      <c r="CL491" s="19">
        <v>0</v>
      </c>
      <c r="CM491" s="19">
        <v>0</v>
      </c>
      <c r="CN491" s="19">
        <v>0</v>
      </c>
      <c r="CO491" s="19">
        <v>0</v>
      </c>
      <c r="CP491" s="19">
        <v>0</v>
      </c>
      <c r="CQ491" s="19">
        <v>0</v>
      </c>
      <c r="CR491" s="19">
        <v>0</v>
      </c>
      <c r="CS491" s="19">
        <v>0</v>
      </c>
      <c r="CT491" s="19">
        <v>0</v>
      </c>
      <c r="CU491" s="19">
        <v>0</v>
      </c>
      <c r="CV491" s="19">
        <v>0</v>
      </c>
      <c r="CW491" s="19">
        <v>0</v>
      </c>
      <c r="CX491" s="19">
        <v>0</v>
      </c>
      <c r="CY491" s="19">
        <v>0</v>
      </c>
      <c r="CZ491" s="19">
        <v>0</v>
      </c>
      <c r="DA491" s="19">
        <v>0</v>
      </c>
      <c r="DB491" s="19">
        <v>0</v>
      </c>
      <c r="DC491" s="19">
        <v>0</v>
      </c>
      <c r="DD491" s="19">
        <v>0</v>
      </c>
      <c r="DE491" s="19">
        <v>0</v>
      </c>
      <c r="DF491" s="19">
        <v>0</v>
      </c>
      <c r="DG491" s="19">
        <v>0</v>
      </c>
      <c r="DH491" s="19">
        <v>0</v>
      </c>
      <c r="DI491" s="19">
        <v>0</v>
      </c>
      <c r="DJ491" s="19">
        <v>0</v>
      </c>
      <c r="DK491" s="19">
        <v>0</v>
      </c>
      <c r="DL491" s="19">
        <v>0</v>
      </c>
      <c r="DM491" s="19">
        <v>0</v>
      </c>
      <c r="DN491" s="19">
        <v>0</v>
      </c>
      <c r="DO491" s="19">
        <v>0</v>
      </c>
      <c r="DP491" s="19">
        <v>0</v>
      </c>
      <c r="DQ491" s="19">
        <v>0</v>
      </c>
      <c r="DR491" s="19">
        <v>0</v>
      </c>
      <c r="DS491" s="19">
        <v>0</v>
      </c>
      <c r="DT491" s="19">
        <v>0</v>
      </c>
      <c r="DU491" s="19">
        <v>0</v>
      </c>
      <c r="DV491" s="19">
        <v>0</v>
      </c>
      <c r="DW491" s="19">
        <v>0</v>
      </c>
      <c r="DX491" s="19">
        <v>0</v>
      </c>
      <c r="DY491" s="19">
        <v>0</v>
      </c>
      <c r="DZ491" s="19">
        <v>0</v>
      </c>
      <c r="EA491" s="19">
        <v>0</v>
      </c>
      <c r="EB491" s="19">
        <v>0</v>
      </c>
      <c r="EC491" s="19">
        <v>0</v>
      </c>
      <c r="ED491" s="19">
        <v>0</v>
      </c>
      <c r="EE491" s="19">
        <v>0</v>
      </c>
      <c r="EF491" s="19">
        <v>0</v>
      </c>
      <c r="EG491" s="19">
        <v>0</v>
      </c>
      <c r="EH491" s="19">
        <v>0</v>
      </c>
      <c r="EI491" s="19">
        <v>0</v>
      </c>
      <c r="EJ491" s="19">
        <v>0</v>
      </c>
      <c r="EK491" s="19">
        <v>0</v>
      </c>
      <c r="EL491" s="19">
        <v>0</v>
      </c>
      <c r="EM491" s="19">
        <v>0</v>
      </c>
      <c r="EN491" s="19">
        <v>0</v>
      </c>
      <c r="EO491" s="19">
        <v>0</v>
      </c>
      <c r="EP491" s="19">
        <v>0</v>
      </c>
      <c r="EQ491" s="19">
        <v>0</v>
      </c>
      <c r="ER491" s="19">
        <v>0</v>
      </c>
      <c r="ES491" s="119">
        <v>0</v>
      </c>
      <c r="ET491" s="119">
        <v>0</v>
      </c>
    </row>
    <row r="492" spans="1:150" ht="16.5" customHeight="1" x14ac:dyDescent="0.35">
      <c r="A492" s="4">
        <v>218</v>
      </c>
      <c r="B492" s="4" t="str">
        <f>LOOKUP(A492,Lookup!$A$1:$A$34,Lookup!$B$1:$B$34)</f>
        <v>BUTCHERY SPICE</v>
      </c>
      <c r="C492" s="5">
        <v>49111</v>
      </c>
      <c r="D492" s="6" t="s">
        <v>329</v>
      </c>
      <c r="E492" s="18">
        <v>4.4090630740967498</v>
      </c>
      <c r="F492" s="18">
        <v>0.254</v>
      </c>
      <c r="G492" s="18">
        <v>313.04347826087002</v>
      </c>
      <c r="H492" s="18">
        <v>18</v>
      </c>
      <c r="I492" s="19">
        <v>0</v>
      </c>
      <c r="J492" s="19">
        <v>0</v>
      </c>
      <c r="K492" s="19">
        <v>0</v>
      </c>
      <c r="L492" s="19">
        <v>0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 s="19">
        <v>0</v>
      </c>
      <c r="AD492" s="19">
        <v>0</v>
      </c>
      <c r="AE492" s="19">
        <v>0</v>
      </c>
      <c r="AF492" s="19">
        <v>0</v>
      </c>
      <c r="AG492" s="19">
        <v>0</v>
      </c>
      <c r="AH492" s="19">
        <v>0</v>
      </c>
      <c r="AI492" s="19">
        <v>0</v>
      </c>
      <c r="AJ492" s="19">
        <v>0</v>
      </c>
      <c r="AK492" s="19">
        <v>0</v>
      </c>
      <c r="AL492" s="19">
        <v>0</v>
      </c>
      <c r="AM492" s="19">
        <v>0</v>
      </c>
      <c r="AN492" s="19">
        <v>0</v>
      </c>
      <c r="AO492" s="19">
        <v>0</v>
      </c>
      <c r="AP492" s="19">
        <v>0</v>
      </c>
      <c r="AQ492" s="19">
        <v>0</v>
      </c>
      <c r="AR492" s="19">
        <v>0</v>
      </c>
      <c r="AS492" s="19">
        <v>0</v>
      </c>
      <c r="AT492" s="19">
        <v>0</v>
      </c>
      <c r="AU492" s="19">
        <v>0</v>
      </c>
      <c r="AV492" s="19">
        <v>0</v>
      </c>
      <c r="AW492" s="19">
        <v>52.173913043478301</v>
      </c>
      <c r="AX492" s="19">
        <v>3</v>
      </c>
      <c r="AY492" s="19">
        <v>0</v>
      </c>
      <c r="AZ492" s="19">
        <v>0</v>
      </c>
      <c r="BA492" s="19">
        <v>34.7826086956522</v>
      </c>
      <c r="BB492" s="19">
        <v>2</v>
      </c>
      <c r="BC492" s="19">
        <v>17.3913043478261</v>
      </c>
      <c r="BD492" s="19">
        <v>1</v>
      </c>
      <c r="BE492" s="19">
        <v>17.3913043478261</v>
      </c>
      <c r="BF492" s="19">
        <v>1</v>
      </c>
      <c r="BG492" s="19">
        <v>17.3913043478261</v>
      </c>
      <c r="BH492" s="19">
        <v>1</v>
      </c>
      <c r="BI492" s="19">
        <v>52.173913043478301</v>
      </c>
      <c r="BJ492" s="19">
        <v>3</v>
      </c>
      <c r="BK492" s="19">
        <v>17.3913043478261</v>
      </c>
      <c r="BL492" s="19">
        <v>1</v>
      </c>
      <c r="BM492" s="19">
        <v>17.3913043478261</v>
      </c>
      <c r="BN492" s="19">
        <v>1</v>
      </c>
      <c r="BO492" s="19">
        <v>34.7826086956522</v>
      </c>
      <c r="BP492" s="19">
        <v>2</v>
      </c>
      <c r="BQ492" s="19">
        <v>34.7826086956522</v>
      </c>
      <c r="BR492" s="19">
        <v>2</v>
      </c>
      <c r="BS492" s="19">
        <v>17.3913043478261</v>
      </c>
      <c r="BT492" s="19">
        <v>1</v>
      </c>
      <c r="BU492" s="19">
        <v>0</v>
      </c>
      <c r="BV492" s="19">
        <v>0</v>
      </c>
      <c r="BW492" s="19">
        <v>0</v>
      </c>
      <c r="BX492" s="19">
        <v>0</v>
      </c>
      <c r="BY492" s="19">
        <v>0</v>
      </c>
      <c r="BZ492" s="19">
        <v>0</v>
      </c>
      <c r="CA492" s="19">
        <v>0</v>
      </c>
      <c r="CB492" s="19">
        <v>0</v>
      </c>
      <c r="CC492" s="19">
        <v>0</v>
      </c>
      <c r="CD492" s="19">
        <v>0</v>
      </c>
      <c r="CE492" s="19">
        <v>0</v>
      </c>
      <c r="CF492" s="19">
        <v>0</v>
      </c>
      <c r="CG492" s="19">
        <v>0</v>
      </c>
      <c r="CH492" s="19">
        <v>0</v>
      </c>
      <c r="CI492" s="19">
        <v>0</v>
      </c>
      <c r="CJ492" s="19">
        <v>0</v>
      </c>
      <c r="CK492" s="19">
        <v>0</v>
      </c>
      <c r="CL492" s="19">
        <v>0</v>
      </c>
      <c r="CM492" s="19">
        <v>0</v>
      </c>
      <c r="CN492" s="19">
        <v>0</v>
      </c>
      <c r="CO492" s="19">
        <v>0</v>
      </c>
      <c r="CP492" s="19">
        <v>0</v>
      </c>
      <c r="CQ492" s="19">
        <v>0</v>
      </c>
      <c r="CR492" s="19">
        <v>0</v>
      </c>
      <c r="CS492" s="19">
        <v>0</v>
      </c>
      <c r="CT492" s="19">
        <v>0</v>
      </c>
      <c r="CU492" s="19">
        <v>0</v>
      </c>
      <c r="CV492" s="19">
        <v>0</v>
      </c>
      <c r="CW492" s="19">
        <v>0</v>
      </c>
      <c r="CX492" s="19">
        <v>0</v>
      </c>
      <c r="CY492" s="19">
        <v>0</v>
      </c>
      <c r="CZ492" s="19">
        <v>0</v>
      </c>
      <c r="DA492" s="19">
        <v>0</v>
      </c>
      <c r="DB492" s="19">
        <v>0</v>
      </c>
      <c r="DC492" s="19">
        <v>0</v>
      </c>
      <c r="DD492" s="19">
        <v>0</v>
      </c>
      <c r="DE492" s="19">
        <v>0</v>
      </c>
      <c r="DF492" s="19">
        <v>0</v>
      </c>
      <c r="DG492" s="19">
        <v>0</v>
      </c>
      <c r="DH492" s="19">
        <v>0</v>
      </c>
      <c r="DI492" s="19">
        <v>0</v>
      </c>
      <c r="DJ492" s="19">
        <v>0</v>
      </c>
      <c r="DK492" s="19">
        <v>0</v>
      </c>
      <c r="DL492" s="19">
        <v>0</v>
      </c>
      <c r="DM492" s="19">
        <v>0</v>
      </c>
      <c r="DN492" s="19">
        <v>0</v>
      </c>
      <c r="DO492" s="19">
        <v>0</v>
      </c>
      <c r="DP492" s="19">
        <v>0</v>
      </c>
      <c r="DQ492" s="19">
        <v>0</v>
      </c>
      <c r="DR492" s="19">
        <v>0</v>
      </c>
      <c r="DS492" s="19">
        <v>0</v>
      </c>
      <c r="DT492" s="19">
        <v>0</v>
      </c>
      <c r="DU492" s="19">
        <v>0</v>
      </c>
      <c r="DV492" s="19">
        <v>0</v>
      </c>
      <c r="DW492" s="19">
        <v>0</v>
      </c>
      <c r="DX492" s="19">
        <v>0</v>
      </c>
      <c r="DY492" s="19">
        <v>0</v>
      </c>
      <c r="DZ492" s="19">
        <v>0</v>
      </c>
      <c r="EA492" s="19">
        <v>0</v>
      </c>
      <c r="EB492" s="19">
        <v>0</v>
      </c>
      <c r="EC492" s="19">
        <v>0</v>
      </c>
      <c r="ED492" s="19">
        <v>0</v>
      </c>
      <c r="EE492" s="19">
        <v>0</v>
      </c>
      <c r="EF492" s="19">
        <v>0</v>
      </c>
      <c r="EG492" s="19">
        <v>0</v>
      </c>
      <c r="EH492" s="19">
        <v>0</v>
      </c>
      <c r="EI492" s="19">
        <v>0</v>
      </c>
      <c r="EJ492" s="19">
        <v>0</v>
      </c>
      <c r="EK492" s="19">
        <v>0</v>
      </c>
      <c r="EL492" s="19">
        <v>0</v>
      </c>
      <c r="EM492" s="19">
        <v>0</v>
      </c>
      <c r="EN492" s="19">
        <v>0</v>
      </c>
      <c r="EO492" s="19">
        <v>0</v>
      </c>
      <c r="EP492" s="19">
        <v>0</v>
      </c>
      <c r="EQ492" s="19">
        <v>0</v>
      </c>
      <c r="ER492" s="19">
        <v>0</v>
      </c>
      <c r="ES492" s="119">
        <v>0</v>
      </c>
      <c r="ET492" s="119">
        <v>0</v>
      </c>
    </row>
    <row r="493" spans="1:150" ht="16.5" customHeight="1" x14ac:dyDescent="0.35">
      <c r="A493" s="4">
        <v>218</v>
      </c>
      <c r="B493" s="4" t="str">
        <f>LOOKUP(A493,Lookup!$A$1:$A$34,Lookup!$B$1:$B$34)</f>
        <v>BUTCHERY SPICE</v>
      </c>
      <c r="C493" s="5">
        <v>54428</v>
      </c>
      <c r="D493" s="6" t="s">
        <v>469</v>
      </c>
      <c r="E493" s="18">
        <v>161.28597672994499</v>
      </c>
      <c r="F493" s="18">
        <v>14.268000000000001</v>
      </c>
      <c r="G493" s="18">
        <v>11451.304347826101</v>
      </c>
      <c r="H493" s="18">
        <v>1013</v>
      </c>
      <c r="I493" s="19">
        <v>316.52173913043498</v>
      </c>
      <c r="J493" s="19">
        <v>28</v>
      </c>
      <c r="K493" s="19">
        <v>56.521739130434803</v>
      </c>
      <c r="L493" s="19">
        <v>5</v>
      </c>
      <c r="M493" s="19">
        <v>192.173913043478</v>
      </c>
      <c r="N493" s="19">
        <v>17</v>
      </c>
      <c r="O493" s="19">
        <v>67.826086956521706</v>
      </c>
      <c r="P493" s="19">
        <v>6</v>
      </c>
      <c r="Q493" s="19">
        <v>192.173913043478</v>
      </c>
      <c r="R493" s="19">
        <v>17</v>
      </c>
      <c r="S493" s="19">
        <v>248.695652173913</v>
      </c>
      <c r="T493" s="19">
        <v>22</v>
      </c>
      <c r="U493" s="19">
        <v>56.521739130434803</v>
      </c>
      <c r="V493" s="19">
        <v>5</v>
      </c>
      <c r="W493" s="19">
        <v>90.434782608695699</v>
      </c>
      <c r="X493" s="19">
        <v>8</v>
      </c>
      <c r="Y493" s="19">
        <v>452.17391304347802</v>
      </c>
      <c r="Z493" s="19">
        <v>40</v>
      </c>
      <c r="AA493" s="19">
        <v>33.913043478260903</v>
      </c>
      <c r="AB493" s="19">
        <v>3</v>
      </c>
      <c r="AC493" s="19">
        <v>169.565217391304</v>
      </c>
      <c r="AD493" s="19">
        <v>15</v>
      </c>
      <c r="AE493" s="19">
        <v>271.304347826087</v>
      </c>
      <c r="AF493" s="19">
        <v>24</v>
      </c>
      <c r="AG493" s="19">
        <v>67.826086956521706</v>
      </c>
      <c r="AH493" s="19">
        <v>6</v>
      </c>
      <c r="AI493" s="19">
        <v>180.869565217391</v>
      </c>
      <c r="AJ493" s="19">
        <v>16</v>
      </c>
      <c r="AK493" s="19">
        <v>226.08695652173901</v>
      </c>
      <c r="AL493" s="19">
        <v>20</v>
      </c>
      <c r="AM493" s="19">
        <v>192.173913043478</v>
      </c>
      <c r="AN493" s="19">
        <v>17</v>
      </c>
      <c r="AO493" s="19">
        <v>169.565217391304</v>
      </c>
      <c r="AP493" s="19">
        <v>15</v>
      </c>
      <c r="AQ493" s="19">
        <v>214.78260869565199</v>
      </c>
      <c r="AR493" s="19">
        <v>19</v>
      </c>
      <c r="AS493" s="19">
        <v>169.565217391304</v>
      </c>
      <c r="AT493" s="19">
        <v>15</v>
      </c>
      <c r="AU493" s="19">
        <v>124.347826086957</v>
      </c>
      <c r="AV493" s="19">
        <v>11</v>
      </c>
      <c r="AW493" s="19">
        <v>248.695652173913</v>
      </c>
      <c r="AX493" s="19">
        <v>22</v>
      </c>
      <c r="AY493" s="19">
        <v>293.91304347826099</v>
      </c>
      <c r="AZ493" s="19">
        <v>26</v>
      </c>
      <c r="BA493" s="19">
        <v>146.95652173913001</v>
      </c>
      <c r="BB493" s="19">
        <v>13</v>
      </c>
      <c r="BC493" s="19">
        <v>203.47826086956499</v>
      </c>
      <c r="BD493" s="19">
        <v>18</v>
      </c>
      <c r="BE493" s="19">
        <v>113.04347826087</v>
      </c>
      <c r="BF493" s="19">
        <v>10</v>
      </c>
      <c r="BG493" s="19">
        <v>226.08695652173901</v>
      </c>
      <c r="BH493" s="19">
        <v>20</v>
      </c>
      <c r="BI493" s="19">
        <v>158.26086956521701</v>
      </c>
      <c r="BJ493" s="19">
        <v>14</v>
      </c>
      <c r="BK493" s="19">
        <v>203.47826086956499</v>
      </c>
      <c r="BL493" s="19">
        <v>18</v>
      </c>
      <c r="BM493" s="19">
        <v>180.869565217391</v>
      </c>
      <c r="BN493" s="19">
        <v>16</v>
      </c>
      <c r="BO493" s="19">
        <v>146.95652173913001</v>
      </c>
      <c r="BP493" s="19">
        <v>13</v>
      </c>
      <c r="BQ493" s="19">
        <v>56.521739130434803</v>
      </c>
      <c r="BR493" s="19">
        <v>5</v>
      </c>
      <c r="BS493" s="19">
        <v>203.47826086956499</v>
      </c>
      <c r="BT493" s="19">
        <v>18</v>
      </c>
      <c r="BU493" s="19">
        <v>79.130434782608702</v>
      </c>
      <c r="BV493" s="19">
        <v>7</v>
      </c>
      <c r="BW493" s="19">
        <v>237.39130434782601</v>
      </c>
      <c r="BX493" s="19">
        <v>21</v>
      </c>
      <c r="BY493" s="19">
        <v>271.304347826087</v>
      </c>
      <c r="BZ493" s="19">
        <v>24</v>
      </c>
      <c r="CA493" s="19">
        <v>101.73913043478299</v>
      </c>
      <c r="CB493" s="19">
        <v>9</v>
      </c>
      <c r="CC493" s="19">
        <v>124.347826086957</v>
      </c>
      <c r="CD493" s="19">
        <v>11</v>
      </c>
      <c r="CE493" s="19">
        <v>45.2173913043478</v>
      </c>
      <c r="CF493" s="19">
        <v>4</v>
      </c>
      <c r="CG493" s="19">
        <v>192.173913043478</v>
      </c>
      <c r="CH493" s="19">
        <v>17</v>
      </c>
      <c r="CI493" s="19">
        <v>271.304347826087</v>
      </c>
      <c r="CJ493" s="19">
        <v>24</v>
      </c>
      <c r="CK493" s="19">
        <v>101.73913043478299</v>
      </c>
      <c r="CL493" s="19">
        <v>9</v>
      </c>
      <c r="CM493" s="19">
        <v>90.434782608695699</v>
      </c>
      <c r="CN493" s="19">
        <v>8</v>
      </c>
      <c r="CO493" s="19">
        <v>282.60869565217399</v>
      </c>
      <c r="CP493" s="19">
        <v>25</v>
      </c>
      <c r="CQ493" s="19">
        <v>180.869565217391</v>
      </c>
      <c r="CR493" s="19">
        <v>16</v>
      </c>
      <c r="CS493" s="19">
        <v>169.565217391304</v>
      </c>
      <c r="CT493" s="19">
        <v>15</v>
      </c>
      <c r="CU493" s="19">
        <v>135.65217391304299</v>
      </c>
      <c r="CV493" s="19">
        <v>12</v>
      </c>
      <c r="CW493" s="19">
        <v>79.130434782608702</v>
      </c>
      <c r="CX493" s="19">
        <v>7</v>
      </c>
      <c r="CY493" s="19">
        <v>226.08695652173901</v>
      </c>
      <c r="CZ493" s="19">
        <v>20</v>
      </c>
      <c r="DA493" s="19">
        <v>146.95652173913001</v>
      </c>
      <c r="DB493" s="19">
        <v>13</v>
      </c>
      <c r="DC493" s="19">
        <v>214.78260869565199</v>
      </c>
      <c r="DD493" s="19">
        <v>19</v>
      </c>
      <c r="DE493" s="19">
        <v>158.26086956521701</v>
      </c>
      <c r="DF493" s="19">
        <v>14</v>
      </c>
      <c r="DG493" s="19">
        <v>169.565217391304</v>
      </c>
      <c r="DH493" s="19">
        <v>15</v>
      </c>
      <c r="DI493" s="19">
        <v>214.78260869565199</v>
      </c>
      <c r="DJ493" s="19">
        <v>19</v>
      </c>
      <c r="DK493" s="19">
        <v>101.73913043478299</v>
      </c>
      <c r="DL493" s="19">
        <v>9</v>
      </c>
      <c r="DM493" s="19">
        <v>79.130434782608702</v>
      </c>
      <c r="DN493" s="19">
        <v>7</v>
      </c>
      <c r="DO493" s="19">
        <v>180.869565217391</v>
      </c>
      <c r="DP493" s="19">
        <v>16</v>
      </c>
      <c r="DQ493" s="19">
        <v>169.565217391304</v>
      </c>
      <c r="DR493" s="19">
        <v>15</v>
      </c>
      <c r="DS493" s="19">
        <v>56.521739130434803</v>
      </c>
      <c r="DT493" s="19">
        <v>5</v>
      </c>
      <c r="DU493" s="19">
        <v>158.26086956521701</v>
      </c>
      <c r="DV493" s="19">
        <v>14</v>
      </c>
      <c r="DW493" s="19">
        <v>113.04347826087</v>
      </c>
      <c r="DX493" s="19">
        <v>10</v>
      </c>
      <c r="DY493" s="19">
        <v>113.04347826087</v>
      </c>
      <c r="DZ493" s="19">
        <v>10</v>
      </c>
      <c r="EA493" s="19">
        <v>101.73913043478299</v>
      </c>
      <c r="EB493" s="19">
        <v>9</v>
      </c>
      <c r="EC493" s="19">
        <v>158.26086956521701</v>
      </c>
      <c r="ED493" s="19">
        <v>14</v>
      </c>
      <c r="EE493" s="19">
        <v>56.521739130434803</v>
      </c>
      <c r="EF493" s="19">
        <v>5</v>
      </c>
      <c r="EG493" s="19">
        <v>192.173913043478</v>
      </c>
      <c r="EH493" s="19">
        <v>17</v>
      </c>
      <c r="EI493" s="19">
        <v>203.47826086956499</v>
      </c>
      <c r="EJ493" s="19">
        <v>18</v>
      </c>
      <c r="EK493" s="19">
        <v>79.130434782608702</v>
      </c>
      <c r="EL493" s="19">
        <v>7</v>
      </c>
      <c r="EM493" s="19">
        <v>180.869565217391</v>
      </c>
      <c r="EN493" s="19">
        <v>16</v>
      </c>
      <c r="EO493" s="19">
        <v>158.26086956521701</v>
      </c>
      <c r="EP493" s="19">
        <v>14</v>
      </c>
      <c r="EQ493" s="19">
        <v>113.04347826087</v>
      </c>
      <c r="ER493" s="19">
        <v>10</v>
      </c>
      <c r="ES493" s="119">
        <v>101.73913043478299</v>
      </c>
      <c r="ET493" s="119">
        <v>9</v>
      </c>
    </row>
    <row r="494" spans="1:150" ht="16.5" customHeight="1" x14ac:dyDescent="0.35">
      <c r="A494" s="4">
        <v>218</v>
      </c>
      <c r="B494" s="4" t="str">
        <f>LOOKUP(A494,Lookup!$A$1:$A$34,Lookup!$B$1:$B$34)</f>
        <v>BUTCHERY SPICE</v>
      </c>
      <c r="C494" s="5">
        <v>56666</v>
      </c>
      <c r="D494" s="6" t="s">
        <v>470</v>
      </c>
      <c r="E494" s="18">
        <v>0</v>
      </c>
      <c r="F494" s="18">
        <v>0</v>
      </c>
      <c r="G494" s="18">
        <v>0</v>
      </c>
      <c r="H494" s="18">
        <v>0</v>
      </c>
      <c r="I494" s="19">
        <v>0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 s="19">
        <v>0</v>
      </c>
      <c r="AD494" s="19">
        <v>0</v>
      </c>
      <c r="AE494" s="19">
        <v>0</v>
      </c>
      <c r="AF494" s="19">
        <v>0</v>
      </c>
      <c r="AG494" s="19">
        <v>0</v>
      </c>
      <c r="AH494" s="19">
        <v>0</v>
      </c>
      <c r="AI494" s="19">
        <v>0</v>
      </c>
      <c r="AJ494" s="19">
        <v>0</v>
      </c>
      <c r="AK494" s="19">
        <v>0</v>
      </c>
      <c r="AL494" s="19">
        <v>0</v>
      </c>
      <c r="AM494" s="19">
        <v>0</v>
      </c>
      <c r="AN494" s="19">
        <v>0</v>
      </c>
      <c r="AO494" s="19">
        <v>0</v>
      </c>
      <c r="AP494" s="19">
        <v>0</v>
      </c>
      <c r="AQ494" s="19">
        <v>0</v>
      </c>
      <c r="AR494" s="19">
        <v>0</v>
      </c>
      <c r="AS494" s="19">
        <v>0</v>
      </c>
      <c r="AT494" s="19">
        <v>0</v>
      </c>
      <c r="AU494" s="19">
        <v>0</v>
      </c>
      <c r="AV494" s="19">
        <v>0</v>
      </c>
      <c r="AW494" s="19">
        <v>0</v>
      </c>
      <c r="AX494" s="19">
        <v>0</v>
      </c>
      <c r="AY494" s="19">
        <v>0</v>
      </c>
      <c r="AZ494" s="19">
        <v>0</v>
      </c>
      <c r="BA494" s="19">
        <v>0</v>
      </c>
      <c r="BB494" s="19">
        <v>0</v>
      </c>
      <c r="BC494" s="19">
        <v>0</v>
      </c>
      <c r="BD494" s="19">
        <v>0</v>
      </c>
      <c r="BE494" s="19">
        <v>0</v>
      </c>
      <c r="BF494" s="19">
        <v>0</v>
      </c>
      <c r="BG494" s="19">
        <v>0</v>
      </c>
      <c r="BH494" s="19">
        <v>0</v>
      </c>
      <c r="BI494" s="19">
        <v>0</v>
      </c>
      <c r="BJ494" s="19">
        <v>0</v>
      </c>
      <c r="BK494" s="19">
        <v>0</v>
      </c>
      <c r="BL494" s="19">
        <v>0</v>
      </c>
      <c r="BM494" s="19">
        <v>0</v>
      </c>
      <c r="BN494" s="19">
        <v>0</v>
      </c>
      <c r="BO494" s="19">
        <v>0</v>
      </c>
      <c r="BP494" s="19">
        <v>0</v>
      </c>
      <c r="BQ494" s="19">
        <v>0</v>
      </c>
      <c r="BR494" s="19">
        <v>0</v>
      </c>
      <c r="BS494" s="19">
        <v>0</v>
      </c>
      <c r="BT494" s="19">
        <v>0</v>
      </c>
      <c r="BU494" s="19">
        <v>0</v>
      </c>
      <c r="BV494" s="19">
        <v>0</v>
      </c>
      <c r="BW494" s="19">
        <v>0</v>
      </c>
      <c r="BX494" s="19">
        <v>0</v>
      </c>
      <c r="BY494" s="19">
        <v>0</v>
      </c>
      <c r="BZ494" s="19">
        <v>0</v>
      </c>
      <c r="CA494" s="19">
        <v>0</v>
      </c>
      <c r="CB494" s="19">
        <v>0</v>
      </c>
      <c r="CC494" s="19">
        <v>0</v>
      </c>
      <c r="CD494" s="19">
        <v>0</v>
      </c>
      <c r="CE494" s="19">
        <v>0</v>
      </c>
      <c r="CF494" s="19">
        <v>0</v>
      </c>
      <c r="CG494" s="19">
        <v>0</v>
      </c>
      <c r="CH494" s="19">
        <v>0</v>
      </c>
      <c r="CI494" s="19">
        <v>0</v>
      </c>
      <c r="CJ494" s="19">
        <v>0</v>
      </c>
      <c r="CK494" s="19">
        <v>0</v>
      </c>
      <c r="CL494" s="19">
        <v>0</v>
      </c>
      <c r="CM494" s="19">
        <v>0</v>
      </c>
      <c r="CN494" s="19">
        <v>0</v>
      </c>
      <c r="CO494" s="19">
        <v>0</v>
      </c>
      <c r="CP494" s="19">
        <v>0</v>
      </c>
      <c r="CQ494" s="19">
        <v>0</v>
      </c>
      <c r="CR494" s="19">
        <v>0</v>
      </c>
      <c r="CS494" s="19">
        <v>0</v>
      </c>
      <c r="CT494" s="19">
        <v>0</v>
      </c>
      <c r="CU494" s="19">
        <v>0</v>
      </c>
      <c r="CV494" s="19">
        <v>0</v>
      </c>
      <c r="CW494" s="19">
        <v>0</v>
      </c>
      <c r="CX494" s="19">
        <v>0</v>
      </c>
      <c r="CY494" s="19">
        <v>0</v>
      </c>
      <c r="CZ494" s="19">
        <v>0</v>
      </c>
      <c r="DA494" s="19">
        <v>0</v>
      </c>
      <c r="DB494" s="19">
        <v>0</v>
      </c>
      <c r="DC494" s="19">
        <v>0</v>
      </c>
      <c r="DD494" s="19">
        <v>0</v>
      </c>
      <c r="DE494" s="19">
        <v>0</v>
      </c>
      <c r="DF494" s="19">
        <v>0</v>
      </c>
      <c r="DG494" s="19">
        <v>0</v>
      </c>
      <c r="DH494" s="19">
        <v>0</v>
      </c>
      <c r="DI494" s="19">
        <v>0</v>
      </c>
      <c r="DJ494" s="19">
        <v>0</v>
      </c>
      <c r="DK494" s="19">
        <v>0</v>
      </c>
      <c r="DL494" s="19">
        <v>0</v>
      </c>
      <c r="DM494" s="19">
        <v>0</v>
      </c>
      <c r="DN494" s="19">
        <v>0</v>
      </c>
      <c r="DO494" s="19">
        <v>0</v>
      </c>
      <c r="DP494" s="19">
        <v>0</v>
      </c>
      <c r="DQ494" s="19">
        <v>0</v>
      </c>
      <c r="DR494" s="19">
        <v>0</v>
      </c>
      <c r="DS494" s="19">
        <v>0</v>
      </c>
      <c r="DT494" s="19">
        <v>0</v>
      </c>
      <c r="DU494" s="19">
        <v>0</v>
      </c>
      <c r="DV494" s="19">
        <v>0</v>
      </c>
      <c r="DW494" s="19">
        <v>0</v>
      </c>
      <c r="DX494" s="19">
        <v>0</v>
      </c>
      <c r="DY494" s="19">
        <v>0</v>
      </c>
      <c r="DZ494" s="19">
        <v>0</v>
      </c>
      <c r="EA494" s="19">
        <v>0</v>
      </c>
      <c r="EB494" s="19">
        <v>0</v>
      </c>
      <c r="EC494" s="19">
        <v>0</v>
      </c>
      <c r="ED494" s="19">
        <v>0</v>
      </c>
      <c r="EE494" s="19">
        <v>0</v>
      </c>
      <c r="EF494" s="19">
        <v>0</v>
      </c>
      <c r="EG494" s="19">
        <v>0</v>
      </c>
      <c r="EH494" s="19">
        <v>0</v>
      </c>
      <c r="EI494" s="19">
        <v>0</v>
      </c>
      <c r="EJ494" s="19">
        <v>0</v>
      </c>
      <c r="EK494" s="19">
        <v>0</v>
      </c>
      <c r="EL494" s="19">
        <v>0</v>
      </c>
      <c r="EM494" s="19">
        <v>0</v>
      </c>
      <c r="EN494" s="19">
        <v>0</v>
      </c>
      <c r="EO494" s="19">
        <v>0</v>
      </c>
      <c r="EP494" s="19">
        <v>0</v>
      </c>
      <c r="EQ494" s="19">
        <v>0</v>
      </c>
      <c r="ER494" s="19">
        <v>0</v>
      </c>
      <c r="ES494" s="119">
        <v>0</v>
      </c>
      <c r="ET494" s="119">
        <v>0</v>
      </c>
    </row>
    <row r="495" spans="1:150" ht="16.5" customHeight="1" x14ac:dyDescent="0.35">
      <c r="A495" s="4">
        <v>218</v>
      </c>
      <c r="B495" s="4" t="str">
        <f>LOOKUP(A495,Lookup!$A$1:$A$34,Lookup!$B$1:$B$34)</f>
        <v>BUTCHERY SPICE</v>
      </c>
      <c r="C495" s="5">
        <v>56795</v>
      </c>
      <c r="D495" s="6" t="s">
        <v>471</v>
      </c>
      <c r="E495" s="18">
        <v>0</v>
      </c>
      <c r="F495" s="18">
        <v>0</v>
      </c>
      <c r="G495" s="18">
        <v>0</v>
      </c>
      <c r="H495" s="18">
        <v>0</v>
      </c>
      <c r="I495" s="19">
        <v>0</v>
      </c>
      <c r="J495" s="19">
        <v>0</v>
      </c>
      <c r="K495" s="19">
        <v>0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 s="19">
        <v>0</v>
      </c>
      <c r="AD495" s="19">
        <v>0</v>
      </c>
      <c r="AE495" s="19">
        <v>0</v>
      </c>
      <c r="AF495" s="19">
        <v>0</v>
      </c>
      <c r="AG495" s="19">
        <v>0</v>
      </c>
      <c r="AH495" s="19">
        <v>0</v>
      </c>
      <c r="AI495" s="19">
        <v>0</v>
      </c>
      <c r="AJ495" s="19">
        <v>0</v>
      </c>
      <c r="AK495" s="19">
        <v>0</v>
      </c>
      <c r="AL495" s="19">
        <v>0</v>
      </c>
      <c r="AM495" s="19">
        <v>0</v>
      </c>
      <c r="AN495" s="19">
        <v>0</v>
      </c>
      <c r="AO495" s="19">
        <v>0</v>
      </c>
      <c r="AP495" s="19">
        <v>0</v>
      </c>
      <c r="AQ495" s="19">
        <v>0</v>
      </c>
      <c r="AR495" s="19">
        <v>0</v>
      </c>
      <c r="AS495" s="19">
        <v>0</v>
      </c>
      <c r="AT495" s="19">
        <v>0</v>
      </c>
      <c r="AU495" s="19">
        <v>0</v>
      </c>
      <c r="AV495" s="19">
        <v>0</v>
      </c>
      <c r="AW495" s="19">
        <v>0</v>
      </c>
      <c r="AX495" s="19">
        <v>0</v>
      </c>
      <c r="AY495" s="19">
        <v>0</v>
      </c>
      <c r="AZ495" s="19">
        <v>0</v>
      </c>
      <c r="BA495" s="19">
        <v>0</v>
      </c>
      <c r="BB495" s="19">
        <v>0</v>
      </c>
      <c r="BC495" s="19">
        <v>0</v>
      </c>
      <c r="BD495" s="19">
        <v>0</v>
      </c>
      <c r="BE495" s="19">
        <v>0</v>
      </c>
      <c r="BF495" s="19">
        <v>0</v>
      </c>
      <c r="BG495" s="19">
        <v>0</v>
      </c>
      <c r="BH495" s="19">
        <v>0</v>
      </c>
      <c r="BI495" s="19">
        <v>0</v>
      </c>
      <c r="BJ495" s="19">
        <v>0</v>
      </c>
      <c r="BK495" s="19">
        <v>0</v>
      </c>
      <c r="BL495" s="19">
        <v>0</v>
      </c>
      <c r="BM495" s="19">
        <v>0</v>
      </c>
      <c r="BN495" s="19">
        <v>0</v>
      </c>
      <c r="BO495" s="19">
        <v>0</v>
      </c>
      <c r="BP495" s="19">
        <v>0</v>
      </c>
      <c r="BQ495" s="19">
        <v>0</v>
      </c>
      <c r="BR495" s="19">
        <v>0</v>
      </c>
      <c r="BS495" s="19">
        <v>0</v>
      </c>
      <c r="BT495" s="19">
        <v>0</v>
      </c>
      <c r="BU495" s="19">
        <v>0</v>
      </c>
      <c r="BV495" s="19">
        <v>0</v>
      </c>
      <c r="BW495" s="19">
        <v>0</v>
      </c>
      <c r="BX495" s="19">
        <v>0</v>
      </c>
      <c r="BY495" s="19">
        <v>0</v>
      </c>
      <c r="BZ495" s="19">
        <v>0</v>
      </c>
      <c r="CA495" s="19">
        <v>0</v>
      </c>
      <c r="CB495" s="19">
        <v>0</v>
      </c>
      <c r="CC495" s="19">
        <v>0</v>
      </c>
      <c r="CD495" s="19">
        <v>0</v>
      </c>
      <c r="CE495" s="19">
        <v>0</v>
      </c>
      <c r="CF495" s="19">
        <v>0</v>
      </c>
      <c r="CG495" s="19">
        <v>0</v>
      </c>
      <c r="CH495" s="19">
        <v>0</v>
      </c>
      <c r="CI495" s="19">
        <v>0</v>
      </c>
      <c r="CJ495" s="19">
        <v>0</v>
      </c>
      <c r="CK495" s="19">
        <v>0</v>
      </c>
      <c r="CL495" s="19">
        <v>0</v>
      </c>
      <c r="CM495" s="19">
        <v>0</v>
      </c>
      <c r="CN495" s="19">
        <v>0</v>
      </c>
      <c r="CO495" s="19">
        <v>0</v>
      </c>
      <c r="CP495" s="19">
        <v>0</v>
      </c>
      <c r="CQ495" s="19">
        <v>0</v>
      </c>
      <c r="CR495" s="19">
        <v>0</v>
      </c>
      <c r="CS495" s="19">
        <v>0</v>
      </c>
      <c r="CT495" s="19">
        <v>0</v>
      </c>
      <c r="CU495" s="19">
        <v>0</v>
      </c>
      <c r="CV495" s="19">
        <v>0</v>
      </c>
      <c r="CW495" s="19">
        <v>0</v>
      </c>
      <c r="CX495" s="19">
        <v>0</v>
      </c>
      <c r="CY495" s="19">
        <v>0</v>
      </c>
      <c r="CZ495" s="19">
        <v>0</v>
      </c>
      <c r="DA495" s="19">
        <v>0</v>
      </c>
      <c r="DB495" s="19">
        <v>0</v>
      </c>
      <c r="DC495" s="19">
        <v>0</v>
      </c>
      <c r="DD495" s="19">
        <v>0</v>
      </c>
      <c r="DE495" s="19">
        <v>0</v>
      </c>
      <c r="DF495" s="19">
        <v>0</v>
      </c>
      <c r="DG495" s="19">
        <v>0</v>
      </c>
      <c r="DH495" s="19">
        <v>0</v>
      </c>
      <c r="DI495" s="19">
        <v>0</v>
      </c>
      <c r="DJ495" s="19">
        <v>0</v>
      </c>
      <c r="DK495" s="19">
        <v>0</v>
      </c>
      <c r="DL495" s="19">
        <v>0</v>
      </c>
      <c r="DM495" s="19">
        <v>0</v>
      </c>
      <c r="DN495" s="19">
        <v>0</v>
      </c>
      <c r="DO495" s="19">
        <v>0</v>
      </c>
      <c r="DP495" s="19">
        <v>0</v>
      </c>
      <c r="DQ495" s="19">
        <v>0</v>
      </c>
      <c r="DR495" s="19">
        <v>0</v>
      </c>
      <c r="DS495" s="19">
        <v>0</v>
      </c>
      <c r="DT495" s="19">
        <v>0</v>
      </c>
      <c r="DU495" s="19">
        <v>0</v>
      </c>
      <c r="DV495" s="19">
        <v>0</v>
      </c>
      <c r="DW495" s="19">
        <v>0</v>
      </c>
      <c r="DX495" s="19">
        <v>0</v>
      </c>
      <c r="DY495" s="19">
        <v>0</v>
      </c>
      <c r="DZ495" s="19">
        <v>0</v>
      </c>
      <c r="EA495" s="19">
        <v>0</v>
      </c>
      <c r="EB495" s="19">
        <v>0</v>
      </c>
      <c r="EC495" s="19">
        <v>0</v>
      </c>
      <c r="ED495" s="19">
        <v>0</v>
      </c>
      <c r="EE495" s="19">
        <v>0</v>
      </c>
      <c r="EF495" s="19">
        <v>0</v>
      </c>
      <c r="EG495" s="19">
        <v>0</v>
      </c>
      <c r="EH495" s="19">
        <v>0</v>
      </c>
      <c r="EI495" s="19">
        <v>0</v>
      </c>
      <c r="EJ495" s="19">
        <v>0</v>
      </c>
      <c r="EK495" s="19">
        <v>0</v>
      </c>
      <c r="EL495" s="19">
        <v>0</v>
      </c>
      <c r="EM495" s="19">
        <v>0</v>
      </c>
      <c r="EN495" s="19">
        <v>0</v>
      </c>
      <c r="EO495" s="19">
        <v>0</v>
      </c>
      <c r="EP495" s="19">
        <v>0</v>
      </c>
      <c r="EQ495" s="19">
        <v>0</v>
      </c>
      <c r="ER495" s="19">
        <v>0</v>
      </c>
      <c r="ES495" s="119">
        <v>0</v>
      </c>
      <c r="ET495" s="119">
        <v>0</v>
      </c>
    </row>
    <row r="496" spans="1:150" ht="16.5" customHeight="1" x14ac:dyDescent="0.35">
      <c r="A496" s="4">
        <v>218</v>
      </c>
      <c r="B496" s="4" t="str">
        <f>LOOKUP(A496,Lookup!$A$1:$A$34,Lookup!$B$1:$B$34)</f>
        <v>BUTCHERY SPICE</v>
      </c>
      <c r="C496" s="5">
        <v>58339</v>
      </c>
      <c r="D496" s="6" t="s">
        <v>472</v>
      </c>
      <c r="E496" s="18">
        <v>427.12908756889198</v>
      </c>
      <c r="F496" s="18">
        <v>49.168999999999997</v>
      </c>
      <c r="G496" s="18">
        <v>30326.165217391299</v>
      </c>
      <c r="H496" s="18">
        <v>3491</v>
      </c>
      <c r="I496" s="19">
        <v>425.66086956521701</v>
      </c>
      <c r="J496" s="19">
        <v>49</v>
      </c>
      <c r="K496" s="19">
        <v>390.91304347826099</v>
      </c>
      <c r="L496" s="19">
        <v>45</v>
      </c>
      <c r="M496" s="19">
        <v>277.982608695652</v>
      </c>
      <c r="N496" s="19">
        <v>32</v>
      </c>
      <c r="O496" s="19">
        <v>52.121739130434797</v>
      </c>
      <c r="P496" s="19">
        <v>6</v>
      </c>
      <c r="Q496" s="19">
        <v>182.426086956522</v>
      </c>
      <c r="R496" s="19">
        <v>21</v>
      </c>
      <c r="S496" s="19">
        <v>373.53913043478298</v>
      </c>
      <c r="T496" s="19">
        <v>43</v>
      </c>
      <c r="U496" s="19">
        <v>17.3739130434783</v>
      </c>
      <c r="V496" s="19">
        <v>2</v>
      </c>
      <c r="W496" s="19">
        <v>260.60869565217399</v>
      </c>
      <c r="X496" s="19">
        <v>30</v>
      </c>
      <c r="Y496" s="19">
        <v>8.6869565217391305</v>
      </c>
      <c r="Z496" s="19">
        <v>1</v>
      </c>
      <c r="AA496" s="19">
        <v>173.73913043478299</v>
      </c>
      <c r="AB496" s="19">
        <v>20</v>
      </c>
      <c r="AC496" s="19">
        <v>277.982608695652</v>
      </c>
      <c r="AD496" s="19">
        <v>32</v>
      </c>
      <c r="AE496" s="19">
        <v>78.182608695652206</v>
      </c>
      <c r="AF496" s="19">
        <v>9</v>
      </c>
      <c r="AG496" s="19">
        <v>364.85217391304298</v>
      </c>
      <c r="AH496" s="19">
        <v>42</v>
      </c>
      <c r="AI496" s="19">
        <v>43.434782608695699</v>
      </c>
      <c r="AJ496" s="19">
        <v>5</v>
      </c>
      <c r="AK496" s="19">
        <v>0</v>
      </c>
      <c r="AL496" s="19">
        <v>0</v>
      </c>
      <c r="AM496" s="19">
        <v>0</v>
      </c>
      <c r="AN496" s="19">
        <v>0</v>
      </c>
      <c r="AO496" s="19">
        <v>434.34782608695701</v>
      </c>
      <c r="AP496" s="19">
        <v>50</v>
      </c>
      <c r="AQ496" s="19">
        <v>477.78260869565202</v>
      </c>
      <c r="AR496" s="19">
        <v>55</v>
      </c>
      <c r="AS496" s="19">
        <v>495.15652173913003</v>
      </c>
      <c r="AT496" s="19">
        <v>57</v>
      </c>
      <c r="AU496" s="19">
        <v>486.46956521739099</v>
      </c>
      <c r="AV496" s="19">
        <v>56</v>
      </c>
      <c r="AW496" s="19">
        <v>564.65217391304395</v>
      </c>
      <c r="AX496" s="19">
        <v>65</v>
      </c>
      <c r="AY496" s="19">
        <v>712.33043478260902</v>
      </c>
      <c r="AZ496" s="19">
        <v>82</v>
      </c>
      <c r="BA496" s="19">
        <v>573.33913043478299</v>
      </c>
      <c r="BB496" s="19">
        <v>66</v>
      </c>
      <c r="BC496" s="19">
        <v>477.78260869565202</v>
      </c>
      <c r="BD496" s="19">
        <v>55</v>
      </c>
      <c r="BE496" s="19">
        <v>503.84347826086997</v>
      </c>
      <c r="BF496" s="19">
        <v>58</v>
      </c>
      <c r="BG496" s="19">
        <v>747.07826086956504</v>
      </c>
      <c r="BH496" s="19">
        <v>86</v>
      </c>
      <c r="BI496" s="19">
        <v>747.07826086956504</v>
      </c>
      <c r="BJ496" s="19">
        <v>86</v>
      </c>
      <c r="BK496" s="19">
        <v>408.286956521739</v>
      </c>
      <c r="BL496" s="19">
        <v>47</v>
      </c>
      <c r="BM496" s="19">
        <v>477.78260869565202</v>
      </c>
      <c r="BN496" s="19">
        <v>55</v>
      </c>
      <c r="BO496" s="19">
        <v>277.982608695652</v>
      </c>
      <c r="BP496" s="19">
        <v>32</v>
      </c>
      <c r="BQ496" s="19">
        <v>434.34782608695701</v>
      </c>
      <c r="BR496" s="19">
        <v>50</v>
      </c>
      <c r="BS496" s="19">
        <v>790.51304347826101</v>
      </c>
      <c r="BT496" s="19">
        <v>91</v>
      </c>
      <c r="BU496" s="19">
        <v>390.91304347826099</v>
      </c>
      <c r="BV496" s="19">
        <v>45</v>
      </c>
      <c r="BW496" s="19">
        <v>512.53043478260895</v>
      </c>
      <c r="BX496" s="19">
        <v>59</v>
      </c>
      <c r="BY496" s="19">
        <v>668.89565217391305</v>
      </c>
      <c r="BZ496" s="19">
        <v>77</v>
      </c>
      <c r="CA496" s="19">
        <v>773.13913043478306</v>
      </c>
      <c r="CB496" s="19">
        <v>89</v>
      </c>
      <c r="CC496" s="19">
        <v>477.78260869565202</v>
      </c>
      <c r="CD496" s="19">
        <v>55</v>
      </c>
      <c r="CE496" s="19">
        <v>460.408695652174</v>
      </c>
      <c r="CF496" s="19">
        <v>53</v>
      </c>
      <c r="CG496" s="19">
        <v>981.62608695652204</v>
      </c>
      <c r="CH496" s="19">
        <v>113</v>
      </c>
      <c r="CI496" s="19">
        <v>694.95652173913004</v>
      </c>
      <c r="CJ496" s="19">
        <v>80</v>
      </c>
      <c r="CK496" s="19">
        <v>599.4</v>
      </c>
      <c r="CL496" s="19">
        <v>69</v>
      </c>
      <c r="CM496" s="19">
        <v>408.286956521739</v>
      </c>
      <c r="CN496" s="19">
        <v>47</v>
      </c>
      <c r="CO496" s="19">
        <v>686.269565217391</v>
      </c>
      <c r="CP496" s="19">
        <v>79</v>
      </c>
      <c r="CQ496" s="19">
        <v>199.8</v>
      </c>
      <c r="CR496" s="19">
        <v>23</v>
      </c>
      <c r="CS496" s="19">
        <v>625.46086956521697</v>
      </c>
      <c r="CT496" s="19">
        <v>72</v>
      </c>
      <c r="CU496" s="19">
        <v>330.10434782608701</v>
      </c>
      <c r="CV496" s="19">
        <v>38</v>
      </c>
      <c r="CW496" s="19">
        <v>330.10434782608701</v>
      </c>
      <c r="CX496" s="19">
        <v>38</v>
      </c>
      <c r="CY496" s="19">
        <v>721.01739130434805</v>
      </c>
      <c r="CZ496" s="19">
        <v>83</v>
      </c>
      <c r="DA496" s="19">
        <v>521.21739130434798</v>
      </c>
      <c r="DB496" s="19">
        <v>60</v>
      </c>
      <c r="DC496" s="19">
        <v>486.46956521739099</v>
      </c>
      <c r="DD496" s="19">
        <v>56</v>
      </c>
      <c r="DE496" s="19">
        <v>425.66086956521701</v>
      </c>
      <c r="DF496" s="19">
        <v>49</v>
      </c>
      <c r="DG496" s="19">
        <v>399.6</v>
      </c>
      <c r="DH496" s="19">
        <v>46</v>
      </c>
      <c r="DI496" s="19">
        <v>251.92173913043499</v>
      </c>
      <c r="DJ496" s="19">
        <v>29</v>
      </c>
      <c r="DK496" s="19">
        <v>208.48695652173899</v>
      </c>
      <c r="DL496" s="19">
        <v>24</v>
      </c>
      <c r="DM496" s="19">
        <v>321.41739130434797</v>
      </c>
      <c r="DN496" s="19">
        <v>37</v>
      </c>
      <c r="DO496" s="19">
        <v>564.65217391304304</v>
      </c>
      <c r="DP496" s="19">
        <v>65</v>
      </c>
      <c r="DQ496" s="19">
        <v>564.65217391304304</v>
      </c>
      <c r="DR496" s="19">
        <v>65</v>
      </c>
      <c r="DS496" s="19">
        <v>460.408695652174</v>
      </c>
      <c r="DT496" s="19">
        <v>53</v>
      </c>
      <c r="DU496" s="19">
        <v>382.22608695652201</v>
      </c>
      <c r="DV496" s="19">
        <v>44</v>
      </c>
      <c r="DW496" s="19">
        <v>443.03478260869599</v>
      </c>
      <c r="DX496" s="19">
        <v>51</v>
      </c>
      <c r="DY496" s="19">
        <v>547.27826086956497</v>
      </c>
      <c r="DZ496" s="19">
        <v>63</v>
      </c>
      <c r="EA496" s="19">
        <v>443.03478260869599</v>
      </c>
      <c r="EB496" s="19">
        <v>51</v>
      </c>
      <c r="EC496" s="19">
        <v>382.22608695652201</v>
      </c>
      <c r="ED496" s="19">
        <v>44</v>
      </c>
      <c r="EE496" s="19">
        <v>304.04347826087002</v>
      </c>
      <c r="EF496" s="19">
        <v>35</v>
      </c>
      <c r="EG496" s="19">
        <v>677.58260869565197</v>
      </c>
      <c r="EH496" s="19">
        <v>78</v>
      </c>
      <c r="EI496" s="19">
        <v>521.21739130434798</v>
      </c>
      <c r="EJ496" s="19">
        <v>60</v>
      </c>
      <c r="EK496" s="19">
        <v>356.165217391304</v>
      </c>
      <c r="EL496" s="19">
        <v>41</v>
      </c>
      <c r="EM496" s="19">
        <v>390.91304347826099</v>
      </c>
      <c r="EN496" s="19">
        <v>45</v>
      </c>
      <c r="EO496" s="19">
        <v>443.03478260869599</v>
      </c>
      <c r="EP496" s="19">
        <v>51</v>
      </c>
      <c r="EQ496" s="19">
        <v>364.85217391304298</v>
      </c>
      <c r="ER496" s="19">
        <v>42</v>
      </c>
      <c r="ES496" s="119">
        <v>486.46956521739099</v>
      </c>
      <c r="ET496" s="119">
        <v>56</v>
      </c>
    </row>
    <row r="497" spans="1:150" ht="16.5" customHeight="1" x14ac:dyDescent="0.35">
      <c r="A497" s="4">
        <v>218</v>
      </c>
      <c r="B497" s="4" t="str">
        <f>LOOKUP(A497,Lookup!$A$1:$A$34,Lookup!$B$1:$B$34)</f>
        <v>BUTCHERY SPICE</v>
      </c>
      <c r="C497" s="5">
        <v>58340</v>
      </c>
      <c r="D497" s="6" t="s">
        <v>473</v>
      </c>
      <c r="E497" s="18">
        <v>243.11243110838899</v>
      </c>
      <c r="F497" s="18">
        <v>27.986000000000001</v>
      </c>
      <c r="G497" s="18">
        <v>17260.9826086957</v>
      </c>
      <c r="H497" s="18">
        <v>1987</v>
      </c>
      <c r="I497" s="19">
        <v>208.48695652173899</v>
      </c>
      <c r="J497" s="19">
        <v>24</v>
      </c>
      <c r="K497" s="19">
        <v>156.36521739130399</v>
      </c>
      <c r="L497" s="19">
        <v>18</v>
      </c>
      <c r="M497" s="19">
        <v>130.304347826087</v>
      </c>
      <c r="N497" s="19">
        <v>15</v>
      </c>
      <c r="O497" s="19">
        <v>86.869565217391298</v>
      </c>
      <c r="P497" s="19">
        <v>10</v>
      </c>
      <c r="Q497" s="19">
        <v>217.173913043478</v>
      </c>
      <c r="R497" s="19">
        <v>25</v>
      </c>
      <c r="S497" s="19">
        <v>0</v>
      </c>
      <c r="T497" s="19">
        <v>0</v>
      </c>
      <c r="U497" s="19">
        <v>364.852173913044</v>
      </c>
      <c r="V497" s="19">
        <v>42</v>
      </c>
      <c r="W497" s="19">
        <v>243.23478260869601</v>
      </c>
      <c r="X497" s="19">
        <v>28</v>
      </c>
      <c r="Y497" s="19">
        <v>60.808695652173903</v>
      </c>
      <c r="Z497" s="19">
        <v>7</v>
      </c>
      <c r="AA497" s="19">
        <v>112.930434782609</v>
      </c>
      <c r="AB497" s="19">
        <v>13</v>
      </c>
      <c r="AC497" s="19">
        <v>147.67826086956501</v>
      </c>
      <c r="AD497" s="19">
        <v>17</v>
      </c>
      <c r="AE497" s="19">
        <v>277.982608695652</v>
      </c>
      <c r="AF497" s="19">
        <v>32</v>
      </c>
      <c r="AG497" s="19">
        <v>173.73913043478299</v>
      </c>
      <c r="AH497" s="19">
        <v>20</v>
      </c>
      <c r="AI497" s="19">
        <v>225.860869565217</v>
      </c>
      <c r="AJ497" s="19">
        <v>26</v>
      </c>
      <c r="AK497" s="19">
        <v>0</v>
      </c>
      <c r="AL497" s="19">
        <v>0</v>
      </c>
      <c r="AM497" s="19">
        <v>0</v>
      </c>
      <c r="AN497" s="19">
        <v>0</v>
      </c>
      <c r="AO497" s="19">
        <v>304.04347826087002</v>
      </c>
      <c r="AP497" s="19">
        <v>35</v>
      </c>
      <c r="AQ497" s="19">
        <v>243.23478260869601</v>
      </c>
      <c r="AR497" s="19">
        <v>28</v>
      </c>
      <c r="AS497" s="19">
        <v>356.165217391304</v>
      </c>
      <c r="AT497" s="19">
        <v>41</v>
      </c>
      <c r="AU497" s="19">
        <v>147.67826086956501</v>
      </c>
      <c r="AV497" s="19">
        <v>17</v>
      </c>
      <c r="AW497" s="19">
        <v>330.10434782608701</v>
      </c>
      <c r="AX497" s="19">
        <v>38</v>
      </c>
      <c r="AY497" s="19">
        <v>217.173913043478</v>
      </c>
      <c r="AZ497" s="19">
        <v>25</v>
      </c>
      <c r="BA497" s="19">
        <v>364.85217391304298</v>
      </c>
      <c r="BB497" s="19">
        <v>42</v>
      </c>
      <c r="BC497" s="19">
        <v>269.29565217391303</v>
      </c>
      <c r="BD497" s="19">
        <v>31</v>
      </c>
      <c r="BE497" s="19">
        <v>251.92173913043499</v>
      </c>
      <c r="BF497" s="19">
        <v>29</v>
      </c>
      <c r="BG497" s="19">
        <v>512.53043478260895</v>
      </c>
      <c r="BH497" s="19">
        <v>59</v>
      </c>
      <c r="BI497" s="19">
        <v>295.35652173913002</v>
      </c>
      <c r="BJ497" s="19">
        <v>34</v>
      </c>
      <c r="BK497" s="19">
        <v>182.426086956522</v>
      </c>
      <c r="BL497" s="19">
        <v>21</v>
      </c>
      <c r="BM497" s="19">
        <v>269.29565217391303</v>
      </c>
      <c r="BN497" s="19">
        <v>31</v>
      </c>
      <c r="BO497" s="19">
        <v>251.92173913043499</v>
      </c>
      <c r="BP497" s="19">
        <v>29</v>
      </c>
      <c r="BQ497" s="19">
        <v>199.8</v>
      </c>
      <c r="BR497" s="19">
        <v>23</v>
      </c>
      <c r="BS497" s="19">
        <v>304.04347826087002</v>
      </c>
      <c r="BT497" s="19">
        <v>35</v>
      </c>
      <c r="BU497" s="19">
        <v>182.426086956522</v>
      </c>
      <c r="BV497" s="19">
        <v>21</v>
      </c>
      <c r="BW497" s="19">
        <v>243.23478260869601</v>
      </c>
      <c r="BX497" s="19">
        <v>28</v>
      </c>
      <c r="BY497" s="19">
        <v>364.852173913044</v>
      </c>
      <c r="BZ497" s="19">
        <v>42</v>
      </c>
      <c r="CA497" s="19">
        <v>295.35652173913002</v>
      </c>
      <c r="CB497" s="19">
        <v>34</v>
      </c>
      <c r="CC497" s="19">
        <v>225.860869565217</v>
      </c>
      <c r="CD497" s="19">
        <v>26</v>
      </c>
      <c r="CE497" s="19">
        <v>312.730434782609</v>
      </c>
      <c r="CF497" s="19">
        <v>36</v>
      </c>
      <c r="CG497" s="19">
        <v>512.53043478260895</v>
      </c>
      <c r="CH497" s="19">
        <v>59</v>
      </c>
      <c r="CI497" s="19">
        <v>330.10434782608701</v>
      </c>
      <c r="CJ497" s="19">
        <v>38</v>
      </c>
      <c r="CK497" s="19">
        <v>217.173913043478</v>
      </c>
      <c r="CL497" s="19">
        <v>25</v>
      </c>
      <c r="CM497" s="19">
        <v>234.547826086957</v>
      </c>
      <c r="CN497" s="19">
        <v>27</v>
      </c>
      <c r="CO497" s="19">
        <v>295.35652173913002</v>
      </c>
      <c r="CP497" s="19">
        <v>34</v>
      </c>
      <c r="CQ497" s="19">
        <v>364.852173913044</v>
      </c>
      <c r="CR497" s="19">
        <v>42</v>
      </c>
      <c r="CS497" s="19">
        <v>434.34782608695701</v>
      </c>
      <c r="CT497" s="19">
        <v>50</v>
      </c>
      <c r="CU497" s="19">
        <v>312.730434782609</v>
      </c>
      <c r="CV497" s="19">
        <v>36</v>
      </c>
      <c r="CW497" s="19">
        <v>182.426086956522</v>
      </c>
      <c r="CX497" s="19">
        <v>21</v>
      </c>
      <c r="CY497" s="19">
        <v>416.97391304347798</v>
      </c>
      <c r="CZ497" s="19">
        <v>48</v>
      </c>
      <c r="DA497" s="19">
        <v>182.426086956522</v>
      </c>
      <c r="DB497" s="19">
        <v>21</v>
      </c>
      <c r="DC497" s="19">
        <v>191.11304347826101</v>
      </c>
      <c r="DD497" s="19">
        <v>22</v>
      </c>
      <c r="DE497" s="19">
        <v>130.304347826087</v>
      </c>
      <c r="DF497" s="19">
        <v>15</v>
      </c>
      <c r="DG497" s="19">
        <v>269.29565217391303</v>
      </c>
      <c r="DH497" s="19">
        <v>31</v>
      </c>
      <c r="DI497" s="19">
        <v>234.547826086957</v>
      </c>
      <c r="DJ497" s="19">
        <v>27</v>
      </c>
      <c r="DK497" s="19">
        <v>390.91304347826099</v>
      </c>
      <c r="DL497" s="19">
        <v>45</v>
      </c>
      <c r="DM497" s="19">
        <v>199.8</v>
      </c>
      <c r="DN497" s="19">
        <v>23</v>
      </c>
      <c r="DO497" s="19">
        <v>356.165217391304</v>
      </c>
      <c r="DP497" s="19">
        <v>41</v>
      </c>
      <c r="DQ497" s="19">
        <v>208.48695652173899</v>
      </c>
      <c r="DR497" s="19">
        <v>24</v>
      </c>
      <c r="DS497" s="19">
        <v>286.66956521739098</v>
      </c>
      <c r="DT497" s="19">
        <v>33</v>
      </c>
      <c r="DU497" s="19">
        <v>147.67826086956501</v>
      </c>
      <c r="DV497" s="19">
        <v>17</v>
      </c>
      <c r="DW497" s="19">
        <v>243.23478260869601</v>
      </c>
      <c r="DX497" s="19">
        <v>28</v>
      </c>
      <c r="DY497" s="19">
        <v>338.79130434782599</v>
      </c>
      <c r="DZ497" s="19">
        <v>39</v>
      </c>
      <c r="EA497" s="19">
        <v>260.60869565217399</v>
      </c>
      <c r="EB497" s="19">
        <v>30</v>
      </c>
      <c r="EC497" s="19">
        <v>208.48695652173899</v>
      </c>
      <c r="ED497" s="19">
        <v>24</v>
      </c>
      <c r="EE497" s="19">
        <v>138.991304347826</v>
      </c>
      <c r="EF497" s="19">
        <v>16</v>
      </c>
      <c r="EG497" s="19">
        <v>286.66956521739098</v>
      </c>
      <c r="EH497" s="19">
        <v>33</v>
      </c>
      <c r="EI497" s="19">
        <v>243.23478260869601</v>
      </c>
      <c r="EJ497" s="19">
        <v>28</v>
      </c>
      <c r="EK497" s="19">
        <v>191.11304347826101</v>
      </c>
      <c r="EL497" s="19">
        <v>22</v>
      </c>
      <c r="EM497" s="19">
        <v>225.860869565217</v>
      </c>
      <c r="EN497" s="19">
        <v>26</v>
      </c>
      <c r="EO497" s="19">
        <v>286.66956521739098</v>
      </c>
      <c r="EP497" s="19">
        <v>33</v>
      </c>
      <c r="EQ497" s="19">
        <v>173.73913043478299</v>
      </c>
      <c r="ER497" s="19">
        <v>20</v>
      </c>
      <c r="ES497" s="119">
        <v>251.92173913043499</v>
      </c>
      <c r="ET497" s="119">
        <v>29</v>
      </c>
    </row>
    <row r="498" spans="1:150" ht="16.5" customHeight="1" x14ac:dyDescent="0.35">
      <c r="A498" s="4">
        <v>218</v>
      </c>
      <c r="B498" s="4" t="str">
        <f>LOOKUP(A498,Lookup!$A$1:$A$34,Lookup!$B$1:$B$34)</f>
        <v>BUTCHERY SPICE</v>
      </c>
      <c r="C498" s="5">
        <v>60147</v>
      </c>
      <c r="D498" s="6" t="s">
        <v>474</v>
      </c>
      <c r="E498" s="18">
        <v>23.305327617881201</v>
      </c>
      <c r="F498" s="18">
        <v>1.577</v>
      </c>
      <c r="G498" s="18">
        <v>1654.6782608695601</v>
      </c>
      <c r="H498" s="18">
        <v>112</v>
      </c>
      <c r="I498" s="19">
        <v>192.06086956521699</v>
      </c>
      <c r="J498" s="19">
        <v>13</v>
      </c>
      <c r="K498" s="19">
        <v>14.7739130434783</v>
      </c>
      <c r="L498" s="19">
        <v>1</v>
      </c>
      <c r="M498" s="19">
        <v>88.6434782608696</v>
      </c>
      <c r="N498" s="19">
        <v>6</v>
      </c>
      <c r="O498" s="19">
        <v>103.417391304348</v>
      </c>
      <c r="P498" s="19">
        <v>7</v>
      </c>
      <c r="Q498" s="19">
        <v>29.547826086956501</v>
      </c>
      <c r="R498" s="19">
        <v>2</v>
      </c>
      <c r="S498" s="19">
        <v>59.095652173913003</v>
      </c>
      <c r="T498" s="19">
        <v>4</v>
      </c>
      <c r="U498" s="19">
        <v>14.7739130434783</v>
      </c>
      <c r="V498" s="19">
        <v>1</v>
      </c>
      <c r="W498" s="19">
        <v>14.7739130434783</v>
      </c>
      <c r="X498" s="19">
        <v>1</v>
      </c>
      <c r="Y498" s="19">
        <v>118.19130434782601</v>
      </c>
      <c r="Z498" s="19">
        <v>8</v>
      </c>
      <c r="AA498" s="19">
        <v>29.547826086956501</v>
      </c>
      <c r="AB498" s="19">
        <v>2</v>
      </c>
      <c r="AC498" s="19">
        <v>44.3217391304348</v>
      </c>
      <c r="AD498" s="19">
        <v>3</v>
      </c>
      <c r="AE498" s="19">
        <v>0</v>
      </c>
      <c r="AF498" s="19">
        <v>0</v>
      </c>
      <c r="AG498" s="19">
        <v>29.547826086956501</v>
      </c>
      <c r="AH498" s="19">
        <v>2</v>
      </c>
      <c r="AI498" s="19">
        <v>29.547826086956501</v>
      </c>
      <c r="AJ498" s="19">
        <v>2</v>
      </c>
      <c r="AK498" s="19">
        <v>14.7739130434783</v>
      </c>
      <c r="AL498" s="19">
        <v>1</v>
      </c>
      <c r="AM498" s="19">
        <v>14.7739130434783</v>
      </c>
      <c r="AN498" s="19">
        <v>1</v>
      </c>
      <c r="AO498" s="19">
        <v>29.547826086956501</v>
      </c>
      <c r="AP498" s="19">
        <v>2</v>
      </c>
      <c r="AQ498" s="19">
        <v>0</v>
      </c>
      <c r="AR498" s="19">
        <v>0</v>
      </c>
      <c r="AS498" s="19">
        <v>0</v>
      </c>
      <c r="AT498" s="19">
        <v>0</v>
      </c>
      <c r="AU498" s="19">
        <v>59.095652173913003</v>
      </c>
      <c r="AV498" s="19">
        <v>4</v>
      </c>
      <c r="AW498" s="19">
        <v>73.869565217391298</v>
      </c>
      <c r="AX498" s="19">
        <v>5</v>
      </c>
      <c r="AY498" s="19">
        <v>0</v>
      </c>
      <c r="AZ498" s="19">
        <v>0</v>
      </c>
      <c r="BA498" s="19">
        <v>14.7739130434783</v>
      </c>
      <c r="BB498" s="19">
        <v>1</v>
      </c>
      <c r="BC498" s="19">
        <v>0</v>
      </c>
      <c r="BD498" s="19">
        <v>0</v>
      </c>
      <c r="BE498" s="19">
        <v>0</v>
      </c>
      <c r="BF498" s="19">
        <v>0</v>
      </c>
      <c r="BG498" s="19">
        <v>14.7739130434783</v>
      </c>
      <c r="BH498" s="19">
        <v>1</v>
      </c>
      <c r="BI498" s="19">
        <v>0</v>
      </c>
      <c r="BJ498" s="19">
        <v>0</v>
      </c>
      <c r="BK498" s="19">
        <v>29.547826086956501</v>
      </c>
      <c r="BL498" s="19">
        <v>2</v>
      </c>
      <c r="BM498" s="19">
        <v>14.7739130434783</v>
      </c>
      <c r="BN498" s="19">
        <v>1</v>
      </c>
      <c r="BO498" s="19">
        <v>14.7739130434783</v>
      </c>
      <c r="BP498" s="19">
        <v>1</v>
      </c>
      <c r="BQ498" s="19">
        <v>0</v>
      </c>
      <c r="BR498" s="19">
        <v>0</v>
      </c>
      <c r="BS498" s="19">
        <v>73.869565217391298</v>
      </c>
      <c r="BT498" s="19">
        <v>5</v>
      </c>
      <c r="BU498" s="19">
        <v>44.3217391304348</v>
      </c>
      <c r="BV498" s="19">
        <v>3</v>
      </c>
      <c r="BW498" s="19">
        <v>29.547826086956501</v>
      </c>
      <c r="BX498" s="19">
        <v>2</v>
      </c>
      <c r="BY498" s="19">
        <v>29.547826086956501</v>
      </c>
      <c r="BZ498" s="19">
        <v>2</v>
      </c>
      <c r="CA498" s="19">
        <v>29.547826086956501</v>
      </c>
      <c r="CB498" s="19">
        <v>2</v>
      </c>
      <c r="CC498" s="19">
        <v>0</v>
      </c>
      <c r="CD498" s="19">
        <v>0</v>
      </c>
      <c r="CE498" s="19">
        <v>14.7739130434783</v>
      </c>
      <c r="CF498" s="19">
        <v>1</v>
      </c>
      <c r="CG498" s="19">
        <v>29.547826086956501</v>
      </c>
      <c r="CH498" s="19">
        <v>2</v>
      </c>
      <c r="CI498" s="19">
        <v>44.3217391304348</v>
      </c>
      <c r="CJ498" s="19">
        <v>3</v>
      </c>
      <c r="CK498" s="19">
        <v>0</v>
      </c>
      <c r="CL498" s="19">
        <v>0</v>
      </c>
      <c r="CM498" s="19">
        <v>14.7739130434783</v>
      </c>
      <c r="CN498" s="19">
        <v>1</v>
      </c>
      <c r="CO498" s="19">
        <v>44.3217391304348</v>
      </c>
      <c r="CP498" s="19">
        <v>3</v>
      </c>
      <c r="CQ498" s="19">
        <v>44.3217391304348</v>
      </c>
      <c r="CR498" s="19">
        <v>3</v>
      </c>
      <c r="CS498" s="19">
        <v>29.547826086956501</v>
      </c>
      <c r="CT498" s="19">
        <v>2</v>
      </c>
      <c r="CU498" s="19">
        <v>14.7739130434783</v>
      </c>
      <c r="CV498" s="19">
        <v>1</v>
      </c>
      <c r="CW498" s="19">
        <v>29.547826086956501</v>
      </c>
      <c r="CX498" s="19">
        <v>2</v>
      </c>
      <c r="CY498" s="19">
        <v>44.3217391304348</v>
      </c>
      <c r="CZ498" s="19">
        <v>3</v>
      </c>
      <c r="DA498" s="19">
        <v>29.547826086956501</v>
      </c>
      <c r="DB498" s="19">
        <v>2</v>
      </c>
      <c r="DC498" s="19">
        <v>29.547826086956501</v>
      </c>
      <c r="DD498" s="19">
        <v>2</v>
      </c>
      <c r="DE498" s="19">
        <v>14.7739130434783</v>
      </c>
      <c r="DF498" s="19">
        <v>1</v>
      </c>
      <c r="DG498" s="19">
        <v>14.7739130434783</v>
      </c>
      <c r="DH498" s="19">
        <v>1</v>
      </c>
      <c r="DI498" s="19">
        <v>0</v>
      </c>
      <c r="DJ498" s="19">
        <v>0</v>
      </c>
      <c r="DK498" s="19">
        <v>0</v>
      </c>
      <c r="DL498" s="19">
        <v>0</v>
      </c>
      <c r="DM498" s="19">
        <v>0</v>
      </c>
      <c r="DN498" s="19">
        <v>0</v>
      </c>
      <c r="DO498" s="19">
        <v>0</v>
      </c>
      <c r="DP498" s="19">
        <v>0</v>
      </c>
      <c r="DQ498" s="19">
        <v>0</v>
      </c>
      <c r="DR498" s="19">
        <v>0</v>
      </c>
      <c r="DS498" s="19">
        <v>0</v>
      </c>
      <c r="DT498" s="19">
        <v>0</v>
      </c>
      <c r="DU498" s="19">
        <v>0</v>
      </c>
      <c r="DV498" s="19">
        <v>0</v>
      </c>
      <c r="DW498" s="19">
        <v>0</v>
      </c>
      <c r="DX498" s="19">
        <v>0</v>
      </c>
      <c r="DY498" s="19">
        <v>0</v>
      </c>
      <c r="DZ498" s="19">
        <v>0</v>
      </c>
      <c r="EA498" s="19">
        <v>0</v>
      </c>
      <c r="EB498" s="19">
        <v>0</v>
      </c>
      <c r="EC498" s="19">
        <v>0</v>
      </c>
      <c r="ED498" s="19">
        <v>0</v>
      </c>
      <c r="EE498" s="19">
        <v>0</v>
      </c>
      <c r="EF498" s="19">
        <v>0</v>
      </c>
      <c r="EG498" s="19">
        <v>0</v>
      </c>
      <c r="EH498" s="19">
        <v>0</v>
      </c>
      <c r="EI498" s="19">
        <v>0</v>
      </c>
      <c r="EJ498" s="19">
        <v>0</v>
      </c>
      <c r="EK498" s="19">
        <v>0</v>
      </c>
      <c r="EL498" s="19">
        <v>0</v>
      </c>
      <c r="EM498" s="19">
        <v>0</v>
      </c>
      <c r="EN498" s="19">
        <v>0</v>
      </c>
      <c r="EO498" s="19">
        <v>0</v>
      </c>
      <c r="EP498" s="19">
        <v>0</v>
      </c>
      <c r="EQ498" s="19">
        <v>0</v>
      </c>
      <c r="ER498" s="19">
        <v>0</v>
      </c>
      <c r="ES498" s="119">
        <v>0</v>
      </c>
      <c r="ET498" s="119">
        <v>0</v>
      </c>
    </row>
    <row r="499" spans="1:150" ht="16.5" customHeight="1" x14ac:dyDescent="0.35">
      <c r="A499" s="4">
        <v>218</v>
      </c>
      <c r="B499" s="4" t="str">
        <f>LOOKUP(A499,Lookup!$A$1:$A$34,Lookup!$B$1:$B$34)</f>
        <v>BUTCHERY SPICE</v>
      </c>
      <c r="C499" s="5">
        <v>60213</v>
      </c>
      <c r="D499" s="6" t="s">
        <v>475</v>
      </c>
      <c r="E499" s="18">
        <v>2.4853643600734801</v>
      </c>
      <c r="F499" s="18">
        <v>9.9000000000000005E-2</v>
      </c>
      <c r="G499" s="18">
        <v>176.460869565217</v>
      </c>
      <c r="H499" s="18">
        <v>7</v>
      </c>
      <c r="I499" s="19">
        <v>75.626086956521704</v>
      </c>
      <c r="J499" s="19">
        <v>3</v>
      </c>
      <c r="K499" s="19">
        <v>25.208695652173901</v>
      </c>
      <c r="L499" s="19">
        <v>1</v>
      </c>
      <c r="M499" s="19">
        <v>25.208695652173901</v>
      </c>
      <c r="N499" s="19">
        <v>1</v>
      </c>
      <c r="O499" s="19">
        <v>50.417391304347802</v>
      </c>
      <c r="P499" s="19">
        <v>2</v>
      </c>
      <c r="Q499" s="19">
        <v>0</v>
      </c>
      <c r="R499" s="19">
        <v>0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0</v>
      </c>
      <c r="AL499" s="19">
        <v>0</v>
      </c>
      <c r="AM499" s="19">
        <v>0</v>
      </c>
      <c r="AN499" s="19">
        <v>0</v>
      </c>
      <c r="AO499" s="19">
        <v>0</v>
      </c>
      <c r="AP499" s="19">
        <v>0</v>
      </c>
      <c r="AQ499" s="19">
        <v>0</v>
      </c>
      <c r="AR499" s="19">
        <v>0</v>
      </c>
      <c r="AS499" s="19">
        <v>0</v>
      </c>
      <c r="AT499" s="19">
        <v>0</v>
      </c>
      <c r="AU499" s="19">
        <v>0</v>
      </c>
      <c r="AV499" s="19">
        <v>0</v>
      </c>
      <c r="AW499" s="19">
        <v>0</v>
      </c>
      <c r="AX499" s="19">
        <v>0</v>
      </c>
      <c r="AY499" s="19">
        <v>0</v>
      </c>
      <c r="AZ499" s="19">
        <v>0</v>
      </c>
      <c r="BA499" s="19">
        <v>0</v>
      </c>
      <c r="BB499" s="19">
        <v>0</v>
      </c>
      <c r="BC499" s="19">
        <v>0</v>
      </c>
      <c r="BD499" s="19">
        <v>0</v>
      </c>
      <c r="BE499" s="19">
        <v>0</v>
      </c>
      <c r="BF499" s="19">
        <v>0</v>
      </c>
      <c r="BG499" s="19">
        <v>0</v>
      </c>
      <c r="BH499" s="19">
        <v>0</v>
      </c>
      <c r="BI499" s="19">
        <v>0</v>
      </c>
      <c r="BJ499" s="19">
        <v>0</v>
      </c>
      <c r="BK499" s="19">
        <v>0</v>
      </c>
      <c r="BL499" s="19">
        <v>0</v>
      </c>
      <c r="BM499" s="19">
        <v>0</v>
      </c>
      <c r="BN499" s="19">
        <v>0</v>
      </c>
      <c r="BO499" s="19">
        <v>0</v>
      </c>
      <c r="BP499" s="19">
        <v>0</v>
      </c>
      <c r="BQ499" s="19">
        <v>0</v>
      </c>
      <c r="BR499" s="19">
        <v>0</v>
      </c>
      <c r="BS499" s="19">
        <v>0</v>
      </c>
      <c r="BT499" s="19">
        <v>0</v>
      </c>
      <c r="BU499" s="19">
        <v>0</v>
      </c>
      <c r="BV499" s="19">
        <v>0</v>
      </c>
      <c r="BW499" s="19">
        <v>0</v>
      </c>
      <c r="BX499" s="19">
        <v>0</v>
      </c>
      <c r="BY499" s="19">
        <v>0</v>
      </c>
      <c r="BZ499" s="19">
        <v>0</v>
      </c>
      <c r="CA499" s="19">
        <v>0</v>
      </c>
      <c r="CB499" s="19">
        <v>0</v>
      </c>
      <c r="CC499" s="19">
        <v>0</v>
      </c>
      <c r="CD499" s="19">
        <v>0</v>
      </c>
      <c r="CE499" s="19">
        <v>0</v>
      </c>
      <c r="CF499" s="19">
        <v>0</v>
      </c>
      <c r="CG499" s="19">
        <v>0</v>
      </c>
      <c r="CH499" s="19">
        <v>0</v>
      </c>
      <c r="CI499" s="19">
        <v>0</v>
      </c>
      <c r="CJ499" s="19">
        <v>0</v>
      </c>
      <c r="CK499" s="19">
        <v>0</v>
      </c>
      <c r="CL499" s="19">
        <v>0</v>
      </c>
      <c r="CM499" s="19">
        <v>0</v>
      </c>
      <c r="CN499" s="19">
        <v>0</v>
      </c>
      <c r="CO499" s="19">
        <v>0</v>
      </c>
      <c r="CP499" s="19">
        <v>0</v>
      </c>
      <c r="CQ499" s="19">
        <v>0</v>
      </c>
      <c r="CR499" s="19">
        <v>0</v>
      </c>
      <c r="CS499" s="19">
        <v>0</v>
      </c>
      <c r="CT499" s="19">
        <v>0</v>
      </c>
      <c r="CU499" s="19">
        <v>0</v>
      </c>
      <c r="CV499" s="19">
        <v>0</v>
      </c>
      <c r="CW499" s="19">
        <v>0</v>
      </c>
      <c r="CX499" s="19">
        <v>0</v>
      </c>
      <c r="CY499" s="19">
        <v>0</v>
      </c>
      <c r="CZ499" s="19">
        <v>0</v>
      </c>
      <c r="DA499" s="19">
        <v>0</v>
      </c>
      <c r="DB499" s="19">
        <v>0</v>
      </c>
      <c r="DC499" s="19">
        <v>0</v>
      </c>
      <c r="DD499" s="19">
        <v>0</v>
      </c>
      <c r="DE499" s="19">
        <v>0</v>
      </c>
      <c r="DF499" s="19">
        <v>0</v>
      </c>
      <c r="DG499" s="19">
        <v>0</v>
      </c>
      <c r="DH499" s="19">
        <v>0</v>
      </c>
      <c r="DI499" s="19">
        <v>0</v>
      </c>
      <c r="DJ499" s="19">
        <v>0</v>
      </c>
      <c r="DK499" s="19">
        <v>0</v>
      </c>
      <c r="DL499" s="19">
        <v>0</v>
      </c>
      <c r="DM499" s="19">
        <v>0</v>
      </c>
      <c r="DN499" s="19">
        <v>0</v>
      </c>
      <c r="DO499" s="19">
        <v>0</v>
      </c>
      <c r="DP499" s="19">
        <v>0</v>
      </c>
      <c r="DQ499" s="19">
        <v>0</v>
      </c>
      <c r="DR499" s="19">
        <v>0</v>
      </c>
      <c r="DS499" s="19">
        <v>0</v>
      </c>
      <c r="DT499" s="19">
        <v>0</v>
      </c>
      <c r="DU499" s="19">
        <v>0</v>
      </c>
      <c r="DV499" s="19">
        <v>0</v>
      </c>
      <c r="DW499" s="19">
        <v>0</v>
      </c>
      <c r="DX499" s="19">
        <v>0</v>
      </c>
      <c r="DY499" s="19">
        <v>0</v>
      </c>
      <c r="DZ499" s="19">
        <v>0</v>
      </c>
      <c r="EA499" s="19">
        <v>0</v>
      </c>
      <c r="EB499" s="19">
        <v>0</v>
      </c>
      <c r="EC499" s="19">
        <v>0</v>
      </c>
      <c r="ED499" s="19">
        <v>0</v>
      </c>
      <c r="EE499" s="19">
        <v>0</v>
      </c>
      <c r="EF499" s="19">
        <v>0</v>
      </c>
      <c r="EG499" s="19">
        <v>0</v>
      </c>
      <c r="EH499" s="19">
        <v>0</v>
      </c>
      <c r="EI499" s="19">
        <v>0</v>
      </c>
      <c r="EJ499" s="19">
        <v>0</v>
      </c>
      <c r="EK499" s="19">
        <v>0</v>
      </c>
      <c r="EL499" s="19">
        <v>0</v>
      </c>
      <c r="EM499" s="19">
        <v>0</v>
      </c>
      <c r="EN499" s="19">
        <v>0</v>
      </c>
      <c r="EO499" s="19">
        <v>0</v>
      </c>
      <c r="EP499" s="19">
        <v>0</v>
      </c>
      <c r="EQ499" s="19">
        <v>0</v>
      </c>
      <c r="ER499" s="19">
        <v>0</v>
      </c>
      <c r="ES499" s="119">
        <v>0</v>
      </c>
      <c r="ET499" s="119">
        <v>0</v>
      </c>
    </row>
    <row r="500" spans="1:150" ht="16.5" customHeight="1" x14ac:dyDescent="0.35">
      <c r="A500" s="4">
        <v>218</v>
      </c>
      <c r="B500" s="4" t="str">
        <f>LOOKUP(A500,Lookup!$A$1:$A$34,Lookup!$B$1:$B$34)</f>
        <v>BUTCHERY SPICE</v>
      </c>
      <c r="C500" s="5">
        <v>60952</v>
      </c>
      <c r="D500" s="6" t="s">
        <v>476</v>
      </c>
      <c r="E500" s="18">
        <v>0</v>
      </c>
      <c r="F500" s="18">
        <v>0</v>
      </c>
      <c r="G500" s="18">
        <v>0</v>
      </c>
      <c r="H500" s="18">
        <v>0</v>
      </c>
      <c r="I500" s="19">
        <v>0</v>
      </c>
      <c r="J500" s="19">
        <v>0</v>
      </c>
      <c r="K500" s="19">
        <v>0</v>
      </c>
      <c r="L500" s="19">
        <v>0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0</v>
      </c>
      <c r="U500" s="19">
        <v>0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19">
        <v>0</v>
      </c>
      <c r="AM500" s="19">
        <v>0</v>
      </c>
      <c r="AN500" s="19">
        <v>0</v>
      </c>
      <c r="AO500" s="19">
        <v>0</v>
      </c>
      <c r="AP500" s="19">
        <v>0</v>
      </c>
      <c r="AQ500" s="19">
        <v>0</v>
      </c>
      <c r="AR500" s="19">
        <v>0</v>
      </c>
      <c r="AS500" s="19">
        <v>0</v>
      </c>
      <c r="AT500" s="19">
        <v>0</v>
      </c>
      <c r="AU500" s="19">
        <v>0</v>
      </c>
      <c r="AV500" s="19">
        <v>0</v>
      </c>
      <c r="AW500" s="19">
        <v>0</v>
      </c>
      <c r="AX500" s="19">
        <v>0</v>
      </c>
      <c r="AY500" s="19">
        <v>0</v>
      </c>
      <c r="AZ500" s="19">
        <v>0</v>
      </c>
      <c r="BA500" s="19">
        <v>0</v>
      </c>
      <c r="BB500" s="19">
        <v>0</v>
      </c>
      <c r="BC500" s="19">
        <v>0</v>
      </c>
      <c r="BD500" s="19">
        <v>0</v>
      </c>
      <c r="BE500" s="19">
        <v>0</v>
      </c>
      <c r="BF500" s="19">
        <v>0</v>
      </c>
      <c r="BG500" s="19">
        <v>0</v>
      </c>
      <c r="BH500" s="19">
        <v>0</v>
      </c>
      <c r="BI500" s="19">
        <v>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  <c r="BP500" s="19">
        <v>0</v>
      </c>
      <c r="BQ500" s="19">
        <v>0</v>
      </c>
      <c r="BR500" s="19">
        <v>0</v>
      </c>
      <c r="BS500" s="19">
        <v>0</v>
      </c>
      <c r="BT500" s="19">
        <v>0</v>
      </c>
      <c r="BU500" s="19">
        <v>0</v>
      </c>
      <c r="BV500" s="19">
        <v>0</v>
      </c>
      <c r="BW500" s="19">
        <v>0</v>
      </c>
      <c r="BX500" s="19">
        <v>0</v>
      </c>
      <c r="BY500" s="19">
        <v>0</v>
      </c>
      <c r="BZ500" s="19">
        <v>0</v>
      </c>
      <c r="CA500" s="19">
        <v>0</v>
      </c>
      <c r="CB500" s="19">
        <v>0</v>
      </c>
      <c r="CC500" s="19">
        <v>0</v>
      </c>
      <c r="CD500" s="19">
        <v>0</v>
      </c>
      <c r="CE500" s="19">
        <v>0</v>
      </c>
      <c r="CF500" s="19">
        <v>0</v>
      </c>
      <c r="CG500" s="19">
        <v>0</v>
      </c>
      <c r="CH500" s="19">
        <v>0</v>
      </c>
      <c r="CI500" s="19">
        <v>0</v>
      </c>
      <c r="CJ500" s="19">
        <v>0</v>
      </c>
      <c r="CK500" s="19">
        <v>0</v>
      </c>
      <c r="CL500" s="19">
        <v>0</v>
      </c>
      <c r="CM500" s="19">
        <v>0</v>
      </c>
      <c r="CN500" s="19">
        <v>0</v>
      </c>
      <c r="CO500" s="19">
        <v>0</v>
      </c>
      <c r="CP500" s="19">
        <v>0</v>
      </c>
      <c r="CQ500" s="19">
        <v>0</v>
      </c>
      <c r="CR500" s="19">
        <v>0</v>
      </c>
      <c r="CS500" s="19">
        <v>0</v>
      </c>
      <c r="CT500" s="19">
        <v>0</v>
      </c>
      <c r="CU500" s="19">
        <v>0</v>
      </c>
      <c r="CV500" s="19">
        <v>0</v>
      </c>
      <c r="CW500" s="19">
        <v>0</v>
      </c>
      <c r="CX500" s="19">
        <v>0</v>
      </c>
      <c r="CY500" s="19">
        <v>0</v>
      </c>
      <c r="CZ500" s="19">
        <v>0</v>
      </c>
      <c r="DA500" s="19">
        <v>0</v>
      </c>
      <c r="DB500" s="19">
        <v>0</v>
      </c>
      <c r="DC500" s="19">
        <v>0</v>
      </c>
      <c r="DD500" s="19">
        <v>0</v>
      </c>
      <c r="DE500" s="19">
        <v>0</v>
      </c>
      <c r="DF500" s="19">
        <v>0</v>
      </c>
      <c r="DG500" s="19">
        <v>0</v>
      </c>
      <c r="DH500" s="19">
        <v>0</v>
      </c>
      <c r="DI500" s="19">
        <v>0</v>
      </c>
      <c r="DJ500" s="19">
        <v>0</v>
      </c>
      <c r="DK500" s="19">
        <v>0</v>
      </c>
      <c r="DL500" s="19">
        <v>0</v>
      </c>
      <c r="DM500" s="19">
        <v>0</v>
      </c>
      <c r="DN500" s="19">
        <v>0</v>
      </c>
      <c r="DO500" s="19">
        <v>0</v>
      </c>
      <c r="DP500" s="19">
        <v>0</v>
      </c>
      <c r="DQ500" s="19">
        <v>0</v>
      </c>
      <c r="DR500" s="19">
        <v>0</v>
      </c>
      <c r="DS500" s="19">
        <v>0</v>
      </c>
      <c r="DT500" s="19">
        <v>0</v>
      </c>
      <c r="DU500" s="19">
        <v>0</v>
      </c>
      <c r="DV500" s="19">
        <v>0</v>
      </c>
      <c r="DW500" s="19">
        <v>0</v>
      </c>
      <c r="DX500" s="19">
        <v>0</v>
      </c>
      <c r="DY500" s="19">
        <v>0</v>
      </c>
      <c r="DZ500" s="19">
        <v>0</v>
      </c>
      <c r="EA500" s="19">
        <v>0</v>
      </c>
      <c r="EB500" s="19">
        <v>0</v>
      </c>
      <c r="EC500" s="19">
        <v>0</v>
      </c>
      <c r="ED500" s="19">
        <v>0</v>
      </c>
      <c r="EE500" s="19">
        <v>0</v>
      </c>
      <c r="EF500" s="19">
        <v>0</v>
      </c>
      <c r="EG500" s="19">
        <v>0</v>
      </c>
      <c r="EH500" s="19">
        <v>0</v>
      </c>
      <c r="EI500" s="19">
        <v>0</v>
      </c>
      <c r="EJ500" s="19">
        <v>0</v>
      </c>
      <c r="EK500" s="19">
        <v>0</v>
      </c>
      <c r="EL500" s="19">
        <v>0</v>
      </c>
      <c r="EM500" s="19">
        <v>0</v>
      </c>
      <c r="EN500" s="19">
        <v>0</v>
      </c>
      <c r="EO500" s="19">
        <v>0</v>
      </c>
      <c r="EP500" s="19">
        <v>0</v>
      </c>
      <c r="EQ500" s="19">
        <v>0</v>
      </c>
      <c r="ER500" s="19">
        <v>0</v>
      </c>
      <c r="ES500" s="119">
        <v>0</v>
      </c>
      <c r="ET500" s="119">
        <v>0</v>
      </c>
    </row>
    <row r="501" spans="1:150" ht="16.5" customHeight="1" x14ac:dyDescent="0.35">
      <c r="A501" s="4">
        <v>218</v>
      </c>
      <c r="B501" s="4" t="str">
        <f>LOOKUP(A501,Lookup!$A$1:$A$34,Lookup!$B$1:$B$34)</f>
        <v>BUTCHERY SPICE</v>
      </c>
      <c r="C501" s="5">
        <v>60953</v>
      </c>
      <c r="D501" s="6" t="s">
        <v>477</v>
      </c>
      <c r="E501" s="18">
        <v>0</v>
      </c>
      <c r="F501" s="18">
        <v>0</v>
      </c>
      <c r="G501" s="18">
        <v>0</v>
      </c>
      <c r="H501" s="18">
        <v>0</v>
      </c>
      <c r="I501" s="19">
        <v>0</v>
      </c>
      <c r="J501" s="19">
        <v>0</v>
      </c>
      <c r="K501" s="19">
        <v>0</v>
      </c>
      <c r="L501" s="19">
        <v>0</v>
      </c>
      <c r="M501" s="19">
        <v>0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0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0</v>
      </c>
      <c r="AI501" s="19">
        <v>0</v>
      </c>
      <c r="AJ501" s="19">
        <v>0</v>
      </c>
      <c r="AK501" s="19">
        <v>0</v>
      </c>
      <c r="AL501" s="19">
        <v>0</v>
      </c>
      <c r="AM501" s="19">
        <v>0</v>
      </c>
      <c r="AN501" s="19">
        <v>0</v>
      </c>
      <c r="AO501" s="19">
        <v>0</v>
      </c>
      <c r="AP501" s="19">
        <v>0</v>
      </c>
      <c r="AQ501" s="19">
        <v>0</v>
      </c>
      <c r="AR501" s="19">
        <v>0</v>
      </c>
      <c r="AS501" s="19">
        <v>0</v>
      </c>
      <c r="AT501" s="19">
        <v>0</v>
      </c>
      <c r="AU501" s="19">
        <v>0</v>
      </c>
      <c r="AV501" s="19">
        <v>0</v>
      </c>
      <c r="AW501" s="19">
        <v>0</v>
      </c>
      <c r="AX501" s="19">
        <v>0</v>
      </c>
      <c r="AY501" s="19">
        <v>0</v>
      </c>
      <c r="AZ501" s="19">
        <v>0</v>
      </c>
      <c r="BA501" s="19">
        <v>0</v>
      </c>
      <c r="BB501" s="19">
        <v>0</v>
      </c>
      <c r="BC501" s="19">
        <v>0</v>
      </c>
      <c r="BD501" s="19">
        <v>0</v>
      </c>
      <c r="BE501" s="19">
        <v>0</v>
      </c>
      <c r="BF501" s="19">
        <v>0</v>
      </c>
      <c r="BG501" s="19">
        <v>0</v>
      </c>
      <c r="BH501" s="19">
        <v>0</v>
      </c>
      <c r="BI501" s="19">
        <v>0</v>
      </c>
      <c r="BJ501" s="19">
        <v>0</v>
      </c>
      <c r="BK501" s="19">
        <v>0</v>
      </c>
      <c r="BL501" s="19">
        <v>0</v>
      </c>
      <c r="BM501" s="19">
        <v>0</v>
      </c>
      <c r="BN501" s="19">
        <v>0</v>
      </c>
      <c r="BO501" s="19">
        <v>0</v>
      </c>
      <c r="BP501" s="19">
        <v>0</v>
      </c>
      <c r="BQ501" s="19">
        <v>0</v>
      </c>
      <c r="BR501" s="19">
        <v>0</v>
      </c>
      <c r="BS501" s="19">
        <v>0</v>
      </c>
      <c r="BT501" s="19">
        <v>0</v>
      </c>
      <c r="BU501" s="19">
        <v>0</v>
      </c>
      <c r="BV501" s="19">
        <v>0</v>
      </c>
      <c r="BW501" s="19">
        <v>0</v>
      </c>
      <c r="BX501" s="19">
        <v>0</v>
      </c>
      <c r="BY501" s="19">
        <v>0</v>
      </c>
      <c r="BZ501" s="19">
        <v>0</v>
      </c>
      <c r="CA501" s="19">
        <v>0</v>
      </c>
      <c r="CB501" s="19">
        <v>0</v>
      </c>
      <c r="CC501" s="19">
        <v>0</v>
      </c>
      <c r="CD501" s="19">
        <v>0</v>
      </c>
      <c r="CE501" s="19">
        <v>0</v>
      </c>
      <c r="CF501" s="19">
        <v>0</v>
      </c>
      <c r="CG501" s="19">
        <v>0</v>
      </c>
      <c r="CH501" s="19">
        <v>0</v>
      </c>
      <c r="CI501" s="19">
        <v>0</v>
      </c>
      <c r="CJ501" s="19">
        <v>0</v>
      </c>
      <c r="CK501" s="19">
        <v>0</v>
      </c>
      <c r="CL501" s="19">
        <v>0</v>
      </c>
      <c r="CM501" s="19">
        <v>0</v>
      </c>
      <c r="CN501" s="19">
        <v>0</v>
      </c>
      <c r="CO501" s="19">
        <v>0</v>
      </c>
      <c r="CP501" s="19">
        <v>0</v>
      </c>
      <c r="CQ501" s="19">
        <v>0</v>
      </c>
      <c r="CR501" s="19">
        <v>0</v>
      </c>
      <c r="CS501" s="19">
        <v>0</v>
      </c>
      <c r="CT501" s="19">
        <v>0</v>
      </c>
      <c r="CU501" s="19">
        <v>0</v>
      </c>
      <c r="CV501" s="19">
        <v>0</v>
      </c>
      <c r="CW501" s="19">
        <v>0</v>
      </c>
      <c r="CX501" s="19">
        <v>0</v>
      </c>
      <c r="CY501" s="19">
        <v>0</v>
      </c>
      <c r="CZ501" s="19">
        <v>0</v>
      </c>
      <c r="DA501" s="19">
        <v>0</v>
      </c>
      <c r="DB501" s="19">
        <v>0</v>
      </c>
      <c r="DC501" s="19">
        <v>0</v>
      </c>
      <c r="DD501" s="19">
        <v>0</v>
      </c>
      <c r="DE501" s="19">
        <v>0</v>
      </c>
      <c r="DF501" s="19">
        <v>0</v>
      </c>
      <c r="DG501" s="19">
        <v>0</v>
      </c>
      <c r="DH501" s="19">
        <v>0</v>
      </c>
      <c r="DI501" s="19">
        <v>0</v>
      </c>
      <c r="DJ501" s="19">
        <v>0</v>
      </c>
      <c r="DK501" s="19">
        <v>0</v>
      </c>
      <c r="DL501" s="19">
        <v>0</v>
      </c>
      <c r="DM501" s="19">
        <v>0</v>
      </c>
      <c r="DN501" s="19">
        <v>0</v>
      </c>
      <c r="DO501" s="19">
        <v>0</v>
      </c>
      <c r="DP501" s="19">
        <v>0</v>
      </c>
      <c r="DQ501" s="19">
        <v>0</v>
      </c>
      <c r="DR501" s="19">
        <v>0</v>
      </c>
      <c r="DS501" s="19">
        <v>0</v>
      </c>
      <c r="DT501" s="19">
        <v>0</v>
      </c>
      <c r="DU501" s="19">
        <v>0</v>
      </c>
      <c r="DV501" s="19">
        <v>0</v>
      </c>
      <c r="DW501" s="19">
        <v>0</v>
      </c>
      <c r="DX501" s="19">
        <v>0</v>
      </c>
      <c r="DY501" s="19">
        <v>0</v>
      </c>
      <c r="DZ501" s="19">
        <v>0</v>
      </c>
      <c r="EA501" s="19">
        <v>0</v>
      </c>
      <c r="EB501" s="19">
        <v>0</v>
      </c>
      <c r="EC501" s="19">
        <v>0</v>
      </c>
      <c r="ED501" s="19">
        <v>0</v>
      </c>
      <c r="EE501" s="19">
        <v>0</v>
      </c>
      <c r="EF501" s="19">
        <v>0</v>
      </c>
      <c r="EG501" s="19">
        <v>0</v>
      </c>
      <c r="EH501" s="19">
        <v>0</v>
      </c>
      <c r="EI501" s="19">
        <v>0</v>
      </c>
      <c r="EJ501" s="19">
        <v>0</v>
      </c>
      <c r="EK501" s="19">
        <v>0</v>
      </c>
      <c r="EL501" s="19">
        <v>0</v>
      </c>
      <c r="EM501" s="19">
        <v>0</v>
      </c>
      <c r="EN501" s="19">
        <v>0</v>
      </c>
      <c r="EO501" s="19">
        <v>0</v>
      </c>
      <c r="EP501" s="19">
        <v>0</v>
      </c>
      <c r="EQ501" s="19">
        <v>0</v>
      </c>
      <c r="ER501" s="19">
        <v>0</v>
      </c>
      <c r="ES501" s="119">
        <v>0</v>
      </c>
      <c r="ET501" s="119">
        <v>0</v>
      </c>
    </row>
    <row r="502" spans="1:150" ht="16.5" customHeight="1" x14ac:dyDescent="0.35">
      <c r="A502" s="4">
        <v>218</v>
      </c>
      <c r="B502" s="4" t="str">
        <f>LOOKUP(A502,Lookup!$A$1:$A$34,Lookup!$B$1:$B$34)</f>
        <v>BUTCHERY SPICE</v>
      </c>
      <c r="C502" s="5">
        <v>61010</v>
      </c>
      <c r="D502" s="6" t="s">
        <v>478</v>
      </c>
      <c r="E502" s="18">
        <v>28.199197324414701</v>
      </c>
      <c r="F502" s="18">
        <v>3.246</v>
      </c>
      <c r="G502" s="18">
        <v>1832.94782608696</v>
      </c>
      <c r="H502" s="18">
        <v>211</v>
      </c>
      <c r="I502" s="19">
        <v>0</v>
      </c>
      <c r="J502" s="19">
        <v>0</v>
      </c>
      <c r="K502" s="19">
        <v>0</v>
      </c>
      <c r="L502" s="19">
        <v>0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78.182608695652206</v>
      </c>
      <c r="V502" s="19">
        <v>9</v>
      </c>
      <c r="W502" s="19">
        <v>43.434782608695699</v>
      </c>
      <c r="X502" s="19">
        <v>5</v>
      </c>
      <c r="Y502" s="19">
        <v>208.48695652173899</v>
      </c>
      <c r="Z502" s="19">
        <v>24</v>
      </c>
      <c r="AA502" s="19">
        <v>104.24347826087001</v>
      </c>
      <c r="AB502" s="19">
        <v>12</v>
      </c>
      <c r="AC502" s="19">
        <v>60.808695652173903</v>
      </c>
      <c r="AD502" s="19">
        <v>7</v>
      </c>
      <c r="AE502" s="19">
        <v>104.24347826087001</v>
      </c>
      <c r="AF502" s="19">
        <v>12</v>
      </c>
      <c r="AG502" s="19">
        <v>95.556521739130403</v>
      </c>
      <c r="AH502" s="19">
        <v>11</v>
      </c>
      <c r="AI502" s="19">
        <v>60.808695652173903</v>
      </c>
      <c r="AJ502" s="19">
        <v>7</v>
      </c>
      <c r="AK502" s="19">
        <v>34.747826086956501</v>
      </c>
      <c r="AL502" s="19">
        <v>4</v>
      </c>
      <c r="AM502" s="19">
        <v>69.495652173913001</v>
      </c>
      <c r="AN502" s="19">
        <v>8</v>
      </c>
      <c r="AO502" s="19">
        <v>69.495652173913001</v>
      </c>
      <c r="AP502" s="19">
        <v>8</v>
      </c>
      <c r="AQ502" s="19">
        <v>112.930434782609</v>
      </c>
      <c r="AR502" s="19">
        <v>13</v>
      </c>
      <c r="AS502" s="19">
        <v>43.434782608695699</v>
      </c>
      <c r="AT502" s="19">
        <v>5</v>
      </c>
      <c r="AU502" s="19">
        <v>0</v>
      </c>
      <c r="AV502" s="19">
        <v>0</v>
      </c>
      <c r="AW502" s="19">
        <v>69.495652173913001</v>
      </c>
      <c r="AX502" s="19">
        <v>8</v>
      </c>
      <c r="AY502" s="19">
        <v>17.3739130434783</v>
      </c>
      <c r="AZ502" s="19">
        <v>2</v>
      </c>
      <c r="BA502" s="19">
        <v>0</v>
      </c>
      <c r="BB502" s="19">
        <v>0</v>
      </c>
      <c r="BC502" s="19">
        <v>0</v>
      </c>
      <c r="BD502" s="19">
        <v>0</v>
      </c>
      <c r="BE502" s="19">
        <v>0</v>
      </c>
      <c r="BF502" s="19">
        <v>0</v>
      </c>
      <c r="BG502" s="19">
        <v>60.808695652173903</v>
      </c>
      <c r="BH502" s="19">
        <v>7</v>
      </c>
      <c r="BI502" s="19">
        <v>34.747826086956501</v>
      </c>
      <c r="BJ502" s="19">
        <v>4</v>
      </c>
      <c r="BK502" s="19">
        <v>43.434782608695699</v>
      </c>
      <c r="BL502" s="19">
        <v>5</v>
      </c>
      <c r="BM502" s="19">
        <v>26.060869565217399</v>
      </c>
      <c r="BN502" s="19">
        <v>3</v>
      </c>
      <c r="BO502" s="19">
        <v>26.060869565217399</v>
      </c>
      <c r="BP502" s="19">
        <v>3</v>
      </c>
      <c r="BQ502" s="19">
        <v>52.121739130434797</v>
      </c>
      <c r="BR502" s="19">
        <v>6</v>
      </c>
      <c r="BS502" s="19">
        <v>17.3739130434783</v>
      </c>
      <c r="BT502" s="19">
        <v>2</v>
      </c>
      <c r="BU502" s="19">
        <v>43.434782608695699</v>
      </c>
      <c r="BV502" s="19">
        <v>5</v>
      </c>
      <c r="BW502" s="19">
        <v>17.3739130434783</v>
      </c>
      <c r="BX502" s="19">
        <v>2</v>
      </c>
      <c r="BY502" s="19">
        <v>52.121739130434797</v>
      </c>
      <c r="BZ502" s="19">
        <v>6</v>
      </c>
      <c r="CA502" s="19">
        <v>43.434782608695699</v>
      </c>
      <c r="CB502" s="19">
        <v>5</v>
      </c>
      <c r="CC502" s="19">
        <v>60.808695652173903</v>
      </c>
      <c r="CD502" s="19">
        <v>7</v>
      </c>
      <c r="CE502" s="19">
        <v>43.434782608695699</v>
      </c>
      <c r="CF502" s="19">
        <v>5</v>
      </c>
      <c r="CG502" s="19">
        <v>86.869565217391298</v>
      </c>
      <c r="CH502" s="19">
        <v>10</v>
      </c>
      <c r="CI502" s="19">
        <v>34.747826086956501</v>
      </c>
      <c r="CJ502" s="19">
        <v>4</v>
      </c>
      <c r="CK502" s="19">
        <v>17.3739130434783</v>
      </c>
      <c r="CL502" s="19">
        <v>2</v>
      </c>
      <c r="CM502" s="19">
        <v>0</v>
      </c>
      <c r="CN502" s="19">
        <v>0</v>
      </c>
      <c r="CO502" s="19">
        <v>0</v>
      </c>
      <c r="CP502" s="19">
        <v>0</v>
      </c>
      <c r="CQ502" s="19">
        <v>0</v>
      </c>
      <c r="CR502" s="19">
        <v>0</v>
      </c>
      <c r="CS502" s="19">
        <v>0</v>
      </c>
      <c r="CT502" s="19">
        <v>0</v>
      </c>
      <c r="CU502" s="19">
        <v>0</v>
      </c>
      <c r="CV502" s="19">
        <v>0</v>
      </c>
      <c r="CW502" s="19">
        <v>0</v>
      </c>
      <c r="CX502" s="19">
        <v>0</v>
      </c>
      <c r="CY502" s="19">
        <v>0</v>
      </c>
      <c r="CZ502" s="19">
        <v>0</v>
      </c>
      <c r="DA502" s="19">
        <v>0</v>
      </c>
      <c r="DB502" s="19">
        <v>0</v>
      </c>
      <c r="DC502" s="19">
        <v>0</v>
      </c>
      <c r="DD502" s="19">
        <v>0</v>
      </c>
      <c r="DE502" s="19">
        <v>0</v>
      </c>
      <c r="DF502" s="19">
        <v>0</v>
      </c>
      <c r="DG502" s="19">
        <v>0</v>
      </c>
      <c r="DH502" s="19">
        <v>0</v>
      </c>
      <c r="DI502" s="19">
        <v>0</v>
      </c>
      <c r="DJ502" s="19">
        <v>0</v>
      </c>
      <c r="DK502" s="19">
        <v>0</v>
      </c>
      <c r="DL502" s="19">
        <v>0</v>
      </c>
      <c r="DM502" s="19">
        <v>0</v>
      </c>
      <c r="DN502" s="19">
        <v>0</v>
      </c>
      <c r="DO502" s="19">
        <v>0</v>
      </c>
      <c r="DP502" s="19">
        <v>0</v>
      </c>
      <c r="DQ502" s="19">
        <v>0</v>
      </c>
      <c r="DR502" s="19">
        <v>0</v>
      </c>
      <c r="DS502" s="19">
        <v>0</v>
      </c>
      <c r="DT502" s="19">
        <v>0</v>
      </c>
      <c r="DU502" s="19">
        <v>0</v>
      </c>
      <c r="DV502" s="19">
        <v>0</v>
      </c>
      <c r="DW502" s="19">
        <v>0</v>
      </c>
      <c r="DX502" s="19">
        <v>0</v>
      </c>
      <c r="DY502" s="19">
        <v>0</v>
      </c>
      <c r="DZ502" s="19">
        <v>0</v>
      </c>
      <c r="EA502" s="19">
        <v>0</v>
      </c>
      <c r="EB502" s="19">
        <v>0</v>
      </c>
      <c r="EC502" s="19">
        <v>0</v>
      </c>
      <c r="ED502" s="19">
        <v>0</v>
      </c>
      <c r="EE502" s="19">
        <v>0</v>
      </c>
      <c r="EF502" s="19">
        <v>0</v>
      </c>
      <c r="EG502" s="19">
        <v>0</v>
      </c>
      <c r="EH502" s="19">
        <v>0</v>
      </c>
      <c r="EI502" s="19">
        <v>0</v>
      </c>
      <c r="EJ502" s="19">
        <v>0</v>
      </c>
      <c r="EK502" s="19">
        <v>0</v>
      </c>
      <c r="EL502" s="19">
        <v>0</v>
      </c>
      <c r="EM502" s="19">
        <v>0</v>
      </c>
      <c r="EN502" s="19">
        <v>0</v>
      </c>
      <c r="EO502" s="19">
        <v>0</v>
      </c>
      <c r="EP502" s="19">
        <v>0</v>
      </c>
      <c r="EQ502" s="19">
        <v>0</v>
      </c>
      <c r="ER502" s="19">
        <v>0</v>
      </c>
      <c r="ES502" s="119">
        <v>0</v>
      </c>
      <c r="ET502" s="119">
        <v>0</v>
      </c>
    </row>
    <row r="503" spans="1:150" ht="16.5" customHeight="1" x14ac:dyDescent="0.35">
      <c r="A503" s="4">
        <v>218</v>
      </c>
      <c r="B503" s="4" t="str">
        <f>LOOKUP(A503,Lookup!$A$1:$A$34,Lookup!$B$1:$B$34)</f>
        <v>BUTCHERY SPICE</v>
      </c>
      <c r="C503" s="5">
        <v>61011</v>
      </c>
      <c r="D503" s="6" t="s">
        <v>479</v>
      </c>
      <c r="E503" s="18">
        <v>18.496722408026798</v>
      </c>
      <c r="F503" s="18">
        <v>0.56899999999999995</v>
      </c>
      <c r="G503" s="18">
        <v>1202.28695652174</v>
      </c>
      <c r="H503" s="18">
        <v>37</v>
      </c>
      <c r="I503" s="19">
        <v>0</v>
      </c>
      <c r="J503" s="19">
        <v>0</v>
      </c>
      <c r="K503" s="19">
        <v>0</v>
      </c>
      <c r="L503" s="19">
        <v>0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  <c r="U503" s="19">
        <v>112.147826086957</v>
      </c>
      <c r="V503" s="19">
        <v>3</v>
      </c>
      <c r="W503" s="19">
        <v>37.382608695652202</v>
      </c>
      <c r="X503" s="19">
        <v>1</v>
      </c>
      <c r="Y503" s="19">
        <v>0</v>
      </c>
      <c r="Z503" s="19">
        <v>0</v>
      </c>
      <c r="AA503" s="19">
        <v>37.382608695652202</v>
      </c>
      <c r="AB503" s="19">
        <v>1</v>
      </c>
      <c r="AC503" s="19">
        <v>37.382608695652202</v>
      </c>
      <c r="AD503" s="19">
        <v>1</v>
      </c>
      <c r="AE503" s="19">
        <v>0</v>
      </c>
      <c r="AF503" s="19">
        <v>0</v>
      </c>
      <c r="AG503" s="19">
        <v>37.382608695652202</v>
      </c>
      <c r="AH503" s="19">
        <v>1</v>
      </c>
      <c r="AI503" s="19">
        <v>0</v>
      </c>
      <c r="AJ503" s="19">
        <v>0</v>
      </c>
      <c r="AK503" s="19">
        <v>0</v>
      </c>
      <c r="AL503" s="19">
        <v>0</v>
      </c>
      <c r="AM503" s="19">
        <v>0</v>
      </c>
      <c r="AN503" s="19">
        <v>0</v>
      </c>
      <c r="AO503" s="19">
        <v>37.382608695652202</v>
      </c>
      <c r="AP503" s="19">
        <v>1</v>
      </c>
      <c r="AQ503" s="19">
        <v>74.765217391304304</v>
      </c>
      <c r="AR503" s="19">
        <v>2</v>
      </c>
      <c r="AS503" s="19">
        <v>0</v>
      </c>
      <c r="AT503" s="19">
        <v>0</v>
      </c>
      <c r="AU503" s="19">
        <v>0</v>
      </c>
      <c r="AV503" s="19">
        <v>0</v>
      </c>
      <c r="AW503" s="19">
        <v>112.147826086957</v>
      </c>
      <c r="AX503" s="19">
        <v>3</v>
      </c>
      <c r="AY503" s="19">
        <v>0</v>
      </c>
      <c r="AZ503" s="19">
        <v>0</v>
      </c>
      <c r="BA503" s="19">
        <v>37.382608695652202</v>
      </c>
      <c r="BB503" s="19">
        <v>1</v>
      </c>
      <c r="BC503" s="19">
        <v>0</v>
      </c>
      <c r="BD503" s="19">
        <v>0</v>
      </c>
      <c r="BE503" s="19">
        <v>74.765217391304304</v>
      </c>
      <c r="BF503" s="19">
        <v>2</v>
      </c>
      <c r="BG503" s="19">
        <v>0</v>
      </c>
      <c r="BH503" s="19">
        <v>0</v>
      </c>
      <c r="BI503" s="19">
        <v>0</v>
      </c>
      <c r="BJ503" s="19">
        <v>0</v>
      </c>
      <c r="BK503" s="19">
        <v>0</v>
      </c>
      <c r="BL503" s="19">
        <v>0</v>
      </c>
      <c r="BM503" s="19">
        <v>37.382608695652202</v>
      </c>
      <c r="BN503" s="19">
        <v>1</v>
      </c>
      <c r="BO503" s="19">
        <v>0</v>
      </c>
      <c r="BP503" s="19">
        <v>0</v>
      </c>
      <c r="BQ503" s="19">
        <v>0</v>
      </c>
      <c r="BR503" s="19">
        <v>0</v>
      </c>
      <c r="BS503" s="19">
        <v>0</v>
      </c>
      <c r="BT503" s="19">
        <v>0</v>
      </c>
      <c r="BU503" s="19">
        <v>0</v>
      </c>
      <c r="BV503" s="19">
        <v>0</v>
      </c>
      <c r="BW503" s="19">
        <v>37.382608695652202</v>
      </c>
      <c r="BX503" s="19">
        <v>1</v>
      </c>
      <c r="BY503" s="19">
        <v>0</v>
      </c>
      <c r="BZ503" s="19">
        <v>0</v>
      </c>
      <c r="CA503" s="19">
        <v>0</v>
      </c>
      <c r="CB503" s="19">
        <v>0</v>
      </c>
      <c r="CC503" s="19">
        <v>0</v>
      </c>
      <c r="CD503" s="19">
        <v>0</v>
      </c>
      <c r="CE503" s="19">
        <v>0</v>
      </c>
      <c r="CF503" s="19">
        <v>0</v>
      </c>
      <c r="CG503" s="19">
        <v>0</v>
      </c>
      <c r="CH503" s="19">
        <v>0</v>
      </c>
      <c r="CI503" s="19">
        <v>37.382608695652202</v>
      </c>
      <c r="CJ503" s="19">
        <v>1</v>
      </c>
      <c r="CK503" s="19">
        <v>0</v>
      </c>
      <c r="CL503" s="19">
        <v>0</v>
      </c>
      <c r="CM503" s="19">
        <v>37.382608695652202</v>
      </c>
      <c r="CN503" s="19">
        <v>1</v>
      </c>
      <c r="CO503" s="19">
        <v>37.382608695652202</v>
      </c>
      <c r="CP503" s="19">
        <v>1</v>
      </c>
      <c r="CQ503" s="19">
        <v>52.156521739130397</v>
      </c>
      <c r="CR503" s="19">
        <v>2</v>
      </c>
      <c r="CS503" s="19">
        <v>0</v>
      </c>
      <c r="CT503" s="19">
        <v>0</v>
      </c>
      <c r="CU503" s="19">
        <v>0</v>
      </c>
      <c r="CV503" s="19">
        <v>0</v>
      </c>
      <c r="CW503" s="19">
        <v>0</v>
      </c>
      <c r="CX503" s="19">
        <v>0</v>
      </c>
      <c r="CY503" s="19">
        <v>78.234782608695696</v>
      </c>
      <c r="CZ503" s="19">
        <v>3</v>
      </c>
      <c r="DA503" s="19">
        <v>104.31304347826099</v>
      </c>
      <c r="DB503" s="19">
        <v>4</v>
      </c>
      <c r="DC503" s="19">
        <v>26.078260869565199</v>
      </c>
      <c r="DD503" s="19">
        <v>1</v>
      </c>
      <c r="DE503" s="19">
        <v>26.078260869565199</v>
      </c>
      <c r="DF503" s="19">
        <v>1</v>
      </c>
      <c r="DG503" s="19">
        <v>0</v>
      </c>
      <c r="DH503" s="19">
        <v>0</v>
      </c>
      <c r="DI503" s="19">
        <v>0</v>
      </c>
      <c r="DJ503" s="19">
        <v>0</v>
      </c>
      <c r="DK503" s="19">
        <v>78.234782608695696</v>
      </c>
      <c r="DL503" s="19">
        <v>3</v>
      </c>
      <c r="DM503" s="19">
        <v>0</v>
      </c>
      <c r="DN503" s="19">
        <v>0</v>
      </c>
      <c r="DO503" s="19">
        <v>26.078260869565199</v>
      </c>
      <c r="DP503" s="19">
        <v>1</v>
      </c>
      <c r="DQ503" s="19">
        <v>26.078260869565199</v>
      </c>
      <c r="DR503" s="19">
        <v>1</v>
      </c>
      <c r="DS503" s="19">
        <v>0</v>
      </c>
      <c r="DT503" s="19">
        <v>0</v>
      </c>
      <c r="DU503" s="19">
        <v>0</v>
      </c>
      <c r="DV503" s="19">
        <v>0</v>
      </c>
      <c r="DW503" s="19">
        <v>0</v>
      </c>
      <c r="DX503" s="19">
        <v>0</v>
      </c>
      <c r="DY503" s="19">
        <v>0</v>
      </c>
      <c r="DZ503" s="19">
        <v>0</v>
      </c>
      <c r="EA503" s="19">
        <v>0</v>
      </c>
      <c r="EB503" s="19">
        <v>0</v>
      </c>
      <c r="EC503" s="19">
        <v>0</v>
      </c>
      <c r="ED503" s="19">
        <v>0</v>
      </c>
      <c r="EE503" s="19">
        <v>0</v>
      </c>
      <c r="EF503" s="19">
        <v>0</v>
      </c>
      <c r="EG503" s="19">
        <v>0</v>
      </c>
      <c r="EH503" s="19">
        <v>0</v>
      </c>
      <c r="EI503" s="19">
        <v>0</v>
      </c>
      <c r="EJ503" s="19">
        <v>0</v>
      </c>
      <c r="EK503" s="19">
        <v>0</v>
      </c>
      <c r="EL503" s="19">
        <v>0</v>
      </c>
      <c r="EM503" s="19">
        <v>0</v>
      </c>
      <c r="EN503" s="19">
        <v>0</v>
      </c>
      <c r="EO503" s="19">
        <v>0</v>
      </c>
      <c r="EP503" s="19">
        <v>0</v>
      </c>
      <c r="EQ503" s="19">
        <v>0</v>
      </c>
      <c r="ER503" s="19">
        <v>0</v>
      </c>
      <c r="ES503" s="119">
        <v>0</v>
      </c>
      <c r="ET503" s="119">
        <v>0</v>
      </c>
    </row>
    <row r="504" spans="1:150" ht="16.5" customHeight="1" x14ac:dyDescent="0.35">
      <c r="A504" s="4">
        <v>218</v>
      </c>
      <c r="B504" s="4" t="str">
        <f>LOOKUP(A504,Lookup!$A$1:$A$34,Lookup!$B$1:$B$34)</f>
        <v>BUTCHERY SPICE</v>
      </c>
      <c r="C504" s="5">
        <v>62144</v>
      </c>
      <c r="D504" s="6" t="s">
        <v>480</v>
      </c>
      <c r="E504" s="18">
        <v>0</v>
      </c>
      <c r="F504" s="18">
        <v>0</v>
      </c>
      <c r="G504" s="18">
        <v>0</v>
      </c>
      <c r="H504" s="18">
        <v>0</v>
      </c>
      <c r="I504" s="19">
        <v>0</v>
      </c>
      <c r="J504" s="19">
        <v>0</v>
      </c>
      <c r="K504" s="19">
        <v>0</v>
      </c>
      <c r="L504" s="19">
        <v>0</v>
      </c>
      <c r="M504" s="19">
        <v>0</v>
      </c>
      <c r="N504" s="19">
        <v>0</v>
      </c>
      <c r="O504" s="19">
        <v>0</v>
      </c>
      <c r="P504" s="19">
        <v>0</v>
      </c>
      <c r="Q504" s="19">
        <v>0</v>
      </c>
      <c r="R504" s="19">
        <v>0</v>
      </c>
      <c r="S504" s="19">
        <v>0</v>
      </c>
      <c r="T504" s="19">
        <v>0</v>
      </c>
      <c r="U504" s="19">
        <v>0</v>
      </c>
      <c r="V504" s="19">
        <v>0</v>
      </c>
      <c r="W504" s="19">
        <v>0</v>
      </c>
      <c r="X504" s="19">
        <v>0</v>
      </c>
      <c r="Y504" s="19">
        <v>0</v>
      </c>
      <c r="Z504" s="19">
        <v>0</v>
      </c>
      <c r="AA504" s="19">
        <v>0</v>
      </c>
      <c r="AB504" s="19">
        <v>0</v>
      </c>
      <c r="AC504" s="19">
        <v>0</v>
      </c>
      <c r="AD504" s="19">
        <v>0</v>
      </c>
      <c r="AE504" s="19">
        <v>0</v>
      </c>
      <c r="AF504" s="19">
        <v>0</v>
      </c>
      <c r="AG504" s="19">
        <v>0</v>
      </c>
      <c r="AH504" s="19">
        <v>0</v>
      </c>
      <c r="AI504" s="19">
        <v>0</v>
      </c>
      <c r="AJ504" s="19">
        <v>0</v>
      </c>
      <c r="AK504" s="19">
        <v>0</v>
      </c>
      <c r="AL504" s="19">
        <v>0</v>
      </c>
      <c r="AM504" s="19">
        <v>0</v>
      </c>
      <c r="AN504" s="19">
        <v>0</v>
      </c>
      <c r="AO504" s="19">
        <v>0</v>
      </c>
      <c r="AP504" s="19">
        <v>0</v>
      </c>
      <c r="AQ504" s="19">
        <v>0</v>
      </c>
      <c r="AR504" s="19">
        <v>0</v>
      </c>
      <c r="AS504" s="19">
        <v>0</v>
      </c>
      <c r="AT504" s="19">
        <v>0</v>
      </c>
      <c r="AU504" s="19">
        <v>0</v>
      </c>
      <c r="AV504" s="19">
        <v>0</v>
      </c>
      <c r="AW504" s="19">
        <v>0</v>
      </c>
      <c r="AX504" s="19">
        <v>0</v>
      </c>
      <c r="AY504" s="19">
        <v>0</v>
      </c>
      <c r="AZ504" s="19">
        <v>0</v>
      </c>
      <c r="BA504" s="19">
        <v>0</v>
      </c>
      <c r="BB504" s="19">
        <v>0</v>
      </c>
      <c r="BC504" s="19">
        <v>0</v>
      </c>
      <c r="BD504" s="19">
        <v>0</v>
      </c>
      <c r="BE504" s="19">
        <v>0</v>
      </c>
      <c r="BF504" s="19">
        <v>0</v>
      </c>
      <c r="BG504" s="19">
        <v>0</v>
      </c>
      <c r="BH504" s="19">
        <v>0</v>
      </c>
      <c r="BI504" s="19">
        <v>0</v>
      </c>
      <c r="BJ504" s="19">
        <v>0</v>
      </c>
      <c r="BK504" s="19">
        <v>0</v>
      </c>
      <c r="BL504" s="19">
        <v>0</v>
      </c>
      <c r="BM504" s="19">
        <v>0</v>
      </c>
      <c r="BN504" s="19">
        <v>0</v>
      </c>
      <c r="BO504" s="19">
        <v>0</v>
      </c>
      <c r="BP504" s="19">
        <v>0</v>
      </c>
      <c r="BQ504" s="19">
        <v>0</v>
      </c>
      <c r="BR504" s="19">
        <v>0</v>
      </c>
      <c r="BS504" s="19">
        <v>0</v>
      </c>
      <c r="BT504" s="19">
        <v>0</v>
      </c>
      <c r="BU504" s="19">
        <v>0</v>
      </c>
      <c r="BV504" s="19">
        <v>0</v>
      </c>
      <c r="BW504" s="19">
        <v>0</v>
      </c>
      <c r="BX504" s="19">
        <v>0</v>
      </c>
      <c r="BY504" s="19">
        <v>0</v>
      </c>
      <c r="BZ504" s="19">
        <v>0</v>
      </c>
      <c r="CA504" s="19">
        <v>0</v>
      </c>
      <c r="CB504" s="19">
        <v>0</v>
      </c>
      <c r="CC504" s="19">
        <v>0</v>
      </c>
      <c r="CD504" s="19">
        <v>0</v>
      </c>
      <c r="CE504" s="19">
        <v>0</v>
      </c>
      <c r="CF504" s="19">
        <v>0</v>
      </c>
      <c r="CG504" s="19">
        <v>0</v>
      </c>
      <c r="CH504" s="19">
        <v>0</v>
      </c>
      <c r="CI504" s="19">
        <v>0</v>
      </c>
      <c r="CJ504" s="19">
        <v>0</v>
      </c>
      <c r="CK504" s="19">
        <v>0</v>
      </c>
      <c r="CL504" s="19">
        <v>0</v>
      </c>
      <c r="CM504" s="19">
        <v>0</v>
      </c>
      <c r="CN504" s="19">
        <v>0</v>
      </c>
      <c r="CO504" s="19">
        <v>0</v>
      </c>
      <c r="CP504" s="19">
        <v>0</v>
      </c>
      <c r="CQ504" s="19">
        <v>0</v>
      </c>
      <c r="CR504" s="19">
        <v>0</v>
      </c>
      <c r="CS504" s="19">
        <v>0</v>
      </c>
      <c r="CT504" s="19">
        <v>0</v>
      </c>
      <c r="CU504" s="19">
        <v>0</v>
      </c>
      <c r="CV504" s="19">
        <v>0</v>
      </c>
      <c r="CW504" s="19">
        <v>0</v>
      </c>
      <c r="CX504" s="19">
        <v>0</v>
      </c>
      <c r="CY504" s="19">
        <v>0</v>
      </c>
      <c r="CZ504" s="19">
        <v>0</v>
      </c>
      <c r="DA504" s="19">
        <v>0</v>
      </c>
      <c r="DB504" s="19">
        <v>0</v>
      </c>
      <c r="DC504" s="19">
        <v>0</v>
      </c>
      <c r="DD504" s="19">
        <v>0</v>
      </c>
      <c r="DE504" s="19">
        <v>0</v>
      </c>
      <c r="DF504" s="19">
        <v>0</v>
      </c>
      <c r="DG504" s="19">
        <v>0</v>
      </c>
      <c r="DH504" s="19">
        <v>0</v>
      </c>
      <c r="DI504" s="19">
        <v>0</v>
      </c>
      <c r="DJ504" s="19">
        <v>0</v>
      </c>
      <c r="DK504" s="19">
        <v>0</v>
      </c>
      <c r="DL504" s="19">
        <v>0</v>
      </c>
      <c r="DM504" s="19">
        <v>0</v>
      </c>
      <c r="DN504" s="19">
        <v>0</v>
      </c>
      <c r="DO504" s="19">
        <v>0</v>
      </c>
      <c r="DP504" s="19">
        <v>0</v>
      </c>
      <c r="DQ504" s="19">
        <v>0</v>
      </c>
      <c r="DR504" s="19">
        <v>0</v>
      </c>
      <c r="DS504" s="19">
        <v>0</v>
      </c>
      <c r="DT504" s="19">
        <v>0</v>
      </c>
      <c r="DU504" s="19">
        <v>0</v>
      </c>
      <c r="DV504" s="19">
        <v>0</v>
      </c>
      <c r="DW504" s="19">
        <v>0</v>
      </c>
      <c r="DX504" s="19">
        <v>0</v>
      </c>
      <c r="DY504" s="19">
        <v>0</v>
      </c>
      <c r="DZ504" s="19">
        <v>0</v>
      </c>
      <c r="EA504" s="19">
        <v>0</v>
      </c>
      <c r="EB504" s="19">
        <v>0</v>
      </c>
      <c r="EC504" s="19">
        <v>0</v>
      </c>
      <c r="ED504" s="19">
        <v>0</v>
      </c>
      <c r="EE504" s="19">
        <v>0</v>
      </c>
      <c r="EF504" s="19">
        <v>0</v>
      </c>
      <c r="EG504" s="19">
        <v>0</v>
      </c>
      <c r="EH504" s="19">
        <v>0</v>
      </c>
      <c r="EI504" s="19">
        <v>0</v>
      </c>
      <c r="EJ504" s="19">
        <v>0</v>
      </c>
      <c r="EK504" s="19">
        <v>0</v>
      </c>
      <c r="EL504" s="19">
        <v>0</v>
      </c>
      <c r="EM504" s="19">
        <v>0</v>
      </c>
      <c r="EN504" s="19">
        <v>0</v>
      </c>
      <c r="EO504" s="19">
        <v>0</v>
      </c>
      <c r="EP504" s="19">
        <v>0</v>
      </c>
      <c r="EQ504" s="19">
        <v>0</v>
      </c>
      <c r="ER504" s="19">
        <v>0</v>
      </c>
      <c r="ES504" s="119">
        <v>0</v>
      </c>
      <c r="ET504" s="119">
        <v>0</v>
      </c>
    </row>
    <row r="505" spans="1:150" ht="16.5" customHeight="1" x14ac:dyDescent="0.35">
      <c r="A505" s="4">
        <v>218</v>
      </c>
      <c r="B505" s="4" t="str">
        <f>LOOKUP(A505,Lookup!$A$1:$A$34,Lookup!$B$1:$B$34)</f>
        <v>BUTCHERY SPICE</v>
      </c>
      <c r="C505" s="5">
        <v>62862</v>
      </c>
      <c r="D505" s="6" t="s">
        <v>481</v>
      </c>
      <c r="E505" s="18">
        <v>0</v>
      </c>
      <c r="F505" s="18">
        <v>0</v>
      </c>
      <c r="G505" s="18">
        <v>0</v>
      </c>
      <c r="H505" s="18">
        <v>0</v>
      </c>
      <c r="I505" s="19">
        <v>0</v>
      </c>
      <c r="J505" s="19">
        <v>0</v>
      </c>
      <c r="K505" s="19">
        <v>0</v>
      </c>
      <c r="L505" s="19">
        <v>0</v>
      </c>
      <c r="M505" s="19">
        <v>0</v>
      </c>
      <c r="N505" s="19">
        <v>0</v>
      </c>
      <c r="O505" s="19">
        <v>0</v>
      </c>
      <c r="P505" s="19">
        <v>0</v>
      </c>
      <c r="Q505" s="19">
        <v>0</v>
      </c>
      <c r="R505" s="19">
        <v>0</v>
      </c>
      <c r="S505" s="19">
        <v>0</v>
      </c>
      <c r="T505" s="19">
        <v>0</v>
      </c>
      <c r="U505" s="19">
        <v>0</v>
      </c>
      <c r="V505" s="19">
        <v>0</v>
      </c>
      <c r="W505" s="19">
        <v>0</v>
      </c>
      <c r="X505" s="19">
        <v>0</v>
      </c>
      <c r="Y505" s="19">
        <v>0</v>
      </c>
      <c r="Z505" s="19">
        <v>0</v>
      </c>
      <c r="AA505" s="19">
        <v>0</v>
      </c>
      <c r="AB505" s="19">
        <v>0</v>
      </c>
      <c r="AC505" s="19">
        <v>0</v>
      </c>
      <c r="AD505" s="19">
        <v>0</v>
      </c>
      <c r="AE505" s="19">
        <v>0</v>
      </c>
      <c r="AF505" s="19">
        <v>0</v>
      </c>
      <c r="AG505" s="19">
        <v>0</v>
      </c>
      <c r="AH505" s="19">
        <v>0</v>
      </c>
      <c r="AI505" s="19">
        <v>0</v>
      </c>
      <c r="AJ505" s="19">
        <v>0</v>
      </c>
      <c r="AK505" s="19">
        <v>0</v>
      </c>
      <c r="AL505" s="19">
        <v>0</v>
      </c>
      <c r="AM505" s="19">
        <v>0</v>
      </c>
      <c r="AN505" s="19">
        <v>0</v>
      </c>
      <c r="AO505" s="19">
        <v>0</v>
      </c>
      <c r="AP505" s="19">
        <v>0</v>
      </c>
      <c r="AQ505" s="19">
        <v>0</v>
      </c>
      <c r="AR505" s="19">
        <v>0</v>
      </c>
      <c r="AS505" s="19">
        <v>0</v>
      </c>
      <c r="AT505" s="19">
        <v>0</v>
      </c>
      <c r="AU505" s="19">
        <v>0</v>
      </c>
      <c r="AV505" s="19">
        <v>0</v>
      </c>
      <c r="AW505" s="19">
        <v>0</v>
      </c>
      <c r="AX505" s="19">
        <v>0</v>
      </c>
      <c r="AY505" s="19">
        <v>0</v>
      </c>
      <c r="AZ505" s="19">
        <v>0</v>
      </c>
      <c r="BA505" s="19">
        <v>0</v>
      </c>
      <c r="BB505" s="19">
        <v>0</v>
      </c>
      <c r="BC505" s="19">
        <v>0</v>
      </c>
      <c r="BD505" s="19">
        <v>0</v>
      </c>
      <c r="BE505" s="19">
        <v>0</v>
      </c>
      <c r="BF505" s="19">
        <v>0</v>
      </c>
      <c r="BG505" s="19">
        <v>0</v>
      </c>
      <c r="BH505" s="19">
        <v>0</v>
      </c>
      <c r="BI505" s="19">
        <v>0</v>
      </c>
      <c r="BJ505" s="19">
        <v>0</v>
      </c>
      <c r="BK505" s="19">
        <v>0</v>
      </c>
      <c r="BL505" s="19">
        <v>0</v>
      </c>
      <c r="BM505" s="19">
        <v>0</v>
      </c>
      <c r="BN505" s="19">
        <v>0</v>
      </c>
      <c r="BO505" s="19">
        <v>0</v>
      </c>
      <c r="BP505" s="19">
        <v>0</v>
      </c>
      <c r="BQ505" s="19">
        <v>0</v>
      </c>
      <c r="BR505" s="19">
        <v>0</v>
      </c>
      <c r="BS505" s="19">
        <v>0</v>
      </c>
      <c r="BT505" s="19">
        <v>0</v>
      </c>
      <c r="BU505" s="19">
        <v>0</v>
      </c>
      <c r="BV505" s="19">
        <v>0</v>
      </c>
      <c r="BW505" s="19">
        <v>0</v>
      </c>
      <c r="BX505" s="19">
        <v>0</v>
      </c>
      <c r="BY505" s="19">
        <v>0</v>
      </c>
      <c r="BZ505" s="19">
        <v>0</v>
      </c>
      <c r="CA505" s="19">
        <v>0</v>
      </c>
      <c r="CB505" s="19">
        <v>0</v>
      </c>
      <c r="CC505" s="19">
        <v>0</v>
      </c>
      <c r="CD505" s="19">
        <v>0</v>
      </c>
      <c r="CE505" s="19">
        <v>0</v>
      </c>
      <c r="CF505" s="19">
        <v>0</v>
      </c>
      <c r="CG505" s="19">
        <v>0</v>
      </c>
      <c r="CH505" s="19">
        <v>0</v>
      </c>
      <c r="CI505" s="19">
        <v>0</v>
      </c>
      <c r="CJ505" s="19">
        <v>0</v>
      </c>
      <c r="CK505" s="19">
        <v>0</v>
      </c>
      <c r="CL505" s="19">
        <v>0</v>
      </c>
      <c r="CM505" s="19">
        <v>0</v>
      </c>
      <c r="CN505" s="19">
        <v>0</v>
      </c>
      <c r="CO505" s="19">
        <v>0</v>
      </c>
      <c r="CP505" s="19">
        <v>0</v>
      </c>
      <c r="CQ505" s="19">
        <v>0</v>
      </c>
      <c r="CR505" s="19">
        <v>0</v>
      </c>
      <c r="CS505" s="19">
        <v>0</v>
      </c>
      <c r="CT505" s="19">
        <v>0</v>
      </c>
      <c r="CU505" s="19">
        <v>0</v>
      </c>
      <c r="CV505" s="19">
        <v>0</v>
      </c>
      <c r="CW505" s="19">
        <v>0</v>
      </c>
      <c r="CX505" s="19">
        <v>0</v>
      </c>
      <c r="CY505" s="19">
        <v>0</v>
      </c>
      <c r="CZ505" s="19">
        <v>0</v>
      </c>
      <c r="DA505" s="19">
        <v>0</v>
      </c>
      <c r="DB505" s="19">
        <v>0</v>
      </c>
      <c r="DC505" s="19">
        <v>0</v>
      </c>
      <c r="DD505" s="19">
        <v>0</v>
      </c>
      <c r="DE505" s="19">
        <v>0</v>
      </c>
      <c r="DF505" s="19">
        <v>0</v>
      </c>
      <c r="DG505" s="19">
        <v>0</v>
      </c>
      <c r="DH505" s="19">
        <v>0</v>
      </c>
      <c r="DI505" s="19">
        <v>0</v>
      </c>
      <c r="DJ505" s="19">
        <v>0</v>
      </c>
      <c r="DK505" s="19">
        <v>0</v>
      </c>
      <c r="DL505" s="19">
        <v>0</v>
      </c>
      <c r="DM505" s="19">
        <v>0</v>
      </c>
      <c r="DN505" s="19">
        <v>0</v>
      </c>
      <c r="DO505" s="19">
        <v>0</v>
      </c>
      <c r="DP505" s="19">
        <v>0</v>
      </c>
      <c r="DQ505" s="19">
        <v>0</v>
      </c>
      <c r="DR505" s="19">
        <v>0</v>
      </c>
      <c r="DS505" s="19">
        <v>0</v>
      </c>
      <c r="DT505" s="19">
        <v>0</v>
      </c>
      <c r="DU505" s="19">
        <v>0</v>
      </c>
      <c r="DV505" s="19">
        <v>0</v>
      </c>
      <c r="DW505" s="19">
        <v>0</v>
      </c>
      <c r="DX505" s="19">
        <v>0</v>
      </c>
      <c r="DY505" s="19">
        <v>0</v>
      </c>
      <c r="DZ505" s="19">
        <v>0</v>
      </c>
      <c r="EA505" s="19">
        <v>0</v>
      </c>
      <c r="EB505" s="19">
        <v>0</v>
      </c>
      <c r="EC505" s="19">
        <v>0</v>
      </c>
      <c r="ED505" s="19">
        <v>0</v>
      </c>
      <c r="EE505" s="19">
        <v>0</v>
      </c>
      <c r="EF505" s="19">
        <v>0</v>
      </c>
      <c r="EG505" s="19">
        <v>0</v>
      </c>
      <c r="EH505" s="19">
        <v>0</v>
      </c>
      <c r="EI505" s="19">
        <v>0</v>
      </c>
      <c r="EJ505" s="19">
        <v>0</v>
      </c>
      <c r="EK505" s="19">
        <v>0</v>
      </c>
      <c r="EL505" s="19">
        <v>0</v>
      </c>
      <c r="EM505" s="19">
        <v>0</v>
      </c>
      <c r="EN505" s="19">
        <v>0</v>
      </c>
      <c r="EO505" s="19">
        <v>0</v>
      </c>
      <c r="EP505" s="19">
        <v>0</v>
      </c>
      <c r="EQ505" s="19">
        <v>0</v>
      </c>
      <c r="ER505" s="19">
        <v>0</v>
      </c>
      <c r="ES505" s="119">
        <v>0</v>
      </c>
      <c r="ET505" s="119">
        <v>0</v>
      </c>
    </row>
    <row r="506" spans="1:150" ht="16.5" customHeight="1" x14ac:dyDescent="0.35">
      <c r="A506" s="4">
        <v>218</v>
      </c>
      <c r="B506" s="4" t="str">
        <f>LOOKUP(A506,Lookup!$A$1:$A$34,Lookup!$B$1:$B$34)</f>
        <v>BUTCHERY SPICE</v>
      </c>
      <c r="C506" s="5">
        <v>62863</v>
      </c>
      <c r="D506" s="6" t="s">
        <v>482</v>
      </c>
      <c r="E506" s="18">
        <v>0</v>
      </c>
      <c r="F506" s="18">
        <v>0</v>
      </c>
      <c r="G506" s="18">
        <v>0</v>
      </c>
      <c r="H506" s="18">
        <v>0</v>
      </c>
      <c r="I506" s="19">
        <v>0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0</v>
      </c>
      <c r="P506" s="19">
        <v>0</v>
      </c>
      <c r="Q506" s="19">
        <v>0</v>
      </c>
      <c r="R506" s="19">
        <v>0</v>
      </c>
      <c r="S506" s="19">
        <v>0</v>
      </c>
      <c r="T506" s="19">
        <v>0</v>
      </c>
      <c r="U506" s="19">
        <v>0</v>
      </c>
      <c r="V506" s="19">
        <v>0</v>
      </c>
      <c r="W506" s="19">
        <v>0</v>
      </c>
      <c r="X506" s="19">
        <v>0</v>
      </c>
      <c r="Y506" s="19">
        <v>0</v>
      </c>
      <c r="Z506" s="19">
        <v>0</v>
      </c>
      <c r="AA506" s="19">
        <v>0</v>
      </c>
      <c r="AB506" s="19">
        <v>0</v>
      </c>
      <c r="AC506" s="19">
        <v>0</v>
      </c>
      <c r="AD506" s="19">
        <v>0</v>
      </c>
      <c r="AE506" s="19">
        <v>0</v>
      </c>
      <c r="AF506" s="19">
        <v>0</v>
      </c>
      <c r="AG506" s="19">
        <v>0</v>
      </c>
      <c r="AH506" s="19">
        <v>0</v>
      </c>
      <c r="AI506" s="19">
        <v>0</v>
      </c>
      <c r="AJ506" s="19">
        <v>0</v>
      </c>
      <c r="AK506" s="19">
        <v>0</v>
      </c>
      <c r="AL506" s="19">
        <v>0</v>
      </c>
      <c r="AM506" s="19">
        <v>0</v>
      </c>
      <c r="AN506" s="19">
        <v>0</v>
      </c>
      <c r="AO506" s="19">
        <v>0</v>
      </c>
      <c r="AP506" s="19">
        <v>0</v>
      </c>
      <c r="AQ506" s="19">
        <v>0</v>
      </c>
      <c r="AR506" s="19">
        <v>0</v>
      </c>
      <c r="AS506" s="19">
        <v>0</v>
      </c>
      <c r="AT506" s="19">
        <v>0</v>
      </c>
      <c r="AU506" s="19">
        <v>0</v>
      </c>
      <c r="AV506" s="19">
        <v>0</v>
      </c>
      <c r="AW506" s="19">
        <v>0</v>
      </c>
      <c r="AX506" s="19">
        <v>0</v>
      </c>
      <c r="AY506" s="19">
        <v>0</v>
      </c>
      <c r="AZ506" s="19">
        <v>0</v>
      </c>
      <c r="BA506" s="19">
        <v>0</v>
      </c>
      <c r="BB506" s="19">
        <v>0</v>
      </c>
      <c r="BC506" s="19">
        <v>0</v>
      </c>
      <c r="BD506" s="19">
        <v>0</v>
      </c>
      <c r="BE506" s="19">
        <v>0</v>
      </c>
      <c r="BF506" s="19">
        <v>0</v>
      </c>
      <c r="BG506" s="19">
        <v>0</v>
      </c>
      <c r="BH506" s="19">
        <v>0</v>
      </c>
      <c r="BI506" s="19">
        <v>0</v>
      </c>
      <c r="BJ506" s="19">
        <v>0</v>
      </c>
      <c r="BK506" s="19">
        <v>0</v>
      </c>
      <c r="BL506" s="19">
        <v>0</v>
      </c>
      <c r="BM506" s="19">
        <v>0</v>
      </c>
      <c r="BN506" s="19">
        <v>0</v>
      </c>
      <c r="BO506" s="19">
        <v>0</v>
      </c>
      <c r="BP506" s="19">
        <v>0</v>
      </c>
      <c r="BQ506" s="19">
        <v>0</v>
      </c>
      <c r="BR506" s="19">
        <v>0</v>
      </c>
      <c r="BS506" s="19">
        <v>0</v>
      </c>
      <c r="BT506" s="19">
        <v>0</v>
      </c>
      <c r="BU506" s="19">
        <v>0</v>
      </c>
      <c r="BV506" s="19">
        <v>0</v>
      </c>
      <c r="BW506" s="19">
        <v>0</v>
      </c>
      <c r="BX506" s="19">
        <v>0</v>
      </c>
      <c r="BY506" s="19">
        <v>0</v>
      </c>
      <c r="BZ506" s="19">
        <v>0</v>
      </c>
      <c r="CA506" s="19">
        <v>0</v>
      </c>
      <c r="CB506" s="19">
        <v>0</v>
      </c>
      <c r="CC506" s="19">
        <v>0</v>
      </c>
      <c r="CD506" s="19">
        <v>0</v>
      </c>
      <c r="CE506" s="19">
        <v>0</v>
      </c>
      <c r="CF506" s="19">
        <v>0</v>
      </c>
      <c r="CG506" s="19">
        <v>0</v>
      </c>
      <c r="CH506" s="19">
        <v>0</v>
      </c>
      <c r="CI506" s="19">
        <v>0</v>
      </c>
      <c r="CJ506" s="19">
        <v>0</v>
      </c>
      <c r="CK506" s="19">
        <v>0</v>
      </c>
      <c r="CL506" s="19">
        <v>0</v>
      </c>
      <c r="CM506" s="19">
        <v>0</v>
      </c>
      <c r="CN506" s="19">
        <v>0</v>
      </c>
      <c r="CO506" s="19">
        <v>0</v>
      </c>
      <c r="CP506" s="19">
        <v>0</v>
      </c>
      <c r="CQ506" s="19">
        <v>0</v>
      </c>
      <c r="CR506" s="19">
        <v>0</v>
      </c>
      <c r="CS506" s="19">
        <v>0</v>
      </c>
      <c r="CT506" s="19">
        <v>0</v>
      </c>
      <c r="CU506" s="19">
        <v>0</v>
      </c>
      <c r="CV506" s="19">
        <v>0</v>
      </c>
      <c r="CW506" s="19">
        <v>0</v>
      </c>
      <c r="CX506" s="19">
        <v>0</v>
      </c>
      <c r="CY506" s="19">
        <v>0</v>
      </c>
      <c r="CZ506" s="19">
        <v>0</v>
      </c>
      <c r="DA506" s="19">
        <v>0</v>
      </c>
      <c r="DB506" s="19">
        <v>0</v>
      </c>
      <c r="DC506" s="19">
        <v>0</v>
      </c>
      <c r="DD506" s="19">
        <v>0</v>
      </c>
      <c r="DE506" s="19">
        <v>0</v>
      </c>
      <c r="DF506" s="19">
        <v>0</v>
      </c>
      <c r="DG506" s="19">
        <v>0</v>
      </c>
      <c r="DH506" s="19">
        <v>0</v>
      </c>
      <c r="DI506" s="19">
        <v>0</v>
      </c>
      <c r="DJ506" s="19">
        <v>0</v>
      </c>
      <c r="DK506" s="19">
        <v>0</v>
      </c>
      <c r="DL506" s="19">
        <v>0</v>
      </c>
      <c r="DM506" s="19">
        <v>0</v>
      </c>
      <c r="DN506" s="19">
        <v>0</v>
      </c>
      <c r="DO506" s="19">
        <v>0</v>
      </c>
      <c r="DP506" s="19">
        <v>0</v>
      </c>
      <c r="DQ506" s="19">
        <v>0</v>
      </c>
      <c r="DR506" s="19">
        <v>0</v>
      </c>
      <c r="DS506" s="19">
        <v>0</v>
      </c>
      <c r="DT506" s="19">
        <v>0</v>
      </c>
      <c r="DU506" s="19">
        <v>0</v>
      </c>
      <c r="DV506" s="19">
        <v>0</v>
      </c>
      <c r="DW506" s="19">
        <v>0</v>
      </c>
      <c r="DX506" s="19">
        <v>0</v>
      </c>
      <c r="DY506" s="19">
        <v>0</v>
      </c>
      <c r="DZ506" s="19">
        <v>0</v>
      </c>
      <c r="EA506" s="19">
        <v>0</v>
      </c>
      <c r="EB506" s="19">
        <v>0</v>
      </c>
      <c r="EC506" s="19">
        <v>0</v>
      </c>
      <c r="ED506" s="19">
        <v>0</v>
      </c>
      <c r="EE506" s="19">
        <v>0</v>
      </c>
      <c r="EF506" s="19">
        <v>0</v>
      </c>
      <c r="EG506" s="19">
        <v>0</v>
      </c>
      <c r="EH506" s="19">
        <v>0</v>
      </c>
      <c r="EI506" s="19">
        <v>0</v>
      </c>
      <c r="EJ506" s="19">
        <v>0</v>
      </c>
      <c r="EK506" s="19">
        <v>0</v>
      </c>
      <c r="EL506" s="19">
        <v>0</v>
      </c>
      <c r="EM506" s="19">
        <v>0</v>
      </c>
      <c r="EN506" s="19">
        <v>0</v>
      </c>
      <c r="EO506" s="19">
        <v>0</v>
      </c>
      <c r="EP506" s="19">
        <v>0</v>
      </c>
      <c r="EQ506" s="19">
        <v>0</v>
      </c>
      <c r="ER506" s="19">
        <v>0</v>
      </c>
      <c r="ES506" s="119">
        <v>0</v>
      </c>
      <c r="ET506" s="119">
        <v>0</v>
      </c>
    </row>
    <row r="507" spans="1:150" ht="16.5" customHeight="1" x14ac:dyDescent="0.35">
      <c r="A507" s="4">
        <v>218</v>
      </c>
      <c r="B507" s="4" t="str">
        <f>LOOKUP(A507,Lookup!$A$1:$A$34,Lookup!$B$1:$B$34)</f>
        <v>BUTCHERY SPICE</v>
      </c>
      <c r="C507" s="5">
        <v>64013</v>
      </c>
      <c r="D507" s="6" t="s">
        <v>483</v>
      </c>
      <c r="E507" s="18">
        <v>3.3183135704874802</v>
      </c>
      <c r="F507" s="18">
        <v>0.21199999999999999</v>
      </c>
      <c r="G507" s="18">
        <v>109.504347826087</v>
      </c>
      <c r="H507" s="18">
        <v>7</v>
      </c>
      <c r="I507" s="19">
        <v>0</v>
      </c>
      <c r="J507" s="19">
        <v>0</v>
      </c>
      <c r="K507" s="19">
        <v>0</v>
      </c>
      <c r="L507" s="19">
        <v>0</v>
      </c>
      <c r="M507" s="19">
        <v>0</v>
      </c>
      <c r="N507" s="19">
        <v>0</v>
      </c>
      <c r="O507" s="19">
        <v>0</v>
      </c>
      <c r="P507" s="19">
        <v>0</v>
      </c>
      <c r="Q507" s="19">
        <v>0</v>
      </c>
      <c r="R507" s="19">
        <v>0</v>
      </c>
      <c r="S507" s="19">
        <v>0</v>
      </c>
      <c r="T507" s="19">
        <v>0</v>
      </c>
      <c r="U507" s="19">
        <v>0</v>
      </c>
      <c r="V507" s="19">
        <v>0</v>
      </c>
      <c r="W507" s="19">
        <v>0</v>
      </c>
      <c r="X507" s="19">
        <v>0</v>
      </c>
      <c r="Y507" s="19">
        <v>0</v>
      </c>
      <c r="Z507" s="19">
        <v>0</v>
      </c>
      <c r="AA507" s="19">
        <v>0</v>
      </c>
      <c r="AB507" s="19">
        <v>0</v>
      </c>
      <c r="AC507" s="19">
        <v>0</v>
      </c>
      <c r="AD507" s="19">
        <v>0</v>
      </c>
      <c r="AE507" s="19">
        <v>0</v>
      </c>
      <c r="AF507" s="19">
        <v>0</v>
      </c>
      <c r="AG507" s="19">
        <v>0</v>
      </c>
      <c r="AH507" s="19">
        <v>0</v>
      </c>
      <c r="AI507" s="19">
        <v>0</v>
      </c>
      <c r="AJ507" s="19">
        <v>0</v>
      </c>
      <c r="AK507" s="19">
        <v>0</v>
      </c>
      <c r="AL507" s="19">
        <v>0</v>
      </c>
      <c r="AM507" s="19">
        <v>0</v>
      </c>
      <c r="AN507" s="19">
        <v>0</v>
      </c>
      <c r="AO507" s="19">
        <v>0</v>
      </c>
      <c r="AP507" s="19">
        <v>0</v>
      </c>
      <c r="AQ507" s="19">
        <v>0</v>
      </c>
      <c r="AR507" s="19">
        <v>0</v>
      </c>
      <c r="AS507" s="19">
        <v>0</v>
      </c>
      <c r="AT507" s="19">
        <v>0</v>
      </c>
      <c r="AU507" s="19">
        <v>0</v>
      </c>
      <c r="AV507" s="19">
        <v>0</v>
      </c>
      <c r="AW507" s="19">
        <v>0</v>
      </c>
      <c r="AX507" s="19">
        <v>0</v>
      </c>
      <c r="AY507" s="19">
        <v>0</v>
      </c>
      <c r="AZ507" s="19">
        <v>0</v>
      </c>
      <c r="BA507" s="19">
        <v>0</v>
      </c>
      <c r="BB507" s="19">
        <v>0</v>
      </c>
      <c r="BC507" s="19">
        <v>0</v>
      </c>
      <c r="BD507" s="19">
        <v>0</v>
      </c>
      <c r="BE507" s="19">
        <v>0</v>
      </c>
      <c r="BF507" s="19">
        <v>0</v>
      </c>
      <c r="BG507" s="19">
        <v>0</v>
      </c>
      <c r="BH507" s="19">
        <v>0</v>
      </c>
      <c r="BI507" s="19">
        <v>0</v>
      </c>
      <c r="BJ507" s="19">
        <v>0</v>
      </c>
      <c r="BK507" s="19">
        <v>0</v>
      </c>
      <c r="BL507" s="19">
        <v>0</v>
      </c>
      <c r="BM507" s="19">
        <v>0</v>
      </c>
      <c r="BN507" s="19">
        <v>0</v>
      </c>
      <c r="BO507" s="19">
        <v>0</v>
      </c>
      <c r="BP507" s="19">
        <v>0</v>
      </c>
      <c r="BQ507" s="19">
        <v>0</v>
      </c>
      <c r="BR507" s="19">
        <v>0</v>
      </c>
      <c r="BS507" s="19">
        <v>0</v>
      </c>
      <c r="BT507" s="19">
        <v>0</v>
      </c>
      <c r="BU507" s="19">
        <v>0</v>
      </c>
      <c r="BV507" s="19">
        <v>0</v>
      </c>
      <c r="BW507" s="19">
        <v>0</v>
      </c>
      <c r="BX507" s="19">
        <v>0</v>
      </c>
      <c r="BY507" s="19">
        <v>0</v>
      </c>
      <c r="BZ507" s="19">
        <v>0</v>
      </c>
      <c r="CA507" s="19">
        <v>0</v>
      </c>
      <c r="CB507" s="19">
        <v>0</v>
      </c>
      <c r="CC507" s="19">
        <v>0</v>
      </c>
      <c r="CD507" s="19">
        <v>0</v>
      </c>
      <c r="CE507" s="19">
        <v>0</v>
      </c>
      <c r="CF507" s="19">
        <v>0</v>
      </c>
      <c r="CG507" s="19">
        <v>0</v>
      </c>
      <c r="CH507" s="19">
        <v>0</v>
      </c>
      <c r="CI507" s="19">
        <v>0</v>
      </c>
      <c r="CJ507" s="19">
        <v>0</v>
      </c>
      <c r="CK507" s="19">
        <v>0</v>
      </c>
      <c r="CL507" s="19">
        <v>0</v>
      </c>
      <c r="CM507" s="19">
        <v>0</v>
      </c>
      <c r="CN507" s="19">
        <v>0</v>
      </c>
      <c r="CO507" s="19">
        <v>46.9304347826087</v>
      </c>
      <c r="CP507" s="19">
        <v>3</v>
      </c>
      <c r="CQ507" s="19">
        <v>0</v>
      </c>
      <c r="CR507" s="19">
        <v>0</v>
      </c>
      <c r="CS507" s="19">
        <v>31.2869565217391</v>
      </c>
      <c r="CT507" s="19">
        <v>2</v>
      </c>
      <c r="CU507" s="19">
        <v>0</v>
      </c>
      <c r="CV507" s="19">
        <v>0</v>
      </c>
      <c r="CW507" s="19">
        <v>15.6434782608696</v>
      </c>
      <c r="CX507" s="19">
        <v>1</v>
      </c>
      <c r="CY507" s="19">
        <v>15.6434782608696</v>
      </c>
      <c r="CZ507" s="19">
        <v>1</v>
      </c>
      <c r="DA507" s="19">
        <v>0</v>
      </c>
      <c r="DB507" s="19">
        <v>0</v>
      </c>
      <c r="DC507" s="19">
        <v>0</v>
      </c>
      <c r="DD507" s="19">
        <v>0</v>
      </c>
      <c r="DE507" s="19">
        <v>0</v>
      </c>
      <c r="DF507" s="19">
        <v>0</v>
      </c>
      <c r="DG507" s="19">
        <v>0</v>
      </c>
      <c r="DH507" s="19">
        <v>0</v>
      </c>
      <c r="DI507" s="19">
        <v>0</v>
      </c>
      <c r="DJ507" s="19">
        <v>0</v>
      </c>
      <c r="DK507" s="19">
        <v>0</v>
      </c>
      <c r="DL507" s="19">
        <v>0</v>
      </c>
      <c r="DM507" s="19">
        <v>0</v>
      </c>
      <c r="DN507" s="19">
        <v>0</v>
      </c>
      <c r="DO507" s="19">
        <v>0</v>
      </c>
      <c r="DP507" s="19">
        <v>0</v>
      </c>
      <c r="DQ507" s="19">
        <v>0</v>
      </c>
      <c r="DR507" s="19">
        <v>0</v>
      </c>
      <c r="DS507" s="19">
        <v>0</v>
      </c>
      <c r="DT507" s="19">
        <v>0</v>
      </c>
      <c r="DU507" s="19">
        <v>0</v>
      </c>
      <c r="DV507" s="19">
        <v>0</v>
      </c>
      <c r="DW507" s="19">
        <v>0</v>
      </c>
      <c r="DX507" s="19">
        <v>0</v>
      </c>
      <c r="DY507" s="19">
        <v>0</v>
      </c>
      <c r="DZ507" s="19">
        <v>0</v>
      </c>
      <c r="EA507" s="19">
        <v>0</v>
      </c>
      <c r="EB507" s="19">
        <v>0</v>
      </c>
      <c r="EC507" s="19">
        <v>0</v>
      </c>
      <c r="ED507" s="19">
        <v>0</v>
      </c>
      <c r="EE507" s="19">
        <v>0</v>
      </c>
      <c r="EF507" s="19">
        <v>0</v>
      </c>
      <c r="EG507" s="19">
        <v>0</v>
      </c>
      <c r="EH507" s="19">
        <v>0</v>
      </c>
      <c r="EI507" s="19">
        <v>0</v>
      </c>
      <c r="EJ507" s="19">
        <v>0</v>
      </c>
      <c r="EK507" s="19">
        <v>0</v>
      </c>
      <c r="EL507" s="19">
        <v>0</v>
      </c>
      <c r="EM507" s="19">
        <v>0</v>
      </c>
      <c r="EN507" s="19">
        <v>0</v>
      </c>
      <c r="EO507" s="19">
        <v>0</v>
      </c>
      <c r="EP507" s="19">
        <v>0</v>
      </c>
      <c r="EQ507" s="19">
        <v>0</v>
      </c>
      <c r="ER507" s="19">
        <v>0</v>
      </c>
      <c r="ES507" s="119">
        <v>0</v>
      </c>
      <c r="ET507" s="119">
        <v>0</v>
      </c>
    </row>
    <row r="508" spans="1:150" ht="16.5" customHeight="1" x14ac:dyDescent="0.35">
      <c r="A508" s="4">
        <v>218</v>
      </c>
      <c r="B508" s="4" t="str">
        <f>LOOKUP(A508,Lookup!$A$1:$A$34,Lookup!$B$1:$B$34)</f>
        <v>BUTCHERY SPICE</v>
      </c>
      <c r="C508" s="5">
        <v>64640</v>
      </c>
      <c r="D508" s="6" t="s">
        <v>340</v>
      </c>
      <c r="E508" s="18">
        <v>0</v>
      </c>
      <c r="F508" s="18">
        <v>0</v>
      </c>
      <c r="G508" s="18">
        <v>0</v>
      </c>
      <c r="H508" s="18">
        <v>0</v>
      </c>
      <c r="I508" s="19">
        <v>0</v>
      </c>
      <c r="J508" s="19">
        <v>0</v>
      </c>
      <c r="K508" s="19">
        <v>0</v>
      </c>
      <c r="L508" s="19">
        <v>0</v>
      </c>
      <c r="M508" s="19">
        <v>0</v>
      </c>
      <c r="N508" s="19">
        <v>0</v>
      </c>
      <c r="O508" s="19">
        <v>0</v>
      </c>
      <c r="P508" s="19">
        <v>0</v>
      </c>
      <c r="Q508" s="19">
        <v>0</v>
      </c>
      <c r="R508" s="19">
        <v>0</v>
      </c>
      <c r="S508" s="19">
        <v>0</v>
      </c>
      <c r="T508" s="19">
        <v>0</v>
      </c>
      <c r="U508" s="19">
        <v>0</v>
      </c>
      <c r="V508" s="19">
        <v>0</v>
      </c>
      <c r="W508" s="19">
        <v>0</v>
      </c>
      <c r="X508" s="19">
        <v>0</v>
      </c>
      <c r="Y508" s="19">
        <v>0</v>
      </c>
      <c r="Z508" s="19">
        <v>0</v>
      </c>
      <c r="AA508" s="19">
        <v>0</v>
      </c>
      <c r="AB508" s="19">
        <v>0</v>
      </c>
      <c r="AC508" s="19">
        <v>0</v>
      </c>
      <c r="AD508" s="19">
        <v>0</v>
      </c>
      <c r="AE508" s="19">
        <v>0</v>
      </c>
      <c r="AF508" s="19">
        <v>0</v>
      </c>
      <c r="AG508" s="19">
        <v>0</v>
      </c>
      <c r="AH508" s="19">
        <v>0</v>
      </c>
      <c r="AI508" s="19">
        <v>0</v>
      </c>
      <c r="AJ508" s="19">
        <v>0</v>
      </c>
      <c r="AK508" s="19">
        <v>0</v>
      </c>
      <c r="AL508" s="19">
        <v>0</v>
      </c>
      <c r="AM508" s="19">
        <v>0</v>
      </c>
      <c r="AN508" s="19">
        <v>0</v>
      </c>
      <c r="AO508" s="19">
        <v>0</v>
      </c>
      <c r="AP508" s="19">
        <v>0</v>
      </c>
      <c r="AQ508" s="19">
        <v>0</v>
      </c>
      <c r="AR508" s="19">
        <v>0</v>
      </c>
      <c r="AS508" s="19">
        <v>0</v>
      </c>
      <c r="AT508" s="19">
        <v>0</v>
      </c>
      <c r="AU508" s="19">
        <v>0</v>
      </c>
      <c r="AV508" s="19">
        <v>0</v>
      </c>
      <c r="AW508" s="19">
        <v>0</v>
      </c>
      <c r="AX508" s="19">
        <v>0</v>
      </c>
      <c r="AY508" s="19">
        <v>0</v>
      </c>
      <c r="AZ508" s="19">
        <v>0</v>
      </c>
      <c r="BA508" s="19">
        <v>0</v>
      </c>
      <c r="BB508" s="19">
        <v>0</v>
      </c>
      <c r="BC508" s="19">
        <v>0</v>
      </c>
      <c r="BD508" s="19">
        <v>0</v>
      </c>
      <c r="BE508" s="19">
        <v>0</v>
      </c>
      <c r="BF508" s="19">
        <v>0</v>
      </c>
      <c r="BG508" s="19">
        <v>0</v>
      </c>
      <c r="BH508" s="19">
        <v>0</v>
      </c>
      <c r="BI508" s="19">
        <v>0</v>
      </c>
      <c r="BJ508" s="19">
        <v>0</v>
      </c>
      <c r="BK508" s="19">
        <v>0</v>
      </c>
      <c r="BL508" s="19">
        <v>0</v>
      </c>
      <c r="BM508" s="19">
        <v>0</v>
      </c>
      <c r="BN508" s="19">
        <v>0</v>
      </c>
      <c r="BO508" s="19">
        <v>0</v>
      </c>
      <c r="BP508" s="19">
        <v>0</v>
      </c>
      <c r="BQ508" s="19">
        <v>0</v>
      </c>
      <c r="BR508" s="19">
        <v>0</v>
      </c>
      <c r="BS508" s="19">
        <v>0</v>
      </c>
      <c r="BT508" s="19">
        <v>0</v>
      </c>
      <c r="BU508" s="19">
        <v>0</v>
      </c>
      <c r="BV508" s="19">
        <v>0</v>
      </c>
      <c r="BW508" s="19">
        <v>0</v>
      </c>
      <c r="BX508" s="19">
        <v>0</v>
      </c>
      <c r="BY508" s="19">
        <v>0</v>
      </c>
      <c r="BZ508" s="19">
        <v>0</v>
      </c>
      <c r="CA508" s="19">
        <v>0</v>
      </c>
      <c r="CB508" s="19">
        <v>0</v>
      </c>
      <c r="CC508" s="19">
        <v>0</v>
      </c>
      <c r="CD508" s="19">
        <v>0</v>
      </c>
      <c r="CE508" s="19">
        <v>0</v>
      </c>
      <c r="CF508" s="19">
        <v>0</v>
      </c>
      <c r="CG508" s="19">
        <v>0</v>
      </c>
      <c r="CH508" s="19">
        <v>0</v>
      </c>
      <c r="CI508" s="19">
        <v>0</v>
      </c>
      <c r="CJ508" s="19">
        <v>0</v>
      </c>
      <c r="CK508" s="19">
        <v>0</v>
      </c>
      <c r="CL508" s="19">
        <v>0</v>
      </c>
      <c r="CM508" s="19">
        <v>0</v>
      </c>
      <c r="CN508" s="19">
        <v>0</v>
      </c>
      <c r="CO508" s="19">
        <v>0</v>
      </c>
      <c r="CP508" s="19">
        <v>0</v>
      </c>
      <c r="CQ508" s="19">
        <v>0</v>
      </c>
      <c r="CR508" s="19">
        <v>0</v>
      </c>
      <c r="CS508" s="19">
        <v>0</v>
      </c>
      <c r="CT508" s="19">
        <v>0</v>
      </c>
      <c r="CU508" s="19">
        <v>0</v>
      </c>
      <c r="CV508" s="19">
        <v>0</v>
      </c>
      <c r="CW508" s="19">
        <v>0</v>
      </c>
      <c r="CX508" s="19">
        <v>0</v>
      </c>
      <c r="CY508" s="19">
        <v>0</v>
      </c>
      <c r="CZ508" s="19">
        <v>0</v>
      </c>
      <c r="DA508" s="19">
        <v>0</v>
      </c>
      <c r="DB508" s="19">
        <v>0</v>
      </c>
      <c r="DC508" s="19">
        <v>0</v>
      </c>
      <c r="DD508" s="19">
        <v>0</v>
      </c>
      <c r="DE508" s="19">
        <v>0</v>
      </c>
      <c r="DF508" s="19">
        <v>0</v>
      </c>
      <c r="DG508" s="19">
        <v>0</v>
      </c>
      <c r="DH508" s="19">
        <v>0</v>
      </c>
      <c r="DI508" s="19">
        <v>0</v>
      </c>
      <c r="DJ508" s="19">
        <v>0</v>
      </c>
      <c r="DK508" s="19">
        <v>0</v>
      </c>
      <c r="DL508" s="19">
        <v>0</v>
      </c>
      <c r="DM508" s="19">
        <v>0</v>
      </c>
      <c r="DN508" s="19">
        <v>0</v>
      </c>
      <c r="DO508" s="19">
        <v>0</v>
      </c>
      <c r="DP508" s="19">
        <v>0</v>
      </c>
      <c r="DQ508" s="19">
        <v>0</v>
      </c>
      <c r="DR508" s="19">
        <v>0</v>
      </c>
      <c r="DS508" s="19">
        <v>0</v>
      </c>
      <c r="DT508" s="19">
        <v>0</v>
      </c>
      <c r="DU508" s="19">
        <v>0</v>
      </c>
      <c r="DV508" s="19">
        <v>0</v>
      </c>
      <c r="DW508" s="19">
        <v>0</v>
      </c>
      <c r="DX508" s="19">
        <v>0</v>
      </c>
      <c r="DY508" s="19">
        <v>0</v>
      </c>
      <c r="DZ508" s="19">
        <v>0</v>
      </c>
      <c r="EA508" s="19">
        <v>0</v>
      </c>
      <c r="EB508" s="19">
        <v>0</v>
      </c>
      <c r="EC508" s="19">
        <v>0</v>
      </c>
      <c r="ED508" s="19">
        <v>0</v>
      </c>
      <c r="EE508" s="19">
        <v>0</v>
      </c>
      <c r="EF508" s="19">
        <v>0</v>
      </c>
      <c r="EG508" s="19">
        <v>0</v>
      </c>
      <c r="EH508" s="19">
        <v>0</v>
      </c>
      <c r="EI508" s="19">
        <v>0</v>
      </c>
      <c r="EJ508" s="19">
        <v>0</v>
      </c>
      <c r="EK508" s="19">
        <v>0</v>
      </c>
      <c r="EL508" s="19">
        <v>0</v>
      </c>
      <c r="EM508" s="19">
        <v>0</v>
      </c>
      <c r="EN508" s="19">
        <v>0</v>
      </c>
      <c r="EO508" s="19">
        <v>0</v>
      </c>
      <c r="EP508" s="19">
        <v>0</v>
      </c>
      <c r="EQ508" s="19">
        <v>0</v>
      </c>
      <c r="ER508" s="19">
        <v>0</v>
      </c>
      <c r="ES508" s="119">
        <v>0</v>
      </c>
      <c r="ET508" s="119">
        <v>0</v>
      </c>
    </row>
    <row r="509" spans="1:150" ht="16.5" customHeight="1" x14ac:dyDescent="0.35">
      <c r="A509" s="4">
        <v>218</v>
      </c>
      <c r="B509" s="4" t="str">
        <f>LOOKUP(A509,Lookup!$A$1:$A$34,Lookup!$B$1:$B$34)</f>
        <v>BUTCHERY SPICE</v>
      </c>
      <c r="C509" s="5">
        <v>64641</v>
      </c>
      <c r="D509" s="6" t="s">
        <v>342</v>
      </c>
      <c r="E509" s="18">
        <v>3.3043478260869601</v>
      </c>
      <c r="F509" s="18">
        <v>1.9E-2</v>
      </c>
      <c r="G509" s="18">
        <v>85.913043478260903</v>
      </c>
      <c r="H509" s="18">
        <v>0.49399999999999999</v>
      </c>
      <c r="I509" s="19">
        <v>0</v>
      </c>
      <c r="J509" s="19">
        <v>0</v>
      </c>
      <c r="K509" s="19">
        <v>0</v>
      </c>
      <c r="L509" s="19">
        <v>0</v>
      </c>
      <c r="M509" s="19">
        <v>0</v>
      </c>
      <c r="N509" s="19">
        <v>0</v>
      </c>
      <c r="O509" s="19">
        <v>0</v>
      </c>
      <c r="P509" s="19">
        <v>0</v>
      </c>
      <c r="Q509" s="19">
        <v>0</v>
      </c>
      <c r="R509" s="19">
        <v>0</v>
      </c>
      <c r="S509" s="19">
        <v>0</v>
      </c>
      <c r="T509" s="19">
        <v>0</v>
      </c>
      <c r="U509" s="19">
        <v>0</v>
      </c>
      <c r="V509" s="19">
        <v>0</v>
      </c>
      <c r="W509" s="19">
        <v>0</v>
      </c>
      <c r="X509" s="19">
        <v>0</v>
      </c>
      <c r="Y509" s="19">
        <v>0</v>
      </c>
      <c r="Z509" s="19">
        <v>0</v>
      </c>
      <c r="AA509" s="19">
        <v>0</v>
      </c>
      <c r="AB509" s="19">
        <v>0</v>
      </c>
      <c r="AC509" s="19">
        <v>0</v>
      </c>
      <c r="AD509" s="19">
        <v>0</v>
      </c>
      <c r="AE509" s="19">
        <v>0</v>
      </c>
      <c r="AF509" s="19">
        <v>0</v>
      </c>
      <c r="AG509" s="19">
        <v>0</v>
      </c>
      <c r="AH509" s="19">
        <v>0</v>
      </c>
      <c r="AI509" s="19">
        <v>0</v>
      </c>
      <c r="AJ509" s="19">
        <v>0</v>
      </c>
      <c r="AK509" s="19">
        <v>0</v>
      </c>
      <c r="AL509" s="19">
        <v>0</v>
      </c>
      <c r="AM509" s="19">
        <v>0</v>
      </c>
      <c r="AN509" s="19">
        <v>0</v>
      </c>
      <c r="AO509" s="19">
        <v>0</v>
      </c>
      <c r="AP509" s="19">
        <v>0</v>
      </c>
      <c r="AQ509" s="19">
        <v>0</v>
      </c>
      <c r="AR509" s="19">
        <v>0</v>
      </c>
      <c r="AS509" s="19">
        <v>0</v>
      </c>
      <c r="AT509" s="19">
        <v>0</v>
      </c>
      <c r="AU509" s="19">
        <v>0</v>
      </c>
      <c r="AV509" s="19">
        <v>0</v>
      </c>
      <c r="AW509" s="19">
        <v>0</v>
      </c>
      <c r="AX509" s="19">
        <v>0</v>
      </c>
      <c r="AY509" s="19">
        <v>0</v>
      </c>
      <c r="AZ509" s="19">
        <v>0</v>
      </c>
      <c r="BA509" s="19">
        <v>0</v>
      </c>
      <c r="BB509" s="19">
        <v>0</v>
      </c>
      <c r="BC509" s="19">
        <v>0</v>
      </c>
      <c r="BD509" s="19">
        <v>0</v>
      </c>
      <c r="BE509" s="19">
        <v>0</v>
      </c>
      <c r="BF509" s="19">
        <v>0</v>
      </c>
      <c r="BG509" s="19">
        <v>0</v>
      </c>
      <c r="BH509" s="19">
        <v>0</v>
      </c>
      <c r="BI509" s="19">
        <v>0</v>
      </c>
      <c r="BJ509" s="19">
        <v>0</v>
      </c>
      <c r="BK509" s="19">
        <v>0</v>
      </c>
      <c r="BL509" s="19">
        <v>0</v>
      </c>
      <c r="BM509" s="19">
        <v>0</v>
      </c>
      <c r="BN509" s="19">
        <v>0</v>
      </c>
      <c r="BO509" s="19">
        <v>0</v>
      </c>
      <c r="BP509" s="19">
        <v>0</v>
      </c>
      <c r="BQ509" s="19">
        <v>0</v>
      </c>
      <c r="BR509" s="19">
        <v>0</v>
      </c>
      <c r="BS509" s="19">
        <v>0</v>
      </c>
      <c r="BT509" s="19">
        <v>0</v>
      </c>
      <c r="BU509" s="19">
        <v>0</v>
      </c>
      <c r="BV509" s="19">
        <v>0</v>
      </c>
      <c r="BW509" s="19">
        <v>0</v>
      </c>
      <c r="BX509" s="19">
        <v>0</v>
      </c>
      <c r="BY509" s="19">
        <v>0</v>
      </c>
      <c r="BZ509" s="19">
        <v>0</v>
      </c>
      <c r="CA509" s="19">
        <v>0</v>
      </c>
      <c r="CB509" s="19">
        <v>0</v>
      </c>
      <c r="CC509" s="19">
        <v>0</v>
      </c>
      <c r="CD509" s="19">
        <v>0</v>
      </c>
      <c r="CE509" s="19">
        <v>0</v>
      </c>
      <c r="CF509" s="19">
        <v>0</v>
      </c>
      <c r="CG509" s="19">
        <v>0</v>
      </c>
      <c r="CH509" s="19">
        <v>0</v>
      </c>
      <c r="CI509" s="19">
        <v>0</v>
      </c>
      <c r="CJ509" s="19">
        <v>0</v>
      </c>
      <c r="CK509" s="19">
        <v>0</v>
      </c>
      <c r="CL509" s="19">
        <v>0</v>
      </c>
      <c r="CM509" s="19">
        <v>0</v>
      </c>
      <c r="CN509" s="19">
        <v>0</v>
      </c>
      <c r="CO509" s="19">
        <v>0</v>
      </c>
      <c r="CP509" s="19">
        <v>0</v>
      </c>
      <c r="CQ509" s="19">
        <v>0</v>
      </c>
      <c r="CR509" s="19">
        <v>0</v>
      </c>
      <c r="CS509" s="19">
        <v>0</v>
      </c>
      <c r="CT509" s="19">
        <v>0</v>
      </c>
      <c r="CU509" s="19">
        <v>0</v>
      </c>
      <c r="CV509" s="19">
        <v>0</v>
      </c>
      <c r="CW509" s="19">
        <v>8.3478260869565197</v>
      </c>
      <c r="CX509" s="19">
        <v>4.8000000000000001E-2</v>
      </c>
      <c r="CY509" s="19">
        <v>0</v>
      </c>
      <c r="CZ509" s="19">
        <v>0</v>
      </c>
      <c r="DA509" s="19">
        <v>37.565217391304401</v>
      </c>
      <c r="DB509" s="19">
        <v>0.216</v>
      </c>
      <c r="DC509" s="19">
        <v>0</v>
      </c>
      <c r="DD509" s="19">
        <v>0</v>
      </c>
      <c r="DE509" s="19">
        <v>0</v>
      </c>
      <c r="DF509" s="19">
        <v>0</v>
      </c>
      <c r="DG509" s="19">
        <v>0</v>
      </c>
      <c r="DH509" s="19">
        <v>0</v>
      </c>
      <c r="DI509" s="19">
        <v>0</v>
      </c>
      <c r="DJ509" s="19">
        <v>0</v>
      </c>
      <c r="DK509" s="19">
        <v>0</v>
      </c>
      <c r="DL509" s="19">
        <v>0</v>
      </c>
      <c r="DM509" s="19">
        <v>0</v>
      </c>
      <c r="DN509" s="19">
        <v>0</v>
      </c>
      <c r="DO509" s="19">
        <v>0</v>
      </c>
      <c r="DP509" s="19">
        <v>0</v>
      </c>
      <c r="DQ509" s="19">
        <v>0</v>
      </c>
      <c r="DR509" s="19">
        <v>0</v>
      </c>
      <c r="DS509" s="19">
        <v>0</v>
      </c>
      <c r="DT509" s="19">
        <v>0</v>
      </c>
      <c r="DU509" s="19">
        <v>0</v>
      </c>
      <c r="DV509" s="19">
        <v>0</v>
      </c>
      <c r="DW509" s="19">
        <v>0</v>
      </c>
      <c r="DX509" s="19">
        <v>0</v>
      </c>
      <c r="DY509" s="19">
        <v>0</v>
      </c>
      <c r="DZ509" s="19">
        <v>0</v>
      </c>
      <c r="EA509" s="19">
        <v>0</v>
      </c>
      <c r="EB509" s="19">
        <v>0</v>
      </c>
      <c r="EC509" s="19">
        <v>40</v>
      </c>
      <c r="ED509" s="19">
        <v>0.23</v>
      </c>
      <c r="EE509" s="19">
        <v>0</v>
      </c>
      <c r="EF509" s="19">
        <v>0</v>
      </c>
      <c r="EG509" s="19">
        <v>0</v>
      </c>
      <c r="EH509" s="19">
        <v>0</v>
      </c>
      <c r="EI509" s="19">
        <v>0</v>
      </c>
      <c r="EJ509" s="19">
        <v>0</v>
      </c>
      <c r="EK509" s="19">
        <v>0</v>
      </c>
      <c r="EL509" s="19">
        <v>0</v>
      </c>
      <c r="EM509" s="19">
        <v>0</v>
      </c>
      <c r="EN509" s="19">
        <v>0</v>
      </c>
      <c r="EO509" s="19">
        <v>0</v>
      </c>
      <c r="EP509" s="19">
        <v>0</v>
      </c>
      <c r="EQ509" s="19">
        <v>0</v>
      </c>
      <c r="ER509" s="19">
        <v>0</v>
      </c>
      <c r="ES509" s="119">
        <v>0</v>
      </c>
      <c r="ET509" s="119">
        <v>0</v>
      </c>
    </row>
    <row r="510" spans="1:150" ht="16.5" customHeight="1" x14ac:dyDescent="0.35">
      <c r="A510" s="4">
        <v>218</v>
      </c>
      <c r="B510" s="4" t="str">
        <f>LOOKUP(A510,Lookup!$A$1:$A$34,Lookup!$B$1:$B$34)</f>
        <v>BUTCHERY SPICE</v>
      </c>
      <c r="C510" s="5">
        <v>64642</v>
      </c>
      <c r="D510" s="6" t="s">
        <v>476</v>
      </c>
      <c r="E510" s="18">
        <v>0</v>
      </c>
      <c r="F510" s="18">
        <v>0</v>
      </c>
      <c r="G510" s="18">
        <v>0</v>
      </c>
      <c r="H510" s="18">
        <v>0</v>
      </c>
      <c r="I510" s="19">
        <v>0</v>
      </c>
      <c r="J510" s="19">
        <v>0</v>
      </c>
      <c r="K510" s="19">
        <v>0</v>
      </c>
      <c r="L510" s="19">
        <v>0</v>
      </c>
      <c r="M510" s="19">
        <v>0</v>
      </c>
      <c r="N510" s="19">
        <v>0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0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 s="19">
        <v>0</v>
      </c>
      <c r="AD510" s="19">
        <v>0</v>
      </c>
      <c r="AE510" s="19">
        <v>0</v>
      </c>
      <c r="AF510" s="19">
        <v>0</v>
      </c>
      <c r="AG510" s="19">
        <v>0</v>
      </c>
      <c r="AH510" s="19">
        <v>0</v>
      </c>
      <c r="AI510" s="19">
        <v>0</v>
      </c>
      <c r="AJ510" s="19">
        <v>0</v>
      </c>
      <c r="AK510" s="19">
        <v>0</v>
      </c>
      <c r="AL510" s="19">
        <v>0</v>
      </c>
      <c r="AM510" s="19">
        <v>0</v>
      </c>
      <c r="AN510" s="19">
        <v>0</v>
      </c>
      <c r="AO510" s="19">
        <v>0</v>
      </c>
      <c r="AP510" s="19">
        <v>0</v>
      </c>
      <c r="AQ510" s="19">
        <v>0</v>
      </c>
      <c r="AR510" s="19">
        <v>0</v>
      </c>
      <c r="AS510" s="19">
        <v>0</v>
      </c>
      <c r="AT510" s="19">
        <v>0</v>
      </c>
      <c r="AU510" s="19">
        <v>0</v>
      </c>
      <c r="AV510" s="19">
        <v>0</v>
      </c>
      <c r="AW510" s="19">
        <v>0</v>
      </c>
      <c r="AX510" s="19">
        <v>0</v>
      </c>
      <c r="AY510" s="19">
        <v>0</v>
      </c>
      <c r="AZ510" s="19">
        <v>0</v>
      </c>
      <c r="BA510" s="19">
        <v>0</v>
      </c>
      <c r="BB510" s="19">
        <v>0</v>
      </c>
      <c r="BC510" s="19">
        <v>0</v>
      </c>
      <c r="BD510" s="19">
        <v>0</v>
      </c>
      <c r="BE510" s="19">
        <v>0</v>
      </c>
      <c r="BF510" s="19">
        <v>0</v>
      </c>
      <c r="BG510" s="19">
        <v>0</v>
      </c>
      <c r="BH510" s="19">
        <v>0</v>
      </c>
      <c r="BI510" s="19">
        <v>0</v>
      </c>
      <c r="BJ510" s="19">
        <v>0</v>
      </c>
      <c r="BK510" s="19">
        <v>0</v>
      </c>
      <c r="BL510" s="19">
        <v>0</v>
      </c>
      <c r="BM510" s="19">
        <v>0</v>
      </c>
      <c r="BN510" s="19">
        <v>0</v>
      </c>
      <c r="BO510" s="19">
        <v>0</v>
      </c>
      <c r="BP510" s="19">
        <v>0</v>
      </c>
      <c r="BQ510" s="19">
        <v>0</v>
      </c>
      <c r="BR510" s="19">
        <v>0</v>
      </c>
      <c r="BS510" s="19">
        <v>0</v>
      </c>
      <c r="BT510" s="19">
        <v>0</v>
      </c>
      <c r="BU510" s="19">
        <v>0</v>
      </c>
      <c r="BV510" s="19">
        <v>0</v>
      </c>
      <c r="BW510" s="19">
        <v>0</v>
      </c>
      <c r="BX510" s="19">
        <v>0</v>
      </c>
      <c r="BY510" s="19">
        <v>0</v>
      </c>
      <c r="BZ510" s="19">
        <v>0</v>
      </c>
      <c r="CA510" s="19">
        <v>0</v>
      </c>
      <c r="CB510" s="19">
        <v>0</v>
      </c>
      <c r="CC510" s="19">
        <v>0</v>
      </c>
      <c r="CD510" s="19">
        <v>0</v>
      </c>
      <c r="CE510" s="19">
        <v>0</v>
      </c>
      <c r="CF510" s="19">
        <v>0</v>
      </c>
      <c r="CG510" s="19">
        <v>0</v>
      </c>
      <c r="CH510" s="19">
        <v>0</v>
      </c>
      <c r="CI510" s="19">
        <v>0</v>
      </c>
      <c r="CJ510" s="19">
        <v>0</v>
      </c>
      <c r="CK510" s="19">
        <v>0</v>
      </c>
      <c r="CL510" s="19">
        <v>0</v>
      </c>
      <c r="CM510" s="19">
        <v>0</v>
      </c>
      <c r="CN510" s="19">
        <v>0</v>
      </c>
      <c r="CO510" s="19">
        <v>0</v>
      </c>
      <c r="CP510" s="19">
        <v>0</v>
      </c>
      <c r="CQ510" s="19">
        <v>0</v>
      </c>
      <c r="CR510" s="19">
        <v>0</v>
      </c>
      <c r="CS510" s="19">
        <v>0</v>
      </c>
      <c r="CT510" s="19">
        <v>0</v>
      </c>
      <c r="CU510" s="19">
        <v>0</v>
      </c>
      <c r="CV510" s="19">
        <v>0</v>
      </c>
      <c r="CW510" s="19">
        <v>0</v>
      </c>
      <c r="CX510" s="19">
        <v>0</v>
      </c>
      <c r="CY510" s="19">
        <v>0</v>
      </c>
      <c r="CZ510" s="19">
        <v>0</v>
      </c>
      <c r="DA510" s="19">
        <v>0</v>
      </c>
      <c r="DB510" s="19">
        <v>0</v>
      </c>
      <c r="DC510" s="19">
        <v>0</v>
      </c>
      <c r="DD510" s="19">
        <v>0</v>
      </c>
      <c r="DE510" s="19">
        <v>0</v>
      </c>
      <c r="DF510" s="19">
        <v>0</v>
      </c>
      <c r="DG510" s="19">
        <v>0</v>
      </c>
      <c r="DH510" s="19">
        <v>0</v>
      </c>
      <c r="DI510" s="19">
        <v>0</v>
      </c>
      <c r="DJ510" s="19">
        <v>0</v>
      </c>
      <c r="DK510" s="19">
        <v>0</v>
      </c>
      <c r="DL510" s="19">
        <v>0</v>
      </c>
      <c r="DM510" s="19">
        <v>0</v>
      </c>
      <c r="DN510" s="19">
        <v>0</v>
      </c>
      <c r="DO510" s="19">
        <v>0</v>
      </c>
      <c r="DP510" s="19">
        <v>0</v>
      </c>
      <c r="DQ510" s="19">
        <v>0</v>
      </c>
      <c r="DR510" s="19">
        <v>0</v>
      </c>
      <c r="DS510" s="19">
        <v>0</v>
      </c>
      <c r="DT510" s="19">
        <v>0</v>
      </c>
      <c r="DU510" s="19">
        <v>0</v>
      </c>
      <c r="DV510" s="19">
        <v>0</v>
      </c>
      <c r="DW510" s="19">
        <v>0</v>
      </c>
      <c r="DX510" s="19">
        <v>0</v>
      </c>
      <c r="DY510" s="19">
        <v>0</v>
      </c>
      <c r="DZ510" s="19">
        <v>0</v>
      </c>
      <c r="EA510" s="19">
        <v>0</v>
      </c>
      <c r="EB510" s="19">
        <v>0</v>
      </c>
      <c r="EC510" s="19">
        <v>0</v>
      </c>
      <c r="ED510" s="19">
        <v>0</v>
      </c>
      <c r="EE510" s="19">
        <v>0</v>
      </c>
      <c r="EF510" s="19">
        <v>0</v>
      </c>
      <c r="EG510" s="19">
        <v>0</v>
      </c>
      <c r="EH510" s="19">
        <v>0</v>
      </c>
      <c r="EI510" s="19">
        <v>0</v>
      </c>
      <c r="EJ510" s="19">
        <v>0</v>
      </c>
      <c r="EK510" s="19">
        <v>0</v>
      </c>
      <c r="EL510" s="19">
        <v>0</v>
      </c>
      <c r="EM510" s="19">
        <v>0</v>
      </c>
      <c r="EN510" s="19">
        <v>0</v>
      </c>
      <c r="EO510" s="19">
        <v>0</v>
      </c>
      <c r="EP510" s="19">
        <v>0</v>
      </c>
      <c r="EQ510" s="19">
        <v>0</v>
      </c>
      <c r="ER510" s="19">
        <v>0</v>
      </c>
      <c r="ES510" s="119">
        <v>0</v>
      </c>
      <c r="ET510" s="119">
        <v>0</v>
      </c>
    </row>
    <row r="511" spans="1:150" ht="16.5" customHeight="1" x14ac:dyDescent="0.35">
      <c r="A511" s="4">
        <v>218</v>
      </c>
      <c r="B511" s="4" t="str">
        <f>LOOKUP(A511,Lookup!$A$1:$A$34,Lookup!$B$1:$B$34)</f>
        <v>BUTCHERY SPICE</v>
      </c>
      <c r="C511" s="5">
        <v>65605</v>
      </c>
      <c r="D511" s="6" t="s">
        <v>484</v>
      </c>
      <c r="E511" s="18">
        <v>8.1712374581939802</v>
      </c>
      <c r="F511" s="18">
        <v>7.8E-2</v>
      </c>
      <c r="G511" s="18">
        <v>106.226086956522</v>
      </c>
      <c r="H511" s="18">
        <v>1.018</v>
      </c>
      <c r="I511" s="19">
        <v>0</v>
      </c>
      <c r="J511" s="19">
        <v>0</v>
      </c>
      <c r="K511" s="19">
        <v>0</v>
      </c>
      <c r="L511" s="19">
        <v>0</v>
      </c>
      <c r="M511" s="19">
        <v>0</v>
      </c>
      <c r="N511" s="19">
        <v>0</v>
      </c>
      <c r="O511" s="19">
        <v>0</v>
      </c>
      <c r="P511" s="19">
        <v>0</v>
      </c>
      <c r="Q511" s="19">
        <v>0</v>
      </c>
      <c r="R511" s="19">
        <v>0</v>
      </c>
      <c r="S511" s="19">
        <v>0</v>
      </c>
      <c r="T511" s="19">
        <v>0</v>
      </c>
      <c r="U511" s="19">
        <v>0</v>
      </c>
      <c r="V511" s="19">
        <v>0</v>
      </c>
      <c r="W511" s="19">
        <v>0</v>
      </c>
      <c r="X511" s="19">
        <v>0</v>
      </c>
      <c r="Y511" s="19">
        <v>0</v>
      </c>
      <c r="Z511" s="19">
        <v>0</v>
      </c>
      <c r="AA511" s="19">
        <v>0</v>
      </c>
      <c r="AB511" s="19">
        <v>0</v>
      </c>
      <c r="AC511" s="19">
        <v>0</v>
      </c>
      <c r="AD511" s="19">
        <v>0</v>
      </c>
      <c r="AE511" s="19">
        <v>0</v>
      </c>
      <c r="AF511" s="19">
        <v>0</v>
      </c>
      <c r="AG511" s="19">
        <v>0</v>
      </c>
      <c r="AH511" s="19">
        <v>0</v>
      </c>
      <c r="AI511" s="19">
        <v>0</v>
      </c>
      <c r="AJ511" s="19">
        <v>0</v>
      </c>
      <c r="AK511" s="19">
        <v>0</v>
      </c>
      <c r="AL511" s="19">
        <v>0</v>
      </c>
      <c r="AM511" s="19">
        <v>0</v>
      </c>
      <c r="AN511" s="19">
        <v>0</v>
      </c>
      <c r="AO511" s="19">
        <v>0</v>
      </c>
      <c r="AP511" s="19">
        <v>0</v>
      </c>
      <c r="AQ511" s="19">
        <v>0</v>
      </c>
      <c r="AR511" s="19">
        <v>0</v>
      </c>
      <c r="AS511" s="19">
        <v>0</v>
      </c>
      <c r="AT511" s="19">
        <v>0</v>
      </c>
      <c r="AU511" s="19">
        <v>0</v>
      </c>
      <c r="AV511" s="19">
        <v>0</v>
      </c>
      <c r="AW511" s="19">
        <v>0</v>
      </c>
      <c r="AX511" s="19">
        <v>0</v>
      </c>
      <c r="AY511" s="19">
        <v>0</v>
      </c>
      <c r="AZ511" s="19">
        <v>0</v>
      </c>
      <c r="BA511" s="19">
        <v>0</v>
      </c>
      <c r="BB511" s="19">
        <v>0</v>
      </c>
      <c r="BC511" s="19">
        <v>0</v>
      </c>
      <c r="BD511" s="19">
        <v>0</v>
      </c>
      <c r="BE511" s="19">
        <v>0</v>
      </c>
      <c r="BF511" s="19">
        <v>0</v>
      </c>
      <c r="BG511" s="19">
        <v>0</v>
      </c>
      <c r="BH511" s="19">
        <v>0</v>
      </c>
      <c r="BI511" s="19">
        <v>0</v>
      </c>
      <c r="BJ511" s="19">
        <v>0</v>
      </c>
      <c r="BK511" s="19">
        <v>0</v>
      </c>
      <c r="BL511" s="19">
        <v>0</v>
      </c>
      <c r="BM511" s="19">
        <v>0</v>
      </c>
      <c r="BN511" s="19">
        <v>0</v>
      </c>
      <c r="BO511" s="19">
        <v>0</v>
      </c>
      <c r="BP511" s="19">
        <v>0</v>
      </c>
      <c r="BQ511" s="19">
        <v>0</v>
      </c>
      <c r="BR511" s="19">
        <v>0</v>
      </c>
      <c r="BS511" s="19">
        <v>0</v>
      </c>
      <c r="BT511" s="19">
        <v>0</v>
      </c>
      <c r="BU511" s="19">
        <v>0</v>
      </c>
      <c r="BV511" s="19">
        <v>0</v>
      </c>
      <c r="BW511" s="19">
        <v>0</v>
      </c>
      <c r="BX511" s="19">
        <v>0</v>
      </c>
      <c r="BY511" s="19">
        <v>0</v>
      </c>
      <c r="BZ511" s="19">
        <v>0</v>
      </c>
      <c r="CA511" s="19">
        <v>0</v>
      </c>
      <c r="CB511" s="19">
        <v>0</v>
      </c>
      <c r="CC511" s="19">
        <v>0</v>
      </c>
      <c r="CD511" s="19">
        <v>0</v>
      </c>
      <c r="CE511" s="19">
        <v>0</v>
      </c>
      <c r="CF511" s="19">
        <v>0</v>
      </c>
      <c r="CG511" s="19">
        <v>0</v>
      </c>
      <c r="CH511" s="19">
        <v>0</v>
      </c>
      <c r="CI511" s="19">
        <v>0</v>
      </c>
      <c r="CJ511" s="19">
        <v>0</v>
      </c>
      <c r="CK511" s="19">
        <v>0</v>
      </c>
      <c r="CL511" s="19">
        <v>0</v>
      </c>
      <c r="CM511" s="19">
        <v>0</v>
      </c>
      <c r="CN511" s="19">
        <v>0</v>
      </c>
      <c r="CO511" s="19">
        <v>0</v>
      </c>
      <c r="CP511" s="19">
        <v>0</v>
      </c>
      <c r="CQ511" s="19">
        <v>0</v>
      </c>
      <c r="CR511" s="19">
        <v>0</v>
      </c>
      <c r="CS511" s="19">
        <v>0</v>
      </c>
      <c r="CT511" s="19">
        <v>0</v>
      </c>
      <c r="CU511" s="19">
        <v>0</v>
      </c>
      <c r="CV511" s="19">
        <v>0</v>
      </c>
      <c r="CW511" s="19">
        <v>0</v>
      </c>
      <c r="CX511" s="19">
        <v>0</v>
      </c>
      <c r="CY511" s="19">
        <v>0</v>
      </c>
      <c r="CZ511" s="19">
        <v>0</v>
      </c>
      <c r="DA511" s="19">
        <v>0</v>
      </c>
      <c r="DB511" s="19">
        <v>0</v>
      </c>
      <c r="DC511" s="19">
        <v>0</v>
      </c>
      <c r="DD511" s="19">
        <v>0</v>
      </c>
      <c r="DE511" s="19">
        <v>0</v>
      </c>
      <c r="DF511" s="19">
        <v>0</v>
      </c>
      <c r="DG511" s="19">
        <v>0</v>
      </c>
      <c r="DH511" s="19">
        <v>0</v>
      </c>
      <c r="DI511" s="19">
        <v>0</v>
      </c>
      <c r="DJ511" s="19">
        <v>0</v>
      </c>
      <c r="DK511" s="19">
        <v>0</v>
      </c>
      <c r="DL511" s="19">
        <v>0</v>
      </c>
      <c r="DM511" s="19">
        <v>0</v>
      </c>
      <c r="DN511" s="19">
        <v>0</v>
      </c>
      <c r="DO511" s="19">
        <v>0</v>
      </c>
      <c r="DP511" s="19">
        <v>0</v>
      </c>
      <c r="DQ511" s="19">
        <v>0</v>
      </c>
      <c r="DR511" s="19">
        <v>0</v>
      </c>
      <c r="DS511" s="19">
        <v>0</v>
      </c>
      <c r="DT511" s="19">
        <v>0</v>
      </c>
      <c r="DU511" s="19">
        <v>0</v>
      </c>
      <c r="DV511" s="19">
        <v>0</v>
      </c>
      <c r="DW511" s="19">
        <v>0</v>
      </c>
      <c r="DX511" s="19">
        <v>0</v>
      </c>
      <c r="DY511" s="19">
        <v>0</v>
      </c>
      <c r="DZ511" s="19">
        <v>0</v>
      </c>
      <c r="EA511" s="19">
        <v>106.226086956522</v>
      </c>
      <c r="EB511" s="19">
        <v>1.018</v>
      </c>
      <c r="EC511" s="19">
        <v>0</v>
      </c>
      <c r="ED511" s="19">
        <v>0</v>
      </c>
      <c r="EE511" s="19">
        <v>0</v>
      </c>
      <c r="EF511" s="19">
        <v>0</v>
      </c>
      <c r="EG511" s="19">
        <v>0</v>
      </c>
      <c r="EH511" s="19">
        <v>0</v>
      </c>
      <c r="EI511" s="19">
        <v>0</v>
      </c>
      <c r="EJ511" s="19">
        <v>0</v>
      </c>
      <c r="EK511" s="19">
        <v>0</v>
      </c>
      <c r="EL511" s="19">
        <v>0</v>
      </c>
      <c r="EM511" s="19">
        <v>0</v>
      </c>
      <c r="EN511" s="19">
        <v>0</v>
      </c>
      <c r="EO511" s="19">
        <v>0</v>
      </c>
      <c r="EP511" s="19">
        <v>0</v>
      </c>
      <c r="EQ511" s="19">
        <v>0</v>
      </c>
      <c r="ER511" s="19">
        <v>0</v>
      </c>
      <c r="ES511" s="119">
        <v>0</v>
      </c>
      <c r="ET511" s="119">
        <v>0</v>
      </c>
    </row>
    <row r="512" spans="1:150" ht="16.5" customHeight="1" x14ac:dyDescent="0.35">
      <c r="A512" s="4">
        <v>218</v>
      </c>
      <c r="B512" s="4" t="str">
        <f>LOOKUP(A512,Lookup!$A$1:$A$34,Lookup!$B$1:$B$34)</f>
        <v>BUTCHERY SPICE</v>
      </c>
      <c r="C512" s="5">
        <v>99990218</v>
      </c>
      <c r="D512" s="6" t="s">
        <v>485</v>
      </c>
      <c r="E512" s="18">
        <v>0</v>
      </c>
      <c r="F512" s="18">
        <v>0</v>
      </c>
      <c r="G512" s="18">
        <v>0</v>
      </c>
      <c r="H512" s="18">
        <v>0</v>
      </c>
      <c r="I512" s="19">
        <v>0</v>
      </c>
      <c r="J512" s="19">
        <v>0</v>
      </c>
      <c r="K512" s="19">
        <v>0</v>
      </c>
      <c r="L512" s="19">
        <v>0</v>
      </c>
      <c r="M512" s="19">
        <v>0</v>
      </c>
      <c r="N512" s="19">
        <v>0</v>
      </c>
      <c r="O512" s="19">
        <v>0</v>
      </c>
      <c r="P512" s="19">
        <v>0</v>
      </c>
      <c r="Q512" s="19">
        <v>0</v>
      </c>
      <c r="R512" s="19">
        <v>0</v>
      </c>
      <c r="S512" s="19">
        <v>0</v>
      </c>
      <c r="T512" s="19">
        <v>0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 s="19">
        <v>0</v>
      </c>
      <c r="AD512" s="19">
        <v>0</v>
      </c>
      <c r="AE512" s="19">
        <v>0</v>
      </c>
      <c r="AF512" s="19">
        <v>0</v>
      </c>
      <c r="AG512" s="19">
        <v>0</v>
      </c>
      <c r="AH512" s="19">
        <v>0</v>
      </c>
      <c r="AI512" s="19">
        <v>0</v>
      </c>
      <c r="AJ512" s="19">
        <v>0</v>
      </c>
      <c r="AK512" s="19">
        <v>0</v>
      </c>
      <c r="AL512" s="19">
        <v>0</v>
      </c>
      <c r="AM512" s="19">
        <v>0</v>
      </c>
      <c r="AN512" s="19">
        <v>0</v>
      </c>
      <c r="AO512" s="19">
        <v>0</v>
      </c>
      <c r="AP512" s="19">
        <v>0</v>
      </c>
      <c r="AQ512" s="19">
        <v>0</v>
      </c>
      <c r="AR512" s="19">
        <v>0</v>
      </c>
      <c r="AS512" s="19">
        <v>0</v>
      </c>
      <c r="AT512" s="19">
        <v>0</v>
      </c>
      <c r="AU512" s="19">
        <v>0</v>
      </c>
      <c r="AV512" s="19">
        <v>0</v>
      </c>
      <c r="AW512" s="19">
        <v>0</v>
      </c>
      <c r="AX512" s="19">
        <v>0</v>
      </c>
      <c r="AY512" s="19">
        <v>0</v>
      </c>
      <c r="AZ512" s="19">
        <v>0</v>
      </c>
      <c r="BA512" s="19">
        <v>0</v>
      </c>
      <c r="BB512" s="19">
        <v>0</v>
      </c>
      <c r="BC512" s="19">
        <v>0</v>
      </c>
      <c r="BD512" s="19">
        <v>0</v>
      </c>
      <c r="BE512" s="19">
        <v>0</v>
      </c>
      <c r="BF512" s="19">
        <v>0</v>
      </c>
      <c r="BG512" s="19">
        <v>0</v>
      </c>
      <c r="BH512" s="19">
        <v>0</v>
      </c>
      <c r="BI512" s="19">
        <v>0</v>
      </c>
      <c r="BJ512" s="19">
        <v>0</v>
      </c>
      <c r="BK512" s="19">
        <v>0</v>
      </c>
      <c r="BL512" s="19">
        <v>0</v>
      </c>
      <c r="BM512" s="19">
        <v>0</v>
      </c>
      <c r="BN512" s="19">
        <v>0</v>
      </c>
      <c r="BO512" s="19">
        <v>0</v>
      </c>
      <c r="BP512" s="19">
        <v>0</v>
      </c>
      <c r="BQ512" s="19">
        <v>0</v>
      </c>
      <c r="BR512" s="19">
        <v>0</v>
      </c>
      <c r="BS512" s="19">
        <v>0</v>
      </c>
      <c r="BT512" s="19">
        <v>0</v>
      </c>
      <c r="BU512" s="19">
        <v>0</v>
      </c>
      <c r="BV512" s="19">
        <v>0</v>
      </c>
      <c r="BW512" s="19">
        <v>0</v>
      </c>
      <c r="BX512" s="19">
        <v>0</v>
      </c>
      <c r="BY512" s="19">
        <v>0</v>
      </c>
      <c r="BZ512" s="19">
        <v>0</v>
      </c>
      <c r="CA512" s="19">
        <v>0</v>
      </c>
      <c r="CB512" s="19">
        <v>0</v>
      </c>
      <c r="CC512" s="19">
        <v>0</v>
      </c>
      <c r="CD512" s="19">
        <v>0</v>
      </c>
      <c r="CE512" s="19">
        <v>0</v>
      </c>
      <c r="CF512" s="19">
        <v>0</v>
      </c>
      <c r="CG512" s="19">
        <v>0</v>
      </c>
      <c r="CH512" s="19">
        <v>0</v>
      </c>
      <c r="CI512" s="19">
        <v>0</v>
      </c>
      <c r="CJ512" s="19">
        <v>0</v>
      </c>
      <c r="CK512" s="19">
        <v>0</v>
      </c>
      <c r="CL512" s="19">
        <v>0</v>
      </c>
      <c r="CM512" s="19">
        <v>0</v>
      </c>
      <c r="CN512" s="19">
        <v>0</v>
      </c>
      <c r="CO512" s="19">
        <v>0</v>
      </c>
      <c r="CP512" s="19">
        <v>0</v>
      </c>
      <c r="CQ512" s="19">
        <v>0</v>
      </c>
      <c r="CR512" s="19">
        <v>0</v>
      </c>
      <c r="CS512" s="19">
        <v>0</v>
      </c>
      <c r="CT512" s="19">
        <v>0</v>
      </c>
      <c r="CU512" s="19">
        <v>0</v>
      </c>
      <c r="CV512" s="19">
        <v>0</v>
      </c>
      <c r="CW512" s="19">
        <v>0</v>
      </c>
      <c r="CX512" s="19">
        <v>0</v>
      </c>
      <c r="CY512" s="19">
        <v>0</v>
      </c>
      <c r="CZ512" s="19">
        <v>0</v>
      </c>
      <c r="DA512" s="19">
        <v>0</v>
      </c>
      <c r="DB512" s="19">
        <v>0</v>
      </c>
      <c r="DC512" s="19">
        <v>0</v>
      </c>
      <c r="DD512" s="19">
        <v>0</v>
      </c>
      <c r="DE512" s="19">
        <v>0</v>
      </c>
      <c r="DF512" s="19">
        <v>0</v>
      </c>
      <c r="DG512" s="19">
        <v>0</v>
      </c>
      <c r="DH512" s="19">
        <v>0</v>
      </c>
      <c r="DI512" s="19">
        <v>0</v>
      </c>
      <c r="DJ512" s="19">
        <v>0</v>
      </c>
      <c r="DK512" s="19">
        <v>0</v>
      </c>
      <c r="DL512" s="19">
        <v>0</v>
      </c>
      <c r="DM512" s="19">
        <v>0</v>
      </c>
      <c r="DN512" s="19">
        <v>0</v>
      </c>
      <c r="DO512" s="19">
        <v>0</v>
      </c>
      <c r="DP512" s="19">
        <v>0</v>
      </c>
      <c r="DQ512" s="19">
        <v>0</v>
      </c>
      <c r="DR512" s="19">
        <v>0</v>
      </c>
      <c r="DS512" s="19">
        <v>0</v>
      </c>
      <c r="DT512" s="19">
        <v>0</v>
      </c>
      <c r="DU512" s="19">
        <v>0</v>
      </c>
      <c r="DV512" s="19">
        <v>0</v>
      </c>
      <c r="DW512" s="19">
        <v>0</v>
      </c>
      <c r="DX512" s="19">
        <v>0</v>
      </c>
      <c r="DY512" s="19">
        <v>0</v>
      </c>
      <c r="DZ512" s="19">
        <v>0</v>
      </c>
      <c r="EA512" s="19">
        <v>0</v>
      </c>
      <c r="EB512" s="19">
        <v>0</v>
      </c>
      <c r="EC512" s="19">
        <v>0</v>
      </c>
      <c r="ED512" s="19">
        <v>0</v>
      </c>
      <c r="EE512" s="19">
        <v>0</v>
      </c>
      <c r="EF512" s="19">
        <v>0</v>
      </c>
      <c r="EG512" s="19">
        <v>0</v>
      </c>
      <c r="EH512" s="19">
        <v>0</v>
      </c>
      <c r="EI512" s="19">
        <v>0</v>
      </c>
      <c r="EJ512" s="19">
        <v>0</v>
      </c>
      <c r="EK512" s="19">
        <v>0</v>
      </c>
      <c r="EL512" s="19">
        <v>0</v>
      </c>
      <c r="EM512" s="19">
        <v>0</v>
      </c>
      <c r="EN512" s="19">
        <v>0</v>
      </c>
      <c r="EO512" s="19">
        <v>0</v>
      </c>
      <c r="EP512" s="19">
        <v>0</v>
      </c>
      <c r="EQ512" s="19">
        <v>0</v>
      </c>
      <c r="ER512" s="19">
        <v>0</v>
      </c>
      <c r="ES512" s="119">
        <v>0</v>
      </c>
      <c r="ET512" s="119">
        <v>0</v>
      </c>
    </row>
    <row r="513" spans="1:150" ht="16.5" customHeight="1" x14ac:dyDescent="0.35">
      <c r="A513" s="4">
        <v>219</v>
      </c>
      <c r="B513" s="4" t="str">
        <f>LOOKUP(A513,Lookup!$A$1:$A$34,Lookup!$B$1:$B$34)</f>
        <v>BULK BRAAI PACK HAMPERS</v>
      </c>
      <c r="C513" s="5">
        <v>54124</v>
      </c>
      <c r="D513" s="6" t="s">
        <v>486</v>
      </c>
      <c r="E513" s="18">
        <v>15.003061849357</v>
      </c>
      <c r="F513" s="18">
        <v>0.49299999999999999</v>
      </c>
      <c r="G513" s="18">
        <v>1065.21739130435</v>
      </c>
      <c r="H513" s="18">
        <v>35</v>
      </c>
      <c r="I513" s="19">
        <v>0</v>
      </c>
      <c r="J513" s="19">
        <v>0</v>
      </c>
      <c r="K513" s="19">
        <v>0</v>
      </c>
      <c r="L513" s="19">
        <v>0</v>
      </c>
      <c r="M513" s="19">
        <v>0</v>
      </c>
      <c r="N513" s="19">
        <v>0</v>
      </c>
      <c r="O513" s="19">
        <v>0</v>
      </c>
      <c r="P513" s="19">
        <v>0</v>
      </c>
      <c r="Q513" s="19">
        <v>0</v>
      </c>
      <c r="R513" s="19">
        <v>0</v>
      </c>
      <c r="S513" s="19">
        <v>0</v>
      </c>
      <c r="T513" s="19">
        <v>0</v>
      </c>
      <c r="U513" s="19">
        <v>0</v>
      </c>
      <c r="V513" s="19">
        <v>0</v>
      </c>
      <c r="W513" s="19">
        <v>0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 s="19">
        <v>0</v>
      </c>
      <c r="AD513" s="19">
        <v>0</v>
      </c>
      <c r="AE513" s="19">
        <v>0</v>
      </c>
      <c r="AF513" s="19">
        <v>0</v>
      </c>
      <c r="AG513" s="19">
        <v>0</v>
      </c>
      <c r="AH513" s="19">
        <v>0</v>
      </c>
      <c r="AI513" s="19">
        <v>0</v>
      </c>
      <c r="AJ513" s="19">
        <v>0</v>
      </c>
      <c r="AK513" s="19">
        <v>0</v>
      </c>
      <c r="AL513" s="19">
        <v>0</v>
      </c>
      <c r="AM513" s="19">
        <v>0</v>
      </c>
      <c r="AN513" s="19">
        <v>0</v>
      </c>
      <c r="AO513" s="19">
        <v>0</v>
      </c>
      <c r="AP513" s="19">
        <v>0</v>
      </c>
      <c r="AQ513" s="19">
        <v>0</v>
      </c>
      <c r="AR513" s="19">
        <v>0</v>
      </c>
      <c r="AS513" s="19">
        <v>0</v>
      </c>
      <c r="AT513" s="19">
        <v>0</v>
      </c>
      <c r="AU513" s="19">
        <v>0</v>
      </c>
      <c r="AV513" s="19">
        <v>0</v>
      </c>
      <c r="AW513" s="19">
        <v>0</v>
      </c>
      <c r="AX513" s="19">
        <v>0</v>
      </c>
      <c r="AY513" s="19">
        <v>0</v>
      </c>
      <c r="AZ513" s="19">
        <v>0</v>
      </c>
      <c r="BA513" s="19">
        <v>0</v>
      </c>
      <c r="BB513" s="19">
        <v>0</v>
      </c>
      <c r="BC513" s="19">
        <v>0</v>
      </c>
      <c r="BD513" s="19">
        <v>0</v>
      </c>
      <c r="BE513" s="19">
        <v>0</v>
      </c>
      <c r="BF513" s="19">
        <v>0</v>
      </c>
      <c r="BG513" s="19">
        <v>0</v>
      </c>
      <c r="BH513" s="19">
        <v>0</v>
      </c>
      <c r="BI513" s="19">
        <v>0</v>
      </c>
      <c r="BJ513" s="19">
        <v>0</v>
      </c>
      <c r="BK513" s="19">
        <v>0</v>
      </c>
      <c r="BL513" s="19">
        <v>0</v>
      </c>
      <c r="BM513" s="19">
        <v>0</v>
      </c>
      <c r="BN513" s="19">
        <v>0</v>
      </c>
      <c r="BO513" s="19">
        <v>0</v>
      </c>
      <c r="BP513" s="19">
        <v>0</v>
      </c>
      <c r="BQ513" s="19">
        <v>0</v>
      </c>
      <c r="BR513" s="19">
        <v>0</v>
      </c>
      <c r="BS513" s="19">
        <v>0</v>
      </c>
      <c r="BT513" s="19">
        <v>0</v>
      </c>
      <c r="BU513" s="19">
        <v>0</v>
      </c>
      <c r="BV513" s="19">
        <v>0</v>
      </c>
      <c r="BW513" s="19">
        <v>0</v>
      </c>
      <c r="BX513" s="19">
        <v>0</v>
      </c>
      <c r="BY513" s="19">
        <v>0</v>
      </c>
      <c r="BZ513" s="19">
        <v>0</v>
      </c>
      <c r="CA513" s="19">
        <v>0</v>
      </c>
      <c r="CB513" s="19">
        <v>0</v>
      </c>
      <c r="CC513" s="19">
        <v>0</v>
      </c>
      <c r="CD513" s="19">
        <v>0</v>
      </c>
      <c r="CE513" s="19">
        <v>0</v>
      </c>
      <c r="CF513" s="19">
        <v>0</v>
      </c>
      <c r="CG513" s="19">
        <v>0</v>
      </c>
      <c r="CH513" s="19">
        <v>0</v>
      </c>
      <c r="CI513" s="19">
        <v>0</v>
      </c>
      <c r="CJ513" s="19">
        <v>0</v>
      </c>
      <c r="CK513" s="19">
        <v>0</v>
      </c>
      <c r="CL513" s="19">
        <v>0</v>
      </c>
      <c r="CM513" s="19">
        <v>0</v>
      </c>
      <c r="CN513" s="19">
        <v>0</v>
      </c>
      <c r="CO513" s="19">
        <v>0</v>
      </c>
      <c r="CP513" s="19">
        <v>0</v>
      </c>
      <c r="CQ513" s="19">
        <v>0</v>
      </c>
      <c r="CR513" s="19">
        <v>0</v>
      </c>
      <c r="CS513" s="19">
        <v>0</v>
      </c>
      <c r="CT513" s="19">
        <v>0</v>
      </c>
      <c r="CU513" s="19">
        <v>0</v>
      </c>
      <c r="CV513" s="19">
        <v>0</v>
      </c>
      <c r="CW513" s="19">
        <v>0</v>
      </c>
      <c r="CX513" s="19">
        <v>0</v>
      </c>
      <c r="CY513" s="19">
        <v>0</v>
      </c>
      <c r="CZ513" s="19">
        <v>0</v>
      </c>
      <c r="DA513" s="19">
        <v>0</v>
      </c>
      <c r="DB513" s="19">
        <v>0</v>
      </c>
      <c r="DC513" s="19">
        <v>0</v>
      </c>
      <c r="DD513" s="19">
        <v>0</v>
      </c>
      <c r="DE513" s="19">
        <v>0</v>
      </c>
      <c r="DF513" s="19">
        <v>0</v>
      </c>
      <c r="DG513" s="19">
        <v>1065.21739130435</v>
      </c>
      <c r="DH513" s="19">
        <v>35</v>
      </c>
      <c r="DI513" s="19">
        <v>0</v>
      </c>
      <c r="DJ513" s="19">
        <v>0</v>
      </c>
      <c r="DK513" s="19">
        <v>0</v>
      </c>
      <c r="DL513" s="19">
        <v>0</v>
      </c>
      <c r="DM513" s="19">
        <v>0</v>
      </c>
      <c r="DN513" s="19">
        <v>0</v>
      </c>
      <c r="DO513" s="19">
        <v>0</v>
      </c>
      <c r="DP513" s="19">
        <v>0</v>
      </c>
      <c r="DQ513" s="19">
        <v>0</v>
      </c>
      <c r="DR513" s="19">
        <v>0</v>
      </c>
      <c r="DS513" s="19">
        <v>0</v>
      </c>
      <c r="DT513" s="19">
        <v>0</v>
      </c>
      <c r="DU513" s="19">
        <v>0</v>
      </c>
      <c r="DV513" s="19">
        <v>0</v>
      </c>
      <c r="DW513" s="19">
        <v>0</v>
      </c>
      <c r="DX513" s="19">
        <v>0</v>
      </c>
      <c r="DY513" s="19">
        <v>0</v>
      </c>
      <c r="DZ513" s="19">
        <v>0</v>
      </c>
      <c r="EA513" s="19">
        <v>0</v>
      </c>
      <c r="EB513" s="19">
        <v>0</v>
      </c>
      <c r="EC513" s="19">
        <v>0</v>
      </c>
      <c r="ED513" s="19">
        <v>0</v>
      </c>
      <c r="EE513" s="19">
        <v>0</v>
      </c>
      <c r="EF513" s="19">
        <v>0</v>
      </c>
      <c r="EG513" s="19">
        <v>0</v>
      </c>
      <c r="EH513" s="19">
        <v>0</v>
      </c>
      <c r="EI513" s="19">
        <v>0</v>
      </c>
      <c r="EJ513" s="19">
        <v>0</v>
      </c>
      <c r="EK513" s="19">
        <v>0</v>
      </c>
      <c r="EL513" s="19">
        <v>0</v>
      </c>
      <c r="EM513" s="19">
        <v>0</v>
      </c>
      <c r="EN513" s="19">
        <v>0</v>
      </c>
      <c r="EO513" s="19">
        <v>0</v>
      </c>
      <c r="EP513" s="19">
        <v>0</v>
      </c>
      <c r="EQ513" s="19">
        <v>0</v>
      </c>
      <c r="ER513" s="19">
        <v>0</v>
      </c>
      <c r="ES513" s="119">
        <v>0</v>
      </c>
      <c r="ET513" s="119">
        <v>0</v>
      </c>
    </row>
    <row r="514" spans="1:150" ht="16.5" customHeight="1" x14ac:dyDescent="0.35">
      <c r="A514" s="4">
        <v>219</v>
      </c>
      <c r="B514" s="4" t="str">
        <f>LOOKUP(A514,Lookup!$A$1:$A$34,Lookup!$B$1:$B$34)</f>
        <v>BULK BRAAI PACK HAMPERS</v>
      </c>
      <c r="C514" s="5">
        <v>54125</v>
      </c>
      <c r="D514" s="6" t="s">
        <v>487</v>
      </c>
      <c r="E514" s="18">
        <v>0</v>
      </c>
      <c r="F514" s="18">
        <v>0</v>
      </c>
      <c r="G514" s="18">
        <v>0</v>
      </c>
      <c r="H514" s="18">
        <v>0</v>
      </c>
      <c r="I514" s="19">
        <v>0</v>
      </c>
      <c r="J514" s="19">
        <v>0</v>
      </c>
      <c r="K514" s="19">
        <v>0</v>
      </c>
      <c r="L514" s="19">
        <v>0</v>
      </c>
      <c r="M514" s="19">
        <v>0</v>
      </c>
      <c r="N514" s="19">
        <v>0</v>
      </c>
      <c r="O514" s="19">
        <v>0</v>
      </c>
      <c r="P514" s="19">
        <v>0</v>
      </c>
      <c r="Q514" s="19">
        <v>0</v>
      </c>
      <c r="R514" s="19">
        <v>0</v>
      </c>
      <c r="S514" s="19">
        <v>0</v>
      </c>
      <c r="T514" s="19">
        <v>0</v>
      </c>
      <c r="U514" s="19">
        <v>0</v>
      </c>
      <c r="V514" s="19">
        <v>0</v>
      </c>
      <c r="W514" s="19">
        <v>0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 s="19">
        <v>0</v>
      </c>
      <c r="AD514" s="19">
        <v>0</v>
      </c>
      <c r="AE514" s="19">
        <v>0</v>
      </c>
      <c r="AF514" s="19">
        <v>0</v>
      </c>
      <c r="AG514" s="19">
        <v>0</v>
      </c>
      <c r="AH514" s="19">
        <v>0</v>
      </c>
      <c r="AI514" s="19">
        <v>0</v>
      </c>
      <c r="AJ514" s="19">
        <v>0</v>
      </c>
      <c r="AK514" s="19">
        <v>0</v>
      </c>
      <c r="AL514" s="19">
        <v>0</v>
      </c>
      <c r="AM514" s="19">
        <v>0</v>
      </c>
      <c r="AN514" s="19">
        <v>0</v>
      </c>
      <c r="AO514" s="19">
        <v>0</v>
      </c>
      <c r="AP514" s="19">
        <v>0</v>
      </c>
      <c r="AQ514" s="19">
        <v>0</v>
      </c>
      <c r="AR514" s="19">
        <v>0</v>
      </c>
      <c r="AS514" s="19">
        <v>0</v>
      </c>
      <c r="AT514" s="19">
        <v>0</v>
      </c>
      <c r="AU514" s="19">
        <v>0</v>
      </c>
      <c r="AV514" s="19">
        <v>0</v>
      </c>
      <c r="AW514" s="19">
        <v>0</v>
      </c>
      <c r="AX514" s="19">
        <v>0</v>
      </c>
      <c r="AY514" s="19">
        <v>0</v>
      </c>
      <c r="AZ514" s="19">
        <v>0</v>
      </c>
      <c r="BA514" s="19">
        <v>0</v>
      </c>
      <c r="BB514" s="19">
        <v>0</v>
      </c>
      <c r="BC514" s="19">
        <v>0</v>
      </c>
      <c r="BD514" s="19">
        <v>0</v>
      </c>
      <c r="BE514" s="19">
        <v>0</v>
      </c>
      <c r="BF514" s="19">
        <v>0</v>
      </c>
      <c r="BG514" s="19">
        <v>0</v>
      </c>
      <c r="BH514" s="19">
        <v>0</v>
      </c>
      <c r="BI514" s="19">
        <v>0</v>
      </c>
      <c r="BJ514" s="19">
        <v>0</v>
      </c>
      <c r="BK514" s="19">
        <v>0</v>
      </c>
      <c r="BL514" s="19">
        <v>0</v>
      </c>
      <c r="BM514" s="19">
        <v>0</v>
      </c>
      <c r="BN514" s="19">
        <v>0</v>
      </c>
      <c r="BO514" s="19">
        <v>0</v>
      </c>
      <c r="BP514" s="19">
        <v>0</v>
      </c>
      <c r="BQ514" s="19">
        <v>0</v>
      </c>
      <c r="BR514" s="19">
        <v>0</v>
      </c>
      <c r="BS514" s="19">
        <v>0</v>
      </c>
      <c r="BT514" s="19">
        <v>0</v>
      </c>
      <c r="BU514" s="19">
        <v>0</v>
      </c>
      <c r="BV514" s="19">
        <v>0</v>
      </c>
      <c r="BW514" s="19">
        <v>0</v>
      </c>
      <c r="BX514" s="19">
        <v>0</v>
      </c>
      <c r="BY514" s="19">
        <v>0</v>
      </c>
      <c r="BZ514" s="19">
        <v>0</v>
      </c>
      <c r="CA514" s="19">
        <v>0</v>
      </c>
      <c r="CB514" s="19">
        <v>0</v>
      </c>
      <c r="CC514" s="19">
        <v>0</v>
      </c>
      <c r="CD514" s="19">
        <v>0</v>
      </c>
      <c r="CE514" s="19">
        <v>0</v>
      </c>
      <c r="CF514" s="19">
        <v>0</v>
      </c>
      <c r="CG514" s="19">
        <v>0</v>
      </c>
      <c r="CH514" s="19">
        <v>0</v>
      </c>
      <c r="CI514" s="19">
        <v>0</v>
      </c>
      <c r="CJ514" s="19">
        <v>0</v>
      </c>
      <c r="CK514" s="19">
        <v>0</v>
      </c>
      <c r="CL514" s="19">
        <v>0</v>
      </c>
      <c r="CM514" s="19">
        <v>0</v>
      </c>
      <c r="CN514" s="19">
        <v>0</v>
      </c>
      <c r="CO514" s="19">
        <v>0</v>
      </c>
      <c r="CP514" s="19">
        <v>0</v>
      </c>
      <c r="CQ514" s="19">
        <v>0</v>
      </c>
      <c r="CR514" s="19">
        <v>0</v>
      </c>
      <c r="CS514" s="19">
        <v>0</v>
      </c>
      <c r="CT514" s="19">
        <v>0</v>
      </c>
      <c r="CU514" s="19">
        <v>0</v>
      </c>
      <c r="CV514" s="19">
        <v>0</v>
      </c>
      <c r="CW514" s="19">
        <v>0</v>
      </c>
      <c r="CX514" s="19">
        <v>0</v>
      </c>
      <c r="CY514" s="19">
        <v>0</v>
      </c>
      <c r="CZ514" s="19">
        <v>0</v>
      </c>
      <c r="DA514" s="19">
        <v>0</v>
      </c>
      <c r="DB514" s="19">
        <v>0</v>
      </c>
      <c r="DC514" s="19">
        <v>0</v>
      </c>
      <c r="DD514" s="19">
        <v>0</v>
      </c>
      <c r="DE514" s="19">
        <v>0</v>
      </c>
      <c r="DF514" s="19">
        <v>0</v>
      </c>
      <c r="DG514" s="19">
        <v>0</v>
      </c>
      <c r="DH514" s="19">
        <v>0</v>
      </c>
      <c r="DI514" s="19">
        <v>0</v>
      </c>
      <c r="DJ514" s="19">
        <v>0</v>
      </c>
      <c r="DK514" s="19">
        <v>0</v>
      </c>
      <c r="DL514" s="19">
        <v>0</v>
      </c>
      <c r="DM514" s="19">
        <v>0</v>
      </c>
      <c r="DN514" s="19">
        <v>0</v>
      </c>
      <c r="DO514" s="19">
        <v>0</v>
      </c>
      <c r="DP514" s="19">
        <v>0</v>
      </c>
      <c r="DQ514" s="19">
        <v>0</v>
      </c>
      <c r="DR514" s="19">
        <v>0</v>
      </c>
      <c r="DS514" s="19">
        <v>0</v>
      </c>
      <c r="DT514" s="19">
        <v>0</v>
      </c>
      <c r="DU514" s="19">
        <v>0</v>
      </c>
      <c r="DV514" s="19">
        <v>0</v>
      </c>
      <c r="DW514" s="19">
        <v>0</v>
      </c>
      <c r="DX514" s="19">
        <v>0</v>
      </c>
      <c r="DY514" s="19">
        <v>0</v>
      </c>
      <c r="DZ514" s="19">
        <v>0</v>
      </c>
      <c r="EA514" s="19">
        <v>0</v>
      </c>
      <c r="EB514" s="19">
        <v>0</v>
      </c>
      <c r="EC514" s="19">
        <v>0</v>
      </c>
      <c r="ED514" s="19">
        <v>0</v>
      </c>
      <c r="EE514" s="19">
        <v>0</v>
      </c>
      <c r="EF514" s="19">
        <v>0</v>
      </c>
      <c r="EG514" s="19">
        <v>0</v>
      </c>
      <c r="EH514" s="19">
        <v>0</v>
      </c>
      <c r="EI514" s="19">
        <v>0</v>
      </c>
      <c r="EJ514" s="19">
        <v>0</v>
      </c>
      <c r="EK514" s="19">
        <v>0</v>
      </c>
      <c r="EL514" s="19">
        <v>0</v>
      </c>
      <c r="EM514" s="19">
        <v>0</v>
      </c>
      <c r="EN514" s="19">
        <v>0</v>
      </c>
      <c r="EO514" s="19">
        <v>0</v>
      </c>
      <c r="EP514" s="19">
        <v>0</v>
      </c>
      <c r="EQ514" s="19">
        <v>0</v>
      </c>
      <c r="ER514" s="19">
        <v>0</v>
      </c>
      <c r="ES514" s="119">
        <v>0</v>
      </c>
      <c r="ET514" s="119">
        <v>0</v>
      </c>
    </row>
    <row r="515" spans="1:150" ht="16.5" customHeight="1" x14ac:dyDescent="0.35">
      <c r="A515" s="4">
        <v>219</v>
      </c>
      <c r="B515" s="4" t="str">
        <f>LOOKUP(A515,Lookup!$A$1:$A$34,Lookup!$B$1:$B$34)</f>
        <v>BULK BRAAI PACK HAMPERS</v>
      </c>
      <c r="C515" s="5">
        <v>54455</v>
      </c>
      <c r="D515" s="6" t="s">
        <v>488</v>
      </c>
      <c r="E515" s="18">
        <v>0</v>
      </c>
      <c r="F515" s="18">
        <v>0</v>
      </c>
      <c r="G515" s="18">
        <v>0</v>
      </c>
      <c r="H515" s="18">
        <v>0</v>
      </c>
      <c r="I515" s="19">
        <v>0</v>
      </c>
      <c r="J515" s="19">
        <v>0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>
        <v>0</v>
      </c>
      <c r="AC515" s="19">
        <v>0</v>
      </c>
      <c r="AD515" s="19">
        <v>0</v>
      </c>
      <c r="AE515" s="19">
        <v>0</v>
      </c>
      <c r="AF515" s="19">
        <v>0</v>
      </c>
      <c r="AG515" s="19">
        <v>0</v>
      </c>
      <c r="AH515" s="19">
        <v>0</v>
      </c>
      <c r="AI515" s="19">
        <v>0</v>
      </c>
      <c r="AJ515" s="19">
        <v>0</v>
      </c>
      <c r="AK515" s="19">
        <v>0</v>
      </c>
      <c r="AL515" s="19">
        <v>0</v>
      </c>
      <c r="AM515" s="19">
        <v>0</v>
      </c>
      <c r="AN515" s="19">
        <v>0</v>
      </c>
      <c r="AO515" s="19">
        <v>0</v>
      </c>
      <c r="AP515" s="19">
        <v>0</v>
      </c>
      <c r="AQ515" s="19">
        <v>0</v>
      </c>
      <c r="AR515" s="19">
        <v>0</v>
      </c>
      <c r="AS515" s="19">
        <v>0</v>
      </c>
      <c r="AT515" s="19">
        <v>0</v>
      </c>
      <c r="AU515" s="19">
        <v>0</v>
      </c>
      <c r="AV515" s="19">
        <v>0</v>
      </c>
      <c r="AW515" s="19">
        <v>0</v>
      </c>
      <c r="AX515" s="19">
        <v>0</v>
      </c>
      <c r="AY515" s="19">
        <v>0</v>
      </c>
      <c r="AZ515" s="19">
        <v>0</v>
      </c>
      <c r="BA515" s="19">
        <v>0</v>
      </c>
      <c r="BB515" s="19">
        <v>0</v>
      </c>
      <c r="BC515" s="19">
        <v>0</v>
      </c>
      <c r="BD515" s="19">
        <v>0</v>
      </c>
      <c r="BE515" s="19">
        <v>0</v>
      </c>
      <c r="BF515" s="19">
        <v>0</v>
      </c>
      <c r="BG515" s="19">
        <v>0</v>
      </c>
      <c r="BH515" s="19">
        <v>0</v>
      </c>
      <c r="BI515" s="19">
        <v>0</v>
      </c>
      <c r="BJ515" s="19">
        <v>0</v>
      </c>
      <c r="BK515" s="19">
        <v>0</v>
      </c>
      <c r="BL515" s="19">
        <v>0</v>
      </c>
      <c r="BM515" s="19">
        <v>0</v>
      </c>
      <c r="BN515" s="19">
        <v>0</v>
      </c>
      <c r="BO515" s="19">
        <v>0</v>
      </c>
      <c r="BP515" s="19">
        <v>0</v>
      </c>
      <c r="BQ515" s="19">
        <v>0</v>
      </c>
      <c r="BR515" s="19">
        <v>0</v>
      </c>
      <c r="BS515" s="19">
        <v>0</v>
      </c>
      <c r="BT515" s="19">
        <v>0</v>
      </c>
      <c r="BU515" s="19">
        <v>0</v>
      </c>
      <c r="BV515" s="19">
        <v>0</v>
      </c>
      <c r="BW515" s="19">
        <v>0</v>
      </c>
      <c r="BX515" s="19">
        <v>0</v>
      </c>
      <c r="BY515" s="19">
        <v>0</v>
      </c>
      <c r="BZ515" s="19">
        <v>0</v>
      </c>
      <c r="CA515" s="19">
        <v>0</v>
      </c>
      <c r="CB515" s="19">
        <v>0</v>
      </c>
      <c r="CC515" s="19">
        <v>0</v>
      </c>
      <c r="CD515" s="19">
        <v>0</v>
      </c>
      <c r="CE515" s="19">
        <v>0</v>
      </c>
      <c r="CF515" s="19">
        <v>0</v>
      </c>
      <c r="CG515" s="19">
        <v>0</v>
      </c>
      <c r="CH515" s="19">
        <v>0</v>
      </c>
      <c r="CI515" s="19">
        <v>0</v>
      </c>
      <c r="CJ515" s="19">
        <v>0</v>
      </c>
      <c r="CK515" s="19">
        <v>0</v>
      </c>
      <c r="CL515" s="19">
        <v>0</v>
      </c>
      <c r="CM515" s="19">
        <v>0</v>
      </c>
      <c r="CN515" s="19">
        <v>0</v>
      </c>
      <c r="CO515" s="19">
        <v>0</v>
      </c>
      <c r="CP515" s="19">
        <v>0</v>
      </c>
      <c r="CQ515" s="19">
        <v>0</v>
      </c>
      <c r="CR515" s="19">
        <v>0</v>
      </c>
      <c r="CS515" s="19">
        <v>0</v>
      </c>
      <c r="CT515" s="19">
        <v>0</v>
      </c>
      <c r="CU515" s="19">
        <v>0</v>
      </c>
      <c r="CV515" s="19">
        <v>0</v>
      </c>
      <c r="CW515" s="19">
        <v>0</v>
      </c>
      <c r="CX515" s="19">
        <v>0</v>
      </c>
      <c r="CY515" s="19">
        <v>0</v>
      </c>
      <c r="CZ515" s="19">
        <v>0</v>
      </c>
      <c r="DA515" s="19">
        <v>0</v>
      </c>
      <c r="DB515" s="19">
        <v>0</v>
      </c>
      <c r="DC515" s="19">
        <v>0</v>
      </c>
      <c r="DD515" s="19">
        <v>0</v>
      </c>
      <c r="DE515" s="19">
        <v>0</v>
      </c>
      <c r="DF515" s="19">
        <v>0</v>
      </c>
      <c r="DG515" s="19">
        <v>0</v>
      </c>
      <c r="DH515" s="19">
        <v>0</v>
      </c>
      <c r="DI515" s="19">
        <v>0</v>
      </c>
      <c r="DJ515" s="19">
        <v>0</v>
      </c>
      <c r="DK515" s="19">
        <v>0</v>
      </c>
      <c r="DL515" s="19">
        <v>0</v>
      </c>
      <c r="DM515" s="19">
        <v>0</v>
      </c>
      <c r="DN515" s="19">
        <v>0</v>
      </c>
      <c r="DO515" s="19">
        <v>0</v>
      </c>
      <c r="DP515" s="19">
        <v>0</v>
      </c>
      <c r="DQ515" s="19">
        <v>0</v>
      </c>
      <c r="DR515" s="19">
        <v>0</v>
      </c>
      <c r="DS515" s="19">
        <v>0</v>
      </c>
      <c r="DT515" s="19">
        <v>0</v>
      </c>
      <c r="DU515" s="19">
        <v>0</v>
      </c>
      <c r="DV515" s="19">
        <v>0</v>
      </c>
      <c r="DW515" s="19">
        <v>0</v>
      </c>
      <c r="DX515" s="19">
        <v>0</v>
      </c>
      <c r="DY515" s="19">
        <v>0</v>
      </c>
      <c r="DZ515" s="19">
        <v>0</v>
      </c>
      <c r="EA515" s="19">
        <v>0</v>
      </c>
      <c r="EB515" s="19">
        <v>0</v>
      </c>
      <c r="EC515" s="19">
        <v>0</v>
      </c>
      <c r="ED515" s="19">
        <v>0</v>
      </c>
      <c r="EE515" s="19">
        <v>0</v>
      </c>
      <c r="EF515" s="19">
        <v>0</v>
      </c>
      <c r="EG515" s="19">
        <v>0</v>
      </c>
      <c r="EH515" s="19">
        <v>0</v>
      </c>
      <c r="EI515" s="19">
        <v>0</v>
      </c>
      <c r="EJ515" s="19">
        <v>0</v>
      </c>
      <c r="EK515" s="19">
        <v>0</v>
      </c>
      <c r="EL515" s="19">
        <v>0</v>
      </c>
      <c r="EM515" s="19">
        <v>0</v>
      </c>
      <c r="EN515" s="19">
        <v>0</v>
      </c>
      <c r="EO515" s="19">
        <v>0</v>
      </c>
      <c r="EP515" s="19">
        <v>0</v>
      </c>
      <c r="EQ515" s="19">
        <v>0</v>
      </c>
      <c r="ER515" s="19">
        <v>0</v>
      </c>
      <c r="ES515" s="119">
        <v>0</v>
      </c>
      <c r="ET515" s="119">
        <v>0</v>
      </c>
    </row>
    <row r="516" spans="1:150" ht="16.5" customHeight="1" x14ac:dyDescent="0.35">
      <c r="A516" s="4">
        <v>220</v>
      </c>
      <c r="B516" s="4" t="str">
        <f>LOOKUP(A516,Lookup!$A$1:$A$34,Lookup!$B$1:$B$34)</f>
        <v>MINCE &amp; PATTIES</v>
      </c>
      <c r="C516" s="5">
        <v>34209</v>
      </c>
      <c r="D516" s="6" t="s">
        <v>489</v>
      </c>
      <c r="E516" s="18">
        <v>0</v>
      </c>
      <c r="F516" s="18">
        <v>0</v>
      </c>
      <c r="G516" s="18">
        <v>0</v>
      </c>
      <c r="H516" s="18">
        <v>0</v>
      </c>
      <c r="I516" s="19">
        <v>0</v>
      </c>
      <c r="J516" s="19">
        <v>0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0</v>
      </c>
      <c r="X516" s="19">
        <v>0</v>
      </c>
      <c r="Y516" s="19">
        <v>0</v>
      </c>
      <c r="Z516" s="19">
        <v>0</v>
      </c>
      <c r="AA516" s="19">
        <v>0</v>
      </c>
      <c r="AB516" s="19">
        <v>0</v>
      </c>
      <c r="AC516" s="19">
        <v>0</v>
      </c>
      <c r="AD516" s="19">
        <v>0</v>
      </c>
      <c r="AE516" s="19">
        <v>0</v>
      </c>
      <c r="AF516" s="19">
        <v>0</v>
      </c>
      <c r="AG516" s="19">
        <v>0</v>
      </c>
      <c r="AH516" s="19">
        <v>0</v>
      </c>
      <c r="AI516" s="19">
        <v>0</v>
      </c>
      <c r="AJ516" s="19">
        <v>0</v>
      </c>
      <c r="AK516" s="19">
        <v>0</v>
      </c>
      <c r="AL516" s="19">
        <v>0</v>
      </c>
      <c r="AM516" s="19">
        <v>0</v>
      </c>
      <c r="AN516" s="19">
        <v>0</v>
      </c>
      <c r="AO516" s="19">
        <v>0</v>
      </c>
      <c r="AP516" s="19">
        <v>0</v>
      </c>
      <c r="AQ516" s="19">
        <v>0</v>
      </c>
      <c r="AR516" s="19">
        <v>0</v>
      </c>
      <c r="AS516" s="19">
        <v>0</v>
      </c>
      <c r="AT516" s="19">
        <v>0</v>
      </c>
      <c r="AU516" s="19">
        <v>0</v>
      </c>
      <c r="AV516" s="19">
        <v>0</v>
      </c>
      <c r="AW516" s="19">
        <v>0</v>
      </c>
      <c r="AX516" s="19">
        <v>0</v>
      </c>
      <c r="AY516" s="19">
        <v>0</v>
      </c>
      <c r="AZ516" s="19">
        <v>0</v>
      </c>
      <c r="BA516" s="19">
        <v>0</v>
      </c>
      <c r="BB516" s="19">
        <v>0</v>
      </c>
      <c r="BC516" s="19">
        <v>0</v>
      </c>
      <c r="BD516" s="19">
        <v>0</v>
      </c>
      <c r="BE516" s="19">
        <v>0</v>
      </c>
      <c r="BF516" s="19">
        <v>0</v>
      </c>
      <c r="BG516" s="19">
        <v>0</v>
      </c>
      <c r="BH516" s="19">
        <v>0</v>
      </c>
      <c r="BI516" s="19">
        <v>0</v>
      </c>
      <c r="BJ516" s="19">
        <v>0</v>
      </c>
      <c r="BK516" s="19">
        <v>0</v>
      </c>
      <c r="BL516" s="19">
        <v>0</v>
      </c>
      <c r="BM516" s="19">
        <v>0</v>
      </c>
      <c r="BN516" s="19">
        <v>0</v>
      </c>
      <c r="BO516" s="19">
        <v>0</v>
      </c>
      <c r="BP516" s="19">
        <v>0</v>
      </c>
      <c r="BQ516" s="19">
        <v>0</v>
      </c>
      <c r="BR516" s="19">
        <v>0</v>
      </c>
      <c r="BS516" s="19">
        <v>0</v>
      </c>
      <c r="BT516" s="19">
        <v>0</v>
      </c>
      <c r="BU516" s="19">
        <v>0</v>
      </c>
      <c r="BV516" s="19">
        <v>0</v>
      </c>
      <c r="BW516" s="19">
        <v>0</v>
      </c>
      <c r="BX516" s="19">
        <v>0</v>
      </c>
      <c r="BY516" s="19">
        <v>0</v>
      </c>
      <c r="BZ516" s="19">
        <v>0</v>
      </c>
      <c r="CA516" s="19">
        <v>0</v>
      </c>
      <c r="CB516" s="19">
        <v>0</v>
      </c>
      <c r="CC516" s="19">
        <v>0</v>
      </c>
      <c r="CD516" s="19">
        <v>0</v>
      </c>
      <c r="CE516" s="19">
        <v>0</v>
      </c>
      <c r="CF516" s="19">
        <v>0</v>
      </c>
      <c r="CG516" s="19">
        <v>0</v>
      </c>
      <c r="CH516" s="19">
        <v>0</v>
      </c>
      <c r="CI516" s="19">
        <v>0</v>
      </c>
      <c r="CJ516" s="19">
        <v>0</v>
      </c>
      <c r="CK516" s="19">
        <v>0</v>
      </c>
      <c r="CL516" s="19">
        <v>0</v>
      </c>
      <c r="CM516" s="19">
        <v>0</v>
      </c>
      <c r="CN516" s="19">
        <v>0</v>
      </c>
      <c r="CO516" s="19">
        <v>0</v>
      </c>
      <c r="CP516" s="19">
        <v>0</v>
      </c>
      <c r="CQ516" s="19">
        <v>0</v>
      </c>
      <c r="CR516" s="19">
        <v>0</v>
      </c>
      <c r="CS516" s="19">
        <v>0</v>
      </c>
      <c r="CT516" s="19">
        <v>0</v>
      </c>
      <c r="CU516" s="19">
        <v>0</v>
      </c>
      <c r="CV516" s="19">
        <v>0</v>
      </c>
      <c r="CW516" s="19">
        <v>0</v>
      </c>
      <c r="CX516" s="19">
        <v>0</v>
      </c>
      <c r="CY516" s="19">
        <v>0</v>
      </c>
      <c r="CZ516" s="19">
        <v>0</v>
      </c>
      <c r="DA516" s="19">
        <v>0</v>
      </c>
      <c r="DB516" s="19">
        <v>0</v>
      </c>
      <c r="DC516" s="19">
        <v>0</v>
      </c>
      <c r="DD516" s="19">
        <v>0</v>
      </c>
      <c r="DE516" s="19">
        <v>0</v>
      </c>
      <c r="DF516" s="19">
        <v>0</v>
      </c>
      <c r="DG516" s="19">
        <v>0</v>
      </c>
      <c r="DH516" s="19">
        <v>0</v>
      </c>
      <c r="DI516" s="19">
        <v>0</v>
      </c>
      <c r="DJ516" s="19">
        <v>0</v>
      </c>
      <c r="DK516" s="19">
        <v>0</v>
      </c>
      <c r="DL516" s="19">
        <v>0</v>
      </c>
      <c r="DM516" s="19">
        <v>0</v>
      </c>
      <c r="DN516" s="19">
        <v>0</v>
      </c>
      <c r="DO516" s="19">
        <v>0</v>
      </c>
      <c r="DP516" s="19">
        <v>0</v>
      </c>
      <c r="DQ516" s="19">
        <v>0</v>
      </c>
      <c r="DR516" s="19">
        <v>0</v>
      </c>
      <c r="DS516" s="19">
        <v>0</v>
      </c>
      <c r="DT516" s="19">
        <v>0</v>
      </c>
      <c r="DU516" s="19">
        <v>0</v>
      </c>
      <c r="DV516" s="19">
        <v>0</v>
      </c>
      <c r="DW516" s="19">
        <v>0</v>
      </c>
      <c r="DX516" s="19">
        <v>0</v>
      </c>
      <c r="DY516" s="19">
        <v>0</v>
      </c>
      <c r="DZ516" s="19">
        <v>0</v>
      </c>
      <c r="EA516" s="19">
        <v>0</v>
      </c>
      <c r="EB516" s="19">
        <v>0</v>
      </c>
      <c r="EC516" s="19">
        <v>0</v>
      </c>
      <c r="ED516" s="19">
        <v>0</v>
      </c>
      <c r="EE516" s="19">
        <v>0</v>
      </c>
      <c r="EF516" s="19">
        <v>0</v>
      </c>
      <c r="EG516" s="19">
        <v>0</v>
      </c>
      <c r="EH516" s="19">
        <v>0</v>
      </c>
      <c r="EI516" s="19">
        <v>0</v>
      </c>
      <c r="EJ516" s="19">
        <v>0</v>
      </c>
      <c r="EK516" s="19">
        <v>0</v>
      </c>
      <c r="EL516" s="19">
        <v>0</v>
      </c>
      <c r="EM516" s="19">
        <v>0</v>
      </c>
      <c r="EN516" s="19">
        <v>0</v>
      </c>
      <c r="EO516" s="19">
        <v>0</v>
      </c>
      <c r="EP516" s="19">
        <v>0</v>
      </c>
      <c r="EQ516" s="19">
        <v>0</v>
      </c>
      <c r="ER516" s="19">
        <v>0</v>
      </c>
      <c r="ES516" s="119">
        <v>0</v>
      </c>
      <c r="ET516" s="119">
        <v>0</v>
      </c>
    </row>
    <row r="517" spans="1:150" ht="16.5" customHeight="1" x14ac:dyDescent="0.35">
      <c r="A517" s="4">
        <v>220</v>
      </c>
      <c r="B517" s="4" t="str">
        <f>LOOKUP(A517,Lookup!$A$1:$A$34,Lookup!$B$1:$B$34)</f>
        <v>MINCE &amp; PATTIES</v>
      </c>
      <c r="C517" s="5">
        <v>42766</v>
      </c>
      <c r="D517" s="6" t="s">
        <v>490</v>
      </c>
      <c r="E517" s="18">
        <v>0</v>
      </c>
      <c r="F517" s="18">
        <v>0</v>
      </c>
      <c r="G517" s="18">
        <v>0</v>
      </c>
      <c r="H517" s="18">
        <v>0</v>
      </c>
      <c r="I517" s="19">
        <v>0</v>
      </c>
      <c r="J517" s="19">
        <v>0</v>
      </c>
      <c r="K517" s="19">
        <v>0</v>
      </c>
      <c r="L517" s="19">
        <v>0</v>
      </c>
      <c r="M517" s="19">
        <v>0</v>
      </c>
      <c r="N517" s="19">
        <v>0</v>
      </c>
      <c r="O517" s="19">
        <v>0</v>
      </c>
      <c r="P517" s="19">
        <v>0</v>
      </c>
      <c r="Q517" s="19">
        <v>0</v>
      </c>
      <c r="R517" s="19">
        <v>0</v>
      </c>
      <c r="S517" s="19">
        <v>0</v>
      </c>
      <c r="T517" s="19">
        <v>0</v>
      </c>
      <c r="U517" s="19">
        <v>0</v>
      </c>
      <c r="V517" s="19">
        <v>0</v>
      </c>
      <c r="W517" s="19">
        <v>0</v>
      </c>
      <c r="X517" s="19">
        <v>0</v>
      </c>
      <c r="Y517" s="19">
        <v>0</v>
      </c>
      <c r="Z517" s="19">
        <v>0</v>
      </c>
      <c r="AA517" s="19">
        <v>0</v>
      </c>
      <c r="AB517" s="19">
        <v>0</v>
      </c>
      <c r="AC517" s="19">
        <v>0</v>
      </c>
      <c r="AD517" s="19">
        <v>0</v>
      </c>
      <c r="AE517" s="19">
        <v>0</v>
      </c>
      <c r="AF517" s="19">
        <v>0</v>
      </c>
      <c r="AG517" s="19">
        <v>0</v>
      </c>
      <c r="AH517" s="19">
        <v>0</v>
      </c>
      <c r="AI517" s="19">
        <v>0</v>
      </c>
      <c r="AJ517" s="19">
        <v>0</v>
      </c>
      <c r="AK517" s="19">
        <v>0</v>
      </c>
      <c r="AL517" s="19">
        <v>0</v>
      </c>
      <c r="AM517" s="19">
        <v>0</v>
      </c>
      <c r="AN517" s="19">
        <v>0</v>
      </c>
      <c r="AO517" s="19">
        <v>0</v>
      </c>
      <c r="AP517" s="19">
        <v>0</v>
      </c>
      <c r="AQ517" s="19">
        <v>0</v>
      </c>
      <c r="AR517" s="19">
        <v>0</v>
      </c>
      <c r="AS517" s="19">
        <v>0</v>
      </c>
      <c r="AT517" s="19">
        <v>0</v>
      </c>
      <c r="AU517" s="19">
        <v>0</v>
      </c>
      <c r="AV517" s="19">
        <v>0</v>
      </c>
      <c r="AW517" s="19">
        <v>0</v>
      </c>
      <c r="AX517" s="19">
        <v>0</v>
      </c>
      <c r="AY517" s="19">
        <v>0</v>
      </c>
      <c r="AZ517" s="19">
        <v>0</v>
      </c>
      <c r="BA517" s="19">
        <v>0</v>
      </c>
      <c r="BB517" s="19">
        <v>0</v>
      </c>
      <c r="BC517" s="19">
        <v>0</v>
      </c>
      <c r="BD517" s="19">
        <v>0</v>
      </c>
      <c r="BE517" s="19">
        <v>0</v>
      </c>
      <c r="BF517" s="19">
        <v>0</v>
      </c>
      <c r="BG517" s="19">
        <v>0</v>
      </c>
      <c r="BH517" s="19">
        <v>0</v>
      </c>
      <c r="BI517" s="19">
        <v>0</v>
      </c>
      <c r="BJ517" s="19">
        <v>0</v>
      </c>
      <c r="BK517" s="19">
        <v>0</v>
      </c>
      <c r="BL517" s="19">
        <v>0</v>
      </c>
      <c r="BM517" s="19">
        <v>0</v>
      </c>
      <c r="BN517" s="19">
        <v>0</v>
      </c>
      <c r="BO517" s="19">
        <v>0</v>
      </c>
      <c r="BP517" s="19">
        <v>0</v>
      </c>
      <c r="BQ517" s="19">
        <v>0</v>
      </c>
      <c r="BR517" s="19">
        <v>0</v>
      </c>
      <c r="BS517" s="19">
        <v>0</v>
      </c>
      <c r="BT517" s="19">
        <v>0</v>
      </c>
      <c r="BU517" s="19">
        <v>0</v>
      </c>
      <c r="BV517" s="19">
        <v>0</v>
      </c>
      <c r="BW517" s="19">
        <v>0</v>
      </c>
      <c r="BX517" s="19">
        <v>0</v>
      </c>
      <c r="BY517" s="19">
        <v>0</v>
      </c>
      <c r="BZ517" s="19">
        <v>0</v>
      </c>
      <c r="CA517" s="19">
        <v>0</v>
      </c>
      <c r="CB517" s="19">
        <v>0</v>
      </c>
      <c r="CC517" s="19">
        <v>0</v>
      </c>
      <c r="CD517" s="19">
        <v>0</v>
      </c>
      <c r="CE517" s="19">
        <v>0</v>
      </c>
      <c r="CF517" s="19">
        <v>0</v>
      </c>
      <c r="CG517" s="19">
        <v>0</v>
      </c>
      <c r="CH517" s="19">
        <v>0</v>
      </c>
      <c r="CI517" s="19">
        <v>0</v>
      </c>
      <c r="CJ517" s="19">
        <v>0</v>
      </c>
      <c r="CK517" s="19">
        <v>0</v>
      </c>
      <c r="CL517" s="19">
        <v>0</v>
      </c>
      <c r="CM517" s="19">
        <v>0</v>
      </c>
      <c r="CN517" s="19">
        <v>0</v>
      </c>
      <c r="CO517" s="19">
        <v>0</v>
      </c>
      <c r="CP517" s="19">
        <v>0</v>
      </c>
      <c r="CQ517" s="19">
        <v>0</v>
      </c>
      <c r="CR517" s="19">
        <v>0</v>
      </c>
      <c r="CS517" s="19">
        <v>0</v>
      </c>
      <c r="CT517" s="19">
        <v>0</v>
      </c>
      <c r="CU517" s="19">
        <v>0</v>
      </c>
      <c r="CV517" s="19">
        <v>0</v>
      </c>
      <c r="CW517" s="19">
        <v>0</v>
      </c>
      <c r="CX517" s="19">
        <v>0</v>
      </c>
      <c r="CY517" s="19">
        <v>0</v>
      </c>
      <c r="CZ517" s="19">
        <v>0</v>
      </c>
      <c r="DA517" s="19">
        <v>0</v>
      </c>
      <c r="DB517" s="19">
        <v>0</v>
      </c>
      <c r="DC517" s="19">
        <v>0</v>
      </c>
      <c r="DD517" s="19">
        <v>0</v>
      </c>
      <c r="DE517" s="19">
        <v>0</v>
      </c>
      <c r="DF517" s="19">
        <v>0</v>
      </c>
      <c r="DG517" s="19">
        <v>0</v>
      </c>
      <c r="DH517" s="19">
        <v>0</v>
      </c>
      <c r="DI517" s="19">
        <v>0</v>
      </c>
      <c r="DJ517" s="19">
        <v>0</v>
      </c>
      <c r="DK517" s="19">
        <v>0</v>
      </c>
      <c r="DL517" s="19">
        <v>0</v>
      </c>
      <c r="DM517" s="19">
        <v>0</v>
      </c>
      <c r="DN517" s="19">
        <v>0</v>
      </c>
      <c r="DO517" s="19">
        <v>0</v>
      </c>
      <c r="DP517" s="19">
        <v>0</v>
      </c>
      <c r="DQ517" s="19">
        <v>0</v>
      </c>
      <c r="DR517" s="19">
        <v>0</v>
      </c>
      <c r="DS517" s="19">
        <v>0</v>
      </c>
      <c r="DT517" s="19">
        <v>0</v>
      </c>
      <c r="DU517" s="19">
        <v>0</v>
      </c>
      <c r="DV517" s="19">
        <v>0</v>
      </c>
      <c r="DW517" s="19">
        <v>0</v>
      </c>
      <c r="DX517" s="19">
        <v>0</v>
      </c>
      <c r="DY517" s="19">
        <v>0</v>
      </c>
      <c r="DZ517" s="19">
        <v>0</v>
      </c>
      <c r="EA517" s="19">
        <v>0</v>
      </c>
      <c r="EB517" s="19">
        <v>0</v>
      </c>
      <c r="EC517" s="19">
        <v>0</v>
      </c>
      <c r="ED517" s="19">
        <v>0</v>
      </c>
      <c r="EE517" s="19">
        <v>0</v>
      </c>
      <c r="EF517" s="19">
        <v>0</v>
      </c>
      <c r="EG517" s="19">
        <v>0</v>
      </c>
      <c r="EH517" s="19">
        <v>0</v>
      </c>
      <c r="EI517" s="19">
        <v>0</v>
      </c>
      <c r="EJ517" s="19">
        <v>0</v>
      </c>
      <c r="EK517" s="19">
        <v>0</v>
      </c>
      <c r="EL517" s="19">
        <v>0</v>
      </c>
      <c r="EM517" s="19">
        <v>0</v>
      </c>
      <c r="EN517" s="19">
        <v>0</v>
      </c>
      <c r="EO517" s="19">
        <v>0</v>
      </c>
      <c r="EP517" s="19">
        <v>0</v>
      </c>
      <c r="EQ517" s="19">
        <v>0</v>
      </c>
      <c r="ER517" s="19">
        <v>0</v>
      </c>
      <c r="ES517" s="119">
        <v>0</v>
      </c>
      <c r="ET517" s="119">
        <v>0</v>
      </c>
    </row>
    <row r="518" spans="1:150" ht="16.5" customHeight="1" x14ac:dyDescent="0.35">
      <c r="A518" s="4">
        <v>221</v>
      </c>
      <c r="B518" s="4" t="str">
        <f>LOOKUP(A518,Lookup!$A$1:$A$34,Lookup!$B$1:$B$34)</f>
        <v>STEAK</v>
      </c>
      <c r="C518" s="5">
        <v>34181</v>
      </c>
      <c r="D518" s="6" t="s">
        <v>491</v>
      </c>
      <c r="E518" s="18">
        <v>0</v>
      </c>
      <c r="F518" s="18">
        <v>0</v>
      </c>
      <c r="G518" s="18">
        <v>0</v>
      </c>
      <c r="H518" s="18">
        <v>0</v>
      </c>
      <c r="I518" s="19">
        <v>0</v>
      </c>
      <c r="J518" s="19">
        <v>0</v>
      </c>
      <c r="K518" s="19">
        <v>0</v>
      </c>
      <c r="L518" s="19">
        <v>0</v>
      </c>
      <c r="M518" s="19">
        <v>0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  <c r="T518" s="19">
        <v>0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19">
        <v>0</v>
      </c>
      <c r="AC518" s="19">
        <v>0</v>
      </c>
      <c r="AD518" s="19">
        <v>0</v>
      </c>
      <c r="AE518" s="19">
        <v>0</v>
      </c>
      <c r="AF518" s="19">
        <v>0</v>
      </c>
      <c r="AG518" s="19">
        <v>0</v>
      </c>
      <c r="AH518" s="19">
        <v>0</v>
      </c>
      <c r="AI518" s="19">
        <v>0</v>
      </c>
      <c r="AJ518" s="19">
        <v>0</v>
      </c>
      <c r="AK518" s="19">
        <v>0</v>
      </c>
      <c r="AL518" s="19">
        <v>0</v>
      </c>
      <c r="AM518" s="19">
        <v>0</v>
      </c>
      <c r="AN518" s="19">
        <v>0</v>
      </c>
      <c r="AO518" s="19">
        <v>0</v>
      </c>
      <c r="AP518" s="19">
        <v>0</v>
      </c>
      <c r="AQ518" s="19">
        <v>0</v>
      </c>
      <c r="AR518" s="19">
        <v>0</v>
      </c>
      <c r="AS518" s="19">
        <v>0</v>
      </c>
      <c r="AT518" s="19">
        <v>0</v>
      </c>
      <c r="AU518" s="19">
        <v>0</v>
      </c>
      <c r="AV518" s="19">
        <v>0</v>
      </c>
      <c r="AW518" s="19">
        <v>0</v>
      </c>
      <c r="AX518" s="19">
        <v>0</v>
      </c>
      <c r="AY518" s="19">
        <v>0</v>
      </c>
      <c r="AZ518" s="19">
        <v>0</v>
      </c>
      <c r="BA518" s="19">
        <v>0</v>
      </c>
      <c r="BB518" s="19">
        <v>0</v>
      </c>
      <c r="BC518" s="19">
        <v>0</v>
      </c>
      <c r="BD518" s="19">
        <v>0</v>
      </c>
      <c r="BE518" s="19">
        <v>0</v>
      </c>
      <c r="BF518" s="19">
        <v>0</v>
      </c>
      <c r="BG518" s="19">
        <v>0</v>
      </c>
      <c r="BH518" s="19">
        <v>0</v>
      </c>
      <c r="BI518" s="19">
        <v>0</v>
      </c>
      <c r="BJ518" s="19">
        <v>0</v>
      </c>
      <c r="BK518" s="19">
        <v>0</v>
      </c>
      <c r="BL518" s="19">
        <v>0</v>
      </c>
      <c r="BM518" s="19">
        <v>0</v>
      </c>
      <c r="BN518" s="19">
        <v>0</v>
      </c>
      <c r="BO518" s="19">
        <v>0</v>
      </c>
      <c r="BP518" s="19">
        <v>0</v>
      </c>
      <c r="BQ518" s="19">
        <v>0</v>
      </c>
      <c r="BR518" s="19">
        <v>0</v>
      </c>
      <c r="BS518" s="19">
        <v>0</v>
      </c>
      <c r="BT518" s="19">
        <v>0</v>
      </c>
      <c r="BU518" s="19">
        <v>0</v>
      </c>
      <c r="BV518" s="19">
        <v>0</v>
      </c>
      <c r="BW518" s="19">
        <v>0</v>
      </c>
      <c r="BX518" s="19">
        <v>0</v>
      </c>
      <c r="BY518" s="19">
        <v>0</v>
      </c>
      <c r="BZ518" s="19">
        <v>0</v>
      </c>
      <c r="CA518" s="19">
        <v>0</v>
      </c>
      <c r="CB518" s="19">
        <v>0</v>
      </c>
      <c r="CC518" s="19">
        <v>0</v>
      </c>
      <c r="CD518" s="19">
        <v>0</v>
      </c>
      <c r="CE518" s="19">
        <v>0</v>
      </c>
      <c r="CF518" s="19">
        <v>0</v>
      </c>
      <c r="CG518" s="19">
        <v>0</v>
      </c>
      <c r="CH518" s="19">
        <v>0</v>
      </c>
      <c r="CI518" s="19">
        <v>0</v>
      </c>
      <c r="CJ518" s="19">
        <v>0</v>
      </c>
      <c r="CK518" s="19">
        <v>0</v>
      </c>
      <c r="CL518" s="19">
        <v>0</v>
      </c>
      <c r="CM518" s="19">
        <v>0</v>
      </c>
      <c r="CN518" s="19">
        <v>0</v>
      </c>
      <c r="CO518" s="19">
        <v>0</v>
      </c>
      <c r="CP518" s="19">
        <v>0</v>
      </c>
      <c r="CQ518" s="19">
        <v>0</v>
      </c>
      <c r="CR518" s="19">
        <v>0</v>
      </c>
      <c r="CS518" s="19">
        <v>0</v>
      </c>
      <c r="CT518" s="19">
        <v>0</v>
      </c>
      <c r="CU518" s="19">
        <v>0</v>
      </c>
      <c r="CV518" s="19">
        <v>0</v>
      </c>
      <c r="CW518" s="19">
        <v>0</v>
      </c>
      <c r="CX518" s="19">
        <v>0</v>
      </c>
      <c r="CY518" s="19">
        <v>0</v>
      </c>
      <c r="CZ518" s="19">
        <v>0</v>
      </c>
      <c r="DA518" s="19">
        <v>0</v>
      </c>
      <c r="DB518" s="19">
        <v>0</v>
      </c>
      <c r="DC518" s="19">
        <v>0</v>
      </c>
      <c r="DD518" s="19">
        <v>0</v>
      </c>
      <c r="DE518" s="19">
        <v>0</v>
      </c>
      <c r="DF518" s="19">
        <v>0</v>
      </c>
      <c r="DG518" s="19">
        <v>0</v>
      </c>
      <c r="DH518" s="19">
        <v>0</v>
      </c>
      <c r="DI518" s="19">
        <v>0</v>
      </c>
      <c r="DJ518" s="19">
        <v>0</v>
      </c>
      <c r="DK518" s="19">
        <v>0</v>
      </c>
      <c r="DL518" s="19">
        <v>0</v>
      </c>
      <c r="DM518" s="19">
        <v>0</v>
      </c>
      <c r="DN518" s="19">
        <v>0</v>
      </c>
      <c r="DO518" s="19">
        <v>0</v>
      </c>
      <c r="DP518" s="19">
        <v>0</v>
      </c>
      <c r="DQ518" s="19">
        <v>0</v>
      </c>
      <c r="DR518" s="19">
        <v>0</v>
      </c>
      <c r="DS518" s="19">
        <v>0</v>
      </c>
      <c r="DT518" s="19">
        <v>0</v>
      </c>
      <c r="DU518" s="19">
        <v>0</v>
      </c>
      <c r="DV518" s="19">
        <v>0</v>
      </c>
      <c r="DW518" s="19">
        <v>0</v>
      </c>
      <c r="DX518" s="19">
        <v>0</v>
      </c>
      <c r="DY518" s="19">
        <v>0</v>
      </c>
      <c r="DZ518" s="19">
        <v>0</v>
      </c>
      <c r="EA518" s="19">
        <v>0</v>
      </c>
      <c r="EB518" s="19">
        <v>0</v>
      </c>
      <c r="EC518" s="19">
        <v>0</v>
      </c>
      <c r="ED518" s="19">
        <v>0</v>
      </c>
      <c r="EE518" s="19">
        <v>0</v>
      </c>
      <c r="EF518" s="19">
        <v>0</v>
      </c>
      <c r="EG518" s="19">
        <v>0</v>
      </c>
      <c r="EH518" s="19">
        <v>0</v>
      </c>
      <c r="EI518" s="19">
        <v>0</v>
      </c>
      <c r="EJ518" s="19">
        <v>0</v>
      </c>
      <c r="EK518" s="19">
        <v>0</v>
      </c>
      <c r="EL518" s="19">
        <v>0</v>
      </c>
      <c r="EM518" s="19">
        <v>0</v>
      </c>
      <c r="EN518" s="19">
        <v>0</v>
      </c>
      <c r="EO518" s="19">
        <v>0</v>
      </c>
      <c r="EP518" s="19">
        <v>0</v>
      </c>
      <c r="EQ518" s="19">
        <v>0</v>
      </c>
      <c r="ER518" s="19">
        <v>0</v>
      </c>
      <c r="ES518" s="119">
        <v>0</v>
      </c>
      <c r="ET518" s="119">
        <v>0</v>
      </c>
    </row>
    <row r="519" spans="1:150" ht="16.5" customHeight="1" x14ac:dyDescent="0.35">
      <c r="A519" s="4">
        <v>221</v>
      </c>
      <c r="B519" s="4" t="str">
        <f>LOOKUP(A519,Lookup!$A$1:$A$34,Lookup!$B$1:$B$34)</f>
        <v>STEAK</v>
      </c>
      <c r="C519" s="5">
        <v>34183</v>
      </c>
      <c r="D519" s="6" t="s">
        <v>492</v>
      </c>
      <c r="E519" s="18">
        <v>0</v>
      </c>
      <c r="F519" s="18">
        <v>0</v>
      </c>
      <c r="G519" s="18">
        <v>0</v>
      </c>
      <c r="H519" s="18">
        <v>0</v>
      </c>
      <c r="I519" s="19">
        <v>0</v>
      </c>
      <c r="J519" s="19">
        <v>0</v>
      </c>
      <c r="K519" s="19">
        <v>0</v>
      </c>
      <c r="L519" s="19">
        <v>0</v>
      </c>
      <c r="M519" s="19">
        <v>0</v>
      </c>
      <c r="N519" s="19">
        <v>0</v>
      </c>
      <c r="O519" s="19">
        <v>0</v>
      </c>
      <c r="P519" s="19">
        <v>0</v>
      </c>
      <c r="Q519" s="19">
        <v>0</v>
      </c>
      <c r="R519" s="19">
        <v>0</v>
      </c>
      <c r="S519" s="19">
        <v>0</v>
      </c>
      <c r="T519" s="19">
        <v>0</v>
      </c>
      <c r="U519" s="19">
        <v>0</v>
      </c>
      <c r="V519" s="19">
        <v>0</v>
      </c>
      <c r="W519" s="19">
        <v>0</v>
      </c>
      <c r="X519" s="19">
        <v>0</v>
      </c>
      <c r="Y519" s="19">
        <v>0</v>
      </c>
      <c r="Z519" s="19">
        <v>0</v>
      </c>
      <c r="AA519" s="19">
        <v>0</v>
      </c>
      <c r="AB519" s="19">
        <v>0</v>
      </c>
      <c r="AC519" s="19">
        <v>0</v>
      </c>
      <c r="AD519" s="19">
        <v>0</v>
      </c>
      <c r="AE519" s="19">
        <v>0</v>
      </c>
      <c r="AF519" s="19">
        <v>0</v>
      </c>
      <c r="AG519" s="19">
        <v>0</v>
      </c>
      <c r="AH519" s="19">
        <v>0</v>
      </c>
      <c r="AI519" s="19">
        <v>0</v>
      </c>
      <c r="AJ519" s="19">
        <v>0</v>
      </c>
      <c r="AK519" s="19">
        <v>0</v>
      </c>
      <c r="AL519" s="19">
        <v>0</v>
      </c>
      <c r="AM519" s="19">
        <v>0</v>
      </c>
      <c r="AN519" s="19">
        <v>0</v>
      </c>
      <c r="AO519" s="19">
        <v>0</v>
      </c>
      <c r="AP519" s="19">
        <v>0</v>
      </c>
      <c r="AQ519" s="19">
        <v>0</v>
      </c>
      <c r="AR519" s="19">
        <v>0</v>
      </c>
      <c r="AS519" s="19">
        <v>0</v>
      </c>
      <c r="AT519" s="19">
        <v>0</v>
      </c>
      <c r="AU519" s="19">
        <v>0</v>
      </c>
      <c r="AV519" s="19">
        <v>0</v>
      </c>
      <c r="AW519" s="19">
        <v>0</v>
      </c>
      <c r="AX519" s="19">
        <v>0</v>
      </c>
      <c r="AY519" s="19">
        <v>0</v>
      </c>
      <c r="AZ519" s="19">
        <v>0</v>
      </c>
      <c r="BA519" s="19">
        <v>0</v>
      </c>
      <c r="BB519" s="19">
        <v>0</v>
      </c>
      <c r="BC519" s="19">
        <v>0</v>
      </c>
      <c r="BD519" s="19">
        <v>0</v>
      </c>
      <c r="BE519" s="19">
        <v>0</v>
      </c>
      <c r="BF519" s="19">
        <v>0</v>
      </c>
      <c r="BG519" s="19">
        <v>0</v>
      </c>
      <c r="BH519" s="19">
        <v>0</v>
      </c>
      <c r="BI519" s="19">
        <v>0</v>
      </c>
      <c r="BJ519" s="19">
        <v>0</v>
      </c>
      <c r="BK519" s="19">
        <v>0</v>
      </c>
      <c r="BL519" s="19">
        <v>0</v>
      </c>
      <c r="BM519" s="19">
        <v>0</v>
      </c>
      <c r="BN519" s="19">
        <v>0</v>
      </c>
      <c r="BO519" s="19">
        <v>0</v>
      </c>
      <c r="BP519" s="19">
        <v>0</v>
      </c>
      <c r="BQ519" s="19">
        <v>0</v>
      </c>
      <c r="BR519" s="19">
        <v>0</v>
      </c>
      <c r="BS519" s="19">
        <v>0</v>
      </c>
      <c r="BT519" s="19">
        <v>0</v>
      </c>
      <c r="BU519" s="19">
        <v>0</v>
      </c>
      <c r="BV519" s="19">
        <v>0</v>
      </c>
      <c r="BW519" s="19">
        <v>0</v>
      </c>
      <c r="BX519" s="19">
        <v>0</v>
      </c>
      <c r="BY519" s="19">
        <v>0</v>
      </c>
      <c r="BZ519" s="19">
        <v>0</v>
      </c>
      <c r="CA519" s="19">
        <v>0</v>
      </c>
      <c r="CB519" s="19">
        <v>0</v>
      </c>
      <c r="CC519" s="19">
        <v>0</v>
      </c>
      <c r="CD519" s="19">
        <v>0</v>
      </c>
      <c r="CE519" s="19">
        <v>0</v>
      </c>
      <c r="CF519" s="19">
        <v>0</v>
      </c>
      <c r="CG519" s="19">
        <v>0</v>
      </c>
      <c r="CH519" s="19">
        <v>0</v>
      </c>
      <c r="CI519" s="19">
        <v>0</v>
      </c>
      <c r="CJ519" s="19">
        <v>0</v>
      </c>
      <c r="CK519" s="19">
        <v>0</v>
      </c>
      <c r="CL519" s="19">
        <v>0</v>
      </c>
      <c r="CM519" s="19">
        <v>0</v>
      </c>
      <c r="CN519" s="19">
        <v>0</v>
      </c>
      <c r="CO519" s="19">
        <v>0</v>
      </c>
      <c r="CP519" s="19">
        <v>0</v>
      </c>
      <c r="CQ519" s="19">
        <v>0</v>
      </c>
      <c r="CR519" s="19">
        <v>0</v>
      </c>
      <c r="CS519" s="19">
        <v>0</v>
      </c>
      <c r="CT519" s="19">
        <v>0</v>
      </c>
      <c r="CU519" s="19">
        <v>0</v>
      </c>
      <c r="CV519" s="19">
        <v>0</v>
      </c>
      <c r="CW519" s="19">
        <v>0</v>
      </c>
      <c r="CX519" s="19">
        <v>0</v>
      </c>
      <c r="CY519" s="19">
        <v>0</v>
      </c>
      <c r="CZ519" s="19">
        <v>0</v>
      </c>
      <c r="DA519" s="19">
        <v>0</v>
      </c>
      <c r="DB519" s="19">
        <v>0</v>
      </c>
      <c r="DC519" s="19">
        <v>0</v>
      </c>
      <c r="DD519" s="19">
        <v>0</v>
      </c>
      <c r="DE519" s="19">
        <v>0</v>
      </c>
      <c r="DF519" s="19">
        <v>0</v>
      </c>
      <c r="DG519" s="19">
        <v>0</v>
      </c>
      <c r="DH519" s="19">
        <v>0</v>
      </c>
      <c r="DI519" s="19">
        <v>0</v>
      </c>
      <c r="DJ519" s="19">
        <v>0</v>
      </c>
      <c r="DK519" s="19">
        <v>0</v>
      </c>
      <c r="DL519" s="19">
        <v>0</v>
      </c>
      <c r="DM519" s="19">
        <v>0</v>
      </c>
      <c r="DN519" s="19">
        <v>0</v>
      </c>
      <c r="DO519" s="19">
        <v>0</v>
      </c>
      <c r="DP519" s="19">
        <v>0</v>
      </c>
      <c r="DQ519" s="19">
        <v>0</v>
      </c>
      <c r="DR519" s="19">
        <v>0</v>
      </c>
      <c r="DS519" s="19">
        <v>0</v>
      </c>
      <c r="DT519" s="19">
        <v>0</v>
      </c>
      <c r="DU519" s="19">
        <v>0</v>
      </c>
      <c r="DV519" s="19">
        <v>0</v>
      </c>
      <c r="DW519" s="19">
        <v>0</v>
      </c>
      <c r="DX519" s="19">
        <v>0</v>
      </c>
      <c r="DY519" s="19">
        <v>0</v>
      </c>
      <c r="DZ519" s="19">
        <v>0</v>
      </c>
      <c r="EA519" s="19">
        <v>0</v>
      </c>
      <c r="EB519" s="19">
        <v>0</v>
      </c>
      <c r="EC519" s="19">
        <v>0</v>
      </c>
      <c r="ED519" s="19">
        <v>0</v>
      </c>
      <c r="EE519" s="19">
        <v>0</v>
      </c>
      <c r="EF519" s="19">
        <v>0</v>
      </c>
      <c r="EG519" s="19">
        <v>0</v>
      </c>
      <c r="EH519" s="19">
        <v>0</v>
      </c>
      <c r="EI519" s="19">
        <v>0</v>
      </c>
      <c r="EJ519" s="19">
        <v>0</v>
      </c>
      <c r="EK519" s="19">
        <v>0</v>
      </c>
      <c r="EL519" s="19">
        <v>0</v>
      </c>
      <c r="EM519" s="19">
        <v>0</v>
      </c>
      <c r="EN519" s="19">
        <v>0</v>
      </c>
      <c r="EO519" s="19">
        <v>0</v>
      </c>
      <c r="EP519" s="19">
        <v>0</v>
      </c>
      <c r="EQ519" s="19">
        <v>0</v>
      </c>
      <c r="ER519" s="19">
        <v>0</v>
      </c>
      <c r="ES519" s="119">
        <v>0</v>
      </c>
      <c r="ET519" s="119">
        <v>0</v>
      </c>
    </row>
    <row r="520" spans="1:150" ht="16.5" customHeight="1" x14ac:dyDescent="0.35">
      <c r="A520" s="4">
        <v>222</v>
      </c>
      <c r="B520" s="4" t="str">
        <f>LOOKUP(A520,Lookup!$A$1:$A$34,Lookup!$B$1:$B$34)</f>
        <v>CHICKEN FROZEN</v>
      </c>
      <c r="C520" s="5">
        <v>34307</v>
      </c>
      <c r="D520" s="6" t="s">
        <v>493</v>
      </c>
      <c r="E520" s="18">
        <v>0</v>
      </c>
      <c r="F520" s="18">
        <v>0</v>
      </c>
      <c r="G520" s="18">
        <v>0</v>
      </c>
      <c r="H520" s="18">
        <v>0</v>
      </c>
      <c r="I520" s="19">
        <v>0</v>
      </c>
      <c r="J520" s="19">
        <v>0</v>
      </c>
      <c r="K520" s="19">
        <v>0</v>
      </c>
      <c r="L520" s="19">
        <v>0</v>
      </c>
      <c r="M520" s="19">
        <v>0</v>
      </c>
      <c r="N520" s="19">
        <v>0</v>
      </c>
      <c r="O520" s="19">
        <v>0</v>
      </c>
      <c r="P520" s="19">
        <v>0</v>
      </c>
      <c r="Q520" s="19">
        <v>0</v>
      </c>
      <c r="R520" s="19">
        <v>0</v>
      </c>
      <c r="S520" s="19">
        <v>0</v>
      </c>
      <c r="T520" s="19">
        <v>0</v>
      </c>
      <c r="U520" s="19">
        <v>0</v>
      </c>
      <c r="V520" s="19">
        <v>0</v>
      </c>
      <c r="W520" s="19">
        <v>0</v>
      </c>
      <c r="X520" s="19">
        <v>0</v>
      </c>
      <c r="Y520" s="19">
        <v>0</v>
      </c>
      <c r="Z520" s="19">
        <v>0</v>
      </c>
      <c r="AA520" s="19">
        <v>0</v>
      </c>
      <c r="AB520" s="19">
        <v>0</v>
      </c>
      <c r="AC520" s="19">
        <v>0</v>
      </c>
      <c r="AD520" s="19">
        <v>0</v>
      </c>
      <c r="AE520" s="19">
        <v>0</v>
      </c>
      <c r="AF520" s="19">
        <v>0</v>
      </c>
      <c r="AG520" s="19">
        <v>0</v>
      </c>
      <c r="AH520" s="19">
        <v>0</v>
      </c>
      <c r="AI520" s="19">
        <v>0</v>
      </c>
      <c r="AJ520" s="19">
        <v>0</v>
      </c>
      <c r="AK520" s="19">
        <v>0</v>
      </c>
      <c r="AL520" s="19">
        <v>0</v>
      </c>
      <c r="AM520" s="19">
        <v>0</v>
      </c>
      <c r="AN520" s="19">
        <v>0</v>
      </c>
      <c r="AO520" s="19">
        <v>0</v>
      </c>
      <c r="AP520" s="19">
        <v>0</v>
      </c>
      <c r="AQ520" s="19">
        <v>0</v>
      </c>
      <c r="AR520" s="19">
        <v>0</v>
      </c>
      <c r="AS520" s="19">
        <v>0</v>
      </c>
      <c r="AT520" s="19">
        <v>0</v>
      </c>
      <c r="AU520" s="19">
        <v>0</v>
      </c>
      <c r="AV520" s="19">
        <v>0</v>
      </c>
      <c r="AW520" s="19">
        <v>0</v>
      </c>
      <c r="AX520" s="19">
        <v>0</v>
      </c>
      <c r="AY520" s="19">
        <v>0</v>
      </c>
      <c r="AZ520" s="19">
        <v>0</v>
      </c>
      <c r="BA520" s="19">
        <v>0</v>
      </c>
      <c r="BB520" s="19">
        <v>0</v>
      </c>
      <c r="BC520" s="19">
        <v>0</v>
      </c>
      <c r="BD520" s="19">
        <v>0</v>
      </c>
      <c r="BE520" s="19">
        <v>0</v>
      </c>
      <c r="BF520" s="19">
        <v>0</v>
      </c>
      <c r="BG520" s="19">
        <v>0</v>
      </c>
      <c r="BH520" s="19">
        <v>0</v>
      </c>
      <c r="BI520" s="19">
        <v>0</v>
      </c>
      <c r="BJ520" s="19">
        <v>0</v>
      </c>
      <c r="BK520" s="19">
        <v>0</v>
      </c>
      <c r="BL520" s="19">
        <v>0</v>
      </c>
      <c r="BM520" s="19">
        <v>0</v>
      </c>
      <c r="BN520" s="19">
        <v>0</v>
      </c>
      <c r="BO520" s="19">
        <v>0</v>
      </c>
      <c r="BP520" s="19">
        <v>0</v>
      </c>
      <c r="BQ520" s="19">
        <v>0</v>
      </c>
      <c r="BR520" s="19">
        <v>0</v>
      </c>
      <c r="BS520" s="19">
        <v>0</v>
      </c>
      <c r="BT520" s="19">
        <v>0</v>
      </c>
      <c r="BU520" s="19">
        <v>0</v>
      </c>
      <c r="BV520" s="19">
        <v>0</v>
      </c>
      <c r="BW520" s="19">
        <v>0</v>
      </c>
      <c r="BX520" s="19">
        <v>0</v>
      </c>
      <c r="BY520" s="19">
        <v>0</v>
      </c>
      <c r="BZ520" s="19">
        <v>0</v>
      </c>
      <c r="CA520" s="19">
        <v>0</v>
      </c>
      <c r="CB520" s="19">
        <v>0</v>
      </c>
      <c r="CC520" s="19">
        <v>0</v>
      </c>
      <c r="CD520" s="19">
        <v>0</v>
      </c>
      <c r="CE520" s="19">
        <v>0</v>
      </c>
      <c r="CF520" s="19">
        <v>0</v>
      </c>
      <c r="CG520" s="19">
        <v>0</v>
      </c>
      <c r="CH520" s="19">
        <v>0</v>
      </c>
      <c r="CI520" s="19">
        <v>0</v>
      </c>
      <c r="CJ520" s="19">
        <v>0</v>
      </c>
      <c r="CK520" s="19">
        <v>0</v>
      </c>
      <c r="CL520" s="19">
        <v>0</v>
      </c>
      <c r="CM520" s="19">
        <v>0</v>
      </c>
      <c r="CN520" s="19">
        <v>0</v>
      </c>
      <c r="CO520" s="19">
        <v>0</v>
      </c>
      <c r="CP520" s="19">
        <v>0</v>
      </c>
      <c r="CQ520" s="19">
        <v>0</v>
      </c>
      <c r="CR520" s="19">
        <v>0</v>
      </c>
      <c r="CS520" s="19">
        <v>0</v>
      </c>
      <c r="CT520" s="19">
        <v>0</v>
      </c>
      <c r="CU520" s="19">
        <v>0</v>
      </c>
      <c r="CV520" s="19">
        <v>0</v>
      </c>
      <c r="CW520" s="19">
        <v>0</v>
      </c>
      <c r="CX520" s="19">
        <v>0</v>
      </c>
      <c r="CY520" s="19">
        <v>0</v>
      </c>
      <c r="CZ520" s="19">
        <v>0</v>
      </c>
      <c r="DA520" s="19">
        <v>0</v>
      </c>
      <c r="DB520" s="19">
        <v>0</v>
      </c>
      <c r="DC520" s="19">
        <v>0</v>
      </c>
      <c r="DD520" s="19">
        <v>0</v>
      </c>
      <c r="DE520" s="19">
        <v>0</v>
      </c>
      <c r="DF520" s="19">
        <v>0</v>
      </c>
      <c r="DG520" s="19">
        <v>0</v>
      </c>
      <c r="DH520" s="19">
        <v>0</v>
      </c>
      <c r="DI520" s="19">
        <v>0</v>
      </c>
      <c r="DJ520" s="19">
        <v>0</v>
      </c>
      <c r="DK520" s="19">
        <v>0</v>
      </c>
      <c r="DL520" s="19">
        <v>0</v>
      </c>
      <c r="DM520" s="19">
        <v>0</v>
      </c>
      <c r="DN520" s="19">
        <v>0</v>
      </c>
      <c r="DO520" s="19">
        <v>0</v>
      </c>
      <c r="DP520" s="19">
        <v>0</v>
      </c>
      <c r="DQ520" s="19">
        <v>0</v>
      </c>
      <c r="DR520" s="19">
        <v>0</v>
      </c>
      <c r="DS520" s="19">
        <v>0</v>
      </c>
      <c r="DT520" s="19">
        <v>0</v>
      </c>
      <c r="DU520" s="19">
        <v>0</v>
      </c>
      <c r="DV520" s="19">
        <v>0</v>
      </c>
      <c r="DW520" s="19">
        <v>0</v>
      </c>
      <c r="DX520" s="19">
        <v>0</v>
      </c>
      <c r="DY520" s="19">
        <v>0</v>
      </c>
      <c r="DZ520" s="19">
        <v>0</v>
      </c>
      <c r="EA520" s="19">
        <v>0</v>
      </c>
      <c r="EB520" s="19">
        <v>0</v>
      </c>
      <c r="EC520" s="19">
        <v>0</v>
      </c>
      <c r="ED520" s="19">
        <v>0</v>
      </c>
      <c r="EE520" s="19">
        <v>0</v>
      </c>
      <c r="EF520" s="19">
        <v>0</v>
      </c>
      <c r="EG520" s="19">
        <v>0</v>
      </c>
      <c r="EH520" s="19">
        <v>0</v>
      </c>
      <c r="EI520" s="19">
        <v>0</v>
      </c>
      <c r="EJ520" s="19">
        <v>0</v>
      </c>
      <c r="EK520" s="19">
        <v>0</v>
      </c>
      <c r="EL520" s="19">
        <v>0</v>
      </c>
      <c r="EM520" s="19">
        <v>0</v>
      </c>
      <c r="EN520" s="19">
        <v>0</v>
      </c>
      <c r="EO520" s="19">
        <v>0</v>
      </c>
      <c r="EP520" s="19">
        <v>0</v>
      </c>
      <c r="EQ520" s="19">
        <v>0</v>
      </c>
      <c r="ER520" s="19">
        <v>0</v>
      </c>
      <c r="ES520" s="119">
        <v>0</v>
      </c>
      <c r="ET520" s="119">
        <v>0</v>
      </c>
    </row>
    <row r="521" spans="1:150" ht="16.5" customHeight="1" x14ac:dyDescent="0.35">
      <c r="A521" s="4">
        <v>224</v>
      </c>
      <c r="B521" s="4" t="str">
        <f>LOOKUP(A521,Lookup!$A$1:$A$34,Lookup!$B$1:$B$34)</f>
        <v>BILT&amp; DROEWORS BUY IN</v>
      </c>
      <c r="C521" s="5">
        <v>32050</v>
      </c>
      <c r="D521" s="6" t="s">
        <v>494</v>
      </c>
      <c r="E521" s="18">
        <v>18.0467850581751</v>
      </c>
      <c r="F521" s="18">
        <v>3.6999999999999998E-2</v>
      </c>
      <c r="G521" s="18">
        <v>1281.3217391304299</v>
      </c>
      <c r="H521" s="18">
        <v>2.6080000000000001</v>
      </c>
      <c r="I521" s="19">
        <v>0</v>
      </c>
      <c r="J521" s="19">
        <v>0</v>
      </c>
      <c r="K521" s="19">
        <v>0</v>
      </c>
      <c r="L521" s="19">
        <v>0</v>
      </c>
      <c r="M521" s="19">
        <v>0</v>
      </c>
      <c r="N521" s="19">
        <v>0</v>
      </c>
      <c r="O521" s="19">
        <v>0</v>
      </c>
      <c r="P521" s="19">
        <v>0</v>
      </c>
      <c r="Q521" s="19">
        <v>0</v>
      </c>
      <c r="R521" s="19">
        <v>0</v>
      </c>
      <c r="S521" s="19">
        <v>0</v>
      </c>
      <c r="T521" s="19">
        <v>0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0</v>
      </c>
      <c r="AL521" s="19">
        <v>0</v>
      </c>
      <c r="AM521" s="19">
        <v>0</v>
      </c>
      <c r="AN521" s="19">
        <v>0</v>
      </c>
      <c r="AO521" s="19">
        <v>0</v>
      </c>
      <c r="AP521" s="19">
        <v>0</v>
      </c>
      <c r="AQ521" s="19">
        <v>0</v>
      </c>
      <c r="AR521" s="19">
        <v>0</v>
      </c>
      <c r="AS521" s="19">
        <v>0</v>
      </c>
      <c r="AT521" s="19">
        <v>0</v>
      </c>
      <c r="AU521" s="19">
        <v>0</v>
      </c>
      <c r="AV521" s="19">
        <v>0</v>
      </c>
      <c r="AW521" s="19">
        <v>0</v>
      </c>
      <c r="AX521" s="19">
        <v>0</v>
      </c>
      <c r="AY521" s="19">
        <v>0</v>
      </c>
      <c r="AZ521" s="19">
        <v>0</v>
      </c>
      <c r="BA521" s="19">
        <v>0</v>
      </c>
      <c r="BB521" s="19">
        <v>0</v>
      </c>
      <c r="BC521" s="19">
        <v>0</v>
      </c>
      <c r="BD521" s="19">
        <v>0</v>
      </c>
      <c r="BE521" s="19">
        <v>0</v>
      </c>
      <c r="BF521" s="19">
        <v>0</v>
      </c>
      <c r="BG521" s="19">
        <v>0</v>
      </c>
      <c r="BH521" s="19">
        <v>0</v>
      </c>
      <c r="BI521" s="19">
        <v>0</v>
      </c>
      <c r="BJ521" s="19">
        <v>0</v>
      </c>
      <c r="BK521" s="19">
        <v>0</v>
      </c>
      <c r="BL521" s="19">
        <v>0</v>
      </c>
      <c r="BM521" s="19">
        <v>0</v>
      </c>
      <c r="BN521" s="19">
        <v>0</v>
      </c>
      <c r="BO521" s="19">
        <v>0</v>
      </c>
      <c r="BP521" s="19">
        <v>0</v>
      </c>
      <c r="BQ521" s="19">
        <v>0</v>
      </c>
      <c r="BR521" s="19">
        <v>0</v>
      </c>
      <c r="BS521" s="19">
        <v>0</v>
      </c>
      <c r="BT521" s="19">
        <v>0</v>
      </c>
      <c r="BU521" s="19">
        <v>0</v>
      </c>
      <c r="BV521" s="19">
        <v>0</v>
      </c>
      <c r="BW521" s="19">
        <v>0</v>
      </c>
      <c r="BX521" s="19">
        <v>0</v>
      </c>
      <c r="BY521" s="19">
        <v>0</v>
      </c>
      <c r="BZ521" s="19">
        <v>0</v>
      </c>
      <c r="CA521" s="19">
        <v>0</v>
      </c>
      <c r="CB521" s="19">
        <v>0</v>
      </c>
      <c r="CC521" s="19">
        <v>0</v>
      </c>
      <c r="CD521" s="19">
        <v>0</v>
      </c>
      <c r="CE521" s="19">
        <v>0</v>
      </c>
      <c r="CF521" s="19">
        <v>0</v>
      </c>
      <c r="CG521" s="19">
        <v>0</v>
      </c>
      <c r="CH521" s="19">
        <v>0</v>
      </c>
      <c r="CI521" s="19">
        <v>0</v>
      </c>
      <c r="CJ521" s="19">
        <v>0</v>
      </c>
      <c r="CK521" s="19">
        <v>0</v>
      </c>
      <c r="CL521" s="19">
        <v>0</v>
      </c>
      <c r="CM521" s="19">
        <v>0</v>
      </c>
      <c r="CN521" s="19">
        <v>0</v>
      </c>
      <c r="CO521" s="19">
        <v>173.92173913043499</v>
      </c>
      <c r="CP521" s="19">
        <v>0.35399999999999998</v>
      </c>
      <c r="CQ521" s="19">
        <v>518.81739130434801</v>
      </c>
      <c r="CR521" s="19">
        <v>1.056</v>
      </c>
      <c r="CS521" s="19">
        <v>0</v>
      </c>
      <c r="CT521" s="19">
        <v>0</v>
      </c>
      <c r="CU521" s="19">
        <v>65.834782608695605</v>
      </c>
      <c r="CV521" s="19">
        <v>0.13400000000000001</v>
      </c>
      <c r="CW521" s="19">
        <v>58.956521739130402</v>
      </c>
      <c r="CX521" s="19">
        <v>0.12</v>
      </c>
      <c r="CY521" s="19">
        <v>0</v>
      </c>
      <c r="CZ521" s="19">
        <v>0</v>
      </c>
      <c r="DA521" s="19">
        <v>0</v>
      </c>
      <c r="DB521" s="19">
        <v>0</v>
      </c>
      <c r="DC521" s="19">
        <v>0</v>
      </c>
      <c r="DD521" s="19">
        <v>0</v>
      </c>
      <c r="DE521" s="19">
        <v>0</v>
      </c>
      <c r="DF521" s="19">
        <v>0</v>
      </c>
      <c r="DG521" s="19">
        <v>0</v>
      </c>
      <c r="DH521" s="19">
        <v>0</v>
      </c>
      <c r="DI521" s="19">
        <v>176.869565217391</v>
      </c>
      <c r="DJ521" s="19">
        <v>0.36</v>
      </c>
      <c r="DK521" s="19">
        <v>57.973913043478298</v>
      </c>
      <c r="DL521" s="19">
        <v>0.11799999999999999</v>
      </c>
      <c r="DM521" s="19">
        <v>129.704347826087</v>
      </c>
      <c r="DN521" s="19">
        <v>0.26400000000000001</v>
      </c>
      <c r="DO521" s="19">
        <v>0</v>
      </c>
      <c r="DP521" s="19">
        <v>0</v>
      </c>
      <c r="DQ521" s="19">
        <v>51.095652173913003</v>
      </c>
      <c r="DR521" s="19">
        <v>0.104</v>
      </c>
      <c r="DS521" s="19">
        <v>48.147826086956499</v>
      </c>
      <c r="DT521" s="19">
        <v>9.8000000000000004E-2</v>
      </c>
      <c r="DU521" s="19">
        <v>0</v>
      </c>
      <c r="DV521" s="19">
        <v>0</v>
      </c>
      <c r="DW521" s="19">
        <v>0</v>
      </c>
      <c r="DX521" s="19">
        <v>0</v>
      </c>
      <c r="DY521" s="19">
        <v>0</v>
      </c>
      <c r="DZ521" s="19">
        <v>0</v>
      </c>
      <c r="EA521" s="19">
        <v>0</v>
      </c>
      <c r="EB521" s="19">
        <v>0</v>
      </c>
      <c r="EC521" s="19">
        <v>0</v>
      </c>
      <c r="ED521" s="19">
        <v>0</v>
      </c>
      <c r="EE521" s="19">
        <v>0</v>
      </c>
      <c r="EF521" s="19">
        <v>0</v>
      </c>
      <c r="EG521" s="19">
        <v>0</v>
      </c>
      <c r="EH521" s="19">
        <v>0</v>
      </c>
      <c r="EI521" s="19">
        <v>0</v>
      </c>
      <c r="EJ521" s="19">
        <v>0</v>
      </c>
      <c r="EK521" s="19">
        <v>0</v>
      </c>
      <c r="EL521" s="19">
        <v>0</v>
      </c>
      <c r="EM521" s="19">
        <v>0</v>
      </c>
      <c r="EN521" s="19">
        <v>0</v>
      </c>
      <c r="EO521" s="19">
        <v>0</v>
      </c>
      <c r="EP521" s="19">
        <v>0</v>
      </c>
      <c r="EQ521" s="19">
        <v>0</v>
      </c>
      <c r="ER521" s="19">
        <v>0</v>
      </c>
      <c r="ES521" s="119">
        <v>0</v>
      </c>
      <c r="ET521" s="119">
        <v>0</v>
      </c>
    </row>
    <row r="522" spans="1:150" ht="16.5" customHeight="1" x14ac:dyDescent="0.35">
      <c r="A522" s="4">
        <v>224</v>
      </c>
      <c r="B522" s="4" t="str">
        <f>LOOKUP(A522,Lookup!$A$1:$A$34,Lookup!$B$1:$B$34)</f>
        <v>BILT&amp; DROEWORS BUY IN</v>
      </c>
      <c r="C522" s="5">
        <v>45713</v>
      </c>
      <c r="D522" s="6" t="s">
        <v>495</v>
      </c>
      <c r="E522" s="18">
        <v>0</v>
      </c>
      <c r="F522" s="18">
        <v>0</v>
      </c>
      <c r="G522" s="18">
        <v>0</v>
      </c>
      <c r="H522" s="18">
        <v>0</v>
      </c>
      <c r="I522" s="19">
        <v>0</v>
      </c>
      <c r="J522" s="19">
        <v>0</v>
      </c>
      <c r="K522" s="19">
        <v>0</v>
      </c>
      <c r="L522" s="19">
        <v>0</v>
      </c>
      <c r="M522" s="19">
        <v>0</v>
      </c>
      <c r="N522" s="19">
        <v>0</v>
      </c>
      <c r="O522" s="19">
        <v>0</v>
      </c>
      <c r="P522" s="19">
        <v>0</v>
      </c>
      <c r="Q522" s="19">
        <v>0</v>
      </c>
      <c r="R522" s="19">
        <v>0</v>
      </c>
      <c r="S522" s="19">
        <v>0</v>
      </c>
      <c r="T522" s="19">
        <v>0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>
        <v>0</v>
      </c>
      <c r="AC522" s="19">
        <v>0</v>
      </c>
      <c r="AD522" s="19">
        <v>0</v>
      </c>
      <c r="AE522" s="19">
        <v>0</v>
      </c>
      <c r="AF522" s="19">
        <v>0</v>
      </c>
      <c r="AG522" s="19">
        <v>0</v>
      </c>
      <c r="AH522" s="19">
        <v>0</v>
      </c>
      <c r="AI522" s="19">
        <v>0</v>
      </c>
      <c r="AJ522" s="19">
        <v>0</v>
      </c>
      <c r="AK522" s="19">
        <v>0</v>
      </c>
      <c r="AL522" s="19">
        <v>0</v>
      </c>
      <c r="AM522" s="19">
        <v>0</v>
      </c>
      <c r="AN522" s="19">
        <v>0</v>
      </c>
      <c r="AO522" s="19">
        <v>0</v>
      </c>
      <c r="AP522" s="19">
        <v>0</v>
      </c>
      <c r="AQ522" s="19">
        <v>0</v>
      </c>
      <c r="AR522" s="19">
        <v>0</v>
      </c>
      <c r="AS522" s="19">
        <v>0</v>
      </c>
      <c r="AT522" s="19">
        <v>0</v>
      </c>
      <c r="AU522" s="19">
        <v>0</v>
      </c>
      <c r="AV522" s="19">
        <v>0</v>
      </c>
      <c r="AW522" s="19">
        <v>0</v>
      </c>
      <c r="AX522" s="19">
        <v>0</v>
      </c>
      <c r="AY522" s="19">
        <v>0</v>
      </c>
      <c r="AZ522" s="19">
        <v>0</v>
      </c>
      <c r="BA522" s="19">
        <v>0</v>
      </c>
      <c r="BB522" s="19">
        <v>0</v>
      </c>
      <c r="BC522" s="19">
        <v>0</v>
      </c>
      <c r="BD522" s="19">
        <v>0</v>
      </c>
      <c r="BE522" s="19">
        <v>0</v>
      </c>
      <c r="BF522" s="19">
        <v>0</v>
      </c>
      <c r="BG522" s="19">
        <v>0</v>
      </c>
      <c r="BH522" s="19">
        <v>0</v>
      </c>
      <c r="BI522" s="19">
        <v>0</v>
      </c>
      <c r="BJ522" s="19">
        <v>0</v>
      </c>
      <c r="BK522" s="19">
        <v>0</v>
      </c>
      <c r="BL522" s="19">
        <v>0</v>
      </c>
      <c r="BM522" s="19">
        <v>0</v>
      </c>
      <c r="BN522" s="19">
        <v>0</v>
      </c>
      <c r="BO522" s="19">
        <v>0</v>
      </c>
      <c r="BP522" s="19">
        <v>0</v>
      </c>
      <c r="BQ522" s="19">
        <v>0</v>
      </c>
      <c r="BR522" s="19">
        <v>0</v>
      </c>
      <c r="BS522" s="19">
        <v>0</v>
      </c>
      <c r="BT522" s="19">
        <v>0</v>
      </c>
      <c r="BU522" s="19">
        <v>0</v>
      </c>
      <c r="BV522" s="19">
        <v>0</v>
      </c>
      <c r="BW522" s="19">
        <v>0</v>
      </c>
      <c r="BX522" s="19">
        <v>0</v>
      </c>
      <c r="BY522" s="19">
        <v>0</v>
      </c>
      <c r="BZ522" s="19">
        <v>0</v>
      </c>
      <c r="CA522" s="19">
        <v>0</v>
      </c>
      <c r="CB522" s="19">
        <v>0</v>
      </c>
      <c r="CC522" s="19">
        <v>0</v>
      </c>
      <c r="CD522" s="19">
        <v>0</v>
      </c>
      <c r="CE522" s="19">
        <v>0</v>
      </c>
      <c r="CF522" s="19">
        <v>0</v>
      </c>
      <c r="CG522" s="19">
        <v>0</v>
      </c>
      <c r="CH522" s="19">
        <v>0</v>
      </c>
      <c r="CI522" s="19">
        <v>0</v>
      </c>
      <c r="CJ522" s="19">
        <v>0</v>
      </c>
      <c r="CK522" s="19">
        <v>0</v>
      </c>
      <c r="CL522" s="19">
        <v>0</v>
      </c>
      <c r="CM522" s="19">
        <v>0</v>
      </c>
      <c r="CN522" s="19">
        <v>0</v>
      </c>
      <c r="CO522" s="19">
        <v>0</v>
      </c>
      <c r="CP522" s="19">
        <v>0</v>
      </c>
      <c r="CQ522" s="19">
        <v>0</v>
      </c>
      <c r="CR522" s="19">
        <v>0</v>
      </c>
      <c r="CS522" s="19">
        <v>0</v>
      </c>
      <c r="CT522" s="19">
        <v>0</v>
      </c>
      <c r="CU522" s="19">
        <v>0</v>
      </c>
      <c r="CV522" s="19">
        <v>0</v>
      </c>
      <c r="CW522" s="19">
        <v>0</v>
      </c>
      <c r="CX522" s="19">
        <v>0</v>
      </c>
      <c r="CY522" s="19">
        <v>0</v>
      </c>
      <c r="CZ522" s="19">
        <v>0</v>
      </c>
      <c r="DA522" s="19">
        <v>0</v>
      </c>
      <c r="DB522" s="19">
        <v>0</v>
      </c>
      <c r="DC522" s="19">
        <v>0</v>
      </c>
      <c r="DD522" s="19">
        <v>0</v>
      </c>
      <c r="DE522" s="19">
        <v>0</v>
      </c>
      <c r="DF522" s="19">
        <v>0</v>
      </c>
      <c r="DG522" s="19">
        <v>0</v>
      </c>
      <c r="DH522" s="19">
        <v>0</v>
      </c>
      <c r="DI522" s="19">
        <v>0</v>
      </c>
      <c r="DJ522" s="19">
        <v>0</v>
      </c>
      <c r="DK522" s="19">
        <v>0</v>
      </c>
      <c r="DL522" s="19">
        <v>0</v>
      </c>
      <c r="DM522" s="19">
        <v>0</v>
      </c>
      <c r="DN522" s="19">
        <v>0</v>
      </c>
      <c r="DO522" s="19">
        <v>0</v>
      </c>
      <c r="DP522" s="19">
        <v>0</v>
      </c>
      <c r="DQ522" s="19">
        <v>0</v>
      </c>
      <c r="DR522" s="19">
        <v>0</v>
      </c>
      <c r="DS522" s="19">
        <v>0</v>
      </c>
      <c r="DT522" s="19">
        <v>0</v>
      </c>
      <c r="DU522" s="19">
        <v>0</v>
      </c>
      <c r="DV522" s="19">
        <v>0</v>
      </c>
      <c r="DW522" s="19">
        <v>0</v>
      </c>
      <c r="DX522" s="19">
        <v>0</v>
      </c>
      <c r="DY522" s="19">
        <v>0</v>
      </c>
      <c r="DZ522" s="19">
        <v>0</v>
      </c>
      <c r="EA522" s="19">
        <v>0</v>
      </c>
      <c r="EB522" s="19">
        <v>0</v>
      </c>
      <c r="EC522" s="19">
        <v>0</v>
      </c>
      <c r="ED522" s="19">
        <v>0</v>
      </c>
      <c r="EE522" s="19">
        <v>0</v>
      </c>
      <c r="EF522" s="19">
        <v>0</v>
      </c>
      <c r="EG522" s="19">
        <v>0</v>
      </c>
      <c r="EH522" s="19">
        <v>0</v>
      </c>
      <c r="EI522" s="19">
        <v>0</v>
      </c>
      <c r="EJ522" s="19">
        <v>0</v>
      </c>
      <c r="EK522" s="19">
        <v>0</v>
      </c>
      <c r="EL522" s="19">
        <v>0</v>
      </c>
      <c r="EM522" s="19">
        <v>0</v>
      </c>
      <c r="EN522" s="19">
        <v>0</v>
      </c>
      <c r="EO522" s="19">
        <v>0</v>
      </c>
      <c r="EP522" s="19">
        <v>0</v>
      </c>
      <c r="EQ522" s="19">
        <v>0</v>
      </c>
      <c r="ER522" s="19">
        <v>0</v>
      </c>
      <c r="ES522" s="119">
        <v>0</v>
      </c>
      <c r="ET522" s="119">
        <v>0</v>
      </c>
    </row>
    <row r="523" spans="1:150" ht="16.5" customHeight="1" x14ac:dyDescent="0.35">
      <c r="A523" s="4">
        <v>224</v>
      </c>
      <c r="B523" s="4" t="str">
        <f>LOOKUP(A523,Lookup!$A$1:$A$34,Lookup!$B$1:$B$34)</f>
        <v>BILT&amp; DROEWORS BUY IN</v>
      </c>
      <c r="C523" s="5">
        <v>50186</v>
      </c>
      <c r="D523" s="6" t="s">
        <v>496</v>
      </c>
      <c r="E523" s="18">
        <v>88.828291488058795</v>
      </c>
      <c r="F523" s="18">
        <v>0.251</v>
      </c>
      <c r="G523" s="18">
        <v>6306.8086956521702</v>
      </c>
      <c r="H523" s="18">
        <v>17.818999999999999</v>
      </c>
      <c r="I523" s="19">
        <v>0</v>
      </c>
      <c r="J523" s="19">
        <v>0</v>
      </c>
      <c r="K523" s="19">
        <v>0</v>
      </c>
      <c r="L523" s="19">
        <v>0</v>
      </c>
      <c r="M523" s="19">
        <v>0</v>
      </c>
      <c r="N523" s="19">
        <v>0</v>
      </c>
      <c r="O523" s="19">
        <v>0</v>
      </c>
      <c r="P523" s="19">
        <v>0</v>
      </c>
      <c r="Q523" s="19">
        <v>0</v>
      </c>
      <c r="R523" s="19">
        <v>0</v>
      </c>
      <c r="S523" s="19">
        <v>0</v>
      </c>
      <c r="T523" s="19">
        <v>0</v>
      </c>
      <c r="U523" s="19">
        <v>0</v>
      </c>
      <c r="V523" s="19">
        <v>0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 s="19">
        <v>0</v>
      </c>
      <c r="AD523" s="19">
        <v>0</v>
      </c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0</v>
      </c>
      <c r="AL523" s="19">
        <v>0</v>
      </c>
      <c r="AM523" s="19">
        <v>0</v>
      </c>
      <c r="AN523" s="19">
        <v>0</v>
      </c>
      <c r="AO523" s="19">
        <v>0</v>
      </c>
      <c r="AP523" s="19">
        <v>0</v>
      </c>
      <c r="AQ523" s="19">
        <v>0</v>
      </c>
      <c r="AR523" s="19">
        <v>0</v>
      </c>
      <c r="AS523" s="19">
        <v>0</v>
      </c>
      <c r="AT523" s="19">
        <v>0</v>
      </c>
      <c r="AU523" s="19">
        <v>0</v>
      </c>
      <c r="AV523" s="19">
        <v>0</v>
      </c>
      <c r="AW523" s="19">
        <v>0</v>
      </c>
      <c r="AX523" s="19">
        <v>0</v>
      </c>
      <c r="AY523" s="19">
        <v>0</v>
      </c>
      <c r="AZ523" s="19">
        <v>0</v>
      </c>
      <c r="BA523" s="19">
        <v>0</v>
      </c>
      <c r="BB523" s="19">
        <v>0</v>
      </c>
      <c r="BC523" s="19">
        <v>0</v>
      </c>
      <c r="BD523" s="19">
        <v>0</v>
      </c>
      <c r="BE523" s="19">
        <v>0</v>
      </c>
      <c r="BF523" s="19">
        <v>0</v>
      </c>
      <c r="BG523" s="19">
        <v>0</v>
      </c>
      <c r="BH523" s="19">
        <v>0</v>
      </c>
      <c r="BI523" s="19">
        <v>0</v>
      </c>
      <c r="BJ523" s="19">
        <v>0</v>
      </c>
      <c r="BK523" s="19">
        <v>0</v>
      </c>
      <c r="BL523" s="19">
        <v>0</v>
      </c>
      <c r="BM523" s="19">
        <v>0</v>
      </c>
      <c r="BN523" s="19">
        <v>0</v>
      </c>
      <c r="BO523" s="19">
        <v>0</v>
      </c>
      <c r="BP523" s="19">
        <v>0</v>
      </c>
      <c r="BQ523" s="19">
        <v>0</v>
      </c>
      <c r="BR523" s="19">
        <v>0</v>
      </c>
      <c r="BS523" s="19">
        <v>0</v>
      </c>
      <c r="BT523" s="19">
        <v>0</v>
      </c>
      <c r="BU523" s="19">
        <v>0</v>
      </c>
      <c r="BV523" s="19">
        <v>0</v>
      </c>
      <c r="BW523" s="19">
        <v>0</v>
      </c>
      <c r="BX523" s="19">
        <v>0</v>
      </c>
      <c r="BY523" s="19">
        <v>0</v>
      </c>
      <c r="BZ523" s="19">
        <v>0</v>
      </c>
      <c r="CA523" s="19">
        <v>0</v>
      </c>
      <c r="CB523" s="19">
        <v>0</v>
      </c>
      <c r="CC523" s="19">
        <v>0</v>
      </c>
      <c r="CD523" s="19">
        <v>0</v>
      </c>
      <c r="CE523" s="19">
        <v>0</v>
      </c>
      <c r="CF523" s="19">
        <v>0</v>
      </c>
      <c r="CG523" s="19">
        <v>0</v>
      </c>
      <c r="CH523" s="19">
        <v>0</v>
      </c>
      <c r="CI523" s="19">
        <v>0</v>
      </c>
      <c r="CJ523" s="19">
        <v>0</v>
      </c>
      <c r="CK523" s="19">
        <v>0</v>
      </c>
      <c r="CL523" s="19">
        <v>0</v>
      </c>
      <c r="CM523" s="19">
        <v>0</v>
      </c>
      <c r="CN523" s="19">
        <v>0</v>
      </c>
      <c r="CO523" s="19">
        <v>0</v>
      </c>
      <c r="CP523" s="19">
        <v>0</v>
      </c>
      <c r="CQ523" s="19">
        <v>18.695652173913</v>
      </c>
      <c r="CR523" s="19">
        <v>0.05</v>
      </c>
      <c r="CS523" s="19">
        <v>88.991304347826102</v>
      </c>
      <c r="CT523" s="19">
        <v>0.23799999999999999</v>
      </c>
      <c r="CU523" s="19">
        <v>88.243478260869594</v>
      </c>
      <c r="CV523" s="19">
        <v>0.23599999999999999</v>
      </c>
      <c r="CW523" s="19">
        <v>0</v>
      </c>
      <c r="CX523" s="19">
        <v>0</v>
      </c>
      <c r="CY523" s="19">
        <v>74.7826086956522</v>
      </c>
      <c r="CZ523" s="19">
        <v>0.2</v>
      </c>
      <c r="DA523" s="19">
        <v>26.921739130434801</v>
      </c>
      <c r="DB523" s="19">
        <v>7.1999999999999995E-2</v>
      </c>
      <c r="DC523" s="19">
        <v>71.791304347826099</v>
      </c>
      <c r="DD523" s="19">
        <v>0.192</v>
      </c>
      <c r="DE523" s="19">
        <v>272.20869565217401</v>
      </c>
      <c r="DF523" s="19">
        <v>0.72799999999999998</v>
      </c>
      <c r="DG523" s="19">
        <v>103.94782608695699</v>
      </c>
      <c r="DH523" s="19">
        <v>0.27800000000000002</v>
      </c>
      <c r="DI523" s="19">
        <v>92.730434782608697</v>
      </c>
      <c r="DJ523" s="19">
        <v>0.248</v>
      </c>
      <c r="DK523" s="19">
        <v>168.26086956521701</v>
      </c>
      <c r="DL523" s="19">
        <v>0.45</v>
      </c>
      <c r="DM523" s="19">
        <v>484.591304347826</v>
      </c>
      <c r="DN523" s="19">
        <v>1.296</v>
      </c>
      <c r="DO523" s="19">
        <v>290.27826086956497</v>
      </c>
      <c r="DP523" s="19">
        <v>0.78800000000000003</v>
      </c>
      <c r="DQ523" s="19">
        <v>307.78260869565202</v>
      </c>
      <c r="DR523" s="19">
        <v>0.88700000000000001</v>
      </c>
      <c r="DS523" s="19">
        <v>464.91304347826099</v>
      </c>
      <c r="DT523" s="19">
        <v>1.34</v>
      </c>
      <c r="DU523" s="19">
        <v>382.35652173913002</v>
      </c>
      <c r="DV523" s="19">
        <v>1.1020000000000001</v>
      </c>
      <c r="DW523" s="19">
        <v>233.165217391304</v>
      </c>
      <c r="DX523" s="19">
        <v>0.67200000000000004</v>
      </c>
      <c r="DY523" s="19">
        <v>378.88695652173902</v>
      </c>
      <c r="DZ523" s="19">
        <v>1.0920000000000001</v>
      </c>
      <c r="EA523" s="19">
        <v>422.58260869565203</v>
      </c>
      <c r="EB523" s="19">
        <v>1.218</v>
      </c>
      <c r="EC523" s="19">
        <v>190.81739130434801</v>
      </c>
      <c r="ED523" s="19">
        <v>0.55000000000000004</v>
      </c>
      <c r="EE523" s="19">
        <v>491.304347826087</v>
      </c>
      <c r="EF523" s="19">
        <v>1.4159999999999999</v>
      </c>
      <c r="EG523" s="19">
        <v>288.65217391304299</v>
      </c>
      <c r="EH523" s="19">
        <v>0.83199999999999996</v>
      </c>
      <c r="EI523" s="19">
        <v>263.66956521739098</v>
      </c>
      <c r="EJ523" s="19">
        <v>0.76</v>
      </c>
      <c r="EK523" s="19">
        <v>249.10434782608701</v>
      </c>
      <c r="EL523" s="19">
        <v>0.71799999999999997</v>
      </c>
      <c r="EM523" s="19">
        <v>151.269565217391</v>
      </c>
      <c r="EN523" s="19">
        <v>0.436</v>
      </c>
      <c r="EO523" s="19">
        <v>287.97391304347798</v>
      </c>
      <c r="EP523" s="19">
        <v>0.83</v>
      </c>
      <c r="EQ523" s="19">
        <v>349.73913043478302</v>
      </c>
      <c r="ER523" s="19">
        <v>1.008</v>
      </c>
      <c r="ES523" s="119">
        <v>63.147826086956499</v>
      </c>
      <c r="ET523" s="119">
        <v>0.182</v>
      </c>
    </row>
    <row r="524" spans="1:150" ht="16.5" customHeight="1" x14ac:dyDescent="0.35">
      <c r="A524" s="4">
        <v>224</v>
      </c>
      <c r="B524" s="4" t="str">
        <f>LOOKUP(A524,Lookup!$A$1:$A$34,Lookup!$B$1:$B$34)</f>
        <v>BILT&amp; DROEWORS BUY IN</v>
      </c>
      <c r="C524" s="5">
        <v>50617</v>
      </c>
      <c r="D524" s="6" t="s">
        <v>497</v>
      </c>
      <c r="E524" s="18">
        <v>23.152235150030599</v>
      </c>
      <c r="F524" s="18">
        <v>4.7E-2</v>
      </c>
      <c r="G524" s="18">
        <v>1643.8086956521699</v>
      </c>
      <c r="H524" s="18">
        <v>3.347</v>
      </c>
      <c r="I524" s="19">
        <v>0</v>
      </c>
      <c r="J524" s="19">
        <v>0</v>
      </c>
      <c r="K524" s="19">
        <v>0</v>
      </c>
      <c r="L524" s="19">
        <v>0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0</v>
      </c>
      <c r="U524" s="19">
        <v>0</v>
      </c>
      <c r="V524" s="19">
        <v>0</v>
      </c>
      <c r="W524" s="19">
        <v>0</v>
      </c>
      <c r="X524" s="19">
        <v>0</v>
      </c>
      <c r="Y524" s="19">
        <v>0</v>
      </c>
      <c r="Z524" s="19">
        <v>0</v>
      </c>
      <c r="AA524" s="19">
        <v>0</v>
      </c>
      <c r="AB524" s="19">
        <v>0</v>
      </c>
      <c r="AC524" s="19">
        <v>0</v>
      </c>
      <c r="AD524" s="19">
        <v>0</v>
      </c>
      <c r="AE524" s="19">
        <v>0</v>
      </c>
      <c r="AF524" s="19">
        <v>0</v>
      </c>
      <c r="AG524" s="19">
        <v>0</v>
      </c>
      <c r="AH524" s="19">
        <v>0</v>
      </c>
      <c r="AI524" s="19">
        <v>0</v>
      </c>
      <c r="AJ524" s="19">
        <v>0</v>
      </c>
      <c r="AK524" s="19">
        <v>0</v>
      </c>
      <c r="AL524" s="19">
        <v>0</v>
      </c>
      <c r="AM524" s="19">
        <v>0</v>
      </c>
      <c r="AN524" s="19">
        <v>0</v>
      </c>
      <c r="AO524" s="19">
        <v>0</v>
      </c>
      <c r="AP524" s="19">
        <v>0</v>
      </c>
      <c r="AQ524" s="19">
        <v>0</v>
      </c>
      <c r="AR524" s="19">
        <v>0</v>
      </c>
      <c r="AS524" s="19">
        <v>0</v>
      </c>
      <c r="AT524" s="19">
        <v>0</v>
      </c>
      <c r="AU524" s="19">
        <v>0</v>
      </c>
      <c r="AV524" s="19">
        <v>0</v>
      </c>
      <c r="AW524" s="19">
        <v>0</v>
      </c>
      <c r="AX524" s="19">
        <v>0</v>
      </c>
      <c r="AY524" s="19">
        <v>0</v>
      </c>
      <c r="AZ524" s="19">
        <v>0</v>
      </c>
      <c r="BA524" s="19">
        <v>0</v>
      </c>
      <c r="BB524" s="19">
        <v>0</v>
      </c>
      <c r="BC524" s="19">
        <v>0</v>
      </c>
      <c r="BD524" s="19">
        <v>0</v>
      </c>
      <c r="BE524" s="19">
        <v>0</v>
      </c>
      <c r="BF524" s="19">
        <v>0</v>
      </c>
      <c r="BG524" s="19">
        <v>0</v>
      </c>
      <c r="BH524" s="19">
        <v>0</v>
      </c>
      <c r="BI524" s="19">
        <v>0</v>
      </c>
      <c r="BJ524" s="19">
        <v>0</v>
      </c>
      <c r="BK524" s="19">
        <v>0</v>
      </c>
      <c r="BL524" s="19">
        <v>0</v>
      </c>
      <c r="BM524" s="19">
        <v>0</v>
      </c>
      <c r="BN524" s="19">
        <v>0</v>
      </c>
      <c r="BO524" s="19">
        <v>0</v>
      </c>
      <c r="BP524" s="19">
        <v>0</v>
      </c>
      <c r="BQ524" s="19">
        <v>0</v>
      </c>
      <c r="BR524" s="19">
        <v>0</v>
      </c>
      <c r="BS524" s="19">
        <v>0</v>
      </c>
      <c r="BT524" s="19">
        <v>0</v>
      </c>
      <c r="BU524" s="19">
        <v>0</v>
      </c>
      <c r="BV524" s="19">
        <v>0</v>
      </c>
      <c r="BW524" s="19">
        <v>0</v>
      </c>
      <c r="BX524" s="19">
        <v>0</v>
      </c>
      <c r="BY524" s="19">
        <v>0</v>
      </c>
      <c r="BZ524" s="19">
        <v>0</v>
      </c>
      <c r="CA524" s="19">
        <v>0</v>
      </c>
      <c r="CB524" s="19">
        <v>0</v>
      </c>
      <c r="CC524" s="19">
        <v>0</v>
      </c>
      <c r="CD524" s="19">
        <v>0</v>
      </c>
      <c r="CE524" s="19">
        <v>0</v>
      </c>
      <c r="CF524" s="19">
        <v>0</v>
      </c>
      <c r="CG524" s="19">
        <v>0</v>
      </c>
      <c r="CH524" s="19">
        <v>0</v>
      </c>
      <c r="CI524" s="19">
        <v>0</v>
      </c>
      <c r="CJ524" s="19">
        <v>0</v>
      </c>
      <c r="CK524" s="19">
        <v>0</v>
      </c>
      <c r="CL524" s="19">
        <v>0</v>
      </c>
      <c r="CM524" s="19">
        <v>0</v>
      </c>
      <c r="CN524" s="19">
        <v>0</v>
      </c>
      <c r="CO524" s="19">
        <v>0</v>
      </c>
      <c r="CP524" s="19">
        <v>0</v>
      </c>
      <c r="CQ524" s="19">
        <v>404.34782608695701</v>
      </c>
      <c r="CR524" s="19">
        <v>0.82399999999999995</v>
      </c>
      <c r="CS524" s="19">
        <v>112.408695652174</v>
      </c>
      <c r="CT524" s="19">
        <v>0.22900000000000001</v>
      </c>
      <c r="CU524" s="19">
        <v>60.921739130434801</v>
      </c>
      <c r="CV524" s="19">
        <v>0.124</v>
      </c>
      <c r="CW524" s="19">
        <v>66.817391304347794</v>
      </c>
      <c r="CX524" s="19">
        <v>0.13600000000000001</v>
      </c>
      <c r="CY524" s="19">
        <v>281.02608695652202</v>
      </c>
      <c r="CZ524" s="19">
        <v>0.57199999999999995</v>
      </c>
      <c r="DA524" s="19">
        <v>0</v>
      </c>
      <c r="DB524" s="19">
        <v>0</v>
      </c>
      <c r="DC524" s="19">
        <v>67.8</v>
      </c>
      <c r="DD524" s="19">
        <v>0.13800000000000001</v>
      </c>
      <c r="DE524" s="19">
        <v>83.521739130434796</v>
      </c>
      <c r="DF524" s="19">
        <v>0.17</v>
      </c>
      <c r="DG524" s="19">
        <v>0</v>
      </c>
      <c r="DH524" s="19">
        <v>0</v>
      </c>
      <c r="DI524" s="19">
        <v>566.96521739130401</v>
      </c>
      <c r="DJ524" s="19">
        <v>1.1539999999999999</v>
      </c>
      <c r="DK524" s="19">
        <v>0</v>
      </c>
      <c r="DL524" s="19">
        <v>0</v>
      </c>
      <c r="DM524" s="19">
        <v>0</v>
      </c>
      <c r="DN524" s="19">
        <v>0</v>
      </c>
      <c r="DO524" s="19">
        <v>0</v>
      </c>
      <c r="DP524" s="19">
        <v>0</v>
      </c>
      <c r="DQ524" s="19">
        <v>0</v>
      </c>
      <c r="DR524" s="19">
        <v>0</v>
      </c>
      <c r="DS524" s="19">
        <v>0</v>
      </c>
      <c r="DT524" s="19">
        <v>0</v>
      </c>
      <c r="DU524" s="19">
        <v>0</v>
      </c>
      <c r="DV524" s="19">
        <v>0</v>
      </c>
      <c r="DW524" s="19">
        <v>0</v>
      </c>
      <c r="DX524" s="19">
        <v>0</v>
      </c>
      <c r="DY524" s="19">
        <v>0</v>
      </c>
      <c r="DZ524" s="19">
        <v>0</v>
      </c>
      <c r="EA524" s="19">
        <v>0</v>
      </c>
      <c r="EB524" s="19">
        <v>0</v>
      </c>
      <c r="EC524" s="19">
        <v>0</v>
      </c>
      <c r="ED524" s="19">
        <v>0</v>
      </c>
      <c r="EE524" s="19">
        <v>0</v>
      </c>
      <c r="EF524" s="19">
        <v>0</v>
      </c>
      <c r="EG524" s="19">
        <v>0</v>
      </c>
      <c r="EH524" s="19">
        <v>0</v>
      </c>
      <c r="EI524" s="19">
        <v>0</v>
      </c>
      <c r="EJ524" s="19">
        <v>0</v>
      </c>
      <c r="EK524" s="19">
        <v>0</v>
      </c>
      <c r="EL524" s="19">
        <v>0</v>
      </c>
      <c r="EM524" s="19">
        <v>0</v>
      </c>
      <c r="EN524" s="19">
        <v>0</v>
      </c>
      <c r="EO524" s="19">
        <v>0</v>
      </c>
      <c r="EP524" s="19">
        <v>0</v>
      </c>
      <c r="EQ524" s="19">
        <v>0</v>
      </c>
      <c r="ER524" s="19">
        <v>0</v>
      </c>
      <c r="ES524" s="119">
        <v>0</v>
      </c>
      <c r="ET524" s="119">
        <v>0</v>
      </c>
    </row>
    <row r="525" spans="1:150" ht="16.5" customHeight="1" x14ac:dyDescent="0.35">
      <c r="A525" s="4">
        <v>224</v>
      </c>
      <c r="B525" s="4" t="str">
        <f>LOOKUP(A525,Lookup!$A$1:$A$34,Lookup!$B$1:$B$34)</f>
        <v>BILT&amp; DROEWORS BUY IN</v>
      </c>
      <c r="C525" s="5">
        <v>52933</v>
      </c>
      <c r="D525" s="6" t="s">
        <v>498</v>
      </c>
      <c r="E525" s="18">
        <v>566.32467850581804</v>
      </c>
      <c r="F525" s="18">
        <v>1.7030000000000001</v>
      </c>
      <c r="G525" s="18">
        <v>40209.0521739131</v>
      </c>
      <c r="H525" s="18">
        <v>120.899</v>
      </c>
      <c r="I525" s="19">
        <v>496.07826086956499</v>
      </c>
      <c r="J525" s="19">
        <v>1.63</v>
      </c>
      <c r="K525" s="19">
        <v>1189.99130434783</v>
      </c>
      <c r="L525" s="19">
        <v>3.91</v>
      </c>
      <c r="M525" s="19">
        <v>375.56521739130397</v>
      </c>
      <c r="N525" s="19">
        <v>1.234</v>
      </c>
      <c r="O525" s="19">
        <v>159.47826086956499</v>
      </c>
      <c r="P525" s="19">
        <v>0.52400000000000002</v>
      </c>
      <c r="Q525" s="19">
        <v>1178.4260869565201</v>
      </c>
      <c r="R525" s="19">
        <v>3.8719999999999999</v>
      </c>
      <c r="S525" s="19">
        <v>1354.3391304347799</v>
      </c>
      <c r="T525" s="19">
        <v>4.45</v>
      </c>
      <c r="U525" s="19">
        <v>373.95652173912998</v>
      </c>
      <c r="V525" s="19">
        <v>1.202</v>
      </c>
      <c r="W525" s="19">
        <v>577.51304347826101</v>
      </c>
      <c r="X525" s="19">
        <v>1.85</v>
      </c>
      <c r="Y525" s="19">
        <v>785.426086956522</v>
      </c>
      <c r="Z525" s="19">
        <v>2.516</v>
      </c>
      <c r="AA525" s="19">
        <v>442.04347826087002</v>
      </c>
      <c r="AB525" s="19">
        <v>1.4159999999999999</v>
      </c>
      <c r="AC525" s="19">
        <v>368.35652173913002</v>
      </c>
      <c r="AD525" s="19">
        <v>1.18</v>
      </c>
      <c r="AE525" s="19">
        <v>520.71304347826106</v>
      </c>
      <c r="AF525" s="19">
        <v>1.6679999999999999</v>
      </c>
      <c r="AG525" s="19">
        <v>478.25217391304398</v>
      </c>
      <c r="AH525" s="19">
        <v>1.532</v>
      </c>
      <c r="AI525" s="19">
        <v>500.09565217391298</v>
      </c>
      <c r="AJ525" s="19">
        <v>1.6020000000000001</v>
      </c>
      <c r="AK525" s="19">
        <v>718.62608695652204</v>
      </c>
      <c r="AL525" s="19">
        <v>2.302</v>
      </c>
      <c r="AM525" s="19">
        <v>570.01739130434805</v>
      </c>
      <c r="AN525" s="19">
        <v>1.8260000000000001</v>
      </c>
      <c r="AO525" s="19">
        <v>641.20869565217401</v>
      </c>
      <c r="AP525" s="19">
        <v>2.0539999999999998</v>
      </c>
      <c r="AQ525" s="19">
        <v>0</v>
      </c>
      <c r="AR525" s="19">
        <v>0</v>
      </c>
      <c r="AS525" s="19">
        <v>0</v>
      </c>
      <c r="AT525" s="19">
        <v>0</v>
      </c>
      <c r="AU525" s="19">
        <v>290.94782608695698</v>
      </c>
      <c r="AV525" s="19">
        <v>0.93200000000000005</v>
      </c>
      <c r="AW525" s="19">
        <v>791.04347826086996</v>
      </c>
      <c r="AX525" s="19">
        <v>2.5339999999999998</v>
      </c>
      <c r="AY525" s="19">
        <v>33.086956521739097</v>
      </c>
      <c r="AZ525" s="19">
        <v>0.106</v>
      </c>
      <c r="BA525" s="19">
        <v>0</v>
      </c>
      <c r="BB525" s="19">
        <v>0</v>
      </c>
      <c r="BC525" s="19">
        <v>105.513043478261</v>
      </c>
      <c r="BD525" s="19">
        <v>0.33800000000000002</v>
      </c>
      <c r="BE525" s="19">
        <v>545.20869565217401</v>
      </c>
      <c r="BF525" s="19">
        <v>1.69</v>
      </c>
      <c r="BG525" s="19">
        <v>340.38260869565198</v>
      </c>
      <c r="BH525" s="19">
        <v>0.98099999999999998</v>
      </c>
      <c r="BI525" s="19">
        <v>444.10434782608701</v>
      </c>
      <c r="BJ525" s="19">
        <v>1.28</v>
      </c>
      <c r="BK525" s="19">
        <v>376.426086956522</v>
      </c>
      <c r="BL525" s="19">
        <v>1.17</v>
      </c>
      <c r="BM525" s="19">
        <v>684.65217391304304</v>
      </c>
      <c r="BN525" s="19">
        <v>2.1280000000000001</v>
      </c>
      <c r="BO525" s="19">
        <v>596.50434782608704</v>
      </c>
      <c r="BP525" s="19">
        <v>1.8540000000000001</v>
      </c>
      <c r="BQ525" s="19">
        <v>397.02608695652202</v>
      </c>
      <c r="BR525" s="19">
        <v>1.234</v>
      </c>
      <c r="BS525" s="19">
        <v>532.79999999999995</v>
      </c>
      <c r="BT525" s="19">
        <v>1.6559999999999999</v>
      </c>
      <c r="BU525" s="19">
        <v>222.64347826087001</v>
      </c>
      <c r="BV525" s="19">
        <v>0.69199999999999995</v>
      </c>
      <c r="BW525" s="19">
        <v>781.82608695652198</v>
      </c>
      <c r="BX525" s="19">
        <v>2.4300000000000002</v>
      </c>
      <c r="BY525" s="19">
        <v>606.4</v>
      </c>
      <c r="BZ525" s="19">
        <v>1.756</v>
      </c>
      <c r="CA525" s="19">
        <v>138.434782608696</v>
      </c>
      <c r="CB525" s="19">
        <v>0.39800000000000002</v>
      </c>
      <c r="CC525" s="19">
        <v>635.13043478260897</v>
      </c>
      <c r="CD525" s="19">
        <v>1.8260000000000001</v>
      </c>
      <c r="CE525" s="19">
        <v>472.34782608695599</v>
      </c>
      <c r="CF525" s="19">
        <v>1.3580000000000001</v>
      </c>
      <c r="CG525" s="19">
        <v>130.78260869565199</v>
      </c>
      <c r="CH525" s="19">
        <v>0.376</v>
      </c>
      <c r="CI525" s="19">
        <v>452.17391304347802</v>
      </c>
      <c r="CJ525" s="19">
        <v>1.3</v>
      </c>
      <c r="CK525" s="19">
        <v>360.34782608695701</v>
      </c>
      <c r="CL525" s="19">
        <v>1.036</v>
      </c>
      <c r="CM525" s="19">
        <v>823.65217391304304</v>
      </c>
      <c r="CN525" s="19">
        <v>2.3679999999999999</v>
      </c>
      <c r="CO525" s="19">
        <v>639.29565217391303</v>
      </c>
      <c r="CP525" s="19">
        <v>1.8380000000000001</v>
      </c>
      <c r="CQ525" s="19">
        <v>537.73913043478296</v>
      </c>
      <c r="CR525" s="19">
        <v>1.546</v>
      </c>
      <c r="CS525" s="19">
        <v>607.304347826087</v>
      </c>
      <c r="CT525" s="19">
        <v>1.746</v>
      </c>
      <c r="CU525" s="19">
        <v>375.65217391304299</v>
      </c>
      <c r="CV525" s="19">
        <v>1.08</v>
      </c>
      <c r="CW525" s="19">
        <v>632.33913043478299</v>
      </c>
      <c r="CX525" s="19">
        <v>1.8180000000000001</v>
      </c>
      <c r="CY525" s="19">
        <v>604.52173913043498</v>
      </c>
      <c r="CZ525" s="19">
        <v>1.738</v>
      </c>
      <c r="DA525" s="19">
        <v>470.95652173912998</v>
      </c>
      <c r="DB525" s="19">
        <v>1.3540000000000001</v>
      </c>
      <c r="DC525" s="19">
        <v>390.95652173912998</v>
      </c>
      <c r="DD525" s="19">
        <v>1.1240000000000001</v>
      </c>
      <c r="DE525" s="19">
        <v>915.47826086956502</v>
      </c>
      <c r="DF525" s="19">
        <v>2.6320000000000001</v>
      </c>
      <c r="DG525" s="19">
        <v>964.17391304347802</v>
      </c>
      <c r="DH525" s="19">
        <v>2.7719999999999998</v>
      </c>
      <c r="DI525" s="19">
        <v>997.56521739130403</v>
      </c>
      <c r="DJ525" s="19">
        <v>2.8679999999999999</v>
      </c>
      <c r="DK525" s="19">
        <v>398.60869565217399</v>
      </c>
      <c r="DL525" s="19">
        <v>1.1459999999999999</v>
      </c>
      <c r="DM525" s="19">
        <v>344.34782608695701</v>
      </c>
      <c r="DN525" s="19">
        <v>0.99</v>
      </c>
      <c r="DO525" s="19">
        <v>420.17391304347802</v>
      </c>
      <c r="DP525" s="19">
        <v>1.208</v>
      </c>
      <c r="DQ525" s="19">
        <v>480</v>
      </c>
      <c r="DR525" s="19">
        <v>1.38</v>
      </c>
      <c r="DS525" s="19">
        <v>651.13043478260897</v>
      </c>
      <c r="DT525" s="19">
        <v>1.8720000000000001</v>
      </c>
      <c r="DU525" s="19">
        <v>1038.6086956521699</v>
      </c>
      <c r="DV525" s="19">
        <v>2.9860000000000002</v>
      </c>
      <c r="DW525" s="19">
        <v>390.95652173912998</v>
      </c>
      <c r="DX525" s="19">
        <v>1.1240000000000001</v>
      </c>
      <c r="DY525" s="19">
        <v>821.56521739130403</v>
      </c>
      <c r="DZ525" s="19">
        <v>2.3620000000000001</v>
      </c>
      <c r="EA525" s="19">
        <v>913.39130434782601</v>
      </c>
      <c r="EB525" s="19">
        <v>2.6259999999999999</v>
      </c>
      <c r="EC525" s="19">
        <v>740.86956521739103</v>
      </c>
      <c r="ED525" s="19">
        <v>2.13</v>
      </c>
      <c r="EE525" s="19">
        <v>661.56521739130403</v>
      </c>
      <c r="EF525" s="19">
        <v>1.9019999999999999</v>
      </c>
      <c r="EG525" s="19">
        <v>745.73913043478296</v>
      </c>
      <c r="EH525" s="19">
        <v>2.1440000000000001</v>
      </c>
      <c r="EI525" s="19">
        <v>906.43478260869597</v>
      </c>
      <c r="EJ525" s="19">
        <v>2.6059999999999999</v>
      </c>
      <c r="EK525" s="19">
        <v>326.95652173912998</v>
      </c>
      <c r="EL525" s="19">
        <v>0.94</v>
      </c>
      <c r="EM525" s="19">
        <v>1005.91304347826</v>
      </c>
      <c r="EN525" s="19">
        <v>2.8919999999999999</v>
      </c>
      <c r="EO525" s="19">
        <v>1266.77391304348</v>
      </c>
      <c r="EP525" s="19">
        <v>3.6419999999999999</v>
      </c>
      <c r="EQ525" s="19">
        <v>760.34782608695696</v>
      </c>
      <c r="ER525" s="19">
        <v>2.1859999999999999</v>
      </c>
      <c r="ES525" s="119">
        <v>840.33913043478299</v>
      </c>
      <c r="ET525" s="119">
        <v>2.4159999999999999</v>
      </c>
    </row>
    <row r="526" spans="1:150" ht="16.5" customHeight="1" x14ac:dyDescent="0.35">
      <c r="A526" s="4">
        <v>224</v>
      </c>
      <c r="B526" s="4" t="str">
        <f>LOOKUP(A526,Lookup!$A$1:$A$34,Lookup!$B$1:$B$34)</f>
        <v>BILT&amp; DROEWORS BUY IN</v>
      </c>
      <c r="C526" s="5">
        <v>52934</v>
      </c>
      <c r="D526" s="6" t="s">
        <v>499</v>
      </c>
      <c r="E526" s="18">
        <v>38.829148805878702</v>
      </c>
      <c r="F526" s="18">
        <v>0.112</v>
      </c>
      <c r="G526" s="18">
        <v>2756.8695652173901</v>
      </c>
      <c r="H526" s="18">
        <v>7.9260000000000002</v>
      </c>
      <c r="I526" s="19">
        <v>0</v>
      </c>
      <c r="J526" s="19">
        <v>0</v>
      </c>
      <c r="K526" s="19">
        <v>106.434782608696</v>
      </c>
      <c r="L526" s="19">
        <v>0.30599999999999999</v>
      </c>
      <c r="M526" s="19">
        <v>147.47826086956499</v>
      </c>
      <c r="N526" s="19">
        <v>0.42399999999999999</v>
      </c>
      <c r="O526" s="19">
        <v>82.086956521739097</v>
      </c>
      <c r="P526" s="19">
        <v>0.23599999999999999</v>
      </c>
      <c r="Q526" s="19">
        <v>210.08695652173901</v>
      </c>
      <c r="R526" s="19">
        <v>0.60399999999999998</v>
      </c>
      <c r="S526" s="19">
        <v>196.869565217391</v>
      </c>
      <c r="T526" s="19">
        <v>0.56599999999999995</v>
      </c>
      <c r="U526" s="19">
        <v>223.304347826087</v>
      </c>
      <c r="V526" s="19">
        <v>0.64200000000000002</v>
      </c>
      <c r="W526" s="19">
        <v>89.043478260869605</v>
      </c>
      <c r="X526" s="19">
        <v>0.25600000000000001</v>
      </c>
      <c r="Y526" s="19">
        <v>95.304347826086996</v>
      </c>
      <c r="Z526" s="19">
        <v>0.27400000000000002</v>
      </c>
      <c r="AA526" s="19">
        <v>138.434782608696</v>
      </c>
      <c r="AB526" s="19">
        <v>0.39800000000000002</v>
      </c>
      <c r="AC526" s="19">
        <v>103.652173913043</v>
      </c>
      <c r="AD526" s="19">
        <v>0.29799999999999999</v>
      </c>
      <c r="AE526" s="19">
        <v>82.086956521739097</v>
      </c>
      <c r="AF526" s="19">
        <v>0.23599999999999999</v>
      </c>
      <c r="AG526" s="19">
        <v>171.826086956522</v>
      </c>
      <c r="AH526" s="19">
        <v>0.49399999999999999</v>
      </c>
      <c r="AI526" s="19">
        <v>381.91304347826099</v>
      </c>
      <c r="AJ526" s="19">
        <v>1.0980000000000001</v>
      </c>
      <c r="AK526" s="19">
        <v>98.086956521739097</v>
      </c>
      <c r="AL526" s="19">
        <v>0.28199999999999997</v>
      </c>
      <c r="AM526" s="19">
        <v>163.47826086956499</v>
      </c>
      <c r="AN526" s="19">
        <v>0.47</v>
      </c>
      <c r="AO526" s="19">
        <v>39.652173913043498</v>
      </c>
      <c r="AP526" s="19">
        <v>0.114</v>
      </c>
      <c r="AQ526" s="19">
        <v>63.304347826087003</v>
      </c>
      <c r="AR526" s="19">
        <v>0.182</v>
      </c>
      <c r="AS526" s="19">
        <v>51.478260869565197</v>
      </c>
      <c r="AT526" s="19">
        <v>0.14799999999999999</v>
      </c>
      <c r="AU526" s="19">
        <v>50.086956521739097</v>
      </c>
      <c r="AV526" s="19">
        <v>0.14399999999999999</v>
      </c>
      <c r="AW526" s="19">
        <v>172.52173913043501</v>
      </c>
      <c r="AX526" s="19">
        <v>0.496</v>
      </c>
      <c r="AY526" s="19">
        <v>89.739130434782595</v>
      </c>
      <c r="AZ526" s="19">
        <v>0.25800000000000001</v>
      </c>
      <c r="BA526" s="19">
        <v>0</v>
      </c>
      <c r="BB526" s="19">
        <v>0</v>
      </c>
      <c r="BC526" s="19">
        <v>0</v>
      </c>
      <c r="BD526" s="19">
        <v>0</v>
      </c>
      <c r="BE526" s="19">
        <v>0</v>
      </c>
      <c r="BF526" s="19">
        <v>0</v>
      </c>
      <c r="BG526" s="19">
        <v>0</v>
      </c>
      <c r="BH526" s="19">
        <v>0</v>
      </c>
      <c r="BI526" s="19">
        <v>0</v>
      </c>
      <c r="BJ526" s="19">
        <v>0</v>
      </c>
      <c r="BK526" s="19">
        <v>0</v>
      </c>
      <c r="BL526" s="19">
        <v>0</v>
      </c>
      <c r="BM526" s="19">
        <v>0</v>
      </c>
      <c r="BN526" s="19">
        <v>0</v>
      </c>
      <c r="BO526" s="19">
        <v>0</v>
      </c>
      <c r="BP526" s="19">
        <v>0</v>
      </c>
      <c r="BQ526" s="19">
        <v>0</v>
      </c>
      <c r="BR526" s="19">
        <v>0</v>
      </c>
      <c r="BS526" s="19">
        <v>0</v>
      </c>
      <c r="BT526" s="19">
        <v>0</v>
      </c>
      <c r="BU526" s="19">
        <v>0</v>
      </c>
      <c r="BV526" s="19">
        <v>0</v>
      </c>
      <c r="BW526" s="19">
        <v>0</v>
      </c>
      <c r="BX526" s="19">
        <v>0</v>
      </c>
      <c r="BY526" s="19">
        <v>0</v>
      </c>
      <c r="BZ526" s="19">
        <v>0</v>
      </c>
      <c r="CA526" s="19">
        <v>0</v>
      </c>
      <c r="CB526" s="19">
        <v>0</v>
      </c>
      <c r="CC526" s="19">
        <v>0</v>
      </c>
      <c r="CD526" s="19">
        <v>0</v>
      </c>
      <c r="CE526" s="19">
        <v>0</v>
      </c>
      <c r="CF526" s="19">
        <v>0</v>
      </c>
      <c r="CG526" s="19">
        <v>0</v>
      </c>
      <c r="CH526" s="19">
        <v>0</v>
      </c>
      <c r="CI526" s="19">
        <v>0</v>
      </c>
      <c r="CJ526" s="19">
        <v>0</v>
      </c>
      <c r="CK526" s="19">
        <v>0</v>
      </c>
      <c r="CL526" s="19">
        <v>0</v>
      </c>
      <c r="CM526" s="19">
        <v>0</v>
      </c>
      <c r="CN526" s="19">
        <v>0</v>
      </c>
      <c r="CO526" s="19">
        <v>0</v>
      </c>
      <c r="CP526" s="19">
        <v>0</v>
      </c>
      <c r="CQ526" s="19">
        <v>0</v>
      </c>
      <c r="CR526" s="19">
        <v>0</v>
      </c>
      <c r="CS526" s="19">
        <v>0</v>
      </c>
      <c r="CT526" s="19">
        <v>0</v>
      </c>
      <c r="CU526" s="19">
        <v>0</v>
      </c>
      <c r="CV526" s="19">
        <v>0</v>
      </c>
      <c r="CW526" s="19">
        <v>0</v>
      </c>
      <c r="CX526" s="19">
        <v>0</v>
      </c>
      <c r="CY526" s="19">
        <v>0</v>
      </c>
      <c r="CZ526" s="19">
        <v>0</v>
      </c>
      <c r="DA526" s="19">
        <v>0</v>
      </c>
      <c r="DB526" s="19">
        <v>0</v>
      </c>
      <c r="DC526" s="19">
        <v>0</v>
      </c>
      <c r="DD526" s="19">
        <v>0</v>
      </c>
      <c r="DE526" s="19">
        <v>0</v>
      </c>
      <c r="DF526" s="19">
        <v>0</v>
      </c>
      <c r="DG526" s="19">
        <v>0</v>
      </c>
      <c r="DH526" s="19">
        <v>0</v>
      </c>
      <c r="DI526" s="19">
        <v>0</v>
      </c>
      <c r="DJ526" s="19">
        <v>0</v>
      </c>
      <c r="DK526" s="19">
        <v>0</v>
      </c>
      <c r="DL526" s="19">
        <v>0</v>
      </c>
      <c r="DM526" s="19">
        <v>0</v>
      </c>
      <c r="DN526" s="19">
        <v>0</v>
      </c>
      <c r="DO526" s="19">
        <v>0</v>
      </c>
      <c r="DP526" s="19">
        <v>0</v>
      </c>
      <c r="DQ526" s="19">
        <v>0</v>
      </c>
      <c r="DR526" s="19">
        <v>0</v>
      </c>
      <c r="DS526" s="19">
        <v>0</v>
      </c>
      <c r="DT526" s="19">
        <v>0</v>
      </c>
      <c r="DU526" s="19">
        <v>0</v>
      </c>
      <c r="DV526" s="19">
        <v>0</v>
      </c>
      <c r="DW526" s="19">
        <v>0</v>
      </c>
      <c r="DX526" s="19">
        <v>0</v>
      </c>
      <c r="DY526" s="19">
        <v>0</v>
      </c>
      <c r="DZ526" s="19">
        <v>0</v>
      </c>
      <c r="EA526" s="19">
        <v>0</v>
      </c>
      <c r="EB526" s="19">
        <v>0</v>
      </c>
      <c r="EC526" s="19">
        <v>0</v>
      </c>
      <c r="ED526" s="19">
        <v>0</v>
      </c>
      <c r="EE526" s="19">
        <v>0</v>
      </c>
      <c r="EF526" s="19">
        <v>0</v>
      </c>
      <c r="EG526" s="19">
        <v>0</v>
      </c>
      <c r="EH526" s="19">
        <v>0</v>
      </c>
      <c r="EI526" s="19">
        <v>0</v>
      </c>
      <c r="EJ526" s="19">
        <v>0</v>
      </c>
      <c r="EK526" s="19">
        <v>0</v>
      </c>
      <c r="EL526" s="19">
        <v>0</v>
      </c>
      <c r="EM526" s="19">
        <v>0</v>
      </c>
      <c r="EN526" s="19">
        <v>0</v>
      </c>
      <c r="EO526" s="19">
        <v>0</v>
      </c>
      <c r="EP526" s="19">
        <v>0</v>
      </c>
      <c r="EQ526" s="19">
        <v>0</v>
      </c>
      <c r="ER526" s="19">
        <v>0</v>
      </c>
      <c r="ES526" s="119">
        <v>0</v>
      </c>
      <c r="ET526" s="119">
        <v>0</v>
      </c>
    </row>
    <row r="527" spans="1:150" ht="16.5" customHeight="1" x14ac:dyDescent="0.35">
      <c r="A527" s="4">
        <v>224</v>
      </c>
      <c r="B527" s="4" t="str">
        <f>LOOKUP(A527,Lookup!$A$1:$A$34,Lookup!$B$1:$B$34)</f>
        <v>BILT&amp; DROEWORS BUY IN</v>
      </c>
      <c r="C527" s="5">
        <v>52935</v>
      </c>
      <c r="D527" s="6" t="s">
        <v>500</v>
      </c>
      <c r="E527" s="18">
        <v>16.899081445192898</v>
      </c>
      <c r="F527" s="18">
        <v>0.26800000000000002</v>
      </c>
      <c r="G527" s="18">
        <v>1199.8347826086999</v>
      </c>
      <c r="H527" s="18">
        <v>19</v>
      </c>
      <c r="I527" s="19">
        <v>0</v>
      </c>
      <c r="J527" s="19">
        <v>0</v>
      </c>
      <c r="K527" s="19">
        <v>69.556521739130403</v>
      </c>
      <c r="L527" s="19">
        <v>1</v>
      </c>
      <c r="M527" s="19">
        <v>69.556521739130403</v>
      </c>
      <c r="N527" s="19">
        <v>1</v>
      </c>
      <c r="O527" s="19">
        <v>0</v>
      </c>
      <c r="P527" s="19">
        <v>0</v>
      </c>
      <c r="Q527" s="19">
        <v>0</v>
      </c>
      <c r="R527" s="19">
        <v>0</v>
      </c>
      <c r="S527" s="19">
        <v>0</v>
      </c>
      <c r="T527" s="19">
        <v>0</v>
      </c>
      <c r="U527" s="19">
        <v>69.556521739130403</v>
      </c>
      <c r="V527" s="19">
        <v>1</v>
      </c>
      <c r="W527" s="19">
        <v>0</v>
      </c>
      <c r="X527" s="19">
        <v>0</v>
      </c>
      <c r="Y527" s="19">
        <v>0</v>
      </c>
      <c r="Z527" s="19">
        <v>0</v>
      </c>
      <c r="AA527" s="19">
        <v>69.556521739130403</v>
      </c>
      <c r="AB527" s="19">
        <v>1</v>
      </c>
      <c r="AC527" s="19">
        <v>0</v>
      </c>
      <c r="AD527" s="19">
        <v>0</v>
      </c>
      <c r="AE527" s="19">
        <v>0</v>
      </c>
      <c r="AF527" s="19">
        <v>0</v>
      </c>
      <c r="AG527" s="19">
        <v>0</v>
      </c>
      <c r="AH527" s="19">
        <v>0</v>
      </c>
      <c r="AI527" s="19">
        <v>0</v>
      </c>
      <c r="AJ527" s="19">
        <v>0</v>
      </c>
      <c r="AK527" s="19">
        <v>0</v>
      </c>
      <c r="AL527" s="19">
        <v>0</v>
      </c>
      <c r="AM527" s="19">
        <v>0</v>
      </c>
      <c r="AN527" s="19">
        <v>0</v>
      </c>
      <c r="AO527" s="19">
        <v>69.556521739130403</v>
      </c>
      <c r="AP527" s="19">
        <v>1</v>
      </c>
      <c r="AQ527" s="19">
        <v>0</v>
      </c>
      <c r="AR527" s="19">
        <v>0</v>
      </c>
      <c r="AS527" s="19">
        <v>0</v>
      </c>
      <c r="AT527" s="19">
        <v>0</v>
      </c>
      <c r="AU527" s="19">
        <v>0</v>
      </c>
      <c r="AV527" s="19">
        <v>0</v>
      </c>
      <c r="AW527" s="19">
        <v>0</v>
      </c>
      <c r="AX527" s="19">
        <v>0</v>
      </c>
      <c r="AY527" s="19">
        <v>60.860869565217399</v>
      </c>
      <c r="AZ527" s="19">
        <v>1</v>
      </c>
      <c r="BA527" s="19">
        <v>60.860869565217399</v>
      </c>
      <c r="BB527" s="19">
        <v>1</v>
      </c>
      <c r="BC527" s="19">
        <v>0</v>
      </c>
      <c r="BD527" s="19">
        <v>0</v>
      </c>
      <c r="BE527" s="19">
        <v>60.860869565217399</v>
      </c>
      <c r="BF527" s="19">
        <v>1</v>
      </c>
      <c r="BG527" s="19">
        <v>0</v>
      </c>
      <c r="BH527" s="19">
        <v>0</v>
      </c>
      <c r="BI527" s="19">
        <v>60.860869565217399</v>
      </c>
      <c r="BJ527" s="19">
        <v>1</v>
      </c>
      <c r="BK527" s="19">
        <v>121.721739130435</v>
      </c>
      <c r="BL527" s="19">
        <v>2</v>
      </c>
      <c r="BM527" s="19">
        <v>0</v>
      </c>
      <c r="BN527" s="19">
        <v>0</v>
      </c>
      <c r="BO527" s="19">
        <v>60.860869565217399</v>
      </c>
      <c r="BP527" s="19">
        <v>1</v>
      </c>
      <c r="BQ527" s="19">
        <v>0</v>
      </c>
      <c r="BR527" s="19">
        <v>0</v>
      </c>
      <c r="BS527" s="19">
        <v>0</v>
      </c>
      <c r="BT527" s="19">
        <v>0</v>
      </c>
      <c r="BU527" s="19">
        <v>60.860869565217399</v>
      </c>
      <c r="BV527" s="19">
        <v>1</v>
      </c>
      <c r="BW527" s="19">
        <v>60.860869565217399</v>
      </c>
      <c r="BX527" s="19">
        <v>1</v>
      </c>
      <c r="BY527" s="19">
        <v>60.860869565217399</v>
      </c>
      <c r="BZ527" s="19">
        <v>1</v>
      </c>
      <c r="CA527" s="19">
        <v>121.721739130435</v>
      </c>
      <c r="CB527" s="19">
        <v>2</v>
      </c>
      <c r="CC527" s="19">
        <v>60.860869565217399</v>
      </c>
      <c r="CD527" s="19">
        <v>1</v>
      </c>
      <c r="CE527" s="19">
        <v>60.860869565217399</v>
      </c>
      <c r="CF527" s="19">
        <v>1</v>
      </c>
      <c r="CG527" s="19">
        <v>0</v>
      </c>
      <c r="CH527" s="19">
        <v>0</v>
      </c>
      <c r="CI527" s="19">
        <v>0</v>
      </c>
      <c r="CJ527" s="19">
        <v>0</v>
      </c>
      <c r="CK527" s="19">
        <v>0</v>
      </c>
      <c r="CL527" s="19">
        <v>0</v>
      </c>
      <c r="CM527" s="19">
        <v>0</v>
      </c>
      <c r="CN527" s="19">
        <v>0</v>
      </c>
      <c r="CO527" s="19">
        <v>0</v>
      </c>
      <c r="CP527" s="19">
        <v>0</v>
      </c>
      <c r="CQ527" s="19">
        <v>0</v>
      </c>
      <c r="CR527" s="19">
        <v>0</v>
      </c>
      <c r="CS527" s="19">
        <v>0</v>
      </c>
      <c r="CT527" s="19">
        <v>0</v>
      </c>
      <c r="CU527" s="19">
        <v>0</v>
      </c>
      <c r="CV527" s="19">
        <v>0</v>
      </c>
      <c r="CW527" s="19">
        <v>0</v>
      </c>
      <c r="CX527" s="19">
        <v>0</v>
      </c>
      <c r="CY527" s="19">
        <v>0</v>
      </c>
      <c r="CZ527" s="19">
        <v>0</v>
      </c>
      <c r="DA527" s="19">
        <v>0</v>
      </c>
      <c r="DB527" s="19">
        <v>0</v>
      </c>
      <c r="DC527" s="19">
        <v>0</v>
      </c>
      <c r="DD527" s="19">
        <v>0</v>
      </c>
      <c r="DE527" s="19">
        <v>0</v>
      </c>
      <c r="DF527" s="19">
        <v>0</v>
      </c>
      <c r="DG527" s="19">
        <v>0</v>
      </c>
      <c r="DH527" s="19">
        <v>0</v>
      </c>
      <c r="DI527" s="19">
        <v>0</v>
      </c>
      <c r="DJ527" s="19">
        <v>0</v>
      </c>
      <c r="DK527" s="19">
        <v>0</v>
      </c>
      <c r="DL527" s="19">
        <v>0</v>
      </c>
      <c r="DM527" s="19">
        <v>0</v>
      </c>
      <c r="DN527" s="19">
        <v>0</v>
      </c>
      <c r="DO527" s="19">
        <v>0</v>
      </c>
      <c r="DP527" s="19">
        <v>0</v>
      </c>
      <c r="DQ527" s="19">
        <v>0</v>
      </c>
      <c r="DR527" s="19">
        <v>0</v>
      </c>
      <c r="DS527" s="19">
        <v>0</v>
      </c>
      <c r="DT527" s="19">
        <v>0</v>
      </c>
      <c r="DU527" s="19">
        <v>0</v>
      </c>
      <c r="DV527" s="19">
        <v>0</v>
      </c>
      <c r="DW527" s="19">
        <v>0</v>
      </c>
      <c r="DX527" s="19">
        <v>0</v>
      </c>
      <c r="DY527" s="19">
        <v>0</v>
      </c>
      <c r="DZ527" s="19">
        <v>0</v>
      </c>
      <c r="EA527" s="19">
        <v>0</v>
      </c>
      <c r="EB527" s="19">
        <v>0</v>
      </c>
      <c r="EC527" s="19">
        <v>0</v>
      </c>
      <c r="ED527" s="19">
        <v>0</v>
      </c>
      <c r="EE527" s="19">
        <v>0</v>
      </c>
      <c r="EF527" s="19">
        <v>0</v>
      </c>
      <c r="EG527" s="19">
        <v>0</v>
      </c>
      <c r="EH527" s="19">
        <v>0</v>
      </c>
      <c r="EI527" s="19">
        <v>0</v>
      </c>
      <c r="EJ527" s="19">
        <v>0</v>
      </c>
      <c r="EK527" s="19">
        <v>0</v>
      </c>
      <c r="EL527" s="19">
        <v>0</v>
      </c>
      <c r="EM527" s="19">
        <v>0</v>
      </c>
      <c r="EN527" s="19">
        <v>0</v>
      </c>
      <c r="EO527" s="19">
        <v>0</v>
      </c>
      <c r="EP527" s="19">
        <v>0</v>
      </c>
      <c r="EQ527" s="19">
        <v>0</v>
      </c>
      <c r="ER527" s="19">
        <v>0</v>
      </c>
      <c r="ES527" s="119">
        <v>0</v>
      </c>
      <c r="ET527" s="119">
        <v>0</v>
      </c>
    </row>
    <row r="528" spans="1:150" ht="16.5" customHeight="1" x14ac:dyDescent="0.35">
      <c r="A528" s="4">
        <v>224</v>
      </c>
      <c r="B528" s="4" t="str">
        <f>LOOKUP(A528,Lookup!$A$1:$A$34,Lookup!$B$1:$B$34)</f>
        <v>BILT&amp; DROEWORS BUY IN</v>
      </c>
      <c r="C528" s="5">
        <v>52936</v>
      </c>
      <c r="D528" s="6" t="s">
        <v>501</v>
      </c>
      <c r="E528" s="18">
        <v>342.23098591549302</v>
      </c>
      <c r="F528" s="18">
        <v>0.64</v>
      </c>
      <c r="G528" s="18">
        <v>24298.400000000001</v>
      </c>
      <c r="H528" s="18">
        <v>45.457999999999998</v>
      </c>
      <c r="I528" s="19">
        <v>766.79130434782599</v>
      </c>
      <c r="J528" s="19">
        <v>1.6180000000000001</v>
      </c>
      <c r="K528" s="19">
        <v>402.82608695652198</v>
      </c>
      <c r="L528" s="19">
        <v>0.85</v>
      </c>
      <c r="M528" s="19">
        <v>276.76521739130402</v>
      </c>
      <c r="N528" s="19">
        <v>0.58399999999999996</v>
      </c>
      <c r="O528" s="19">
        <v>435.05217391304302</v>
      </c>
      <c r="P528" s="19">
        <v>0.91800000000000004</v>
      </c>
      <c r="Q528" s="19">
        <v>799.96521739130401</v>
      </c>
      <c r="R528" s="19">
        <v>1.6879999999999999</v>
      </c>
      <c r="S528" s="19">
        <v>459.695652173913</v>
      </c>
      <c r="T528" s="19">
        <v>0.97</v>
      </c>
      <c r="U528" s="19">
        <v>915.6</v>
      </c>
      <c r="V528" s="19">
        <v>1.9319999999999999</v>
      </c>
      <c r="W528" s="19">
        <v>615.13913043478306</v>
      </c>
      <c r="X528" s="19">
        <v>1.298</v>
      </c>
      <c r="Y528" s="19">
        <v>312.78260869565202</v>
      </c>
      <c r="Z528" s="19">
        <v>0.66</v>
      </c>
      <c r="AA528" s="19">
        <v>254.96521739130401</v>
      </c>
      <c r="AB528" s="19">
        <v>0.53800000000000003</v>
      </c>
      <c r="AC528" s="19">
        <v>294.77391304347799</v>
      </c>
      <c r="AD528" s="19">
        <v>0.622</v>
      </c>
      <c r="AE528" s="19">
        <v>245.48695652173899</v>
      </c>
      <c r="AF528" s="19">
        <v>0.51800000000000002</v>
      </c>
      <c r="AG528" s="19">
        <v>256.860869565217</v>
      </c>
      <c r="AH528" s="19">
        <v>0.54200000000000004</v>
      </c>
      <c r="AI528" s="19">
        <v>206.62608695652199</v>
      </c>
      <c r="AJ528" s="19">
        <v>0.436</v>
      </c>
      <c r="AK528" s="19">
        <v>345.00869565217403</v>
      </c>
      <c r="AL528" s="19">
        <v>0.72799999999999998</v>
      </c>
      <c r="AM528" s="19">
        <v>69.191304347826105</v>
      </c>
      <c r="AN528" s="19">
        <v>0.14599999999999999</v>
      </c>
      <c r="AO528" s="19">
        <v>474.99130434782597</v>
      </c>
      <c r="AP528" s="19">
        <v>0.96</v>
      </c>
      <c r="AQ528" s="19">
        <v>527.44347826086903</v>
      </c>
      <c r="AR528" s="19">
        <v>1.0660000000000001</v>
      </c>
      <c r="AS528" s="19">
        <v>143.03478260869599</v>
      </c>
      <c r="AT528" s="19">
        <v>0.28299999999999997</v>
      </c>
      <c r="AU528" s="19">
        <v>286.82608695652198</v>
      </c>
      <c r="AV528" s="19">
        <v>0.56000000000000005</v>
      </c>
      <c r="AW528" s="19">
        <v>350.32173913043499</v>
      </c>
      <c r="AX528" s="19">
        <v>0.68400000000000005</v>
      </c>
      <c r="AY528" s="19">
        <v>451.73913043478302</v>
      </c>
      <c r="AZ528" s="19">
        <v>0.88200000000000001</v>
      </c>
      <c r="BA528" s="19">
        <v>860.46086956521697</v>
      </c>
      <c r="BB528" s="19">
        <v>1.68</v>
      </c>
      <c r="BC528" s="19">
        <v>508.07826086956499</v>
      </c>
      <c r="BD528" s="19">
        <v>0.99199999999999999</v>
      </c>
      <c r="BE528" s="19">
        <v>453.61739130434802</v>
      </c>
      <c r="BF528" s="19">
        <v>0.83199999999999996</v>
      </c>
      <c r="BG528" s="19">
        <v>461.95652173912998</v>
      </c>
      <c r="BH528" s="19">
        <v>0.76</v>
      </c>
      <c r="BI528" s="19">
        <v>754.92173913043496</v>
      </c>
      <c r="BJ528" s="19">
        <v>1.242</v>
      </c>
      <c r="BK528" s="19">
        <v>291.36521739130399</v>
      </c>
      <c r="BL528" s="19">
        <v>0.47599999999999998</v>
      </c>
      <c r="BM528" s="19">
        <v>782.90434782608702</v>
      </c>
      <c r="BN528" s="19">
        <v>1.286</v>
      </c>
      <c r="BO528" s="19">
        <v>326.26086956521698</v>
      </c>
      <c r="BP528" s="19">
        <v>0.53600000000000003</v>
      </c>
      <c r="BQ528" s="19">
        <v>278.78260869565202</v>
      </c>
      <c r="BR528" s="19">
        <v>0.45800000000000002</v>
      </c>
      <c r="BS528" s="19">
        <v>504</v>
      </c>
      <c r="BT528" s="19">
        <v>0.82799999999999996</v>
      </c>
      <c r="BU528" s="19">
        <v>458.95652173912998</v>
      </c>
      <c r="BV528" s="19">
        <v>0.754</v>
      </c>
      <c r="BW528" s="19">
        <v>233.73913043478299</v>
      </c>
      <c r="BX528" s="19">
        <v>0.38400000000000001</v>
      </c>
      <c r="BY528" s="19">
        <v>555.13043478260897</v>
      </c>
      <c r="BZ528" s="19">
        <v>0.91200000000000003</v>
      </c>
      <c r="CA528" s="19">
        <v>465.04347826087002</v>
      </c>
      <c r="CB528" s="19">
        <v>0.76400000000000001</v>
      </c>
      <c r="CC528" s="19">
        <v>474.78260869565202</v>
      </c>
      <c r="CD528" s="19">
        <v>0.78</v>
      </c>
      <c r="CE528" s="19">
        <v>534.43478260869597</v>
      </c>
      <c r="CF528" s="19">
        <v>0.878</v>
      </c>
      <c r="CG528" s="19">
        <v>450.82608695652198</v>
      </c>
      <c r="CH528" s="19">
        <v>0.79500000000000004</v>
      </c>
      <c r="CI528" s="19">
        <v>669.00869565217397</v>
      </c>
      <c r="CJ528" s="19">
        <v>1.204</v>
      </c>
      <c r="CK528" s="19">
        <v>193.37391304347801</v>
      </c>
      <c r="CL528" s="19">
        <v>0.34799999999999998</v>
      </c>
      <c r="CM528" s="19">
        <v>585.67826086956495</v>
      </c>
      <c r="CN528" s="19">
        <v>1.054</v>
      </c>
      <c r="CO528" s="19">
        <v>742.35652173913002</v>
      </c>
      <c r="CP528" s="19">
        <v>1.3360000000000001</v>
      </c>
      <c r="CQ528" s="19">
        <v>324.50434782608698</v>
      </c>
      <c r="CR528" s="19">
        <v>0.58399999999999996</v>
      </c>
      <c r="CS528" s="19">
        <v>563.43478260869597</v>
      </c>
      <c r="CT528" s="19">
        <v>1.014</v>
      </c>
      <c r="CU528" s="19">
        <v>740.11304347826103</v>
      </c>
      <c r="CV528" s="19">
        <v>1.3320000000000001</v>
      </c>
      <c r="CW528" s="19">
        <v>773.46956521739105</v>
      </c>
      <c r="CX528" s="19">
        <v>1.3919999999999999</v>
      </c>
      <c r="CY528" s="19">
        <v>308.94782608695698</v>
      </c>
      <c r="CZ528" s="19">
        <v>0.55600000000000005</v>
      </c>
      <c r="DA528" s="19">
        <v>252.269565217391</v>
      </c>
      <c r="DB528" s="19">
        <v>0.45400000000000001</v>
      </c>
      <c r="DC528" s="19">
        <v>73.347826086956502</v>
      </c>
      <c r="DD528" s="19">
        <v>0.13200000000000001</v>
      </c>
      <c r="DE528" s="19">
        <v>295.60869565217399</v>
      </c>
      <c r="DF528" s="19">
        <v>0.53200000000000003</v>
      </c>
      <c r="DG528" s="19">
        <v>114.46956521739099</v>
      </c>
      <c r="DH528" s="19">
        <v>0.20599999999999999</v>
      </c>
      <c r="DI528" s="19">
        <v>57.791304347826099</v>
      </c>
      <c r="DJ528" s="19">
        <v>0.104</v>
      </c>
      <c r="DK528" s="19">
        <v>0</v>
      </c>
      <c r="DL528" s="19">
        <v>0</v>
      </c>
      <c r="DM528" s="19">
        <v>336.713043478261</v>
      </c>
      <c r="DN528" s="19">
        <v>0.60599999999999998</v>
      </c>
      <c r="DO528" s="19">
        <v>383.4</v>
      </c>
      <c r="DP528" s="19">
        <v>0.69</v>
      </c>
      <c r="DQ528" s="19">
        <v>53.339130434782597</v>
      </c>
      <c r="DR528" s="19">
        <v>9.6000000000000002E-2</v>
      </c>
      <c r="DS528" s="19">
        <v>284.48695652173899</v>
      </c>
      <c r="DT528" s="19">
        <v>0.51200000000000001</v>
      </c>
      <c r="DU528" s="19">
        <v>130.02608695652199</v>
      </c>
      <c r="DV528" s="19">
        <v>0.23400000000000001</v>
      </c>
      <c r="DW528" s="19">
        <v>83.347826086956502</v>
      </c>
      <c r="DX528" s="19">
        <v>0.15</v>
      </c>
      <c r="DY528" s="19">
        <v>45.565217391304301</v>
      </c>
      <c r="DZ528" s="19">
        <v>8.2000000000000003E-2</v>
      </c>
      <c r="EA528" s="19">
        <v>0</v>
      </c>
      <c r="EB528" s="19">
        <v>0</v>
      </c>
      <c r="EC528" s="19">
        <v>0</v>
      </c>
      <c r="ED528" s="19">
        <v>0</v>
      </c>
      <c r="EE528" s="19">
        <v>0</v>
      </c>
      <c r="EF528" s="19">
        <v>0</v>
      </c>
      <c r="EG528" s="19">
        <v>0</v>
      </c>
      <c r="EH528" s="19">
        <v>0</v>
      </c>
      <c r="EI528" s="19">
        <v>0</v>
      </c>
      <c r="EJ528" s="19">
        <v>0</v>
      </c>
      <c r="EK528" s="19">
        <v>0</v>
      </c>
      <c r="EL528" s="19">
        <v>0</v>
      </c>
      <c r="EM528" s="19">
        <v>0</v>
      </c>
      <c r="EN528" s="19">
        <v>0</v>
      </c>
      <c r="EO528" s="19">
        <v>0</v>
      </c>
      <c r="EP528" s="19">
        <v>0</v>
      </c>
      <c r="EQ528" s="19">
        <v>0</v>
      </c>
      <c r="ER528" s="19">
        <v>0</v>
      </c>
      <c r="ES528" s="119">
        <v>0</v>
      </c>
      <c r="ET528" s="119">
        <v>0</v>
      </c>
    </row>
    <row r="529" spans="1:150" ht="16.5" customHeight="1" x14ac:dyDescent="0.35">
      <c r="A529" s="4">
        <v>224</v>
      </c>
      <c r="B529" s="4" t="str">
        <f>LOOKUP(A529,Lookup!$A$1:$A$34,Lookup!$B$1:$B$34)</f>
        <v>BILT&amp; DROEWORS BUY IN</v>
      </c>
      <c r="C529" s="5">
        <v>52937</v>
      </c>
      <c r="D529" s="6" t="s">
        <v>502</v>
      </c>
      <c r="E529" s="18">
        <v>757.22388242498403</v>
      </c>
      <c r="F529" s="18">
        <v>1.4670000000000001</v>
      </c>
      <c r="G529" s="18">
        <v>53762.895652173902</v>
      </c>
      <c r="H529" s="18">
        <v>104.18300000000001</v>
      </c>
      <c r="I529" s="19">
        <v>252.121739130435</v>
      </c>
      <c r="J529" s="19">
        <v>0.53200000000000003</v>
      </c>
      <c r="K529" s="19">
        <v>452.11304347826098</v>
      </c>
      <c r="L529" s="19">
        <v>0.95399999999999996</v>
      </c>
      <c r="M529" s="19">
        <v>535.52173913043498</v>
      </c>
      <c r="N529" s="19">
        <v>1.1299999999999999</v>
      </c>
      <c r="O529" s="19">
        <v>391.452173913043</v>
      </c>
      <c r="P529" s="19">
        <v>0.82599999999999996</v>
      </c>
      <c r="Q529" s="19">
        <v>718.452173913043</v>
      </c>
      <c r="R529" s="19">
        <v>1.516</v>
      </c>
      <c r="S529" s="19">
        <v>577.22608695652195</v>
      </c>
      <c r="T529" s="19">
        <v>1.218</v>
      </c>
      <c r="U529" s="19">
        <v>361.121739130435</v>
      </c>
      <c r="V529" s="19">
        <v>0.76200000000000001</v>
      </c>
      <c r="W529" s="19">
        <v>457.8</v>
      </c>
      <c r="X529" s="19">
        <v>0.96599999999999997</v>
      </c>
      <c r="Y529" s="19">
        <v>138.38260869565201</v>
      </c>
      <c r="Z529" s="19">
        <v>0.29199999999999998</v>
      </c>
      <c r="AA529" s="19">
        <v>331.73913043478302</v>
      </c>
      <c r="AB529" s="19">
        <v>0.7</v>
      </c>
      <c r="AC529" s="19">
        <v>439.79130434782599</v>
      </c>
      <c r="AD529" s="19">
        <v>0.92800000000000005</v>
      </c>
      <c r="AE529" s="19">
        <v>560.16521739130405</v>
      </c>
      <c r="AF529" s="19">
        <v>1.1819999999999999</v>
      </c>
      <c r="AG529" s="19">
        <v>1019.86086956522</v>
      </c>
      <c r="AH529" s="19">
        <v>2.1520000000000001</v>
      </c>
      <c r="AI529" s="19">
        <v>848.304347826087</v>
      </c>
      <c r="AJ529" s="19">
        <v>1.79</v>
      </c>
      <c r="AK529" s="19">
        <v>570.59130434782605</v>
      </c>
      <c r="AL529" s="19">
        <v>1.204</v>
      </c>
      <c r="AM529" s="19">
        <v>971.16521739130405</v>
      </c>
      <c r="AN529" s="19">
        <v>2.032</v>
      </c>
      <c r="AO529" s="19">
        <v>1147.8956521739101</v>
      </c>
      <c r="AP529" s="19">
        <v>2.3199999999999998</v>
      </c>
      <c r="AQ529" s="19">
        <v>903.86086956521694</v>
      </c>
      <c r="AR529" s="19">
        <v>1.7929999999999999</v>
      </c>
      <c r="AS529" s="19">
        <v>1024.3478260869599</v>
      </c>
      <c r="AT529" s="19">
        <v>2</v>
      </c>
      <c r="AU529" s="19">
        <v>875.81739130434801</v>
      </c>
      <c r="AV529" s="19">
        <v>1.71</v>
      </c>
      <c r="AW529" s="19">
        <v>977.22608695652195</v>
      </c>
      <c r="AX529" s="19">
        <v>1.9079999999999999</v>
      </c>
      <c r="AY529" s="19">
        <v>1505.8</v>
      </c>
      <c r="AZ529" s="19">
        <v>2.94</v>
      </c>
      <c r="BA529" s="19">
        <v>557.24347826087001</v>
      </c>
      <c r="BB529" s="19">
        <v>1.0880000000000001</v>
      </c>
      <c r="BC529" s="19">
        <v>932.15652173912997</v>
      </c>
      <c r="BD529" s="19">
        <v>1.82</v>
      </c>
      <c r="BE529" s="19">
        <v>1225.97391304348</v>
      </c>
      <c r="BF529" s="19">
        <v>2.1869999999999998</v>
      </c>
      <c r="BG529" s="19">
        <v>909.77391304347805</v>
      </c>
      <c r="BH529" s="19">
        <v>1.456</v>
      </c>
      <c r="BI529" s="19">
        <v>881.13043478260897</v>
      </c>
      <c r="BJ529" s="19">
        <v>1.39</v>
      </c>
      <c r="BK529" s="19">
        <v>757.92173913043496</v>
      </c>
      <c r="BL529" s="19">
        <v>1.2170000000000001</v>
      </c>
      <c r="BM529" s="19">
        <v>664.304347826087</v>
      </c>
      <c r="BN529" s="19">
        <v>1.091</v>
      </c>
      <c r="BO529" s="19">
        <v>1087.1304347826101</v>
      </c>
      <c r="BP529" s="19">
        <v>1.786</v>
      </c>
      <c r="BQ529" s="19">
        <v>799.82608695652198</v>
      </c>
      <c r="BR529" s="19">
        <v>1.3140000000000001</v>
      </c>
      <c r="BS529" s="19">
        <v>1130.95652173913</v>
      </c>
      <c r="BT529" s="19">
        <v>1.8580000000000001</v>
      </c>
      <c r="BU529" s="19">
        <v>585.56521739130403</v>
      </c>
      <c r="BV529" s="19">
        <v>0.96199999999999997</v>
      </c>
      <c r="BW529" s="19">
        <v>1363.47826086957</v>
      </c>
      <c r="BX529" s="19">
        <v>2.2400000000000002</v>
      </c>
      <c r="BY529" s="19">
        <v>747.47826086956502</v>
      </c>
      <c r="BZ529" s="19">
        <v>1.228</v>
      </c>
      <c r="CA529" s="19">
        <v>995.82608695652198</v>
      </c>
      <c r="CB529" s="19">
        <v>1.6359999999999999</v>
      </c>
      <c r="CC529" s="19">
        <v>724.34782608695605</v>
      </c>
      <c r="CD529" s="19">
        <v>1.19</v>
      </c>
      <c r="CE529" s="19">
        <v>658.60869565217399</v>
      </c>
      <c r="CF529" s="19">
        <v>1.0820000000000001</v>
      </c>
      <c r="CG529" s="19">
        <v>493.426086956522</v>
      </c>
      <c r="CH529" s="19">
        <v>0.88800000000000001</v>
      </c>
      <c r="CI529" s="19">
        <v>922.38260869565204</v>
      </c>
      <c r="CJ529" s="19">
        <v>1.66</v>
      </c>
      <c r="CK529" s="19">
        <v>1085.74782608696</v>
      </c>
      <c r="CL529" s="19">
        <v>1.954</v>
      </c>
      <c r="CM529" s="19">
        <v>945.730434782609</v>
      </c>
      <c r="CN529" s="19">
        <v>1.702</v>
      </c>
      <c r="CO529" s="19">
        <v>865.71304347826106</v>
      </c>
      <c r="CP529" s="19">
        <v>1.5580000000000001</v>
      </c>
      <c r="CQ529" s="19">
        <v>853.47826086956502</v>
      </c>
      <c r="CR529" s="19">
        <v>1.536</v>
      </c>
      <c r="CS529" s="19">
        <v>1551.3826086956501</v>
      </c>
      <c r="CT529" s="19">
        <v>2.7919999999999998</v>
      </c>
      <c r="CU529" s="19">
        <v>280.05217391304302</v>
      </c>
      <c r="CV529" s="19">
        <v>0.504</v>
      </c>
      <c r="CW529" s="19">
        <v>223.37391304347801</v>
      </c>
      <c r="CX529" s="19">
        <v>0.40200000000000002</v>
      </c>
      <c r="CY529" s="19">
        <v>994.61739130434796</v>
      </c>
      <c r="CZ529" s="19">
        <v>1.79</v>
      </c>
      <c r="DA529" s="19">
        <v>498.97391304347798</v>
      </c>
      <c r="DB529" s="19">
        <v>0.89800000000000002</v>
      </c>
      <c r="DC529" s="19">
        <v>558.99130434782603</v>
      </c>
      <c r="DD529" s="19">
        <v>1.006</v>
      </c>
      <c r="DE529" s="19">
        <v>1232.4260869565201</v>
      </c>
      <c r="DF529" s="19">
        <v>2.218</v>
      </c>
      <c r="DG529" s="19">
        <v>1515.8173913043499</v>
      </c>
      <c r="DH529" s="19">
        <v>2.7280000000000002</v>
      </c>
      <c r="DI529" s="19">
        <v>862.37391304347796</v>
      </c>
      <c r="DJ529" s="19">
        <v>1.552</v>
      </c>
      <c r="DK529" s="19">
        <v>544.547826086957</v>
      </c>
      <c r="DL529" s="19">
        <v>0.98</v>
      </c>
      <c r="DM529" s="19">
        <v>233.37391304347801</v>
      </c>
      <c r="DN529" s="19">
        <v>0.42</v>
      </c>
      <c r="DO529" s="19">
        <v>306.426086956522</v>
      </c>
      <c r="DP529" s="19">
        <v>0.58399999999999996</v>
      </c>
      <c r="DQ529" s="19">
        <v>645.121739130435</v>
      </c>
      <c r="DR529" s="19">
        <v>1.2390000000000001</v>
      </c>
      <c r="DS529" s="19">
        <v>572.51304347826101</v>
      </c>
      <c r="DT529" s="19">
        <v>1.196</v>
      </c>
      <c r="DU529" s="19">
        <v>554.78260869565202</v>
      </c>
      <c r="DV529" s="19">
        <v>1.276</v>
      </c>
      <c r="DW529" s="19">
        <v>360</v>
      </c>
      <c r="DX529" s="19">
        <v>0.82799999999999996</v>
      </c>
      <c r="DY529" s="19">
        <v>997.39130434782601</v>
      </c>
      <c r="DZ529" s="19">
        <v>2.294</v>
      </c>
      <c r="EA529" s="19">
        <v>430.43478260869603</v>
      </c>
      <c r="EB529" s="19">
        <v>0.99</v>
      </c>
      <c r="EC529" s="19">
        <v>378.26086956521698</v>
      </c>
      <c r="ED529" s="19">
        <v>0.87</v>
      </c>
      <c r="EE529" s="19">
        <v>867.82608695652198</v>
      </c>
      <c r="EF529" s="19">
        <v>1.996</v>
      </c>
      <c r="EG529" s="19">
        <v>1268.69565217391</v>
      </c>
      <c r="EH529" s="19">
        <v>2.9180000000000001</v>
      </c>
      <c r="EI529" s="19">
        <v>838.32173913043505</v>
      </c>
      <c r="EJ529" s="19">
        <v>2.2120000000000002</v>
      </c>
      <c r="EK529" s="19">
        <v>697.36521739130399</v>
      </c>
      <c r="EL529" s="19">
        <v>1.66</v>
      </c>
      <c r="EM529" s="19">
        <v>831.304347826087</v>
      </c>
      <c r="EN529" s="19">
        <v>1.9119999999999999</v>
      </c>
      <c r="EO529" s="19">
        <v>702.60869565217399</v>
      </c>
      <c r="EP529" s="19">
        <v>1.6160000000000001</v>
      </c>
      <c r="EQ529" s="19">
        <v>940</v>
      </c>
      <c r="ER529" s="19">
        <v>2.1619999999999999</v>
      </c>
      <c r="ES529" s="119">
        <v>721.73913043478296</v>
      </c>
      <c r="ET529" s="119">
        <v>1.66</v>
      </c>
    </row>
    <row r="530" spans="1:150" ht="16.5" customHeight="1" x14ac:dyDescent="0.35">
      <c r="A530" s="4">
        <v>224</v>
      </c>
      <c r="B530" s="4" t="str">
        <f>LOOKUP(A530,Lookup!$A$1:$A$34,Lookup!$B$1:$B$34)</f>
        <v>BILT&amp; DROEWORS BUY IN</v>
      </c>
      <c r="C530" s="5">
        <v>52938</v>
      </c>
      <c r="D530" s="6" t="s">
        <v>503</v>
      </c>
      <c r="E530" s="18">
        <v>186.623882424985</v>
      </c>
      <c r="F530" s="18">
        <v>0.35399999999999998</v>
      </c>
      <c r="G530" s="18">
        <v>13250.2956521739</v>
      </c>
      <c r="H530" s="18">
        <v>25.106999999999999</v>
      </c>
      <c r="I530" s="19">
        <v>333.63478260869601</v>
      </c>
      <c r="J530" s="19">
        <v>0.70399999999999996</v>
      </c>
      <c r="K530" s="19">
        <v>484.33913043478299</v>
      </c>
      <c r="L530" s="19">
        <v>1.022</v>
      </c>
      <c r="M530" s="19">
        <v>284.34782608695701</v>
      </c>
      <c r="N530" s="19">
        <v>0.6</v>
      </c>
      <c r="O530" s="19">
        <v>521.304347826087</v>
      </c>
      <c r="P530" s="19">
        <v>1.1000000000000001</v>
      </c>
      <c r="Q530" s="19">
        <v>369.65217391304299</v>
      </c>
      <c r="R530" s="19">
        <v>0.78</v>
      </c>
      <c r="S530" s="19">
        <v>676.74782608695705</v>
      </c>
      <c r="T530" s="19">
        <v>1.4279999999999999</v>
      </c>
      <c r="U530" s="19">
        <v>268.23478260869598</v>
      </c>
      <c r="V530" s="19">
        <v>0.56599999999999995</v>
      </c>
      <c r="W530" s="19">
        <v>104.26086956521701</v>
      </c>
      <c r="X530" s="19">
        <v>0.22</v>
      </c>
      <c r="Y530" s="19">
        <v>219.89565217391299</v>
      </c>
      <c r="Z530" s="19">
        <v>0.46400000000000002</v>
      </c>
      <c r="AA530" s="19">
        <v>72.982608695652203</v>
      </c>
      <c r="AB530" s="19">
        <v>0.154</v>
      </c>
      <c r="AC530" s="19">
        <v>251.173913043478</v>
      </c>
      <c r="AD530" s="19">
        <v>0.53</v>
      </c>
      <c r="AE530" s="19">
        <v>240.74782608695699</v>
      </c>
      <c r="AF530" s="19">
        <v>0.50800000000000001</v>
      </c>
      <c r="AG530" s="19">
        <v>54.973913043478298</v>
      </c>
      <c r="AH530" s="19">
        <v>0.11600000000000001</v>
      </c>
      <c r="AI530" s="19">
        <v>252.121739130435</v>
      </c>
      <c r="AJ530" s="19">
        <v>0.53200000000000003</v>
      </c>
      <c r="AK530" s="19">
        <v>200.93913043478301</v>
      </c>
      <c r="AL530" s="19">
        <v>0.42399999999999999</v>
      </c>
      <c r="AM530" s="19">
        <v>185.582608695652</v>
      </c>
      <c r="AN530" s="19">
        <v>0.38200000000000001</v>
      </c>
      <c r="AO530" s="19">
        <v>436.408695652174</v>
      </c>
      <c r="AP530" s="19">
        <v>0.88200000000000001</v>
      </c>
      <c r="AQ530" s="19">
        <v>720.41739130434803</v>
      </c>
      <c r="AR530" s="19">
        <v>1.456</v>
      </c>
      <c r="AS530" s="19">
        <v>428.03478260869599</v>
      </c>
      <c r="AT530" s="19">
        <v>0.84299999999999997</v>
      </c>
      <c r="AU530" s="19">
        <v>133.008695652174</v>
      </c>
      <c r="AV530" s="19">
        <v>0.26</v>
      </c>
      <c r="AW530" s="19">
        <v>199.74782608695699</v>
      </c>
      <c r="AX530" s="19">
        <v>0.39</v>
      </c>
      <c r="AY530" s="19">
        <v>332.92173913043501</v>
      </c>
      <c r="AZ530" s="19">
        <v>0.65</v>
      </c>
      <c r="BA530" s="19">
        <v>493.73913043478302</v>
      </c>
      <c r="BB530" s="19">
        <v>0.96399999999999997</v>
      </c>
      <c r="BC530" s="19">
        <v>98.330434782608705</v>
      </c>
      <c r="BD530" s="19">
        <v>0.192</v>
      </c>
      <c r="BE530" s="19">
        <v>93.2173913043478</v>
      </c>
      <c r="BF530" s="19">
        <v>0.182</v>
      </c>
      <c r="BG530" s="19">
        <v>52.243478260869601</v>
      </c>
      <c r="BH530" s="19">
        <v>8.2000000000000003E-2</v>
      </c>
      <c r="BI530" s="19">
        <v>869.18260869565199</v>
      </c>
      <c r="BJ530" s="19">
        <v>1.43</v>
      </c>
      <c r="BK530" s="19">
        <v>325.8</v>
      </c>
      <c r="BL530" s="19">
        <v>0.53600000000000003</v>
      </c>
      <c r="BM530" s="19">
        <v>312.41739130434797</v>
      </c>
      <c r="BN530" s="19">
        <v>0.51400000000000001</v>
      </c>
      <c r="BO530" s="19">
        <v>122.782608695652</v>
      </c>
      <c r="BP530" s="19">
        <v>0.20200000000000001</v>
      </c>
      <c r="BQ530" s="19">
        <v>716.03478260869599</v>
      </c>
      <c r="BR530" s="19">
        <v>1.1779999999999999</v>
      </c>
      <c r="BS530" s="19">
        <v>390.22608695652201</v>
      </c>
      <c r="BT530" s="19">
        <v>0.64200000000000002</v>
      </c>
      <c r="BU530" s="19">
        <v>282.02608695652202</v>
      </c>
      <c r="BV530" s="19">
        <v>0.46400000000000002</v>
      </c>
      <c r="BW530" s="19">
        <v>122.782608695652</v>
      </c>
      <c r="BX530" s="19">
        <v>0.20200000000000001</v>
      </c>
      <c r="BY530" s="19">
        <v>0</v>
      </c>
      <c r="BZ530" s="19">
        <v>0</v>
      </c>
      <c r="CA530" s="19">
        <v>432.76521739130402</v>
      </c>
      <c r="CB530" s="19">
        <v>0.71199999999999997</v>
      </c>
      <c r="CC530" s="19">
        <v>406.03478260869599</v>
      </c>
      <c r="CD530" s="19">
        <v>0.66800000000000004</v>
      </c>
      <c r="CE530" s="19">
        <v>269.878260869565</v>
      </c>
      <c r="CF530" s="19">
        <v>0.44400000000000001</v>
      </c>
      <c r="CG530" s="19">
        <v>0</v>
      </c>
      <c r="CH530" s="19">
        <v>0</v>
      </c>
      <c r="CI530" s="19">
        <v>257.82608695652198</v>
      </c>
      <c r="CJ530" s="19">
        <v>0.46400000000000002</v>
      </c>
      <c r="CK530" s="19">
        <v>454.51304347826101</v>
      </c>
      <c r="CL530" s="19">
        <v>0.81799999999999995</v>
      </c>
      <c r="CM530" s="19">
        <v>265.60000000000002</v>
      </c>
      <c r="CN530" s="19">
        <v>0.47799999999999998</v>
      </c>
      <c r="CO530" s="19">
        <v>41.121739130434797</v>
      </c>
      <c r="CP530" s="19">
        <v>7.3999999999999996E-2</v>
      </c>
      <c r="CQ530" s="19">
        <v>0</v>
      </c>
      <c r="CR530" s="19">
        <v>0</v>
      </c>
      <c r="CS530" s="19">
        <v>0</v>
      </c>
      <c r="CT530" s="19">
        <v>0</v>
      </c>
      <c r="CU530" s="19">
        <v>0</v>
      </c>
      <c r="CV530" s="19">
        <v>0</v>
      </c>
      <c r="CW530" s="19">
        <v>0</v>
      </c>
      <c r="CX530" s="19">
        <v>0</v>
      </c>
      <c r="CY530" s="19">
        <v>0</v>
      </c>
      <c r="CZ530" s="19">
        <v>0</v>
      </c>
      <c r="DA530" s="19">
        <v>0</v>
      </c>
      <c r="DB530" s="19">
        <v>0</v>
      </c>
      <c r="DC530" s="19">
        <v>45.565217391304301</v>
      </c>
      <c r="DD530" s="19">
        <v>8.2000000000000003E-2</v>
      </c>
      <c r="DE530" s="19">
        <v>0</v>
      </c>
      <c r="DF530" s="19">
        <v>0</v>
      </c>
      <c r="DG530" s="19">
        <v>44.452173913043502</v>
      </c>
      <c r="DH530" s="19">
        <v>0.08</v>
      </c>
      <c r="DI530" s="19">
        <v>178.91304347826099</v>
      </c>
      <c r="DJ530" s="19">
        <v>0.32200000000000001</v>
      </c>
      <c r="DK530" s="19">
        <v>42.226086956521698</v>
      </c>
      <c r="DL530" s="19">
        <v>7.5999999999999998E-2</v>
      </c>
      <c r="DM530" s="19">
        <v>28.895652173913</v>
      </c>
      <c r="DN530" s="19">
        <v>5.1999999999999998E-2</v>
      </c>
      <c r="DO530" s="19">
        <v>132.24347826087001</v>
      </c>
      <c r="DP530" s="19">
        <v>0.23799999999999999</v>
      </c>
      <c r="DQ530" s="19">
        <v>0</v>
      </c>
      <c r="DR530" s="19">
        <v>0</v>
      </c>
      <c r="DS530" s="19">
        <v>0</v>
      </c>
      <c r="DT530" s="19">
        <v>0</v>
      </c>
      <c r="DU530" s="19">
        <v>0</v>
      </c>
      <c r="DV530" s="19">
        <v>0</v>
      </c>
      <c r="DW530" s="19">
        <v>0</v>
      </c>
      <c r="DX530" s="19">
        <v>0</v>
      </c>
      <c r="DY530" s="19">
        <v>0</v>
      </c>
      <c r="DZ530" s="19">
        <v>0</v>
      </c>
      <c r="EA530" s="19">
        <v>0</v>
      </c>
      <c r="EB530" s="19">
        <v>0</v>
      </c>
      <c r="EC530" s="19">
        <v>0</v>
      </c>
      <c r="ED530" s="19">
        <v>0</v>
      </c>
      <c r="EE530" s="19">
        <v>0</v>
      </c>
      <c r="EF530" s="19">
        <v>0</v>
      </c>
      <c r="EG530" s="19">
        <v>0</v>
      </c>
      <c r="EH530" s="19">
        <v>0</v>
      </c>
      <c r="EI530" s="19">
        <v>0</v>
      </c>
      <c r="EJ530" s="19">
        <v>0</v>
      </c>
      <c r="EK530" s="19">
        <v>0</v>
      </c>
      <c r="EL530" s="19">
        <v>0</v>
      </c>
      <c r="EM530" s="19">
        <v>0</v>
      </c>
      <c r="EN530" s="19">
        <v>0</v>
      </c>
      <c r="EO530" s="19">
        <v>0</v>
      </c>
      <c r="EP530" s="19">
        <v>0</v>
      </c>
      <c r="EQ530" s="19">
        <v>0</v>
      </c>
      <c r="ER530" s="19">
        <v>0</v>
      </c>
      <c r="ES530" s="119">
        <v>0</v>
      </c>
      <c r="ET530" s="119">
        <v>0</v>
      </c>
    </row>
    <row r="531" spans="1:150" ht="16.5" customHeight="1" x14ac:dyDescent="0.35">
      <c r="A531" s="4">
        <v>224</v>
      </c>
      <c r="B531" s="4" t="str">
        <f>LOOKUP(A531,Lookup!$A$1:$A$34,Lookup!$B$1:$B$34)</f>
        <v>BILT&amp; DROEWORS BUY IN</v>
      </c>
      <c r="C531" s="5">
        <v>52939</v>
      </c>
      <c r="D531" s="6" t="s">
        <v>504</v>
      </c>
      <c r="E531" s="18">
        <v>15.799142682179999</v>
      </c>
      <c r="F531" s="18">
        <v>3.5999999999999997E-2</v>
      </c>
      <c r="G531" s="18">
        <v>1121.73913043478</v>
      </c>
      <c r="H531" s="18">
        <v>2.58</v>
      </c>
      <c r="I531" s="19">
        <v>316.52173913043498</v>
      </c>
      <c r="J531" s="19">
        <v>0.72799999999999998</v>
      </c>
      <c r="K531" s="19">
        <v>240</v>
      </c>
      <c r="L531" s="19">
        <v>0.55200000000000005</v>
      </c>
      <c r="M531" s="19">
        <v>162.60869565217399</v>
      </c>
      <c r="N531" s="19">
        <v>0.374</v>
      </c>
      <c r="O531" s="19">
        <v>211.304347826087</v>
      </c>
      <c r="P531" s="19">
        <v>0.48599999999999999</v>
      </c>
      <c r="Q531" s="19">
        <v>135.65217391304299</v>
      </c>
      <c r="R531" s="19">
        <v>0.312</v>
      </c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29.565217391304301</v>
      </c>
      <c r="Z531" s="19">
        <v>6.8000000000000005E-2</v>
      </c>
      <c r="AA531" s="19">
        <v>0</v>
      </c>
      <c r="AB531" s="19">
        <v>0</v>
      </c>
      <c r="AC531" s="19">
        <v>26.086956521739101</v>
      </c>
      <c r="AD531" s="19">
        <v>0.06</v>
      </c>
      <c r="AE531" s="19">
        <v>0</v>
      </c>
      <c r="AF531" s="19">
        <v>0</v>
      </c>
      <c r="AG531" s="19">
        <v>0</v>
      </c>
      <c r="AH531" s="19">
        <v>0</v>
      </c>
      <c r="AI531" s="19">
        <v>0</v>
      </c>
      <c r="AJ531" s="19">
        <v>0</v>
      </c>
      <c r="AK531" s="19">
        <v>0</v>
      </c>
      <c r="AL531" s="19">
        <v>0</v>
      </c>
      <c r="AM531" s="19">
        <v>0</v>
      </c>
      <c r="AN531" s="19">
        <v>0</v>
      </c>
      <c r="AO531" s="19">
        <v>0</v>
      </c>
      <c r="AP531" s="19">
        <v>0</v>
      </c>
      <c r="AQ531" s="19">
        <v>0</v>
      </c>
      <c r="AR531" s="19">
        <v>0</v>
      </c>
      <c r="AS531" s="19">
        <v>0</v>
      </c>
      <c r="AT531" s="19">
        <v>0</v>
      </c>
      <c r="AU531" s="19">
        <v>0</v>
      </c>
      <c r="AV531" s="19">
        <v>0</v>
      </c>
      <c r="AW531" s="19">
        <v>0</v>
      </c>
      <c r="AX531" s="19">
        <v>0</v>
      </c>
      <c r="AY531" s="19">
        <v>0</v>
      </c>
      <c r="AZ531" s="19">
        <v>0</v>
      </c>
      <c r="BA531" s="19">
        <v>0</v>
      </c>
      <c r="BB531" s="19">
        <v>0</v>
      </c>
      <c r="BC531" s="19">
        <v>0</v>
      </c>
      <c r="BD531" s="19">
        <v>0</v>
      </c>
      <c r="BE531" s="19">
        <v>0</v>
      </c>
      <c r="BF531" s="19">
        <v>0</v>
      </c>
      <c r="BG531" s="19">
        <v>0</v>
      </c>
      <c r="BH531" s="19">
        <v>0</v>
      </c>
      <c r="BI531" s="19">
        <v>0</v>
      </c>
      <c r="BJ531" s="19">
        <v>0</v>
      </c>
      <c r="BK531" s="19">
        <v>0</v>
      </c>
      <c r="BL531" s="19">
        <v>0</v>
      </c>
      <c r="BM531" s="19">
        <v>0</v>
      </c>
      <c r="BN531" s="19">
        <v>0</v>
      </c>
      <c r="BO531" s="19">
        <v>0</v>
      </c>
      <c r="BP531" s="19">
        <v>0</v>
      </c>
      <c r="BQ531" s="19">
        <v>0</v>
      </c>
      <c r="BR531" s="19">
        <v>0</v>
      </c>
      <c r="BS531" s="19">
        <v>0</v>
      </c>
      <c r="BT531" s="19">
        <v>0</v>
      </c>
      <c r="BU531" s="19">
        <v>0</v>
      </c>
      <c r="BV531" s="19">
        <v>0</v>
      </c>
      <c r="BW531" s="19">
        <v>0</v>
      </c>
      <c r="BX531" s="19">
        <v>0</v>
      </c>
      <c r="BY531" s="19">
        <v>0</v>
      </c>
      <c r="BZ531" s="19">
        <v>0</v>
      </c>
      <c r="CA531" s="19">
        <v>0</v>
      </c>
      <c r="CB531" s="19">
        <v>0</v>
      </c>
      <c r="CC531" s="19">
        <v>0</v>
      </c>
      <c r="CD531" s="19">
        <v>0</v>
      </c>
      <c r="CE531" s="19">
        <v>0</v>
      </c>
      <c r="CF531" s="19">
        <v>0</v>
      </c>
      <c r="CG531" s="19">
        <v>0</v>
      </c>
      <c r="CH531" s="19">
        <v>0</v>
      </c>
      <c r="CI531" s="19">
        <v>0</v>
      </c>
      <c r="CJ531" s="19">
        <v>0</v>
      </c>
      <c r="CK531" s="19">
        <v>0</v>
      </c>
      <c r="CL531" s="19">
        <v>0</v>
      </c>
      <c r="CM531" s="19">
        <v>0</v>
      </c>
      <c r="CN531" s="19">
        <v>0</v>
      </c>
      <c r="CO531" s="19">
        <v>0</v>
      </c>
      <c r="CP531" s="19">
        <v>0</v>
      </c>
      <c r="CQ531" s="19">
        <v>0</v>
      </c>
      <c r="CR531" s="19">
        <v>0</v>
      </c>
      <c r="CS531" s="19">
        <v>0</v>
      </c>
      <c r="CT531" s="19">
        <v>0</v>
      </c>
      <c r="CU531" s="19">
        <v>0</v>
      </c>
      <c r="CV531" s="19">
        <v>0</v>
      </c>
      <c r="CW531" s="19">
        <v>0</v>
      </c>
      <c r="CX531" s="19">
        <v>0</v>
      </c>
      <c r="CY531" s="19">
        <v>0</v>
      </c>
      <c r="CZ531" s="19">
        <v>0</v>
      </c>
      <c r="DA531" s="19">
        <v>0</v>
      </c>
      <c r="DB531" s="19">
        <v>0</v>
      </c>
      <c r="DC531" s="19">
        <v>0</v>
      </c>
      <c r="DD531" s="19">
        <v>0</v>
      </c>
      <c r="DE531" s="19">
        <v>0</v>
      </c>
      <c r="DF531" s="19">
        <v>0</v>
      </c>
      <c r="DG531" s="19">
        <v>0</v>
      </c>
      <c r="DH531" s="19">
        <v>0</v>
      </c>
      <c r="DI531" s="19">
        <v>0</v>
      </c>
      <c r="DJ531" s="19">
        <v>0</v>
      </c>
      <c r="DK531" s="19">
        <v>0</v>
      </c>
      <c r="DL531" s="19">
        <v>0</v>
      </c>
      <c r="DM531" s="19">
        <v>0</v>
      </c>
      <c r="DN531" s="19">
        <v>0</v>
      </c>
      <c r="DO531" s="19">
        <v>0</v>
      </c>
      <c r="DP531" s="19">
        <v>0</v>
      </c>
      <c r="DQ531" s="19">
        <v>0</v>
      </c>
      <c r="DR531" s="19">
        <v>0</v>
      </c>
      <c r="DS531" s="19">
        <v>0</v>
      </c>
      <c r="DT531" s="19">
        <v>0</v>
      </c>
      <c r="DU531" s="19">
        <v>0</v>
      </c>
      <c r="DV531" s="19">
        <v>0</v>
      </c>
      <c r="DW531" s="19">
        <v>0</v>
      </c>
      <c r="DX531" s="19">
        <v>0</v>
      </c>
      <c r="DY531" s="19">
        <v>0</v>
      </c>
      <c r="DZ531" s="19">
        <v>0</v>
      </c>
      <c r="EA531" s="19">
        <v>0</v>
      </c>
      <c r="EB531" s="19">
        <v>0</v>
      </c>
      <c r="EC531" s="19">
        <v>0</v>
      </c>
      <c r="ED531" s="19">
        <v>0</v>
      </c>
      <c r="EE531" s="19">
        <v>0</v>
      </c>
      <c r="EF531" s="19">
        <v>0</v>
      </c>
      <c r="EG531" s="19">
        <v>0</v>
      </c>
      <c r="EH531" s="19">
        <v>0</v>
      </c>
      <c r="EI531" s="19">
        <v>0</v>
      </c>
      <c r="EJ531" s="19">
        <v>0</v>
      </c>
      <c r="EK531" s="19">
        <v>0</v>
      </c>
      <c r="EL531" s="19">
        <v>0</v>
      </c>
      <c r="EM531" s="19">
        <v>0</v>
      </c>
      <c r="EN531" s="19">
        <v>0</v>
      </c>
      <c r="EO531" s="19">
        <v>0</v>
      </c>
      <c r="EP531" s="19">
        <v>0</v>
      </c>
      <c r="EQ531" s="19">
        <v>0</v>
      </c>
      <c r="ER531" s="19">
        <v>0</v>
      </c>
      <c r="ES531" s="119">
        <v>0</v>
      </c>
      <c r="ET531" s="119">
        <v>0</v>
      </c>
    </row>
    <row r="532" spans="1:150" ht="16.5" customHeight="1" x14ac:dyDescent="0.35">
      <c r="A532" s="4">
        <v>224</v>
      </c>
      <c r="B532" s="4" t="str">
        <f>LOOKUP(A532,Lookup!$A$1:$A$34,Lookup!$B$1:$B$34)</f>
        <v>BILT&amp; DROEWORS BUY IN</v>
      </c>
      <c r="C532" s="5">
        <v>52941</v>
      </c>
      <c r="D532" s="6" t="s">
        <v>505</v>
      </c>
      <c r="E532" s="18">
        <v>15.510104102878101</v>
      </c>
      <c r="F532" s="18">
        <v>4.4999999999999998E-2</v>
      </c>
      <c r="G532" s="18">
        <v>1101.21739130435</v>
      </c>
      <c r="H532" s="18">
        <v>3.1659999999999999</v>
      </c>
      <c r="I532" s="19">
        <v>27.130434782608699</v>
      </c>
      <c r="J532" s="19">
        <v>7.8E-2</v>
      </c>
      <c r="K532" s="19">
        <v>83.478260869565204</v>
      </c>
      <c r="L532" s="19">
        <v>0.24</v>
      </c>
      <c r="M532" s="19">
        <v>29.2173913043478</v>
      </c>
      <c r="N532" s="19">
        <v>8.4000000000000005E-2</v>
      </c>
      <c r="O532" s="19">
        <v>150.26086956521701</v>
      </c>
      <c r="P532" s="19">
        <v>0.432</v>
      </c>
      <c r="Q532" s="19">
        <v>36.173913043478301</v>
      </c>
      <c r="R532" s="19">
        <v>0.104</v>
      </c>
      <c r="S532" s="19">
        <v>159.304347826087</v>
      </c>
      <c r="T532" s="19">
        <v>0.45800000000000002</v>
      </c>
      <c r="U532" s="19">
        <v>18.086956521739101</v>
      </c>
      <c r="V532" s="19">
        <v>5.1999999999999998E-2</v>
      </c>
      <c r="W532" s="19">
        <v>144</v>
      </c>
      <c r="X532" s="19">
        <v>0.41399999999999998</v>
      </c>
      <c r="Y532" s="19">
        <v>45.2173913043478</v>
      </c>
      <c r="Z532" s="19">
        <v>0.13</v>
      </c>
      <c r="AA532" s="19">
        <v>0</v>
      </c>
      <c r="AB532" s="19">
        <v>0</v>
      </c>
      <c r="AC532" s="19">
        <v>0</v>
      </c>
      <c r="AD532" s="19">
        <v>0</v>
      </c>
      <c r="AE532" s="19">
        <v>0</v>
      </c>
      <c r="AF532" s="19">
        <v>0</v>
      </c>
      <c r="AG532" s="19">
        <v>0</v>
      </c>
      <c r="AH532" s="19">
        <v>0</v>
      </c>
      <c r="AI532" s="19">
        <v>0</v>
      </c>
      <c r="AJ532" s="19">
        <v>0</v>
      </c>
      <c r="AK532" s="19">
        <v>0</v>
      </c>
      <c r="AL532" s="19">
        <v>0</v>
      </c>
      <c r="AM532" s="19">
        <v>0</v>
      </c>
      <c r="AN532" s="19">
        <v>0</v>
      </c>
      <c r="AO532" s="19">
        <v>0</v>
      </c>
      <c r="AP532" s="19">
        <v>0</v>
      </c>
      <c r="AQ532" s="19">
        <v>0</v>
      </c>
      <c r="AR532" s="19">
        <v>0</v>
      </c>
      <c r="AS532" s="19">
        <v>0</v>
      </c>
      <c r="AT532" s="19">
        <v>0</v>
      </c>
      <c r="AU532" s="19">
        <v>0</v>
      </c>
      <c r="AV532" s="19">
        <v>0</v>
      </c>
      <c r="AW532" s="19">
        <v>0</v>
      </c>
      <c r="AX532" s="19">
        <v>0</v>
      </c>
      <c r="AY532" s="19">
        <v>0</v>
      </c>
      <c r="AZ532" s="19">
        <v>0</v>
      </c>
      <c r="BA532" s="19">
        <v>0</v>
      </c>
      <c r="BB532" s="19">
        <v>0</v>
      </c>
      <c r="BC532" s="19">
        <v>0</v>
      </c>
      <c r="BD532" s="19">
        <v>0</v>
      </c>
      <c r="BE532" s="19">
        <v>0</v>
      </c>
      <c r="BF532" s="19">
        <v>0</v>
      </c>
      <c r="BG532" s="19">
        <v>0</v>
      </c>
      <c r="BH532" s="19">
        <v>0</v>
      </c>
      <c r="BI532" s="19">
        <v>0</v>
      </c>
      <c r="BJ532" s="19">
        <v>0</v>
      </c>
      <c r="BK532" s="19">
        <v>36.173913043478301</v>
      </c>
      <c r="BL532" s="19">
        <v>0.104</v>
      </c>
      <c r="BM532" s="19">
        <v>0</v>
      </c>
      <c r="BN532" s="19">
        <v>0</v>
      </c>
      <c r="BO532" s="19">
        <v>372.17391304347802</v>
      </c>
      <c r="BP532" s="19">
        <v>1.07</v>
      </c>
      <c r="BQ532" s="19">
        <v>0</v>
      </c>
      <c r="BR532" s="19">
        <v>0</v>
      </c>
      <c r="BS532" s="19">
        <v>0</v>
      </c>
      <c r="BT532" s="19">
        <v>0</v>
      </c>
      <c r="BU532" s="19">
        <v>0</v>
      </c>
      <c r="BV532" s="19">
        <v>0</v>
      </c>
      <c r="BW532" s="19">
        <v>0</v>
      </c>
      <c r="BX532" s="19">
        <v>0</v>
      </c>
      <c r="BY532" s="19">
        <v>0</v>
      </c>
      <c r="BZ532" s="19">
        <v>0</v>
      </c>
      <c r="CA532" s="19">
        <v>0</v>
      </c>
      <c r="CB532" s="19">
        <v>0</v>
      </c>
      <c r="CC532" s="19">
        <v>0</v>
      </c>
      <c r="CD532" s="19">
        <v>0</v>
      </c>
      <c r="CE532" s="19">
        <v>0</v>
      </c>
      <c r="CF532" s="19">
        <v>0</v>
      </c>
      <c r="CG532" s="19">
        <v>0</v>
      </c>
      <c r="CH532" s="19">
        <v>0</v>
      </c>
      <c r="CI532" s="19">
        <v>0</v>
      </c>
      <c r="CJ532" s="19">
        <v>0</v>
      </c>
      <c r="CK532" s="19">
        <v>0</v>
      </c>
      <c r="CL532" s="19">
        <v>0</v>
      </c>
      <c r="CM532" s="19">
        <v>0</v>
      </c>
      <c r="CN532" s="19">
        <v>0</v>
      </c>
      <c r="CO532" s="19">
        <v>0</v>
      </c>
      <c r="CP532" s="19">
        <v>0</v>
      </c>
      <c r="CQ532" s="19">
        <v>0</v>
      </c>
      <c r="CR532" s="19">
        <v>0</v>
      </c>
      <c r="CS532" s="19">
        <v>0</v>
      </c>
      <c r="CT532" s="19">
        <v>0</v>
      </c>
      <c r="CU532" s="19">
        <v>0</v>
      </c>
      <c r="CV532" s="19">
        <v>0</v>
      </c>
      <c r="CW532" s="19">
        <v>0</v>
      </c>
      <c r="CX532" s="19">
        <v>0</v>
      </c>
      <c r="CY532" s="19">
        <v>0</v>
      </c>
      <c r="CZ532" s="19">
        <v>0</v>
      </c>
      <c r="DA532" s="19">
        <v>0</v>
      </c>
      <c r="DB532" s="19">
        <v>0</v>
      </c>
      <c r="DC532" s="19">
        <v>0</v>
      </c>
      <c r="DD532" s="19">
        <v>0</v>
      </c>
      <c r="DE532" s="19">
        <v>0</v>
      </c>
      <c r="DF532" s="19">
        <v>0</v>
      </c>
      <c r="DG532" s="19">
        <v>0</v>
      </c>
      <c r="DH532" s="19">
        <v>0</v>
      </c>
      <c r="DI532" s="19">
        <v>0</v>
      </c>
      <c r="DJ532" s="19">
        <v>0</v>
      </c>
      <c r="DK532" s="19">
        <v>0</v>
      </c>
      <c r="DL532" s="19">
        <v>0</v>
      </c>
      <c r="DM532" s="19">
        <v>0</v>
      </c>
      <c r="DN532" s="19">
        <v>0</v>
      </c>
      <c r="DO532" s="19">
        <v>0</v>
      </c>
      <c r="DP532" s="19">
        <v>0</v>
      </c>
      <c r="DQ532" s="19">
        <v>0</v>
      </c>
      <c r="DR532" s="19">
        <v>0</v>
      </c>
      <c r="DS532" s="19">
        <v>0</v>
      </c>
      <c r="DT532" s="19">
        <v>0</v>
      </c>
      <c r="DU532" s="19">
        <v>0</v>
      </c>
      <c r="DV532" s="19">
        <v>0</v>
      </c>
      <c r="DW532" s="19">
        <v>0</v>
      </c>
      <c r="DX532" s="19">
        <v>0</v>
      </c>
      <c r="DY532" s="19">
        <v>0</v>
      </c>
      <c r="DZ532" s="19">
        <v>0</v>
      </c>
      <c r="EA532" s="19">
        <v>0</v>
      </c>
      <c r="EB532" s="19">
        <v>0</v>
      </c>
      <c r="EC532" s="19">
        <v>0</v>
      </c>
      <c r="ED532" s="19">
        <v>0</v>
      </c>
      <c r="EE532" s="19">
        <v>0</v>
      </c>
      <c r="EF532" s="19">
        <v>0</v>
      </c>
      <c r="EG532" s="19">
        <v>0</v>
      </c>
      <c r="EH532" s="19">
        <v>0</v>
      </c>
      <c r="EI532" s="19">
        <v>0</v>
      </c>
      <c r="EJ532" s="19">
        <v>0</v>
      </c>
      <c r="EK532" s="19">
        <v>0</v>
      </c>
      <c r="EL532" s="19">
        <v>0</v>
      </c>
      <c r="EM532" s="19">
        <v>0</v>
      </c>
      <c r="EN532" s="19">
        <v>0</v>
      </c>
      <c r="EO532" s="19">
        <v>0</v>
      </c>
      <c r="EP532" s="19">
        <v>0</v>
      </c>
      <c r="EQ532" s="19">
        <v>0</v>
      </c>
      <c r="ER532" s="19">
        <v>0</v>
      </c>
      <c r="ES532" s="119">
        <v>0</v>
      </c>
      <c r="ET532" s="119">
        <v>0</v>
      </c>
    </row>
    <row r="533" spans="1:150" ht="16.5" customHeight="1" x14ac:dyDescent="0.35">
      <c r="A533" s="4">
        <v>224</v>
      </c>
      <c r="B533" s="4" t="str">
        <f>LOOKUP(A533,Lookup!$A$1:$A$34,Lookup!$B$1:$B$34)</f>
        <v>BILT&amp; DROEWORS BUY IN</v>
      </c>
      <c r="C533" s="5">
        <v>53854</v>
      </c>
      <c r="D533" s="6" t="s">
        <v>506</v>
      </c>
      <c r="E533" s="18">
        <v>1942.64960195958</v>
      </c>
      <c r="F533" s="18">
        <v>5.1959999999999997</v>
      </c>
      <c r="G533" s="18">
        <v>137928.12173913</v>
      </c>
      <c r="H533" s="18">
        <v>368.94799999999998</v>
      </c>
      <c r="I533" s="19">
        <v>2272.6869565217398</v>
      </c>
      <c r="J533" s="19">
        <v>6.5339999999999998</v>
      </c>
      <c r="K533" s="19">
        <v>1147.8260869565199</v>
      </c>
      <c r="L533" s="19">
        <v>3.3</v>
      </c>
      <c r="M533" s="19">
        <v>918.26086956521704</v>
      </c>
      <c r="N533" s="19">
        <v>2.64</v>
      </c>
      <c r="O533" s="19">
        <v>1422.6086956521699</v>
      </c>
      <c r="P533" s="19">
        <v>4.09</v>
      </c>
      <c r="Q533" s="19">
        <v>1346.78260869565</v>
      </c>
      <c r="R533" s="19">
        <v>3.8719999999999999</v>
      </c>
      <c r="S533" s="19">
        <v>2016.69565217391</v>
      </c>
      <c r="T533" s="19">
        <v>5.798</v>
      </c>
      <c r="U533" s="19">
        <v>2353.3913043478301</v>
      </c>
      <c r="V533" s="19">
        <v>6.766</v>
      </c>
      <c r="W533" s="19">
        <v>1092.8695652173899</v>
      </c>
      <c r="X533" s="19">
        <v>3.1419999999999999</v>
      </c>
      <c r="Y533" s="19">
        <v>1834.4347826087001</v>
      </c>
      <c r="Z533" s="19">
        <v>5.274</v>
      </c>
      <c r="AA533" s="19">
        <v>2265.04347826087</v>
      </c>
      <c r="AB533" s="19">
        <v>6.5119999999999996</v>
      </c>
      <c r="AC533" s="19">
        <v>1750.95652173913</v>
      </c>
      <c r="AD533" s="19">
        <v>5.0339999999999998</v>
      </c>
      <c r="AE533" s="19">
        <v>2132.8695652173901</v>
      </c>
      <c r="AF533" s="19">
        <v>6.1319999999999997</v>
      </c>
      <c r="AG533" s="19">
        <v>2390.95652173913</v>
      </c>
      <c r="AH533" s="19">
        <v>6.8739999999999997</v>
      </c>
      <c r="AI533" s="19">
        <v>1766.9391304347801</v>
      </c>
      <c r="AJ533" s="19">
        <v>5.08</v>
      </c>
      <c r="AK533" s="19">
        <v>2108.51304347826</v>
      </c>
      <c r="AL533" s="19">
        <v>6.0620000000000003</v>
      </c>
      <c r="AM533" s="19">
        <v>1907.4</v>
      </c>
      <c r="AN533" s="19">
        <v>5.4359999999999999</v>
      </c>
      <c r="AO533" s="19">
        <v>2555.02608695652</v>
      </c>
      <c r="AP533" s="19">
        <v>7.1840000000000002</v>
      </c>
      <c r="AQ533" s="19">
        <v>3045.2347826086998</v>
      </c>
      <c r="AR533" s="19">
        <v>8.3710000000000004</v>
      </c>
      <c r="AS533" s="19">
        <v>1682.4347826087001</v>
      </c>
      <c r="AT533" s="19">
        <v>4.51</v>
      </c>
      <c r="AU533" s="19">
        <v>1668.25217391304</v>
      </c>
      <c r="AV533" s="19">
        <v>4.4720000000000004</v>
      </c>
      <c r="AW533" s="19">
        <v>2556.0782608695599</v>
      </c>
      <c r="AX533" s="19">
        <v>6.8520000000000003</v>
      </c>
      <c r="AY533" s="19">
        <v>1996.5565217391299</v>
      </c>
      <c r="AZ533" s="19">
        <v>5.3520000000000003</v>
      </c>
      <c r="BA533" s="19">
        <v>2267.3652173913001</v>
      </c>
      <c r="BB533" s="19">
        <v>6.0780000000000003</v>
      </c>
      <c r="BC533" s="19">
        <v>2735.1652173912998</v>
      </c>
      <c r="BD533" s="19">
        <v>7.3319999999999999</v>
      </c>
      <c r="BE533" s="19">
        <v>1346.6</v>
      </c>
      <c r="BF533" s="19">
        <v>3.3140000000000001</v>
      </c>
      <c r="BG533" s="19">
        <v>3271.8521739130401</v>
      </c>
      <c r="BH533" s="19">
        <v>7.2030000000000003</v>
      </c>
      <c r="BI533" s="19">
        <v>2643.2608695652202</v>
      </c>
      <c r="BJ533" s="19">
        <v>5.79</v>
      </c>
      <c r="BK533" s="19">
        <v>1547.1304347826101</v>
      </c>
      <c r="BL533" s="19">
        <v>3.4780000000000002</v>
      </c>
      <c r="BM533" s="19">
        <v>1769.5565217391299</v>
      </c>
      <c r="BN533" s="19">
        <v>4.07</v>
      </c>
      <c r="BO533" s="19">
        <v>1704.3478260869599</v>
      </c>
      <c r="BP533" s="19">
        <v>3.92</v>
      </c>
      <c r="BQ533" s="19">
        <v>2033.04347826087</v>
      </c>
      <c r="BR533" s="19">
        <v>4.6760000000000002</v>
      </c>
      <c r="BS533" s="19">
        <v>2153.9130434782601</v>
      </c>
      <c r="BT533" s="19">
        <v>4.9539999999999997</v>
      </c>
      <c r="BU533" s="19">
        <v>1303.47826086957</v>
      </c>
      <c r="BV533" s="19">
        <v>2.9980000000000002</v>
      </c>
      <c r="BW533" s="19">
        <v>1634.78260869565</v>
      </c>
      <c r="BX533" s="19">
        <v>3.76</v>
      </c>
      <c r="BY533" s="19">
        <v>2938.2608695652202</v>
      </c>
      <c r="BZ533" s="19">
        <v>6.758</v>
      </c>
      <c r="CA533" s="19">
        <v>2177.3826086956501</v>
      </c>
      <c r="CB533" s="19">
        <v>5.008</v>
      </c>
      <c r="CC533" s="19">
        <v>1793.9130434782601</v>
      </c>
      <c r="CD533" s="19">
        <v>4.1260000000000003</v>
      </c>
      <c r="CE533" s="19">
        <v>1258.26086956522</v>
      </c>
      <c r="CF533" s="19">
        <v>2.8940000000000001</v>
      </c>
      <c r="CG533" s="19">
        <v>1491.8608695652199</v>
      </c>
      <c r="CH533" s="19">
        <v>3.9089999999999998</v>
      </c>
      <c r="CI533" s="19">
        <v>2692.7739130434802</v>
      </c>
      <c r="CJ533" s="19">
        <v>7.0540000000000003</v>
      </c>
      <c r="CK533" s="19">
        <v>2756.9043478260901</v>
      </c>
      <c r="CL533" s="19">
        <v>7.2220000000000004</v>
      </c>
      <c r="CM533" s="19">
        <v>1710.97391304348</v>
      </c>
      <c r="CN533" s="19">
        <v>4.4820000000000002</v>
      </c>
      <c r="CO533" s="19">
        <v>1488.00869565217</v>
      </c>
      <c r="CP533" s="19">
        <v>3.8980000000000001</v>
      </c>
      <c r="CQ533" s="19">
        <v>2320.99130434783</v>
      </c>
      <c r="CR533" s="19">
        <v>6.08</v>
      </c>
      <c r="CS533" s="19">
        <v>1933.1304347826101</v>
      </c>
      <c r="CT533" s="19">
        <v>5.0640000000000001</v>
      </c>
      <c r="CU533" s="19">
        <v>1262.0347826087</v>
      </c>
      <c r="CV533" s="19">
        <v>3.306</v>
      </c>
      <c r="CW533" s="19">
        <v>861.2</v>
      </c>
      <c r="CX533" s="19">
        <v>2.2559999999999998</v>
      </c>
      <c r="CY533" s="19">
        <v>2452.2695652173902</v>
      </c>
      <c r="CZ533" s="19">
        <v>6.4240000000000004</v>
      </c>
      <c r="DA533" s="19">
        <v>1077.24347826087</v>
      </c>
      <c r="DB533" s="19">
        <v>2.8220000000000001</v>
      </c>
      <c r="DC533" s="19">
        <v>2018.6347826087001</v>
      </c>
      <c r="DD533" s="19">
        <v>5.2880000000000003</v>
      </c>
      <c r="DE533" s="19">
        <v>1471.97391304348</v>
      </c>
      <c r="DF533" s="19">
        <v>3.8559999999999999</v>
      </c>
      <c r="DG533" s="19">
        <v>4639.6347826087003</v>
      </c>
      <c r="DH533" s="19">
        <v>12.154</v>
      </c>
      <c r="DI533" s="19">
        <v>1483.4173913043501</v>
      </c>
      <c r="DJ533" s="19">
        <v>3.8860000000000001</v>
      </c>
      <c r="DK533" s="19">
        <v>1308.5999999999999</v>
      </c>
      <c r="DL533" s="19">
        <v>3.4279999999999999</v>
      </c>
      <c r="DM533" s="19">
        <v>1687.26956521739</v>
      </c>
      <c r="DN533" s="19">
        <v>4.42</v>
      </c>
      <c r="DO533" s="19">
        <v>1548.4</v>
      </c>
      <c r="DP533" s="19">
        <v>4.4210000000000003</v>
      </c>
      <c r="DQ533" s="19">
        <v>1756.98260869565</v>
      </c>
      <c r="DR533" s="19">
        <v>5.0640000000000001</v>
      </c>
      <c r="DS533" s="19">
        <v>1631.4</v>
      </c>
      <c r="DT533" s="19">
        <v>4.702</v>
      </c>
      <c r="DU533" s="19">
        <v>1637.6173913043499</v>
      </c>
      <c r="DV533" s="19">
        <v>4.72</v>
      </c>
      <c r="DW533" s="19">
        <v>1192.1652173913001</v>
      </c>
      <c r="DX533" s="19">
        <v>3.4359999999999999</v>
      </c>
      <c r="DY533" s="19">
        <v>2160.1739130434798</v>
      </c>
      <c r="DZ533" s="19">
        <v>6.226</v>
      </c>
      <c r="EA533" s="19">
        <v>2035.9304347826101</v>
      </c>
      <c r="EB533" s="19">
        <v>5.8680000000000003</v>
      </c>
      <c r="EC533" s="19">
        <v>1460.70434782609</v>
      </c>
      <c r="ED533" s="19">
        <v>4.21</v>
      </c>
      <c r="EE533" s="19">
        <v>1399.6347826087001</v>
      </c>
      <c r="EF533" s="19">
        <v>4.0339999999999998</v>
      </c>
      <c r="EG533" s="19">
        <v>2636.8695652173901</v>
      </c>
      <c r="EH533" s="19">
        <v>7.6</v>
      </c>
      <c r="EI533" s="19">
        <v>2961.6347826086999</v>
      </c>
      <c r="EJ533" s="19">
        <v>8.5359999999999996</v>
      </c>
      <c r="EK533" s="19">
        <v>1796.53913043478</v>
      </c>
      <c r="EL533" s="19">
        <v>5.1779999999999999</v>
      </c>
      <c r="EM533" s="19">
        <v>1914.52173913043</v>
      </c>
      <c r="EN533" s="19">
        <v>5.5179999999999998</v>
      </c>
      <c r="EO533" s="19">
        <v>2366.2695652173902</v>
      </c>
      <c r="EP533" s="19">
        <v>6.82</v>
      </c>
      <c r="EQ533" s="19">
        <v>2586.9043478260901</v>
      </c>
      <c r="ER533" s="19">
        <v>7.4560000000000004</v>
      </c>
      <c r="ES533" s="119">
        <v>1768.0695652173899</v>
      </c>
      <c r="ET533" s="119">
        <v>5.0960000000000001</v>
      </c>
    </row>
    <row r="534" spans="1:150" ht="16.5" customHeight="1" x14ac:dyDescent="0.35">
      <c r="A534" s="4">
        <v>224</v>
      </c>
      <c r="B534" s="4" t="str">
        <f>LOOKUP(A534,Lookup!$A$1:$A$34,Lookup!$B$1:$B$34)</f>
        <v>BILT&amp; DROEWORS BUY IN</v>
      </c>
      <c r="C534" s="5">
        <v>53985</v>
      </c>
      <c r="D534" s="6" t="s">
        <v>507</v>
      </c>
      <c r="E534" s="18">
        <v>343.61065523576201</v>
      </c>
      <c r="F534" s="18">
        <v>1.032</v>
      </c>
      <c r="G534" s="18">
        <v>24396.356521739101</v>
      </c>
      <c r="H534" s="18">
        <v>73.293000000000006</v>
      </c>
      <c r="I534" s="19">
        <v>0</v>
      </c>
      <c r="J534" s="19">
        <v>0</v>
      </c>
      <c r="K534" s="19">
        <v>0</v>
      </c>
      <c r="L534" s="19">
        <v>0</v>
      </c>
      <c r="M534" s="19">
        <v>0</v>
      </c>
      <c r="N534" s="19">
        <v>0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91.704347826086902</v>
      </c>
      <c r="V534" s="19">
        <v>0.378</v>
      </c>
      <c r="W534" s="19">
        <v>0</v>
      </c>
      <c r="X534" s="19">
        <v>6.9000000000000006E-2</v>
      </c>
      <c r="Y534" s="19">
        <v>388.96521739130401</v>
      </c>
      <c r="Z534" s="19">
        <v>1.246</v>
      </c>
      <c r="AA534" s="19">
        <v>187.93043478260901</v>
      </c>
      <c r="AB534" s="19">
        <v>0.60199999999999998</v>
      </c>
      <c r="AC534" s="19">
        <v>0</v>
      </c>
      <c r="AD534" s="19">
        <v>0</v>
      </c>
      <c r="AE534" s="19">
        <v>548.17391304347802</v>
      </c>
      <c r="AF534" s="19">
        <v>1.756</v>
      </c>
      <c r="AG534" s="19">
        <v>768.56521739130403</v>
      </c>
      <c r="AH534" s="19">
        <v>2.4620000000000002</v>
      </c>
      <c r="AI534" s="19">
        <v>297.81739130434801</v>
      </c>
      <c r="AJ534" s="19">
        <v>0.95399999999999996</v>
      </c>
      <c r="AK534" s="19">
        <v>571.27826086956497</v>
      </c>
      <c r="AL534" s="19">
        <v>1.83</v>
      </c>
      <c r="AM534" s="19">
        <v>355.878260869565</v>
      </c>
      <c r="AN534" s="19">
        <v>1.1399999999999999</v>
      </c>
      <c r="AO534" s="19">
        <v>265.97391304347798</v>
      </c>
      <c r="AP534" s="19">
        <v>0.85199999999999998</v>
      </c>
      <c r="AQ534" s="19">
        <v>385.85217391304298</v>
      </c>
      <c r="AR534" s="19">
        <v>1.236</v>
      </c>
      <c r="AS534" s="19">
        <v>218.52173913043501</v>
      </c>
      <c r="AT534" s="19">
        <v>0.7</v>
      </c>
      <c r="AU534" s="19">
        <v>638.70434782608697</v>
      </c>
      <c r="AV534" s="19">
        <v>2.0459999999999998</v>
      </c>
      <c r="AW534" s="19">
        <v>322.79130434782599</v>
      </c>
      <c r="AX534" s="19">
        <v>1.034</v>
      </c>
      <c r="AY534" s="19">
        <v>293.44347826086999</v>
      </c>
      <c r="AZ534" s="19">
        <v>0.94</v>
      </c>
      <c r="BA534" s="19">
        <v>451.408695652174</v>
      </c>
      <c r="BB534" s="19">
        <v>1.446</v>
      </c>
      <c r="BC534" s="19">
        <v>520.08695652173901</v>
      </c>
      <c r="BD534" s="19">
        <v>1.6659999999999999</v>
      </c>
      <c r="BE534" s="19">
        <v>650.31304347826097</v>
      </c>
      <c r="BF534" s="19">
        <v>1.998</v>
      </c>
      <c r="BG534" s="19">
        <v>519.04347826086996</v>
      </c>
      <c r="BH534" s="19">
        <v>1.496</v>
      </c>
      <c r="BI534" s="19">
        <v>546.10434782608695</v>
      </c>
      <c r="BJ534" s="19">
        <v>1.5740000000000001</v>
      </c>
      <c r="BK534" s="19">
        <v>247.02608695652199</v>
      </c>
      <c r="BL534" s="19">
        <v>0.71199999999999997</v>
      </c>
      <c r="BM534" s="19">
        <v>285.06086956521699</v>
      </c>
      <c r="BN534" s="19">
        <v>0.88600000000000001</v>
      </c>
      <c r="BO534" s="19">
        <v>677.58260869565197</v>
      </c>
      <c r="BP534" s="19">
        <v>2.1059999999999999</v>
      </c>
      <c r="BQ534" s="19">
        <v>357.13043478260897</v>
      </c>
      <c r="BR534" s="19">
        <v>1.1100000000000001</v>
      </c>
      <c r="BS534" s="19">
        <v>175.66956521739101</v>
      </c>
      <c r="BT534" s="19">
        <v>0.54600000000000004</v>
      </c>
      <c r="BU534" s="19">
        <v>237.44347826086999</v>
      </c>
      <c r="BV534" s="19">
        <v>0.73799999999999999</v>
      </c>
      <c r="BW534" s="19">
        <v>149.286956521739</v>
      </c>
      <c r="BX534" s="19">
        <v>0.46400000000000002</v>
      </c>
      <c r="BY534" s="19">
        <v>413.75652173912999</v>
      </c>
      <c r="BZ534" s="19">
        <v>1.286</v>
      </c>
      <c r="CA534" s="19">
        <v>387.37391304347801</v>
      </c>
      <c r="CB534" s="19">
        <v>1.204</v>
      </c>
      <c r="CC534" s="19">
        <v>256.74782608695699</v>
      </c>
      <c r="CD534" s="19">
        <v>0.77400000000000002</v>
      </c>
      <c r="CE534" s="19">
        <v>396.52173913043498</v>
      </c>
      <c r="CF534" s="19">
        <v>1.1399999999999999</v>
      </c>
      <c r="CG534" s="19">
        <v>363.82608695652198</v>
      </c>
      <c r="CH534" s="19">
        <v>1.046</v>
      </c>
      <c r="CI534" s="19">
        <v>642.78260869565202</v>
      </c>
      <c r="CJ534" s="19">
        <v>1.8480000000000001</v>
      </c>
      <c r="CK534" s="19">
        <v>514.78260869565202</v>
      </c>
      <c r="CL534" s="19">
        <v>1.48</v>
      </c>
      <c r="CM534" s="19">
        <v>436.86956521739103</v>
      </c>
      <c r="CN534" s="19">
        <v>1.256</v>
      </c>
      <c r="CO534" s="19">
        <v>369.39130434782601</v>
      </c>
      <c r="CP534" s="19">
        <v>1.0620000000000001</v>
      </c>
      <c r="CQ534" s="19">
        <v>412.52173913043498</v>
      </c>
      <c r="CR534" s="19">
        <v>1.1859999999999999</v>
      </c>
      <c r="CS534" s="19">
        <v>900.86086956521694</v>
      </c>
      <c r="CT534" s="19">
        <v>2.59</v>
      </c>
      <c r="CU534" s="19">
        <v>272.695652173913</v>
      </c>
      <c r="CV534" s="19">
        <v>0.78400000000000003</v>
      </c>
      <c r="CW534" s="19">
        <v>31.304347826087</v>
      </c>
      <c r="CX534" s="19">
        <v>0.09</v>
      </c>
      <c r="CY534" s="19">
        <v>390.26086956521698</v>
      </c>
      <c r="CZ534" s="19">
        <v>1.1220000000000001</v>
      </c>
      <c r="DA534" s="19">
        <v>205.21739130434801</v>
      </c>
      <c r="DB534" s="19">
        <v>0.59</v>
      </c>
      <c r="DC534" s="19">
        <v>331.13043478260897</v>
      </c>
      <c r="DD534" s="19">
        <v>0.95199999999999996</v>
      </c>
      <c r="DE534" s="19">
        <v>520.34782608695696</v>
      </c>
      <c r="DF534" s="19">
        <v>1.496</v>
      </c>
      <c r="DG534" s="19">
        <v>621.91304347826099</v>
      </c>
      <c r="DH534" s="19">
        <v>1.788</v>
      </c>
      <c r="DI534" s="19">
        <v>299.13043478260897</v>
      </c>
      <c r="DJ534" s="19">
        <v>0.86</v>
      </c>
      <c r="DK534" s="19">
        <v>518.26086956521704</v>
      </c>
      <c r="DL534" s="19">
        <v>1.49</v>
      </c>
      <c r="DM534" s="19">
        <v>355.47826086956502</v>
      </c>
      <c r="DN534" s="19">
        <v>1.022</v>
      </c>
      <c r="DO534" s="19">
        <v>307.47826086956502</v>
      </c>
      <c r="DP534" s="19">
        <v>0.89200000000000002</v>
      </c>
      <c r="DQ534" s="19">
        <v>597.83478260869595</v>
      </c>
      <c r="DR534" s="19">
        <v>1.8140000000000001</v>
      </c>
      <c r="DS534" s="19">
        <v>49.434782608695699</v>
      </c>
      <c r="DT534" s="19">
        <v>0.15</v>
      </c>
      <c r="DU534" s="19">
        <v>183.304347826087</v>
      </c>
      <c r="DV534" s="19">
        <v>0.54600000000000004</v>
      </c>
      <c r="DW534" s="19">
        <v>662.95652173913004</v>
      </c>
      <c r="DX534" s="19">
        <v>1.9059999999999999</v>
      </c>
      <c r="DY534" s="19">
        <v>751.99130434782603</v>
      </c>
      <c r="DZ534" s="19">
        <v>2.1619999999999999</v>
      </c>
      <c r="EA534" s="19">
        <v>189.91304347826099</v>
      </c>
      <c r="EB534" s="19">
        <v>0.54600000000000004</v>
      </c>
      <c r="EC534" s="19">
        <v>587.82608695652198</v>
      </c>
      <c r="ED534" s="19">
        <v>1.69</v>
      </c>
      <c r="EE534" s="19">
        <v>189.21739130434801</v>
      </c>
      <c r="EF534" s="19">
        <v>0.54400000000000004</v>
      </c>
      <c r="EG534" s="19">
        <v>169.73913043478299</v>
      </c>
      <c r="EH534" s="19">
        <v>0.48799999999999999</v>
      </c>
      <c r="EI534" s="19">
        <v>432.695652173913</v>
      </c>
      <c r="EJ534" s="19">
        <v>1.244</v>
      </c>
      <c r="EK534" s="19">
        <v>160</v>
      </c>
      <c r="EL534" s="19">
        <v>0.46</v>
      </c>
      <c r="EM534" s="19">
        <v>22.956521739130402</v>
      </c>
      <c r="EN534" s="19">
        <v>6.6000000000000003E-2</v>
      </c>
      <c r="EO534" s="19">
        <v>397.21739130434798</v>
      </c>
      <c r="EP534" s="19">
        <v>1.1419999999999999</v>
      </c>
      <c r="EQ534" s="19">
        <v>548.86956521739103</v>
      </c>
      <c r="ER534" s="19">
        <v>1.5780000000000001</v>
      </c>
      <c r="ES534" s="119">
        <v>436.860869565217</v>
      </c>
      <c r="ET534" s="119">
        <v>1.256</v>
      </c>
    </row>
    <row r="535" spans="1:150" ht="16.5" customHeight="1" x14ac:dyDescent="0.35">
      <c r="A535" s="4">
        <v>224</v>
      </c>
      <c r="B535" s="4" t="str">
        <f>LOOKUP(A535,Lookup!$A$1:$A$34,Lookup!$B$1:$B$34)</f>
        <v>BILT&amp; DROEWORS BUY IN</v>
      </c>
      <c r="C535" s="5">
        <v>58087</v>
      </c>
      <c r="D535" s="6" t="s">
        <v>508</v>
      </c>
      <c r="E535" s="18">
        <v>0</v>
      </c>
      <c r="F535" s="18">
        <v>0</v>
      </c>
      <c r="G535" s="18">
        <v>0</v>
      </c>
      <c r="H535" s="18">
        <v>0</v>
      </c>
      <c r="I535" s="19">
        <v>0</v>
      </c>
      <c r="J535" s="19">
        <v>0</v>
      </c>
      <c r="K535" s="19">
        <v>0</v>
      </c>
      <c r="L535" s="19">
        <v>0</v>
      </c>
      <c r="M535" s="19">
        <v>0</v>
      </c>
      <c r="N535" s="19">
        <v>0</v>
      </c>
      <c r="O535" s="19">
        <v>0</v>
      </c>
      <c r="P535" s="19">
        <v>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9">
        <v>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19">
        <v>0</v>
      </c>
      <c r="AC535" s="19">
        <v>0</v>
      </c>
      <c r="AD535" s="19">
        <v>0</v>
      </c>
      <c r="AE535" s="19">
        <v>0</v>
      </c>
      <c r="AF535" s="19">
        <v>0</v>
      </c>
      <c r="AG535" s="19">
        <v>0</v>
      </c>
      <c r="AH535" s="19">
        <v>0</v>
      </c>
      <c r="AI535" s="19">
        <v>0</v>
      </c>
      <c r="AJ535" s="19">
        <v>0</v>
      </c>
      <c r="AK535" s="19">
        <v>0</v>
      </c>
      <c r="AL535" s="19">
        <v>0</v>
      </c>
      <c r="AM535" s="19">
        <v>0</v>
      </c>
      <c r="AN535" s="19">
        <v>0</v>
      </c>
      <c r="AO535" s="19">
        <v>0</v>
      </c>
      <c r="AP535" s="19">
        <v>0</v>
      </c>
      <c r="AQ535" s="19">
        <v>0</v>
      </c>
      <c r="AR535" s="19">
        <v>0</v>
      </c>
      <c r="AS535" s="19">
        <v>0</v>
      </c>
      <c r="AT535" s="19">
        <v>0</v>
      </c>
      <c r="AU535" s="19">
        <v>0</v>
      </c>
      <c r="AV535" s="19">
        <v>0</v>
      </c>
      <c r="AW535" s="19">
        <v>0</v>
      </c>
      <c r="AX535" s="19">
        <v>0</v>
      </c>
      <c r="AY535" s="19">
        <v>0</v>
      </c>
      <c r="AZ535" s="19">
        <v>0</v>
      </c>
      <c r="BA535" s="19">
        <v>0</v>
      </c>
      <c r="BB535" s="19">
        <v>0</v>
      </c>
      <c r="BC535" s="19">
        <v>0</v>
      </c>
      <c r="BD535" s="19">
        <v>0</v>
      </c>
      <c r="BE535" s="19">
        <v>0</v>
      </c>
      <c r="BF535" s="19">
        <v>0</v>
      </c>
      <c r="BG535" s="19">
        <v>0</v>
      </c>
      <c r="BH535" s="19">
        <v>0</v>
      </c>
      <c r="BI535" s="19">
        <v>0</v>
      </c>
      <c r="BJ535" s="19">
        <v>0</v>
      </c>
      <c r="BK535" s="19">
        <v>0</v>
      </c>
      <c r="BL535" s="19">
        <v>0</v>
      </c>
      <c r="BM535" s="19">
        <v>0</v>
      </c>
      <c r="BN535" s="19">
        <v>0</v>
      </c>
      <c r="BO535" s="19">
        <v>0</v>
      </c>
      <c r="BP535" s="19">
        <v>0</v>
      </c>
      <c r="BQ535" s="19">
        <v>0</v>
      </c>
      <c r="BR535" s="19">
        <v>0</v>
      </c>
      <c r="BS535" s="19">
        <v>0</v>
      </c>
      <c r="BT535" s="19">
        <v>0</v>
      </c>
      <c r="BU535" s="19">
        <v>0</v>
      </c>
      <c r="BV535" s="19">
        <v>0</v>
      </c>
      <c r="BW535" s="19">
        <v>0</v>
      </c>
      <c r="BX535" s="19">
        <v>0</v>
      </c>
      <c r="BY535" s="19">
        <v>0</v>
      </c>
      <c r="BZ535" s="19">
        <v>0</v>
      </c>
      <c r="CA535" s="19">
        <v>0</v>
      </c>
      <c r="CB535" s="19">
        <v>0</v>
      </c>
      <c r="CC535" s="19">
        <v>0</v>
      </c>
      <c r="CD535" s="19">
        <v>0</v>
      </c>
      <c r="CE535" s="19">
        <v>0</v>
      </c>
      <c r="CF535" s="19">
        <v>0</v>
      </c>
      <c r="CG535" s="19">
        <v>0</v>
      </c>
      <c r="CH535" s="19">
        <v>0</v>
      </c>
      <c r="CI535" s="19">
        <v>0</v>
      </c>
      <c r="CJ535" s="19">
        <v>0</v>
      </c>
      <c r="CK535" s="19">
        <v>0</v>
      </c>
      <c r="CL535" s="19">
        <v>0</v>
      </c>
      <c r="CM535" s="19">
        <v>0</v>
      </c>
      <c r="CN535" s="19">
        <v>0</v>
      </c>
      <c r="CO535" s="19">
        <v>0</v>
      </c>
      <c r="CP535" s="19">
        <v>0</v>
      </c>
      <c r="CQ535" s="19">
        <v>0</v>
      </c>
      <c r="CR535" s="19">
        <v>0</v>
      </c>
      <c r="CS535" s="19">
        <v>0</v>
      </c>
      <c r="CT535" s="19">
        <v>0</v>
      </c>
      <c r="CU535" s="19">
        <v>0</v>
      </c>
      <c r="CV535" s="19">
        <v>0</v>
      </c>
      <c r="CW535" s="19">
        <v>0</v>
      </c>
      <c r="CX535" s="19">
        <v>0</v>
      </c>
      <c r="CY535" s="19">
        <v>0</v>
      </c>
      <c r="CZ535" s="19">
        <v>0</v>
      </c>
      <c r="DA535" s="19">
        <v>0</v>
      </c>
      <c r="DB535" s="19">
        <v>0</v>
      </c>
      <c r="DC535" s="19">
        <v>0</v>
      </c>
      <c r="DD535" s="19">
        <v>0</v>
      </c>
      <c r="DE535" s="19">
        <v>0</v>
      </c>
      <c r="DF535" s="19">
        <v>0</v>
      </c>
      <c r="DG535" s="19">
        <v>0</v>
      </c>
      <c r="DH535" s="19">
        <v>0</v>
      </c>
      <c r="DI535" s="19">
        <v>0</v>
      </c>
      <c r="DJ535" s="19">
        <v>0</v>
      </c>
      <c r="DK535" s="19">
        <v>0</v>
      </c>
      <c r="DL535" s="19">
        <v>0</v>
      </c>
      <c r="DM535" s="19">
        <v>0</v>
      </c>
      <c r="DN535" s="19">
        <v>0</v>
      </c>
      <c r="DO535" s="19">
        <v>0</v>
      </c>
      <c r="DP535" s="19">
        <v>0</v>
      </c>
      <c r="DQ535" s="19">
        <v>0</v>
      </c>
      <c r="DR535" s="19">
        <v>0</v>
      </c>
      <c r="DS535" s="19">
        <v>0</v>
      </c>
      <c r="DT535" s="19">
        <v>0</v>
      </c>
      <c r="DU535" s="19">
        <v>0</v>
      </c>
      <c r="DV535" s="19">
        <v>0</v>
      </c>
      <c r="DW535" s="19">
        <v>0</v>
      </c>
      <c r="DX535" s="19">
        <v>0</v>
      </c>
      <c r="DY535" s="19">
        <v>0</v>
      </c>
      <c r="DZ535" s="19">
        <v>0</v>
      </c>
      <c r="EA535" s="19">
        <v>0</v>
      </c>
      <c r="EB535" s="19">
        <v>0</v>
      </c>
      <c r="EC535" s="19">
        <v>0</v>
      </c>
      <c r="ED535" s="19">
        <v>0</v>
      </c>
      <c r="EE535" s="19">
        <v>0</v>
      </c>
      <c r="EF535" s="19">
        <v>0</v>
      </c>
      <c r="EG535" s="19">
        <v>0</v>
      </c>
      <c r="EH535" s="19">
        <v>0</v>
      </c>
      <c r="EI535" s="19">
        <v>0</v>
      </c>
      <c r="EJ535" s="19">
        <v>0</v>
      </c>
      <c r="EK535" s="19">
        <v>0</v>
      </c>
      <c r="EL535" s="19">
        <v>0</v>
      </c>
      <c r="EM535" s="19">
        <v>0</v>
      </c>
      <c r="EN535" s="19">
        <v>0</v>
      </c>
      <c r="EO535" s="19">
        <v>0</v>
      </c>
      <c r="EP535" s="19">
        <v>0</v>
      </c>
      <c r="EQ535" s="19">
        <v>0</v>
      </c>
      <c r="ER535" s="19">
        <v>0</v>
      </c>
      <c r="ES535" s="119">
        <v>0</v>
      </c>
      <c r="ET535" s="119">
        <v>0</v>
      </c>
    </row>
    <row r="536" spans="1:150" ht="16.5" customHeight="1" x14ac:dyDescent="0.35">
      <c r="A536" s="4">
        <v>224</v>
      </c>
      <c r="B536" s="4" t="str">
        <f>LOOKUP(A536,Lookup!$A$1:$A$34,Lookup!$B$1:$B$34)</f>
        <v>BILT&amp; DROEWORS BUY IN</v>
      </c>
      <c r="C536" s="5">
        <v>58365</v>
      </c>
      <c r="D536" s="6" t="s">
        <v>509</v>
      </c>
      <c r="E536" s="18">
        <v>33.430618493570101</v>
      </c>
      <c r="F536" s="18">
        <v>0.54900000000000004</v>
      </c>
      <c r="G536" s="18">
        <v>2373.5739130434799</v>
      </c>
      <c r="H536" s="18">
        <v>39</v>
      </c>
      <c r="I536" s="19">
        <v>0</v>
      </c>
      <c r="J536" s="19">
        <v>0</v>
      </c>
      <c r="K536" s="19">
        <v>0</v>
      </c>
      <c r="L536" s="19">
        <v>0</v>
      </c>
      <c r="M536" s="19">
        <v>0</v>
      </c>
      <c r="N536" s="19">
        <v>0</v>
      </c>
      <c r="O536" s="19">
        <v>0</v>
      </c>
      <c r="P536" s="19">
        <v>0</v>
      </c>
      <c r="Q536" s="19">
        <v>0</v>
      </c>
      <c r="R536" s="19">
        <v>0</v>
      </c>
      <c r="S536" s="19">
        <v>0</v>
      </c>
      <c r="T536" s="19">
        <v>0</v>
      </c>
      <c r="U536" s="19">
        <v>0</v>
      </c>
      <c r="V536" s="19">
        <v>0</v>
      </c>
      <c r="W536" s="19">
        <v>0</v>
      </c>
      <c r="X536" s="19">
        <v>0</v>
      </c>
      <c r="Y536" s="19">
        <v>121.721739130435</v>
      </c>
      <c r="Z536" s="19">
        <v>2</v>
      </c>
      <c r="AA536" s="19">
        <v>547.74782608695602</v>
      </c>
      <c r="AB536" s="19">
        <v>9</v>
      </c>
      <c r="AC536" s="19">
        <v>243.44347826086999</v>
      </c>
      <c r="AD536" s="19">
        <v>4</v>
      </c>
      <c r="AE536" s="19">
        <v>182.582608695652</v>
      </c>
      <c r="AF536" s="19">
        <v>3</v>
      </c>
      <c r="AG536" s="19">
        <v>426.02608695652202</v>
      </c>
      <c r="AH536" s="19">
        <v>7</v>
      </c>
      <c r="AI536" s="19">
        <v>182.582608695652</v>
      </c>
      <c r="AJ536" s="19">
        <v>3</v>
      </c>
      <c r="AK536" s="19">
        <v>60.860869565217399</v>
      </c>
      <c r="AL536" s="19">
        <v>1</v>
      </c>
      <c r="AM536" s="19">
        <v>60.860869565217399</v>
      </c>
      <c r="AN536" s="19">
        <v>1</v>
      </c>
      <c r="AO536" s="19">
        <v>121.721739130435</v>
      </c>
      <c r="AP536" s="19">
        <v>2</v>
      </c>
      <c r="AQ536" s="19">
        <v>182.582608695652</v>
      </c>
      <c r="AR536" s="19">
        <v>3</v>
      </c>
      <c r="AS536" s="19">
        <v>121.721739130435</v>
      </c>
      <c r="AT536" s="19">
        <v>2</v>
      </c>
      <c r="AU536" s="19">
        <v>121.721739130435</v>
      </c>
      <c r="AV536" s="19">
        <v>2</v>
      </c>
      <c r="AW536" s="19">
        <v>0</v>
      </c>
      <c r="AX536" s="19">
        <v>0</v>
      </c>
      <c r="AY536" s="19">
        <v>0</v>
      </c>
      <c r="AZ536" s="19">
        <v>0</v>
      </c>
      <c r="BA536" s="19">
        <v>0</v>
      </c>
      <c r="BB536" s="19">
        <v>0</v>
      </c>
      <c r="BC536" s="19">
        <v>0</v>
      </c>
      <c r="BD536" s="19">
        <v>0</v>
      </c>
      <c r="BE536" s="19">
        <v>0</v>
      </c>
      <c r="BF536" s="19">
        <v>0</v>
      </c>
      <c r="BG536" s="19">
        <v>0</v>
      </c>
      <c r="BH536" s="19">
        <v>0</v>
      </c>
      <c r="BI536" s="19">
        <v>0</v>
      </c>
      <c r="BJ536" s="19">
        <v>0</v>
      </c>
      <c r="BK536" s="19">
        <v>0</v>
      </c>
      <c r="BL536" s="19">
        <v>0</v>
      </c>
      <c r="BM536" s="19">
        <v>0</v>
      </c>
      <c r="BN536" s="19">
        <v>0</v>
      </c>
      <c r="BO536" s="19">
        <v>0</v>
      </c>
      <c r="BP536" s="19">
        <v>0</v>
      </c>
      <c r="BQ536" s="19">
        <v>0</v>
      </c>
      <c r="BR536" s="19">
        <v>0</v>
      </c>
      <c r="BS536" s="19">
        <v>0</v>
      </c>
      <c r="BT536" s="19">
        <v>0</v>
      </c>
      <c r="BU536" s="19">
        <v>0</v>
      </c>
      <c r="BV536" s="19">
        <v>0</v>
      </c>
      <c r="BW536" s="19">
        <v>0</v>
      </c>
      <c r="BX536" s="19">
        <v>0</v>
      </c>
      <c r="BY536" s="19">
        <v>0</v>
      </c>
      <c r="BZ536" s="19">
        <v>0</v>
      </c>
      <c r="CA536" s="19">
        <v>0</v>
      </c>
      <c r="CB536" s="19">
        <v>0</v>
      </c>
      <c r="CC536" s="19">
        <v>0</v>
      </c>
      <c r="CD536" s="19">
        <v>0</v>
      </c>
      <c r="CE536" s="19">
        <v>0</v>
      </c>
      <c r="CF536" s="19">
        <v>0</v>
      </c>
      <c r="CG536" s="19">
        <v>0</v>
      </c>
      <c r="CH536" s="19">
        <v>0</v>
      </c>
      <c r="CI536" s="19">
        <v>0</v>
      </c>
      <c r="CJ536" s="19">
        <v>0</v>
      </c>
      <c r="CK536" s="19">
        <v>0</v>
      </c>
      <c r="CL536" s="19">
        <v>0</v>
      </c>
      <c r="CM536" s="19">
        <v>0</v>
      </c>
      <c r="CN536" s="19">
        <v>0</v>
      </c>
      <c r="CO536" s="19">
        <v>0</v>
      </c>
      <c r="CP536" s="19">
        <v>0</v>
      </c>
      <c r="CQ536" s="19">
        <v>0</v>
      </c>
      <c r="CR536" s="19">
        <v>0</v>
      </c>
      <c r="CS536" s="19">
        <v>0</v>
      </c>
      <c r="CT536" s="19">
        <v>0</v>
      </c>
      <c r="CU536" s="19">
        <v>0</v>
      </c>
      <c r="CV536" s="19">
        <v>0</v>
      </c>
      <c r="CW536" s="19">
        <v>0</v>
      </c>
      <c r="CX536" s="19">
        <v>0</v>
      </c>
      <c r="CY536" s="19">
        <v>0</v>
      </c>
      <c r="CZ536" s="19">
        <v>0</v>
      </c>
      <c r="DA536" s="19">
        <v>0</v>
      </c>
      <c r="DB536" s="19">
        <v>0</v>
      </c>
      <c r="DC536" s="19">
        <v>0</v>
      </c>
      <c r="DD536" s="19">
        <v>0</v>
      </c>
      <c r="DE536" s="19">
        <v>0</v>
      </c>
      <c r="DF536" s="19">
        <v>0</v>
      </c>
      <c r="DG536" s="19">
        <v>0</v>
      </c>
      <c r="DH536" s="19">
        <v>0</v>
      </c>
      <c r="DI536" s="19">
        <v>0</v>
      </c>
      <c r="DJ536" s="19">
        <v>0</v>
      </c>
      <c r="DK536" s="19">
        <v>0</v>
      </c>
      <c r="DL536" s="19">
        <v>0</v>
      </c>
      <c r="DM536" s="19">
        <v>0</v>
      </c>
      <c r="DN536" s="19">
        <v>0</v>
      </c>
      <c r="DO536" s="19">
        <v>0</v>
      </c>
      <c r="DP536" s="19">
        <v>0</v>
      </c>
      <c r="DQ536" s="19">
        <v>0</v>
      </c>
      <c r="DR536" s="19">
        <v>0</v>
      </c>
      <c r="DS536" s="19">
        <v>0</v>
      </c>
      <c r="DT536" s="19">
        <v>0</v>
      </c>
      <c r="DU536" s="19">
        <v>0</v>
      </c>
      <c r="DV536" s="19">
        <v>0</v>
      </c>
      <c r="DW536" s="19">
        <v>0</v>
      </c>
      <c r="DX536" s="19">
        <v>0</v>
      </c>
      <c r="DY536" s="19">
        <v>0</v>
      </c>
      <c r="DZ536" s="19">
        <v>0</v>
      </c>
      <c r="EA536" s="19">
        <v>0</v>
      </c>
      <c r="EB536" s="19">
        <v>0</v>
      </c>
      <c r="EC536" s="19">
        <v>0</v>
      </c>
      <c r="ED536" s="19">
        <v>0</v>
      </c>
      <c r="EE536" s="19">
        <v>0</v>
      </c>
      <c r="EF536" s="19">
        <v>0</v>
      </c>
      <c r="EG536" s="19">
        <v>0</v>
      </c>
      <c r="EH536" s="19">
        <v>0</v>
      </c>
      <c r="EI536" s="19">
        <v>0</v>
      </c>
      <c r="EJ536" s="19">
        <v>0</v>
      </c>
      <c r="EK536" s="19">
        <v>0</v>
      </c>
      <c r="EL536" s="19">
        <v>0</v>
      </c>
      <c r="EM536" s="19">
        <v>0</v>
      </c>
      <c r="EN536" s="19">
        <v>0</v>
      </c>
      <c r="EO536" s="19">
        <v>0</v>
      </c>
      <c r="EP536" s="19">
        <v>0</v>
      </c>
      <c r="EQ536" s="19">
        <v>0</v>
      </c>
      <c r="ER536" s="19">
        <v>0</v>
      </c>
      <c r="ES536" s="119">
        <v>0</v>
      </c>
      <c r="ET536" s="119">
        <v>0</v>
      </c>
    </row>
    <row r="537" spans="1:150" ht="16.5" customHeight="1" x14ac:dyDescent="0.35">
      <c r="A537" s="4">
        <v>224</v>
      </c>
      <c r="B537" s="4" t="str">
        <f>LOOKUP(A537,Lookup!$A$1:$A$34,Lookup!$B$1:$B$34)</f>
        <v>BILT&amp; DROEWORS BUY IN</v>
      </c>
      <c r="C537" s="5">
        <v>59020</v>
      </c>
      <c r="D537" s="6" t="s">
        <v>510</v>
      </c>
      <c r="E537" s="18">
        <v>160.650949173301</v>
      </c>
      <c r="F537" s="18">
        <v>1.2250000000000001</v>
      </c>
      <c r="G537" s="18">
        <v>11406.217391304301</v>
      </c>
      <c r="H537" s="18">
        <v>87</v>
      </c>
      <c r="I537" s="19">
        <v>0</v>
      </c>
      <c r="J537" s="19">
        <v>0</v>
      </c>
      <c r="K537" s="19">
        <v>0</v>
      </c>
      <c r="L537" s="19">
        <v>0</v>
      </c>
      <c r="M537" s="19">
        <v>0</v>
      </c>
      <c r="N537" s="19">
        <v>0</v>
      </c>
      <c r="O537" s="19">
        <v>0</v>
      </c>
      <c r="P537" s="19">
        <v>0</v>
      </c>
      <c r="Q537" s="19">
        <v>0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502.591304347826</v>
      </c>
      <c r="X537" s="19">
        <v>4</v>
      </c>
      <c r="Y537" s="19">
        <v>260.85217391304298</v>
      </c>
      <c r="Z537" s="19">
        <v>2</v>
      </c>
      <c r="AA537" s="19">
        <v>521.70434782608697</v>
      </c>
      <c r="AB537" s="19">
        <v>4</v>
      </c>
      <c r="AC537" s="19">
        <v>521.70434782608697</v>
      </c>
      <c r="AD537" s="19">
        <v>4</v>
      </c>
      <c r="AE537" s="19">
        <v>391.27826086956497</v>
      </c>
      <c r="AF537" s="19">
        <v>3</v>
      </c>
      <c r="AG537" s="19">
        <v>260.85217391304298</v>
      </c>
      <c r="AH537" s="19">
        <v>2</v>
      </c>
      <c r="AI537" s="19">
        <v>130.426086956522</v>
      </c>
      <c r="AJ537" s="19">
        <v>1</v>
      </c>
      <c r="AK537" s="19">
        <v>130.426086956522</v>
      </c>
      <c r="AL537" s="19">
        <v>1</v>
      </c>
      <c r="AM537" s="19">
        <v>130.426086956522</v>
      </c>
      <c r="AN537" s="19">
        <v>1</v>
      </c>
      <c r="AO537" s="19">
        <v>521.70434782608697</v>
      </c>
      <c r="AP537" s="19">
        <v>4</v>
      </c>
      <c r="AQ537" s="19">
        <v>0</v>
      </c>
      <c r="AR537" s="19">
        <v>0</v>
      </c>
      <c r="AS537" s="19">
        <v>130.426086956522</v>
      </c>
      <c r="AT537" s="19">
        <v>1</v>
      </c>
      <c r="AU537" s="19">
        <v>521.70434782608697</v>
      </c>
      <c r="AV537" s="19">
        <v>4</v>
      </c>
      <c r="AW537" s="19">
        <v>130.426086956522</v>
      </c>
      <c r="AX537" s="19">
        <v>1</v>
      </c>
      <c r="AY537" s="19">
        <v>391.27826086956497</v>
      </c>
      <c r="AZ537" s="19">
        <v>3</v>
      </c>
      <c r="BA537" s="19">
        <v>0</v>
      </c>
      <c r="BB537" s="19">
        <v>0</v>
      </c>
      <c r="BC537" s="19">
        <v>0</v>
      </c>
      <c r="BD537" s="19">
        <v>0</v>
      </c>
      <c r="BE537" s="19">
        <v>260.85217391304298</v>
      </c>
      <c r="BF537" s="19">
        <v>2</v>
      </c>
      <c r="BG537" s="19">
        <v>260.85217391304298</v>
      </c>
      <c r="BH537" s="19">
        <v>2</v>
      </c>
      <c r="BI537" s="19">
        <v>391.27826086956497</v>
      </c>
      <c r="BJ537" s="19">
        <v>3</v>
      </c>
      <c r="BK537" s="19">
        <v>0</v>
      </c>
      <c r="BL537" s="19">
        <v>0</v>
      </c>
      <c r="BM537" s="19">
        <v>0</v>
      </c>
      <c r="BN537" s="19">
        <v>0</v>
      </c>
      <c r="BO537" s="19">
        <v>130.426086956522</v>
      </c>
      <c r="BP537" s="19">
        <v>1</v>
      </c>
      <c r="BQ537" s="19">
        <v>391.27826086956497</v>
      </c>
      <c r="BR537" s="19">
        <v>3</v>
      </c>
      <c r="BS537" s="19">
        <v>260.85217391304298</v>
      </c>
      <c r="BT537" s="19">
        <v>2</v>
      </c>
      <c r="BU537" s="19">
        <v>0</v>
      </c>
      <c r="BV537" s="19">
        <v>0</v>
      </c>
      <c r="BW537" s="19">
        <v>130.426086956522</v>
      </c>
      <c r="BX537" s="19">
        <v>1</v>
      </c>
      <c r="BY537" s="19">
        <v>260.85217391304298</v>
      </c>
      <c r="BZ537" s="19">
        <v>2</v>
      </c>
      <c r="CA537" s="19">
        <v>0</v>
      </c>
      <c r="CB537" s="19">
        <v>0</v>
      </c>
      <c r="CC537" s="19">
        <v>0</v>
      </c>
      <c r="CD537" s="19">
        <v>0</v>
      </c>
      <c r="CE537" s="19">
        <v>0</v>
      </c>
      <c r="CF537" s="19">
        <v>0</v>
      </c>
      <c r="CG537" s="19">
        <v>0</v>
      </c>
      <c r="CH537" s="19">
        <v>0</v>
      </c>
      <c r="CI537" s="19">
        <v>0</v>
      </c>
      <c r="CJ537" s="19">
        <v>0</v>
      </c>
      <c r="CK537" s="19">
        <v>0</v>
      </c>
      <c r="CL537" s="19">
        <v>0</v>
      </c>
      <c r="CM537" s="19">
        <v>0</v>
      </c>
      <c r="CN537" s="19">
        <v>0</v>
      </c>
      <c r="CO537" s="19">
        <v>0</v>
      </c>
      <c r="CP537" s="19">
        <v>0</v>
      </c>
      <c r="CQ537" s="19">
        <v>0</v>
      </c>
      <c r="CR537" s="19">
        <v>0</v>
      </c>
      <c r="CS537" s="19">
        <v>0</v>
      </c>
      <c r="CT537" s="19">
        <v>0</v>
      </c>
      <c r="CU537" s="19">
        <v>0</v>
      </c>
      <c r="CV537" s="19">
        <v>0</v>
      </c>
      <c r="CW537" s="19">
        <v>0</v>
      </c>
      <c r="CX537" s="19">
        <v>0</v>
      </c>
      <c r="CY537" s="19">
        <v>0</v>
      </c>
      <c r="CZ537" s="19">
        <v>0</v>
      </c>
      <c r="DA537" s="19">
        <v>0</v>
      </c>
      <c r="DB537" s="19">
        <v>0</v>
      </c>
      <c r="DC537" s="19">
        <v>0</v>
      </c>
      <c r="DD537" s="19">
        <v>0</v>
      </c>
      <c r="DE537" s="19">
        <v>0</v>
      </c>
      <c r="DF537" s="19">
        <v>0</v>
      </c>
      <c r="DG537" s="19">
        <v>0</v>
      </c>
      <c r="DH537" s="19">
        <v>0</v>
      </c>
      <c r="DI537" s="19">
        <v>0</v>
      </c>
      <c r="DJ537" s="19">
        <v>0</v>
      </c>
      <c r="DK537" s="19">
        <v>0</v>
      </c>
      <c r="DL537" s="19">
        <v>0</v>
      </c>
      <c r="DM537" s="19">
        <v>0</v>
      </c>
      <c r="DN537" s="19">
        <v>0</v>
      </c>
      <c r="DO537" s="19">
        <v>0</v>
      </c>
      <c r="DP537" s="19">
        <v>0</v>
      </c>
      <c r="DQ537" s="19">
        <v>652.13043478260897</v>
      </c>
      <c r="DR537" s="19">
        <v>5</v>
      </c>
      <c r="DS537" s="19">
        <v>260.85217391304298</v>
      </c>
      <c r="DT537" s="19">
        <v>2</v>
      </c>
      <c r="DU537" s="19">
        <v>260.85217391304298</v>
      </c>
      <c r="DV537" s="19">
        <v>2</v>
      </c>
      <c r="DW537" s="19">
        <v>130.426086956522</v>
      </c>
      <c r="DX537" s="19">
        <v>1</v>
      </c>
      <c r="DY537" s="19">
        <v>260.85217391304298</v>
      </c>
      <c r="DZ537" s="19">
        <v>2</v>
      </c>
      <c r="EA537" s="19">
        <v>521.70434782608697</v>
      </c>
      <c r="EB537" s="19">
        <v>4</v>
      </c>
      <c r="EC537" s="19">
        <v>391.27826086956497</v>
      </c>
      <c r="ED537" s="19">
        <v>3</v>
      </c>
      <c r="EE537" s="19">
        <v>260.85217391304298</v>
      </c>
      <c r="EF537" s="19">
        <v>2</v>
      </c>
      <c r="EG537" s="19">
        <v>130.426086956522</v>
      </c>
      <c r="EH537" s="19">
        <v>1</v>
      </c>
      <c r="EI537" s="19">
        <v>260.85217391304298</v>
      </c>
      <c r="EJ537" s="19">
        <v>2</v>
      </c>
      <c r="EK537" s="19">
        <v>130.426086956522</v>
      </c>
      <c r="EL537" s="19">
        <v>1</v>
      </c>
      <c r="EM537" s="19">
        <v>260.85217391304298</v>
      </c>
      <c r="EN537" s="19">
        <v>2</v>
      </c>
      <c r="EO537" s="19">
        <v>139.121739130435</v>
      </c>
      <c r="EP537" s="19">
        <v>1</v>
      </c>
      <c r="EQ537" s="19">
        <v>417.36521739130399</v>
      </c>
      <c r="ER537" s="19">
        <v>3</v>
      </c>
      <c r="ES537" s="119">
        <v>695.60869565217399</v>
      </c>
      <c r="ET537" s="119">
        <v>5</v>
      </c>
    </row>
    <row r="538" spans="1:150" ht="16.5" customHeight="1" x14ac:dyDescent="0.35">
      <c r="A538" s="4">
        <v>224</v>
      </c>
      <c r="B538" s="4" t="str">
        <f>LOOKUP(A538,Lookup!$A$1:$A$34,Lookup!$B$1:$B$34)</f>
        <v>BILT&amp; DROEWORS BUY IN</v>
      </c>
      <c r="C538" s="5">
        <v>59021</v>
      </c>
      <c r="D538" s="6" t="s">
        <v>511</v>
      </c>
      <c r="E538" s="18">
        <v>472.19130434782602</v>
      </c>
      <c r="F538" s="18">
        <v>3.6059999999999999</v>
      </c>
      <c r="G538" s="18">
        <v>33525.582608695702</v>
      </c>
      <c r="H538" s="18">
        <v>256</v>
      </c>
      <c r="I538" s="19">
        <v>483.47826086956502</v>
      </c>
      <c r="J538" s="19">
        <v>4</v>
      </c>
      <c r="K538" s="19">
        <v>604.34782608695696</v>
      </c>
      <c r="L538" s="19">
        <v>5</v>
      </c>
      <c r="M538" s="19">
        <v>120.869565217391</v>
      </c>
      <c r="N538" s="19">
        <v>1</v>
      </c>
      <c r="O538" s="19">
        <v>362.60869565217399</v>
      </c>
      <c r="P538" s="19">
        <v>3</v>
      </c>
      <c r="Q538" s="19">
        <v>241.73913043478299</v>
      </c>
      <c r="R538" s="19">
        <v>2</v>
      </c>
      <c r="S538" s="19">
        <v>725.21739130434798</v>
      </c>
      <c r="T538" s="19">
        <v>6</v>
      </c>
      <c r="U538" s="19">
        <v>362.60869565217399</v>
      </c>
      <c r="V538" s="19">
        <v>3</v>
      </c>
      <c r="W538" s="19">
        <v>120.869565217391</v>
      </c>
      <c r="X538" s="19">
        <v>1</v>
      </c>
      <c r="Y538" s="19">
        <v>642.573913043478</v>
      </c>
      <c r="Z538" s="19">
        <v>5</v>
      </c>
      <c r="AA538" s="19">
        <v>130.426086956522</v>
      </c>
      <c r="AB538" s="19">
        <v>1</v>
      </c>
      <c r="AC538" s="19">
        <v>391.27826086956497</v>
      </c>
      <c r="AD538" s="19">
        <v>3</v>
      </c>
      <c r="AE538" s="19">
        <v>391.27826086956497</v>
      </c>
      <c r="AF538" s="19">
        <v>3</v>
      </c>
      <c r="AG538" s="19">
        <v>391.27826086956497</v>
      </c>
      <c r="AH538" s="19">
        <v>3</v>
      </c>
      <c r="AI538" s="19">
        <v>391.27826086956497</v>
      </c>
      <c r="AJ538" s="19">
        <v>3</v>
      </c>
      <c r="AK538" s="19">
        <v>130.426086956522</v>
      </c>
      <c r="AL538" s="19">
        <v>1</v>
      </c>
      <c r="AM538" s="19">
        <v>652.13043478260897</v>
      </c>
      <c r="AN538" s="19">
        <v>5</v>
      </c>
      <c r="AO538" s="19">
        <v>521.70434782608697</v>
      </c>
      <c r="AP538" s="19">
        <v>4</v>
      </c>
      <c r="AQ538" s="19">
        <v>391.27826086956497</v>
      </c>
      <c r="AR538" s="19">
        <v>3</v>
      </c>
      <c r="AS538" s="19">
        <v>391.27826086956497</v>
      </c>
      <c r="AT538" s="19">
        <v>3</v>
      </c>
      <c r="AU538" s="19">
        <v>391.27826086956497</v>
      </c>
      <c r="AV538" s="19">
        <v>3</v>
      </c>
      <c r="AW538" s="19">
        <v>912.98260869565195</v>
      </c>
      <c r="AX538" s="19">
        <v>7</v>
      </c>
      <c r="AY538" s="19">
        <v>260.85217391304298</v>
      </c>
      <c r="AZ538" s="19">
        <v>2</v>
      </c>
      <c r="BA538" s="19">
        <v>391.27826086956497</v>
      </c>
      <c r="BB538" s="19">
        <v>3</v>
      </c>
      <c r="BC538" s="19">
        <v>521.70434782608697</v>
      </c>
      <c r="BD538" s="19">
        <v>4</v>
      </c>
      <c r="BE538" s="19">
        <v>0</v>
      </c>
      <c r="BF538" s="19">
        <v>0</v>
      </c>
      <c r="BG538" s="19">
        <v>0</v>
      </c>
      <c r="BH538" s="19">
        <v>0</v>
      </c>
      <c r="BI538" s="19">
        <v>391.27826086956497</v>
      </c>
      <c r="BJ538" s="19">
        <v>3</v>
      </c>
      <c r="BK538" s="19">
        <v>0</v>
      </c>
      <c r="BL538" s="19">
        <v>0</v>
      </c>
      <c r="BM538" s="19">
        <v>391.27826086956497</v>
      </c>
      <c r="BN538" s="19">
        <v>3</v>
      </c>
      <c r="BO538" s="19">
        <v>652.13043478260897</v>
      </c>
      <c r="BP538" s="19">
        <v>5</v>
      </c>
      <c r="BQ538" s="19">
        <v>391.27826086956497</v>
      </c>
      <c r="BR538" s="19">
        <v>3</v>
      </c>
      <c r="BS538" s="19">
        <v>260.85217391304298</v>
      </c>
      <c r="BT538" s="19">
        <v>2</v>
      </c>
      <c r="BU538" s="19">
        <v>652.13043478260897</v>
      </c>
      <c r="BV538" s="19">
        <v>5</v>
      </c>
      <c r="BW538" s="19">
        <v>652.13043478260897</v>
      </c>
      <c r="BX538" s="19">
        <v>5</v>
      </c>
      <c r="BY538" s="19">
        <v>912.98260869565195</v>
      </c>
      <c r="BZ538" s="19">
        <v>7</v>
      </c>
      <c r="CA538" s="19">
        <v>0</v>
      </c>
      <c r="CB538" s="19">
        <v>0</v>
      </c>
      <c r="CC538" s="19">
        <v>521.70434782608697</v>
      </c>
      <c r="CD538" s="19">
        <v>4</v>
      </c>
      <c r="CE538" s="19">
        <v>652.13043478260897</v>
      </c>
      <c r="CF538" s="19">
        <v>5</v>
      </c>
      <c r="CG538" s="19">
        <v>604.34782608695696</v>
      </c>
      <c r="CH538" s="19">
        <v>5</v>
      </c>
      <c r="CI538" s="19">
        <v>120.869565217391</v>
      </c>
      <c r="CJ538" s="19">
        <v>1</v>
      </c>
      <c r="CK538" s="19">
        <v>604.34782608695696</v>
      </c>
      <c r="CL538" s="19">
        <v>5</v>
      </c>
      <c r="CM538" s="19">
        <v>483.47826086956502</v>
      </c>
      <c r="CN538" s="19">
        <v>4</v>
      </c>
      <c r="CO538" s="19">
        <v>483.47826086956502</v>
      </c>
      <c r="CP538" s="19">
        <v>4</v>
      </c>
      <c r="CQ538" s="19">
        <v>120.869565217391</v>
      </c>
      <c r="CR538" s="19">
        <v>1</v>
      </c>
      <c r="CS538" s="19">
        <v>120.869565217391</v>
      </c>
      <c r="CT538" s="19">
        <v>1</v>
      </c>
      <c r="CU538" s="19">
        <v>1208.69565217391</v>
      </c>
      <c r="CV538" s="19">
        <v>10</v>
      </c>
      <c r="CW538" s="19">
        <v>120.869565217391</v>
      </c>
      <c r="CX538" s="19">
        <v>1</v>
      </c>
      <c r="CY538" s="19">
        <v>546.06086956521699</v>
      </c>
      <c r="CZ538" s="19">
        <v>4</v>
      </c>
      <c r="DA538" s="19">
        <v>850.38260869565204</v>
      </c>
      <c r="DB538" s="19">
        <v>6</v>
      </c>
      <c r="DC538" s="19">
        <v>283.46086956521702</v>
      </c>
      <c r="DD538" s="19">
        <v>2</v>
      </c>
      <c r="DE538" s="19">
        <v>1984.22608695652</v>
      </c>
      <c r="DF538" s="19">
        <v>14</v>
      </c>
      <c r="DG538" s="19">
        <v>1559.0347826087</v>
      </c>
      <c r="DH538" s="19">
        <v>11</v>
      </c>
      <c r="DI538" s="19">
        <v>1275.5739130434799</v>
      </c>
      <c r="DJ538" s="19">
        <v>9</v>
      </c>
      <c r="DK538" s="19">
        <v>566.92173913043496</v>
      </c>
      <c r="DL538" s="19">
        <v>4</v>
      </c>
      <c r="DM538" s="19">
        <v>708.65217391304304</v>
      </c>
      <c r="DN538" s="19">
        <v>5</v>
      </c>
      <c r="DO538" s="19">
        <v>141.730434782609</v>
      </c>
      <c r="DP538" s="19">
        <v>1</v>
      </c>
      <c r="DQ538" s="19">
        <v>913.04347826086996</v>
      </c>
      <c r="DR538" s="19">
        <v>7</v>
      </c>
      <c r="DS538" s="19">
        <v>391.304347826087</v>
      </c>
      <c r="DT538" s="19">
        <v>3</v>
      </c>
      <c r="DU538" s="19">
        <v>652.17391304347802</v>
      </c>
      <c r="DV538" s="19">
        <v>5</v>
      </c>
      <c r="DW538" s="19">
        <v>130.434782608696</v>
      </c>
      <c r="DX538" s="19">
        <v>1</v>
      </c>
      <c r="DY538" s="19">
        <v>391.304347826087</v>
      </c>
      <c r="DZ538" s="19">
        <v>3</v>
      </c>
      <c r="EA538" s="19">
        <v>652.17391304347802</v>
      </c>
      <c r="EB538" s="19">
        <v>5</v>
      </c>
      <c r="EC538" s="19">
        <v>260.86956521739103</v>
      </c>
      <c r="ED538" s="19">
        <v>2</v>
      </c>
      <c r="EE538" s="19">
        <v>260.86956521739103</v>
      </c>
      <c r="EF538" s="19">
        <v>2</v>
      </c>
      <c r="EG538" s="19">
        <v>521.73913043478296</v>
      </c>
      <c r="EH538" s="19">
        <v>4</v>
      </c>
      <c r="EI538" s="19">
        <v>391.304347826087</v>
      </c>
      <c r="EJ538" s="19">
        <v>3</v>
      </c>
      <c r="EK538" s="19">
        <v>130.434782608696</v>
      </c>
      <c r="EL538" s="19">
        <v>1</v>
      </c>
      <c r="EM538" s="19">
        <v>391.304347826087</v>
      </c>
      <c r="EN538" s="19">
        <v>3</v>
      </c>
      <c r="EO538" s="19">
        <v>278.24347826087001</v>
      </c>
      <c r="EP538" s="19">
        <v>2</v>
      </c>
      <c r="EQ538" s="19">
        <v>556.48695652173899</v>
      </c>
      <c r="ER538" s="19">
        <v>4</v>
      </c>
      <c r="ES538" s="119">
        <v>417.36521739130399</v>
      </c>
      <c r="ET538" s="119">
        <v>3</v>
      </c>
    </row>
    <row r="539" spans="1:150" ht="16.5" customHeight="1" x14ac:dyDescent="0.35">
      <c r="A539" s="4">
        <v>224</v>
      </c>
      <c r="B539" s="4" t="str">
        <f>LOOKUP(A539,Lookup!$A$1:$A$34,Lookup!$B$1:$B$34)</f>
        <v>BILT&amp; DROEWORS BUY IN</v>
      </c>
      <c r="C539" s="5">
        <v>60726</v>
      </c>
      <c r="D539" s="6" t="s">
        <v>512</v>
      </c>
      <c r="E539" s="18">
        <v>594.84434782608696</v>
      </c>
      <c r="F539" s="18">
        <v>1.6619999999999999</v>
      </c>
      <c r="G539" s="18">
        <v>41639.104347826098</v>
      </c>
      <c r="H539" s="18">
        <v>116.30500000000001</v>
      </c>
      <c r="I539" s="19">
        <v>0</v>
      </c>
      <c r="J539" s="19">
        <v>0</v>
      </c>
      <c r="K539" s="19">
        <v>204.52173913043501</v>
      </c>
      <c r="L539" s="19">
        <v>0.58799999999999997</v>
      </c>
      <c r="M539" s="19">
        <v>249.04347826086999</v>
      </c>
      <c r="N539" s="19">
        <v>0.71599999999999997</v>
      </c>
      <c r="O539" s="19">
        <v>245.565217391304</v>
      </c>
      <c r="P539" s="19">
        <v>0.70599999999999996</v>
      </c>
      <c r="Q539" s="19">
        <v>91.130434782608702</v>
      </c>
      <c r="R539" s="19">
        <v>0.26200000000000001</v>
      </c>
      <c r="S539" s="19">
        <v>0</v>
      </c>
      <c r="T539" s="19">
        <v>0</v>
      </c>
      <c r="U539" s="19">
        <v>513.26086956521704</v>
      </c>
      <c r="V539" s="19">
        <v>1.504</v>
      </c>
      <c r="W539" s="19">
        <v>405.08695652173901</v>
      </c>
      <c r="X539" s="19">
        <v>1.18</v>
      </c>
      <c r="Y539" s="19">
        <v>964.86956521739103</v>
      </c>
      <c r="Z539" s="19">
        <v>2.774</v>
      </c>
      <c r="AA539" s="19">
        <v>618.43478260869597</v>
      </c>
      <c r="AB539" s="19">
        <v>1.778</v>
      </c>
      <c r="AC539" s="19">
        <v>1044.8695652173899</v>
      </c>
      <c r="AD539" s="19">
        <v>3.004</v>
      </c>
      <c r="AE539" s="19">
        <v>610.07826086956504</v>
      </c>
      <c r="AF539" s="19">
        <v>1.754</v>
      </c>
      <c r="AG539" s="19">
        <v>493.91304347826099</v>
      </c>
      <c r="AH539" s="19">
        <v>1.42</v>
      </c>
      <c r="AI539" s="19">
        <v>875.11304347826103</v>
      </c>
      <c r="AJ539" s="19">
        <v>2.516</v>
      </c>
      <c r="AK539" s="19">
        <v>324.86956521739103</v>
      </c>
      <c r="AL539" s="19">
        <v>0.93400000000000005</v>
      </c>
      <c r="AM539" s="19">
        <v>571.13043478260897</v>
      </c>
      <c r="AN539" s="19">
        <v>1.6419999999999999</v>
      </c>
      <c r="AO539" s="19">
        <v>797.21739130434798</v>
      </c>
      <c r="AP539" s="19">
        <v>2.2919999999999998</v>
      </c>
      <c r="AQ539" s="19">
        <v>1076.1739130434801</v>
      </c>
      <c r="AR539" s="19">
        <v>3.0939999999999999</v>
      </c>
      <c r="AS539" s="19">
        <v>687.304347826087</v>
      </c>
      <c r="AT539" s="19">
        <v>1.976</v>
      </c>
      <c r="AU539" s="19">
        <v>446.60869565217399</v>
      </c>
      <c r="AV539" s="19">
        <v>1.284</v>
      </c>
      <c r="AW539" s="19">
        <v>640.695652173913</v>
      </c>
      <c r="AX539" s="19">
        <v>1.8420000000000001</v>
      </c>
      <c r="AY539" s="19">
        <v>656.695652173913</v>
      </c>
      <c r="AZ539" s="19">
        <v>1.8879999999999999</v>
      </c>
      <c r="BA539" s="19">
        <v>527.304347826087</v>
      </c>
      <c r="BB539" s="19">
        <v>1.516</v>
      </c>
      <c r="BC539" s="19">
        <v>1063.6521739130401</v>
      </c>
      <c r="BD539" s="19">
        <v>3.0579999999999998</v>
      </c>
      <c r="BE539" s="19">
        <v>131.75652173912999</v>
      </c>
      <c r="BF539" s="19">
        <v>0.372</v>
      </c>
      <c r="BG539" s="19">
        <v>840.58260869565197</v>
      </c>
      <c r="BH539" s="19">
        <v>2.202</v>
      </c>
      <c r="BI539" s="19">
        <v>575.66086956521701</v>
      </c>
      <c r="BJ539" s="19">
        <v>1.508</v>
      </c>
      <c r="BK539" s="19">
        <v>794.33043478260902</v>
      </c>
      <c r="BL539" s="19">
        <v>2.1779999999999999</v>
      </c>
      <c r="BM539" s="19">
        <v>326.26086956521698</v>
      </c>
      <c r="BN539" s="19">
        <v>0.93799999999999994</v>
      </c>
      <c r="BO539" s="19">
        <v>738.08695652173901</v>
      </c>
      <c r="BP539" s="19">
        <v>2.1219999999999999</v>
      </c>
      <c r="BQ539" s="19">
        <v>1090.0869565217399</v>
      </c>
      <c r="BR539" s="19">
        <v>3.1339999999999999</v>
      </c>
      <c r="BS539" s="19">
        <v>513.39130434782601</v>
      </c>
      <c r="BT539" s="19">
        <v>1.476</v>
      </c>
      <c r="BU539" s="19">
        <v>586.43478260869597</v>
      </c>
      <c r="BV539" s="19">
        <v>1.6859999999999999</v>
      </c>
      <c r="BW539" s="19">
        <v>497.39130434782601</v>
      </c>
      <c r="BX539" s="19">
        <v>1.43</v>
      </c>
      <c r="BY539" s="19">
        <v>427.13043478260897</v>
      </c>
      <c r="BZ539" s="19">
        <v>1.228</v>
      </c>
      <c r="CA539" s="19">
        <v>985.24347826087001</v>
      </c>
      <c r="CB539" s="19">
        <v>2.613</v>
      </c>
      <c r="CC539" s="19">
        <v>521.878260869565</v>
      </c>
      <c r="CD539" s="19">
        <v>1.3640000000000001</v>
      </c>
      <c r="CE539" s="19">
        <v>384.139130434783</v>
      </c>
      <c r="CF539" s="19">
        <v>1.004</v>
      </c>
      <c r="CG539" s="19">
        <v>554.78260869565202</v>
      </c>
      <c r="CH539" s="19">
        <v>1.45</v>
      </c>
      <c r="CI539" s="19">
        <v>623.65217391304304</v>
      </c>
      <c r="CJ539" s="19">
        <v>1.63</v>
      </c>
      <c r="CK539" s="19">
        <v>772.10434782608695</v>
      </c>
      <c r="CL539" s="19">
        <v>2.0179999999999998</v>
      </c>
      <c r="CM539" s="19">
        <v>664.20869565217401</v>
      </c>
      <c r="CN539" s="19">
        <v>1.736</v>
      </c>
      <c r="CO539" s="19">
        <v>642.01739130434805</v>
      </c>
      <c r="CP539" s="19">
        <v>1.6779999999999999</v>
      </c>
      <c r="CQ539" s="19">
        <v>671.09565217391298</v>
      </c>
      <c r="CR539" s="19">
        <v>1.754</v>
      </c>
      <c r="CS539" s="19">
        <v>200.48695652173899</v>
      </c>
      <c r="CT539" s="19">
        <v>0.52400000000000002</v>
      </c>
      <c r="CU539" s="19">
        <v>312.97391304347798</v>
      </c>
      <c r="CV539" s="19">
        <v>0.81799999999999995</v>
      </c>
      <c r="CW539" s="19">
        <v>938.14782608695702</v>
      </c>
      <c r="CX539" s="19">
        <v>2.452</v>
      </c>
      <c r="CY539" s="19">
        <v>691.75652173912999</v>
      </c>
      <c r="CZ539" s="19">
        <v>1.8080000000000001</v>
      </c>
      <c r="DA539" s="19">
        <v>151.51304347826101</v>
      </c>
      <c r="DB539" s="19">
        <v>0.39600000000000002</v>
      </c>
      <c r="DC539" s="19">
        <v>706.29565217391303</v>
      </c>
      <c r="DD539" s="19">
        <v>1.8460000000000001</v>
      </c>
      <c r="DE539" s="19">
        <v>634.36521739130399</v>
      </c>
      <c r="DF539" s="19">
        <v>1.6579999999999999</v>
      </c>
      <c r="DG539" s="19">
        <v>939.68695652173903</v>
      </c>
      <c r="DH539" s="19">
        <v>2.456</v>
      </c>
      <c r="DI539" s="19">
        <v>484.37391304347801</v>
      </c>
      <c r="DJ539" s="19">
        <v>1.266</v>
      </c>
      <c r="DK539" s="19">
        <v>127.02608695652199</v>
      </c>
      <c r="DL539" s="19">
        <v>0.33200000000000002</v>
      </c>
      <c r="DM539" s="19">
        <v>257.878260869565</v>
      </c>
      <c r="DN539" s="19">
        <v>0.67400000000000004</v>
      </c>
      <c r="DO539" s="19">
        <v>484.38260869565198</v>
      </c>
      <c r="DP539" s="19">
        <v>1.266</v>
      </c>
      <c r="DQ539" s="19">
        <v>494.24347826087001</v>
      </c>
      <c r="DR539" s="19">
        <v>1.4059999999999999</v>
      </c>
      <c r="DS539" s="19">
        <v>729.304347826087</v>
      </c>
      <c r="DT539" s="19">
        <v>2.1019999999999999</v>
      </c>
      <c r="DU539" s="19">
        <v>771.62608695652204</v>
      </c>
      <c r="DV539" s="19">
        <v>2.2240000000000002</v>
      </c>
      <c r="DW539" s="19">
        <v>363.61739130434802</v>
      </c>
      <c r="DX539" s="19">
        <v>1.048</v>
      </c>
      <c r="DY539" s="19">
        <v>533.61739130434796</v>
      </c>
      <c r="DZ539" s="19">
        <v>1.538</v>
      </c>
      <c r="EA539" s="19">
        <v>1037.3913043478301</v>
      </c>
      <c r="EB539" s="19">
        <v>2.99</v>
      </c>
      <c r="EC539" s="19">
        <v>478.09565217391298</v>
      </c>
      <c r="ED539" s="19">
        <v>1.3779999999999999</v>
      </c>
      <c r="EE539" s="19">
        <v>496.147826086956</v>
      </c>
      <c r="EF539" s="19">
        <v>1.43</v>
      </c>
      <c r="EG539" s="19">
        <v>1056.8173913043499</v>
      </c>
      <c r="EH539" s="19">
        <v>3.0459999999999998</v>
      </c>
      <c r="EI539" s="19">
        <v>712.64347826086998</v>
      </c>
      <c r="EJ539" s="19">
        <v>2.0539999999999998</v>
      </c>
      <c r="EK539" s="19">
        <v>639.78260869565202</v>
      </c>
      <c r="EL539" s="19">
        <v>1.8440000000000001</v>
      </c>
      <c r="EM539" s="19">
        <v>261.60869565217399</v>
      </c>
      <c r="EN539" s="19">
        <v>0.754</v>
      </c>
      <c r="EO539" s="19">
        <v>878.50434782608704</v>
      </c>
      <c r="EP539" s="19">
        <v>2.532</v>
      </c>
      <c r="EQ539" s="19">
        <v>1108.1826086956501</v>
      </c>
      <c r="ER539" s="19">
        <v>3.194</v>
      </c>
      <c r="ES539" s="119">
        <v>700.86086956521797</v>
      </c>
      <c r="ET539" s="119">
        <v>2.02</v>
      </c>
    </row>
    <row r="540" spans="1:150" ht="16.5" customHeight="1" x14ac:dyDescent="0.35">
      <c r="A540" s="4">
        <v>224</v>
      </c>
      <c r="B540" s="4" t="str">
        <f>LOOKUP(A540,Lookup!$A$1:$A$34,Lookup!$B$1:$B$34)</f>
        <v>BILT&amp; DROEWORS BUY IN</v>
      </c>
      <c r="C540" s="5">
        <v>61155</v>
      </c>
      <c r="D540" s="6" t="s">
        <v>513</v>
      </c>
      <c r="E540" s="18">
        <v>1243.88999309869</v>
      </c>
      <c r="F540" s="18">
        <v>54.238</v>
      </c>
      <c r="G540" s="18">
        <v>78365.069565217404</v>
      </c>
      <c r="H540" s="18">
        <v>3417</v>
      </c>
      <c r="I540" s="19">
        <v>0</v>
      </c>
      <c r="J540" s="19">
        <v>0</v>
      </c>
      <c r="K540" s="19">
        <v>0</v>
      </c>
      <c r="L540" s="19">
        <v>0</v>
      </c>
      <c r="M540" s="19">
        <v>0</v>
      </c>
      <c r="N540" s="19">
        <v>0</v>
      </c>
      <c r="O540" s="19">
        <v>0</v>
      </c>
      <c r="P540" s="19">
        <v>0</v>
      </c>
      <c r="Q540" s="19">
        <v>0</v>
      </c>
      <c r="R540" s="19">
        <v>0</v>
      </c>
      <c r="S540" s="19">
        <v>0</v>
      </c>
      <c r="T540" s="19">
        <v>0</v>
      </c>
      <c r="U540" s="19">
        <v>0</v>
      </c>
      <c r="V540" s="19">
        <v>0</v>
      </c>
      <c r="W540" s="19">
        <v>0</v>
      </c>
      <c r="X540" s="19">
        <v>0</v>
      </c>
      <c r="Y540" s="19">
        <v>985.61739130434796</v>
      </c>
      <c r="Z540" s="19">
        <v>54</v>
      </c>
      <c r="AA540" s="19">
        <v>1606.1913043478301</v>
      </c>
      <c r="AB540" s="19">
        <v>88</v>
      </c>
      <c r="AC540" s="19">
        <v>1186.3913043478301</v>
      </c>
      <c r="AD540" s="19">
        <v>65</v>
      </c>
      <c r="AE540" s="19">
        <v>1113.3826086956501</v>
      </c>
      <c r="AF540" s="19">
        <v>61</v>
      </c>
      <c r="AG540" s="19">
        <v>1551.4347826087001</v>
      </c>
      <c r="AH540" s="19">
        <v>85</v>
      </c>
      <c r="AI540" s="19">
        <v>1350.6608695652201</v>
      </c>
      <c r="AJ540" s="19">
        <v>74</v>
      </c>
      <c r="AK540" s="19">
        <v>1076.8782608695701</v>
      </c>
      <c r="AL540" s="19">
        <v>59</v>
      </c>
      <c r="AM540" s="19">
        <v>839.6</v>
      </c>
      <c r="AN540" s="19">
        <v>46</v>
      </c>
      <c r="AO540" s="19">
        <v>1295.9043478260901</v>
      </c>
      <c r="AP540" s="19">
        <v>71</v>
      </c>
      <c r="AQ540" s="19">
        <v>876.10434782608695</v>
      </c>
      <c r="AR540" s="19">
        <v>48</v>
      </c>
      <c r="AS540" s="19">
        <v>912.60869565217399</v>
      </c>
      <c r="AT540" s="19">
        <v>50</v>
      </c>
      <c r="AU540" s="19">
        <v>0</v>
      </c>
      <c r="AV540" s="19">
        <v>0</v>
      </c>
      <c r="AW540" s="19">
        <v>0</v>
      </c>
      <c r="AX540" s="19">
        <v>0</v>
      </c>
      <c r="AY540" s="19">
        <v>0</v>
      </c>
      <c r="AZ540" s="19">
        <v>0</v>
      </c>
      <c r="BA540" s="19">
        <v>0</v>
      </c>
      <c r="BB540" s="19">
        <v>0</v>
      </c>
      <c r="BC540" s="19">
        <v>0</v>
      </c>
      <c r="BD540" s="19">
        <v>0</v>
      </c>
      <c r="BE540" s="19">
        <v>1152.5999999999999</v>
      </c>
      <c r="BF540" s="19">
        <v>51</v>
      </c>
      <c r="BG540" s="19">
        <v>1401.2</v>
      </c>
      <c r="BH540" s="19">
        <v>62</v>
      </c>
      <c r="BI540" s="19">
        <v>158.19999999999999</v>
      </c>
      <c r="BJ540" s="19">
        <v>7</v>
      </c>
      <c r="BK540" s="19">
        <v>580.65217391304304</v>
      </c>
      <c r="BL540" s="19">
        <v>25</v>
      </c>
      <c r="BM540" s="19">
        <v>704.08695652173901</v>
      </c>
      <c r="BN540" s="19">
        <v>30</v>
      </c>
      <c r="BO540" s="19">
        <v>797.96521739130401</v>
      </c>
      <c r="BP540" s="19">
        <v>34</v>
      </c>
      <c r="BQ540" s="19">
        <v>1243.8869565217401</v>
      </c>
      <c r="BR540" s="19">
        <v>53</v>
      </c>
      <c r="BS540" s="19">
        <v>891.84347826086901</v>
      </c>
      <c r="BT540" s="19">
        <v>38</v>
      </c>
      <c r="BU540" s="19">
        <v>1314.29565217391</v>
      </c>
      <c r="BV540" s="19">
        <v>56</v>
      </c>
      <c r="BW540" s="19">
        <v>1243.8869565217401</v>
      </c>
      <c r="BX540" s="19">
        <v>53</v>
      </c>
      <c r="BY540" s="19">
        <v>1783.6869565217401</v>
      </c>
      <c r="BZ540" s="19">
        <v>76</v>
      </c>
      <c r="CA540" s="19">
        <v>1267.3565217391299</v>
      </c>
      <c r="CB540" s="19">
        <v>54</v>
      </c>
      <c r="CC540" s="19">
        <v>1056.1304347826101</v>
      </c>
      <c r="CD540" s="19">
        <v>45</v>
      </c>
      <c r="CE540" s="19">
        <v>1290.8260869565199</v>
      </c>
      <c r="CF540" s="19">
        <v>55</v>
      </c>
      <c r="CG540" s="19">
        <v>2018.3826086956501</v>
      </c>
      <c r="CH540" s="19">
        <v>86</v>
      </c>
      <c r="CI540" s="19">
        <v>1901.0347826087</v>
      </c>
      <c r="CJ540" s="19">
        <v>81</v>
      </c>
      <c r="CK540" s="19">
        <v>1455.1130434782599</v>
      </c>
      <c r="CL540" s="19">
        <v>62</v>
      </c>
      <c r="CM540" s="19">
        <v>1150.00869565217</v>
      </c>
      <c r="CN540" s="19">
        <v>49</v>
      </c>
      <c r="CO540" s="19">
        <v>1901.0347826087</v>
      </c>
      <c r="CP540" s="19">
        <v>81</v>
      </c>
      <c r="CQ540" s="19">
        <v>1150.00869565217</v>
      </c>
      <c r="CR540" s="19">
        <v>49</v>
      </c>
      <c r="CS540" s="19">
        <v>1642.8695652173899</v>
      </c>
      <c r="CT540" s="19">
        <v>70</v>
      </c>
      <c r="CU540" s="19">
        <v>1502.05217391304</v>
      </c>
      <c r="CV540" s="19">
        <v>64</v>
      </c>
      <c r="CW540" s="19">
        <v>1478.5826086956499</v>
      </c>
      <c r="CX540" s="19">
        <v>63</v>
      </c>
      <c r="CY540" s="19">
        <v>1783.6869565217401</v>
      </c>
      <c r="CZ540" s="19">
        <v>76</v>
      </c>
      <c r="DA540" s="19">
        <v>1548.99130434783</v>
      </c>
      <c r="DB540" s="19">
        <v>66</v>
      </c>
      <c r="DC540" s="19">
        <v>2018.3826086956501</v>
      </c>
      <c r="DD540" s="19">
        <v>86</v>
      </c>
      <c r="DE540" s="19">
        <v>2018.3826086956501</v>
      </c>
      <c r="DF540" s="19">
        <v>86</v>
      </c>
      <c r="DG540" s="19">
        <v>680.61739130434796</v>
      </c>
      <c r="DH540" s="19">
        <v>29</v>
      </c>
      <c r="DI540" s="19">
        <v>1713.27826086957</v>
      </c>
      <c r="DJ540" s="19">
        <v>73</v>
      </c>
      <c r="DK540" s="19">
        <v>1502.05217391304</v>
      </c>
      <c r="DL540" s="19">
        <v>64</v>
      </c>
      <c r="DM540" s="19">
        <v>1455.1130434782599</v>
      </c>
      <c r="DN540" s="19">
        <v>62</v>
      </c>
      <c r="DO540" s="19">
        <v>1173.47826086957</v>
      </c>
      <c r="DP540" s="19">
        <v>50</v>
      </c>
      <c r="DQ540" s="19">
        <v>1408.1739130434801</v>
      </c>
      <c r="DR540" s="19">
        <v>60</v>
      </c>
      <c r="DS540" s="19">
        <v>1602.04347826087</v>
      </c>
      <c r="DT540" s="19">
        <v>65</v>
      </c>
      <c r="DU540" s="19">
        <v>1512.52173913043</v>
      </c>
      <c r="DV540" s="19">
        <v>60</v>
      </c>
      <c r="DW540" s="19">
        <v>1210.01739130435</v>
      </c>
      <c r="DX540" s="19">
        <v>48</v>
      </c>
      <c r="DY540" s="19">
        <v>2097.5565217391299</v>
      </c>
      <c r="DZ540" s="19">
        <v>81</v>
      </c>
      <c r="EA540" s="19">
        <v>1017.05217391304</v>
      </c>
      <c r="EB540" s="19">
        <v>39</v>
      </c>
      <c r="EC540" s="19">
        <v>1512.53913043478</v>
      </c>
      <c r="ED540" s="19">
        <v>58</v>
      </c>
      <c r="EE540" s="19">
        <v>1277.8347826086999</v>
      </c>
      <c r="EF540" s="19">
        <v>49</v>
      </c>
      <c r="EG540" s="19">
        <v>2477.4347826087001</v>
      </c>
      <c r="EH540" s="19">
        <v>95</v>
      </c>
      <c r="EI540" s="19">
        <v>1329.99130434783</v>
      </c>
      <c r="EJ540" s="19">
        <v>51</v>
      </c>
      <c r="EK540" s="19">
        <v>1538.6173913043499</v>
      </c>
      <c r="EL540" s="19">
        <v>59</v>
      </c>
      <c r="EM540" s="19">
        <v>1356.0695652173899</v>
      </c>
      <c r="EN540" s="19">
        <v>52</v>
      </c>
      <c r="EO540" s="19">
        <v>1382.1478260869601</v>
      </c>
      <c r="EP540" s="19">
        <v>53</v>
      </c>
      <c r="EQ540" s="19">
        <v>1486.46086956522</v>
      </c>
      <c r="ER540" s="19">
        <v>57</v>
      </c>
      <c r="ES540" s="119">
        <v>1460.3826086956501</v>
      </c>
      <c r="ET540" s="119">
        <v>56</v>
      </c>
    </row>
    <row r="541" spans="1:150" ht="16.5" customHeight="1" x14ac:dyDescent="0.35">
      <c r="A541" s="4">
        <v>224</v>
      </c>
      <c r="B541" s="4" t="str">
        <f>LOOKUP(A541,Lookup!$A$1:$A$34,Lookup!$B$1:$B$34)</f>
        <v>BILT&amp; DROEWORS BUY IN</v>
      </c>
      <c r="C541" s="5">
        <v>61828</v>
      </c>
      <c r="D541" s="6" t="s">
        <v>514</v>
      </c>
      <c r="E541" s="18">
        <v>56.521739130434803</v>
      </c>
      <c r="F541" s="18">
        <v>1</v>
      </c>
      <c r="G541" s="18">
        <v>3221.7391304347798</v>
      </c>
      <c r="H541" s="18">
        <v>57</v>
      </c>
      <c r="I541" s="19">
        <v>0</v>
      </c>
      <c r="J541" s="19">
        <v>0</v>
      </c>
      <c r="K541" s="19">
        <v>0</v>
      </c>
      <c r="L541" s="19">
        <v>0</v>
      </c>
      <c r="M541" s="19">
        <v>0</v>
      </c>
      <c r="N541" s="19">
        <v>0</v>
      </c>
      <c r="O541" s="19">
        <v>0</v>
      </c>
      <c r="P541" s="19">
        <v>0</v>
      </c>
      <c r="Q541" s="19">
        <v>0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 s="19">
        <v>0</v>
      </c>
      <c r="AD541" s="19">
        <v>0</v>
      </c>
      <c r="AE541" s="19">
        <v>0</v>
      </c>
      <c r="AF541" s="19">
        <v>0</v>
      </c>
      <c r="AG541" s="19">
        <v>0</v>
      </c>
      <c r="AH541" s="19">
        <v>0</v>
      </c>
      <c r="AI541" s="19">
        <v>0</v>
      </c>
      <c r="AJ541" s="19">
        <v>0</v>
      </c>
      <c r="AK541" s="19">
        <v>113.04347826087</v>
      </c>
      <c r="AL541" s="19">
        <v>2</v>
      </c>
      <c r="AM541" s="19">
        <v>56.521739130434803</v>
      </c>
      <c r="AN541" s="19">
        <v>1</v>
      </c>
      <c r="AO541" s="19">
        <v>734.78260869565202</v>
      </c>
      <c r="AP541" s="19">
        <v>13</v>
      </c>
      <c r="AQ541" s="19">
        <v>339.13043478260897</v>
      </c>
      <c r="AR541" s="19">
        <v>6</v>
      </c>
      <c r="AS541" s="19">
        <v>113.04347826087</v>
      </c>
      <c r="AT541" s="19">
        <v>2</v>
      </c>
      <c r="AU541" s="19">
        <v>226.08695652173901</v>
      </c>
      <c r="AV541" s="19">
        <v>4</v>
      </c>
      <c r="AW541" s="19">
        <v>56.521739130434803</v>
      </c>
      <c r="AX541" s="19">
        <v>1</v>
      </c>
      <c r="AY541" s="19">
        <v>169.565217391304</v>
      </c>
      <c r="AZ541" s="19">
        <v>3</v>
      </c>
      <c r="BA541" s="19">
        <v>282.60869565217399</v>
      </c>
      <c r="BB541" s="19">
        <v>5</v>
      </c>
      <c r="BC541" s="19">
        <v>226.08695652173901</v>
      </c>
      <c r="BD541" s="19">
        <v>4</v>
      </c>
      <c r="BE541" s="19">
        <v>339.13043478260897</v>
      </c>
      <c r="BF541" s="19">
        <v>6</v>
      </c>
      <c r="BG541" s="19">
        <v>113.04347826087</v>
      </c>
      <c r="BH541" s="19">
        <v>2</v>
      </c>
      <c r="BI541" s="19">
        <v>226.08695652173901</v>
      </c>
      <c r="BJ541" s="19">
        <v>4</v>
      </c>
      <c r="BK541" s="19">
        <v>0</v>
      </c>
      <c r="BL541" s="19">
        <v>0</v>
      </c>
      <c r="BM541" s="19">
        <v>169.565217391304</v>
      </c>
      <c r="BN541" s="19">
        <v>3</v>
      </c>
      <c r="BO541" s="19">
        <v>56.521739130434803</v>
      </c>
      <c r="BP541" s="19">
        <v>1</v>
      </c>
      <c r="BQ541" s="19">
        <v>0</v>
      </c>
      <c r="BR541" s="19">
        <v>0</v>
      </c>
      <c r="BS541" s="19">
        <v>0</v>
      </c>
      <c r="BT541" s="19">
        <v>0</v>
      </c>
      <c r="BU541" s="19">
        <v>0</v>
      </c>
      <c r="BV541" s="19">
        <v>0</v>
      </c>
      <c r="BW541" s="19">
        <v>0</v>
      </c>
      <c r="BX541" s="19">
        <v>0</v>
      </c>
      <c r="BY541" s="19">
        <v>0</v>
      </c>
      <c r="BZ541" s="19">
        <v>0</v>
      </c>
      <c r="CA541" s="19">
        <v>0</v>
      </c>
      <c r="CB541" s="19">
        <v>0</v>
      </c>
      <c r="CC541" s="19">
        <v>0</v>
      </c>
      <c r="CD541" s="19">
        <v>0</v>
      </c>
      <c r="CE541" s="19">
        <v>0</v>
      </c>
      <c r="CF541" s="19">
        <v>0</v>
      </c>
      <c r="CG541" s="19">
        <v>0</v>
      </c>
      <c r="CH541" s="19">
        <v>0</v>
      </c>
      <c r="CI541" s="19">
        <v>0</v>
      </c>
      <c r="CJ541" s="19">
        <v>0</v>
      </c>
      <c r="CK541" s="19">
        <v>0</v>
      </c>
      <c r="CL541" s="19">
        <v>0</v>
      </c>
      <c r="CM541" s="19">
        <v>0</v>
      </c>
      <c r="CN541" s="19">
        <v>0</v>
      </c>
      <c r="CO541" s="19">
        <v>0</v>
      </c>
      <c r="CP541" s="19">
        <v>0</v>
      </c>
      <c r="CQ541" s="19">
        <v>0</v>
      </c>
      <c r="CR541" s="19">
        <v>0</v>
      </c>
      <c r="CS541" s="19">
        <v>0</v>
      </c>
      <c r="CT541" s="19">
        <v>0</v>
      </c>
      <c r="CU541" s="19">
        <v>0</v>
      </c>
      <c r="CV541" s="19">
        <v>0</v>
      </c>
      <c r="CW541" s="19">
        <v>0</v>
      </c>
      <c r="CX541" s="19">
        <v>0</v>
      </c>
      <c r="CY541" s="19">
        <v>0</v>
      </c>
      <c r="CZ541" s="19">
        <v>0</v>
      </c>
      <c r="DA541" s="19">
        <v>0</v>
      </c>
      <c r="DB541" s="19">
        <v>0</v>
      </c>
      <c r="DC541" s="19">
        <v>0</v>
      </c>
      <c r="DD541" s="19">
        <v>0</v>
      </c>
      <c r="DE541" s="19">
        <v>0</v>
      </c>
      <c r="DF541" s="19">
        <v>0</v>
      </c>
      <c r="DG541" s="19">
        <v>0</v>
      </c>
      <c r="DH541" s="19">
        <v>0</v>
      </c>
      <c r="DI541" s="19">
        <v>0</v>
      </c>
      <c r="DJ541" s="19">
        <v>0</v>
      </c>
      <c r="DK541" s="19">
        <v>0</v>
      </c>
      <c r="DL541" s="19">
        <v>0</v>
      </c>
      <c r="DM541" s="19">
        <v>0</v>
      </c>
      <c r="DN541" s="19">
        <v>0</v>
      </c>
      <c r="DO541" s="19">
        <v>0</v>
      </c>
      <c r="DP541" s="19">
        <v>0</v>
      </c>
      <c r="DQ541" s="19">
        <v>0</v>
      </c>
      <c r="DR541" s="19">
        <v>0</v>
      </c>
      <c r="DS541" s="19">
        <v>0</v>
      </c>
      <c r="DT541" s="19">
        <v>0</v>
      </c>
      <c r="DU541" s="19">
        <v>0</v>
      </c>
      <c r="DV541" s="19">
        <v>0</v>
      </c>
      <c r="DW541" s="19">
        <v>0</v>
      </c>
      <c r="DX541" s="19">
        <v>0</v>
      </c>
      <c r="DY541" s="19">
        <v>0</v>
      </c>
      <c r="DZ541" s="19">
        <v>0</v>
      </c>
      <c r="EA541" s="19">
        <v>0</v>
      </c>
      <c r="EB541" s="19">
        <v>0</v>
      </c>
      <c r="EC541" s="19">
        <v>0</v>
      </c>
      <c r="ED541" s="19">
        <v>0</v>
      </c>
      <c r="EE541" s="19">
        <v>0</v>
      </c>
      <c r="EF541" s="19">
        <v>0</v>
      </c>
      <c r="EG541" s="19">
        <v>0</v>
      </c>
      <c r="EH541" s="19">
        <v>0</v>
      </c>
      <c r="EI541" s="19">
        <v>0</v>
      </c>
      <c r="EJ541" s="19">
        <v>0</v>
      </c>
      <c r="EK541" s="19">
        <v>0</v>
      </c>
      <c r="EL541" s="19">
        <v>0</v>
      </c>
      <c r="EM541" s="19">
        <v>0</v>
      </c>
      <c r="EN541" s="19">
        <v>0</v>
      </c>
      <c r="EO541" s="19">
        <v>0</v>
      </c>
      <c r="EP541" s="19">
        <v>0</v>
      </c>
      <c r="EQ541" s="19">
        <v>0</v>
      </c>
      <c r="ER541" s="19">
        <v>0</v>
      </c>
      <c r="ES541" s="119">
        <v>0</v>
      </c>
      <c r="ET541" s="119">
        <v>0</v>
      </c>
    </row>
    <row r="542" spans="1:150" ht="16.5" customHeight="1" x14ac:dyDescent="0.35">
      <c r="A542" s="4">
        <v>224</v>
      </c>
      <c r="B542" s="4" t="str">
        <f>LOOKUP(A542,Lookup!$A$1:$A$34,Lookup!$B$1:$B$34)</f>
        <v>BILT&amp; DROEWORS BUY IN</v>
      </c>
      <c r="C542" s="5">
        <v>62040</v>
      </c>
      <c r="D542" s="6" t="s">
        <v>515</v>
      </c>
      <c r="E542" s="18">
        <v>26.371541501976299</v>
      </c>
      <c r="F542" s="18">
        <v>2.5270000000000001</v>
      </c>
      <c r="G542" s="18">
        <v>1450.4347826087001</v>
      </c>
      <c r="H542" s="18">
        <v>139</v>
      </c>
      <c r="I542" s="19">
        <v>0</v>
      </c>
      <c r="J542" s="19">
        <v>0</v>
      </c>
      <c r="K542" s="19">
        <v>0</v>
      </c>
      <c r="L542" s="19">
        <v>0</v>
      </c>
      <c r="M542" s="19">
        <v>0</v>
      </c>
      <c r="N542" s="19">
        <v>0</v>
      </c>
      <c r="O542" s="19">
        <v>0</v>
      </c>
      <c r="P542" s="19">
        <v>0</v>
      </c>
      <c r="Q542" s="19">
        <v>0</v>
      </c>
      <c r="R542" s="19">
        <v>0</v>
      </c>
      <c r="S542" s="19">
        <v>0</v>
      </c>
      <c r="T542" s="19">
        <v>0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 s="19">
        <v>0</v>
      </c>
      <c r="AD542" s="19">
        <v>0</v>
      </c>
      <c r="AE542" s="19">
        <v>0</v>
      </c>
      <c r="AF542" s="19">
        <v>0</v>
      </c>
      <c r="AG542" s="19">
        <v>0</v>
      </c>
      <c r="AH542" s="19">
        <v>0</v>
      </c>
      <c r="AI542" s="19">
        <v>0</v>
      </c>
      <c r="AJ542" s="19">
        <v>0</v>
      </c>
      <c r="AK542" s="19">
        <v>0</v>
      </c>
      <c r="AL542" s="19">
        <v>0</v>
      </c>
      <c r="AM542" s="19">
        <v>0</v>
      </c>
      <c r="AN542" s="19">
        <v>0</v>
      </c>
      <c r="AO542" s="19">
        <v>135.65217391304299</v>
      </c>
      <c r="AP542" s="19">
        <v>13</v>
      </c>
      <c r="AQ542" s="19">
        <v>73.043478260869605</v>
      </c>
      <c r="AR542" s="19">
        <v>7</v>
      </c>
      <c r="AS542" s="19">
        <v>93.913043478260903</v>
      </c>
      <c r="AT542" s="19">
        <v>9</v>
      </c>
      <c r="AU542" s="19">
        <v>240</v>
      </c>
      <c r="AV542" s="19">
        <v>23</v>
      </c>
      <c r="AW542" s="19">
        <v>250.434782608696</v>
      </c>
      <c r="AX542" s="19">
        <v>24</v>
      </c>
      <c r="AY542" s="19">
        <v>114.782608695652</v>
      </c>
      <c r="AZ542" s="19">
        <v>11</v>
      </c>
      <c r="BA542" s="19">
        <v>281.73913043478302</v>
      </c>
      <c r="BB542" s="19">
        <v>27</v>
      </c>
      <c r="BC542" s="19">
        <v>208.695652173913</v>
      </c>
      <c r="BD542" s="19">
        <v>20</v>
      </c>
      <c r="BE542" s="19">
        <v>10.4347826086957</v>
      </c>
      <c r="BF542" s="19">
        <v>1</v>
      </c>
      <c r="BG542" s="19">
        <v>0</v>
      </c>
      <c r="BH542" s="19">
        <v>0</v>
      </c>
      <c r="BI542" s="19">
        <v>31.304347826087</v>
      </c>
      <c r="BJ542" s="19">
        <v>3</v>
      </c>
      <c r="BK542" s="19">
        <v>0</v>
      </c>
      <c r="BL542" s="19">
        <v>0</v>
      </c>
      <c r="BM542" s="19">
        <v>0</v>
      </c>
      <c r="BN542" s="19">
        <v>0</v>
      </c>
      <c r="BO542" s="19">
        <v>0</v>
      </c>
      <c r="BP542" s="19">
        <v>0</v>
      </c>
      <c r="BQ542" s="19">
        <v>0</v>
      </c>
      <c r="BR542" s="19">
        <v>0</v>
      </c>
      <c r="BS542" s="19">
        <v>10.4347826086957</v>
      </c>
      <c r="BT542" s="19">
        <v>1</v>
      </c>
      <c r="BU542" s="19">
        <v>0</v>
      </c>
      <c r="BV542" s="19">
        <v>0</v>
      </c>
      <c r="BW542" s="19">
        <v>0</v>
      </c>
      <c r="BX542" s="19">
        <v>0</v>
      </c>
      <c r="BY542" s="19">
        <v>0</v>
      </c>
      <c r="BZ542" s="19">
        <v>0</v>
      </c>
      <c r="CA542" s="19">
        <v>0</v>
      </c>
      <c r="CB542" s="19">
        <v>0</v>
      </c>
      <c r="CC542" s="19">
        <v>0</v>
      </c>
      <c r="CD542" s="19">
        <v>0</v>
      </c>
      <c r="CE542" s="19">
        <v>0</v>
      </c>
      <c r="CF542" s="19">
        <v>0</v>
      </c>
      <c r="CG542" s="19">
        <v>0</v>
      </c>
      <c r="CH542" s="19">
        <v>0</v>
      </c>
      <c r="CI542" s="19">
        <v>0</v>
      </c>
      <c r="CJ542" s="19">
        <v>0</v>
      </c>
      <c r="CK542" s="19">
        <v>0</v>
      </c>
      <c r="CL542" s="19">
        <v>0</v>
      </c>
      <c r="CM542" s="19">
        <v>0</v>
      </c>
      <c r="CN542" s="19">
        <v>0</v>
      </c>
      <c r="CO542" s="19">
        <v>0</v>
      </c>
      <c r="CP542" s="19">
        <v>0</v>
      </c>
      <c r="CQ542" s="19">
        <v>0</v>
      </c>
      <c r="CR542" s="19">
        <v>0</v>
      </c>
      <c r="CS542" s="19">
        <v>0</v>
      </c>
      <c r="CT542" s="19">
        <v>0</v>
      </c>
      <c r="CU542" s="19">
        <v>0</v>
      </c>
      <c r="CV542" s="19">
        <v>0</v>
      </c>
      <c r="CW542" s="19">
        <v>0</v>
      </c>
      <c r="CX542" s="19">
        <v>0</v>
      </c>
      <c r="CY542" s="19">
        <v>0</v>
      </c>
      <c r="CZ542" s="19">
        <v>0</v>
      </c>
      <c r="DA542" s="19">
        <v>0</v>
      </c>
      <c r="DB542" s="19">
        <v>0</v>
      </c>
      <c r="DC542" s="19">
        <v>0</v>
      </c>
      <c r="DD542" s="19">
        <v>0</v>
      </c>
      <c r="DE542" s="19">
        <v>0</v>
      </c>
      <c r="DF542" s="19">
        <v>0</v>
      </c>
      <c r="DG542" s="19">
        <v>0</v>
      </c>
      <c r="DH542" s="19">
        <v>0</v>
      </c>
      <c r="DI542" s="19">
        <v>0</v>
      </c>
      <c r="DJ542" s="19">
        <v>0</v>
      </c>
      <c r="DK542" s="19">
        <v>0</v>
      </c>
      <c r="DL542" s="19">
        <v>0</v>
      </c>
      <c r="DM542" s="19">
        <v>0</v>
      </c>
      <c r="DN542" s="19">
        <v>0</v>
      </c>
      <c r="DO542" s="19">
        <v>0</v>
      </c>
      <c r="DP542" s="19">
        <v>0</v>
      </c>
      <c r="DQ542" s="19">
        <v>0</v>
      </c>
      <c r="DR542" s="19">
        <v>0</v>
      </c>
      <c r="DS542" s="19">
        <v>0</v>
      </c>
      <c r="DT542" s="19">
        <v>0</v>
      </c>
      <c r="DU542" s="19">
        <v>0</v>
      </c>
      <c r="DV542" s="19">
        <v>0</v>
      </c>
      <c r="DW542" s="19">
        <v>0</v>
      </c>
      <c r="DX542" s="19">
        <v>0</v>
      </c>
      <c r="DY542" s="19">
        <v>0</v>
      </c>
      <c r="DZ542" s="19">
        <v>0</v>
      </c>
      <c r="EA542" s="19">
        <v>0</v>
      </c>
      <c r="EB542" s="19">
        <v>0</v>
      </c>
      <c r="EC542" s="19">
        <v>0</v>
      </c>
      <c r="ED542" s="19">
        <v>0</v>
      </c>
      <c r="EE542" s="19">
        <v>0</v>
      </c>
      <c r="EF542" s="19">
        <v>0</v>
      </c>
      <c r="EG542" s="19">
        <v>0</v>
      </c>
      <c r="EH542" s="19">
        <v>0</v>
      </c>
      <c r="EI542" s="19">
        <v>0</v>
      </c>
      <c r="EJ542" s="19">
        <v>0</v>
      </c>
      <c r="EK542" s="19">
        <v>0</v>
      </c>
      <c r="EL542" s="19">
        <v>0</v>
      </c>
      <c r="EM542" s="19">
        <v>0</v>
      </c>
      <c r="EN542" s="19">
        <v>0</v>
      </c>
      <c r="EO542" s="19">
        <v>0</v>
      </c>
      <c r="EP542" s="19">
        <v>0</v>
      </c>
      <c r="EQ542" s="19">
        <v>0</v>
      </c>
      <c r="ER542" s="19">
        <v>0</v>
      </c>
      <c r="ES542" s="119">
        <v>0</v>
      </c>
      <c r="ET542" s="119">
        <v>0</v>
      </c>
    </row>
    <row r="543" spans="1:150" ht="16.5" customHeight="1" x14ac:dyDescent="0.35">
      <c r="A543" s="4">
        <v>224</v>
      </c>
      <c r="B543" s="4" t="str">
        <f>LOOKUP(A543,Lookup!$A$1:$A$34,Lookup!$B$1:$B$34)</f>
        <v>BILT&amp; DROEWORS BUY IN</v>
      </c>
      <c r="C543" s="5">
        <v>62613</v>
      </c>
      <c r="D543" s="6" t="s">
        <v>516</v>
      </c>
      <c r="E543" s="18">
        <v>87.183903792784406</v>
      </c>
      <c r="F543" s="18">
        <v>3.6379999999999999</v>
      </c>
      <c r="G543" s="18">
        <v>4097.6434782608703</v>
      </c>
      <c r="H543" s="18">
        <v>171</v>
      </c>
      <c r="I543" s="19">
        <v>0</v>
      </c>
      <c r="J543" s="19">
        <v>0</v>
      </c>
      <c r="K543" s="19">
        <v>0</v>
      </c>
      <c r="L543" s="19">
        <v>0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19">
        <v>0</v>
      </c>
      <c r="S543" s="19">
        <v>0</v>
      </c>
      <c r="T543" s="19">
        <v>0</v>
      </c>
      <c r="U543" s="19">
        <v>0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0</v>
      </c>
      <c r="AD543" s="19">
        <v>0</v>
      </c>
      <c r="AE543" s="19">
        <v>0</v>
      </c>
      <c r="AF543" s="19">
        <v>0</v>
      </c>
      <c r="AG543" s="19">
        <v>0</v>
      </c>
      <c r="AH543" s="19">
        <v>0</v>
      </c>
      <c r="AI543" s="19">
        <v>0</v>
      </c>
      <c r="AJ543" s="19">
        <v>0</v>
      </c>
      <c r="AK543" s="19">
        <v>0</v>
      </c>
      <c r="AL543" s="19">
        <v>0</v>
      </c>
      <c r="AM543" s="19">
        <v>0</v>
      </c>
      <c r="AN543" s="19">
        <v>0</v>
      </c>
      <c r="AO543" s="19">
        <v>0</v>
      </c>
      <c r="AP543" s="19">
        <v>0</v>
      </c>
      <c r="AQ543" s="19">
        <v>0</v>
      </c>
      <c r="AR543" s="19">
        <v>0</v>
      </c>
      <c r="AS543" s="19">
        <v>0</v>
      </c>
      <c r="AT543" s="19">
        <v>0</v>
      </c>
      <c r="AU543" s="19">
        <v>0</v>
      </c>
      <c r="AV543" s="19">
        <v>0</v>
      </c>
      <c r="AW543" s="19">
        <v>0</v>
      </c>
      <c r="AX543" s="19">
        <v>0</v>
      </c>
      <c r="AY543" s="19">
        <v>0</v>
      </c>
      <c r="AZ543" s="19">
        <v>0</v>
      </c>
      <c r="BA543" s="19">
        <v>0</v>
      </c>
      <c r="BB543" s="19">
        <v>0</v>
      </c>
      <c r="BC543" s="19">
        <v>0</v>
      </c>
      <c r="BD543" s="19">
        <v>0</v>
      </c>
      <c r="BE543" s="19">
        <v>610.20000000000005</v>
      </c>
      <c r="BF543" s="19">
        <v>27</v>
      </c>
      <c r="BG543" s="19">
        <v>1017</v>
      </c>
      <c r="BH543" s="19">
        <v>45</v>
      </c>
      <c r="BI543" s="19">
        <v>700.6</v>
      </c>
      <c r="BJ543" s="19">
        <v>31</v>
      </c>
      <c r="BK543" s="19">
        <v>439.85217391304298</v>
      </c>
      <c r="BL543" s="19">
        <v>17</v>
      </c>
      <c r="BM543" s="19">
        <v>625.878260869565</v>
      </c>
      <c r="BN543" s="19">
        <v>24</v>
      </c>
      <c r="BO543" s="19">
        <v>443.33043478260902</v>
      </c>
      <c r="BP543" s="19">
        <v>17</v>
      </c>
      <c r="BQ543" s="19">
        <v>260.78260869565202</v>
      </c>
      <c r="BR543" s="19">
        <v>10</v>
      </c>
      <c r="BS543" s="19">
        <v>0</v>
      </c>
      <c r="BT543" s="19">
        <v>0</v>
      </c>
      <c r="BU543" s="19">
        <v>0</v>
      </c>
      <c r="BV543" s="19">
        <v>0</v>
      </c>
      <c r="BW543" s="19">
        <v>0</v>
      </c>
      <c r="BX543" s="19">
        <v>0</v>
      </c>
      <c r="BY543" s="19">
        <v>0</v>
      </c>
      <c r="BZ543" s="19">
        <v>0</v>
      </c>
      <c r="CA543" s="19">
        <v>0</v>
      </c>
      <c r="CB543" s="19">
        <v>0</v>
      </c>
      <c r="CC543" s="19">
        <v>0</v>
      </c>
      <c r="CD543" s="19">
        <v>0</v>
      </c>
      <c r="CE543" s="19">
        <v>0</v>
      </c>
      <c r="CF543" s="19">
        <v>0</v>
      </c>
      <c r="CG543" s="19">
        <v>0</v>
      </c>
      <c r="CH543" s="19">
        <v>0</v>
      </c>
      <c r="CI543" s="19">
        <v>0</v>
      </c>
      <c r="CJ543" s="19">
        <v>0</v>
      </c>
      <c r="CK543" s="19">
        <v>0</v>
      </c>
      <c r="CL543" s="19">
        <v>0</v>
      </c>
      <c r="CM543" s="19">
        <v>0</v>
      </c>
      <c r="CN543" s="19">
        <v>0</v>
      </c>
      <c r="CO543" s="19">
        <v>0</v>
      </c>
      <c r="CP543" s="19">
        <v>0</v>
      </c>
      <c r="CQ543" s="19">
        <v>0</v>
      </c>
      <c r="CR543" s="19">
        <v>0</v>
      </c>
      <c r="CS543" s="19">
        <v>0</v>
      </c>
      <c r="CT543" s="19">
        <v>0</v>
      </c>
      <c r="CU543" s="19">
        <v>0</v>
      </c>
      <c r="CV543" s="19">
        <v>0</v>
      </c>
      <c r="CW543" s="19">
        <v>0</v>
      </c>
      <c r="CX543" s="19">
        <v>0</v>
      </c>
      <c r="CY543" s="19">
        <v>0</v>
      </c>
      <c r="CZ543" s="19">
        <v>0</v>
      </c>
      <c r="DA543" s="19">
        <v>0</v>
      </c>
      <c r="DB543" s="19">
        <v>0</v>
      </c>
      <c r="DC543" s="19">
        <v>0</v>
      </c>
      <c r="DD543" s="19">
        <v>0</v>
      </c>
      <c r="DE543" s="19">
        <v>0</v>
      </c>
      <c r="DF543" s="19">
        <v>0</v>
      </c>
      <c r="DG543" s="19">
        <v>0</v>
      </c>
      <c r="DH543" s="19">
        <v>0</v>
      </c>
      <c r="DI543" s="19">
        <v>0</v>
      </c>
      <c r="DJ543" s="19">
        <v>0</v>
      </c>
      <c r="DK543" s="19">
        <v>0</v>
      </c>
      <c r="DL543" s="19">
        <v>0</v>
      </c>
      <c r="DM543" s="19">
        <v>0</v>
      </c>
      <c r="DN543" s="19">
        <v>0</v>
      </c>
      <c r="DO543" s="19">
        <v>0</v>
      </c>
      <c r="DP543" s="19">
        <v>0</v>
      </c>
      <c r="DQ543" s="19">
        <v>0</v>
      </c>
      <c r="DR543" s="19">
        <v>0</v>
      </c>
      <c r="DS543" s="19">
        <v>0</v>
      </c>
      <c r="DT543" s="19">
        <v>0</v>
      </c>
      <c r="DU543" s="19">
        <v>0</v>
      </c>
      <c r="DV543" s="19">
        <v>0</v>
      </c>
      <c r="DW543" s="19">
        <v>0</v>
      </c>
      <c r="DX543" s="19">
        <v>0</v>
      </c>
      <c r="DY543" s="19">
        <v>0</v>
      </c>
      <c r="DZ543" s="19">
        <v>0</v>
      </c>
      <c r="EA543" s="19">
        <v>0</v>
      </c>
      <c r="EB543" s="19">
        <v>0</v>
      </c>
      <c r="EC543" s="19">
        <v>0</v>
      </c>
      <c r="ED543" s="19">
        <v>0</v>
      </c>
      <c r="EE543" s="19">
        <v>0</v>
      </c>
      <c r="EF543" s="19">
        <v>0</v>
      </c>
      <c r="EG543" s="19">
        <v>0</v>
      </c>
      <c r="EH543" s="19">
        <v>0</v>
      </c>
      <c r="EI543" s="19">
        <v>0</v>
      </c>
      <c r="EJ543" s="19">
        <v>0</v>
      </c>
      <c r="EK543" s="19">
        <v>0</v>
      </c>
      <c r="EL543" s="19">
        <v>0</v>
      </c>
      <c r="EM543" s="19">
        <v>0</v>
      </c>
      <c r="EN543" s="19">
        <v>0</v>
      </c>
      <c r="EO543" s="19">
        <v>0</v>
      </c>
      <c r="EP543" s="19">
        <v>0</v>
      </c>
      <c r="EQ543" s="19">
        <v>0</v>
      </c>
      <c r="ER543" s="19">
        <v>0</v>
      </c>
      <c r="ES543" s="119">
        <v>0</v>
      </c>
      <c r="ET543" s="119">
        <v>0</v>
      </c>
    </row>
    <row r="544" spans="1:150" ht="16.5" customHeight="1" x14ac:dyDescent="0.35">
      <c r="A544" s="4">
        <v>224</v>
      </c>
      <c r="B544" s="4" t="str">
        <f>LOOKUP(A544,Lookup!$A$1:$A$34,Lookup!$B$1:$B$34)</f>
        <v>BILT&amp; DROEWORS BUY IN</v>
      </c>
      <c r="C544" s="5">
        <v>64414</v>
      </c>
      <c r="D544" s="6" t="s">
        <v>517</v>
      </c>
      <c r="E544" s="18">
        <v>15.990404797601199</v>
      </c>
      <c r="F544" s="18">
        <v>4.2000000000000003E-2</v>
      </c>
      <c r="G544" s="18">
        <v>463.72173913043503</v>
      </c>
      <c r="H544" s="18">
        <v>1.212</v>
      </c>
      <c r="I544" s="19">
        <v>0</v>
      </c>
      <c r="J544" s="19">
        <v>0</v>
      </c>
      <c r="K544" s="19">
        <v>0</v>
      </c>
      <c r="L544" s="19">
        <v>0</v>
      </c>
      <c r="M544" s="19">
        <v>0</v>
      </c>
      <c r="N544" s="19">
        <v>0</v>
      </c>
      <c r="O544" s="19">
        <v>0</v>
      </c>
      <c r="P544" s="19">
        <v>0</v>
      </c>
      <c r="Q544" s="19">
        <v>0</v>
      </c>
      <c r="R544" s="19">
        <v>0</v>
      </c>
      <c r="S544" s="19">
        <v>0</v>
      </c>
      <c r="T544" s="19">
        <v>0</v>
      </c>
      <c r="U544" s="19">
        <v>0</v>
      </c>
      <c r="V544" s="19">
        <v>0</v>
      </c>
      <c r="W544" s="19">
        <v>0</v>
      </c>
      <c r="X544" s="19">
        <v>0</v>
      </c>
      <c r="Y544" s="19">
        <v>0</v>
      </c>
      <c r="Z544" s="19">
        <v>0</v>
      </c>
      <c r="AA544" s="19">
        <v>0</v>
      </c>
      <c r="AB544" s="19">
        <v>0</v>
      </c>
      <c r="AC544" s="19">
        <v>0</v>
      </c>
      <c r="AD544" s="19">
        <v>0</v>
      </c>
      <c r="AE544" s="19">
        <v>0</v>
      </c>
      <c r="AF544" s="19">
        <v>0</v>
      </c>
      <c r="AG544" s="19">
        <v>0</v>
      </c>
      <c r="AH544" s="19">
        <v>0</v>
      </c>
      <c r="AI544" s="19">
        <v>0</v>
      </c>
      <c r="AJ544" s="19">
        <v>0</v>
      </c>
      <c r="AK544" s="19">
        <v>0</v>
      </c>
      <c r="AL544" s="19">
        <v>0</v>
      </c>
      <c r="AM544" s="19">
        <v>0</v>
      </c>
      <c r="AN544" s="19">
        <v>0</v>
      </c>
      <c r="AO544" s="19">
        <v>0</v>
      </c>
      <c r="AP544" s="19">
        <v>0</v>
      </c>
      <c r="AQ544" s="19">
        <v>0</v>
      </c>
      <c r="AR544" s="19">
        <v>0</v>
      </c>
      <c r="AS544" s="19">
        <v>0</v>
      </c>
      <c r="AT544" s="19">
        <v>0</v>
      </c>
      <c r="AU544" s="19">
        <v>0</v>
      </c>
      <c r="AV544" s="19">
        <v>0</v>
      </c>
      <c r="AW544" s="19">
        <v>0</v>
      </c>
      <c r="AX544" s="19">
        <v>0</v>
      </c>
      <c r="AY544" s="19">
        <v>0</v>
      </c>
      <c r="AZ544" s="19">
        <v>0</v>
      </c>
      <c r="BA544" s="19">
        <v>0</v>
      </c>
      <c r="BB544" s="19">
        <v>0</v>
      </c>
      <c r="BC544" s="19">
        <v>0</v>
      </c>
      <c r="BD544" s="19">
        <v>0</v>
      </c>
      <c r="BE544" s="19">
        <v>0</v>
      </c>
      <c r="BF544" s="19">
        <v>0</v>
      </c>
      <c r="BG544" s="19">
        <v>0</v>
      </c>
      <c r="BH544" s="19">
        <v>0</v>
      </c>
      <c r="BI544" s="19">
        <v>0</v>
      </c>
      <c r="BJ544" s="19">
        <v>0</v>
      </c>
      <c r="BK544" s="19">
        <v>0</v>
      </c>
      <c r="BL544" s="19">
        <v>0</v>
      </c>
      <c r="BM544" s="19">
        <v>0</v>
      </c>
      <c r="BN544" s="19">
        <v>0</v>
      </c>
      <c r="BO544" s="19">
        <v>0</v>
      </c>
      <c r="BP544" s="19">
        <v>0</v>
      </c>
      <c r="BQ544" s="19">
        <v>0</v>
      </c>
      <c r="BR544" s="19">
        <v>0</v>
      </c>
      <c r="BS544" s="19">
        <v>0</v>
      </c>
      <c r="BT544" s="19">
        <v>0</v>
      </c>
      <c r="BU544" s="19">
        <v>0</v>
      </c>
      <c r="BV544" s="19">
        <v>0</v>
      </c>
      <c r="BW544" s="19">
        <v>0</v>
      </c>
      <c r="BX544" s="19">
        <v>0</v>
      </c>
      <c r="BY544" s="19">
        <v>0</v>
      </c>
      <c r="BZ544" s="19">
        <v>0</v>
      </c>
      <c r="CA544" s="19">
        <v>0</v>
      </c>
      <c r="CB544" s="19">
        <v>0</v>
      </c>
      <c r="CC544" s="19">
        <v>0</v>
      </c>
      <c r="CD544" s="19">
        <v>0</v>
      </c>
      <c r="CE544" s="19">
        <v>0</v>
      </c>
      <c r="CF544" s="19">
        <v>0</v>
      </c>
      <c r="CG544" s="19">
        <v>0</v>
      </c>
      <c r="CH544" s="19">
        <v>0</v>
      </c>
      <c r="CI544" s="19">
        <v>0</v>
      </c>
      <c r="CJ544" s="19">
        <v>0</v>
      </c>
      <c r="CK544" s="19">
        <v>0</v>
      </c>
      <c r="CL544" s="19">
        <v>0</v>
      </c>
      <c r="CM544" s="19">
        <v>0</v>
      </c>
      <c r="CN544" s="19">
        <v>0</v>
      </c>
      <c r="CO544" s="19">
        <v>231.09565217391301</v>
      </c>
      <c r="CP544" s="19">
        <v>0.60399999999999998</v>
      </c>
      <c r="CQ544" s="19">
        <v>200.48695652173899</v>
      </c>
      <c r="CR544" s="19">
        <v>0.52400000000000002</v>
      </c>
      <c r="CS544" s="19">
        <v>32.139130434782601</v>
      </c>
      <c r="CT544" s="19">
        <v>8.4000000000000005E-2</v>
      </c>
      <c r="CU544" s="19">
        <v>0</v>
      </c>
      <c r="CV544" s="19">
        <v>0</v>
      </c>
      <c r="CW544" s="19">
        <v>0</v>
      </c>
      <c r="CX544" s="19">
        <v>0</v>
      </c>
      <c r="CY544" s="19">
        <v>0</v>
      </c>
      <c r="CZ544" s="19">
        <v>0</v>
      </c>
      <c r="DA544" s="19">
        <v>0</v>
      </c>
      <c r="DB544" s="19">
        <v>0</v>
      </c>
      <c r="DC544" s="19">
        <v>0</v>
      </c>
      <c r="DD544" s="19">
        <v>0</v>
      </c>
      <c r="DE544" s="19">
        <v>0</v>
      </c>
      <c r="DF544" s="19">
        <v>0</v>
      </c>
      <c r="DG544" s="19">
        <v>0</v>
      </c>
      <c r="DH544" s="19">
        <v>0</v>
      </c>
      <c r="DI544" s="19">
        <v>0</v>
      </c>
      <c r="DJ544" s="19">
        <v>0</v>
      </c>
      <c r="DK544" s="19">
        <v>0</v>
      </c>
      <c r="DL544" s="19">
        <v>0</v>
      </c>
      <c r="DM544" s="19">
        <v>0</v>
      </c>
      <c r="DN544" s="19">
        <v>0</v>
      </c>
      <c r="DO544" s="19">
        <v>0</v>
      </c>
      <c r="DP544" s="19">
        <v>0</v>
      </c>
      <c r="DQ544" s="19">
        <v>0</v>
      </c>
      <c r="DR544" s="19">
        <v>0</v>
      </c>
      <c r="DS544" s="19">
        <v>0</v>
      </c>
      <c r="DT544" s="19">
        <v>0</v>
      </c>
      <c r="DU544" s="19">
        <v>0</v>
      </c>
      <c r="DV544" s="19">
        <v>0</v>
      </c>
      <c r="DW544" s="19">
        <v>0</v>
      </c>
      <c r="DX544" s="19">
        <v>0</v>
      </c>
      <c r="DY544" s="19">
        <v>0</v>
      </c>
      <c r="DZ544" s="19">
        <v>0</v>
      </c>
      <c r="EA544" s="19">
        <v>0</v>
      </c>
      <c r="EB544" s="19">
        <v>0</v>
      </c>
      <c r="EC544" s="19">
        <v>0</v>
      </c>
      <c r="ED544" s="19">
        <v>0</v>
      </c>
      <c r="EE544" s="19">
        <v>0</v>
      </c>
      <c r="EF544" s="19">
        <v>0</v>
      </c>
      <c r="EG544" s="19">
        <v>0</v>
      </c>
      <c r="EH544" s="19">
        <v>0</v>
      </c>
      <c r="EI544" s="19">
        <v>0</v>
      </c>
      <c r="EJ544" s="19">
        <v>0</v>
      </c>
      <c r="EK544" s="19">
        <v>0</v>
      </c>
      <c r="EL544" s="19">
        <v>0</v>
      </c>
      <c r="EM544" s="19">
        <v>0</v>
      </c>
      <c r="EN544" s="19">
        <v>0</v>
      </c>
      <c r="EO544" s="19">
        <v>0</v>
      </c>
      <c r="EP544" s="19">
        <v>0</v>
      </c>
      <c r="EQ544" s="19">
        <v>0</v>
      </c>
      <c r="ER544" s="19">
        <v>0</v>
      </c>
      <c r="ES544" s="119">
        <v>0</v>
      </c>
      <c r="ET544" s="119">
        <v>0</v>
      </c>
    </row>
    <row r="545" spans="1:150" ht="16.5" customHeight="1" x14ac:dyDescent="0.35">
      <c r="A545" s="4">
        <v>224</v>
      </c>
      <c r="B545" s="4" t="str">
        <f>LOOKUP(A545,Lookup!$A$1:$A$34,Lookup!$B$1:$B$34)</f>
        <v>BILT&amp; DROEWORS BUY IN</v>
      </c>
      <c r="C545" s="5">
        <v>64449</v>
      </c>
      <c r="D545" s="6" t="s">
        <v>518</v>
      </c>
      <c r="E545" s="18">
        <v>227.98890554722601</v>
      </c>
      <c r="F545" s="18">
        <v>0.63100000000000001</v>
      </c>
      <c r="G545" s="18">
        <v>6611.6782608695603</v>
      </c>
      <c r="H545" s="18">
        <v>18.3</v>
      </c>
      <c r="I545" s="19">
        <v>0</v>
      </c>
      <c r="J545" s="19">
        <v>0</v>
      </c>
      <c r="K545" s="19">
        <v>0</v>
      </c>
      <c r="L545" s="19">
        <v>0</v>
      </c>
      <c r="M545" s="19">
        <v>0</v>
      </c>
      <c r="N545" s="19">
        <v>0</v>
      </c>
      <c r="O545" s="19">
        <v>0</v>
      </c>
      <c r="P545" s="19">
        <v>0</v>
      </c>
      <c r="Q545" s="19">
        <v>0</v>
      </c>
      <c r="R545" s="19">
        <v>0</v>
      </c>
      <c r="S545" s="19">
        <v>0</v>
      </c>
      <c r="T545" s="19">
        <v>0</v>
      </c>
      <c r="U545" s="19">
        <v>0</v>
      </c>
      <c r="V545" s="19">
        <v>0</v>
      </c>
      <c r="W545" s="19">
        <v>0</v>
      </c>
      <c r="X545" s="19">
        <v>0</v>
      </c>
      <c r="Y545" s="19">
        <v>0</v>
      </c>
      <c r="Z545" s="19">
        <v>0</v>
      </c>
      <c r="AA545" s="19">
        <v>0</v>
      </c>
      <c r="AB545" s="19">
        <v>0</v>
      </c>
      <c r="AC545" s="19">
        <v>0</v>
      </c>
      <c r="AD545" s="19">
        <v>0</v>
      </c>
      <c r="AE545" s="19">
        <v>0</v>
      </c>
      <c r="AF545" s="19">
        <v>0</v>
      </c>
      <c r="AG545" s="19">
        <v>0</v>
      </c>
      <c r="AH545" s="19">
        <v>0</v>
      </c>
      <c r="AI545" s="19">
        <v>0</v>
      </c>
      <c r="AJ545" s="19">
        <v>0</v>
      </c>
      <c r="AK545" s="19">
        <v>0</v>
      </c>
      <c r="AL545" s="19">
        <v>0</v>
      </c>
      <c r="AM545" s="19">
        <v>0</v>
      </c>
      <c r="AN545" s="19">
        <v>0</v>
      </c>
      <c r="AO545" s="19">
        <v>0</v>
      </c>
      <c r="AP545" s="19">
        <v>0</v>
      </c>
      <c r="AQ545" s="19">
        <v>0</v>
      </c>
      <c r="AR545" s="19">
        <v>0</v>
      </c>
      <c r="AS545" s="19">
        <v>0</v>
      </c>
      <c r="AT545" s="19">
        <v>0</v>
      </c>
      <c r="AU545" s="19">
        <v>0</v>
      </c>
      <c r="AV545" s="19">
        <v>0</v>
      </c>
      <c r="AW545" s="19">
        <v>0</v>
      </c>
      <c r="AX545" s="19">
        <v>0</v>
      </c>
      <c r="AY545" s="19">
        <v>0</v>
      </c>
      <c r="AZ545" s="19">
        <v>0</v>
      </c>
      <c r="BA545" s="19">
        <v>0</v>
      </c>
      <c r="BB545" s="19">
        <v>0</v>
      </c>
      <c r="BC545" s="19">
        <v>0</v>
      </c>
      <c r="BD545" s="19">
        <v>0</v>
      </c>
      <c r="BE545" s="19">
        <v>0</v>
      </c>
      <c r="BF545" s="19">
        <v>0</v>
      </c>
      <c r="BG545" s="19">
        <v>0</v>
      </c>
      <c r="BH545" s="19">
        <v>0</v>
      </c>
      <c r="BI545" s="19">
        <v>0</v>
      </c>
      <c r="BJ545" s="19">
        <v>0</v>
      </c>
      <c r="BK545" s="19">
        <v>0</v>
      </c>
      <c r="BL545" s="19">
        <v>0</v>
      </c>
      <c r="BM545" s="19">
        <v>0</v>
      </c>
      <c r="BN545" s="19">
        <v>0</v>
      </c>
      <c r="BO545" s="19">
        <v>0</v>
      </c>
      <c r="BP545" s="19">
        <v>0</v>
      </c>
      <c r="BQ545" s="19">
        <v>0</v>
      </c>
      <c r="BR545" s="19">
        <v>0</v>
      </c>
      <c r="BS545" s="19">
        <v>0</v>
      </c>
      <c r="BT545" s="19">
        <v>0</v>
      </c>
      <c r="BU545" s="19">
        <v>0</v>
      </c>
      <c r="BV545" s="19">
        <v>0</v>
      </c>
      <c r="BW545" s="19">
        <v>0</v>
      </c>
      <c r="BX545" s="19">
        <v>0</v>
      </c>
      <c r="BY545" s="19">
        <v>0</v>
      </c>
      <c r="BZ545" s="19">
        <v>0</v>
      </c>
      <c r="CA545" s="19">
        <v>0</v>
      </c>
      <c r="CB545" s="19">
        <v>0</v>
      </c>
      <c r="CC545" s="19">
        <v>0</v>
      </c>
      <c r="CD545" s="19">
        <v>0</v>
      </c>
      <c r="CE545" s="19">
        <v>0</v>
      </c>
      <c r="CF545" s="19">
        <v>0</v>
      </c>
      <c r="CG545" s="19">
        <v>0</v>
      </c>
      <c r="CH545" s="19">
        <v>0</v>
      </c>
      <c r="CI545" s="19">
        <v>0</v>
      </c>
      <c r="CJ545" s="19">
        <v>0</v>
      </c>
      <c r="CK545" s="19">
        <v>0</v>
      </c>
      <c r="CL545" s="19">
        <v>0</v>
      </c>
      <c r="CM545" s="19">
        <v>0</v>
      </c>
      <c r="CN545" s="19">
        <v>0</v>
      </c>
      <c r="CO545" s="19">
        <v>24.521739130434799</v>
      </c>
      <c r="CP545" s="19">
        <v>0.06</v>
      </c>
      <c r="CQ545" s="19">
        <v>205.165217391304</v>
      </c>
      <c r="CR545" s="19">
        <v>0.502</v>
      </c>
      <c r="CS545" s="19">
        <v>350.66086956521701</v>
      </c>
      <c r="CT545" s="19">
        <v>0.85799999999999998</v>
      </c>
      <c r="CU545" s="19">
        <v>229.68695652173901</v>
      </c>
      <c r="CV545" s="19">
        <v>0.56200000000000006</v>
      </c>
      <c r="CW545" s="19">
        <v>149.582608695652</v>
      </c>
      <c r="CX545" s="19">
        <v>0.36599999999999999</v>
      </c>
      <c r="CY545" s="19">
        <v>268.92173913043501</v>
      </c>
      <c r="CZ545" s="19">
        <v>0.65800000000000003</v>
      </c>
      <c r="DA545" s="19">
        <v>264.834782608696</v>
      </c>
      <c r="DB545" s="19">
        <v>0.64800000000000002</v>
      </c>
      <c r="DC545" s="19">
        <v>103.80869565217399</v>
      </c>
      <c r="DD545" s="19">
        <v>0.254</v>
      </c>
      <c r="DE545" s="19">
        <v>200.713043478261</v>
      </c>
      <c r="DF545" s="19">
        <v>0.54600000000000004</v>
      </c>
      <c r="DG545" s="19">
        <v>121.930434782609</v>
      </c>
      <c r="DH545" s="19">
        <v>0.34200000000000003</v>
      </c>
      <c r="DI545" s="19">
        <v>139.75652173912999</v>
      </c>
      <c r="DJ545" s="19">
        <v>0.39200000000000002</v>
      </c>
      <c r="DK545" s="19">
        <v>111.94782608695699</v>
      </c>
      <c r="DL545" s="19">
        <v>0.314</v>
      </c>
      <c r="DM545" s="19">
        <v>134.76521739130399</v>
      </c>
      <c r="DN545" s="19">
        <v>0.378</v>
      </c>
      <c r="DO545" s="19">
        <v>193.94782608695601</v>
      </c>
      <c r="DP545" s="19">
        <v>0.56999999999999995</v>
      </c>
      <c r="DQ545" s="19">
        <v>54.817391304347801</v>
      </c>
      <c r="DR545" s="19">
        <v>0.158</v>
      </c>
      <c r="DS545" s="19">
        <v>405.25217391304301</v>
      </c>
      <c r="DT545" s="19">
        <v>1.1679999999999999</v>
      </c>
      <c r="DU545" s="19">
        <v>360.14782608695702</v>
      </c>
      <c r="DV545" s="19">
        <v>1.038</v>
      </c>
      <c r="DW545" s="19">
        <v>231.06956521739099</v>
      </c>
      <c r="DX545" s="19">
        <v>0.66600000000000004</v>
      </c>
      <c r="DY545" s="19">
        <v>206.09565217391301</v>
      </c>
      <c r="DZ545" s="19">
        <v>0.59399999999999997</v>
      </c>
      <c r="EA545" s="19">
        <v>573.878260869565</v>
      </c>
      <c r="EB545" s="19">
        <v>1.6539999999999999</v>
      </c>
      <c r="EC545" s="19">
        <v>436.46086956521702</v>
      </c>
      <c r="ED545" s="19">
        <v>1.258</v>
      </c>
      <c r="EE545" s="19">
        <v>253.278260869565</v>
      </c>
      <c r="EF545" s="19">
        <v>0.73</v>
      </c>
      <c r="EG545" s="19">
        <v>327.52173913043498</v>
      </c>
      <c r="EH545" s="19">
        <v>0.94399999999999995</v>
      </c>
      <c r="EI545" s="19">
        <v>149.19130434782599</v>
      </c>
      <c r="EJ545" s="19">
        <v>0.43</v>
      </c>
      <c r="EK545" s="19">
        <v>33.304347826087003</v>
      </c>
      <c r="EL545" s="19">
        <v>9.6000000000000002E-2</v>
      </c>
      <c r="EM545" s="19">
        <v>304.63478260869601</v>
      </c>
      <c r="EN545" s="19">
        <v>0.878</v>
      </c>
      <c r="EO545" s="19">
        <v>339.31304347826102</v>
      </c>
      <c r="EP545" s="19">
        <v>0.97799999999999998</v>
      </c>
      <c r="EQ545" s="19">
        <v>265.06956521739102</v>
      </c>
      <c r="ER545" s="19">
        <v>0.76400000000000001</v>
      </c>
      <c r="ES545" s="119">
        <v>171.4</v>
      </c>
      <c r="ET545" s="119">
        <v>0.49399999999999999</v>
      </c>
    </row>
    <row r="546" spans="1:150" ht="16.5" customHeight="1" x14ac:dyDescent="0.35">
      <c r="A546" s="4">
        <v>224</v>
      </c>
      <c r="B546" s="4" t="str">
        <f>LOOKUP(A546,Lookup!$A$1:$A$34,Lookup!$B$1:$B$34)</f>
        <v>BILT&amp; DROEWORS BUY IN</v>
      </c>
      <c r="C546" s="5">
        <v>65480</v>
      </c>
      <c r="D546" s="6" t="s">
        <v>519</v>
      </c>
      <c r="E546" s="18">
        <v>231.04927536231901</v>
      </c>
      <c r="F546" s="18">
        <v>0.66400000000000003</v>
      </c>
      <c r="G546" s="18">
        <v>3465.7391304347798</v>
      </c>
      <c r="H546" s="18">
        <v>9.9640000000000004</v>
      </c>
      <c r="I546" s="19">
        <v>0</v>
      </c>
      <c r="J546" s="19">
        <v>0</v>
      </c>
      <c r="K546" s="19">
        <v>0</v>
      </c>
      <c r="L546" s="19">
        <v>0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0</v>
      </c>
      <c r="AB546" s="19">
        <v>0</v>
      </c>
      <c r="AC546" s="19">
        <v>0</v>
      </c>
      <c r="AD546" s="19">
        <v>0</v>
      </c>
      <c r="AE546" s="19">
        <v>0</v>
      </c>
      <c r="AF546" s="19">
        <v>0</v>
      </c>
      <c r="AG546" s="19">
        <v>0</v>
      </c>
      <c r="AH546" s="19">
        <v>0</v>
      </c>
      <c r="AI546" s="19">
        <v>0</v>
      </c>
      <c r="AJ546" s="19">
        <v>0</v>
      </c>
      <c r="AK546" s="19">
        <v>0</v>
      </c>
      <c r="AL546" s="19">
        <v>0</v>
      </c>
      <c r="AM546" s="19">
        <v>0</v>
      </c>
      <c r="AN546" s="19">
        <v>0</v>
      </c>
      <c r="AO546" s="19">
        <v>0</v>
      </c>
      <c r="AP546" s="19">
        <v>0</v>
      </c>
      <c r="AQ546" s="19">
        <v>0</v>
      </c>
      <c r="AR546" s="19">
        <v>0</v>
      </c>
      <c r="AS546" s="19">
        <v>0</v>
      </c>
      <c r="AT546" s="19">
        <v>0</v>
      </c>
      <c r="AU546" s="19">
        <v>0</v>
      </c>
      <c r="AV546" s="19">
        <v>0</v>
      </c>
      <c r="AW546" s="19">
        <v>0</v>
      </c>
      <c r="AX546" s="19">
        <v>0</v>
      </c>
      <c r="AY546" s="19">
        <v>0</v>
      </c>
      <c r="AZ546" s="19">
        <v>0</v>
      </c>
      <c r="BA546" s="19">
        <v>0</v>
      </c>
      <c r="BB546" s="19">
        <v>0</v>
      </c>
      <c r="BC546" s="19">
        <v>0</v>
      </c>
      <c r="BD546" s="19">
        <v>0</v>
      </c>
      <c r="BE546" s="19">
        <v>0</v>
      </c>
      <c r="BF546" s="19">
        <v>0</v>
      </c>
      <c r="BG546" s="19">
        <v>0</v>
      </c>
      <c r="BH546" s="19">
        <v>0</v>
      </c>
      <c r="BI546" s="19">
        <v>0</v>
      </c>
      <c r="BJ546" s="19">
        <v>0</v>
      </c>
      <c r="BK546" s="19">
        <v>0</v>
      </c>
      <c r="BL546" s="19">
        <v>0</v>
      </c>
      <c r="BM546" s="19">
        <v>0</v>
      </c>
      <c r="BN546" s="19">
        <v>0</v>
      </c>
      <c r="BO546" s="19">
        <v>0</v>
      </c>
      <c r="BP546" s="19">
        <v>0</v>
      </c>
      <c r="BQ546" s="19">
        <v>0</v>
      </c>
      <c r="BR546" s="19">
        <v>0</v>
      </c>
      <c r="BS546" s="19">
        <v>0</v>
      </c>
      <c r="BT546" s="19">
        <v>0</v>
      </c>
      <c r="BU546" s="19">
        <v>0</v>
      </c>
      <c r="BV546" s="19">
        <v>0</v>
      </c>
      <c r="BW546" s="19">
        <v>0</v>
      </c>
      <c r="BX546" s="19">
        <v>0</v>
      </c>
      <c r="BY546" s="19">
        <v>0</v>
      </c>
      <c r="BZ546" s="19">
        <v>0</v>
      </c>
      <c r="CA546" s="19">
        <v>0</v>
      </c>
      <c r="CB546" s="19">
        <v>0</v>
      </c>
      <c r="CC546" s="19">
        <v>0</v>
      </c>
      <c r="CD546" s="19">
        <v>0</v>
      </c>
      <c r="CE546" s="19">
        <v>0</v>
      </c>
      <c r="CF546" s="19">
        <v>0</v>
      </c>
      <c r="CG546" s="19">
        <v>0</v>
      </c>
      <c r="CH546" s="19">
        <v>0</v>
      </c>
      <c r="CI546" s="19">
        <v>0</v>
      </c>
      <c r="CJ546" s="19">
        <v>0</v>
      </c>
      <c r="CK546" s="19">
        <v>0</v>
      </c>
      <c r="CL546" s="19">
        <v>0</v>
      </c>
      <c r="CM546" s="19">
        <v>0</v>
      </c>
      <c r="CN546" s="19">
        <v>0</v>
      </c>
      <c r="CO546" s="19">
        <v>0</v>
      </c>
      <c r="CP546" s="19">
        <v>0</v>
      </c>
      <c r="CQ546" s="19">
        <v>0</v>
      </c>
      <c r="CR546" s="19">
        <v>0</v>
      </c>
      <c r="CS546" s="19">
        <v>0</v>
      </c>
      <c r="CT546" s="19">
        <v>0</v>
      </c>
      <c r="CU546" s="19">
        <v>0</v>
      </c>
      <c r="CV546" s="19">
        <v>0</v>
      </c>
      <c r="CW546" s="19">
        <v>0</v>
      </c>
      <c r="CX546" s="19">
        <v>0</v>
      </c>
      <c r="CY546" s="19">
        <v>0</v>
      </c>
      <c r="CZ546" s="19">
        <v>0</v>
      </c>
      <c r="DA546" s="19">
        <v>0</v>
      </c>
      <c r="DB546" s="19">
        <v>0</v>
      </c>
      <c r="DC546" s="19">
        <v>0</v>
      </c>
      <c r="DD546" s="19">
        <v>0</v>
      </c>
      <c r="DE546" s="19">
        <v>0</v>
      </c>
      <c r="DF546" s="19">
        <v>0</v>
      </c>
      <c r="DG546" s="19">
        <v>0</v>
      </c>
      <c r="DH546" s="19">
        <v>0</v>
      </c>
      <c r="DI546" s="19">
        <v>0</v>
      </c>
      <c r="DJ546" s="19">
        <v>0</v>
      </c>
      <c r="DK546" s="19">
        <v>0</v>
      </c>
      <c r="DL546" s="19">
        <v>0</v>
      </c>
      <c r="DM546" s="19">
        <v>0</v>
      </c>
      <c r="DN546" s="19">
        <v>0</v>
      </c>
      <c r="DO546" s="19">
        <v>0</v>
      </c>
      <c r="DP546" s="19">
        <v>0</v>
      </c>
      <c r="DQ546" s="19">
        <v>45.913043478260903</v>
      </c>
      <c r="DR546" s="19">
        <v>0.13200000000000001</v>
      </c>
      <c r="DS546" s="19">
        <v>731.82608695652198</v>
      </c>
      <c r="DT546" s="19">
        <v>2.1040000000000001</v>
      </c>
      <c r="DU546" s="19">
        <v>367.304347826087</v>
      </c>
      <c r="DV546" s="19">
        <v>1.056</v>
      </c>
      <c r="DW546" s="19">
        <v>290.78260869565202</v>
      </c>
      <c r="DX546" s="19">
        <v>0.83599999999999997</v>
      </c>
      <c r="DY546" s="19">
        <v>172.52173913043501</v>
      </c>
      <c r="DZ546" s="19">
        <v>0.496</v>
      </c>
      <c r="EA546" s="19">
        <v>92.521739130434796</v>
      </c>
      <c r="EB546" s="19">
        <v>0.26600000000000001</v>
      </c>
      <c r="EC546" s="19">
        <v>29.2173913043478</v>
      </c>
      <c r="ED546" s="19">
        <v>8.4000000000000005E-2</v>
      </c>
      <c r="EE546" s="19">
        <v>74.434782608695599</v>
      </c>
      <c r="EF546" s="19">
        <v>0.214</v>
      </c>
      <c r="EG546" s="19">
        <v>212.173913043478</v>
      </c>
      <c r="EH546" s="19">
        <v>0.61</v>
      </c>
      <c r="EI546" s="19">
        <v>393.73913043478302</v>
      </c>
      <c r="EJ546" s="19">
        <v>1.1319999999999999</v>
      </c>
      <c r="EK546" s="19">
        <v>130.08695652173901</v>
      </c>
      <c r="EL546" s="19">
        <v>0.374</v>
      </c>
      <c r="EM546" s="19">
        <v>84.869565217391298</v>
      </c>
      <c r="EN546" s="19">
        <v>0.24399999999999999</v>
      </c>
      <c r="EO546" s="19">
        <v>287.304347826087</v>
      </c>
      <c r="EP546" s="19">
        <v>0.82599999999999996</v>
      </c>
      <c r="EQ546" s="19">
        <v>415.304347826087</v>
      </c>
      <c r="ER546" s="19">
        <v>1.194</v>
      </c>
      <c r="ES546" s="119">
        <v>137.73913043478299</v>
      </c>
      <c r="ET546" s="119">
        <v>0.39600000000000002</v>
      </c>
    </row>
    <row r="547" spans="1:150" ht="16.5" customHeight="1" x14ac:dyDescent="0.35">
      <c r="A547" s="4">
        <v>224</v>
      </c>
      <c r="B547" s="4" t="str">
        <f>LOOKUP(A547,Lookup!$A$1:$A$34,Lookup!$B$1:$B$34)</f>
        <v>BILT&amp; DROEWORS BUY IN</v>
      </c>
      <c r="C547" s="5">
        <v>66211</v>
      </c>
      <c r="D547" s="6" t="s">
        <v>520</v>
      </c>
      <c r="E547" s="18">
        <v>0</v>
      </c>
      <c r="F547" s="18">
        <v>0</v>
      </c>
      <c r="G547" s="18">
        <v>0</v>
      </c>
      <c r="H547" s="18">
        <v>0</v>
      </c>
      <c r="I547" s="19">
        <v>0</v>
      </c>
      <c r="J547" s="19">
        <v>0</v>
      </c>
      <c r="K547" s="19">
        <v>0</v>
      </c>
      <c r="L547" s="19">
        <v>0</v>
      </c>
      <c r="M547" s="19">
        <v>0</v>
      </c>
      <c r="N547" s="19">
        <v>0</v>
      </c>
      <c r="O547" s="19">
        <v>0</v>
      </c>
      <c r="P547" s="19">
        <v>0</v>
      </c>
      <c r="Q547" s="19">
        <v>0</v>
      </c>
      <c r="R547" s="19">
        <v>0</v>
      </c>
      <c r="S547" s="19">
        <v>0</v>
      </c>
      <c r="T547" s="19">
        <v>0</v>
      </c>
      <c r="U547" s="19">
        <v>0</v>
      </c>
      <c r="V547" s="19">
        <v>0</v>
      </c>
      <c r="W547" s="19">
        <v>0</v>
      </c>
      <c r="X547" s="19">
        <v>0</v>
      </c>
      <c r="Y547" s="19">
        <v>0</v>
      </c>
      <c r="Z547" s="19">
        <v>0</v>
      </c>
      <c r="AA547" s="19">
        <v>0</v>
      </c>
      <c r="AB547" s="19">
        <v>0</v>
      </c>
      <c r="AC547" s="19">
        <v>0</v>
      </c>
      <c r="AD547" s="19">
        <v>0</v>
      </c>
      <c r="AE547" s="19">
        <v>0</v>
      </c>
      <c r="AF547" s="19">
        <v>0</v>
      </c>
      <c r="AG547" s="19">
        <v>0</v>
      </c>
      <c r="AH547" s="19">
        <v>0</v>
      </c>
      <c r="AI547" s="19">
        <v>0</v>
      </c>
      <c r="AJ547" s="19">
        <v>0</v>
      </c>
      <c r="AK547" s="19">
        <v>0</v>
      </c>
      <c r="AL547" s="19">
        <v>0</v>
      </c>
      <c r="AM547" s="19">
        <v>0</v>
      </c>
      <c r="AN547" s="19">
        <v>0</v>
      </c>
      <c r="AO547" s="19">
        <v>0</v>
      </c>
      <c r="AP547" s="19">
        <v>0</v>
      </c>
      <c r="AQ547" s="19">
        <v>0</v>
      </c>
      <c r="AR547" s="19">
        <v>0</v>
      </c>
      <c r="AS547" s="19">
        <v>0</v>
      </c>
      <c r="AT547" s="19">
        <v>0</v>
      </c>
      <c r="AU547" s="19">
        <v>0</v>
      </c>
      <c r="AV547" s="19">
        <v>0</v>
      </c>
      <c r="AW547" s="19">
        <v>0</v>
      </c>
      <c r="AX547" s="19">
        <v>0</v>
      </c>
      <c r="AY547" s="19">
        <v>0</v>
      </c>
      <c r="AZ547" s="19">
        <v>0</v>
      </c>
      <c r="BA547" s="19">
        <v>0</v>
      </c>
      <c r="BB547" s="19">
        <v>0</v>
      </c>
      <c r="BC547" s="19">
        <v>0</v>
      </c>
      <c r="BD547" s="19">
        <v>0</v>
      </c>
      <c r="BE547" s="19">
        <v>0</v>
      </c>
      <c r="BF547" s="19">
        <v>0</v>
      </c>
      <c r="BG547" s="19">
        <v>0</v>
      </c>
      <c r="BH547" s="19">
        <v>0</v>
      </c>
      <c r="BI547" s="19">
        <v>0</v>
      </c>
      <c r="BJ547" s="19">
        <v>0</v>
      </c>
      <c r="BK547" s="19">
        <v>0</v>
      </c>
      <c r="BL547" s="19">
        <v>0</v>
      </c>
      <c r="BM547" s="19">
        <v>0</v>
      </c>
      <c r="BN547" s="19">
        <v>0</v>
      </c>
      <c r="BO547" s="19">
        <v>0</v>
      </c>
      <c r="BP547" s="19">
        <v>0</v>
      </c>
      <c r="BQ547" s="19">
        <v>0</v>
      </c>
      <c r="BR547" s="19">
        <v>0</v>
      </c>
      <c r="BS547" s="19">
        <v>0</v>
      </c>
      <c r="BT547" s="19">
        <v>0</v>
      </c>
      <c r="BU547" s="19">
        <v>0</v>
      </c>
      <c r="BV547" s="19">
        <v>0</v>
      </c>
      <c r="BW547" s="19">
        <v>0</v>
      </c>
      <c r="BX547" s="19">
        <v>0</v>
      </c>
      <c r="BY547" s="19">
        <v>0</v>
      </c>
      <c r="BZ547" s="19">
        <v>0</v>
      </c>
      <c r="CA547" s="19">
        <v>0</v>
      </c>
      <c r="CB547" s="19">
        <v>0</v>
      </c>
      <c r="CC547" s="19">
        <v>0</v>
      </c>
      <c r="CD547" s="19">
        <v>0</v>
      </c>
      <c r="CE547" s="19">
        <v>0</v>
      </c>
      <c r="CF547" s="19">
        <v>0</v>
      </c>
      <c r="CG547" s="19">
        <v>0</v>
      </c>
      <c r="CH547" s="19">
        <v>0</v>
      </c>
      <c r="CI547" s="19">
        <v>0</v>
      </c>
      <c r="CJ547" s="19">
        <v>0</v>
      </c>
      <c r="CK547" s="19">
        <v>0</v>
      </c>
      <c r="CL547" s="19">
        <v>0</v>
      </c>
      <c r="CM547" s="19">
        <v>0</v>
      </c>
      <c r="CN547" s="19">
        <v>0</v>
      </c>
      <c r="CO547" s="19">
        <v>0</v>
      </c>
      <c r="CP547" s="19">
        <v>0</v>
      </c>
      <c r="CQ547" s="19">
        <v>0</v>
      </c>
      <c r="CR547" s="19">
        <v>0</v>
      </c>
      <c r="CS547" s="19">
        <v>0</v>
      </c>
      <c r="CT547" s="19">
        <v>0</v>
      </c>
      <c r="CU547" s="19">
        <v>0</v>
      </c>
      <c r="CV547" s="19">
        <v>0</v>
      </c>
      <c r="CW547" s="19">
        <v>0</v>
      </c>
      <c r="CX547" s="19">
        <v>0</v>
      </c>
      <c r="CY547" s="19">
        <v>0</v>
      </c>
      <c r="CZ547" s="19">
        <v>0</v>
      </c>
      <c r="DA547" s="19">
        <v>0</v>
      </c>
      <c r="DB547" s="19">
        <v>0</v>
      </c>
      <c r="DC547" s="19">
        <v>0</v>
      </c>
      <c r="DD547" s="19">
        <v>0</v>
      </c>
      <c r="DE547" s="19">
        <v>0</v>
      </c>
      <c r="DF547" s="19">
        <v>0</v>
      </c>
      <c r="DG547" s="19">
        <v>0</v>
      </c>
      <c r="DH547" s="19">
        <v>0</v>
      </c>
      <c r="DI547" s="19">
        <v>0</v>
      </c>
      <c r="DJ547" s="19">
        <v>0</v>
      </c>
      <c r="DK547" s="19">
        <v>0</v>
      </c>
      <c r="DL547" s="19">
        <v>0</v>
      </c>
      <c r="DM547" s="19">
        <v>0</v>
      </c>
      <c r="DN547" s="19">
        <v>0</v>
      </c>
      <c r="DO547" s="19">
        <v>0</v>
      </c>
      <c r="DP547" s="19">
        <v>0</v>
      </c>
      <c r="DQ547" s="19">
        <v>0</v>
      </c>
      <c r="DR547" s="19">
        <v>0</v>
      </c>
      <c r="DS547" s="19">
        <v>0</v>
      </c>
      <c r="DT547" s="19">
        <v>0</v>
      </c>
      <c r="DU547" s="19">
        <v>0</v>
      </c>
      <c r="DV547" s="19">
        <v>0</v>
      </c>
      <c r="DW547" s="19">
        <v>0</v>
      </c>
      <c r="DX547" s="19">
        <v>0</v>
      </c>
      <c r="DY547" s="19">
        <v>0</v>
      </c>
      <c r="DZ547" s="19">
        <v>0</v>
      </c>
      <c r="EA547" s="19">
        <v>0</v>
      </c>
      <c r="EB547" s="19">
        <v>0</v>
      </c>
      <c r="EC547" s="19">
        <v>0</v>
      </c>
      <c r="ED547" s="19">
        <v>0</v>
      </c>
      <c r="EE547" s="19">
        <v>0</v>
      </c>
      <c r="EF547" s="19">
        <v>0</v>
      </c>
      <c r="EG547" s="19">
        <v>0</v>
      </c>
      <c r="EH547" s="19">
        <v>0</v>
      </c>
      <c r="EI547" s="19">
        <v>0</v>
      </c>
      <c r="EJ547" s="19">
        <v>0</v>
      </c>
      <c r="EK547" s="19">
        <v>0</v>
      </c>
      <c r="EL547" s="19">
        <v>0</v>
      </c>
      <c r="EM547" s="19">
        <v>0</v>
      </c>
      <c r="EN547" s="19">
        <v>0</v>
      </c>
      <c r="EO547" s="19">
        <v>0</v>
      </c>
      <c r="EP547" s="19">
        <v>0</v>
      </c>
      <c r="EQ547" s="19">
        <v>0</v>
      </c>
      <c r="ER547" s="19">
        <v>0</v>
      </c>
      <c r="ES547" s="119">
        <v>0</v>
      </c>
      <c r="ET547" s="119">
        <v>0</v>
      </c>
    </row>
    <row r="548" spans="1:150" ht="16.5" customHeight="1" x14ac:dyDescent="0.35">
      <c r="A548" s="4">
        <v>225</v>
      </c>
      <c r="B548" s="4" t="str">
        <f>LOOKUP(A548,Lookup!$A$1:$A$34,Lookup!$B$1:$B$34)</f>
        <v>ALL OFFAL</v>
      </c>
      <c r="C548" s="5">
        <v>12693</v>
      </c>
      <c r="D548" s="6" t="s">
        <v>521</v>
      </c>
      <c r="E548" s="18">
        <v>42.648622167789298</v>
      </c>
      <c r="F548" s="18">
        <v>0.33900000000000002</v>
      </c>
      <c r="G548" s="18">
        <v>3028.05217391304</v>
      </c>
      <c r="H548" s="18">
        <v>24.041</v>
      </c>
      <c r="I548" s="19">
        <v>0</v>
      </c>
      <c r="J548" s="19">
        <v>0</v>
      </c>
      <c r="K548" s="19">
        <v>0</v>
      </c>
      <c r="L548" s="19">
        <v>0</v>
      </c>
      <c r="M548" s="19">
        <v>0</v>
      </c>
      <c r="N548" s="19">
        <v>0</v>
      </c>
      <c r="O548" s="19">
        <v>0</v>
      </c>
      <c r="P548" s="19">
        <v>0</v>
      </c>
      <c r="Q548" s="19">
        <v>0</v>
      </c>
      <c r="R548" s="19">
        <v>0</v>
      </c>
      <c r="S548" s="19">
        <v>0</v>
      </c>
      <c r="T548" s="19">
        <v>0</v>
      </c>
      <c r="U548" s="19">
        <v>0</v>
      </c>
      <c r="V548" s="19">
        <v>0</v>
      </c>
      <c r="W548" s="19">
        <v>0</v>
      </c>
      <c r="X548" s="19">
        <v>0</v>
      </c>
      <c r="Y548" s="19">
        <v>420.452173913043</v>
      </c>
      <c r="Z548" s="19">
        <v>3.4540000000000002</v>
      </c>
      <c r="AA548" s="19">
        <v>0</v>
      </c>
      <c r="AB548" s="19">
        <v>0</v>
      </c>
      <c r="AC548" s="19">
        <v>0</v>
      </c>
      <c r="AD548" s="19">
        <v>0</v>
      </c>
      <c r="AE548" s="19">
        <v>424.834782608696</v>
      </c>
      <c r="AF548" s="19">
        <v>3.49</v>
      </c>
      <c r="AG548" s="19">
        <v>211.565217391304</v>
      </c>
      <c r="AH548" s="19">
        <v>1.738</v>
      </c>
      <c r="AI548" s="19">
        <v>210.10434782608701</v>
      </c>
      <c r="AJ548" s="19">
        <v>1.726</v>
      </c>
      <c r="AK548" s="19">
        <v>0</v>
      </c>
      <c r="AL548" s="19">
        <v>0</v>
      </c>
      <c r="AM548" s="19">
        <v>0</v>
      </c>
      <c r="AN548" s="19">
        <v>0</v>
      </c>
      <c r="AO548" s="19">
        <v>211.565217391304</v>
      </c>
      <c r="AP548" s="19">
        <v>1.738</v>
      </c>
      <c r="AQ548" s="19">
        <v>0</v>
      </c>
      <c r="AR548" s="19">
        <v>0</v>
      </c>
      <c r="AS548" s="19">
        <v>0</v>
      </c>
      <c r="AT548" s="19">
        <v>0</v>
      </c>
      <c r="AU548" s="19">
        <v>0</v>
      </c>
      <c r="AV548" s="19">
        <v>0</v>
      </c>
      <c r="AW548" s="19">
        <v>0</v>
      </c>
      <c r="AX548" s="19">
        <v>0</v>
      </c>
      <c r="AY548" s="19">
        <v>210.591304347826</v>
      </c>
      <c r="AZ548" s="19">
        <v>1.73</v>
      </c>
      <c r="BA548" s="19">
        <v>0</v>
      </c>
      <c r="BB548" s="19">
        <v>0</v>
      </c>
      <c r="BC548" s="19">
        <v>0</v>
      </c>
      <c r="BD548" s="19">
        <v>0</v>
      </c>
      <c r="BE548" s="19">
        <v>211.32173913043499</v>
      </c>
      <c r="BF548" s="19">
        <v>1.5189999999999999</v>
      </c>
      <c r="BG548" s="19">
        <v>721.47826086956502</v>
      </c>
      <c r="BH548" s="19">
        <v>5.1859999999999999</v>
      </c>
      <c r="BI548" s="19">
        <v>0</v>
      </c>
      <c r="BJ548" s="19">
        <v>0</v>
      </c>
      <c r="BK548" s="19">
        <v>203.539130434783</v>
      </c>
      <c r="BL548" s="19">
        <v>1.734</v>
      </c>
      <c r="BM548" s="19">
        <v>0</v>
      </c>
      <c r="BN548" s="19">
        <v>0</v>
      </c>
      <c r="BO548" s="19">
        <v>202.6</v>
      </c>
      <c r="BP548" s="19">
        <v>1.726</v>
      </c>
      <c r="BQ548" s="19">
        <v>0</v>
      </c>
      <c r="BR548" s="19">
        <v>0</v>
      </c>
      <c r="BS548" s="19">
        <v>0</v>
      </c>
      <c r="BT548" s="19">
        <v>0</v>
      </c>
      <c r="BU548" s="19">
        <v>0</v>
      </c>
      <c r="BV548" s="19">
        <v>0</v>
      </c>
      <c r="BW548" s="19">
        <v>0</v>
      </c>
      <c r="BX548" s="19">
        <v>0</v>
      </c>
      <c r="BY548" s="19">
        <v>0</v>
      </c>
      <c r="BZ548" s="19">
        <v>0</v>
      </c>
      <c r="CA548" s="19">
        <v>0</v>
      </c>
      <c r="CB548" s="19">
        <v>0</v>
      </c>
      <c r="CC548" s="19">
        <v>0</v>
      </c>
      <c r="CD548" s="19">
        <v>0</v>
      </c>
      <c r="CE548" s="19">
        <v>0</v>
      </c>
      <c r="CF548" s="19">
        <v>0</v>
      </c>
      <c r="CG548" s="19">
        <v>0</v>
      </c>
      <c r="CH548" s="19">
        <v>0</v>
      </c>
      <c r="CI548" s="19">
        <v>0</v>
      </c>
      <c r="CJ548" s="19">
        <v>0</v>
      </c>
      <c r="CK548" s="19">
        <v>0</v>
      </c>
      <c r="CL548" s="19">
        <v>0</v>
      </c>
      <c r="CM548" s="19">
        <v>0</v>
      </c>
      <c r="CN548" s="19">
        <v>0</v>
      </c>
      <c r="CO548" s="19">
        <v>0</v>
      </c>
      <c r="CP548" s="19">
        <v>0</v>
      </c>
      <c r="CQ548" s="19">
        <v>0</v>
      </c>
      <c r="CR548" s="19">
        <v>0</v>
      </c>
      <c r="CS548" s="19">
        <v>0</v>
      </c>
      <c r="CT548" s="19">
        <v>0</v>
      </c>
      <c r="CU548" s="19">
        <v>0</v>
      </c>
      <c r="CV548" s="19">
        <v>0</v>
      </c>
      <c r="CW548" s="19">
        <v>0</v>
      </c>
      <c r="CX548" s="19">
        <v>0</v>
      </c>
      <c r="CY548" s="19">
        <v>0</v>
      </c>
      <c r="CZ548" s="19">
        <v>0</v>
      </c>
      <c r="DA548" s="19">
        <v>0</v>
      </c>
      <c r="DB548" s="19">
        <v>0</v>
      </c>
      <c r="DC548" s="19">
        <v>0</v>
      </c>
      <c r="DD548" s="19">
        <v>0</v>
      </c>
      <c r="DE548" s="19">
        <v>0</v>
      </c>
      <c r="DF548" s="19">
        <v>0</v>
      </c>
      <c r="DG548" s="19">
        <v>0</v>
      </c>
      <c r="DH548" s="19">
        <v>0</v>
      </c>
      <c r="DI548" s="19">
        <v>0</v>
      </c>
      <c r="DJ548" s="19">
        <v>0</v>
      </c>
      <c r="DK548" s="19">
        <v>0</v>
      </c>
      <c r="DL548" s="19">
        <v>0</v>
      </c>
      <c r="DM548" s="19">
        <v>0</v>
      </c>
      <c r="DN548" s="19">
        <v>0</v>
      </c>
      <c r="DO548" s="19">
        <v>0</v>
      </c>
      <c r="DP548" s="19">
        <v>0</v>
      </c>
      <c r="DQ548" s="19">
        <v>0</v>
      </c>
      <c r="DR548" s="19">
        <v>0</v>
      </c>
      <c r="DS548" s="19">
        <v>0</v>
      </c>
      <c r="DT548" s="19">
        <v>0</v>
      </c>
      <c r="DU548" s="19">
        <v>0</v>
      </c>
      <c r="DV548" s="19">
        <v>0</v>
      </c>
      <c r="DW548" s="19">
        <v>0</v>
      </c>
      <c r="DX548" s="19">
        <v>0</v>
      </c>
      <c r="DY548" s="19">
        <v>0</v>
      </c>
      <c r="DZ548" s="19">
        <v>0</v>
      </c>
      <c r="EA548" s="19">
        <v>0</v>
      </c>
      <c r="EB548" s="19">
        <v>0</v>
      </c>
      <c r="EC548" s="19">
        <v>0</v>
      </c>
      <c r="ED548" s="19">
        <v>0</v>
      </c>
      <c r="EE548" s="19">
        <v>0</v>
      </c>
      <c r="EF548" s="19">
        <v>0</v>
      </c>
      <c r="EG548" s="19">
        <v>0</v>
      </c>
      <c r="EH548" s="19">
        <v>0</v>
      </c>
      <c r="EI548" s="19">
        <v>0</v>
      </c>
      <c r="EJ548" s="19">
        <v>0</v>
      </c>
      <c r="EK548" s="19">
        <v>0</v>
      </c>
      <c r="EL548" s="19">
        <v>0</v>
      </c>
      <c r="EM548" s="19">
        <v>0</v>
      </c>
      <c r="EN548" s="19">
        <v>0</v>
      </c>
      <c r="EO548" s="19">
        <v>0</v>
      </c>
      <c r="EP548" s="19">
        <v>0</v>
      </c>
      <c r="EQ548" s="19">
        <v>0</v>
      </c>
      <c r="ER548" s="19">
        <v>0</v>
      </c>
      <c r="ES548" s="119">
        <v>0</v>
      </c>
      <c r="ET548" s="119">
        <v>0</v>
      </c>
    </row>
    <row r="549" spans="1:150" ht="16.5" customHeight="1" x14ac:dyDescent="0.35">
      <c r="A549" s="4">
        <v>225</v>
      </c>
      <c r="B549" s="4" t="str">
        <f>LOOKUP(A549,Lookup!$A$1:$A$34,Lookup!$B$1:$B$34)</f>
        <v>ALL OFFAL</v>
      </c>
      <c r="C549" s="5">
        <v>51712</v>
      </c>
      <c r="D549" s="6" t="s">
        <v>522</v>
      </c>
      <c r="E549" s="18">
        <v>31.024739742804702</v>
      </c>
      <c r="F549" s="18">
        <v>0.24</v>
      </c>
      <c r="G549" s="18">
        <v>2202.7565217391302</v>
      </c>
      <c r="H549" s="18">
        <v>17.013000000000002</v>
      </c>
      <c r="I549" s="19">
        <v>0</v>
      </c>
      <c r="J549" s="19">
        <v>0</v>
      </c>
      <c r="K549" s="19">
        <v>0</v>
      </c>
      <c r="L549" s="19">
        <v>0</v>
      </c>
      <c r="M549" s="19">
        <v>0</v>
      </c>
      <c r="N549" s="19">
        <v>0</v>
      </c>
      <c r="O549" s="19">
        <v>0</v>
      </c>
      <c r="P549" s="19">
        <v>0</v>
      </c>
      <c r="Q549" s="19">
        <v>0</v>
      </c>
      <c r="R549" s="19">
        <v>0</v>
      </c>
      <c r="S549" s="19">
        <v>0</v>
      </c>
      <c r="T549" s="19">
        <v>0</v>
      </c>
      <c r="U549" s="19">
        <v>0</v>
      </c>
      <c r="V549" s="19">
        <v>0</v>
      </c>
      <c r="W549" s="19">
        <v>0</v>
      </c>
      <c r="X549" s="19">
        <v>0</v>
      </c>
      <c r="Y549" s="19">
        <v>0</v>
      </c>
      <c r="Z549" s="19">
        <v>0</v>
      </c>
      <c r="AA549" s="19">
        <v>0</v>
      </c>
      <c r="AB549" s="19">
        <v>0</v>
      </c>
      <c r="AC549" s="19">
        <v>0</v>
      </c>
      <c r="AD549" s="19">
        <v>0</v>
      </c>
      <c r="AE549" s="19">
        <v>0</v>
      </c>
      <c r="AF549" s="19">
        <v>0</v>
      </c>
      <c r="AG549" s="19">
        <v>0</v>
      </c>
      <c r="AH549" s="19">
        <v>0</v>
      </c>
      <c r="AI549" s="19">
        <v>0</v>
      </c>
      <c r="AJ549" s="19">
        <v>0</v>
      </c>
      <c r="AK549" s="19">
        <v>0</v>
      </c>
      <c r="AL549" s="19">
        <v>0</v>
      </c>
      <c r="AM549" s="19">
        <v>0</v>
      </c>
      <c r="AN549" s="19">
        <v>0</v>
      </c>
      <c r="AO549" s="19">
        <v>0</v>
      </c>
      <c r="AP549" s="19">
        <v>0</v>
      </c>
      <c r="AQ549" s="19">
        <v>0</v>
      </c>
      <c r="AR549" s="19">
        <v>0</v>
      </c>
      <c r="AS549" s="19">
        <v>0</v>
      </c>
      <c r="AT549" s="19">
        <v>0</v>
      </c>
      <c r="AU549" s="19">
        <v>0</v>
      </c>
      <c r="AV549" s="19">
        <v>0</v>
      </c>
      <c r="AW549" s="19">
        <v>0</v>
      </c>
      <c r="AX549" s="19">
        <v>0</v>
      </c>
      <c r="AY549" s="19">
        <v>0</v>
      </c>
      <c r="AZ549" s="19">
        <v>0</v>
      </c>
      <c r="BA549" s="19">
        <v>0</v>
      </c>
      <c r="BB549" s="19">
        <v>0</v>
      </c>
      <c r="BC549" s="19">
        <v>0</v>
      </c>
      <c r="BD549" s="19">
        <v>0</v>
      </c>
      <c r="BE549" s="19">
        <v>0</v>
      </c>
      <c r="BF549" s="19">
        <v>0</v>
      </c>
      <c r="BG549" s="19">
        <v>0</v>
      </c>
      <c r="BH549" s="19">
        <v>0</v>
      </c>
      <c r="BI549" s="19">
        <v>0</v>
      </c>
      <c r="BJ549" s="19">
        <v>0</v>
      </c>
      <c r="BK549" s="19">
        <v>0</v>
      </c>
      <c r="BL549" s="19">
        <v>0</v>
      </c>
      <c r="BM549" s="19">
        <v>0</v>
      </c>
      <c r="BN549" s="19">
        <v>0</v>
      </c>
      <c r="BO549" s="19">
        <v>145.79130434782601</v>
      </c>
      <c r="BP549" s="19">
        <v>1.242</v>
      </c>
      <c r="BQ549" s="19">
        <v>144.61739130434799</v>
      </c>
      <c r="BR549" s="19">
        <v>1.109</v>
      </c>
      <c r="BS549" s="19">
        <v>581.05217391304302</v>
      </c>
      <c r="BT549" s="19">
        <v>4.4550000000000001</v>
      </c>
      <c r="BU549" s="19">
        <v>144.147826086957</v>
      </c>
      <c r="BV549" s="19">
        <v>1.105</v>
      </c>
      <c r="BW549" s="19">
        <v>0</v>
      </c>
      <c r="BX549" s="19">
        <v>0</v>
      </c>
      <c r="BY549" s="19">
        <v>0</v>
      </c>
      <c r="BZ549" s="19">
        <v>0</v>
      </c>
      <c r="CA549" s="19">
        <v>0</v>
      </c>
      <c r="CB549" s="19">
        <v>0</v>
      </c>
      <c r="CC549" s="19">
        <v>0</v>
      </c>
      <c r="CD549" s="19">
        <v>0</v>
      </c>
      <c r="CE549" s="19">
        <v>0</v>
      </c>
      <c r="CF549" s="19">
        <v>0</v>
      </c>
      <c r="CG549" s="19">
        <v>318.24347826087001</v>
      </c>
      <c r="CH549" s="19">
        <v>2.44</v>
      </c>
      <c r="CI549" s="19">
        <v>0</v>
      </c>
      <c r="CJ549" s="19">
        <v>0</v>
      </c>
      <c r="CK549" s="19">
        <v>161.20869565217399</v>
      </c>
      <c r="CL549" s="19">
        <v>1.236</v>
      </c>
      <c r="CM549" s="19">
        <v>0</v>
      </c>
      <c r="CN549" s="19">
        <v>0</v>
      </c>
      <c r="CO549" s="19">
        <v>0</v>
      </c>
      <c r="CP549" s="19">
        <v>0</v>
      </c>
      <c r="CQ549" s="19">
        <v>0</v>
      </c>
      <c r="CR549" s="19">
        <v>0</v>
      </c>
      <c r="CS549" s="19">
        <v>320.06956521739102</v>
      </c>
      <c r="CT549" s="19">
        <v>2.4540000000000002</v>
      </c>
      <c r="CU549" s="19">
        <v>0</v>
      </c>
      <c r="CV549" s="19">
        <v>0</v>
      </c>
      <c r="CW549" s="19">
        <v>161.991304347826</v>
      </c>
      <c r="CX549" s="19">
        <v>1.242</v>
      </c>
      <c r="CY549" s="19">
        <v>225.63478260869601</v>
      </c>
      <c r="CZ549" s="19">
        <v>1.73</v>
      </c>
      <c r="DA549" s="19">
        <v>0</v>
      </c>
      <c r="DB549" s="19">
        <v>0</v>
      </c>
      <c r="DC549" s="19">
        <v>0</v>
      </c>
      <c r="DD549" s="19">
        <v>0</v>
      </c>
      <c r="DE549" s="19">
        <v>0</v>
      </c>
      <c r="DF549" s="19">
        <v>0</v>
      </c>
      <c r="DG549" s="19">
        <v>0</v>
      </c>
      <c r="DH549" s="19">
        <v>0</v>
      </c>
      <c r="DI549" s="19">
        <v>0</v>
      </c>
      <c r="DJ549" s="19">
        <v>0</v>
      </c>
      <c r="DK549" s="19">
        <v>0</v>
      </c>
      <c r="DL549" s="19">
        <v>0</v>
      </c>
      <c r="DM549" s="19">
        <v>0</v>
      </c>
      <c r="DN549" s="19">
        <v>0</v>
      </c>
      <c r="DO549" s="19">
        <v>0</v>
      </c>
      <c r="DP549" s="19">
        <v>0</v>
      </c>
      <c r="DQ549" s="19">
        <v>0</v>
      </c>
      <c r="DR549" s="19">
        <v>0</v>
      </c>
      <c r="DS549" s="19">
        <v>0</v>
      </c>
      <c r="DT549" s="19">
        <v>0</v>
      </c>
      <c r="DU549" s="19">
        <v>0</v>
      </c>
      <c r="DV549" s="19">
        <v>0</v>
      </c>
      <c r="DW549" s="19">
        <v>0</v>
      </c>
      <c r="DX549" s="19">
        <v>0</v>
      </c>
      <c r="DY549" s="19">
        <v>0</v>
      </c>
      <c r="DZ549" s="19">
        <v>0</v>
      </c>
      <c r="EA549" s="19">
        <v>0</v>
      </c>
      <c r="EB549" s="19">
        <v>0</v>
      </c>
      <c r="EC549" s="19">
        <v>0</v>
      </c>
      <c r="ED549" s="19">
        <v>0</v>
      </c>
      <c r="EE549" s="19">
        <v>0</v>
      </c>
      <c r="EF549" s="19">
        <v>0</v>
      </c>
      <c r="EG549" s="19">
        <v>0</v>
      </c>
      <c r="EH549" s="19">
        <v>0</v>
      </c>
      <c r="EI549" s="19">
        <v>0</v>
      </c>
      <c r="EJ549" s="19">
        <v>0</v>
      </c>
      <c r="EK549" s="19">
        <v>0</v>
      </c>
      <c r="EL549" s="19">
        <v>0</v>
      </c>
      <c r="EM549" s="19">
        <v>0</v>
      </c>
      <c r="EN549" s="19">
        <v>0</v>
      </c>
      <c r="EO549" s="19">
        <v>0</v>
      </c>
      <c r="EP549" s="19">
        <v>0</v>
      </c>
      <c r="EQ549" s="19">
        <v>0</v>
      </c>
      <c r="ER549" s="19">
        <v>0</v>
      </c>
      <c r="ES549" s="119">
        <v>0</v>
      </c>
      <c r="ET549" s="119">
        <v>0</v>
      </c>
    </row>
    <row r="550" spans="1:150" ht="16.5" customHeight="1" x14ac:dyDescent="0.35">
      <c r="A550" s="4">
        <v>226</v>
      </c>
      <c r="B550" s="4" t="str">
        <f>LOOKUP(A550,Lookup!$A$1:$A$34,Lookup!$B$1:$B$34)</f>
        <v>PORK</v>
      </c>
      <c r="C550" s="5">
        <v>41083</v>
      </c>
      <c r="D550" s="6" t="s">
        <v>523</v>
      </c>
      <c r="E550" s="18">
        <v>0</v>
      </c>
      <c r="F550" s="18">
        <v>0</v>
      </c>
      <c r="G550" s="18">
        <v>0</v>
      </c>
      <c r="H550" s="18">
        <v>0</v>
      </c>
      <c r="I550" s="19">
        <v>0</v>
      </c>
      <c r="J550" s="19">
        <v>0</v>
      </c>
      <c r="K550" s="19">
        <v>0</v>
      </c>
      <c r="L550" s="19">
        <v>0</v>
      </c>
      <c r="M550" s="19">
        <v>0</v>
      </c>
      <c r="N550" s="19">
        <v>0</v>
      </c>
      <c r="O550" s="19">
        <v>0</v>
      </c>
      <c r="P550" s="19">
        <v>0</v>
      </c>
      <c r="Q550" s="19">
        <v>0</v>
      </c>
      <c r="R550" s="19">
        <v>0</v>
      </c>
      <c r="S550" s="19">
        <v>0</v>
      </c>
      <c r="T550" s="19">
        <v>0</v>
      </c>
      <c r="U550" s="19">
        <v>0</v>
      </c>
      <c r="V550" s="19">
        <v>0</v>
      </c>
      <c r="W550" s="19">
        <v>0</v>
      </c>
      <c r="X550" s="19">
        <v>0</v>
      </c>
      <c r="Y550" s="19">
        <v>0</v>
      </c>
      <c r="Z550" s="19">
        <v>0</v>
      </c>
      <c r="AA550" s="19">
        <v>0</v>
      </c>
      <c r="AB550" s="19">
        <v>0</v>
      </c>
      <c r="AC550" s="19">
        <v>0</v>
      </c>
      <c r="AD550" s="19">
        <v>0</v>
      </c>
      <c r="AE550" s="19">
        <v>0</v>
      </c>
      <c r="AF550" s="19">
        <v>0</v>
      </c>
      <c r="AG550" s="19">
        <v>0</v>
      </c>
      <c r="AH550" s="19">
        <v>0</v>
      </c>
      <c r="AI550" s="19">
        <v>0</v>
      </c>
      <c r="AJ550" s="19">
        <v>0</v>
      </c>
      <c r="AK550" s="19">
        <v>0</v>
      </c>
      <c r="AL550" s="19">
        <v>0</v>
      </c>
      <c r="AM550" s="19">
        <v>0</v>
      </c>
      <c r="AN550" s="19">
        <v>0</v>
      </c>
      <c r="AO550" s="19">
        <v>0</v>
      </c>
      <c r="AP550" s="19">
        <v>0</v>
      </c>
      <c r="AQ550" s="19">
        <v>0</v>
      </c>
      <c r="AR550" s="19">
        <v>0</v>
      </c>
      <c r="AS550" s="19">
        <v>0</v>
      </c>
      <c r="AT550" s="19">
        <v>0</v>
      </c>
      <c r="AU550" s="19">
        <v>0</v>
      </c>
      <c r="AV550" s="19">
        <v>0</v>
      </c>
      <c r="AW550" s="19">
        <v>0</v>
      </c>
      <c r="AX550" s="19">
        <v>0</v>
      </c>
      <c r="AY550" s="19">
        <v>0</v>
      </c>
      <c r="AZ550" s="19">
        <v>0</v>
      </c>
      <c r="BA550" s="19">
        <v>0</v>
      </c>
      <c r="BB550" s="19">
        <v>0</v>
      </c>
      <c r="BC550" s="19">
        <v>0</v>
      </c>
      <c r="BD550" s="19">
        <v>0</v>
      </c>
      <c r="BE550" s="19">
        <v>0</v>
      </c>
      <c r="BF550" s="19">
        <v>0</v>
      </c>
      <c r="BG550" s="19">
        <v>0</v>
      </c>
      <c r="BH550" s="19">
        <v>0</v>
      </c>
      <c r="BI550" s="19">
        <v>0</v>
      </c>
      <c r="BJ550" s="19">
        <v>0</v>
      </c>
      <c r="BK550" s="19">
        <v>0</v>
      </c>
      <c r="BL550" s="19">
        <v>0</v>
      </c>
      <c r="BM550" s="19">
        <v>0</v>
      </c>
      <c r="BN550" s="19">
        <v>0</v>
      </c>
      <c r="BO550" s="19">
        <v>0</v>
      </c>
      <c r="BP550" s="19">
        <v>0</v>
      </c>
      <c r="BQ550" s="19">
        <v>0</v>
      </c>
      <c r="BR550" s="19">
        <v>0</v>
      </c>
      <c r="BS550" s="19">
        <v>0</v>
      </c>
      <c r="BT550" s="19">
        <v>0</v>
      </c>
      <c r="BU550" s="19">
        <v>0</v>
      </c>
      <c r="BV550" s="19">
        <v>0</v>
      </c>
      <c r="BW550" s="19">
        <v>0</v>
      </c>
      <c r="BX550" s="19">
        <v>0</v>
      </c>
      <c r="BY550" s="19">
        <v>0</v>
      </c>
      <c r="BZ550" s="19">
        <v>0</v>
      </c>
      <c r="CA550" s="19">
        <v>0</v>
      </c>
      <c r="CB550" s="19">
        <v>0</v>
      </c>
      <c r="CC550" s="19">
        <v>0</v>
      </c>
      <c r="CD550" s="19">
        <v>0</v>
      </c>
      <c r="CE550" s="19">
        <v>0</v>
      </c>
      <c r="CF550" s="19">
        <v>0</v>
      </c>
      <c r="CG550" s="19">
        <v>0</v>
      </c>
      <c r="CH550" s="19">
        <v>0</v>
      </c>
      <c r="CI550" s="19">
        <v>0</v>
      </c>
      <c r="CJ550" s="19">
        <v>0</v>
      </c>
      <c r="CK550" s="19">
        <v>0</v>
      </c>
      <c r="CL550" s="19">
        <v>0</v>
      </c>
      <c r="CM550" s="19">
        <v>0</v>
      </c>
      <c r="CN550" s="19">
        <v>0</v>
      </c>
      <c r="CO550" s="19">
        <v>0</v>
      </c>
      <c r="CP550" s="19">
        <v>0</v>
      </c>
      <c r="CQ550" s="19">
        <v>0</v>
      </c>
      <c r="CR550" s="19">
        <v>0</v>
      </c>
      <c r="CS550" s="19">
        <v>0</v>
      </c>
      <c r="CT550" s="19">
        <v>0</v>
      </c>
      <c r="CU550" s="19">
        <v>0</v>
      </c>
      <c r="CV550" s="19">
        <v>0</v>
      </c>
      <c r="CW550" s="19">
        <v>0</v>
      </c>
      <c r="CX550" s="19">
        <v>0</v>
      </c>
      <c r="CY550" s="19">
        <v>0</v>
      </c>
      <c r="CZ550" s="19">
        <v>0</v>
      </c>
      <c r="DA550" s="19">
        <v>0</v>
      </c>
      <c r="DB550" s="19">
        <v>0</v>
      </c>
      <c r="DC550" s="19">
        <v>0</v>
      </c>
      <c r="DD550" s="19">
        <v>0</v>
      </c>
      <c r="DE550" s="19">
        <v>0</v>
      </c>
      <c r="DF550" s="19">
        <v>0</v>
      </c>
      <c r="DG550" s="19">
        <v>0</v>
      </c>
      <c r="DH550" s="19">
        <v>0</v>
      </c>
      <c r="DI550" s="19">
        <v>0</v>
      </c>
      <c r="DJ550" s="19">
        <v>0</v>
      </c>
      <c r="DK550" s="19">
        <v>0</v>
      </c>
      <c r="DL550" s="19">
        <v>0</v>
      </c>
      <c r="DM550" s="19">
        <v>0</v>
      </c>
      <c r="DN550" s="19">
        <v>0</v>
      </c>
      <c r="DO550" s="19">
        <v>0</v>
      </c>
      <c r="DP550" s="19">
        <v>0</v>
      </c>
      <c r="DQ550" s="19">
        <v>0</v>
      </c>
      <c r="DR550" s="19">
        <v>0</v>
      </c>
      <c r="DS550" s="19">
        <v>0</v>
      </c>
      <c r="DT550" s="19">
        <v>0</v>
      </c>
      <c r="DU550" s="19">
        <v>0</v>
      </c>
      <c r="DV550" s="19">
        <v>0</v>
      </c>
      <c r="DW550" s="19">
        <v>0</v>
      </c>
      <c r="DX550" s="19">
        <v>0</v>
      </c>
      <c r="DY550" s="19">
        <v>0</v>
      </c>
      <c r="DZ550" s="19">
        <v>0</v>
      </c>
      <c r="EA550" s="19">
        <v>0</v>
      </c>
      <c r="EB550" s="19">
        <v>0</v>
      </c>
      <c r="EC550" s="19">
        <v>0</v>
      </c>
      <c r="ED550" s="19">
        <v>0</v>
      </c>
      <c r="EE550" s="19">
        <v>0</v>
      </c>
      <c r="EF550" s="19">
        <v>0</v>
      </c>
      <c r="EG550" s="19">
        <v>0</v>
      </c>
      <c r="EH550" s="19">
        <v>0</v>
      </c>
      <c r="EI550" s="19">
        <v>0</v>
      </c>
      <c r="EJ550" s="19">
        <v>0</v>
      </c>
      <c r="EK550" s="19">
        <v>0</v>
      </c>
      <c r="EL550" s="19">
        <v>0</v>
      </c>
      <c r="EM550" s="19">
        <v>0</v>
      </c>
      <c r="EN550" s="19">
        <v>0</v>
      </c>
      <c r="EO550" s="19">
        <v>0</v>
      </c>
      <c r="EP550" s="19">
        <v>0</v>
      </c>
      <c r="EQ550" s="19">
        <v>0</v>
      </c>
      <c r="ER550" s="19">
        <v>0</v>
      </c>
      <c r="ES550" s="119">
        <v>0</v>
      </c>
      <c r="ET550" s="119">
        <v>0</v>
      </c>
    </row>
    <row r="551" spans="1:150" ht="16.5" customHeight="1" x14ac:dyDescent="0.35">
      <c r="A551" s="4">
        <v>229</v>
      </c>
      <c r="B551" s="4" t="str">
        <f>LOOKUP(A551,Lookup!$A$1:$A$34,Lookup!$B$1:$B$34)</f>
        <v>INGREDIENTS</v>
      </c>
      <c r="C551" s="5">
        <v>62559</v>
      </c>
      <c r="D551" s="6" t="s">
        <v>524</v>
      </c>
      <c r="E551" s="18">
        <v>0</v>
      </c>
      <c r="F551" s="18">
        <v>0</v>
      </c>
      <c r="G551" s="18">
        <v>0</v>
      </c>
      <c r="H551" s="18">
        <v>0</v>
      </c>
      <c r="I551" s="19">
        <v>0</v>
      </c>
      <c r="J551" s="19">
        <v>0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19">
        <v>0</v>
      </c>
      <c r="S551" s="19">
        <v>0</v>
      </c>
      <c r="T551" s="19">
        <v>0</v>
      </c>
      <c r="U551" s="19">
        <v>0</v>
      </c>
      <c r="V551" s="19">
        <v>0</v>
      </c>
      <c r="W551" s="19">
        <v>0</v>
      </c>
      <c r="X551" s="19">
        <v>0</v>
      </c>
      <c r="Y551" s="19">
        <v>0</v>
      </c>
      <c r="Z551" s="19">
        <v>0</v>
      </c>
      <c r="AA551" s="19">
        <v>0</v>
      </c>
      <c r="AB551" s="19">
        <v>0</v>
      </c>
      <c r="AC551" s="19">
        <v>0</v>
      </c>
      <c r="AD551" s="19">
        <v>0</v>
      </c>
      <c r="AE551" s="19">
        <v>0</v>
      </c>
      <c r="AF551" s="19">
        <v>0</v>
      </c>
      <c r="AG551" s="19">
        <v>0</v>
      </c>
      <c r="AH551" s="19">
        <v>0</v>
      </c>
      <c r="AI551" s="19">
        <v>0</v>
      </c>
      <c r="AJ551" s="19">
        <v>0</v>
      </c>
      <c r="AK551" s="19">
        <v>0</v>
      </c>
      <c r="AL551" s="19">
        <v>0</v>
      </c>
      <c r="AM551" s="19">
        <v>0</v>
      </c>
      <c r="AN551" s="19">
        <v>0</v>
      </c>
      <c r="AO551" s="19">
        <v>0</v>
      </c>
      <c r="AP551" s="19">
        <v>0</v>
      </c>
      <c r="AQ551" s="19">
        <v>0</v>
      </c>
      <c r="AR551" s="19">
        <v>0</v>
      </c>
      <c r="AS551" s="19">
        <v>0</v>
      </c>
      <c r="AT551" s="19">
        <v>0</v>
      </c>
      <c r="AU551" s="19">
        <v>0</v>
      </c>
      <c r="AV551" s="19">
        <v>0</v>
      </c>
      <c r="AW551" s="19">
        <v>0</v>
      </c>
      <c r="AX551" s="19">
        <v>0</v>
      </c>
      <c r="AY551" s="19">
        <v>0</v>
      </c>
      <c r="AZ551" s="19">
        <v>0</v>
      </c>
      <c r="BA551" s="19">
        <v>0</v>
      </c>
      <c r="BB551" s="19">
        <v>0</v>
      </c>
      <c r="BC551" s="19">
        <v>0</v>
      </c>
      <c r="BD551" s="19">
        <v>0</v>
      </c>
      <c r="BE551" s="19">
        <v>0</v>
      </c>
      <c r="BF551" s="19">
        <v>0</v>
      </c>
      <c r="BG551" s="19">
        <v>0</v>
      </c>
      <c r="BH551" s="19">
        <v>0</v>
      </c>
      <c r="BI551" s="19">
        <v>0</v>
      </c>
      <c r="BJ551" s="19">
        <v>0</v>
      </c>
      <c r="BK551" s="19">
        <v>0</v>
      </c>
      <c r="BL551" s="19">
        <v>0</v>
      </c>
      <c r="BM551" s="19">
        <v>0</v>
      </c>
      <c r="BN551" s="19">
        <v>0</v>
      </c>
      <c r="BO551" s="19">
        <v>0</v>
      </c>
      <c r="BP551" s="19">
        <v>0</v>
      </c>
      <c r="BQ551" s="19">
        <v>0</v>
      </c>
      <c r="BR551" s="19">
        <v>0</v>
      </c>
      <c r="BS551" s="19">
        <v>0</v>
      </c>
      <c r="BT551" s="19">
        <v>0</v>
      </c>
      <c r="BU551" s="19">
        <v>0</v>
      </c>
      <c r="BV551" s="19">
        <v>0</v>
      </c>
      <c r="BW551" s="19">
        <v>0</v>
      </c>
      <c r="BX551" s="19">
        <v>0</v>
      </c>
      <c r="BY551" s="19">
        <v>0</v>
      </c>
      <c r="BZ551" s="19">
        <v>0</v>
      </c>
      <c r="CA551" s="19">
        <v>0</v>
      </c>
      <c r="CB551" s="19">
        <v>0</v>
      </c>
      <c r="CC551" s="19">
        <v>0</v>
      </c>
      <c r="CD551" s="19">
        <v>0</v>
      </c>
      <c r="CE551" s="19">
        <v>0</v>
      </c>
      <c r="CF551" s="19">
        <v>0</v>
      </c>
      <c r="CG551" s="19">
        <v>0</v>
      </c>
      <c r="CH551" s="19">
        <v>0</v>
      </c>
      <c r="CI551" s="19">
        <v>0</v>
      </c>
      <c r="CJ551" s="19">
        <v>0</v>
      </c>
      <c r="CK551" s="19">
        <v>0</v>
      </c>
      <c r="CL551" s="19">
        <v>0</v>
      </c>
      <c r="CM551" s="19">
        <v>0</v>
      </c>
      <c r="CN551" s="19">
        <v>0</v>
      </c>
      <c r="CO551" s="19">
        <v>0</v>
      </c>
      <c r="CP551" s="19">
        <v>0</v>
      </c>
      <c r="CQ551" s="19">
        <v>0</v>
      </c>
      <c r="CR551" s="19">
        <v>0</v>
      </c>
      <c r="CS551" s="19">
        <v>0</v>
      </c>
      <c r="CT551" s="19">
        <v>0</v>
      </c>
      <c r="CU551" s="19">
        <v>0</v>
      </c>
      <c r="CV551" s="19">
        <v>0</v>
      </c>
      <c r="CW551" s="19">
        <v>0</v>
      </c>
      <c r="CX551" s="19">
        <v>0</v>
      </c>
      <c r="CY551" s="19">
        <v>0</v>
      </c>
      <c r="CZ551" s="19">
        <v>0</v>
      </c>
      <c r="DA551" s="19">
        <v>0</v>
      </c>
      <c r="DB551" s="19">
        <v>0</v>
      </c>
      <c r="DC551" s="19">
        <v>0</v>
      </c>
      <c r="DD551" s="19">
        <v>0</v>
      </c>
      <c r="DE551" s="19">
        <v>0</v>
      </c>
      <c r="DF551" s="19">
        <v>0</v>
      </c>
      <c r="DG551" s="19">
        <v>0</v>
      </c>
      <c r="DH551" s="19">
        <v>0</v>
      </c>
      <c r="DI551" s="19">
        <v>0</v>
      </c>
      <c r="DJ551" s="19">
        <v>0</v>
      </c>
      <c r="DK551" s="19">
        <v>0</v>
      </c>
      <c r="DL551" s="19">
        <v>0</v>
      </c>
      <c r="DM551" s="19">
        <v>0</v>
      </c>
      <c r="DN551" s="19">
        <v>0</v>
      </c>
      <c r="DO551" s="19">
        <v>0</v>
      </c>
      <c r="DP551" s="19">
        <v>0</v>
      </c>
      <c r="DQ551" s="19">
        <v>0</v>
      </c>
      <c r="DR551" s="19">
        <v>0</v>
      </c>
      <c r="DS551" s="19">
        <v>0</v>
      </c>
      <c r="DT551" s="19">
        <v>0</v>
      </c>
      <c r="DU551" s="19">
        <v>0</v>
      </c>
      <c r="DV551" s="19">
        <v>0</v>
      </c>
      <c r="DW551" s="19">
        <v>0</v>
      </c>
      <c r="DX551" s="19">
        <v>0</v>
      </c>
      <c r="DY551" s="19">
        <v>0</v>
      </c>
      <c r="DZ551" s="19">
        <v>0</v>
      </c>
      <c r="EA551" s="19">
        <v>0</v>
      </c>
      <c r="EB551" s="19">
        <v>0</v>
      </c>
      <c r="EC551" s="19">
        <v>0</v>
      </c>
      <c r="ED551" s="19">
        <v>0</v>
      </c>
      <c r="EE551" s="19">
        <v>0</v>
      </c>
      <c r="EF551" s="19">
        <v>0</v>
      </c>
      <c r="EG551" s="19">
        <v>0</v>
      </c>
      <c r="EH551" s="19">
        <v>0</v>
      </c>
      <c r="EI551" s="19">
        <v>0</v>
      </c>
      <c r="EJ551" s="19">
        <v>0</v>
      </c>
      <c r="EK551" s="19">
        <v>0</v>
      </c>
      <c r="EL551" s="19">
        <v>0</v>
      </c>
      <c r="EM551" s="19">
        <v>0</v>
      </c>
      <c r="EN551" s="19">
        <v>0</v>
      </c>
      <c r="EO551" s="19">
        <v>0</v>
      </c>
      <c r="EP551" s="19">
        <v>0</v>
      </c>
      <c r="EQ551" s="19">
        <v>0</v>
      </c>
      <c r="ER551" s="19">
        <v>0</v>
      </c>
      <c r="ES551" s="119">
        <v>0</v>
      </c>
      <c r="ET551" s="119">
        <v>0</v>
      </c>
    </row>
    <row r="552" spans="1:150" ht="16.5" customHeight="1" x14ac:dyDescent="0.35">
      <c r="A552" s="4">
        <v>229</v>
      </c>
      <c r="B552" s="4" t="str">
        <f>LOOKUP(A552,Lookup!$A$1:$A$34,Lookup!$B$1:$B$34)</f>
        <v>INGREDIENTS</v>
      </c>
      <c r="C552" s="5">
        <v>62560</v>
      </c>
      <c r="D552" s="6" t="s">
        <v>525</v>
      </c>
      <c r="E552" s="18">
        <v>0</v>
      </c>
      <c r="F552" s="18">
        <v>0</v>
      </c>
      <c r="G552" s="18">
        <v>0</v>
      </c>
      <c r="H552" s="18">
        <v>0</v>
      </c>
      <c r="I552" s="19">
        <v>0</v>
      </c>
      <c r="J552" s="19">
        <v>0</v>
      </c>
      <c r="K552" s="19">
        <v>0</v>
      </c>
      <c r="L552" s="19">
        <v>0</v>
      </c>
      <c r="M552" s="19">
        <v>0</v>
      </c>
      <c r="N552" s="19">
        <v>0</v>
      </c>
      <c r="O552" s="19">
        <v>0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 s="19">
        <v>0</v>
      </c>
      <c r="AD552" s="19">
        <v>0</v>
      </c>
      <c r="AE552" s="19">
        <v>0</v>
      </c>
      <c r="AF552" s="19">
        <v>0</v>
      </c>
      <c r="AG552" s="19">
        <v>0</v>
      </c>
      <c r="AH552" s="19">
        <v>0</v>
      </c>
      <c r="AI552" s="19">
        <v>0</v>
      </c>
      <c r="AJ552" s="19">
        <v>0</v>
      </c>
      <c r="AK552" s="19">
        <v>0</v>
      </c>
      <c r="AL552" s="19">
        <v>0</v>
      </c>
      <c r="AM552" s="19">
        <v>0</v>
      </c>
      <c r="AN552" s="19">
        <v>0</v>
      </c>
      <c r="AO552" s="19">
        <v>0</v>
      </c>
      <c r="AP552" s="19">
        <v>0</v>
      </c>
      <c r="AQ552" s="19">
        <v>0</v>
      </c>
      <c r="AR552" s="19">
        <v>0</v>
      </c>
      <c r="AS552" s="19">
        <v>0</v>
      </c>
      <c r="AT552" s="19">
        <v>0</v>
      </c>
      <c r="AU552" s="19">
        <v>0</v>
      </c>
      <c r="AV552" s="19">
        <v>0</v>
      </c>
      <c r="AW552" s="19">
        <v>0</v>
      </c>
      <c r="AX552" s="19">
        <v>0</v>
      </c>
      <c r="AY552" s="19">
        <v>0</v>
      </c>
      <c r="AZ552" s="19">
        <v>0</v>
      </c>
      <c r="BA552" s="19">
        <v>0</v>
      </c>
      <c r="BB552" s="19">
        <v>0</v>
      </c>
      <c r="BC552" s="19">
        <v>0</v>
      </c>
      <c r="BD552" s="19">
        <v>0</v>
      </c>
      <c r="BE552" s="19">
        <v>0</v>
      </c>
      <c r="BF552" s="19">
        <v>0</v>
      </c>
      <c r="BG552" s="19">
        <v>0</v>
      </c>
      <c r="BH552" s="19">
        <v>0</v>
      </c>
      <c r="BI552" s="19">
        <v>0</v>
      </c>
      <c r="BJ552" s="19">
        <v>0</v>
      </c>
      <c r="BK552" s="19">
        <v>0</v>
      </c>
      <c r="BL552" s="19">
        <v>0</v>
      </c>
      <c r="BM552" s="19">
        <v>0</v>
      </c>
      <c r="BN552" s="19">
        <v>0</v>
      </c>
      <c r="BO552" s="19">
        <v>0</v>
      </c>
      <c r="BP552" s="19">
        <v>0</v>
      </c>
      <c r="BQ552" s="19">
        <v>0</v>
      </c>
      <c r="BR552" s="19">
        <v>0</v>
      </c>
      <c r="BS552" s="19">
        <v>0</v>
      </c>
      <c r="BT552" s="19">
        <v>0</v>
      </c>
      <c r="BU552" s="19">
        <v>0</v>
      </c>
      <c r="BV552" s="19">
        <v>0</v>
      </c>
      <c r="BW552" s="19">
        <v>0</v>
      </c>
      <c r="BX552" s="19">
        <v>0</v>
      </c>
      <c r="BY552" s="19">
        <v>0</v>
      </c>
      <c r="BZ552" s="19">
        <v>0</v>
      </c>
      <c r="CA552" s="19">
        <v>0</v>
      </c>
      <c r="CB552" s="19">
        <v>0</v>
      </c>
      <c r="CC552" s="19">
        <v>0</v>
      </c>
      <c r="CD552" s="19">
        <v>0</v>
      </c>
      <c r="CE552" s="19">
        <v>0</v>
      </c>
      <c r="CF552" s="19">
        <v>0</v>
      </c>
      <c r="CG552" s="19">
        <v>0</v>
      </c>
      <c r="CH552" s="19">
        <v>0</v>
      </c>
      <c r="CI552" s="19">
        <v>0</v>
      </c>
      <c r="CJ552" s="19">
        <v>0</v>
      </c>
      <c r="CK552" s="19">
        <v>0</v>
      </c>
      <c r="CL552" s="19">
        <v>0</v>
      </c>
      <c r="CM552" s="19">
        <v>0</v>
      </c>
      <c r="CN552" s="19">
        <v>0</v>
      </c>
      <c r="CO552" s="19">
        <v>0</v>
      </c>
      <c r="CP552" s="19">
        <v>0</v>
      </c>
      <c r="CQ552" s="19">
        <v>0</v>
      </c>
      <c r="CR552" s="19">
        <v>0</v>
      </c>
      <c r="CS552" s="19">
        <v>0</v>
      </c>
      <c r="CT552" s="19">
        <v>0</v>
      </c>
      <c r="CU552" s="19">
        <v>0</v>
      </c>
      <c r="CV552" s="19">
        <v>0</v>
      </c>
      <c r="CW552" s="19">
        <v>0</v>
      </c>
      <c r="CX552" s="19">
        <v>0</v>
      </c>
      <c r="CY552" s="19">
        <v>0</v>
      </c>
      <c r="CZ552" s="19">
        <v>0</v>
      </c>
      <c r="DA552" s="19">
        <v>0</v>
      </c>
      <c r="DB552" s="19">
        <v>0</v>
      </c>
      <c r="DC552" s="19">
        <v>0</v>
      </c>
      <c r="DD552" s="19">
        <v>0</v>
      </c>
      <c r="DE552" s="19">
        <v>0</v>
      </c>
      <c r="DF552" s="19">
        <v>0</v>
      </c>
      <c r="DG552" s="19">
        <v>0</v>
      </c>
      <c r="DH552" s="19">
        <v>0</v>
      </c>
      <c r="DI552" s="19">
        <v>0</v>
      </c>
      <c r="DJ552" s="19">
        <v>0</v>
      </c>
      <c r="DK552" s="19">
        <v>0</v>
      </c>
      <c r="DL552" s="19">
        <v>0</v>
      </c>
      <c r="DM552" s="19">
        <v>0</v>
      </c>
      <c r="DN552" s="19">
        <v>0</v>
      </c>
      <c r="DO552" s="19">
        <v>0</v>
      </c>
      <c r="DP552" s="19">
        <v>0</v>
      </c>
      <c r="DQ552" s="19">
        <v>0</v>
      </c>
      <c r="DR552" s="19">
        <v>0</v>
      </c>
      <c r="DS552" s="19">
        <v>0</v>
      </c>
      <c r="DT552" s="19">
        <v>0</v>
      </c>
      <c r="DU552" s="19">
        <v>0</v>
      </c>
      <c r="DV552" s="19">
        <v>0</v>
      </c>
      <c r="DW552" s="19">
        <v>0</v>
      </c>
      <c r="DX552" s="19">
        <v>0</v>
      </c>
      <c r="DY552" s="19">
        <v>0</v>
      </c>
      <c r="DZ552" s="19">
        <v>0</v>
      </c>
      <c r="EA552" s="19">
        <v>0</v>
      </c>
      <c r="EB552" s="19">
        <v>0</v>
      </c>
      <c r="EC552" s="19">
        <v>0</v>
      </c>
      <c r="ED552" s="19">
        <v>0</v>
      </c>
      <c r="EE552" s="19">
        <v>0</v>
      </c>
      <c r="EF552" s="19">
        <v>0</v>
      </c>
      <c r="EG552" s="19">
        <v>0</v>
      </c>
      <c r="EH552" s="19">
        <v>0</v>
      </c>
      <c r="EI552" s="19">
        <v>0</v>
      </c>
      <c r="EJ552" s="19">
        <v>0</v>
      </c>
      <c r="EK552" s="19">
        <v>0</v>
      </c>
      <c r="EL552" s="19">
        <v>0</v>
      </c>
      <c r="EM552" s="19">
        <v>0</v>
      </c>
      <c r="EN552" s="19">
        <v>0</v>
      </c>
      <c r="EO552" s="19">
        <v>0</v>
      </c>
      <c r="EP552" s="19">
        <v>0</v>
      </c>
      <c r="EQ552" s="19">
        <v>0</v>
      </c>
      <c r="ER552" s="19">
        <v>0</v>
      </c>
      <c r="ES552" s="119">
        <v>0</v>
      </c>
      <c r="ET552" s="119">
        <v>0</v>
      </c>
    </row>
    <row r="553" spans="1:150" ht="16.5" customHeight="1" x14ac:dyDescent="0.35">
      <c r="A553" s="4">
        <v>229</v>
      </c>
      <c r="B553" s="4" t="str">
        <f>LOOKUP(A553,Lookup!$A$1:$A$34,Lookup!$B$1:$B$34)</f>
        <v>INGREDIENTS</v>
      </c>
      <c r="C553" s="5">
        <v>63808</v>
      </c>
      <c r="D553" s="6" t="s">
        <v>526</v>
      </c>
      <c r="E553" s="18">
        <v>0</v>
      </c>
      <c r="F553" s="18">
        <v>0</v>
      </c>
      <c r="G553" s="18">
        <v>0</v>
      </c>
      <c r="H553" s="18">
        <v>0</v>
      </c>
      <c r="I553" s="19">
        <v>0</v>
      </c>
      <c r="J553" s="19">
        <v>0</v>
      </c>
      <c r="K553" s="19">
        <v>0</v>
      </c>
      <c r="L553" s="19">
        <v>0</v>
      </c>
      <c r="M553" s="19">
        <v>0</v>
      </c>
      <c r="N553" s="19">
        <v>0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0</v>
      </c>
      <c r="AJ553" s="19">
        <v>0</v>
      </c>
      <c r="AK553" s="19">
        <v>0</v>
      </c>
      <c r="AL553" s="19">
        <v>0</v>
      </c>
      <c r="AM553" s="19">
        <v>0</v>
      </c>
      <c r="AN553" s="19">
        <v>0</v>
      </c>
      <c r="AO553" s="19">
        <v>0</v>
      </c>
      <c r="AP553" s="19">
        <v>0</v>
      </c>
      <c r="AQ553" s="19">
        <v>0</v>
      </c>
      <c r="AR553" s="19">
        <v>0</v>
      </c>
      <c r="AS553" s="19">
        <v>0</v>
      </c>
      <c r="AT553" s="19">
        <v>0</v>
      </c>
      <c r="AU553" s="19">
        <v>0</v>
      </c>
      <c r="AV553" s="19">
        <v>0</v>
      </c>
      <c r="AW553" s="19">
        <v>0</v>
      </c>
      <c r="AX553" s="19">
        <v>0</v>
      </c>
      <c r="AY553" s="19">
        <v>0</v>
      </c>
      <c r="AZ553" s="19">
        <v>0</v>
      </c>
      <c r="BA553" s="19">
        <v>0</v>
      </c>
      <c r="BB553" s="19">
        <v>0</v>
      </c>
      <c r="BC553" s="19">
        <v>0</v>
      </c>
      <c r="BD553" s="19">
        <v>0</v>
      </c>
      <c r="BE553" s="19">
        <v>0</v>
      </c>
      <c r="BF553" s="19">
        <v>0</v>
      </c>
      <c r="BG553" s="19">
        <v>0</v>
      </c>
      <c r="BH553" s="19">
        <v>0</v>
      </c>
      <c r="BI553" s="19">
        <v>0</v>
      </c>
      <c r="BJ553" s="19">
        <v>0</v>
      </c>
      <c r="BK553" s="19">
        <v>0</v>
      </c>
      <c r="BL553" s="19">
        <v>0</v>
      </c>
      <c r="BM553" s="19">
        <v>0</v>
      </c>
      <c r="BN553" s="19">
        <v>0</v>
      </c>
      <c r="BO553" s="19">
        <v>0</v>
      </c>
      <c r="BP553" s="19">
        <v>0</v>
      </c>
      <c r="BQ553" s="19">
        <v>0</v>
      </c>
      <c r="BR553" s="19">
        <v>0</v>
      </c>
      <c r="BS553" s="19">
        <v>0</v>
      </c>
      <c r="BT553" s="19">
        <v>0</v>
      </c>
      <c r="BU553" s="19">
        <v>0</v>
      </c>
      <c r="BV553" s="19">
        <v>0</v>
      </c>
      <c r="BW553" s="19">
        <v>0</v>
      </c>
      <c r="BX553" s="19">
        <v>0</v>
      </c>
      <c r="BY553" s="19">
        <v>0</v>
      </c>
      <c r="BZ553" s="19">
        <v>0</v>
      </c>
      <c r="CA553" s="19">
        <v>0</v>
      </c>
      <c r="CB553" s="19">
        <v>0</v>
      </c>
      <c r="CC553" s="19">
        <v>0</v>
      </c>
      <c r="CD553" s="19">
        <v>0</v>
      </c>
      <c r="CE553" s="19">
        <v>0</v>
      </c>
      <c r="CF553" s="19">
        <v>0</v>
      </c>
      <c r="CG553" s="19">
        <v>0</v>
      </c>
      <c r="CH553" s="19">
        <v>0</v>
      </c>
      <c r="CI553" s="19">
        <v>0</v>
      </c>
      <c r="CJ553" s="19">
        <v>0</v>
      </c>
      <c r="CK553" s="19">
        <v>0</v>
      </c>
      <c r="CL553" s="19">
        <v>0</v>
      </c>
      <c r="CM553" s="19">
        <v>0</v>
      </c>
      <c r="CN553" s="19">
        <v>0</v>
      </c>
      <c r="CO553" s="19">
        <v>0</v>
      </c>
      <c r="CP553" s="19">
        <v>0</v>
      </c>
      <c r="CQ553" s="19">
        <v>0</v>
      </c>
      <c r="CR553" s="19">
        <v>0</v>
      </c>
      <c r="CS553" s="19">
        <v>0</v>
      </c>
      <c r="CT553" s="19">
        <v>0</v>
      </c>
      <c r="CU553" s="19">
        <v>0</v>
      </c>
      <c r="CV553" s="19">
        <v>0</v>
      </c>
      <c r="CW553" s="19">
        <v>0</v>
      </c>
      <c r="CX553" s="19">
        <v>0</v>
      </c>
      <c r="CY553" s="19">
        <v>0</v>
      </c>
      <c r="CZ553" s="19">
        <v>0</v>
      </c>
      <c r="DA553" s="19">
        <v>0</v>
      </c>
      <c r="DB553" s="19">
        <v>0</v>
      </c>
      <c r="DC553" s="19">
        <v>0</v>
      </c>
      <c r="DD553" s="19">
        <v>0</v>
      </c>
      <c r="DE553" s="19">
        <v>0</v>
      </c>
      <c r="DF553" s="19">
        <v>0</v>
      </c>
      <c r="DG553" s="19">
        <v>0</v>
      </c>
      <c r="DH553" s="19">
        <v>0</v>
      </c>
      <c r="DI553" s="19">
        <v>0</v>
      </c>
      <c r="DJ553" s="19">
        <v>0</v>
      </c>
      <c r="DK553" s="19">
        <v>0</v>
      </c>
      <c r="DL553" s="19">
        <v>0</v>
      </c>
      <c r="DM553" s="19">
        <v>0</v>
      </c>
      <c r="DN553" s="19">
        <v>0</v>
      </c>
      <c r="DO553" s="19">
        <v>0</v>
      </c>
      <c r="DP553" s="19">
        <v>0</v>
      </c>
      <c r="DQ553" s="19">
        <v>0</v>
      </c>
      <c r="DR553" s="19">
        <v>0</v>
      </c>
      <c r="DS553" s="19">
        <v>0</v>
      </c>
      <c r="DT553" s="19">
        <v>0</v>
      </c>
      <c r="DU553" s="19">
        <v>0</v>
      </c>
      <c r="DV553" s="19">
        <v>0</v>
      </c>
      <c r="DW553" s="19">
        <v>0</v>
      </c>
      <c r="DX553" s="19">
        <v>0</v>
      </c>
      <c r="DY553" s="19">
        <v>0</v>
      </c>
      <c r="DZ553" s="19">
        <v>0</v>
      </c>
      <c r="EA553" s="19">
        <v>0</v>
      </c>
      <c r="EB553" s="19">
        <v>0</v>
      </c>
      <c r="EC553" s="19">
        <v>0</v>
      </c>
      <c r="ED553" s="19">
        <v>0</v>
      </c>
      <c r="EE553" s="19">
        <v>0</v>
      </c>
      <c r="EF553" s="19">
        <v>0</v>
      </c>
      <c r="EG553" s="19">
        <v>0</v>
      </c>
      <c r="EH553" s="19">
        <v>0</v>
      </c>
      <c r="EI553" s="19">
        <v>0</v>
      </c>
      <c r="EJ553" s="19">
        <v>0</v>
      </c>
      <c r="EK553" s="19">
        <v>0</v>
      </c>
      <c r="EL553" s="19">
        <v>0</v>
      </c>
      <c r="EM553" s="19">
        <v>0</v>
      </c>
      <c r="EN553" s="19">
        <v>0</v>
      </c>
      <c r="EO553" s="19">
        <v>0</v>
      </c>
      <c r="EP553" s="19">
        <v>0</v>
      </c>
      <c r="EQ553" s="19">
        <v>0</v>
      </c>
      <c r="ER553" s="19">
        <v>0</v>
      </c>
      <c r="ES553" s="119">
        <v>0</v>
      </c>
      <c r="ET553" s="119">
        <v>0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337-C1F7-48EE-AD9F-C6C7630A0826}">
  <sheetPr filterMode="1"/>
  <dimension ref="A1:R554"/>
  <sheetViews>
    <sheetView tabSelected="1" topLeftCell="C1" workbookViewId="0">
      <pane ySplit="18" topLeftCell="A19" activePane="bottomLeft" state="frozen"/>
      <selection pane="bottomLeft"/>
    </sheetView>
  </sheetViews>
  <sheetFormatPr defaultRowHeight="13" x14ac:dyDescent="0.35"/>
  <cols>
    <col min="1" max="1" width="15.5" bestFit="1" customWidth="1"/>
    <col min="2" max="2" width="27.296875" bestFit="1" customWidth="1"/>
    <col min="3" max="3" width="14" bestFit="1" customWidth="1"/>
    <col min="4" max="4" width="40" customWidth="1"/>
    <col min="5" max="5" width="28.5" customWidth="1"/>
    <col min="6" max="6" width="27.69921875" customWidth="1"/>
    <col min="7" max="7" width="14.19921875" bestFit="1" customWidth="1"/>
    <col min="8" max="8" width="23.796875" customWidth="1"/>
    <col min="9" max="10" width="18.296875" bestFit="1" customWidth="1"/>
    <col min="11" max="11" width="12.09765625" bestFit="1" customWidth="1"/>
    <col min="12" max="12" width="14.3984375" bestFit="1" customWidth="1"/>
    <col min="13" max="13" width="20" customWidth="1"/>
    <col min="15" max="15" width="36" customWidth="1"/>
    <col min="16" max="16" width="11.3984375" bestFit="1" customWidth="1"/>
    <col min="17" max="17" width="11.19921875" bestFit="1" customWidth="1"/>
    <col min="18" max="18" width="10.59765625" bestFit="1" customWidth="1"/>
  </cols>
  <sheetData>
    <row r="1" spans="1:18" x14ac:dyDescent="0.35">
      <c r="A1" s="8" t="s">
        <v>558</v>
      </c>
      <c r="B1" s="8" t="s">
        <v>559</v>
      </c>
      <c r="C1" s="8" t="s">
        <v>4</v>
      </c>
      <c r="D1" s="8" t="s">
        <v>5</v>
      </c>
      <c r="E1" s="8" t="s">
        <v>560</v>
      </c>
      <c r="F1" s="8" t="s">
        <v>561</v>
      </c>
      <c r="G1" s="8" t="s">
        <v>562</v>
      </c>
      <c r="H1" s="8" t="s">
        <v>563</v>
      </c>
      <c r="I1" s="8" t="s">
        <v>564</v>
      </c>
      <c r="J1" s="8" t="s">
        <v>565</v>
      </c>
      <c r="K1" s="8" t="s">
        <v>566</v>
      </c>
      <c r="L1" s="8" t="s">
        <v>567</v>
      </c>
      <c r="M1" s="8" t="s">
        <v>568</v>
      </c>
      <c r="O1" s="8" t="s">
        <v>569</v>
      </c>
      <c r="P1" s="8" t="s">
        <v>570</v>
      </c>
      <c r="Q1" s="8"/>
      <c r="R1" s="8"/>
    </row>
    <row r="2" spans="1:18" hidden="1" x14ac:dyDescent="0.35">
      <c r="A2">
        <f>Data!A3</f>
        <v>201</v>
      </c>
      <c r="B2" t="str">
        <f>Data!B3</f>
        <v>BUTCHERY</v>
      </c>
      <c r="C2" s="9">
        <f>Data!C3</f>
        <v>11141</v>
      </c>
      <c r="D2" s="10" t="s">
        <v>783</v>
      </c>
      <c r="E2" s="11">
        <f>SUM(Data!I3,Data!K3,Data!M3,Data!O3,Data!Q3,Data!S3,Data!U3,Data!W3,Data!Y3,Data!AA3,Data!AC3,Data!AE3,Data!AG3,Data!AI3,Data!AK3,Data!AM3,Data!AO3,Data!AQ3,Data!AS3)</f>
        <v>0</v>
      </c>
      <c r="F2" s="11">
        <f>SUM(Data!DI3,Data!DK3,Data!DM3,Data!DO3,Data!DQ3,Data!DS3,Data!DU3,Data!DW3,Data!DY3,Data!EA3,Data!EC3,Data!EE3,Data!EG3,Data!EI3,Data!EK3,Data!EM3,Data!EO3,Data!EQ3,Data!ES3)</f>
        <v>0</v>
      </c>
      <c r="G2" s="11">
        <f>F2-E2</f>
        <v>0</v>
      </c>
      <c r="H2">
        <f>IF(E2=0,IF(F2&gt;0,"New",0),(F2-E2)/E2)</f>
        <v>0</v>
      </c>
      <c r="I2" s="12">
        <f>SUM(Data!J3,Data!L3,Data!N3,Data!P3,Data!R3,Data!T3,Data!V3,Data!X3,Data!Z3,Data!AB3,Data!AD3,Data!AF3,Data!AH3,Data!AJ3,Data!AL3,Data!AN3,Data!AP3,Data!AR3,Data!AT3)</f>
        <v>0</v>
      </c>
      <c r="J2" s="12">
        <f>SUM(Data!DJ3,Data!DL3,Data!DN3,Data!DP3,Data!DR3,Data!DT3,Data!DV3,Data!DX3,Data!DZ3,Data!EB3,Data!ED3,Data!EF3,Data!EH3,Data!EJ3,Data!EL3,Data!EN3,Data!EP3,Data!ER3,Data!ET3)</f>
        <v>0</v>
      </c>
      <c r="K2" s="12">
        <f>J2-I2</f>
        <v>0</v>
      </c>
      <c r="L2">
        <f>IF(I2=0,IF(J2&gt;0,"New",0),(J2-I2)/I2)</f>
        <v>0</v>
      </c>
      <c r="M2" t="str">
        <f>IF(F2=0,"No 2026 Sales",IF(E2=0,"New Product",IF(AND(ISNUMBER(H2),H2&gt;0.1),"↑ Strong Growth",IF(AND(ISNUMBER(H2),H2&gt;0),"↗ Growth",IF(AND(ISNUMBER(H2),H2&lt;-0.1),"↓ Strong Decline",IF(AND(ISNUMBER(H2),H2&lt;0),"↘ Decline","→ Stable"))))))</f>
        <v>No 2026 Sales</v>
      </c>
      <c r="O2" t="s">
        <v>620</v>
      </c>
      <c r="P2" s="11">
        <f>COUNTIF(F2:F554,"&gt;0")</f>
        <v>155</v>
      </c>
    </row>
    <row r="3" spans="1:18" hidden="1" x14ac:dyDescent="0.35">
      <c r="A3">
        <f>Data!A4</f>
        <v>201</v>
      </c>
      <c r="B3" t="str">
        <f>Data!B4</f>
        <v>BUTCHERY</v>
      </c>
      <c r="C3" s="9">
        <f>Data!C4</f>
        <v>11385</v>
      </c>
      <c r="D3" s="10" t="s">
        <v>784</v>
      </c>
      <c r="E3" s="11">
        <f>SUM(Data!I4,Data!K4,Data!M4,Data!O4,Data!Q4,Data!S4,Data!U4,Data!W4,Data!Y4,Data!AA4,Data!AC4,Data!AE4,Data!AG4,Data!AI4,Data!AK4,Data!AM4,Data!AO4,Data!AQ4,Data!AS4)</f>
        <v>0</v>
      </c>
      <c r="F3" s="11">
        <f>SUM(Data!DI4,Data!DK4,Data!DM4,Data!DO4,Data!DQ4,Data!DS4,Data!DU4,Data!DW4,Data!DY4,Data!EA4,Data!EC4,Data!EE4,Data!EG4,Data!EI4,Data!EK4,Data!EM4,Data!EO4,Data!EQ4,Data!ES4)</f>
        <v>0</v>
      </c>
      <c r="G3" s="11">
        <f>F3-E3</f>
        <v>0</v>
      </c>
      <c r="H3">
        <f>IF(E3=0,IF(F3&gt;0,"New",0),(F3-E3)/E3)</f>
        <v>0</v>
      </c>
      <c r="I3" s="12">
        <f>SUM(Data!J4,Data!L4,Data!N4,Data!P4,Data!R4,Data!T4,Data!V4,Data!X4,Data!Z4,Data!AB4,Data!AD4,Data!AF4,Data!AH4,Data!AJ4,Data!AL4,Data!AN4,Data!AP4,Data!AR4,Data!AT4)</f>
        <v>0</v>
      </c>
      <c r="J3" s="12">
        <f>SUM(Data!DJ4,Data!DL4,Data!DN4,Data!DP4,Data!DR4,Data!DT4,Data!DV4,Data!DX4,Data!DZ4,Data!EB4,Data!ED4,Data!EF4,Data!EH4,Data!EJ4,Data!EL4,Data!EN4,Data!EP4,Data!ER4,Data!ET4)</f>
        <v>0</v>
      </c>
      <c r="K3" s="12">
        <f>J3-I3</f>
        <v>0</v>
      </c>
      <c r="L3">
        <f>IF(I3=0,IF(J3&gt;0,"New",0),(J3-I3)/I3)</f>
        <v>0</v>
      </c>
      <c r="M3" t="str">
        <f>IF(F3=0,"No 2026 Sales",IF(E3=0,"New Product",IF(AND(ISNUMBER(H3),H3&gt;0.1),"↑ Strong Growth",IF(AND(ISNUMBER(H3),H3&gt;0),"↗ Growth",IF(AND(ISNUMBER(H3),H3&lt;-0.1),"↓ Strong Decline",IF(AND(ISNUMBER(H3),H3&lt;0),"↘ Decline","→ Stable"))))))</f>
        <v>No 2026 Sales</v>
      </c>
      <c r="O3" t="s">
        <v>621</v>
      </c>
      <c r="P3" s="9">
        <f>COUNTIFS(F2:F554,"&gt;0",H2:H554,"&gt;0")</f>
        <v>58</v>
      </c>
    </row>
    <row r="4" spans="1:18" hidden="1" x14ac:dyDescent="0.35">
      <c r="A4">
        <f>Data!A5</f>
        <v>201</v>
      </c>
      <c r="B4" t="str">
        <f>Data!B5</f>
        <v>BUTCHERY</v>
      </c>
      <c r="C4" s="9">
        <f>Data!C5</f>
        <v>11388</v>
      </c>
      <c r="D4" s="10" t="s">
        <v>785</v>
      </c>
      <c r="E4" s="11">
        <f>SUM(Data!I5,Data!K5,Data!M5,Data!O5,Data!Q5,Data!S5,Data!U5,Data!W5,Data!Y5,Data!AA5,Data!AC5,Data!AE5,Data!AG5,Data!AI5,Data!AK5,Data!AM5,Data!AO5,Data!AQ5,Data!AS5)</f>
        <v>0</v>
      </c>
      <c r="F4" s="11">
        <f>SUM(Data!DI5,Data!DK5,Data!DM5,Data!DO5,Data!DQ5,Data!DS5,Data!DU5,Data!DW5,Data!DY5,Data!EA5,Data!EC5,Data!EE5,Data!EG5,Data!EI5,Data!EK5,Data!EM5,Data!EO5,Data!EQ5,Data!ES5)</f>
        <v>0</v>
      </c>
      <c r="G4" s="11">
        <f>F4-E4</f>
        <v>0</v>
      </c>
      <c r="H4">
        <f>IF(E4=0,IF(F4&gt;0,"New",0),(F4-E4)/E4)</f>
        <v>0</v>
      </c>
      <c r="I4" s="12">
        <f>SUM(Data!J5,Data!L5,Data!N5,Data!P5,Data!R5,Data!T5,Data!V5,Data!X5,Data!Z5,Data!AB5,Data!AD5,Data!AF5,Data!AH5,Data!AJ5,Data!AL5,Data!AN5,Data!AP5,Data!AR5,Data!AT5)</f>
        <v>0</v>
      </c>
      <c r="J4" s="12">
        <f>SUM(Data!DJ5,Data!DL5,Data!DN5,Data!DP5,Data!DR5,Data!DT5,Data!DV5,Data!DX5,Data!DZ5,Data!EB5,Data!ED5,Data!EF5,Data!EH5,Data!EJ5,Data!EL5,Data!EN5,Data!EP5,Data!ER5,Data!ET5)</f>
        <v>0</v>
      </c>
      <c r="K4" s="12">
        <f>J4-I4</f>
        <v>0</v>
      </c>
      <c r="L4">
        <f>IF(I4=0,IF(J4&gt;0,"New",0),(J4-I4)/I4)</f>
        <v>0</v>
      </c>
      <c r="M4" t="str">
        <f>IF(F4=0,"No 2026 Sales",IF(E4=0,"New Product",IF(AND(ISNUMBER(H4),H4&gt;0.1),"↑ Strong Growth",IF(AND(ISNUMBER(H4),H4&gt;0),"↗ Growth",IF(AND(ISNUMBER(H4),H4&lt;-0.1),"↓ Strong Decline",IF(AND(ISNUMBER(H4),H4&lt;0),"↘ Decline","→ Stable"))))))</f>
        <v>No 2026 Sales</v>
      </c>
      <c r="O4" t="s">
        <v>622</v>
      </c>
      <c r="P4" s="9">
        <f>COUNTIFS(F2:F554,"&gt;0",H2:H554,"&lt;0")</f>
        <v>44</v>
      </c>
    </row>
    <row r="5" spans="1:18" hidden="1" x14ac:dyDescent="0.35">
      <c r="A5">
        <f>Data!A6</f>
        <v>201</v>
      </c>
      <c r="B5" t="str">
        <f>Data!B6</f>
        <v>BUTCHERY</v>
      </c>
      <c r="C5" s="9">
        <f>Data!C6</f>
        <v>12151</v>
      </c>
      <c r="D5" s="10" t="s">
        <v>786</v>
      </c>
      <c r="E5" s="11">
        <f>SUM(Data!I6,Data!K6,Data!M6,Data!O6,Data!Q6,Data!S6,Data!U6,Data!W6,Data!Y6,Data!AA6,Data!AC6,Data!AE6,Data!AG6,Data!AI6,Data!AK6,Data!AM6,Data!AO6,Data!AQ6,Data!AS6)</f>
        <v>0</v>
      </c>
      <c r="F5" s="11">
        <f>SUM(Data!DI6,Data!DK6,Data!DM6,Data!DO6,Data!DQ6,Data!DS6,Data!DU6,Data!DW6,Data!DY6,Data!EA6,Data!EC6,Data!EE6,Data!EG6,Data!EI6,Data!EK6,Data!EM6,Data!EO6,Data!EQ6,Data!ES6)</f>
        <v>0</v>
      </c>
      <c r="G5" s="11">
        <f>F5-E5</f>
        <v>0</v>
      </c>
      <c r="H5">
        <f>IF(E5=0,IF(F5&gt;0,"New",0),(F5-E5)/E5)</f>
        <v>0</v>
      </c>
      <c r="I5" s="12">
        <f>SUM(Data!J6,Data!L6,Data!N6,Data!P6,Data!R6,Data!T6,Data!V6,Data!X6,Data!Z6,Data!AB6,Data!AD6,Data!AF6,Data!AH6,Data!AJ6,Data!AL6,Data!AN6,Data!AP6,Data!AR6,Data!AT6)</f>
        <v>0</v>
      </c>
      <c r="J5" s="12">
        <f>SUM(Data!DJ6,Data!DL6,Data!DN6,Data!DP6,Data!DR6,Data!DT6,Data!DV6,Data!DX6,Data!DZ6,Data!EB6,Data!ED6,Data!EF6,Data!EH6,Data!EJ6,Data!EL6,Data!EN6,Data!EP6,Data!ER6,Data!ET6)</f>
        <v>0</v>
      </c>
      <c r="K5" s="12">
        <f>J5-I5</f>
        <v>0</v>
      </c>
      <c r="L5">
        <f>IF(I5=0,IF(J5&gt;0,"New",0),(J5-I5)/I5)</f>
        <v>0</v>
      </c>
      <c r="M5" t="str">
        <f>IF(F5=0,"No 2026 Sales",IF(E5=0,"New Product",IF(AND(ISNUMBER(H5),H5&gt;0.1),"↑ Strong Growth",IF(AND(ISNUMBER(H5),H5&gt;0),"↗ Growth",IF(AND(ISNUMBER(H5),H5&lt;-0.1),"↓ Strong Decline",IF(AND(ISNUMBER(H5),H5&lt;0),"↘ Decline","→ Stable"))))))</f>
        <v>No 2026 Sales</v>
      </c>
      <c r="O5" t="s">
        <v>623</v>
      </c>
      <c r="P5" s="9">
        <f>COUNTIF(H2:H554,"New")</f>
        <v>53</v>
      </c>
    </row>
    <row r="6" spans="1:18" hidden="1" x14ac:dyDescent="0.35">
      <c r="A6">
        <f>Data!A7</f>
        <v>201</v>
      </c>
      <c r="B6" t="str">
        <f>Data!B7</f>
        <v>BUTCHERY</v>
      </c>
      <c r="C6" s="9">
        <f>Data!C7</f>
        <v>12194</v>
      </c>
      <c r="D6" s="10" t="s">
        <v>787</v>
      </c>
      <c r="E6" s="11">
        <f>SUM(Data!I7,Data!K7,Data!M7,Data!O7,Data!Q7,Data!S7,Data!U7,Data!W7,Data!Y7,Data!AA7,Data!AC7,Data!AE7,Data!AG7,Data!AI7,Data!AK7,Data!AM7,Data!AO7,Data!AQ7,Data!AS7)</f>
        <v>0</v>
      </c>
      <c r="F6" s="11">
        <f>SUM(Data!DI7,Data!DK7,Data!DM7,Data!DO7,Data!DQ7,Data!DS7,Data!DU7,Data!DW7,Data!DY7,Data!EA7,Data!EC7,Data!EE7,Data!EG7,Data!EI7,Data!EK7,Data!EM7,Data!EO7,Data!EQ7,Data!ES7)</f>
        <v>0</v>
      </c>
      <c r="G6" s="11">
        <f>F6-E6</f>
        <v>0</v>
      </c>
      <c r="H6">
        <f>IF(E6=0,IF(F6&gt;0,"New",0),(F6-E6)/E6)</f>
        <v>0</v>
      </c>
      <c r="I6" s="12">
        <f>SUM(Data!J7,Data!L7,Data!N7,Data!P7,Data!R7,Data!T7,Data!V7,Data!X7,Data!Z7,Data!AB7,Data!AD7,Data!AF7,Data!AH7,Data!AJ7,Data!AL7,Data!AN7,Data!AP7,Data!AR7,Data!AT7)</f>
        <v>0</v>
      </c>
      <c r="J6" s="12">
        <f>SUM(Data!DJ7,Data!DL7,Data!DN7,Data!DP7,Data!DR7,Data!DT7,Data!DV7,Data!DX7,Data!DZ7,Data!EB7,Data!ED7,Data!EF7,Data!EH7,Data!EJ7,Data!EL7,Data!EN7,Data!EP7,Data!ER7,Data!ET7)</f>
        <v>0</v>
      </c>
      <c r="K6" s="12">
        <f>J6-I6</f>
        <v>0</v>
      </c>
      <c r="L6">
        <f>IF(I6=0,IF(J6&gt;0,"New",0),(J6-I6)/I6)</f>
        <v>0</v>
      </c>
      <c r="M6" t="str">
        <f>IF(F6=0,"No 2026 Sales",IF(E6=0,"New Product",IF(AND(ISNUMBER(H6),H6&gt;0.1),"↑ Strong Growth",IF(AND(ISNUMBER(H6),H6&gt;0),"↗ Growth",IF(AND(ISNUMBER(H6),H6&lt;-0.1),"↓ Strong Decline",IF(AND(ISNUMBER(H6),H6&lt;0),"↘ Decline","→ Stable"))))))</f>
        <v>No 2026 Sales</v>
      </c>
    </row>
    <row r="7" spans="1:18" hidden="1" x14ac:dyDescent="0.35">
      <c r="A7">
        <f>Data!A8</f>
        <v>201</v>
      </c>
      <c r="B7" t="str">
        <f>Data!B8</f>
        <v>BUTCHERY</v>
      </c>
      <c r="C7" s="9">
        <f>Data!C8</f>
        <v>12314</v>
      </c>
      <c r="D7" s="10" t="s">
        <v>788</v>
      </c>
      <c r="E7" s="11">
        <f>SUM(Data!I8,Data!K8,Data!M8,Data!O8,Data!Q8,Data!S8,Data!U8,Data!W8,Data!Y8,Data!AA8,Data!AC8,Data!AE8,Data!AG8,Data!AI8,Data!AK8,Data!AM8,Data!AO8,Data!AQ8,Data!AS8)</f>
        <v>0</v>
      </c>
      <c r="F7" s="11">
        <f>SUM(Data!DI8,Data!DK8,Data!DM8,Data!DO8,Data!DQ8,Data!DS8,Data!DU8,Data!DW8,Data!DY8,Data!EA8,Data!EC8,Data!EE8,Data!EG8,Data!EI8,Data!EK8,Data!EM8,Data!EO8,Data!EQ8,Data!ES8)</f>
        <v>0</v>
      </c>
      <c r="G7" s="11">
        <f>F7-E7</f>
        <v>0</v>
      </c>
      <c r="H7">
        <f>IF(E7=0,IF(F7&gt;0,"New",0),(F7-E7)/E7)</f>
        <v>0</v>
      </c>
      <c r="I7" s="12">
        <f>SUM(Data!J8,Data!L8,Data!N8,Data!P8,Data!R8,Data!T8,Data!V8,Data!X8,Data!Z8,Data!AB8,Data!AD8,Data!AF8,Data!AH8,Data!AJ8,Data!AL8,Data!AN8,Data!AP8,Data!AR8,Data!AT8)</f>
        <v>0</v>
      </c>
      <c r="J7" s="12">
        <f>SUM(Data!DJ8,Data!DL8,Data!DN8,Data!DP8,Data!DR8,Data!DT8,Data!DV8,Data!DX8,Data!DZ8,Data!EB8,Data!ED8,Data!EF8,Data!EH8,Data!EJ8,Data!EL8,Data!EN8,Data!EP8,Data!ER8,Data!ET8)</f>
        <v>0</v>
      </c>
      <c r="K7" s="12">
        <f>J7-I7</f>
        <v>0</v>
      </c>
      <c r="L7">
        <f>IF(I7=0,IF(J7&gt;0,"New",0),(J7-I7)/I7)</f>
        <v>0</v>
      </c>
      <c r="M7" t="str">
        <f>IF(F7=0,"No 2026 Sales",IF(E7=0,"New Product",IF(AND(ISNUMBER(H7),H7&gt;0.1),"↑ Strong Growth",IF(AND(ISNUMBER(H7),H7&gt;0),"↗ Growth",IF(AND(ISNUMBER(H7),H7&lt;-0.1),"↓ Strong Decline",IF(AND(ISNUMBER(H7),H7&lt;0),"↘ Decline","→ Stable"))))))</f>
        <v>No 2026 Sales</v>
      </c>
      <c r="O7" t="s">
        <v>1396</v>
      </c>
      <c r="P7" s="11">
        <f>SUMIF(F2:F554,"&gt;0",E2:E554)</f>
        <v>1429049.052173913</v>
      </c>
    </row>
    <row r="8" spans="1:18" hidden="1" x14ac:dyDescent="0.35">
      <c r="A8">
        <f>Data!A9</f>
        <v>201</v>
      </c>
      <c r="B8" t="str">
        <f>Data!B9</f>
        <v>BUTCHERY</v>
      </c>
      <c r="C8" s="9">
        <f>Data!C9</f>
        <v>15219</v>
      </c>
      <c r="D8" s="10" t="s">
        <v>789</v>
      </c>
      <c r="E8" s="11">
        <f>SUM(Data!I9,Data!K9,Data!M9,Data!O9,Data!Q9,Data!S9,Data!U9,Data!W9,Data!Y9,Data!AA9,Data!AC9,Data!AE9,Data!AG9,Data!AI9,Data!AK9,Data!AM9,Data!AO9,Data!AQ9,Data!AS9)</f>
        <v>0</v>
      </c>
      <c r="F8" s="11">
        <f>SUM(Data!DI9,Data!DK9,Data!DM9,Data!DO9,Data!DQ9,Data!DS9,Data!DU9,Data!DW9,Data!DY9,Data!EA9,Data!EC9,Data!EE9,Data!EG9,Data!EI9,Data!EK9,Data!EM9,Data!EO9,Data!EQ9,Data!ES9)</f>
        <v>0</v>
      </c>
      <c r="G8" s="11">
        <f>F8-E8</f>
        <v>0</v>
      </c>
      <c r="H8">
        <f>IF(E8=0,IF(F8&gt;0,"New",0),(F8-E8)/E8)</f>
        <v>0</v>
      </c>
      <c r="I8" s="12">
        <f>SUM(Data!J9,Data!L9,Data!N9,Data!P9,Data!R9,Data!T9,Data!V9,Data!X9,Data!Z9,Data!AB9,Data!AD9,Data!AF9,Data!AH9,Data!AJ9,Data!AL9,Data!AN9,Data!AP9,Data!AR9,Data!AT9)</f>
        <v>0</v>
      </c>
      <c r="J8" s="12">
        <f>SUM(Data!DJ9,Data!DL9,Data!DN9,Data!DP9,Data!DR9,Data!DT9,Data!DV9,Data!DX9,Data!DZ9,Data!EB9,Data!ED9,Data!EF9,Data!EH9,Data!EJ9,Data!EL9,Data!EN9,Data!EP9,Data!ER9,Data!ET9)</f>
        <v>0</v>
      </c>
      <c r="K8" s="12">
        <f>J8-I8</f>
        <v>0</v>
      </c>
      <c r="L8">
        <f>IF(I8=0,IF(J8&gt;0,"New",0),(J8-I8)/I8)</f>
        <v>0</v>
      </c>
      <c r="M8" t="str">
        <f>IF(F8=0,"No 2026 Sales",IF(E8=0,"New Product",IF(AND(ISNUMBER(H8),H8&gt;0.1),"↑ Strong Growth",IF(AND(ISNUMBER(H8),H8&gt;0),"↗ Growth",IF(AND(ISNUMBER(H8),H8&lt;-0.1),"↓ Strong Decline",IF(AND(ISNUMBER(H8),H8&lt;0),"↘ Decline","→ Stable"))))))</f>
        <v>No 2026 Sales</v>
      </c>
      <c r="O8" t="s">
        <v>1397</v>
      </c>
      <c r="P8" s="11">
        <f>SUM(F2:F554)</f>
        <v>2135325.5999999992</v>
      </c>
    </row>
    <row r="9" spans="1:18" hidden="1" x14ac:dyDescent="0.35">
      <c r="A9">
        <f>Data!A10</f>
        <v>201</v>
      </c>
      <c r="B9" t="str">
        <f>Data!B10</f>
        <v>BUTCHERY</v>
      </c>
      <c r="C9" s="9">
        <f>Data!C10</f>
        <v>15227</v>
      </c>
      <c r="D9" s="10" t="s">
        <v>790</v>
      </c>
      <c r="E9" s="11">
        <f>SUM(Data!I10,Data!K10,Data!M10,Data!O10,Data!Q10,Data!S10,Data!U10,Data!W10,Data!Y10,Data!AA10,Data!AC10,Data!AE10,Data!AG10,Data!AI10,Data!AK10,Data!AM10,Data!AO10,Data!AQ10,Data!AS10)</f>
        <v>0</v>
      </c>
      <c r="F9" s="11">
        <f>SUM(Data!DI10,Data!DK10,Data!DM10,Data!DO10,Data!DQ10,Data!DS10,Data!DU10,Data!DW10,Data!DY10,Data!EA10,Data!EC10,Data!EE10,Data!EG10,Data!EI10,Data!EK10,Data!EM10,Data!EO10,Data!EQ10,Data!ES10)</f>
        <v>0</v>
      </c>
      <c r="G9" s="11">
        <f>F9-E9</f>
        <v>0</v>
      </c>
      <c r="H9">
        <f>IF(E9=0,IF(F9&gt;0,"New",0),(F9-E9)/E9)</f>
        <v>0</v>
      </c>
      <c r="I9" s="12">
        <f>SUM(Data!J10,Data!L10,Data!N10,Data!P10,Data!R10,Data!T10,Data!V10,Data!X10,Data!Z10,Data!AB10,Data!AD10,Data!AF10,Data!AH10,Data!AJ10,Data!AL10,Data!AN10,Data!AP10,Data!AR10,Data!AT10)</f>
        <v>0</v>
      </c>
      <c r="J9" s="12">
        <f>SUM(Data!DJ10,Data!DL10,Data!DN10,Data!DP10,Data!DR10,Data!DT10,Data!DV10,Data!DX10,Data!DZ10,Data!EB10,Data!ED10,Data!EF10,Data!EH10,Data!EJ10,Data!EL10,Data!EN10,Data!EP10,Data!ER10,Data!ET10)</f>
        <v>0</v>
      </c>
      <c r="K9" s="12">
        <f>J9-I9</f>
        <v>0</v>
      </c>
      <c r="L9">
        <f>IF(I9=0,IF(J9&gt;0,"New",0),(J9-I9)/I9)</f>
        <v>0</v>
      </c>
      <c r="M9" t="str">
        <f>IF(F9=0,"No 2026 Sales",IF(E9=0,"New Product",IF(AND(ISNUMBER(H9),H9&gt;0.1),"↑ Strong Growth",IF(AND(ISNUMBER(H9),H9&gt;0),"↗ Growth",IF(AND(ISNUMBER(H9),H9&lt;-0.1),"↓ Strong Decline",IF(AND(ISNUMBER(H9),H9&lt;0),"↘ Decline","→ Stable"))))))</f>
        <v>No 2026 Sales</v>
      </c>
      <c r="O9" t="s">
        <v>562</v>
      </c>
      <c r="P9" s="11">
        <f>P8-P7</f>
        <v>706276.54782608617</v>
      </c>
    </row>
    <row r="10" spans="1:18" hidden="1" x14ac:dyDescent="0.35">
      <c r="A10">
        <f>Data!A11</f>
        <v>201</v>
      </c>
      <c r="B10" t="str">
        <f>Data!B11</f>
        <v>BUTCHERY</v>
      </c>
      <c r="C10" s="9">
        <f>Data!C11</f>
        <v>34176</v>
      </c>
      <c r="D10" s="10" t="s">
        <v>791</v>
      </c>
      <c r="E10" s="11">
        <f>SUM(Data!I11,Data!K11,Data!M11,Data!O11,Data!Q11,Data!S11,Data!U11,Data!W11,Data!Y11,Data!AA11,Data!AC11,Data!AE11,Data!AG11,Data!AI11,Data!AK11,Data!AM11,Data!AO11,Data!AQ11,Data!AS11)</f>
        <v>0</v>
      </c>
      <c r="F10" s="11">
        <f>SUM(Data!DI11,Data!DK11,Data!DM11,Data!DO11,Data!DQ11,Data!DS11,Data!DU11,Data!DW11,Data!DY11,Data!EA11,Data!EC11,Data!EE11,Data!EG11,Data!EI11,Data!EK11,Data!EM11,Data!EO11,Data!EQ11,Data!ES11)</f>
        <v>0</v>
      </c>
      <c r="G10" s="11">
        <f>F10-E10</f>
        <v>0</v>
      </c>
      <c r="H10">
        <f>IF(E10=0,IF(F10&gt;0,"New",0),(F10-E10)/E10)</f>
        <v>0</v>
      </c>
      <c r="I10" s="12">
        <f>SUM(Data!J11,Data!L11,Data!N11,Data!P11,Data!R11,Data!T11,Data!V11,Data!X11,Data!Z11,Data!AB11,Data!AD11,Data!AF11,Data!AH11,Data!AJ11,Data!AL11,Data!AN11,Data!AP11,Data!AR11,Data!AT11)</f>
        <v>0</v>
      </c>
      <c r="J10" s="12">
        <f>SUM(Data!DJ11,Data!DL11,Data!DN11,Data!DP11,Data!DR11,Data!DT11,Data!DV11,Data!DX11,Data!DZ11,Data!EB11,Data!ED11,Data!EF11,Data!EH11,Data!EJ11,Data!EL11,Data!EN11,Data!EP11,Data!ER11,Data!ET11)</f>
        <v>0</v>
      </c>
      <c r="K10" s="12">
        <f>J10-I10</f>
        <v>0</v>
      </c>
      <c r="L10">
        <f>IF(I10=0,IF(J10&gt;0,"New",0),(J10-I10)/I10)</f>
        <v>0</v>
      </c>
      <c r="M10" t="str">
        <f>IF(F10=0,"No 2026 Sales",IF(E10=0,"New Product",IF(AND(ISNUMBER(H10),H10&gt;0.1),"↑ Strong Growth",IF(AND(ISNUMBER(H10),H10&gt;0),"↗ Growth",IF(AND(ISNUMBER(H10),H10&lt;-0.1),"↓ Strong Decline",IF(AND(ISNUMBER(H10),H10&lt;0),"↘ Decline","→ Stable"))))))</f>
        <v>No 2026 Sales</v>
      </c>
      <c r="O10" t="s">
        <v>563</v>
      </c>
      <c r="P10" s="13">
        <f>IF(P7=0,0,P9/P7)</f>
        <v>0.49422834489248407</v>
      </c>
    </row>
    <row r="11" spans="1:18" hidden="1" x14ac:dyDescent="0.35">
      <c r="A11">
        <f>Data!A12</f>
        <v>201</v>
      </c>
      <c r="B11" t="str">
        <f>Data!B12</f>
        <v>BUTCHERY</v>
      </c>
      <c r="C11" s="9">
        <f>Data!C12</f>
        <v>34233</v>
      </c>
      <c r="D11" s="10" t="s">
        <v>792</v>
      </c>
      <c r="E11" s="11">
        <f>SUM(Data!I12,Data!K12,Data!M12,Data!O12,Data!Q12,Data!S12,Data!U12,Data!W12,Data!Y12,Data!AA12,Data!AC12,Data!AE12,Data!AG12,Data!AI12,Data!AK12,Data!AM12,Data!AO12,Data!AQ12,Data!AS12)</f>
        <v>0</v>
      </c>
      <c r="F11" s="11">
        <f>SUM(Data!DI12,Data!DK12,Data!DM12,Data!DO12,Data!DQ12,Data!DS12,Data!DU12,Data!DW12,Data!DY12,Data!EA12,Data!EC12,Data!EE12,Data!EG12,Data!EI12,Data!EK12,Data!EM12,Data!EO12,Data!EQ12,Data!ES12)</f>
        <v>0</v>
      </c>
      <c r="G11" s="11">
        <f>F11-E11</f>
        <v>0</v>
      </c>
      <c r="H11">
        <f>IF(E11=0,IF(F11&gt;0,"New",0),(F11-E11)/E11)</f>
        <v>0</v>
      </c>
      <c r="I11" s="12">
        <f>SUM(Data!J12,Data!L12,Data!N12,Data!P12,Data!R12,Data!T12,Data!V12,Data!X12,Data!Z12,Data!AB12,Data!AD12,Data!AF12,Data!AH12,Data!AJ12,Data!AL12,Data!AN12,Data!AP12,Data!AR12,Data!AT12)</f>
        <v>0</v>
      </c>
      <c r="J11" s="12">
        <f>SUM(Data!DJ12,Data!DL12,Data!DN12,Data!DP12,Data!DR12,Data!DT12,Data!DV12,Data!DX12,Data!DZ12,Data!EB12,Data!ED12,Data!EF12,Data!EH12,Data!EJ12,Data!EL12,Data!EN12,Data!EP12,Data!ER12,Data!ET12)</f>
        <v>0</v>
      </c>
      <c r="K11" s="12">
        <f>J11-I11</f>
        <v>0</v>
      </c>
      <c r="L11">
        <f>IF(I11=0,IF(J11&gt;0,"New",0),(J11-I11)/I11)</f>
        <v>0</v>
      </c>
      <c r="M11" t="str">
        <f>IF(F11=0,"No 2026 Sales",IF(E11=0,"New Product",IF(AND(ISNUMBER(H11),H11&gt;0.1),"↑ Strong Growth",IF(AND(ISNUMBER(H11),H11&gt;0),"↗ Growth",IF(AND(ISNUMBER(H11),H11&lt;-0.1),"↓ Strong Decline",IF(AND(ISNUMBER(H11),H11&lt;0),"↘ Decline","→ Stable"))))))</f>
        <v>No 2026 Sales</v>
      </c>
    </row>
    <row r="12" spans="1:18" hidden="1" x14ac:dyDescent="0.35">
      <c r="A12">
        <f>Data!A13</f>
        <v>201</v>
      </c>
      <c r="B12" t="str">
        <f>Data!B13</f>
        <v>BUTCHERY</v>
      </c>
      <c r="C12" s="9">
        <f>Data!C13</f>
        <v>34234</v>
      </c>
      <c r="D12" s="10" t="s">
        <v>793</v>
      </c>
      <c r="E12" s="11">
        <f>SUM(Data!I13,Data!K13,Data!M13,Data!O13,Data!Q13,Data!S13,Data!U13,Data!W13,Data!Y13,Data!AA13,Data!AC13,Data!AE13,Data!AG13,Data!AI13,Data!AK13,Data!AM13,Data!AO13,Data!AQ13,Data!AS13)</f>
        <v>0</v>
      </c>
      <c r="F12" s="11">
        <f>SUM(Data!DI13,Data!DK13,Data!DM13,Data!DO13,Data!DQ13,Data!DS13,Data!DU13,Data!DW13,Data!DY13,Data!EA13,Data!EC13,Data!EE13,Data!EG13,Data!EI13,Data!EK13,Data!EM13,Data!EO13,Data!EQ13,Data!ES13)</f>
        <v>0</v>
      </c>
      <c r="G12" s="11">
        <f>F12-E12</f>
        <v>0</v>
      </c>
      <c r="H12">
        <f>IF(E12=0,IF(F12&gt;0,"New",0),(F12-E12)/E12)</f>
        <v>0</v>
      </c>
      <c r="I12" s="12">
        <f>SUM(Data!J13,Data!L13,Data!N13,Data!P13,Data!R13,Data!T13,Data!V13,Data!X13,Data!Z13,Data!AB13,Data!AD13,Data!AF13,Data!AH13,Data!AJ13,Data!AL13,Data!AN13,Data!AP13,Data!AR13,Data!AT13)</f>
        <v>0</v>
      </c>
      <c r="J12" s="12">
        <f>SUM(Data!DJ13,Data!DL13,Data!DN13,Data!DP13,Data!DR13,Data!DT13,Data!DV13,Data!DX13,Data!DZ13,Data!EB13,Data!ED13,Data!EF13,Data!EH13,Data!EJ13,Data!EL13,Data!EN13,Data!EP13,Data!ER13,Data!ET13)</f>
        <v>0</v>
      </c>
      <c r="K12" s="12">
        <f>J12-I12</f>
        <v>0</v>
      </c>
      <c r="L12">
        <f>IF(I12=0,IF(J12&gt;0,"New",0),(J12-I12)/I12)</f>
        <v>0</v>
      </c>
      <c r="M12" t="str">
        <f>IF(F12=0,"No 2026 Sales",IF(E12=0,"New Product",IF(AND(ISNUMBER(H12),H12&gt;0.1),"↑ Strong Growth",IF(AND(ISNUMBER(H12),H12&gt;0),"↗ Growth",IF(AND(ISNUMBER(H12),H12&lt;-0.1),"↓ Strong Decline",IF(AND(ISNUMBER(H12),H12&lt;0),"↘ Decline","→ Stable"))))))</f>
        <v>No 2026 Sales</v>
      </c>
      <c r="O12" t="s">
        <v>1398</v>
      </c>
      <c r="P12" s="12">
        <f>SUMIF(J2:J554,"&gt;0",I2:I554)</f>
        <v>20173.462</v>
      </c>
    </row>
    <row r="13" spans="1:18" hidden="1" x14ac:dyDescent="0.35">
      <c r="A13">
        <f>Data!A14</f>
        <v>201</v>
      </c>
      <c r="B13" t="str">
        <f>Data!B14</f>
        <v>BUTCHERY</v>
      </c>
      <c r="C13" s="9">
        <f>Data!C14</f>
        <v>34306</v>
      </c>
      <c r="D13" s="10" t="s">
        <v>794</v>
      </c>
      <c r="E13" s="11">
        <f>SUM(Data!I14,Data!K14,Data!M14,Data!O14,Data!Q14,Data!S14,Data!U14,Data!W14,Data!Y14,Data!AA14,Data!AC14,Data!AE14,Data!AG14,Data!AI14,Data!AK14,Data!AM14,Data!AO14,Data!AQ14,Data!AS14)</f>
        <v>0</v>
      </c>
      <c r="F13" s="11">
        <f>SUM(Data!DI14,Data!DK14,Data!DM14,Data!DO14,Data!DQ14,Data!DS14,Data!DU14,Data!DW14,Data!DY14,Data!EA14,Data!EC14,Data!EE14,Data!EG14,Data!EI14,Data!EK14,Data!EM14,Data!EO14,Data!EQ14,Data!ES14)</f>
        <v>0</v>
      </c>
      <c r="G13" s="11">
        <f>F13-E13</f>
        <v>0</v>
      </c>
      <c r="H13">
        <f>IF(E13=0,IF(F13&gt;0,"New",0),(F13-E13)/E13)</f>
        <v>0</v>
      </c>
      <c r="I13" s="12">
        <f>SUM(Data!J14,Data!L14,Data!N14,Data!P14,Data!R14,Data!T14,Data!V14,Data!X14,Data!Z14,Data!AB14,Data!AD14,Data!AF14,Data!AH14,Data!AJ14,Data!AL14,Data!AN14,Data!AP14,Data!AR14,Data!AT14)</f>
        <v>0</v>
      </c>
      <c r="J13" s="12">
        <f>SUM(Data!DJ14,Data!DL14,Data!DN14,Data!DP14,Data!DR14,Data!DT14,Data!DV14,Data!DX14,Data!DZ14,Data!EB14,Data!ED14,Data!EF14,Data!EH14,Data!EJ14,Data!EL14,Data!EN14,Data!EP14,Data!ER14,Data!ET14)</f>
        <v>0</v>
      </c>
      <c r="K13" s="12">
        <f>J13-I13</f>
        <v>0</v>
      </c>
      <c r="L13">
        <f>IF(I13=0,IF(J13&gt;0,"New",0),(J13-I13)/I13)</f>
        <v>0</v>
      </c>
      <c r="M13" t="str">
        <f>IF(F13=0,"No 2026 Sales",IF(E13=0,"New Product",IF(AND(ISNUMBER(H13),H13&gt;0.1),"↑ Strong Growth",IF(AND(ISNUMBER(H13),H13&gt;0),"↗ Growth",IF(AND(ISNUMBER(H13),H13&lt;-0.1),"↓ Strong Decline",IF(AND(ISNUMBER(H13),H13&lt;0),"↘ Decline","→ Stable"))))))</f>
        <v>No 2026 Sales</v>
      </c>
      <c r="O13" t="s">
        <v>1399</v>
      </c>
      <c r="P13" s="12">
        <f>SUM(J2:J554)</f>
        <v>24454.401999999995</v>
      </c>
    </row>
    <row r="14" spans="1:18" hidden="1" x14ac:dyDescent="0.35">
      <c r="A14">
        <f>Data!A15</f>
        <v>201</v>
      </c>
      <c r="B14" t="str">
        <f>Data!B15</f>
        <v>BUTCHERY</v>
      </c>
      <c r="C14" s="9">
        <f>Data!C15</f>
        <v>41246</v>
      </c>
      <c r="D14" s="10" t="s">
        <v>795</v>
      </c>
      <c r="E14" s="11">
        <f>SUM(Data!I15,Data!K15,Data!M15,Data!O15,Data!Q15,Data!S15,Data!U15,Data!W15,Data!Y15,Data!AA15,Data!AC15,Data!AE15,Data!AG15,Data!AI15,Data!AK15,Data!AM15,Data!AO15,Data!AQ15,Data!AS15)</f>
        <v>0</v>
      </c>
      <c r="F14" s="11">
        <f>SUM(Data!DI15,Data!DK15,Data!DM15,Data!DO15,Data!DQ15,Data!DS15,Data!DU15,Data!DW15,Data!DY15,Data!EA15,Data!EC15,Data!EE15,Data!EG15,Data!EI15,Data!EK15,Data!EM15,Data!EO15,Data!EQ15,Data!ES15)</f>
        <v>0</v>
      </c>
      <c r="G14" s="11">
        <f>F14-E14</f>
        <v>0</v>
      </c>
      <c r="H14">
        <f>IF(E14=0,IF(F14&gt;0,"New",0),(F14-E14)/E14)</f>
        <v>0</v>
      </c>
      <c r="I14" s="12">
        <f>SUM(Data!J15,Data!L15,Data!N15,Data!P15,Data!R15,Data!T15,Data!V15,Data!X15,Data!Z15,Data!AB15,Data!AD15,Data!AF15,Data!AH15,Data!AJ15,Data!AL15,Data!AN15,Data!AP15,Data!AR15,Data!AT15)</f>
        <v>0</v>
      </c>
      <c r="J14" s="12">
        <f>SUM(Data!DJ15,Data!DL15,Data!DN15,Data!DP15,Data!DR15,Data!DT15,Data!DV15,Data!DX15,Data!DZ15,Data!EB15,Data!ED15,Data!EF15,Data!EH15,Data!EJ15,Data!EL15,Data!EN15,Data!EP15,Data!ER15,Data!ET15)</f>
        <v>0</v>
      </c>
      <c r="K14" s="12">
        <f>J14-I14</f>
        <v>0</v>
      </c>
      <c r="L14">
        <f>IF(I14=0,IF(J14&gt;0,"New",0),(J14-I14)/I14)</f>
        <v>0</v>
      </c>
      <c r="M14" t="str">
        <f>IF(F14=0,"No 2026 Sales",IF(E14=0,"New Product",IF(AND(ISNUMBER(H14),H14&gt;0.1),"↑ Strong Growth",IF(AND(ISNUMBER(H14),H14&gt;0),"↗ Growth",IF(AND(ISNUMBER(H14),H14&lt;-0.1),"↓ Strong Decline",IF(AND(ISNUMBER(H14),H14&lt;0),"↘ Decline","→ Stable"))))))</f>
        <v>No 2026 Sales</v>
      </c>
      <c r="O14" t="s">
        <v>566</v>
      </c>
      <c r="P14" s="12">
        <f>P13-P12</f>
        <v>4280.9399999999951</v>
      </c>
    </row>
    <row r="15" spans="1:18" hidden="1" x14ac:dyDescent="0.35">
      <c r="A15">
        <f>Data!A16</f>
        <v>201</v>
      </c>
      <c r="B15" t="str">
        <f>Data!B16</f>
        <v>BUTCHERY</v>
      </c>
      <c r="C15" s="9">
        <f>Data!C16</f>
        <v>49848</v>
      </c>
      <c r="D15" s="10" t="s">
        <v>796</v>
      </c>
      <c r="E15" s="11">
        <f>SUM(Data!I16,Data!K16,Data!M16,Data!O16,Data!Q16,Data!S16,Data!U16,Data!W16,Data!Y16,Data!AA16,Data!AC16,Data!AE16,Data!AG16,Data!AI16,Data!AK16,Data!AM16,Data!AO16,Data!AQ16,Data!AS16)</f>
        <v>0</v>
      </c>
      <c r="F15" s="11">
        <f>SUM(Data!DI16,Data!DK16,Data!DM16,Data!DO16,Data!DQ16,Data!DS16,Data!DU16,Data!DW16,Data!DY16,Data!EA16,Data!EC16,Data!EE16,Data!EG16,Data!EI16,Data!EK16,Data!EM16,Data!EO16,Data!EQ16,Data!ES16)</f>
        <v>0</v>
      </c>
      <c r="G15" s="11">
        <f>F15-E15</f>
        <v>0</v>
      </c>
      <c r="H15">
        <f>IF(E15=0,IF(F15&gt;0,"New",0),(F15-E15)/E15)</f>
        <v>0</v>
      </c>
      <c r="I15" s="12">
        <f>SUM(Data!J16,Data!L16,Data!N16,Data!P16,Data!R16,Data!T16,Data!V16,Data!X16,Data!Z16,Data!AB16,Data!AD16,Data!AF16,Data!AH16,Data!AJ16,Data!AL16,Data!AN16,Data!AP16,Data!AR16,Data!AT16)</f>
        <v>0</v>
      </c>
      <c r="J15" s="12">
        <f>SUM(Data!DJ16,Data!DL16,Data!DN16,Data!DP16,Data!DR16,Data!DT16,Data!DV16,Data!DX16,Data!DZ16,Data!EB16,Data!ED16,Data!EF16,Data!EH16,Data!EJ16,Data!EL16,Data!EN16,Data!EP16,Data!ER16,Data!ET16)</f>
        <v>0</v>
      </c>
      <c r="K15" s="12">
        <f>J15-I15</f>
        <v>0</v>
      </c>
      <c r="L15">
        <f>IF(I15=0,IF(J15&gt;0,"New",0),(J15-I15)/I15)</f>
        <v>0</v>
      </c>
      <c r="M15" t="str">
        <f>IF(F15=0,"No 2026 Sales",IF(E15=0,"New Product",IF(AND(ISNUMBER(H15),H15&gt;0.1),"↑ Strong Growth",IF(AND(ISNUMBER(H15),H15&gt;0),"↗ Growth",IF(AND(ISNUMBER(H15),H15&lt;-0.1),"↓ Strong Decline",IF(AND(ISNUMBER(H15),H15&lt;0),"↘ Decline","→ Stable"))))))</f>
        <v>No 2026 Sales</v>
      </c>
      <c r="O15" t="s">
        <v>567</v>
      </c>
      <c r="P15" s="13">
        <f>IF(P12=0,0,P14/P12)</f>
        <v>0.21220651170334548</v>
      </c>
    </row>
    <row r="16" spans="1:18" hidden="1" x14ac:dyDescent="0.35">
      <c r="A16">
        <f>Data!A17</f>
        <v>201</v>
      </c>
      <c r="B16" t="str">
        <f>Data!B17</f>
        <v>BUTCHERY</v>
      </c>
      <c r="C16" s="9">
        <f>Data!C17</f>
        <v>52212</v>
      </c>
      <c r="D16" s="10" t="s">
        <v>797</v>
      </c>
      <c r="E16" s="11">
        <f>SUM(Data!I17,Data!K17,Data!M17,Data!O17,Data!Q17,Data!S17,Data!U17,Data!W17,Data!Y17,Data!AA17,Data!AC17,Data!AE17,Data!AG17,Data!AI17,Data!AK17,Data!AM17,Data!AO17,Data!AQ17,Data!AS17)</f>
        <v>0</v>
      </c>
      <c r="F16" s="11">
        <f>SUM(Data!DI17,Data!DK17,Data!DM17,Data!DO17,Data!DQ17,Data!DS17,Data!DU17,Data!DW17,Data!DY17,Data!EA17,Data!EC17,Data!EE17,Data!EG17,Data!EI17,Data!EK17,Data!EM17,Data!EO17,Data!EQ17,Data!ES17)</f>
        <v>0</v>
      </c>
      <c r="G16" s="11">
        <f>F16-E16</f>
        <v>0</v>
      </c>
      <c r="H16">
        <f>IF(E16=0,IF(F16&gt;0,"New",0),(F16-E16)/E16)</f>
        <v>0</v>
      </c>
      <c r="I16" s="12">
        <f>SUM(Data!J17,Data!L17,Data!N17,Data!P17,Data!R17,Data!T17,Data!V17,Data!X17,Data!Z17,Data!AB17,Data!AD17,Data!AF17,Data!AH17,Data!AJ17,Data!AL17,Data!AN17,Data!AP17,Data!AR17,Data!AT17)</f>
        <v>0</v>
      </c>
      <c r="J16" s="12">
        <f>SUM(Data!DJ17,Data!DL17,Data!DN17,Data!DP17,Data!DR17,Data!DT17,Data!DV17,Data!DX17,Data!DZ17,Data!EB17,Data!ED17,Data!EF17,Data!EH17,Data!EJ17,Data!EL17,Data!EN17,Data!EP17,Data!ER17,Data!ET17)</f>
        <v>0</v>
      </c>
      <c r="K16" s="12">
        <f>J16-I16</f>
        <v>0</v>
      </c>
      <c r="L16">
        <f>IF(I16=0,IF(J16&gt;0,"New",0),(J16-I16)/I16)</f>
        <v>0</v>
      </c>
      <c r="M16" t="str">
        <f>IF(F16=0,"No 2026 Sales",IF(E16=0,"New Product",IF(AND(ISNUMBER(H16),H16&gt;0.1),"↑ Strong Growth",IF(AND(ISNUMBER(H16),H16&gt;0),"↗ Growth",IF(AND(ISNUMBER(H16),H16&lt;-0.1),"↓ Strong Decline",IF(AND(ISNUMBER(H16),H16&lt;0),"↘ Decline","→ Stable"))))))</f>
        <v>No 2026 Sales</v>
      </c>
    </row>
    <row r="17" spans="1:18" hidden="1" x14ac:dyDescent="0.35">
      <c r="A17">
        <f>Data!A18</f>
        <v>201</v>
      </c>
      <c r="B17" t="str">
        <f>Data!B18</f>
        <v>BUTCHERY</v>
      </c>
      <c r="C17" s="9">
        <f>Data!C18</f>
        <v>53975</v>
      </c>
      <c r="D17" s="10" t="s">
        <v>798</v>
      </c>
      <c r="E17" s="11">
        <f>SUM(Data!I18,Data!K18,Data!M18,Data!O18,Data!Q18,Data!S18,Data!U18,Data!W18,Data!Y18,Data!AA18,Data!AC18,Data!AE18,Data!AG18,Data!AI18,Data!AK18,Data!AM18,Data!AO18,Data!AQ18,Data!AS18)</f>
        <v>0</v>
      </c>
      <c r="F17" s="11">
        <f>SUM(Data!DI18,Data!DK18,Data!DM18,Data!DO18,Data!DQ18,Data!DS18,Data!DU18,Data!DW18,Data!DY18,Data!EA18,Data!EC18,Data!EE18,Data!EG18,Data!EI18,Data!EK18,Data!EM18,Data!EO18,Data!EQ18,Data!ES18)</f>
        <v>0</v>
      </c>
      <c r="G17" s="11">
        <f>F17-E17</f>
        <v>0</v>
      </c>
      <c r="H17">
        <f>IF(E17=0,IF(F17&gt;0,"New",0),(F17-E17)/E17)</f>
        <v>0</v>
      </c>
      <c r="I17" s="12">
        <f>SUM(Data!J18,Data!L18,Data!N18,Data!P18,Data!R18,Data!T18,Data!V18,Data!X18,Data!Z18,Data!AB18,Data!AD18,Data!AF18,Data!AH18,Data!AJ18,Data!AL18,Data!AN18,Data!AP18,Data!AR18,Data!AT18)</f>
        <v>0</v>
      </c>
      <c r="J17" s="12">
        <f>SUM(Data!DJ18,Data!DL18,Data!DN18,Data!DP18,Data!DR18,Data!DT18,Data!DV18,Data!DX18,Data!DZ18,Data!EB18,Data!ED18,Data!EF18,Data!EH18,Data!EJ18,Data!EL18,Data!EN18,Data!EP18,Data!ER18,Data!ET18)</f>
        <v>0</v>
      </c>
      <c r="K17" s="12">
        <f>J17-I17</f>
        <v>0</v>
      </c>
      <c r="L17">
        <f>IF(I17=0,IF(J17&gt;0,"New",0),(J17-I17)/I17)</f>
        <v>0</v>
      </c>
      <c r="M17" t="str">
        <f>IF(F17=0,"No 2026 Sales",IF(E17=0,"New Product",IF(AND(ISNUMBER(H17),H17&gt;0.1),"↑ Strong Growth",IF(AND(ISNUMBER(H17),H17&gt;0),"↗ Growth",IF(AND(ISNUMBER(H17),H17&lt;-0.1),"↓ Strong Decline",IF(AND(ISNUMBER(H17),H17&lt;0),"↘ Decline","→ Stable"))))))</f>
        <v>No 2026 Sales</v>
      </c>
      <c r="O17" s="14" t="s">
        <v>571</v>
      </c>
      <c r="P17" s="14" t="s">
        <v>572</v>
      </c>
    </row>
    <row r="18" spans="1:18" hidden="1" x14ac:dyDescent="0.35">
      <c r="A18">
        <f>Data!A19</f>
        <v>201</v>
      </c>
      <c r="B18" t="str">
        <f>Data!B19</f>
        <v>BUTCHERY</v>
      </c>
      <c r="C18" s="9">
        <f>Data!C19</f>
        <v>55974</v>
      </c>
      <c r="D18" s="10" t="s">
        <v>799</v>
      </c>
      <c r="E18" s="11">
        <f>SUM(Data!I19,Data!K19,Data!M19,Data!O19,Data!Q19,Data!S19,Data!U19,Data!W19,Data!Y19,Data!AA19,Data!AC19,Data!AE19,Data!AG19,Data!AI19,Data!AK19,Data!AM19,Data!AO19,Data!AQ19,Data!AS19)</f>
        <v>0</v>
      </c>
      <c r="F18" s="11">
        <f>SUM(Data!DI19,Data!DK19,Data!DM19,Data!DO19,Data!DQ19,Data!DS19,Data!DU19,Data!DW19,Data!DY19,Data!EA19,Data!EC19,Data!EE19,Data!EG19,Data!EI19,Data!EK19,Data!EM19,Data!EO19,Data!EQ19,Data!ES19)</f>
        <v>0</v>
      </c>
      <c r="G18" s="11">
        <f>F18-E18</f>
        <v>0</v>
      </c>
      <c r="H18">
        <f>IF(E18=0,IF(F18&gt;0,"New",0),(F18-E18)/E18)</f>
        <v>0</v>
      </c>
      <c r="I18" s="12">
        <f>SUM(Data!J19,Data!L19,Data!N19,Data!P19,Data!R19,Data!T19,Data!V19,Data!X19,Data!Z19,Data!AB19,Data!AD19,Data!AF19,Data!AH19,Data!AJ19,Data!AL19,Data!AN19,Data!AP19,Data!AR19,Data!AT19)</f>
        <v>0</v>
      </c>
      <c r="J18" s="12">
        <f>SUM(Data!DJ19,Data!DL19,Data!DN19,Data!DP19,Data!DR19,Data!DT19,Data!DV19,Data!DX19,Data!DZ19,Data!EB19,Data!ED19,Data!EF19,Data!EH19,Data!EJ19,Data!EL19,Data!EN19,Data!EP19,Data!ER19,Data!ET19)</f>
        <v>0</v>
      </c>
      <c r="K18" s="12">
        <f>J18-I18</f>
        <v>0</v>
      </c>
      <c r="L18">
        <f>IF(I18=0,IF(J18&gt;0,"New",0),(J18-I18)/I18)</f>
        <v>0</v>
      </c>
      <c r="M18" t="str">
        <f>IF(F18=0,"No 2026 Sales",IF(E18=0,"New Product",IF(AND(ISNUMBER(H18),H18&gt;0.1),"↑ Strong Growth",IF(AND(ISNUMBER(H18),H18&gt;0),"↗ Growth",IF(AND(ISNUMBER(H18),H18&lt;-0.1),"↓ Strong Decline",IF(AND(ISNUMBER(H18),H18&lt;0),"↘ Decline","→ Stable"))))))</f>
        <v>No 2026 Sales</v>
      </c>
      <c r="O18" t="s">
        <v>573</v>
      </c>
      <c r="P18">
        <f>COUNTIF(M2:M554,"↑ Strong Growth")</f>
        <v>47</v>
      </c>
    </row>
    <row r="19" spans="1:18" x14ac:dyDescent="0.35">
      <c r="A19">
        <f>Data!A20</f>
        <v>201</v>
      </c>
      <c r="B19" t="str">
        <f>Data!B20</f>
        <v>BUTCHERY</v>
      </c>
      <c r="C19" s="9">
        <f>Data!C20</f>
        <v>56247</v>
      </c>
      <c r="D19" s="10" t="s">
        <v>800</v>
      </c>
      <c r="E19" s="11">
        <f>SUM(Data!I20,Data!K20,Data!M20,Data!O20,Data!Q20,Data!S20,Data!U20,Data!W20,Data!Y20,Data!AA20,Data!AC20,Data!AE20,Data!AG20,Data!AI20,Data!AK20,Data!AM20,Data!AO20,Data!AQ20,Data!AS20)</f>
        <v>55919.599999999991</v>
      </c>
      <c r="F19" s="11">
        <f>SUM(Data!DI20,Data!DK20,Data!DM20,Data!DO20,Data!DQ20,Data!DS20,Data!DU20,Data!DW20,Data!DY20,Data!EA20,Data!EC20,Data!EE20,Data!EG20,Data!EI20,Data!EK20,Data!EM20,Data!EO20,Data!EQ20,Data!ES20)</f>
        <v>6837.8</v>
      </c>
      <c r="G19" s="11">
        <f>F19-E19</f>
        <v>-49081.799999999988</v>
      </c>
      <c r="H19" s="13">
        <f>IF(E19=0,IF(F19&gt;0,"New",0),(F19-E19)/E19)</f>
        <v>-0.87772087067861704</v>
      </c>
      <c r="I19" s="12">
        <f>SUM(Data!J20,Data!L20,Data!N20,Data!P20,Data!R20,Data!T20,Data!V20,Data!X20,Data!Z20,Data!AB20,Data!AD20,Data!AF20,Data!AH20,Data!AJ20,Data!AL20,Data!AN20,Data!AP20,Data!AR20,Data!AT20)</f>
        <v>3188</v>
      </c>
      <c r="J19" s="12">
        <f>SUM(Data!DJ20,Data!DL20,Data!DN20,Data!DP20,Data!DR20,Data!DT20,Data!DV20,Data!DX20,Data!DZ20,Data!EB20,Data!ED20,Data!EF20,Data!EH20,Data!EJ20,Data!EL20,Data!EN20,Data!EP20,Data!ER20,Data!ET20)</f>
        <v>382</v>
      </c>
      <c r="K19" s="12">
        <f>J19-I19</f>
        <v>-2806</v>
      </c>
      <c r="L19" s="13">
        <f>IF(I19=0,IF(J19&gt;0,"New",0),(J19-I19)/I19)</f>
        <v>-0.88017565872020076</v>
      </c>
      <c r="M19" t="str">
        <f>IF(F19=0,"No 2026 Sales",IF(E19=0,"New Product",IF(AND(ISNUMBER(H19),H19&gt;0.1),"↑ Strong Growth",IF(AND(ISNUMBER(H19),H19&gt;0),"↗ Growth",IF(AND(ISNUMBER(H19),H19&lt;-0.1),"↓ Strong Decline",IF(AND(ISNUMBER(H19),H19&lt;0),"↘ Decline","→ Stable"))))))</f>
        <v>↓ Strong Decline</v>
      </c>
      <c r="O19" t="s">
        <v>574</v>
      </c>
      <c r="P19">
        <f>COUNTIF(M2:M554,"↗ Growth")</f>
        <v>11</v>
      </c>
    </row>
    <row r="20" spans="1:18" hidden="1" x14ac:dyDescent="0.35">
      <c r="A20">
        <f>Data!A21</f>
        <v>201</v>
      </c>
      <c r="B20" t="str">
        <f>Data!B21</f>
        <v>BUTCHERY</v>
      </c>
      <c r="C20" s="9">
        <f>Data!C21</f>
        <v>58663</v>
      </c>
      <c r="D20" s="10" t="s">
        <v>801</v>
      </c>
      <c r="E20" s="11">
        <f>SUM(Data!I21,Data!K21,Data!M21,Data!O21,Data!Q21,Data!S21,Data!U21,Data!W21,Data!Y21,Data!AA21,Data!AC21,Data!AE21,Data!AG21,Data!AI21,Data!AK21,Data!AM21,Data!AO21,Data!AQ21,Data!AS21)</f>
        <v>0</v>
      </c>
      <c r="F20" s="11">
        <f>SUM(Data!DI21,Data!DK21,Data!DM21,Data!DO21,Data!DQ21,Data!DS21,Data!DU21,Data!DW21,Data!DY21,Data!EA21,Data!EC21,Data!EE21,Data!EG21,Data!EI21,Data!EK21,Data!EM21,Data!EO21,Data!EQ21,Data!ES21)</f>
        <v>0</v>
      </c>
      <c r="G20" s="11">
        <f>F20-E20</f>
        <v>0</v>
      </c>
      <c r="H20">
        <f>IF(E20=0,IF(F20&gt;0,"New",0),(F20-E20)/E20)</f>
        <v>0</v>
      </c>
      <c r="I20" s="12">
        <f>SUM(Data!J21,Data!L21,Data!N21,Data!P21,Data!R21,Data!T21,Data!V21,Data!X21,Data!Z21,Data!AB21,Data!AD21,Data!AF21,Data!AH21,Data!AJ21,Data!AL21,Data!AN21,Data!AP21,Data!AR21,Data!AT21)</f>
        <v>0</v>
      </c>
      <c r="J20" s="12">
        <f>SUM(Data!DJ21,Data!DL21,Data!DN21,Data!DP21,Data!DR21,Data!DT21,Data!DV21,Data!DX21,Data!DZ21,Data!EB21,Data!ED21,Data!EF21,Data!EH21,Data!EJ21,Data!EL21,Data!EN21,Data!EP21,Data!ER21,Data!ET21)</f>
        <v>0</v>
      </c>
      <c r="K20" s="12">
        <f>J20-I20</f>
        <v>0</v>
      </c>
      <c r="L20">
        <f>IF(I20=0,IF(J20&gt;0,"New",0),(J20-I20)/I20)</f>
        <v>0</v>
      </c>
      <c r="M20" t="str">
        <f>IF(F20=0,"No 2026 Sales",IF(E20=0,"New Product",IF(AND(ISNUMBER(H20),H20&gt;0.1),"↑ Strong Growth",IF(AND(ISNUMBER(H20),H20&gt;0),"↗ Growth",IF(AND(ISNUMBER(H20),H20&lt;-0.1),"↓ Strong Decline",IF(AND(ISNUMBER(H20),H20&lt;0),"↘ Decline","→ Stable"))))))</f>
        <v>No 2026 Sales</v>
      </c>
      <c r="O20" t="s">
        <v>583</v>
      </c>
      <c r="P20">
        <f>COUNTIF(M2:M554,"→ Stable")</f>
        <v>0</v>
      </c>
    </row>
    <row r="21" spans="1:18" x14ac:dyDescent="0.35">
      <c r="A21">
        <f>Data!A22</f>
        <v>201</v>
      </c>
      <c r="B21" t="str">
        <f>Data!B22</f>
        <v>BUTCHERY</v>
      </c>
      <c r="C21" s="9">
        <f>Data!C22</f>
        <v>61370</v>
      </c>
      <c r="D21" s="10" t="s">
        <v>802</v>
      </c>
      <c r="E21" s="11">
        <f>SUM(Data!I22,Data!K22,Data!M22,Data!O22,Data!Q22,Data!S22,Data!U22,Data!W22,Data!Y22,Data!AA22,Data!AC22,Data!AE22,Data!AG22,Data!AI22,Data!AK22,Data!AM22,Data!AO22,Data!AQ22,Data!AS22)</f>
        <v>0</v>
      </c>
      <c r="F21" s="11">
        <f>SUM(Data!DI22,Data!DK22,Data!DM22,Data!DO22,Data!DQ22,Data!DS22,Data!DU22,Data!DW22,Data!DY22,Data!EA22,Data!EC22,Data!EE22,Data!EG22,Data!EI22,Data!EK22,Data!EM22,Data!EO22,Data!EQ22,Data!ES22)</f>
        <v>302.50434782608681</v>
      </c>
      <c r="G21" s="11">
        <f>F21-E21</f>
        <v>302.50434782608681</v>
      </c>
      <c r="H21" s="13" t="str">
        <f>IF(E21=0,IF(F21&gt;0,"New",0),(F21-E21)/E21)</f>
        <v>New</v>
      </c>
      <c r="I21" s="12">
        <f>SUM(Data!J22,Data!L22,Data!N22,Data!P22,Data!R22,Data!T22,Data!V22,Data!X22,Data!Z22,Data!AB22,Data!AD22,Data!AF22,Data!AH22,Data!AJ22,Data!AL22,Data!AN22,Data!AP22,Data!AR22,Data!AT22)</f>
        <v>0</v>
      </c>
      <c r="J21" s="12">
        <f>SUM(Data!DJ22,Data!DL22,Data!DN22,Data!DP22,Data!DR22,Data!DT22,Data!DV22,Data!DX22,Data!DZ22,Data!EB22,Data!ED22,Data!EF22,Data!EH22,Data!EJ22,Data!EL22,Data!EN22,Data!EP22,Data!ER22,Data!ET22)</f>
        <v>12</v>
      </c>
      <c r="K21" s="12">
        <f>J21-I21</f>
        <v>12</v>
      </c>
      <c r="L21" s="13" t="str">
        <f>IF(I21=0,IF(J21&gt;0,"New",0),(J21-I21)/I21)</f>
        <v>New</v>
      </c>
      <c r="M21" t="str">
        <f>IF(F21=0,"No 2026 Sales",IF(E21=0,"New Product",IF(AND(ISNUMBER(H21),H21&gt;0.1),"↑ Strong Growth",IF(AND(ISNUMBER(H21),H21&gt;0),"↗ Growth",IF(AND(ISNUMBER(H21),H21&lt;-0.1),"↓ Strong Decline",IF(AND(ISNUMBER(H21),H21&lt;0),"↘ Decline","→ Stable"))))))</f>
        <v>New Product</v>
      </c>
      <c r="O21" t="s">
        <v>575</v>
      </c>
      <c r="P21">
        <f>COUNTIF(M2:M554,"↘ Decline")</f>
        <v>12</v>
      </c>
    </row>
    <row r="22" spans="1:18" hidden="1" x14ac:dyDescent="0.35">
      <c r="A22">
        <f>Data!A23</f>
        <v>201</v>
      </c>
      <c r="B22" t="str">
        <f>Data!B23</f>
        <v>BUTCHERY</v>
      </c>
      <c r="C22" s="9">
        <f>Data!C23</f>
        <v>64127</v>
      </c>
      <c r="D22" s="10" t="s">
        <v>803</v>
      </c>
      <c r="E22" s="11">
        <f>SUM(Data!I23,Data!K23,Data!M23,Data!O23,Data!Q23,Data!S23,Data!U23,Data!W23,Data!Y23,Data!AA23,Data!AC23,Data!AE23,Data!AG23,Data!AI23,Data!AK23,Data!AM23,Data!AO23,Data!AQ23,Data!AS23)</f>
        <v>0</v>
      </c>
      <c r="F22" s="11">
        <f>SUM(Data!DI23,Data!DK23,Data!DM23,Data!DO23,Data!DQ23,Data!DS23,Data!DU23,Data!DW23,Data!DY23,Data!EA23,Data!EC23,Data!EE23,Data!EG23,Data!EI23,Data!EK23,Data!EM23,Data!EO23,Data!EQ23,Data!ES23)</f>
        <v>0</v>
      </c>
      <c r="G22" s="11">
        <f>F22-E22</f>
        <v>0</v>
      </c>
      <c r="H22">
        <f>IF(E22=0,IF(F22&gt;0,"New",0),(F22-E22)/E22)</f>
        <v>0</v>
      </c>
      <c r="I22" s="12">
        <f>SUM(Data!J23,Data!L23,Data!N23,Data!P23,Data!R23,Data!T23,Data!V23,Data!X23,Data!Z23,Data!AB23,Data!AD23,Data!AF23,Data!AH23,Data!AJ23,Data!AL23,Data!AN23,Data!AP23,Data!AR23,Data!AT23)</f>
        <v>0</v>
      </c>
      <c r="J22" s="12">
        <f>SUM(Data!DJ23,Data!DL23,Data!DN23,Data!DP23,Data!DR23,Data!DT23,Data!DV23,Data!DX23,Data!DZ23,Data!EB23,Data!ED23,Data!EF23,Data!EH23,Data!EJ23,Data!EL23,Data!EN23,Data!EP23,Data!ER23,Data!ET23)</f>
        <v>0</v>
      </c>
      <c r="K22" s="12">
        <f>J22-I22</f>
        <v>0</v>
      </c>
      <c r="L22">
        <f>IF(I22=0,IF(J22&gt;0,"New",0),(J22-I22)/I22)</f>
        <v>0</v>
      </c>
      <c r="M22" t="str">
        <f>IF(F22=0,"No 2026 Sales",IF(E22=0,"New Product",IF(AND(ISNUMBER(H22),H22&gt;0.1),"↑ Strong Growth",IF(AND(ISNUMBER(H22),H22&gt;0),"↗ Growth",IF(AND(ISNUMBER(H22),H22&lt;-0.1),"↓ Strong Decline",IF(AND(ISNUMBER(H22),H22&lt;0),"↘ Decline","→ Stable"))))))</f>
        <v>No 2026 Sales</v>
      </c>
      <c r="O22" t="s">
        <v>576</v>
      </c>
      <c r="P22">
        <f>COUNTIF(M2:M554,"↓ Strong Decline")</f>
        <v>32</v>
      </c>
    </row>
    <row r="23" spans="1:18" hidden="1" x14ac:dyDescent="0.35">
      <c r="A23">
        <f>Data!A24</f>
        <v>201</v>
      </c>
      <c r="B23" t="str">
        <f>Data!B24</f>
        <v>BUTCHERY</v>
      </c>
      <c r="C23" s="9">
        <f>Data!C24</f>
        <v>64128</v>
      </c>
      <c r="D23" s="10" t="s">
        <v>804</v>
      </c>
      <c r="E23" s="11">
        <f>SUM(Data!I24,Data!K24,Data!M24,Data!O24,Data!Q24,Data!S24,Data!U24,Data!W24,Data!Y24,Data!AA24,Data!AC24,Data!AE24,Data!AG24,Data!AI24,Data!AK24,Data!AM24,Data!AO24,Data!AQ24,Data!AS24)</f>
        <v>0</v>
      </c>
      <c r="F23" s="11">
        <f>SUM(Data!DI24,Data!DK24,Data!DM24,Data!DO24,Data!DQ24,Data!DS24,Data!DU24,Data!DW24,Data!DY24,Data!EA24,Data!EC24,Data!EE24,Data!EG24,Data!EI24,Data!EK24,Data!EM24,Data!EO24,Data!EQ24,Data!ES24)</f>
        <v>0</v>
      </c>
      <c r="G23" s="11">
        <f>F23-E23</f>
        <v>0</v>
      </c>
      <c r="H23">
        <f>IF(E23=0,IF(F23&gt;0,"New",0),(F23-E23)/E23)</f>
        <v>0</v>
      </c>
      <c r="I23" s="12">
        <f>SUM(Data!J24,Data!L24,Data!N24,Data!P24,Data!R24,Data!T24,Data!V24,Data!X24,Data!Z24,Data!AB24,Data!AD24,Data!AF24,Data!AH24,Data!AJ24,Data!AL24,Data!AN24,Data!AP24,Data!AR24,Data!AT24)</f>
        <v>0</v>
      </c>
      <c r="J23" s="12">
        <f>SUM(Data!DJ24,Data!DL24,Data!DN24,Data!DP24,Data!DR24,Data!DT24,Data!DV24,Data!DX24,Data!DZ24,Data!EB24,Data!ED24,Data!EF24,Data!EH24,Data!EJ24,Data!EL24,Data!EN24,Data!EP24,Data!ER24,Data!ET24)</f>
        <v>0</v>
      </c>
      <c r="K23" s="12">
        <f>J23-I23</f>
        <v>0</v>
      </c>
      <c r="L23">
        <f>IF(I23=0,IF(J23&gt;0,"New",0),(J23-I23)/I23)</f>
        <v>0</v>
      </c>
      <c r="M23" t="str">
        <f>IF(F23=0,"No 2026 Sales",IF(E23=0,"New Product",IF(AND(ISNUMBER(H23),H23&gt;0.1),"↑ Strong Growth",IF(AND(ISNUMBER(H23),H23&gt;0),"↗ Growth",IF(AND(ISNUMBER(H23),H23&lt;-0.1),"↓ Strong Decline",IF(AND(ISNUMBER(H23),H23&lt;0),"↘ Decline","→ Stable"))))))</f>
        <v>No 2026 Sales</v>
      </c>
      <c r="O23" t="s">
        <v>584</v>
      </c>
      <c r="P23">
        <f>COUNTIF(M2:M554,"New Product")</f>
        <v>53</v>
      </c>
    </row>
    <row r="24" spans="1:18" hidden="1" x14ac:dyDescent="0.35">
      <c r="A24">
        <f>Data!A25</f>
        <v>201</v>
      </c>
      <c r="B24" t="str">
        <f>Data!B25</f>
        <v>BUTCHERY</v>
      </c>
      <c r="C24" s="9">
        <f>Data!C25</f>
        <v>64129</v>
      </c>
      <c r="D24" s="10" t="s">
        <v>805</v>
      </c>
      <c r="E24" s="11">
        <f>SUM(Data!I25,Data!K25,Data!M25,Data!O25,Data!Q25,Data!S25,Data!U25,Data!W25,Data!Y25,Data!AA25,Data!AC25,Data!AE25,Data!AG25,Data!AI25,Data!AK25,Data!AM25,Data!AO25,Data!AQ25,Data!AS25)</f>
        <v>0</v>
      </c>
      <c r="F24" s="11">
        <f>SUM(Data!DI25,Data!DK25,Data!DM25,Data!DO25,Data!DQ25,Data!DS25,Data!DU25,Data!DW25,Data!DY25,Data!EA25,Data!EC25,Data!EE25,Data!EG25,Data!EI25,Data!EK25,Data!EM25,Data!EO25,Data!EQ25,Data!ES25)</f>
        <v>0</v>
      </c>
      <c r="G24" s="11">
        <f>F24-E24</f>
        <v>0</v>
      </c>
      <c r="H24">
        <f>IF(E24=0,IF(F24&gt;0,"New",0),(F24-E24)/E24)</f>
        <v>0</v>
      </c>
      <c r="I24" s="12">
        <f>SUM(Data!J25,Data!L25,Data!N25,Data!P25,Data!R25,Data!T25,Data!V25,Data!X25,Data!Z25,Data!AB25,Data!AD25,Data!AF25,Data!AH25,Data!AJ25,Data!AL25,Data!AN25,Data!AP25,Data!AR25,Data!AT25)</f>
        <v>0</v>
      </c>
      <c r="J24" s="12">
        <f>SUM(Data!DJ25,Data!DL25,Data!DN25,Data!DP25,Data!DR25,Data!DT25,Data!DV25,Data!DX25,Data!DZ25,Data!EB25,Data!ED25,Data!EF25,Data!EH25,Data!EJ25,Data!EL25,Data!EN25,Data!EP25,Data!ER25,Data!ET25)</f>
        <v>0</v>
      </c>
      <c r="K24" s="12">
        <f>J24-I24</f>
        <v>0</v>
      </c>
      <c r="L24">
        <f>IF(I24=0,IF(J24&gt;0,"New",0),(J24-I24)/I24)</f>
        <v>0</v>
      </c>
      <c r="M24" t="str">
        <f>IF(F24=0,"No 2026 Sales",IF(E24=0,"New Product",IF(AND(ISNUMBER(H24),H24&gt;0.1),"↑ Strong Growth",IF(AND(ISNUMBER(H24),H24&gt;0),"↗ Growth",IF(AND(ISNUMBER(H24),H24&lt;-0.1),"↓ Strong Decline",IF(AND(ISNUMBER(H24),H24&lt;0),"↘ Decline","→ Stable"))))))</f>
        <v>No 2026 Sales</v>
      </c>
    </row>
    <row r="25" spans="1:18" ht="13" hidden="1" customHeight="1" x14ac:dyDescent="0.35">
      <c r="A25">
        <f>Data!A26</f>
        <v>201</v>
      </c>
      <c r="B25" t="str">
        <f>Data!B26</f>
        <v>BUTCHERY</v>
      </c>
      <c r="C25" s="9">
        <f>Data!C26</f>
        <v>64130</v>
      </c>
      <c r="D25" s="10" t="s">
        <v>806</v>
      </c>
      <c r="E25" s="11">
        <f>SUM(Data!I26,Data!K26,Data!M26,Data!O26,Data!Q26,Data!S26,Data!U26,Data!W26,Data!Y26,Data!AA26,Data!AC26,Data!AE26,Data!AG26,Data!AI26,Data!AK26,Data!AM26,Data!AO26,Data!AQ26,Data!AS26)</f>
        <v>0</v>
      </c>
      <c r="F25" s="11">
        <f>SUM(Data!DI26,Data!DK26,Data!DM26,Data!DO26,Data!DQ26,Data!DS26,Data!DU26,Data!DW26,Data!DY26,Data!EA26,Data!EC26,Data!EE26,Data!EG26,Data!EI26,Data!EK26,Data!EM26,Data!EO26,Data!EQ26,Data!ES26)</f>
        <v>0</v>
      </c>
      <c r="G25" s="11">
        <f>F25-E25</f>
        <v>0</v>
      </c>
      <c r="H25">
        <f>IF(E25=0,IF(F25&gt;0,"New",0),(F25-E25)/E25)</f>
        <v>0</v>
      </c>
      <c r="I25" s="12">
        <f>SUM(Data!J26,Data!L26,Data!N26,Data!P26,Data!R26,Data!T26,Data!V26,Data!X26,Data!Z26,Data!AB26,Data!AD26,Data!AF26,Data!AH26,Data!AJ26,Data!AL26,Data!AN26,Data!AP26,Data!AR26,Data!AT26)</f>
        <v>0</v>
      </c>
      <c r="J25" s="12">
        <f>SUM(Data!DJ26,Data!DL26,Data!DN26,Data!DP26,Data!DR26,Data!DT26,Data!DV26,Data!DX26,Data!DZ26,Data!EB26,Data!ED26,Data!EF26,Data!EH26,Data!EJ26,Data!EL26,Data!EN26,Data!EP26,Data!ER26,Data!ET26)</f>
        <v>0</v>
      </c>
      <c r="K25" s="12">
        <f>J25-I25</f>
        <v>0</v>
      </c>
      <c r="L25">
        <f>IF(I25=0,IF(J25&gt;0,"New",0),(J25-I25)/I25)</f>
        <v>0</v>
      </c>
      <c r="M25" t="str">
        <f>IF(F25=0,"No 2026 Sales",IF(E25=0,"New Product",IF(AND(ISNUMBER(H25),H25&gt;0.1),"↑ Strong Growth",IF(AND(ISNUMBER(H25),H25&gt;0),"↗ Growth",IF(AND(ISNUMBER(H25),H25&lt;-0.1),"↓ Strong Decline",IF(AND(ISNUMBER(H25),H25&lt;0),"↘ Decline","→ Stable"))))))</f>
        <v>No 2026 Sales</v>
      </c>
      <c r="O25" s="20" t="s">
        <v>577</v>
      </c>
      <c r="P25" s="20"/>
      <c r="Q25" s="20"/>
      <c r="R25" s="20"/>
    </row>
    <row r="26" spans="1:18" hidden="1" x14ac:dyDescent="0.35">
      <c r="A26">
        <f>Data!A27</f>
        <v>201</v>
      </c>
      <c r="B26" t="str">
        <f>Data!B27</f>
        <v>BUTCHERY</v>
      </c>
      <c r="C26" s="9">
        <f>Data!C27</f>
        <v>64131</v>
      </c>
      <c r="D26" s="10" t="s">
        <v>807</v>
      </c>
      <c r="E26" s="11">
        <f>SUM(Data!I27,Data!K27,Data!M27,Data!O27,Data!Q27,Data!S27,Data!U27,Data!W27,Data!Y27,Data!AA27,Data!AC27,Data!AE27,Data!AG27,Data!AI27,Data!AK27,Data!AM27,Data!AO27,Data!AQ27,Data!AS27)</f>
        <v>0</v>
      </c>
      <c r="F26" s="11">
        <f>SUM(Data!DI27,Data!DK27,Data!DM27,Data!DO27,Data!DQ27,Data!DS27,Data!DU27,Data!DW27,Data!DY27,Data!EA27,Data!EC27,Data!EE27,Data!EG27,Data!EI27,Data!EK27,Data!EM27,Data!EO27,Data!EQ27,Data!ES27)</f>
        <v>0</v>
      </c>
      <c r="G26" s="11">
        <f>F26-E26</f>
        <v>0</v>
      </c>
      <c r="H26">
        <f>IF(E26=0,IF(F26&gt;0,"New",0),(F26-E26)/E26)</f>
        <v>0</v>
      </c>
      <c r="I26" s="12">
        <f>SUM(Data!J27,Data!L27,Data!N27,Data!P27,Data!R27,Data!T27,Data!V27,Data!X27,Data!Z27,Data!AB27,Data!AD27,Data!AF27,Data!AH27,Data!AJ27,Data!AL27,Data!AN27,Data!AP27,Data!AR27,Data!AT27)</f>
        <v>0</v>
      </c>
      <c r="J26" s="12">
        <f>SUM(Data!DJ27,Data!DL27,Data!DN27,Data!DP27,Data!DR27,Data!DT27,Data!DV27,Data!DX27,Data!DZ27,Data!EB27,Data!ED27,Data!EF27,Data!EH27,Data!EJ27,Data!EL27,Data!EN27,Data!EP27,Data!ER27,Data!ET27)</f>
        <v>0</v>
      </c>
      <c r="K26" s="12">
        <f>J26-I26</f>
        <v>0</v>
      </c>
      <c r="L26">
        <f>IF(I26=0,IF(J26&gt;0,"New",0),(J26-I26)/I26)</f>
        <v>0</v>
      </c>
      <c r="M26" t="str">
        <f>IF(F26=0,"No 2026 Sales",IF(E26=0,"New Product",IF(AND(ISNUMBER(H26),H26&gt;0.1),"↑ Strong Growth",IF(AND(ISNUMBER(H26),H26&gt;0),"↗ Growth",IF(AND(ISNUMBER(H26),H26&lt;-0.1),"↓ Strong Decline",IF(AND(ISNUMBER(H26),H26&lt;0),"↘ Decline","→ Stable"))))))</f>
        <v>No 2026 Sales</v>
      </c>
      <c r="O26" s="7" t="s">
        <v>578</v>
      </c>
      <c r="P26" s="7" t="s">
        <v>579</v>
      </c>
      <c r="Q26" s="7" t="s">
        <v>580</v>
      </c>
      <c r="R26" s="7" t="s">
        <v>581</v>
      </c>
    </row>
    <row r="27" spans="1:18" hidden="1" x14ac:dyDescent="0.35">
      <c r="A27">
        <f>Data!A28</f>
        <v>201</v>
      </c>
      <c r="B27" t="str">
        <f>Data!B28</f>
        <v>BUTCHERY</v>
      </c>
      <c r="C27" s="9">
        <f>Data!C28</f>
        <v>64132</v>
      </c>
      <c r="D27" s="10" t="s">
        <v>808</v>
      </c>
      <c r="E27" s="11">
        <f>SUM(Data!I28,Data!K28,Data!M28,Data!O28,Data!Q28,Data!S28,Data!U28,Data!W28,Data!Y28,Data!AA28,Data!AC28,Data!AE28,Data!AG28,Data!AI28,Data!AK28,Data!AM28,Data!AO28,Data!AQ28,Data!AS28)</f>
        <v>0</v>
      </c>
      <c r="F27" s="11">
        <f>SUM(Data!DI28,Data!DK28,Data!DM28,Data!DO28,Data!DQ28,Data!DS28,Data!DU28,Data!DW28,Data!DY28,Data!EA28,Data!EC28,Data!EE28,Data!EG28,Data!EI28,Data!EK28,Data!EM28,Data!EO28,Data!EQ28,Data!ES28)</f>
        <v>0</v>
      </c>
      <c r="G27" s="11">
        <f>F27-E27</f>
        <v>0</v>
      </c>
      <c r="H27">
        <f>IF(E27=0,IF(F27&gt;0,"New",0),(F27-E27)/E27)</f>
        <v>0</v>
      </c>
      <c r="I27" s="12">
        <f>SUM(Data!J28,Data!L28,Data!N28,Data!P28,Data!R28,Data!T28,Data!V28,Data!X28,Data!Z28,Data!AB28,Data!AD28,Data!AF28,Data!AH28,Data!AJ28,Data!AL28,Data!AN28,Data!AP28,Data!AR28,Data!AT28)</f>
        <v>0</v>
      </c>
      <c r="J27" s="12">
        <f>SUM(Data!DJ28,Data!DL28,Data!DN28,Data!DP28,Data!DR28,Data!DT28,Data!DV28,Data!DX28,Data!DZ28,Data!EB28,Data!ED28,Data!EF28,Data!EH28,Data!EJ28,Data!EL28,Data!EN28,Data!EP28,Data!ER28,Data!ET28)</f>
        <v>0</v>
      </c>
      <c r="K27" s="12">
        <f>J27-I27</f>
        <v>0</v>
      </c>
      <c r="L27">
        <f>IF(I27=0,IF(J27&gt;0,"New",0),(J27-I27)/I27)</f>
        <v>0</v>
      </c>
      <c r="M27" t="str">
        <f>IF(F27=0,"No 2026 Sales",IF(E27=0,"New Product",IF(AND(ISNUMBER(H27),H27&gt;0.1),"↑ Strong Growth",IF(AND(ISNUMBER(H27),H27&gt;0),"↗ Growth",IF(AND(ISNUMBER(H27),H27&lt;-0.1),"↓ Strong Decline",IF(AND(ISNUMBER(H27),H27&lt;0),"↘ Decline","→ Stable"))))))</f>
        <v>No 2026 Sales</v>
      </c>
      <c r="O27" t="s">
        <v>380</v>
      </c>
      <c r="P27" s="11">
        <v>2953.1043478260899</v>
      </c>
      <c r="Q27" s="11">
        <v>21912.747826087001</v>
      </c>
      <c r="R27" s="13">
        <v>6.4202416322396196</v>
      </c>
    </row>
    <row r="28" spans="1:18" hidden="1" x14ac:dyDescent="0.35">
      <c r="A28">
        <f>Data!A29</f>
        <v>201</v>
      </c>
      <c r="B28" t="str">
        <f>Data!B29</f>
        <v>BUTCHERY</v>
      </c>
      <c r="C28" s="9">
        <f>Data!C29</f>
        <v>64487</v>
      </c>
      <c r="D28" s="10" t="s">
        <v>809</v>
      </c>
      <c r="E28" s="11">
        <f>SUM(Data!I29,Data!K29,Data!M29,Data!O29,Data!Q29,Data!S29,Data!U29,Data!W29,Data!Y29,Data!AA29,Data!AC29,Data!AE29,Data!AG29,Data!AI29,Data!AK29,Data!AM29,Data!AO29,Data!AQ29,Data!AS29)</f>
        <v>0</v>
      </c>
      <c r="F28" s="11">
        <f>SUM(Data!DI29,Data!DK29,Data!DM29,Data!DO29,Data!DQ29,Data!DS29,Data!DU29,Data!DW29,Data!DY29,Data!EA29,Data!EC29,Data!EE29,Data!EG29,Data!EI29,Data!EK29,Data!EM29,Data!EO29,Data!EQ29,Data!ES29)</f>
        <v>0</v>
      </c>
      <c r="G28" s="11">
        <f>F28-E28</f>
        <v>0</v>
      </c>
      <c r="H28">
        <f>IF(E28=0,IF(F28&gt;0,"New",0),(F28-E28)/E28)</f>
        <v>0</v>
      </c>
      <c r="I28" s="12">
        <f>SUM(Data!J29,Data!L29,Data!N29,Data!P29,Data!R29,Data!T29,Data!V29,Data!X29,Data!Z29,Data!AB29,Data!AD29,Data!AF29,Data!AH29,Data!AJ29,Data!AL29,Data!AN29,Data!AP29,Data!AR29,Data!AT29)</f>
        <v>0</v>
      </c>
      <c r="J28" s="12">
        <f>SUM(Data!DJ29,Data!DL29,Data!DN29,Data!DP29,Data!DR29,Data!DT29,Data!DV29,Data!DX29,Data!DZ29,Data!EB29,Data!ED29,Data!EF29,Data!EH29,Data!EJ29,Data!EL29,Data!EN29,Data!EP29,Data!ER29,Data!ET29)</f>
        <v>0</v>
      </c>
      <c r="K28" s="12">
        <f>J28-I28</f>
        <v>0</v>
      </c>
      <c r="L28">
        <f>IF(I28=0,IF(J28&gt;0,"New",0),(J28-I28)/I28)</f>
        <v>0</v>
      </c>
      <c r="M28" t="str">
        <f>IF(F28=0,"No 2026 Sales",IF(E28=0,"New Product",IF(AND(ISNUMBER(H28),H28&gt;0.1),"↑ Strong Growth",IF(AND(ISNUMBER(H28),H28&gt;0),"↗ Growth",IF(AND(ISNUMBER(H28),H28&lt;-0.1),"↓ Strong Decline",IF(AND(ISNUMBER(H28),H28&lt;0),"↘ Decline","→ Stable"))))))</f>
        <v>No 2026 Sales</v>
      </c>
      <c r="O28" t="s">
        <v>375</v>
      </c>
      <c r="P28" s="11">
        <v>2901.47826086957</v>
      </c>
      <c r="Q28" s="11">
        <v>18843.0869565217</v>
      </c>
      <c r="R28" s="13">
        <v>5.4943057511912903</v>
      </c>
    </row>
    <row r="29" spans="1:18" hidden="1" x14ac:dyDescent="0.35">
      <c r="A29">
        <f>Data!A30</f>
        <v>201</v>
      </c>
      <c r="B29" t="str">
        <f>Data!B30</f>
        <v>BUTCHERY</v>
      </c>
      <c r="C29" s="9">
        <f>Data!C30</f>
        <v>64922</v>
      </c>
      <c r="D29" s="10" t="s">
        <v>810</v>
      </c>
      <c r="E29" s="11">
        <f>SUM(Data!I30,Data!K30,Data!M30,Data!O30,Data!Q30,Data!S30,Data!U30,Data!W30,Data!Y30,Data!AA30,Data!AC30,Data!AE30,Data!AG30,Data!AI30,Data!AK30,Data!AM30,Data!AO30,Data!AQ30,Data!AS30)</f>
        <v>0</v>
      </c>
      <c r="F29" s="11">
        <f>SUM(Data!DI30,Data!DK30,Data!DM30,Data!DO30,Data!DQ30,Data!DS30,Data!DU30,Data!DW30,Data!DY30,Data!EA30,Data!EC30,Data!EE30,Data!EG30,Data!EI30,Data!EK30,Data!EM30,Data!EO30,Data!EQ30,Data!ES30)</f>
        <v>0</v>
      </c>
      <c r="G29" s="11">
        <f>F29-E29</f>
        <v>0</v>
      </c>
      <c r="H29">
        <f>IF(E29=0,IF(F29&gt;0,"New",0),(F29-E29)/E29)</f>
        <v>0</v>
      </c>
      <c r="I29" s="12">
        <f>SUM(Data!J30,Data!L30,Data!N30,Data!P30,Data!R30,Data!T30,Data!V30,Data!X30,Data!Z30,Data!AB30,Data!AD30,Data!AF30,Data!AH30,Data!AJ30,Data!AL30,Data!AN30,Data!AP30,Data!AR30,Data!AT30)</f>
        <v>0</v>
      </c>
      <c r="J29" s="12">
        <f>SUM(Data!DJ30,Data!DL30,Data!DN30,Data!DP30,Data!DR30,Data!DT30,Data!DV30,Data!DX30,Data!DZ30,Data!EB30,Data!ED30,Data!EF30,Data!EH30,Data!EJ30,Data!EL30,Data!EN30,Data!EP30,Data!ER30,Data!ET30)</f>
        <v>0</v>
      </c>
      <c r="K29" s="12">
        <f>J29-I29</f>
        <v>0</v>
      </c>
      <c r="L29">
        <f>IF(I29=0,IF(J29&gt;0,"New",0),(J29-I29)/I29)</f>
        <v>0</v>
      </c>
      <c r="M29" t="str">
        <f>IF(F29=0,"No 2026 Sales",IF(E29=0,"New Product",IF(AND(ISNUMBER(H29),H29&gt;0.1),"↑ Strong Growth",IF(AND(ISNUMBER(H29),H29&gt;0),"↗ Growth",IF(AND(ISNUMBER(H29),H29&lt;-0.1),"↓ Strong Decline",IF(AND(ISNUMBER(H29),H29&lt;0),"↘ Decline","→ Stable"))))))</f>
        <v>No 2026 Sales</v>
      </c>
      <c r="O29" t="s">
        <v>203</v>
      </c>
      <c r="P29" s="11">
        <v>121.730434782609</v>
      </c>
      <c r="Q29" s="11">
        <v>730.37391304347796</v>
      </c>
      <c r="R29" s="13">
        <v>4.9999285663261599</v>
      </c>
    </row>
    <row r="30" spans="1:18" hidden="1" x14ac:dyDescent="0.35">
      <c r="A30">
        <f>Data!A31</f>
        <v>201</v>
      </c>
      <c r="B30" t="str">
        <f>Data!B31</f>
        <v>BUTCHERY</v>
      </c>
      <c r="C30" s="9">
        <f>Data!C31</f>
        <v>64923</v>
      </c>
      <c r="D30" s="10" t="s">
        <v>811</v>
      </c>
      <c r="E30" s="11">
        <f>SUM(Data!I31,Data!K31,Data!M31,Data!O31,Data!Q31,Data!S31,Data!U31,Data!W31,Data!Y31,Data!AA31,Data!AC31,Data!AE31,Data!AG31,Data!AI31,Data!AK31,Data!AM31,Data!AO31,Data!AQ31,Data!AS31)</f>
        <v>0</v>
      </c>
      <c r="F30" s="11">
        <f>SUM(Data!DI31,Data!DK31,Data!DM31,Data!DO31,Data!DQ31,Data!DS31,Data!DU31,Data!DW31,Data!DY31,Data!EA31,Data!EC31,Data!EE31,Data!EG31,Data!EI31,Data!EK31,Data!EM31,Data!EO31,Data!EQ31,Data!ES31)</f>
        <v>0</v>
      </c>
      <c r="G30" s="11">
        <f>F30-E30</f>
        <v>0</v>
      </c>
      <c r="H30">
        <f>IF(E30=0,IF(F30&gt;0,"New",0),(F30-E30)/E30)</f>
        <v>0</v>
      </c>
      <c r="I30" s="12">
        <f>SUM(Data!J31,Data!L31,Data!N31,Data!P31,Data!R31,Data!T31,Data!V31,Data!X31,Data!Z31,Data!AB31,Data!AD31,Data!AF31,Data!AH31,Data!AJ31,Data!AL31,Data!AN31,Data!AP31,Data!AR31,Data!AT31)</f>
        <v>0</v>
      </c>
      <c r="J30" s="12">
        <f>SUM(Data!DJ31,Data!DL31,Data!DN31,Data!DP31,Data!DR31,Data!DT31,Data!DV31,Data!DX31,Data!DZ31,Data!EB31,Data!ED31,Data!EF31,Data!EH31,Data!EJ31,Data!EL31,Data!EN31,Data!EP31,Data!ER31,Data!ET31)</f>
        <v>0</v>
      </c>
      <c r="K30" s="12">
        <f>J30-I30</f>
        <v>0</v>
      </c>
      <c r="L30">
        <f>IF(I30=0,IF(J30&gt;0,"New",0),(J30-I30)/I30)</f>
        <v>0</v>
      </c>
      <c r="M30" t="str">
        <f>IF(F30=0,"No 2026 Sales",IF(E30=0,"New Product",IF(AND(ISNUMBER(H30),H30&gt;0.1),"↑ Strong Growth",IF(AND(ISNUMBER(H30),H30&gt;0),"↗ Growth",IF(AND(ISNUMBER(H30),H30&lt;-0.1),"↓ Strong Decline",IF(AND(ISNUMBER(H30),H30&lt;0),"↘ Decline","→ Stable"))))))</f>
        <v>No 2026 Sales</v>
      </c>
      <c r="O30" t="s">
        <v>149</v>
      </c>
      <c r="P30" s="11">
        <v>1382.6695652173901</v>
      </c>
      <c r="Q30" s="11">
        <v>7642.1217391304399</v>
      </c>
      <c r="R30" s="13">
        <v>4.5270774242643403</v>
      </c>
    </row>
    <row r="31" spans="1:18" hidden="1" x14ac:dyDescent="0.35">
      <c r="A31">
        <f>Data!A32</f>
        <v>201</v>
      </c>
      <c r="B31" t="str">
        <f>Data!B32</f>
        <v>BUTCHERY</v>
      </c>
      <c r="C31" s="9">
        <f>Data!C32</f>
        <v>64924</v>
      </c>
      <c r="D31" s="10" t="s">
        <v>812</v>
      </c>
      <c r="E31" s="11">
        <f>SUM(Data!I32,Data!K32,Data!M32,Data!O32,Data!Q32,Data!S32,Data!U32,Data!W32,Data!Y32,Data!AA32,Data!AC32,Data!AE32,Data!AG32,Data!AI32,Data!AK32,Data!AM32,Data!AO32,Data!AQ32,Data!AS32)</f>
        <v>0</v>
      </c>
      <c r="F31" s="11">
        <f>SUM(Data!DI32,Data!DK32,Data!DM32,Data!DO32,Data!DQ32,Data!DS32,Data!DU32,Data!DW32,Data!DY32,Data!EA32,Data!EC32,Data!EE32,Data!EG32,Data!EI32,Data!EK32,Data!EM32,Data!EO32,Data!EQ32,Data!ES32)</f>
        <v>0</v>
      </c>
      <c r="G31" s="11">
        <f>F31-E31</f>
        <v>0</v>
      </c>
      <c r="H31">
        <f>IF(E31=0,IF(F31&gt;0,"New",0),(F31-E31)/E31)</f>
        <v>0</v>
      </c>
      <c r="I31" s="12">
        <f>SUM(Data!J32,Data!L32,Data!N32,Data!P32,Data!R32,Data!T32,Data!V32,Data!X32,Data!Z32,Data!AB32,Data!AD32,Data!AF32,Data!AH32,Data!AJ32,Data!AL32,Data!AN32,Data!AP32,Data!AR32,Data!AT32)</f>
        <v>0</v>
      </c>
      <c r="J31" s="12">
        <f>SUM(Data!DJ32,Data!DL32,Data!DN32,Data!DP32,Data!DR32,Data!DT32,Data!DV32,Data!DX32,Data!DZ32,Data!EB32,Data!ED32,Data!EF32,Data!EH32,Data!EJ32,Data!EL32,Data!EN32,Data!EP32,Data!ER32,Data!ET32)</f>
        <v>0</v>
      </c>
      <c r="K31" s="12">
        <f>J31-I31</f>
        <v>0</v>
      </c>
      <c r="L31">
        <f>IF(I31=0,IF(J31&gt;0,"New",0),(J31-I31)/I31)</f>
        <v>0</v>
      </c>
      <c r="M31" t="str">
        <f>IF(F31=0,"No 2026 Sales",IF(E31=0,"New Product",IF(AND(ISNUMBER(H31),H31&gt;0.1),"↑ Strong Growth",IF(AND(ISNUMBER(H31),H31&gt;0),"↗ Growth",IF(AND(ISNUMBER(H31),H31&lt;-0.1),"↓ Strong Decline",IF(AND(ISNUMBER(H31),H31&lt;0),"↘ Decline","→ Stable"))))))</f>
        <v>No 2026 Sales</v>
      </c>
      <c r="O31" t="s">
        <v>374</v>
      </c>
      <c r="P31" s="11">
        <v>4831.0956521739099</v>
      </c>
      <c r="Q31" s="11">
        <v>26588.695652173901</v>
      </c>
      <c r="R31" s="13">
        <v>4.5036574654052703</v>
      </c>
    </row>
    <row r="32" spans="1:18" hidden="1" x14ac:dyDescent="0.35">
      <c r="A32">
        <f>Data!A33</f>
        <v>201</v>
      </c>
      <c r="B32" t="str">
        <f>Data!B33</f>
        <v>BUTCHERY</v>
      </c>
      <c r="C32" s="9">
        <f>Data!C33</f>
        <v>64928</v>
      </c>
      <c r="D32" s="10" t="s">
        <v>813</v>
      </c>
      <c r="E32" s="11">
        <f>SUM(Data!I33,Data!K33,Data!M33,Data!O33,Data!Q33,Data!S33,Data!U33,Data!W33,Data!Y33,Data!AA33,Data!AC33,Data!AE33,Data!AG33,Data!AI33,Data!AK33,Data!AM33,Data!AO33,Data!AQ33,Data!AS33)</f>
        <v>0</v>
      </c>
      <c r="F32" s="11">
        <f>SUM(Data!DI33,Data!DK33,Data!DM33,Data!DO33,Data!DQ33,Data!DS33,Data!DU33,Data!DW33,Data!DY33,Data!EA33,Data!EC33,Data!EE33,Data!EG33,Data!EI33,Data!EK33,Data!EM33,Data!EO33,Data!EQ33,Data!ES33)</f>
        <v>0</v>
      </c>
      <c r="G32" s="11">
        <f>F32-E32</f>
        <v>0</v>
      </c>
      <c r="H32">
        <f>IF(E32=0,IF(F32&gt;0,"New",0),(F32-E32)/E32)</f>
        <v>0</v>
      </c>
      <c r="I32" s="12">
        <f>SUM(Data!J33,Data!L33,Data!N33,Data!P33,Data!R33,Data!T33,Data!V33,Data!X33,Data!Z33,Data!AB33,Data!AD33,Data!AF33,Data!AH33,Data!AJ33,Data!AL33,Data!AN33,Data!AP33,Data!AR33,Data!AT33)</f>
        <v>0</v>
      </c>
      <c r="J32" s="12">
        <f>SUM(Data!DJ33,Data!DL33,Data!DN33,Data!DP33,Data!DR33,Data!DT33,Data!DV33,Data!DX33,Data!DZ33,Data!EB33,Data!ED33,Data!EF33,Data!EH33,Data!EJ33,Data!EL33,Data!EN33,Data!EP33,Data!ER33,Data!ET33)</f>
        <v>0</v>
      </c>
      <c r="K32" s="12">
        <f>J32-I32</f>
        <v>0</v>
      </c>
      <c r="L32">
        <f>IF(I32=0,IF(J32&gt;0,"New",0),(J32-I32)/I32)</f>
        <v>0</v>
      </c>
      <c r="M32" t="str">
        <f>IF(F32=0,"No 2026 Sales",IF(E32=0,"New Product",IF(AND(ISNUMBER(H32),H32&gt;0.1),"↑ Strong Growth",IF(AND(ISNUMBER(H32),H32&gt;0),"↗ Growth",IF(AND(ISNUMBER(H32),H32&lt;-0.1),"↓ Strong Decline",IF(AND(ISNUMBER(H32),H32&lt;0),"↘ Decline","→ Stable"))))))</f>
        <v>No 2026 Sales</v>
      </c>
      <c r="O32" t="s">
        <v>418</v>
      </c>
      <c r="P32" s="11">
        <v>4723.04347826087</v>
      </c>
      <c r="Q32" s="11">
        <v>21505.347826087</v>
      </c>
      <c r="R32" s="13">
        <v>3.55328178219645</v>
      </c>
    </row>
    <row r="33" spans="1:18" hidden="1" x14ac:dyDescent="0.35">
      <c r="A33">
        <f>Data!A34</f>
        <v>201</v>
      </c>
      <c r="B33" t="str">
        <f>Data!B34</f>
        <v>BUTCHERY</v>
      </c>
      <c r="C33" s="9">
        <f>Data!C34</f>
        <v>64929</v>
      </c>
      <c r="D33" s="10" t="s">
        <v>814</v>
      </c>
      <c r="E33" s="11">
        <f>SUM(Data!I34,Data!K34,Data!M34,Data!O34,Data!Q34,Data!S34,Data!U34,Data!W34,Data!Y34,Data!AA34,Data!AC34,Data!AE34,Data!AG34,Data!AI34,Data!AK34,Data!AM34,Data!AO34,Data!AQ34,Data!AS34)</f>
        <v>0</v>
      </c>
      <c r="F33" s="11">
        <f>SUM(Data!DI34,Data!DK34,Data!DM34,Data!DO34,Data!DQ34,Data!DS34,Data!DU34,Data!DW34,Data!DY34,Data!EA34,Data!EC34,Data!EE34,Data!EG34,Data!EI34,Data!EK34,Data!EM34,Data!EO34,Data!EQ34,Data!ES34)</f>
        <v>0</v>
      </c>
      <c r="G33" s="11">
        <f>F33-E33</f>
        <v>0</v>
      </c>
      <c r="H33">
        <f>IF(E33=0,IF(F33&gt;0,"New",0),(F33-E33)/E33)</f>
        <v>0</v>
      </c>
      <c r="I33" s="12">
        <f>SUM(Data!J34,Data!L34,Data!N34,Data!P34,Data!R34,Data!T34,Data!V34,Data!X34,Data!Z34,Data!AB34,Data!AD34,Data!AF34,Data!AH34,Data!AJ34,Data!AL34,Data!AN34,Data!AP34,Data!AR34,Data!AT34)</f>
        <v>0</v>
      </c>
      <c r="J33" s="12">
        <f>SUM(Data!DJ34,Data!DL34,Data!DN34,Data!DP34,Data!DR34,Data!DT34,Data!DV34,Data!DX34,Data!DZ34,Data!EB34,Data!ED34,Data!EF34,Data!EH34,Data!EJ34,Data!EL34,Data!EN34,Data!EP34,Data!ER34,Data!ET34)</f>
        <v>0</v>
      </c>
      <c r="K33" s="12">
        <f>J33-I33</f>
        <v>0</v>
      </c>
      <c r="L33">
        <f>IF(I33=0,IF(J33&gt;0,"New",0),(J33-I33)/I33)</f>
        <v>0</v>
      </c>
      <c r="M33" t="str">
        <f>IF(F33=0,"No 2026 Sales",IF(E33=0,"New Product",IF(AND(ISNUMBER(H33),H33&gt;0.1),"↑ Strong Growth",IF(AND(ISNUMBER(H33),H33&gt;0),"↗ Growth",IF(AND(ISNUMBER(H33),H33&lt;-0.1),"↓ Strong Decline",IF(AND(ISNUMBER(H33),H33&lt;0),"↘ Decline","→ Stable"))))))</f>
        <v>No 2026 Sales</v>
      </c>
      <c r="O33" t="s">
        <v>182</v>
      </c>
      <c r="P33" s="11">
        <v>2248.1739130434798</v>
      </c>
      <c r="Q33" s="11">
        <v>7482.2434782608698</v>
      </c>
      <c r="R33" s="13">
        <v>2.3281426471725899</v>
      </c>
    </row>
    <row r="34" spans="1:18" hidden="1" x14ac:dyDescent="0.35">
      <c r="A34">
        <f>Data!A35</f>
        <v>201</v>
      </c>
      <c r="B34" t="str">
        <f>Data!B35</f>
        <v>BUTCHERY</v>
      </c>
      <c r="C34" s="9">
        <f>Data!C35</f>
        <v>64930</v>
      </c>
      <c r="D34" s="10" t="s">
        <v>815</v>
      </c>
      <c r="E34" s="11">
        <f>SUM(Data!I35,Data!K35,Data!M35,Data!O35,Data!Q35,Data!S35,Data!U35,Data!W35,Data!Y35,Data!AA35,Data!AC35,Data!AE35,Data!AG35,Data!AI35,Data!AK35,Data!AM35,Data!AO35,Data!AQ35,Data!AS35)</f>
        <v>0</v>
      </c>
      <c r="F34" s="11">
        <f>SUM(Data!DI35,Data!DK35,Data!DM35,Data!DO35,Data!DQ35,Data!DS35,Data!DU35,Data!DW35,Data!DY35,Data!EA35,Data!EC35,Data!EE35,Data!EG35,Data!EI35,Data!EK35,Data!EM35,Data!EO35,Data!EQ35,Data!ES35)</f>
        <v>0</v>
      </c>
      <c r="G34" s="11">
        <f>F34-E34</f>
        <v>0</v>
      </c>
      <c r="H34">
        <f>IF(E34=0,IF(F34&gt;0,"New",0),(F34-E34)/E34)</f>
        <v>0</v>
      </c>
      <c r="I34" s="12">
        <f>SUM(Data!J35,Data!L35,Data!N35,Data!P35,Data!R35,Data!T35,Data!V35,Data!X35,Data!Z35,Data!AB35,Data!AD35,Data!AF35,Data!AH35,Data!AJ35,Data!AL35,Data!AN35,Data!AP35,Data!AR35,Data!AT35)</f>
        <v>0</v>
      </c>
      <c r="J34" s="12">
        <f>SUM(Data!DJ35,Data!DL35,Data!DN35,Data!DP35,Data!DR35,Data!DT35,Data!DV35,Data!DX35,Data!DZ35,Data!EB35,Data!ED35,Data!EF35,Data!EH35,Data!EJ35,Data!EL35,Data!EN35,Data!EP35,Data!ER35,Data!ET35)</f>
        <v>0</v>
      </c>
      <c r="K34" s="12">
        <f>J34-I34</f>
        <v>0</v>
      </c>
      <c r="L34">
        <f>IF(I34=0,IF(J34&gt;0,"New",0),(J34-I34)/I34)</f>
        <v>0</v>
      </c>
      <c r="M34" t="str">
        <f>IF(F34=0,"No 2026 Sales",IF(E34=0,"New Product",IF(AND(ISNUMBER(H34),H34&gt;0.1),"↑ Strong Growth",IF(AND(ISNUMBER(H34),H34&gt;0),"↗ Growth",IF(AND(ISNUMBER(H34),H34&lt;-0.1),"↓ Strong Decline",IF(AND(ISNUMBER(H34),H34&lt;0),"↘ Decline","→ Stable"))))))</f>
        <v>No 2026 Sales</v>
      </c>
      <c r="O34" t="s">
        <v>165</v>
      </c>
      <c r="P34" s="11">
        <v>1068.2</v>
      </c>
      <c r="Q34" s="11">
        <v>3400.45217391304</v>
      </c>
      <c r="R34" s="13">
        <v>2.1833478505083699</v>
      </c>
    </row>
    <row r="35" spans="1:18" hidden="1" x14ac:dyDescent="0.35">
      <c r="A35">
        <f>Data!A36</f>
        <v>201</v>
      </c>
      <c r="B35" t="str">
        <f>Data!B36</f>
        <v>BUTCHERY</v>
      </c>
      <c r="C35" s="9">
        <f>Data!C36</f>
        <v>64933</v>
      </c>
      <c r="D35" s="10" t="s">
        <v>816</v>
      </c>
      <c r="E35" s="11">
        <f>SUM(Data!I36,Data!K36,Data!M36,Data!O36,Data!Q36,Data!S36,Data!U36,Data!W36,Data!Y36,Data!AA36,Data!AC36,Data!AE36,Data!AG36,Data!AI36,Data!AK36,Data!AM36,Data!AO36,Data!AQ36,Data!AS36)</f>
        <v>0</v>
      </c>
      <c r="F35" s="11">
        <f>SUM(Data!DI36,Data!DK36,Data!DM36,Data!DO36,Data!DQ36,Data!DS36,Data!DU36,Data!DW36,Data!DY36,Data!EA36,Data!EC36,Data!EE36,Data!EG36,Data!EI36,Data!EK36,Data!EM36,Data!EO36,Data!EQ36,Data!ES36)</f>
        <v>0</v>
      </c>
      <c r="G35" s="11">
        <f>F35-E35</f>
        <v>0</v>
      </c>
      <c r="H35">
        <f>IF(E35=0,IF(F35&gt;0,"New",0),(F35-E35)/E35)</f>
        <v>0</v>
      </c>
      <c r="I35" s="12">
        <f>SUM(Data!J36,Data!L36,Data!N36,Data!P36,Data!R36,Data!T36,Data!V36,Data!X36,Data!Z36,Data!AB36,Data!AD36,Data!AF36,Data!AH36,Data!AJ36,Data!AL36,Data!AN36,Data!AP36,Data!AR36,Data!AT36)</f>
        <v>0</v>
      </c>
      <c r="J35" s="12">
        <f>SUM(Data!DJ36,Data!DL36,Data!DN36,Data!DP36,Data!DR36,Data!DT36,Data!DV36,Data!DX36,Data!DZ36,Data!EB36,Data!ED36,Data!EF36,Data!EH36,Data!EJ36,Data!EL36,Data!EN36,Data!EP36,Data!ER36,Data!ET36)</f>
        <v>0</v>
      </c>
      <c r="K35" s="12">
        <f>J35-I35</f>
        <v>0</v>
      </c>
      <c r="L35">
        <f>IF(I35=0,IF(J35&gt;0,"New",0),(J35-I35)/I35)</f>
        <v>0</v>
      </c>
      <c r="M35" t="str">
        <f>IF(F35=0,"No 2026 Sales",IF(E35=0,"New Product",IF(AND(ISNUMBER(H35),H35&gt;0.1),"↑ Strong Growth",IF(AND(ISNUMBER(H35),H35&gt;0),"↗ Growth",IF(AND(ISNUMBER(H35),H35&lt;-0.1),"↓ Strong Decline",IF(AND(ISNUMBER(H35),H35&lt;0),"↘ Decline","→ Stable"))))))</f>
        <v>No 2026 Sales</v>
      </c>
      <c r="O35" t="s">
        <v>161</v>
      </c>
      <c r="P35" s="11">
        <v>3361.6608695652199</v>
      </c>
      <c r="Q35" s="11">
        <v>10240.8260869565</v>
      </c>
      <c r="R35" s="13">
        <v>2.04635907199081</v>
      </c>
    </row>
    <row r="36" spans="1:18" hidden="1" x14ac:dyDescent="0.35">
      <c r="A36">
        <f>Data!A37</f>
        <v>201</v>
      </c>
      <c r="B36" t="str">
        <f>Data!B37</f>
        <v>BUTCHERY</v>
      </c>
      <c r="C36" s="9">
        <f>Data!C37</f>
        <v>64934</v>
      </c>
      <c r="D36" s="10" t="s">
        <v>817</v>
      </c>
      <c r="E36" s="11">
        <f>SUM(Data!I37,Data!K37,Data!M37,Data!O37,Data!Q37,Data!S37,Data!U37,Data!W37,Data!Y37,Data!AA37,Data!AC37,Data!AE37,Data!AG37,Data!AI37,Data!AK37,Data!AM37,Data!AO37,Data!AQ37,Data!AS37)</f>
        <v>0</v>
      </c>
      <c r="F36" s="11">
        <f>SUM(Data!DI37,Data!DK37,Data!DM37,Data!DO37,Data!DQ37,Data!DS37,Data!DU37,Data!DW37,Data!DY37,Data!EA37,Data!EC37,Data!EE37,Data!EG37,Data!EI37,Data!EK37,Data!EM37,Data!EO37,Data!EQ37,Data!ES37)</f>
        <v>0</v>
      </c>
      <c r="G36" s="11">
        <f>F36-E36</f>
        <v>0</v>
      </c>
      <c r="H36">
        <f>IF(E36=0,IF(F36&gt;0,"New",0),(F36-E36)/E36)</f>
        <v>0</v>
      </c>
      <c r="I36" s="12">
        <f>SUM(Data!J37,Data!L37,Data!N37,Data!P37,Data!R37,Data!T37,Data!V37,Data!X37,Data!Z37,Data!AB37,Data!AD37,Data!AF37,Data!AH37,Data!AJ37,Data!AL37,Data!AN37,Data!AP37,Data!AR37,Data!AT37)</f>
        <v>0</v>
      </c>
      <c r="J36" s="12">
        <f>SUM(Data!DJ37,Data!DL37,Data!DN37,Data!DP37,Data!DR37,Data!DT37,Data!DV37,Data!DX37,Data!DZ37,Data!EB37,Data!ED37,Data!EF37,Data!EH37,Data!EJ37,Data!EL37,Data!EN37,Data!EP37,Data!ER37,Data!ET37)</f>
        <v>0</v>
      </c>
      <c r="K36" s="12">
        <f>J36-I36</f>
        <v>0</v>
      </c>
      <c r="L36">
        <f>IF(I36=0,IF(J36&gt;0,"New",0),(J36-I36)/I36)</f>
        <v>0</v>
      </c>
      <c r="M36" t="str">
        <f>IF(F36=0,"No 2026 Sales",IF(E36=0,"New Product",IF(AND(ISNUMBER(H36),H36&gt;0.1),"↑ Strong Growth",IF(AND(ISNUMBER(H36),H36&gt;0),"↗ Growth",IF(AND(ISNUMBER(H36),H36&lt;-0.1),"↓ Strong Decline",IF(AND(ISNUMBER(H36),H36&lt;0),"↘ Decline","→ Stable"))))))</f>
        <v>No 2026 Sales</v>
      </c>
      <c r="O36" t="s">
        <v>211</v>
      </c>
      <c r="P36" s="11">
        <v>3133.6260869565199</v>
      </c>
      <c r="Q36" s="11">
        <v>9008.7304347826102</v>
      </c>
      <c r="R36" s="13">
        <v>1.87485813073894</v>
      </c>
    </row>
    <row r="37" spans="1:18" hidden="1" x14ac:dyDescent="0.35">
      <c r="A37">
        <f>Data!A38</f>
        <v>201</v>
      </c>
      <c r="B37" t="str">
        <f>Data!B38</f>
        <v>BUTCHERY</v>
      </c>
      <c r="C37" s="9">
        <f>Data!C38</f>
        <v>65132</v>
      </c>
      <c r="D37" s="10" t="s">
        <v>818</v>
      </c>
      <c r="E37" s="11">
        <f>SUM(Data!I38,Data!K38,Data!M38,Data!O38,Data!Q38,Data!S38,Data!U38,Data!W38,Data!Y38,Data!AA38,Data!AC38,Data!AE38,Data!AG38,Data!AI38,Data!AK38,Data!AM38,Data!AO38,Data!AQ38,Data!AS38)</f>
        <v>0</v>
      </c>
      <c r="F37" s="11">
        <f>SUM(Data!DI38,Data!DK38,Data!DM38,Data!DO38,Data!DQ38,Data!DS38,Data!DU38,Data!DW38,Data!DY38,Data!EA38,Data!EC38,Data!EE38,Data!EG38,Data!EI38,Data!EK38,Data!EM38,Data!EO38,Data!EQ38,Data!ES38)</f>
        <v>0</v>
      </c>
      <c r="G37" s="11">
        <f>F37-E37</f>
        <v>0</v>
      </c>
      <c r="H37">
        <f>IF(E37=0,IF(F37&gt;0,"New",0),(F37-E37)/E37)</f>
        <v>0</v>
      </c>
      <c r="I37" s="12">
        <f>SUM(Data!J38,Data!L38,Data!N38,Data!P38,Data!R38,Data!T38,Data!V38,Data!X38,Data!Z38,Data!AB38,Data!AD38,Data!AF38,Data!AH38,Data!AJ38,Data!AL38,Data!AN38,Data!AP38,Data!AR38,Data!AT38)</f>
        <v>0</v>
      </c>
      <c r="J37" s="12">
        <f>SUM(Data!DJ38,Data!DL38,Data!DN38,Data!DP38,Data!DR38,Data!DT38,Data!DV38,Data!DX38,Data!DZ38,Data!EB38,Data!ED38,Data!EF38,Data!EH38,Data!EJ38,Data!EL38,Data!EN38,Data!EP38,Data!ER38,Data!ET38)</f>
        <v>0</v>
      </c>
      <c r="K37" s="12">
        <f>J37-I37</f>
        <v>0</v>
      </c>
      <c r="L37">
        <f>IF(I37=0,IF(J37&gt;0,"New",0),(J37-I37)/I37)</f>
        <v>0</v>
      </c>
      <c r="M37" t="str">
        <f>IF(F37=0,"No 2026 Sales",IF(E37=0,"New Product",IF(AND(ISNUMBER(H37),H37&gt;0.1),"↑ Strong Growth",IF(AND(ISNUMBER(H37),H37&gt;0),"↗ Growth",IF(AND(ISNUMBER(H37),H37&lt;-0.1),"↓ Strong Decline",IF(AND(ISNUMBER(H37),H37&lt;0),"↘ Decline","→ Stable"))))))</f>
        <v>No 2026 Sales</v>
      </c>
    </row>
    <row r="38" spans="1:18" ht="13" hidden="1" customHeight="1" x14ac:dyDescent="0.35">
      <c r="A38">
        <f>Data!A39</f>
        <v>201</v>
      </c>
      <c r="B38" t="str">
        <f>Data!B39</f>
        <v>BUTCHERY</v>
      </c>
      <c r="C38" s="9">
        <f>Data!C39</f>
        <v>65133</v>
      </c>
      <c r="D38" s="10" t="s">
        <v>819</v>
      </c>
      <c r="E38" s="11">
        <f>SUM(Data!I39,Data!K39,Data!M39,Data!O39,Data!Q39,Data!S39,Data!U39,Data!W39,Data!Y39,Data!AA39,Data!AC39,Data!AE39,Data!AG39,Data!AI39,Data!AK39,Data!AM39,Data!AO39,Data!AQ39,Data!AS39)</f>
        <v>0</v>
      </c>
      <c r="F38" s="11">
        <f>SUM(Data!DI39,Data!DK39,Data!DM39,Data!DO39,Data!DQ39,Data!DS39,Data!DU39,Data!DW39,Data!DY39,Data!EA39,Data!EC39,Data!EE39,Data!EG39,Data!EI39,Data!EK39,Data!EM39,Data!EO39,Data!EQ39,Data!ES39)</f>
        <v>0</v>
      </c>
      <c r="G38" s="11">
        <f>F38-E38</f>
        <v>0</v>
      </c>
      <c r="H38">
        <f>IF(E38=0,IF(F38&gt;0,"New",0),(F38-E38)/E38)</f>
        <v>0</v>
      </c>
      <c r="I38" s="12">
        <f>SUM(Data!J39,Data!L39,Data!N39,Data!P39,Data!R39,Data!T39,Data!V39,Data!X39,Data!Z39,Data!AB39,Data!AD39,Data!AF39,Data!AH39,Data!AJ39,Data!AL39,Data!AN39,Data!AP39,Data!AR39,Data!AT39)</f>
        <v>0</v>
      </c>
      <c r="J38" s="12">
        <f>SUM(Data!DJ39,Data!DL39,Data!DN39,Data!DP39,Data!DR39,Data!DT39,Data!DV39,Data!DX39,Data!DZ39,Data!EB39,Data!ED39,Data!EF39,Data!EH39,Data!EJ39,Data!EL39,Data!EN39,Data!EP39,Data!ER39,Data!ET39)</f>
        <v>0</v>
      </c>
      <c r="K38" s="12">
        <f>J38-I38</f>
        <v>0</v>
      </c>
      <c r="L38">
        <f>IF(I38=0,IF(J38&gt;0,"New",0),(J38-I38)/I38)</f>
        <v>0</v>
      </c>
      <c r="M38" t="str">
        <f>IF(F38=0,"No 2026 Sales",IF(E38=0,"New Product",IF(AND(ISNUMBER(H38),H38&gt;0.1),"↑ Strong Growth",IF(AND(ISNUMBER(H38),H38&gt;0),"↗ Growth",IF(AND(ISNUMBER(H38),H38&lt;-0.1),"↓ Strong Decline",IF(AND(ISNUMBER(H38),H38&lt;0),"↘ Decline","→ Stable"))))))</f>
        <v>No 2026 Sales</v>
      </c>
      <c r="O38" s="21" t="s">
        <v>582</v>
      </c>
      <c r="P38" s="21"/>
      <c r="Q38" s="21"/>
      <c r="R38" s="21"/>
    </row>
    <row r="39" spans="1:18" hidden="1" x14ac:dyDescent="0.35">
      <c r="A39">
        <f>Data!A40</f>
        <v>201</v>
      </c>
      <c r="B39" t="str">
        <f>Data!B40</f>
        <v>BUTCHERY</v>
      </c>
      <c r="C39" s="9">
        <f>Data!C40</f>
        <v>65134</v>
      </c>
      <c r="D39" s="10" t="s">
        <v>820</v>
      </c>
      <c r="E39" s="11">
        <f>SUM(Data!I40,Data!K40,Data!M40,Data!O40,Data!Q40,Data!S40,Data!U40,Data!W40,Data!Y40,Data!AA40,Data!AC40,Data!AE40,Data!AG40,Data!AI40,Data!AK40,Data!AM40,Data!AO40,Data!AQ40,Data!AS40)</f>
        <v>0</v>
      </c>
      <c r="F39" s="11">
        <f>SUM(Data!DI40,Data!DK40,Data!DM40,Data!DO40,Data!DQ40,Data!DS40,Data!DU40,Data!DW40,Data!DY40,Data!EA40,Data!EC40,Data!EE40,Data!EG40,Data!EI40,Data!EK40,Data!EM40,Data!EO40,Data!EQ40,Data!ES40)</f>
        <v>0</v>
      </c>
      <c r="G39" s="11">
        <f>F39-E39</f>
        <v>0</v>
      </c>
      <c r="H39">
        <f>IF(E39=0,IF(F39&gt;0,"New",0),(F39-E39)/E39)</f>
        <v>0</v>
      </c>
      <c r="I39" s="12">
        <f>SUM(Data!J40,Data!L40,Data!N40,Data!P40,Data!R40,Data!T40,Data!V40,Data!X40,Data!Z40,Data!AB40,Data!AD40,Data!AF40,Data!AH40,Data!AJ40,Data!AL40,Data!AN40,Data!AP40,Data!AR40,Data!AT40)</f>
        <v>0</v>
      </c>
      <c r="J39" s="12">
        <f>SUM(Data!DJ40,Data!DL40,Data!DN40,Data!DP40,Data!DR40,Data!DT40,Data!DV40,Data!DX40,Data!DZ40,Data!EB40,Data!ED40,Data!EF40,Data!EH40,Data!EJ40,Data!EL40,Data!EN40,Data!EP40,Data!ER40,Data!ET40)</f>
        <v>0</v>
      </c>
      <c r="K39" s="12">
        <f>J39-I39</f>
        <v>0</v>
      </c>
      <c r="L39">
        <f>IF(I39=0,IF(J39&gt;0,"New",0),(J39-I39)/I39)</f>
        <v>0</v>
      </c>
      <c r="M39" t="str">
        <f>IF(F39=0,"No 2026 Sales",IF(E39=0,"New Product",IF(AND(ISNUMBER(H39),H39&gt;0.1),"↑ Strong Growth",IF(AND(ISNUMBER(H39),H39&gt;0),"↗ Growth",IF(AND(ISNUMBER(H39),H39&lt;-0.1),"↓ Strong Decline",IF(AND(ISNUMBER(H39),H39&lt;0),"↘ Decline","→ Stable"))))))</f>
        <v>No 2026 Sales</v>
      </c>
      <c r="O39" s="7" t="s">
        <v>578</v>
      </c>
      <c r="P39" s="7" t="s">
        <v>579</v>
      </c>
      <c r="Q39" s="7" t="s">
        <v>580</v>
      </c>
      <c r="R39" s="7" t="s">
        <v>581</v>
      </c>
    </row>
    <row r="40" spans="1:18" hidden="1" x14ac:dyDescent="0.35">
      <c r="A40">
        <f>Data!A41</f>
        <v>201</v>
      </c>
      <c r="B40" t="str">
        <f>Data!B41</f>
        <v>BUTCHERY</v>
      </c>
      <c r="C40" s="9">
        <f>Data!C41</f>
        <v>65135</v>
      </c>
      <c r="D40" s="10" t="s">
        <v>821</v>
      </c>
      <c r="E40" s="11">
        <f>SUM(Data!I41,Data!K41,Data!M41,Data!O41,Data!Q41,Data!S41,Data!U41,Data!W41,Data!Y41,Data!AA41,Data!AC41,Data!AE41,Data!AG41,Data!AI41,Data!AK41,Data!AM41,Data!AO41,Data!AQ41,Data!AS41)</f>
        <v>0</v>
      </c>
      <c r="F40" s="11">
        <f>SUM(Data!DI41,Data!DK41,Data!DM41,Data!DO41,Data!DQ41,Data!DS41,Data!DU41,Data!DW41,Data!DY41,Data!EA41,Data!EC41,Data!EE41,Data!EG41,Data!EI41,Data!EK41,Data!EM41,Data!EO41,Data!EQ41,Data!ES41)</f>
        <v>0</v>
      </c>
      <c r="G40" s="11">
        <f>F40-E40</f>
        <v>0</v>
      </c>
      <c r="H40">
        <f>IF(E40=0,IF(F40&gt;0,"New",0),(F40-E40)/E40)</f>
        <v>0</v>
      </c>
      <c r="I40" s="12">
        <f>SUM(Data!J41,Data!L41,Data!N41,Data!P41,Data!R41,Data!T41,Data!V41,Data!X41,Data!Z41,Data!AB41,Data!AD41,Data!AF41,Data!AH41,Data!AJ41,Data!AL41,Data!AN41,Data!AP41,Data!AR41,Data!AT41)</f>
        <v>0</v>
      </c>
      <c r="J40" s="12">
        <f>SUM(Data!DJ41,Data!DL41,Data!DN41,Data!DP41,Data!DR41,Data!DT41,Data!DV41,Data!DX41,Data!DZ41,Data!EB41,Data!ED41,Data!EF41,Data!EH41,Data!EJ41,Data!EL41,Data!EN41,Data!EP41,Data!ER41,Data!ET41)</f>
        <v>0</v>
      </c>
      <c r="K40" s="12">
        <f>J40-I40</f>
        <v>0</v>
      </c>
      <c r="L40">
        <f>IF(I40=0,IF(J40&gt;0,"New",0),(J40-I40)/I40)</f>
        <v>0</v>
      </c>
      <c r="M40" t="str">
        <f>IF(F40=0,"No 2026 Sales",IF(E40=0,"New Product",IF(AND(ISNUMBER(H40),H40&gt;0.1),"↑ Strong Growth",IF(AND(ISNUMBER(H40),H40&gt;0),"↗ Growth",IF(AND(ISNUMBER(H40),H40&lt;-0.1),"↓ Strong Decline",IF(AND(ISNUMBER(H40),H40&lt;0),"↘ Decline","→ Stable"))))))</f>
        <v>No 2026 Sales</v>
      </c>
      <c r="O40" t="s">
        <v>152</v>
      </c>
      <c r="P40" s="11">
        <v>9069.1652173913008</v>
      </c>
      <c r="Q40" s="11">
        <v>86.704347826086902</v>
      </c>
      <c r="R40" s="13">
        <v>-0.99043965505669496</v>
      </c>
    </row>
    <row r="41" spans="1:18" hidden="1" x14ac:dyDescent="0.35">
      <c r="A41">
        <f>Data!A42</f>
        <v>201</v>
      </c>
      <c r="B41" t="str">
        <f>Data!B42</f>
        <v>BUTCHERY</v>
      </c>
      <c r="C41" s="9">
        <f>Data!C42</f>
        <v>65241</v>
      </c>
      <c r="D41" s="10" t="s">
        <v>822</v>
      </c>
      <c r="E41" s="11">
        <f>SUM(Data!I42,Data!K42,Data!M42,Data!O42,Data!Q42,Data!S42,Data!U42,Data!W42,Data!Y42,Data!AA42,Data!AC42,Data!AE42,Data!AG42,Data!AI42,Data!AK42,Data!AM42,Data!AO42,Data!AQ42,Data!AS42)</f>
        <v>0</v>
      </c>
      <c r="F41" s="11">
        <f>SUM(Data!DI42,Data!DK42,Data!DM42,Data!DO42,Data!DQ42,Data!DS42,Data!DU42,Data!DW42,Data!DY42,Data!EA42,Data!EC42,Data!EE42,Data!EG42,Data!EI42,Data!EK42,Data!EM42,Data!EO42,Data!EQ42,Data!ES42)</f>
        <v>0</v>
      </c>
      <c r="G41" s="11">
        <f>F41-E41</f>
        <v>0</v>
      </c>
      <c r="H41">
        <f>IF(E41=0,IF(F41&gt;0,"New",0),(F41-E41)/E41)</f>
        <v>0</v>
      </c>
      <c r="I41" s="12">
        <f>SUM(Data!J42,Data!L42,Data!N42,Data!P42,Data!R42,Data!T42,Data!V42,Data!X42,Data!Z42,Data!AB42,Data!AD42,Data!AF42,Data!AH42,Data!AJ42,Data!AL42,Data!AN42,Data!AP42,Data!AR42,Data!AT42)</f>
        <v>0</v>
      </c>
      <c r="J41" s="12">
        <f>SUM(Data!DJ42,Data!DL42,Data!DN42,Data!DP42,Data!DR42,Data!DT42,Data!DV42,Data!DX42,Data!DZ42,Data!EB42,Data!ED42,Data!EF42,Data!EH42,Data!EJ42,Data!EL42,Data!EN42,Data!EP42,Data!ER42,Data!ET42)</f>
        <v>0</v>
      </c>
      <c r="K41" s="12">
        <f>J41-I41</f>
        <v>0</v>
      </c>
      <c r="L41">
        <f>IF(I41=0,IF(J41&gt;0,"New",0),(J41-I41)/I41)</f>
        <v>0</v>
      </c>
      <c r="M41" t="str">
        <f>IF(F41=0,"No 2026 Sales",IF(E41=0,"New Product",IF(AND(ISNUMBER(H41),H41&gt;0.1),"↑ Strong Growth",IF(AND(ISNUMBER(H41),H41&gt;0),"↗ Growth",IF(AND(ISNUMBER(H41),H41&lt;-0.1),"↓ Strong Decline",IF(AND(ISNUMBER(H41),H41&lt;0),"↘ Decline","→ Stable"))))))</f>
        <v>No 2026 Sales</v>
      </c>
      <c r="O41" t="s">
        <v>356</v>
      </c>
      <c r="P41" s="11">
        <v>2671.2347826086998</v>
      </c>
      <c r="Q41" s="11">
        <v>62.817391304347801</v>
      </c>
      <c r="R41" s="13">
        <v>-0.97648376259798397</v>
      </c>
    </row>
    <row r="42" spans="1:18" hidden="1" x14ac:dyDescent="0.35">
      <c r="A42">
        <f>Data!A43</f>
        <v>201</v>
      </c>
      <c r="B42" t="str">
        <f>Data!B43</f>
        <v>BUTCHERY</v>
      </c>
      <c r="C42" s="9">
        <f>Data!C43</f>
        <v>65242</v>
      </c>
      <c r="D42" s="10" t="s">
        <v>823</v>
      </c>
      <c r="E42" s="11">
        <f>SUM(Data!I43,Data!K43,Data!M43,Data!O43,Data!Q43,Data!S43,Data!U43,Data!W43,Data!Y43,Data!AA43,Data!AC43,Data!AE43,Data!AG43,Data!AI43,Data!AK43,Data!AM43,Data!AO43,Data!AQ43,Data!AS43)</f>
        <v>0</v>
      </c>
      <c r="F42" s="11">
        <f>SUM(Data!DI43,Data!DK43,Data!DM43,Data!DO43,Data!DQ43,Data!DS43,Data!DU43,Data!DW43,Data!DY43,Data!EA43,Data!EC43,Data!EE43,Data!EG43,Data!EI43,Data!EK43,Data!EM43,Data!EO43,Data!EQ43,Data!ES43)</f>
        <v>0</v>
      </c>
      <c r="G42" s="11">
        <f>F42-E42</f>
        <v>0</v>
      </c>
      <c r="H42">
        <f>IF(E42=0,IF(F42&gt;0,"New",0),(F42-E42)/E42)</f>
        <v>0</v>
      </c>
      <c r="I42" s="12">
        <f>SUM(Data!J43,Data!L43,Data!N43,Data!P43,Data!R43,Data!T43,Data!V43,Data!X43,Data!Z43,Data!AB43,Data!AD43,Data!AF43,Data!AH43,Data!AJ43,Data!AL43,Data!AN43,Data!AP43,Data!AR43,Data!AT43)</f>
        <v>0</v>
      </c>
      <c r="J42" s="12">
        <f>SUM(Data!DJ43,Data!DL43,Data!DN43,Data!DP43,Data!DR43,Data!DT43,Data!DV43,Data!DX43,Data!DZ43,Data!EB43,Data!ED43,Data!EF43,Data!EH43,Data!EJ43,Data!EL43,Data!EN43,Data!EP43,Data!ER43,Data!ET43)</f>
        <v>0</v>
      </c>
      <c r="K42" s="12">
        <f>J42-I42</f>
        <v>0</v>
      </c>
      <c r="L42">
        <f>IF(I42=0,IF(J42&gt;0,"New",0),(J42-I42)/I42)</f>
        <v>0</v>
      </c>
      <c r="M42" t="str">
        <f>IF(F42=0,"No 2026 Sales",IF(E42=0,"New Product",IF(AND(ISNUMBER(H42),H42&gt;0.1),"↑ Strong Growth",IF(AND(ISNUMBER(H42),H42&gt;0),"↗ Growth",IF(AND(ISNUMBER(H42),H42&lt;-0.1),"↓ Strong Decline",IF(AND(ISNUMBER(H42),H42&lt;0),"↘ Decline","→ Stable"))))))</f>
        <v>No 2026 Sales</v>
      </c>
      <c r="O42" t="s">
        <v>503</v>
      </c>
      <c r="P42" s="11">
        <v>6105.8</v>
      </c>
      <c r="Q42" s="11">
        <v>382.27826086956497</v>
      </c>
      <c r="R42" s="13">
        <v>-0.93739096254879495</v>
      </c>
    </row>
    <row r="43" spans="1:18" hidden="1" x14ac:dyDescent="0.35">
      <c r="A43">
        <f>Data!A44</f>
        <v>201</v>
      </c>
      <c r="B43" t="str">
        <f>Data!B44</f>
        <v>BUTCHERY</v>
      </c>
      <c r="C43" s="9">
        <f>Data!C44</f>
        <v>65711</v>
      </c>
      <c r="D43" s="10" t="s">
        <v>824</v>
      </c>
      <c r="E43" s="11">
        <f>SUM(Data!I44,Data!K44,Data!M44,Data!O44,Data!Q44,Data!S44,Data!U44,Data!W44,Data!Y44,Data!AA44,Data!AC44,Data!AE44,Data!AG44,Data!AI44,Data!AK44,Data!AM44,Data!AO44,Data!AQ44,Data!AS44)</f>
        <v>0</v>
      </c>
      <c r="F43" s="11">
        <f>SUM(Data!DI44,Data!DK44,Data!DM44,Data!DO44,Data!DQ44,Data!DS44,Data!DU44,Data!DW44,Data!DY44,Data!EA44,Data!EC44,Data!EE44,Data!EG44,Data!EI44,Data!EK44,Data!EM44,Data!EO44,Data!EQ44,Data!ES44)</f>
        <v>0</v>
      </c>
      <c r="G43" s="11">
        <f>F43-E43</f>
        <v>0</v>
      </c>
      <c r="H43">
        <f>IF(E43=0,IF(F43&gt;0,"New",0),(F43-E43)/E43)</f>
        <v>0</v>
      </c>
      <c r="I43" s="12">
        <f>SUM(Data!J44,Data!L44,Data!N44,Data!P44,Data!R44,Data!T44,Data!V44,Data!X44,Data!Z44,Data!AB44,Data!AD44,Data!AF44,Data!AH44,Data!AJ44,Data!AL44,Data!AN44,Data!AP44,Data!AR44,Data!AT44)</f>
        <v>0</v>
      </c>
      <c r="J43" s="12">
        <f>SUM(Data!DJ44,Data!DL44,Data!DN44,Data!DP44,Data!DR44,Data!DT44,Data!DV44,Data!DX44,Data!DZ44,Data!EB44,Data!ED44,Data!EF44,Data!EH44,Data!EJ44,Data!EL44,Data!EN44,Data!EP44,Data!ER44,Data!ET44)</f>
        <v>0</v>
      </c>
      <c r="K43" s="12">
        <f>J43-I43</f>
        <v>0</v>
      </c>
      <c r="L43">
        <f>IF(I43=0,IF(J43&gt;0,"New",0),(J43-I43)/I43)</f>
        <v>0</v>
      </c>
      <c r="M43" t="str">
        <f>IF(F43=0,"No 2026 Sales",IF(E43=0,"New Product",IF(AND(ISNUMBER(H43),H43&gt;0.1),"↑ Strong Growth",IF(AND(ISNUMBER(H43),H43&gt;0),"↗ Growth",IF(AND(ISNUMBER(H43),H43&lt;-0.1),"↓ Strong Decline",IF(AND(ISNUMBER(H43),H43&lt;0),"↘ Decline","→ Stable"))))))</f>
        <v>No 2026 Sales</v>
      </c>
      <c r="O43" t="s">
        <v>158</v>
      </c>
      <c r="P43" s="11">
        <v>635.95652173913004</v>
      </c>
      <c r="Q43" s="11">
        <v>73.730434782608697</v>
      </c>
      <c r="R43" s="13">
        <v>-0.88406371778218396</v>
      </c>
    </row>
    <row r="44" spans="1:18" hidden="1" x14ac:dyDescent="0.35">
      <c r="A44">
        <f>Data!A45</f>
        <v>201</v>
      </c>
      <c r="B44" t="str">
        <f>Data!B45</f>
        <v>BUTCHERY</v>
      </c>
      <c r="C44" s="9">
        <f>Data!C45</f>
        <v>65712</v>
      </c>
      <c r="D44" s="10" t="s">
        <v>825</v>
      </c>
      <c r="E44" s="11">
        <f>SUM(Data!I45,Data!K45,Data!M45,Data!O45,Data!Q45,Data!S45,Data!U45,Data!W45,Data!Y45,Data!AA45,Data!AC45,Data!AE45,Data!AG45,Data!AI45,Data!AK45,Data!AM45,Data!AO45,Data!AQ45,Data!AS45)</f>
        <v>0</v>
      </c>
      <c r="F44" s="11">
        <f>SUM(Data!DI45,Data!DK45,Data!DM45,Data!DO45,Data!DQ45,Data!DS45,Data!DU45,Data!DW45,Data!DY45,Data!EA45,Data!EC45,Data!EE45,Data!EG45,Data!EI45,Data!EK45,Data!EM45,Data!EO45,Data!EQ45,Data!ES45)</f>
        <v>0</v>
      </c>
      <c r="G44" s="11">
        <f>F44-E44</f>
        <v>0</v>
      </c>
      <c r="H44">
        <f>IF(E44=0,IF(F44&gt;0,"New",0),(F44-E44)/E44)</f>
        <v>0</v>
      </c>
      <c r="I44" s="12">
        <f>SUM(Data!J45,Data!L45,Data!N45,Data!P45,Data!R45,Data!T45,Data!V45,Data!X45,Data!Z45,Data!AB45,Data!AD45,Data!AF45,Data!AH45,Data!AJ45,Data!AL45,Data!AN45,Data!AP45,Data!AR45,Data!AT45)</f>
        <v>0</v>
      </c>
      <c r="J44" s="12">
        <f>SUM(Data!DJ45,Data!DL45,Data!DN45,Data!DP45,Data!DR45,Data!DT45,Data!DV45,Data!DX45,Data!DZ45,Data!EB45,Data!ED45,Data!EF45,Data!EH45,Data!EJ45,Data!EL45,Data!EN45,Data!EP45,Data!ER45,Data!ET45)</f>
        <v>0</v>
      </c>
      <c r="K44" s="12">
        <f>J44-I44</f>
        <v>0</v>
      </c>
      <c r="L44">
        <f>IF(I44=0,IF(J44&gt;0,"New",0),(J44-I44)/I44)</f>
        <v>0</v>
      </c>
      <c r="M44" t="str">
        <f>IF(F44=0,"No 2026 Sales",IF(E44=0,"New Product",IF(AND(ISNUMBER(H44),H44&gt;0.1),"↑ Strong Growth",IF(AND(ISNUMBER(H44),H44&gt;0),"↗ Growth",IF(AND(ISNUMBER(H44),H44&lt;-0.1),"↓ Strong Decline",IF(AND(ISNUMBER(H44),H44&lt;0),"↘ Decline","→ Stable"))))))</f>
        <v>No 2026 Sales</v>
      </c>
      <c r="O44" t="s">
        <v>25</v>
      </c>
      <c r="P44" s="11">
        <v>55919.6</v>
      </c>
      <c r="Q44" s="11">
        <v>6837.8</v>
      </c>
      <c r="R44" s="13">
        <v>-0.87772087067861704</v>
      </c>
    </row>
    <row r="45" spans="1:18" hidden="1" x14ac:dyDescent="0.35">
      <c r="A45">
        <f>Data!A46</f>
        <v>201</v>
      </c>
      <c r="B45" t="str">
        <f>Data!B46</f>
        <v>BUTCHERY</v>
      </c>
      <c r="C45" s="9">
        <f>Data!C46</f>
        <v>65713</v>
      </c>
      <c r="D45" s="10" t="s">
        <v>826</v>
      </c>
      <c r="E45" s="11">
        <f>SUM(Data!I46,Data!K46,Data!M46,Data!O46,Data!Q46,Data!S46,Data!U46,Data!W46,Data!Y46,Data!AA46,Data!AC46,Data!AE46,Data!AG46,Data!AI46,Data!AK46,Data!AM46,Data!AO46,Data!AQ46,Data!AS46)</f>
        <v>0</v>
      </c>
      <c r="F45" s="11">
        <f>SUM(Data!DI46,Data!DK46,Data!DM46,Data!DO46,Data!DQ46,Data!DS46,Data!DU46,Data!DW46,Data!DY46,Data!EA46,Data!EC46,Data!EE46,Data!EG46,Data!EI46,Data!EK46,Data!EM46,Data!EO46,Data!EQ46,Data!ES46)</f>
        <v>0</v>
      </c>
      <c r="G45" s="11">
        <f>F45-E45</f>
        <v>0</v>
      </c>
      <c r="H45">
        <f>IF(E45=0,IF(F45&gt;0,"New",0),(F45-E45)/E45)</f>
        <v>0</v>
      </c>
      <c r="I45" s="12">
        <f>SUM(Data!J46,Data!L46,Data!N46,Data!P46,Data!R46,Data!T46,Data!V46,Data!X46,Data!Z46,Data!AB46,Data!AD46,Data!AF46,Data!AH46,Data!AJ46,Data!AL46,Data!AN46,Data!AP46,Data!AR46,Data!AT46)</f>
        <v>0</v>
      </c>
      <c r="J45" s="12">
        <f>SUM(Data!DJ46,Data!DL46,Data!DN46,Data!DP46,Data!DR46,Data!DT46,Data!DV46,Data!DX46,Data!DZ46,Data!EB46,Data!ED46,Data!EF46,Data!EH46,Data!EJ46,Data!EL46,Data!EN46,Data!EP46,Data!ER46,Data!ET46)</f>
        <v>0</v>
      </c>
      <c r="K45" s="12">
        <f>J45-I45</f>
        <v>0</v>
      </c>
      <c r="L45">
        <f>IF(I45=0,IF(J45&gt;0,"New",0),(J45-I45)/I45)</f>
        <v>0</v>
      </c>
      <c r="M45" t="str">
        <f>IF(F45=0,"No 2026 Sales",IF(E45=0,"New Product",IF(AND(ISNUMBER(H45),H45&gt;0.1),"↑ Strong Growth",IF(AND(ISNUMBER(H45),H45&gt;0),"↗ Growth",IF(AND(ISNUMBER(H45),H45&lt;-0.1),"↓ Strong Decline",IF(AND(ISNUMBER(H45),H45&lt;0),"↘ Decline","→ Stable"))))))</f>
        <v>No 2026 Sales</v>
      </c>
      <c r="O45" t="s">
        <v>501</v>
      </c>
      <c r="P45" s="11">
        <v>7803</v>
      </c>
      <c r="Q45" s="11">
        <v>1374.6695652173901</v>
      </c>
      <c r="R45" s="13">
        <v>-0.82382807058600604</v>
      </c>
    </row>
    <row r="46" spans="1:18" hidden="1" x14ac:dyDescent="0.35">
      <c r="A46">
        <f>Data!A47</f>
        <v>201</v>
      </c>
      <c r="B46" t="str">
        <f>Data!B47</f>
        <v>BUTCHERY</v>
      </c>
      <c r="C46" s="9">
        <f>Data!C47</f>
        <v>65714</v>
      </c>
      <c r="D46" s="10" t="s">
        <v>827</v>
      </c>
      <c r="E46" s="11">
        <f>SUM(Data!I47,Data!K47,Data!M47,Data!O47,Data!Q47,Data!S47,Data!U47,Data!W47,Data!Y47,Data!AA47,Data!AC47,Data!AE47,Data!AG47,Data!AI47,Data!AK47,Data!AM47,Data!AO47,Data!AQ47,Data!AS47)</f>
        <v>0</v>
      </c>
      <c r="F46" s="11">
        <f>SUM(Data!DI47,Data!DK47,Data!DM47,Data!DO47,Data!DQ47,Data!DS47,Data!DU47,Data!DW47,Data!DY47,Data!EA47,Data!EC47,Data!EE47,Data!EG47,Data!EI47,Data!EK47,Data!EM47,Data!EO47,Data!EQ47,Data!ES47)</f>
        <v>0</v>
      </c>
      <c r="G46" s="11">
        <f>F46-E46</f>
        <v>0</v>
      </c>
      <c r="H46">
        <f>IF(E46=0,IF(F46&gt;0,"New",0),(F46-E46)/E46)</f>
        <v>0</v>
      </c>
      <c r="I46" s="12">
        <f>SUM(Data!J47,Data!L47,Data!N47,Data!P47,Data!R47,Data!T47,Data!V47,Data!X47,Data!Z47,Data!AB47,Data!AD47,Data!AF47,Data!AH47,Data!AJ47,Data!AL47,Data!AN47,Data!AP47,Data!AR47,Data!AT47)</f>
        <v>0</v>
      </c>
      <c r="J46" s="12">
        <f>SUM(Data!DJ47,Data!DL47,Data!DN47,Data!DP47,Data!DR47,Data!DT47,Data!DV47,Data!DX47,Data!DZ47,Data!EB47,Data!ED47,Data!EF47,Data!EH47,Data!EJ47,Data!EL47,Data!EN47,Data!EP47,Data!ER47,Data!ET47)</f>
        <v>0</v>
      </c>
      <c r="K46" s="12">
        <f>J46-I46</f>
        <v>0</v>
      </c>
      <c r="L46">
        <f>IF(I46=0,IF(J46&gt;0,"New",0),(J46-I46)/I46)</f>
        <v>0</v>
      </c>
      <c r="M46" t="str">
        <f>IF(F46=0,"No 2026 Sales",IF(E46=0,"New Product",IF(AND(ISNUMBER(H46),H46&gt;0.1),"↑ Strong Growth",IF(AND(ISNUMBER(H46),H46&gt;0),"↗ Growth",IF(AND(ISNUMBER(H46),H46&lt;-0.1),"↓ Strong Decline",IF(AND(ISNUMBER(H46),H46&lt;0),"↘ Decline","→ Stable"))))))</f>
        <v>No 2026 Sales</v>
      </c>
      <c r="O46" t="s">
        <v>391</v>
      </c>
      <c r="P46" s="11">
        <v>8955.6260869565194</v>
      </c>
      <c r="Q46" s="11">
        <v>1721.54782608696</v>
      </c>
      <c r="R46" s="13">
        <v>-0.807769126427206</v>
      </c>
    </row>
    <row r="47" spans="1:18" hidden="1" x14ac:dyDescent="0.35">
      <c r="A47">
        <f>Data!A48</f>
        <v>201</v>
      </c>
      <c r="B47" t="str">
        <f>Data!B48</f>
        <v>BUTCHERY</v>
      </c>
      <c r="C47" s="9">
        <f>Data!C48</f>
        <v>66122</v>
      </c>
      <c r="D47" s="10" t="s">
        <v>828</v>
      </c>
      <c r="E47" s="11">
        <f>SUM(Data!I48,Data!K48,Data!M48,Data!O48,Data!Q48,Data!S48,Data!U48,Data!W48,Data!Y48,Data!AA48,Data!AC48,Data!AE48,Data!AG48,Data!AI48,Data!AK48,Data!AM48,Data!AO48,Data!AQ48,Data!AS48)</f>
        <v>0</v>
      </c>
      <c r="F47" s="11">
        <f>SUM(Data!DI48,Data!DK48,Data!DM48,Data!DO48,Data!DQ48,Data!DS48,Data!DU48,Data!DW48,Data!DY48,Data!EA48,Data!EC48,Data!EE48,Data!EG48,Data!EI48,Data!EK48,Data!EM48,Data!EO48,Data!EQ48,Data!ES48)</f>
        <v>0</v>
      </c>
      <c r="G47" s="11">
        <f>F47-E47</f>
        <v>0</v>
      </c>
      <c r="H47">
        <f>IF(E47=0,IF(F47&gt;0,"New",0),(F47-E47)/E47)</f>
        <v>0</v>
      </c>
      <c r="I47" s="12">
        <f>SUM(Data!J48,Data!L48,Data!N48,Data!P48,Data!R48,Data!T48,Data!V48,Data!X48,Data!Z48,Data!AB48,Data!AD48,Data!AF48,Data!AH48,Data!AJ48,Data!AL48,Data!AN48,Data!AP48,Data!AR48,Data!AT48)</f>
        <v>0</v>
      </c>
      <c r="J47" s="12">
        <f>SUM(Data!DJ48,Data!DL48,Data!DN48,Data!DP48,Data!DR48,Data!DT48,Data!DV48,Data!DX48,Data!DZ48,Data!EB48,Data!ED48,Data!EF48,Data!EH48,Data!EJ48,Data!EL48,Data!EN48,Data!EP48,Data!ER48,Data!ET48)</f>
        <v>0</v>
      </c>
      <c r="K47" s="12">
        <f>J47-I47</f>
        <v>0</v>
      </c>
      <c r="L47">
        <f>IF(I47=0,IF(J47&gt;0,"New",0),(J47-I47)/I47)</f>
        <v>0</v>
      </c>
      <c r="M47" t="str">
        <f>IF(F47=0,"No 2026 Sales",IF(E47=0,"New Product",IF(AND(ISNUMBER(H47),H47&gt;0.1),"↑ Strong Growth",IF(AND(ISNUMBER(H47),H47&gt;0),"↗ Growth",IF(AND(ISNUMBER(H47),H47&lt;-0.1),"↓ Strong Decline",IF(AND(ISNUMBER(H47),H47&lt;0),"↘ Decline","→ Stable"))))))</f>
        <v>No 2026 Sales</v>
      </c>
      <c r="O47" t="s">
        <v>168</v>
      </c>
      <c r="P47" s="11">
        <v>45824.8608695652</v>
      </c>
      <c r="Q47" s="11">
        <v>9130.6782608695594</v>
      </c>
      <c r="R47" s="13">
        <v>-0.80074836916889003</v>
      </c>
    </row>
    <row r="48" spans="1:18" hidden="1" x14ac:dyDescent="0.35">
      <c r="A48">
        <f>Data!A49</f>
        <v>201</v>
      </c>
      <c r="B48" t="str">
        <f>Data!B49</f>
        <v>BUTCHERY</v>
      </c>
      <c r="C48" s="9">
        <f>Data!C49</f>
        <v>66123</v>
      </c>
      <c r="D48" s="10" t="s">
        <v>829</v>
      </c>
      <c r="E48" s="11">
        <f>SUM(Data!I49,Data!K49,Data!M49,Data!O49,Data!Q49,Data!S49,Data!U49,Data!W49,Data!Y49,Data!AA49,Data!AC49,Data!AE49,Data!AG49,Data!AI49,Data!AK49,Data!AM49,Data!AO49,Data!AQ49,Data!AS49)</f>
        <v>0</v>
      </c>
      <c r="F48" s="11">
        <f>SUM(Data!DI49,Data!DK49,Data!DM49,Data!DO49,Data!DQ49,Data!DS49,Data!DU49,Data!DW49,Data!DY49,Data!EA49,Data!EC49,Data!EE49,Data!EG49,Data!EI49,Data!EK49,Data!EM49,Data!EO49,Data!EQ49,Data!ES49)</f>
        <v>0</v>
      </c>
      <c r="G48" s="11">
        <f>F48-E48</f>
        <v>0</v>
      </c>
      <c r="H48">
        <f>IF(E48=0,IF(F48&gt;0,"New",0),(F48-E48)/E48)</f>
        <v>0</v>
      </c>
      <c r="I48" s="12">
        <f>SUM(Data!J49,Data!L49,Data!N49,Data!P49,Data!R49,Data!T49,Data!V49,Data!X49,Data!Z49,Data!AB49,Data!AD49,Data!AF49,Data!AH49,Data!AJ49,Data!AL49,Data!AN49,Data!AP49,Data!AR49,Data!AT49)</f>
        <v>0</v>
      </c>
      <c r="J48" s="12">
        <f>SUM(Data!DJ49,Data!DL49,Data!DN49,Data!DP49,Data!DR49,Data!DT49,Data!DV49,Data!DX49,Data!DZ49,Data!EB49,Data!ED49,Data!EF49,Data!EH49,Data!EJ49,Data!EL49,Data!EN49,Data!EP49,Data!ER49,Data!ET49)</f>
        <v>0</v>
      </c>
      <c r="K48" s="12">
        <f>J48-I48</f>
        <v>0</v>
      </c>
      <c r="L48">
        <f>IF(I48=0,IF(J48&gt;0,"New",0),(J48-I48)/I48)</f>
        <v>0</v>
      </c>
      <c r="M48" t="str">
        <f>IF(F48=0,"No 2026 Sales",IF(E48=0,"New Product",IF(AND(ISNUMBER(H48),H48&gt;0.1),"↑ Strong Growth",IF(AND(ISNUMBER(H48),H48&gt;0),"↗ Growth",IF(AND(ISNUMBER(H48),H48&lt;-0.1),"↓ Strong Decline",IF(AND(ISNUMBER(H48),H48&lt;0),"↘ Decline","→ Stable"))))))</f>
        <v>No 2026 Sales</v>
      </c>
      <c r="O48" t="s">
        <v>409</v>
      </c>
      <c r="P48" s="11">
        <v>22889.373913043499</v>
      </c>
      <c r="Q48" s="11">
        <v>5562.6</v>
      </c>
      <c r="R48" s="13">
        <v>-0.75697893611541001</v>
      </c>
    </row>
    <row r="49" spans="1:18" hidden="1" x14ac:dyDescent="0.35">
      <c r="A49">
        <f>Data!A50</f>
        <v>201</v>
      </c>
      <c r="B49" t="str">
        <f>Data!B50</f>
        <v>BUTCHERY</v>
      </c>
      <c r="C49" s="9">
        <f>Data!C50</f>
        <v>66709</v>
      </c>
      <c r="D49" s="10" t="s">
        <v>830</v>
      </c>
      <c r="E49" s="11">
        <f>SUM(Data!I50,Data!K50,Data!M50,Data!O50,Data!Q50,Data!S50,Data!U50,Data!W50,Data!Y50,Data!AA50,Data!AC50,Data!AE50,Data!AG50,Data!AI50,Data!AK50,Data!AM50,Data!AO50,Data!AQ50,Data!AS50)</f>
        <v>0</v>
      </c>
      <c r="F49" s="11">
        <f>SUM(Data!DI50,Data!DK50,Data!DM50,Data!DO50,Data!DQ50,Data!DS50,Data!DU50,Data!DW50,Data!DY50,Data!EA50,Data!EC50,Data!EE50,Data!EG50,Data!EI50,Data!EK50,Data!EM50,Data!EO50,Data!EQ50,Data!ES50)</f>
        <v>0</v>
      </c>
      <c r="G49" s="11">
        <f>F49-E49</f>
        <v>0</v>
      </c>
      <c r="H49">
        <f>IF(E49=0,IF(F49&gt;0,"New",0),(F49-E49)/E49)</f>
        <v>0</v>
      </c>
      <c r="I49" s="12">
        <f>SUM(Data!J50,Data!L50,Data!N50,Data!P50,Data!R50,Data!T50,Data!V50,Data!X50,Data!Z50,Data!AB50,Data!AD50,Data!AF50,Data!AH50,Data!AJ50,Data!AL50,Data!AN50,Data!AP50,Data!AR50,Data!AT50)</f>
        <v>0</v>
      </c>
      <c r="J49" s="12">
        <f>SUM(Data!DJ50,Data!DL50,Data!DN50,Data!DP50,Data!DR50,Data!DT50,Data!DV50,Data!DX50,Data!DZ50,Data!EB50,Data!ED50,Data!EF50,Data!EH50,Data!EJ50,Data!EL50,Data!EN50,Data!EP50,Data!ER50,Data!ET50)</f>
        <v>0</v>
      </c>
      <c r="K49" s="12">
        <f>J49-I49</f>
        <v>0</v>
      </c>
      <c r="L49">
        <f>IF(I49=0,IF(J49&gt;0,"New",0),(J49-I49)/I49)</f>
        <v>0</v>
      </c>
      <c r="M49" t="str">
        <f>IF(F49=0,"No 2026 Sales",IF(E49=0,"New Product",IF(AND(ISNUMBER(H49),H49&gt;0.1),"↑ Strong Growth",IF(AND(ISNUMBER(H49),H49&gt;0),"↗ Growth",IF(AND(ISNUMBER(H49),H49&lt;-0.1),"↓ Strong Decline",IF(AND(ISNUMBER(H49),H49&lt;0),"↘ Decline","→ Stable"))))))</f>
        <v>No 2026 Sales</v>
      </c>
      <c r="O49" t="s">
        <v>91</v>
      </c>
      <c r="P49" s="11">
        <v>2444.3913043478301</v>
      </c>
      <c r="Q49" s="11">
        <v>602.66956521739098</v>
      </c>
      <c r="R49" s="13">
        <v>-0.75344799985770405</v>
      </c>
    </row>
    <row r="50" spans="1:18" hidden="1" x14ac:dyDescent="0.35">
      <c r="A50">
        <f>Data!A51</f>
        <v>201</v>
      </c>
      <c r="B50" t="str">
        <f>Data!B51</f>
        <v>BUTCHERY</v>
      </c>
      <c r="C50" s="9">
        <f>Data!C51</f>
        <v>66710</v>
      </c>
      <c r="D50" s="10" t="s">
        <v>831</v>
      </c>
      <c r="E50" s="11">
        <f>SUM(Data!I51,Data!K51,Data!M51,Data!O51,Data!Q51,Data!S51,Data!U51,Data!W51,Data!Y51,Data!AA51,Data!AC51,Data!AE51,Data!AG51,Data!AI51,Data!AK51,Data!AM51,Data!AO51,Data!AQ51,Data!AS51)</f>
        <v>0</v>
      </c>
      <c r="F50" s="11">
        <f>SUM(Data!DI51,Data!DK51,Data!DM51,Data!DO51,Data!DQ51,Data!DS51,Data!DU51,Data!DW51,Data!DY51,Data!EA51,Data!EC51,Data!EE51,Data!EG51,Data!EI51,Data!EK51,Data!EM51,Data!EO51,Data!EQ51,Data!ES51)</f>
        <v>0</v>
      </c>
      <c r="G50" s="11">
        <f>F50-E50</f>
        <v>0</v>
      </c>
      <c r="H50">
        <f>IF(E50=0,IF(F50&gt;0,"New",0),(F50-E50)/E50)</f>
        <v>0</v>
      </c>
      <c r="I50" s="12">
        <f>SUM(Data!J51,Data!L51,Data!N51,Data!P51,Data!R51,Data!T51,Data!V51,Data!X51,Data!Z51,Data!AB51,Data!AD51,Data!AF51,Data!AH51,Data!AJ51,Data!AL51,Data!AN51,Data!AP51,Data!AR51,Data!AT51)</f>
        <v>0</v>
      </c>
      <c r="J50" s="12">
        <f>SUM(Data!DJ51,Data!DL51,Data!DN51,Data!DP51,Data!DR51,Data!DT51,Data!DV51,Data!DX51,Data!DZ51,Data!EB51,Data!ED51,Data!EF51,Data!EH51,Data!EJ51,Data!EL51,Data!EN51,Data!EP51,Data!ER51,Data!ET51)</f>
        <v>0</v>
      </c>
      <c r="K50" s="12">
        <f>J50-I50</f>
        <v>0</v>
      </c>
      <c r="L50">
        <f>IF(I50=0,IF(J50&gt;0,"New",0),(J50-I50)/I50)</f>
        <v>0</v>
      </c>
      <c r="M50" t="str">
        <f>IF(F50=0,"No 2026 Sales",IF(E50=0,"New Product",IF(AND(ISNUMBER(H50),H50&gt;0.1),"↑ Strong Growth",IF(AND(ISNUMBER(H50),H50&gt;0),"↗ Growth",IF(AND(ISNUMBER(H50),H50&lt;-0.1),"↓ Strong Decline",IF(AND(ISNUMBER(H50),H50&lt;0),"↘ Decline","→ Stable"))))))</f>
        <v>No 2026 Sales</v>
      </c>
    </row>
    <row r="51" spans="1:18" hidden="1" x14ac:dyDescent="0.35">
      <c r="A51">
        <f>Data!A52</f>
        <v>201</v>
      </c>
      <c r="B51" t="str">
        <f>Data!B52</f>
        <v>BUTCHERY</v>
      </c>
      <c r="C51" s="9">
        <f>Data!C52</f>
        <v>66711</v>
      </c>
      <c r="D51" s="10" t="s">
        <v>832</v>
      </c>
      <c r="E51" s="11">
        <f>SUM(Data!I52,Data!K52,Data!M52,Data!O52,Data!Q52,Data!S52,Data!U52,Data!W52,Data!Y52,Data!AA52,Data!AC52,Data!AE52,Data!AG52,Data!AI52,Data!AK52,Data!AM52,Data!AO52,Data!AQ52,Data!AS52)</f>
        <v>0</v>
      </c>
      <c r="F51" s="11">
        <f>SUM(Data!DI52,Data!DK52,Data!DM52,Data!DO52,Data!DQ52,Data!DS52,Data!DU52,Data!DW52,Data!DY52,Data!EA52,Data!EC52,Data!EE52,Data!EG52,Data!EI52,Data!EK52,Data!EM52,Data!EO52,Data!EQ52,Data!ES52)</f>
        <v>0</v>
      </c>
      <c r="G51" s="11">
        <f>F51-E51</f>
        <v>0</v>
      </c>
      <c r="H51">
        <f>IF(E51=0,IF(F51&gt;0,"New",0),(F51-E51)/E51)</f>
        <v>0</v>
      </c>
      <c r="I51" s="12">
        <f>SUM(Data!J52,Data!L52,Data!N52,Data!P52,Data!R52,Data!T52,Data!V52,Data!X52,Data!Z52,Data!AB52,Data!AD52,Data!AF52,Data!AH52,Data!AJ52,Data!AL52,Data!AN52,Data!AP52,Data!AR52,Data!AT52)</f>
        <v>0</v>
      </c>
      <c r="J51" s="12">
        <f>SUM(Data!DJ52,Data!DL52,Data!DN52,Data!DP52,Data!DR52,Data!DT52,Data!DV52,Data!DX52,Data!DZ52,Data!EB52,Data!ED52,Data!EF52,Data!EH52,Data!EJ52,Data!EL52,Data!EN52,Data!EP52,Data!ER52,Data!ET52)</f>
        <v>0</v>
      </c>
      <c r="K51" s="12">
        <f>J51-I51</f>
        <v>0</v>
      </c>
      <c r="L51">
        <f>IF(I51=0,IF(J51&gt;0,"New",0),(J51-I51)/I51)</f>
        <v>0</v>
      </c>
      <c r="M51" t="str">
        <f>IF(F51=0,"No 2026 Sales",IF(E51=0,"New Product",IF(AND(ISNUMBER(H51),H51&gt;0.1),"↑ Strong Growth",IF(AND(ISNUMBER(H51),H51&gt;0),"↗ Growth",IF(AND(ISNUMBER(H51),H51&lt;-0.1),"↓ Strong Decline",IF(AND(ISNUMBER(H51),H51&lt;0),"↘ Decline","→ Stable"))))))</f>
        <v>No 2026 Sales</v>
      </c>
    </row>
    <row r="52" spans="1:18" hidden="1" x14ac:dyDescent="0.35">
      <c r="A52">
        <f>Data!A53</f>
        <v>201</v>
      </c>
      <c r="B52" t="str">
        <f>Data!B53</f>
        <v>BUTCHERY</v>
      </c>
      <c r="C52" s="9">
        <f>Data!C53</f>
        <v>66712</v>
      </c>
      <c r="D52" s="10" t="s">
        <v>833</v>
      </c>
      <c r="E52" s="11">
        <f>SUM(Data!I53,Data!K53,Data!M53,Data!O53,Data!Q53,Data!S53,Data!U53,Data!W53,Data!Y53,Data!AA53,Data!AC53,Data!AE53,Data!AG53,Data!AI53,Data!AK53,Data!AM53,Data!AO53,Data!AQ53,Data!AS53)</f>
        <v>0</v>
      </c>
      <c r="F52" s="11">
        <f>SUM(Data!DI53,Data!DK53,Data!DM53,Data!DO53,Data!DQ53,Data!DS53,Data!DU53,Data!DW53,Data!DY53,Data!EA53,Data!EC53,Data!EE53,Data!EG53,Data!EI53,Data!EK53,Data!EM53,Data!EO53,Data!EQ53,Data!ES53)</f>
        <v>0</v>
      </c>
      <c r="G52" s="11">
        <f>F52-E52</f>
        <v>0</v>
      </c>
      <c r="H52">
        <f>IF(E52=0,IF(F52&gt;0,"New",0),(F52-E52)/E52)</f>
        <v>0</v>
      </c>
      <c r="I52" s="12">
        <f>SUM(Data!J53,Data!L53,Data!N53,Data!P53,Data!R53,Data!T53,Data!V53,Data!X53,Data!Z53,Data!AB53,Data!AD53,Data!AF53,Data!AH53,Data!AJ53,Data!AL53,Data!AN53,Data!AP53,Data!AR53,Data!AT53)</f>
        <v>0</v>
      </c>
      <c r="J52" s="12">
        <f>SUM(Data!DJ53,Data!DL53,Data!DN53,Data!DP53,Data!DR53,Data!DT53,Data!DV53,Data!DX53,Data!DZ53,Data!EB53,Data!ED53,Data!EF53,Data!EH53,Data!EJ53,Data!EL53,Data!EN53,Data!EP53,Data!ER53,Data!ET53)</f>
        <v>0</v>
      </c>
      <c r="K52" s="12">
        <f>J52-I52</f>
        <v>0</v>
      </c>
      <c r="L52">
        <f>IF(I52=0,IF(J52&gt;0,"New",0),(J52-I52)/I52)</f>
        <v>0</v>
      </c>
      <c r="M52" t="str">
        <f>IF(F52=0,"No 2026 Sales",IF(E52=0,"New Product",IF(AND(ISNUMBER(H52),H52&gt;0.1),"↑ Strong Growth",IF(AND(ISNUMBER(H52),H52&gt;0),"↗ Growth",IF(AND(ISNUMBER(H52),H52&lt;-0.1),"↓ Strong Decline",IF(AND(ISNUMBER(H52),H52&lt;0),"↘ Decline","→ Stable"))))))</f>
        <v>No 2026 Sales</v>
      </c>
    </row>
    <row r="53" spans="1:18" hidden="1" x14ac:dyDescent="0.35">
      <c r="A53">
        <f>Data!A54</f>
        <v>201</v>
      </c>
      <c r="B53" t="str">
        <f>Data!B54</f>
        <v>BUTCHERY</v>
      </c>
      <c r="C53" s="9">
        <f>Data!C54</f>
        <v>66713</v>
      </c>
      <c r="D53" s="10" t="s">
        <v>834</v>
      </c>
      <c r="E53" s="11">
        <f>SUM(Data!I54,Data!K54,Data!M54,Data!O54,Data!Q54,Data!S54,Data!U54,Data!W54,Data!Y54,Data!AA54,Data!AC54,Data!AE54,Data!AG54,Data!AI54,Data!AK54,Data!AM54,Data!AO54,Data!AQ54,Data!AS54)</f>
        <v>0</v>
      </c>
      <c r="F53" s="11">
        <f>SUM(Data!DI54,Data!DK54,Data!DM54,Data!DO54,Data!DQ54,Data!DS54,Data!DU54,Data!DW54,Data!DY54,Data!EA54,Data!EC54,Data!EE54,Data!EG54,Data!EI54,Data!EK54,Data!EM54,Data!EO54,Data!EQ54,Data!ES54)</f>
        <v>0</v>
      </c>
      <c r="G53" s="11">
        <f>F53-E53</f>
        <v>0</v>
      </c>
      <c r="H53">
        <f>IF(E53=0,IF(F53&gt;0,"New",0),(F53-E53)/E53)</f>
        <v>0</v>
      </c>
      <c r="I53" s="12">
        <f>SUM(Data!J54,Data!L54,Data!N54,Data!P54,Data!R54,Data!T54,Data!V54,Data!X54,Data!Z54,Data!AB54,Data!AD54,Data!AF54,Data!AH54,Data!AJ54,Data!AL54,Data!AN54,Data!AP54,Data!AR54,Data!AT54)</f>
        <v>0</v>
      </c>
      <c r="J53" s="12">
        <f>SUM(Data!DJ54,Data!DL54,Data!DN54,Data!DP54,Data!DR54,Data!DT54,Data!DV54,Data!DX54,Data!DZ54,Data!EB54,Data!ED54,Data!EF54,Data!EH54,Data!EJ54,Data!EL54,Data!EN54,Data!EP54,Data!ER54,Data!ET54)</f>
        <v>0</v>
      </c>
      <c r="K53" s="12">
        <f>J53-I53</f>
        <v>0</v>
      </c>
      <c r="L53">
        <f>IF(I53=0,IF(J53&gt;0,"New",0),(J53-I53)/I53)</f>
        <v>0</v>
      </c>
      <c r="M53" t="str">
        <f>IF(F53=0,"No 2026 Sales",IF(E53=0,"New Product",IF(AND(ISNUMBER(H53),H53&gt;0.1),"↑ Strong Growth",IF(AND(ISNUMBER(H53),H53&gt;0),"↗ Growth",IF(AND(ISNUMBER(H53),H53&lt;-0.1),"↓ Strong Decline",IF(AND(ISNUMBER(H53),H53&lt;0),"↘ Decline","→ Stable"))))))</f>
        <v>No 2026 Sales</v>
      </c>
    </row>
    <row r="54" spans="1:18" hidden="1" x14ac:dyDescent="0.35">
      <c r="A54">
        <f>Data!A55</f>
        <v>201</v>
      </c>
      <c r="B54" t="str">
        <f>Data!B55</f>
        <v>BUTCHERY</v>
      </c>
      <c r="C54" s="9">
        <f>Data!C55</f>
        <v>66714</v>
      </c>
      <c r="D54" s="10" t="s">
        <v>835</v>
      </c>
      <c r="E54" s="11">
        <f>SUM(Data!I55,Data!K55,Data!M55,Data!O55,Data!Q55,Data!S55,Data!U55,Data!W55,Data!Y55,Data!AA55,Data!AC55,Data!AE55,Data!AG55,Data!AI55,Data!AK55,Data!AM55,Data!AO55,Data!AQ55,Data!AS55)</f>
        <v>0</v>
      </c>
      <c r="F54" s="11">
        <f>SUM(Data!DI55,Data!DK55,Data!DM55,Data!DO55,Data!DQ55,Data!DS55,Data!DU55,Data!DW55,Data!DY55,Data!EA55,Data!EC55,Data!EE55,Data!EG55,Data!EI55,Data!EK55,Data!EM55,Data!EO55,Data!EQ55,Data!ES55)</f>
        <v>0</v>
      </c>
      <c r="G54" s="11">
        <f>F54-E54</f>
        <v>0</v>
      </c>
      <c r="H54">
        <f>IF(E54=0,IF(F54&gt;0,"New",0),(F54-E54)/E54)</f>
        <v>0</v>
      </c>
      <c r="I54" s="12">
        <f>SUM(Data!J55,Data!L55,Data!N55,Data!P55,Data!R55,Data!T55,Data!V55,Data!X55,Data!Z55,Data!AB55,Data!AD55,Data!AF55,Data!AH55,Data!AJ55,Data!AL55,Data!AN55,Data!AP55,Data!AR55,Data!AT55)</f>
        <v>0</v>
      </c>
      <c r="J54" s="12">
        <f>SUM(Data!DJ55,Data!DL55,Data!DN55,Data!DP55,Data!DR55,Data!DT55,Data!DV55,Data!DX55,Data!DZ55,Data!EB55,Data!ED55,Data!EF55,Data!EH55,Data!EJ55,Data!EL55,Data!EN55,Data!EP55,Data!ER55,Data!ET55)</f>
        <v>0</v>
      </c>
      <c r="K54" s="12">
        <f>J54-I54</f>
        <v>0</v>
      </c>
      <c r="L54">
        <f>IF(I54=0,IF(J54&gt;0,"New",0),(J54-I54)/I54)</f>
        <v>0</v>
      </c>
      <c r="M54" t="str">
        <f>IF(F54=0,"No 2026 Sales",IF(E54=0,"New Product",IF(AND(ISNUMBER(H54),H54&gt;0.1),"↑ Strong Growth",IF(AND(ISNUMBER(H54),H54&gt;0),"↗ Growth",IF(AND(ISNUMBER(H54),H54&lt;-0.1),"↓ Strong Decline",IF(AND(ISNUMBER(H54),H54&lt;0),"↘ Decline","→ Stable"))))))</f>
        <v>No 2026 Sales</v>
      </c>
    </row>
    <row r="55" spans="1:18" hidden="1" x14ac:dyDescent="0.35">
      <c r="A55">
        <f>Data!A56</f>
        <v>201</v>
      </c>
      <c r="B55" t="str">
        <f>Data!B56</f>
        <v>BUTCHERY</v>
      </c>
      <c r="C55" s="9">
        <f>Data!C56</f>
        <v>66715</v>
      </c>
      <c r="D55" s="10" t="s">
        <v>836</v>
      </c>
      <c r="E55" s="11">
        <f>SUM(Data!I56,Data!K56,Data!M56,Data!O56,Data!Q56,Data!S56,Data!U56,Data!W56,Data!Y56,Data!AA56,Data!AC56,Data!AE56,Data!AG56,Data!AI56,Data!AK56,Data!AM56,Data!AO56,Data!AQ56,Data!AS56)</f>
        <v>0</v>
      </c>
      <c r="F55" s="11">
        <f>SUM(Data!DI56,Data!DK56,Data!DM56,Data!DO56,Data!DQ56,Data!DS56,Data!DU56,Data!DW56,Data!DY56,Data!EA56,Data!EC56,Data!EE56,Data!EG56,Data!EI56,Data!EK56,Data!EM56,Data!EO56,Data!EQ56,Data!ES56)</f>
        <v>0</v>
      </c>
      <c r="G55" s="11">
        <f>F55-E55</f>
        <v>0</v>
      </c>
      <c r="H55">
        <f>IF(E55=0,IF(F55&gt;0,"New",0),(F55-E55)/E55)</f>
        <v>0</v>
      </c>
      <c r="I55" s="12">
        <f>SUM(Data!J56,Data!L56,Data!N56,Data!P56,Data!R56,Data!T56,Data!V56,Data!X56,Data!Z56,Data!AB56,Data!AD56,Data!AF56,Data!AH56,Data!AJ56,Data!AL56,Data!AN56,Data!AP56,Data!AR56,Data!AT56)</f>
        <v>0</v>
      </c>
      <c r="J55" s="12">
        <f>SUM(Data!DJ56,Data!DL56,Data!DN56,Data!DP56,Data!DR56,Data!DT56,Data!DV56,Data!DX56,Data!DZ56,Data!EB56,Data!ED56,Data!EF56,Data!EH56,Data!EJ56,Data!EL56,Data!EN56,Data!EP56,Data!ER56,Data!ET56)</f>
        <v>0</v>
      </c>
      <c r="K55" s="12">
        <f>J55-I55</f>
        <v>0</v>
      </c>
      <c r="L55">
        <f>IF(I55=0,IF(J55&gt;0,"New",0),(J55-I55)/I55)</f>
        <v>0</v>
      </c>
      <c r="M55" t="str">
        <f>IF(F55=0,"No 2026 Sales",IF(E55=0,"New Product",IF(AND(ISNUMBER(H55),H55&gt;0.1),"↑ Strong Growth",IF(AND(ISNUMBER(H55),H55&gt;0),"↗ Growth",IF(AND(ISNUMBER(H55),H55&lt;-0.1),"↓ Strong Decline",IF(AND(ISNUMBER(H55),H55&lt;0),"↘ Decline","→ Stable"))))))</f>
        <v>No 2026 Sales</v>
      </c>
    </row>
    <row r="56" spans="1:18" x14ac:dyDescent="0.35">
      <c r="A56">
        <f>Data!A57</f>
        <v>201</v>
      </c>
      <c r="B56" t="str">
        <f>Data!B57</f>
        <v>BUTCHERY</v>
      </c>
      <c r="C56" s="9">
        <f>Data!C57</f>
        <v>99990201</v>
      </c>
      <c r="D56" s="10" t="s">
        <v>837</v>
      </c>
      <c r="E56" s="11">
        <f>SUM(Data!I57,Data!K57,Data!M57,Data!O57,Data!Q57,Data!S57,Data!U57,Data!W57,Data!Y57,Data!AA57,Data!AC57,Data!AE57,Data!AG57,Data!AI57,Data!AK57,Data!AM57,Data!AO57,Data!AQ57,Data!AS57)</f>
        <v>20678.991304347815</v>
      </c>
      <c r="F56" s="11">
        <f>SUM(Data!DI57,Data!DK57,Data!DM57,Data!DO57,Data!DQ57,Data!DS57,Data!DU57,Data!DW57,Data!DY57,Data!EA57,Data!EC57,Data!EE57,Data!EG57,Data!EI57,Data!EK57,Data!EM57,Data!EO57,Data!EQ57,Data!ES57)</f>
        <v>14401.678260869568</v>
      </c>
      <c r="G56" s="11">
        <f>F56-E56</f>
        <v>-6277.313043478247</v>
      </c>
      <c r="H56" s="13">
        <f>IF(E56=0,IF(F56&gt;0,"New",0),(F56-E56)/E56)</f>
        <v>-0.30355992471249915</v>
      </c>
      <c r="I56" s="12">
        <f>SUM(Data!J57,Data!L57,Data!N57,Data!P57,Data!R57,Data!T57,Data!V57,Data!X57,Data!Z57,Data!AB57,Data!AD57,Data!AF57,Data!AH57,Data!AJ57,Data!AL57,Data!AN57,Data!AP57,Data!AR57,Data!AT57)</f>
        <v>682</v>
      </c>
      <c r="J56" s="12">
        <f>SUM(Data!DJ57,Data!DL57,Data!DN57,Data!DP57,Data!DR57,Data!DT57,Data!DV57,Data!DX57,Data!DZ57,Data!EB57,Data!ED57,Data!EF57,Data!EH57,Data!EJ57,Data!EL57,Data!EN57,Data!EP57,Data!ER57,Data!ET57)</f>
        <v>196</v>
      </c>
      <c r="K56" s="12">
        <f>J56-I56</f>
        <v>-486</v>
      </c>
      <c r="L56" s="13">
        <f>IF(I56=0,IF(J56&gt;0,"New",0),(J56-I56)/I56)</f>
        <v>-0.71260997067448684</v>
      </c>
      <c r="M56" t="str">
        <f>IF(F56=0,"No 2026 Sales",IF(E56=0,"New Product",IF(AND(ISNUMBER(H56),H56&gt;0.1),"↑ Strong Growth",IF(AND(ISNUMBER(H56),H56&gt;0),"↗ Growth",IF(AND(ISNUMBER(H56),H56&lt;-0.1),"↓ Strong Decline",IF(AND(ISNUMBER(H56),H56&lt;0),"↘ Decline","→ Stable"))))))</f>
        <v>↓ Strong Decline</v>
      </c>
    </row>
    <row r="57" spans="1:18" hidden="1" x14ac:dyDescent="0.35">
      <c r="A57">
        <f>Data!A58</f>
        <v>202</v>
      </c>
      <c r="B57" t="str">
        <f>Data!B58</f>
        <v>BEEF</v>
      </c>
      <c r="C57" s="9">
        <f>Data!C58</f>
        <v>2748</v>
      </c>
      <c r="D57" s="10" t="s">
        <v>838</v>
      </c>
      <c r="E57" s="11">
        <f>SUM(Data!I58,Data!K58,Data!M58,Data!O58,Data!Q58,Data!S58,Data!U58,Data!W58,Data!Y58,Data!AA58,Data!AC58,Data!AE58,Data!AG58,Data!AI58,Data!AK58,Data!AM58,Data!AO58,Data!AQ58,Data!AS58)</f>
        <v>0</v>
      </c>
      <c r="F57" s="11">
        <f>SUM(Data!DI58,Data!DK58,Data!DM58,Data!DO58,Data!DQ58,Data!DS58,Data!DU58,Data!DW58,Data!DY58,Data!EA58,Data!EC58,Data!EE58,Data!EG58,Data!EI58,Data!EK58,Data!EM58,Data!EO58,Data!EQ58,Data!ES58)</f>
        <v>0</v>
      </c>
      <c r="G57" s="11">
        <f>F57-E57</f>
        <v>0</v>
      </c>
      <c r="H57">
        <f>IF(E57=0,IF(F57&gt;0,"New",0),(F57-E57)/E57)</f>
        <v>0</v>
      </c>
      <c r="I57" s="12">
        <f>SUM(Data!J58,Data!L58,Data!N58,Data!P58,Data!R58,Data!T58,Data!V58,Data!X58,Data!Z58,Data!AB58,Data!AD58,Data!AF58,Data!AH58,Data!AJ58,Data!AL58,Data!AN58,Data!AP58,Data!AR58,Data!AT58)</f>
        <v>0</v>
      </c>
      <c r="J57" s="12">
        <f>SUM(Data!DJ58,Data!DL58,Data!DN58,Data!DP58,Data!DR58,Data!DT58,Data!DV58,Data!DX58,Data!DZ58,Data!EB58,Data!ED58,Data!EF58,Data!EH58,Data!EJ58,Data!EL58,Data!EN58,Data!EP58,Data!ER58,Data!ET58)</f>
        <v>0</v>
      </c>
      <c r="K57" s="12">
        <f>J57-I57</f>
        <v>0</v>
      </c>
      <c r="L57">
        <f>IF(I57=0,IF(J57&gt;0,"New",0),(J57-I57)/I57)</f>
        <v>0</v>
      </c>
      <c r="M57" t="str">
        <f>IF(F57=0,"No 2026 Sales",IF(E57=0,"New Product",IF(AND(ISNUMBER(H57),H57&gt;0.1),"↑ Strong Growth",IF(AND(ISNUMBER(H57),H57&gt;0),"↗ Growth",IF(AND(ISNUMBER(H57),H57&lt;-0.1),"↓ Strong Decline",IF(AND(ISNUMBER(H57),H57&lt;0),"↘ Decline","→ Stable"))))))</f>
        <v>No 2026 Sales</v>
      </c>
    </row>
    <row r="58" spans="1:18" hidden="1" x14ac:dyDescent="0.35">
      <c r="A58">
        <f>Data!A59</f>
        <v>202</v>
      </c>
      <c r="B58" t="str">
        <f>Data!B59</f>
        <v>BEEF</v>
      </c>
      <c r="C58" s="9">
        <f>Data!C59</f>
        <v>12112</v>
      </c>
      <c r="D58" s="10" t="s">
        <v>839</v>
      </c>
      <c r="E58" s="11">
        <f>SUM(Data!I59,Data!K59,Data!M59,Data!O59,Data!Q59,Data!S59,Data!U59,Data!W59,Data!Y59,Data!AA59,Data!AC59,Data!AE59,Data!AG59,Data!AI59,Data!AK59,Data!AM59,Data!AO59,Data!AQ59,Data!AS59)</f>
        <v>0</v>
      </c>
      <c r="F58" s="11">
        <f>SUM(Data!DI59,Data!DK59,Data!DM59,Data!DO59,Data!DQ59,Data!DS59,Data!DU59,Data!DW59,Data!DY59,Data!EA59,Data!EC59,Data!EE59,Data!EG59,Data!EI59,Data!EK59,Data!EM59,Data!EO59,Data!EQ59,Data!ES59)</f>
        <v>0</v>
      </c>
      <c r="G58" s="11">
        <f>F58-E58</f>
        <v>0</v>
      </c>
      <c r="H58">
        <f>IF(E58=0,IF(F58&gt;0,"New",0),(F58-E58)/E58)</f>
        <v>0</v>
      </c>
      <c r="I58" s="12">
        <f>SUM(Data!J59,Data!L59,Data!N59,Data!P59,Data!R59,Data!T59,Data!V59,Data!X59,Data!Z59,Data!AB59,Data!AD59,Data!AF59,Data!AH59,Data!AJ59,Data!AL59,Data!AN59,Data!AP59,Data!AR59,Data!AT59)</f>
        <v>0</v>
      </c>
      <c r="J58" s="12">
        <f>SUM(Data!DJ59,Data!DL59,Data!DN59,Data!DP59,Data!DR59,Data!DT59,Data!DV59,Data!DX59,Data!DZ59,Data!EB59,Data!ED59,Data!EF59,Data!EH59,Data!EJ59,Data!EL59,Data!EN59,Data!EP59,Data!ER59,Data!ET59)</f>
        <v>0</v>
      </c>
      <c r="K58" s="12">
        <f>J58-I58</f>
        <v>0</v>
      </c>
      <c r="L58">
        <f>IF(I58=0,IF(J58&gt;0,"New",0),(J58-I58)/I58)</f>
        <v>0</v>
      </c>
      <c r="M58" t="str">
        <f>IF(F58=0,"No 2026 Sales",IF(E58=0,"New Product",IF(AND(ISNUMBER(H58),H58&gt;0.1),"↑ Strong Growth",IF(AND(ISNUMBER(H58),H58&gt;0),"↗ Growth",IF(AND(ISNUMBER(H58),H58&lt;-0.1),"↓ Strong Decline",IF(AND(ISNUMBER(H58),H58&lt;0),"↘ Decline","→ Stable"))))))</f>
        <v>No 2026 Sales</v>
      </c>
    </row>
    <row r="59" spans="1:18" hidden="1" x14ac:dyDescent="0.35">
      <c r="A59">
        <f>Data!A60</f>
        <v>202</v>
      </c>
      <c r="B59" t="str">
        <f>Data!B60</f>
        <v>BEEF</v>
      </c>
      <c r="C59" s="9">
        <f>Data!C60</f>
        <v>12113</v>
      </c>
      <c r="D59" s="10" t="s">
        <v>840</v>
      </c>
      <c r="E59" s="11">
        <f>SUM(Data!I60,Data!K60,Data!M60,Data!O60,Data!Q60,Data!S60,Data!U60,Data!W60,Data!Y60,Data!AA60,Data!AC60,Data!AE60,Data!AG60,Data!AI60,Data!AK60,Data!AM60,Data!AO60,Data!AQ60,Data!AS60)</f>
        <v>155.76521739130399</v>
      </c>
      <c r="F59" s="11">
        <f>SUM(Data!DI60,Data!DK60,Data!DM60,Data!DO60,Data!DQ60,Data!DS60,Data!DU60,Data!DW60,Data!DY60,Data!EA60,Data!EC60,Data!EE60,Data!EG60,Data!EI60,Data!EK60,Data!EM60,Data!EO60,Data!EQ60,Data!ES60)</f>
        <v>0</v>
      </c>
      <c r="G59" s="11">
        <f>F59-E59</f>
        <v>-155.76521739130399</v>
      </c>
      <c r="H59">
        <f>IF(E59=0,IF(F59&gt;0,"New",0),(F59-E59)/E59)</f>
        <v>-1</v>
      </c>
      <c r="I59" s="12">
        <f>SUM(Data!J60,Data!L60,Data!N60,Data!P60,Data!R60,Data!T60,Data!V60,Data!X60,Data!Z60,Data!AB60,Data!AD60,Data!AF60,Data!AH60,Data!AJ60,Data!AL60,Data!AN60,Data!AP60,Data!AR60,Data!AT60)</f>
        <v>1.1200000000000001</v>
      </c>
      <c r="J59" s="12">
        <f>SUM(Data!DJ60,Data!DL60,Data!DN60,Data!DP60,Data!DR60,Data!DT60,Data!DV60,Data!DX60,Data!DZ60,Data!EB60,Data!ED60,Data!EF60,Data!EH60,Data!EJ60,Data!EL60,Data!EN60,Data!EP60,Data!ER60,Data!ET60)</f>
        <v>0</v>
      </c>
      <c r="K59" s="12">
        <f>J59-I59</f>
        <v>-1.1200000000000001</v>
      </c>
      <c r="L59">
        <f>IF(I59=0,IF(J59&gt;0,"New",0),(J59-I59)/I59)</f>
        <v>-1</v>
      </c>
      <c r="M59" t="str">
        <f>IF(F59=0,"No 2026 Sales",IF(E59=0,"New Product",IF(AND(ISNUMBER(H59),H59&gt;0.1),"↑ Strong Growth",IF(AND(ISNUMBER(H59),H59&gt;0),"↗ Growth",IF(AND(ISNUMBER(H59),H59&lt;-0.1),"↓ Strong Decline",IF(AND(ISNUMBER(H59),H59&lt;0),"↘ Decline","→ Stable"))))))</f>
        <v>No 2026 Sales</v>
      </c>
    </row>
    <row r="60" spans="1:18" hidden="1" x14ac:dyDescent="0.35">
      <c r="A60">
        <f>Data!A61</f>
        <v>202</v>
      </c>
      <c r="B60" t="str">
        <f>Data!B61</f>
        <v>BEEF</v>
      </c>
      <c r="C60" s="9">
        <f>Data!C61</f>
        <v>12118</v>
      </c>
      <c r="D60" s="10" t="s">
        <v>841</v>
      </c>
      <c r="E60" s="11">
        <f>SUM(Data!I61,Data!K61,Data!M61,Data!O61,Data!Q61,Data!S61,Data!U61,Data!W61,Data!Y61,Data!AA61,Data!AC61,Data!AE61,Data!AG61,Data!AI61,Data!AK61,Data!AM61,Data!AO61,Data!AQ61,Data!AS61)</f>
        <v>7458.2869565217361</v>
      </c>
      <c r="F60" s="11">
        <f>SUM(Data!DI61,Data!DK61,Data!DM61,Data!DO61,Data!DQ61,Data!DS61,Data!DU61,Data!DW61,Data!DY61,Data!EA61,Data!EC61,Data!EE61,Data!EG61,Data!EI61,Data!EK61,Data!EM61,Data!EO61,Data!EQ61,Data!ES61)</f>
        <v>0</v>
      </c>
      <c r="G60" s="11">
        <f>F60-E60</f>
        <v>-7458.2869565217361</v>
      </c>
      <c r="H60">
        <f>IF(E60=0,IF(F60&gt;0,"New",0),(F60-E60)/E60)</f>
        <v>-1</v>
      </c>
      <c r="I60" s="12">
        <f>SUM(Data!J61,Data!L61,Data!N61,Data!P61,Data!R61,Data!T61,Data!V61,Data!X61,Data!Z61,Data!AB61,Data!AD61,Data!AF61,Data!AH61,Data!AJ61,Data!AL61,Data!AN61,Data!AP61,Data!AR61,Data!AT61)</f>
        <v>56.796000000000006</v>
      </c>
      <c r="J60" s="12">
        <f>SUM(Data!DJ61,Data!DL61,Data!DN61,Data!DP61,Data!DR61,Data!DT61,Data!DV61,Data!DX61,Data!DZ61,Data!EB61,Data!ED61,Data!EF61,Data!EH61,Data!EJ61,Data!EL61,Data!EN61,Data!EP61,Data!ER61,Data!ET61)</f>
        <v>0</v>
      </c>
      <c r="K60" s="12">
        <f>J60-I60</f>
        <v>-56.796000000000006</v>
      </c>
      <c r="L60">
        <f>IF(I60=0,IF(J60&gt;0,"New",0),(J60-I60)/I60)</f>
        <v>-1</v>
      </c>
      <c r="M60" t="str">
        <f>IF(F60=0,"No 2026 Sales",IF(E60=0,"New Product",IF(AND(ISNUMBER(H60),H60&gt;0.1),"↑ Strong Growth",IF(AND(ISNUMBER(H60),H60&gt;0),"↗ Growth",IF(AND(ISNUMBER(H60),H60&lt;-0.1),"↓ Strong Decline",IF(AND(ISNUMBER(H60),H60&lt;0),"↘ Decline","→ Stable"))))))</f>
        <v>No 2026 Sales</v>
      </c>
    </row>
    <row r="61" spans="1:18" hidden="1" x14ac:dyDescent="0.35">
      <c r="A61">
        <f>Data!A62</f>
        <v>202</v>
      </c>
      <c r="B61" t="str">
        <f>Data!B62</f>
        <v>BEEF</v>
      </c>
      <c r="C61" s="9">
        <f>Data!C62</f>
        <v>12119</v>
      </c>
      <c r="D61" s="10" t="s">
        <v>842</v>
      </c>
      <c r="E61" s="11">
        <f>SUM(Data!I62,Data!K62,Data!M62,Data!O62,Data!Q62,Data!S62,Data!U62,Data!W62,Data!Y62,Data!AA62,Data!AC62,Data!AE62,Data!AG62,Data!AI62,Data!AK62,Data!AM62,Data!AO62,Data!AQ62,Data!AS62)</f>
        <v>0</v>
      </c>
      <c r="F61" s="11">
        <f>SUM(Data!DI62,Data!DK62,Data!DM62,Data!DO62,Data!DQ62,Data!DS62,Data!DU62,Data!DW62,Data!DY62,Data!EA62,Data!EC62,Data!EE62,Data!EG62,Data!EI62,Data!EK62,Data!EM62,Data!EO62,Data!EQ62,Data!ES62)</f>
        <v>0</v>
      </c>
      <c r="G61" s="11">
        <f>F61-E61</f>
        <v>0</v>
      </c>
      <c r="H61">
        <f>IF(E61=0,IF(F61&gt;0,"New",0),(F61-E61)/E61)</f>
        <v>0</v>
      </c>
      <c r="I61" s="12">
        <f>SUM(Data!J62,Data!L62,Data!N62,Data!P62,Data!R62,Data!T62,Data!V62,Data!X62,Data!Z62,Data!AB62,Data!AD62,Data!AF62,Data!AH62,Data!AJ62,Data!AL62,Data!AN62,Data!AP62,Data!AR62,Data!AT62)</f>
        <v>0</v>
      </c>
      <c r="J61" s="12">
        <f>SUM(Data!DJ62,Data!DL62,Data!DN62,Data!DP62,Data!DR62,Data!DT62,Data!DV62,Data!DX62,Data!DZ62,Data!EB62,Data!ED62,Data!EF62,Data!EH62,Data!EJ62,Data!EL62,Data!EN62,Data!EP62,Data!ER62,Data!ET62)</f>
        <v>0</v>
      </c>
      <c r="K61" s="12">
        <f>J61-I61</f>
        <v>0</v>
      </c>
      <c r="L61">
        <f>IF(I61=0,IF(J61&gt;0,"New",0),(J61-I61)/I61)</f>
        <v>0</v>
      </c>
      <c r="M61" t="str">
        <f>IF(F61=0,"No 2026 Sales",IF(E61=0,"New Product",IF(AND(ISNUMBER(H61),H61&gt;0.1),"↑ Strong Growth",IF(AND(ISNUMBER(H61),H61&gt;0),"↗ Growth",IF(AND(ISNUMBER(H61),H61&lt;-0.1),"↓ Strong Decline",IF(AND(ISNUMBER(H61),H61&lt;0),"↘ Decline","→ Stable"))))))</f>
        <v>No 2026 Sales</v>
      </c>
    </row>
    <row r="62" spans="1:18" hidden="1" x14ac:dyDescent="0.35">
      <c r="A62">
        <f>Data!A63</f>
        <v>202</v>
      </c>
      <c r="B62" t="str">
        <f>Data!B63</f>
        <v>BEEF</v>
      </c>
      <c r="C62" s="9">
        <f>Data!C63</f>
        <v>12130</v>
      </c>
      <c r="D62" s="10" t="s">
        <v>843</v>
      </c>
      <c r="E62" s="11">
        <f>SUM(Data!I63,Data!K63,Data!M63,Data!O63,Data!Q63,Data!S63,Data!U63,Data!W63,Data!Y63,Data!AA63,Data!AC63,Data!AE63,Data!AG63,Data!AI63,Data!AK63,Data!AM63,Data!AO63,Data!AQ63,Data!AS63)</f>
        <v>10408.417391304345</v>
      </c>
      <c r="F62" s="11">
        <f>SUM(Data!DI63,Data!DK63,Data!DM63,Data!DO63,Data!DQ63,Data!DS63,Data!DU63,Data!DW63,Data!DY63,Data!EA63,Data!EC63,Data!EE63,Data!EG63,Data!EI63,Data!EK63,Data!EM63,Data!EO63,Data!EQ63,Data!ES63)</f>
        <v>0</v>
      </c>
      <c r="G62" s="11">
        <f>F62-E62</f>
        <v>-10408.417391304345</v>
      </c>
      <c r="H62">
        <f>IF(E62=0,IF(F62&gt;0,"New",0),(F62-E62)/E62)</f>
        <v>-1</v>
      </c>
      <c r="I62" s="12">
        <f>SUM(Data!J63,Data!L63,Data!N63,Data!P63,Data!R63,Data!T63,Data!V63,Data!X63,Data!Z63,Data!AB63,Data!AD63,Data!AF63,Data!AH63,Data!AJ63,Data!AL63,Data!AN63,Data!AP63,Data!AR63,Data!AT63)</f>
        <v>113.477</v>
      </c>
      <c r="J62" s="12">
        <f>SUM(Data!DJ63,Data!DL63,Data!DN63,Data!DP63,Data!DR63,Data!DT63,Data!DV63,Data!DX63,Data!DZ63,Data!EB63,Data!ED63,Data!EF63,Data!EH63,Data!EJ63,Data!EL63,Data!EN63,Data!EP63,Data!ER63,Data!ET63)</f>
        <v>0</v>
      </c>
      <c r="K62" s="12">
        <f>J62-I62</f>
        <v>-113.477</v>
      </c>
      <c r="L62">
        <f>IF(I62=0,IF(J62&gt;0,"New",0),(J62-I62)/I62)</f>
        <v>-1</v>
      </c>
      <c r="M62" t="str">
        <f>IF(F62=0,"No 2026 Sales",IF(E62=0,"New Product",IF(AND(ISNUMBER(H62),H62&gt;0.1),"↑ Strong Growth",IF(AND(ISNUMBER(H62),H62&gt;0),"↗ Growth",IF(AND(ISNUMBER(H62),H62&lt;-0.1),"↓ Strong Decline",IF(AND(ISNUMBER(H62),H62&lt;0),"↘ Decline","→ Stable"))))))</f>
        <v>No 2026 Sales</v>
      </c>
    </row>
    <row r="63" spans="1:18" x14ac:dyDescent="0.35">
      <c r="A63">
        <f>Data!A64</f>
        <v>202</v>
      </c>
      <c r="B63" t="str">
        <f>Data!B64</f>
        <v>BEEF</v>
      </c>
      <c r="C63" s="9">
        <f>Data!C64</f>
        <v>12141</v>
      </c>
      <c r="D63" s="10" t="s">
        <v>844</v>
      </c>
      <c r="E63" s="11">
        <f>SUM(Data!I64,Data!K64,Data!M64,Data!O64,Data!Q64,Data!S64,Data!U64,Data!W64,Data!Y64,Data!AA64,Data!AC64,Data!AE64,Data!AG64,Data!AI64,Data!AK64,Data!AM64,Data!AO64,Data!AQ64,Data!AS64)</f>
        <v>41121.921739130412</v>
      </c>
      <c r="F63" s="11">
        <f>SUM(Data!DI64,Data!DK64,Data!DM64,Data!DO64,Data!DQ64,Data!DS64,Data!DU64,Data!DW64,Data!DY64,Data!EA64,Data!EC64,Data!EE64,Data!EG64,Data!EI64,Data!EK64,Data!EM64,Data!EO64,Data!EQ64,Data!ES64)</f>
        <v>51283.130434782608</v>
      </c>
      <c r="G63" s="11">
        <f>F63-E63</f>
        <v>10161.208695652196</v>
      </c>
      <c r="H63" s="13">
        <f>IF(E63=0,IF(F63&gt;0,"New",0),(F63-E63)/E63)</f>
        <v>0.24709955823837601</v>
      </c>
      <c r="I63" s="12">
        <f>SUM(Data!J64,Data!L64,Data!N64,Data!P64,Data!R64,Data!T64,Data!V64,Data!X64,Data!Z64,Data!AB64,Data!AD64,Data!AF64,Data!AH64,Data!AJ64,Data!AL64,Data!AN64,Data!AP64,Data!AR64,Data!AT64)</f>
        <v>252.82700000000003</v>
      </c>
      <c r="J63" s="12">
        <f>SUM(Data!DJ64,Data!DL64,Data!DN64,Data!DP64,Data!DR64,Data!DT64,Data!DV64,Data!DX64,Data!DZ64,Data!EB64,Data!ED64,Data!EF64,Data!EH64,Data!EJ64,Data!EL64,Data!EN64,Data!EP64,Data!ER64,Data!ET64)</f>
        <v>318.041</v>
      </c>
      <c r="K63" s="12">
        <f>J63-I63</f>
        <v>65.21399999999997</v>
      </c>
      <c r="L63" s="13">
        <f>IF(I63=0,IF(J63&gt;0,"New",0),(J63-I63)/I63)</f>
        <v>0.25793922326333801</v>
      </c>
      <c r="M63" t="str">
        <f>IF(F63=0,"No 2026 Sales",IF(E63=0,"New Product",IF(AND(ISNUMBER(H63),H63&gt;0.1),"↑ Strong Growth",IF(AND(ISNUMBER(H63),H63&gt;0),"↗ Growth",IF(AND(ISNUMBER(H63),H63&lt;-0.1),"↓ Strong Decline",IF(AND(ISNUMBER(H63),H63&lt;0),"↘ Decline","→ Stable"))))))</f>
        <v>↑ Strong Growth</v>
      </c>
    </row>
    <row r="64" spans="1:18" hidden="1" x14ac:dyDescent="0.35">
      <c r="A64">
        <f>Data!A65</f>
        <v>202</v>
      </c>
      <c r="B64" t="str">
        <f>Data!B65</f>
        <v>BEEF</v>
      </c>
      <c r="C64" s="9">
        <f>Data!C65</f>
        <v>12142</v>
      </c>
      <c r="D64" s="10" t="s">
        <v>845</v>
      </c>
      <c r="E64" s="11">
        <f>SUM(Data!I65,Data!K65,Data!M65,Data!O65,Data!Q65,Data!S65,Data!U65,Data!W65,Data!Y65,Data!AA65,Data!AC65,Data!AE65,Data!AG65,Data!AI65,Data!AK65,Data!AM65,Data!AO65,Data!AQ65,Data!AS65)</f>
        <v>22489.156521739133</v>
      </c>
      <c r="F64" s="11">
        <f>SUM(Data!DI65,Data!DK65,Data!DM65,Data!DO65,Data!DQ65,Data!DS65,Data!DU65,Data!DW65,Data!DY65,Data!EA65,Data!EC65,Data!EE65,Data!EG65,Data!EI65,Data!EK65,Data!EM65,Data!EO65,Data!EQ65,Data!ES65)</f>
        <v>0</v>
      </c>
      <c r="G64" s="11">
        <f>F64-E64</f>
        <v>-22489.156521739133</v>
      </c>
      <c r="H64">
        <f>IF(E64=0,IF(F64&gt;0,"New",0),(F64-E64)/E64)</f>
        <v>-1</v>
      </c>
      <c r="I64" s="12">
        <f>SUM(Data!J65,Data!L65,Data!N65,Data!P65,Data!R65,Data!T65,Data!V65,Data!X65,Data!Z65,Data!AB65,Data!AD65,Data!AF65,Data!AH65,Data!AJ65,Data!AL65,Data!AN65,Data!AP65,Data!AR65,Data!AT65)</f>
        <v>201.50299999999999</v>
      </c>
      <c r="J64" s="12">
        <f>SUM(Data!DJ65,Data!DL65,Data!DN65,Data!DP65,Data!DR65,Data!DT65,Data!DV65,Data!DX65,Data!DZ65,Data!EB65,Data!ED65,Data!EF65,Data!EH65,Data!EJ65,Data!EL65,Data!EN65,Data!EP65,Data!ER65,Data!ET65)</f>
        <v>0</v>
      </c>
      <c r="K64" s="12">
        <f>J64-I64</f>
        <v>-201.50299999999999</v>
      </c>
      <c r="L64">
        <f>IF(I64=0,IF(J64&gt;0,"New",0),(J64-I64)/I64)</f>
        <v>-1</v>
      </c>
      <c r="M64" t="str">
        <f>IF(F64=0,"No 2026 Sales",IF(E64=0,"New Product",IF(AND(ISNUMBER(H64),H64&gt;0.1),"↑ Strong Growth",IF(AND(ISNUMBER(H64),H64&gt;0),"↗ Growth",IF(AND(ISNUMBER(H64),H64&lt;-0.1),"↓ Strong Decline",IF(AND(ISNUMBER(H64),H64&lt;0),"↘ Decline","→ Stable"))))))</f>
        <v>No 2026 Sales</v>
      </c>
    </row>
    <row r="65" spans="1:13" x14ac:dyDescent="0.35">
      <c r="A65">
        <f>Data!A66</f>
        <v>202</v>
      </c>
      <c r="B65" t="str">
        <f>Data!B66</f>
        <v>BEEF</v>
      </c>
      <c r="C65" s="9">
        <f>Data!C66</f>
        <v>12144</v>
      </c>
      <c r="D65" s="10" t="s">
        <v>846</v>
      </c>
      <c r="E65" s="11">
        <f>SUM(Data!I66,Data!K66,Data!M66,Data!O66,Data!Q66,Data!S66,Data!U66,Data!W66,Data!Y66,Data!AA66,Data!AC66,Data!AE66,Data!AG66,Data!AI66,Data!AK66,Data!AM66,Data!AO66,Data!AQ66,Data!AS66)</f>
        <v>7441.0086956521745</v>
      </c>
      <c r="F65" s="11">
        <f>SUM(Data!DI66,Data!DK66,Data!DM66,Data!DO66,Data!DQ66,Data!DS66,Data!DU66,Data!DW66,Data!DY66,Data!EA66,Data!EC66,Data!EE66,Data!EG66,Data!EI66,Data!EK66,Data!EM66,Data!EO66,Data!EQ66,Data!ES66)</f>
        <v>7854.4347826086951</v>
      </c>
      <c r="G65" s="11">
        <f>F65-E65</f>
        <v>413.42608695652052</v>
      </c>
      <c r="H65" s="13">
        <f>IF(E65=0,IF(F65&gt;0,"New",0),(F65-E65)/E65)</f>
        <v>5.5560489695179072E-2</v>
      </c>
      <c r="I65" s="12">
        <f>SUM(Data!J66,Data!L66,Data!N66,Data!P66,Data!R66,Data!T66,Data!V66,Data!X66,Data!Z66,Data!AB66,Data!AD66,Data!AF66,Data!AH66,Data!AJ66,Data!AL66,Data!AN66,Data!AP66,Data!AR66,Data!AT66)</f>
        <v>63.034999999999997</v>
      </c>
      <c r="J65" s="12">
        <f>SUM(Data!DJ66,Data!DL66,Data!DN66,Data!DP66,Data!DR66,Data!DT66,Data!DV66,Data!DX66,Data!DZ66,Data!EB66,Data!ED66,Data!EF66,Data!EH66,Data!EJ66,Data!EL66,Data!EN66,Data!EP66,Data!ER66,Data!ET66)</f>
        <v>63.301000000000009</v>
      </c>
      <c r="K65" s="12">
        <f>J65-I65</f>
        <v>0.26600000000001245</v>
      </c>
      <c r="L65" s="13">
        <f>IF(I65=0,IF(J65&gt;0,"New",0),(J65-I65)/I65)</f>
        <v>4.2198778456415077E-3</v>
      </c>
      <c r="M65" t="str">
        <f>IF(F65=0,"No 2026 Sales",IF(E65=0,"New Product",IF(AND(ISNUMBER(H65),H65&gt;0.1),"↑ Strong Growth",IF(AND(ISNUMBER(H65),H65&gt;0),"↗ Growth",IF(AND(ISNUMBER(H65),H65&lt;-0.1),"↓ Strong Decline",IF(AND(ISNUMBER(H65),H65&lt;0),"↘ Decline","→ Stable"))))))</f>
        <v>↗ Growth</v>
      </c>
    </row>
    <row r="66" spans="1:13" hidden="1" x14ac:dyDescent="0.35">
      <c r="A66">
        <f>Data!A67</f>
        <v>202</v>
      </c>
      <c r="B66" t="str">
        <f>Data!B67</f>
        <v>BEEF</v>
      </c>
      <c r="C66" s="9">
        <f>Data!C67</f>
        <v>12145</v>
      </c>
      <c r="D66" s="10" t="s">
        <v>847</v>
      </c>
      <c r="E66" s="11">
        <f>SUM(Data!I67,Data!K67,Data!M67,Data!O67,Data!Q67,Data!S67,Data!U67,Data!W67,Data!Y67,Data!AA67,Data!AC67,Data!AE67,Data!AG67,Data!AI67,Data!AK67,Data!AM67,Data!AO67,Data!AQ67,Data!AS67)</f>
        <v>4431.1826086956571</v>
      </c>
      <c r="F66" s="11">
        <f>SUM(Data!DI67,Data!DK67,Data!DM67,Data!DO67,Data!DQ67,Data!DS67,Data!DU67,Data!DW67,Data!DY67,Data!EA67,Data!EC67,Data!EE67,Data!EG67,Data!EI67,Data!EK67,Data!EM67,Data!EO67,Data!EQ67,Data!ES67)</f>
        <v>0</v>
      </c>
      <c r="G66" s="11">
        <f>F66-E66</f>
        <v>-4431.1826086956571</v>
      </c>
      <c r="H66">
        <f>IF(E66=0,IF(F66&gt;0,"New",0),(F66-E66)/E66)</f>
        <v>-1</v>
      </c>
      <c r="I66" s="12">
        <f>SUM(Data!J67,Data!L67,Data!N67,Data!P67,Data!R67,Data!T67,Data!V67,Data!X67,Data!Z67,Data!AB67,Data!AD67,Data!AF67,Data!AH67,Data!AJ67,Data!AL67,Data!AN67,Data!AP67,Data!AR67,Data!AT67)</f>
        <v>37.691999999999993</v>
      </c>
      <c r="J66" s="12">
        <f>SUM(Data!DJ67,Data!DL67,Data!DN67,Data!DP67,Data!DR67,Data!DT67,Data!DV67,Data!DX67,Data!DZ67,Data!EB67,Data!ED67,Data!EF67,Data!EH67,Data!EJ67,Data!EL67,Data!EN67,Data!EP67,Data!ER67,Data!ET67)</f>
        <v>0</v>
      </c>
      <c r="K66" s="12">
        <f>J66-I66</f>
        <v>-37.691999999999993</v>
      </c>
      <c r="L66">
        <f>IF(I66=0,IF(J66&gt;0,"New",0),(J66-I66)/I66)</f>
        <v>-1</v>
      </c>
      <c r="M66" t="str">
        <f>IF(F66=0,"No 2026 Sales",IF(E66=0,"New Product",IF(AND(ISNUMBER(H66),H66&gt;0.1),"↑ Strong Growth",IF(AND(ISNUMBER(H66),H66&gt;0),"↗ Growth",IF(AND(ISNUMBER(H66),H66&lt;-0.1),"↓ Strong Decline",IF(AND(ISNUMBER(H66),H66&lt;0),"↘ Decline","→ Stable"))))))</f>
        <v>No 2026 Sales</v>
      </c>
    </row>
    <row r="67" spans="1:13" hidden="1" x14ac:dyDescent="0.35">
      <c r="A67">
        <f>Data!A68</f>
        <v>202</v>
      </c>
      <c r="B67" t="str">
        <f>Data!B68</f>
        <v>BEEF</v>
      </c>
      <c r="C67" s="9">
        <f>Data!C68</f>
        <v>12146</v>
      </c>
      <c r="D67" s="10" t="s">
        <v>848</v>
      </c>
      <c r="E67" s="11">
        <f>SUM(Data!I68,Data!K68,Data!M68,Data!O68,Data!Q68,Data!S68,Data!U68,Data!W68,Data!Y68,Data!AA68,Data!AC68,Data!AE68,Data!AG68,Data!AI68,Data!AK68,Data!AM68,Data!AO68,Data!AQ68,Data!AS68)</f>
        <v>0</v>
      </c>
      <c r="F67" s="11">
        <f>SUM(Data!DI68,Data!DK68,Data!DM68,Data!DO68,Data!DQ68,Data!DS68,Data!DU68,Data!DW68,Data!DY68,Data!EA68,Data!EC68,Data!EE68,Data!EG68,Data!EI68,Data!EK68,Data!EM68,Data!EO68,Data!EQ68,Data!ES68)</f>
        <v>0</v>
      </c>
      <c r="G67" s="11">
        <f>F67-E67</f>
        <v>0</v>
      </c>
      <c r="H67">
        <f>IF(E67=0,IF(F67&gt;0,"New",0),(F67-E67)/E67)</f>
        <v>0</v>
      </c>
      <c r="I67" s="12">
        <f>SUM(Data!J68,Data!L68,Data!N68,Data!P68,Data!R68,Data!T68,Data!V68,Data!X68,Data!Z68,Data!AB68,Data!AD68,Data!AF68,Data!AH68,Data!AJ68,Data!AL68,Data!AN68,Data!AP68,Data!AR68,Data!AT68)</f>
        <v>0</v>
      </c>
      <c r="J67" s="12">
        <f>SUM(Data!DJ68,Data!DL68,Data!DN68,Data!DP68,Data!DR68,Data!DT68,Data!DV68,Data!DX68,Data!DZ68,Data!EB68,Data!ED68,Data!EF68,Data!EH68,Data!EJ68,Data!EL68,Data!EN68,Data!EP68,Data!ER68,Data!ET68)</f>
        <v>0</v>
      </c>
      <c r="K67" s="12">
        <f>J67-I67</f>
        <v>0</v>
      </c>
      <c r="L67">
        <f>IF(I67=0,IF(J67&gt;0,"New",0),(J67-I67)/I67)</f>
        <v>0</v>
      </c>
      <c r="M67" t="str">
        <f>IF(F67=0,"No 2026 Sales",IF(E67=0,"New Product",IF(AND(ISNUMBER(H67),H67&gt;0.1),"↑ Strong Growth",IF(AND(ISNUMBER(H67),H67&gt;0),"↗ Growth",IF(AND(ISNUMBER(H67),H67&lt;-0.1),"↓ Strong Decline",IF(AND(ISNUMBER(H67),H67&lt;0),"↘ Decline","→ Stable"))))))</f>
        <v>No 2026 Sales</v>
      </c>
    </row>
    <row r="68" spans="1:13" x14ac:dyDescent="0.35">
      <c r="A68">
        <f>Data!A69</f>
        <v>202</v>
      </c>
      <c r="B68" t="str">
        <f>Data!B69</f>
        <v>BEEF</v>
      </c>
      <c r="C68" s="9">
        <f>Data!C69</f>
        <v>12147</v>
      </c>
      <c r="D68" s="10" t="s">
        <v>849</v>
      </c>
      <c r="E68" s="11">
        <f>SUM(Data!I69,Data!K69,Data!M69,Data!O69,Data!Q69,Data!S69,Data!U69,Data!W69,Data!Y69,Data!AA69,Data!AC69,Data!AE69,Data!AG69,Data!AI69,Data!AK69,Data!AM69,Data!AO69,Data!AQ69,Data!AS69)</f>
        <v>427.61739130434802</v>
      </c>
      <c r="F68" s="11">
        <f>SUM(Data!DI69,Data!DK69,Data!DM69,Data!DO69,Data!DQ69,Data!DS69,Data!DU69,Data!DW69,Data!DY69,Data!EA69,Data!EC69,Data!EE69,Data!EG69,Data!EI69,Data!EK69,Data!EM69,Data!EO69,Data!EQ69,Data!ES69)</f>
        <v>456.32173913043499</v>
      </c>
      <c r="G68" s="11">
        <f>F68-E68</f>
        <v>28.704347826086973</v>
      </c>
      <c r="H68" s="13">
        <f>IF(E68=0,IF(F68&gt;0,"New",0),(F68-E68)/E68)</f>
        <v>6.7126240442492283E-2</v>
      </c>
      <c r="I68" s="12">
        <f>SUM(Data!J69,Data!L69,Data!N69,Data!P69,Data!R69,Data!T69,Data!V69,Data!X69,Data!Z69,Data!AB69,Data!AD69,Data!AF69,Data!AH69,Data!AJ69,Data!AL69,Data!AN69,Data!AP69,Data!AR69,Data!AT69)</f>
        <v>2.2909999999999999</v>
      </c>
      <c r="J68" s="12">
        <f>SUM(Data!DJ69,Data!DL69,Data!DN69,Data!DP69,Data!DR69,Data!DT69,Data!DV69,Data!DX69,Data!DZ69,Data!EB69,Data!ED69,Data!EF69,Data!EH69,Data!EJ69,Data!EL69,Data!EN69,Data!EP69,Data!ER69,Data!ET69)</f>
        <v>2.6240000000000001</v>
      </c>
      <c r="K68" s="12">
        <f>J68-I68</f>
        <v>0.33300000000000018</v>
      </c>
      <c r="L68" s="13">
        <f>IF(I68=0,IF(J68&gt;0,"New",0),(J68-I68)/I68)</f>
        <v>0.14535137494543876</v>
      </c>
      <c r="M68" t="str">
        <f>IF(F68=0,"No 2026 Sales",IF(E68=0,"New Product",IF(AND(ISNUMBER(H68),H68&gt;0.1),"↑ Strong Growth",IF(AND(ISNUMBER(H68),H68&gt;0),"↗ Growth",IF(AND(ISNUMBER(H68),H68&lt;-0.1),"↓ Strong Decline",IF(AND(ISNUMBER(H68),H68&lt;0),"↘ Decline","→ Stable"))))))</f>
        <v>↗ Growth</v>
      </c>
    </row>
    <row r="69" spans="1:13" x14ac:dyDescent="0.35">
      <c r="A69">
        <f>Data!A70</f>
        <v>202</v>
      </c>
      <c r="B69" t="str">
        <f>Data!B70</f>
        <v>BEEF</v>
      </c>
      <c r="C69" s="9">
        <f>Data!C70</f>
        <v>12150</v>
      </c>
      <c r="D69" s="10" t="s">
        <v>850</v>
      </c>
      <c r="E69" s="11">
        <f>SUM(Data!I70,Data!K70,Data!M70,Data!O70,Data!Q70,Data!S70,Data!U70,Data!W70,Data!Y70,Data!AA70,Data!AC70,Data!AE70,Data!AG70,Data!AI70,Data!AK70,Data!AM70,Data!AO70,Data!AQ70,Data!AS70)</f>
        <v>20892.573913043463</v>
      </c>
      <c r="F69" s="11">
        <f>SUM(Data!DI70,Data!DK70,Data!DM70,Data!DO70,Data!DQ70,Data!DS70,Data!DU70,Data!DW70,Data!DY70,Data!EA70,Data!EC70,Data!EE70,Data!EG70,Data!EI70,Data!EK70,Data!EM70,Data!EO70,Data!EQ70,Data!ES70)</f>
        <v>23248.652173913033</v>
      </c>
      <c r="G69" s="11">
        <f>F69-E69</f>
        <v>2356.0782608695699</v>
      </c>
      <c r="H69" s="13">
        <f>IF(E69=0,IF(F69&gt;0,"New",0),(F69-E69)/E69)</f>
        <v>0.11277108654375249</v>
      </c>
      <c r="I69" s="12">
        <f>SUM(Data!J70,Data!L70,Data!N70,Data!P70,Data!R70,Data!T70,Data!V70,Data!X70,Data!Z70,Data!AB70,Data!AD70,Data!AF70,Data!AH70,Data!AJ70,Data!AL70,Data!AN70,Data!AP70,Data!AR70,Data!AT70)</f>
        <v>134.92400000000004</v>
      </c>
      <c r="J69" s="12">
        <f>SUM(Data!DJ70,Data!DL70,Data!DN70,Data!DP70,Data!DR70,Data!DT70,Data!DV70,Data!DX70,Data!DZ70,Data!EB70,Data!ED70,Data!EF70,Data!EH70,Data!EJ70,Data!EL70,Data!EN70,Data!EP70,Data!ER70,Data!ET70)</f>
        <v>150.42999999999998</v>
      </c>
      <c r="K69" s="12">
        <f>J69-I69</f>
        <v>15.505999999999943</v>
      </c>
      <c r="L69" s="13">
        <f>IF(I69=0,IF(J69&gt;0,"New",0),(J69-I69)/I69)</f>
        <v>0.11492395719071433</v>
      </c>
      <c r="M69" t="str">
        <f>IF(F69=0,"No 2026 Sales",IF(E69=0,"New Product",IF(AND(ISNUMBER(H69),H69&gt;0.1),"↑ Strong Growth",IF(AND(ISNUMBER(H69),H69&gt;0),"↗ Growth",IF(AND(ISNUMBER(H69),H69&lt;-0.1),"↓ Strong Decline",IF(AND(ISNUMBER(H69),H69&lt;0),"↘ Decline","→ Stable"))))))</f>
        <v>↑ Strong Growth</v>
      </c>
    </row>
    <row r="70" spans="1:13" hidden="1" x14ac:dyDescent="0.35">
      <c r="A70">
        <f>Data!A71</f>
        <v>202</v>
      </c>
      <c r="B70" t="str">
        <f>Data!B71</f>
        <v>BEEF</v>
      </c>
      <c r="C70" s="9">
        <f>Data!C71</f>
        <v>12157</v>
      </c>
      <c r="D70" s="10" t="s">
        <v>851</v>
      </c>
      <c r="E70" s="11">
        <f>SUM(Data!I71,Data!K71,Data!M71,Data!O71,Data!Q71,Data!S71,Data!U71,Data!W71,Data!Y71,Data!AA71,Data!AC71,Data!AE71,Data!AG71,Data!AI71,Data!AK71,Data!AM71,Data!AO71,Data!AQ71,Data!AS71)</f>
        <v>0</v>
      </c>
      <c r="F70" s="11">
        <f>SUM(Data!DI71,Data!DK71,Data!DM71,Data!DO71,Data!DQ71,Data!DS71,Data!DU71,Data!DW71,Data!DY71,Data!EA71,Data!EC71,Data!EE71,Data!EG71,Data!EI71,Data!EK71,Data!EM71,Data!EO71,Data!EQ71,Data!ES71)</f>
        <v>0</v>
      </c>
      <c r="G70" s="11">
        <f>F70-E70</f>
        <v>0</v>
      </c>
      <c r="H70">
        <f>IF(E70=0,IF(F70&gt;0,"New",0),(F70-E70)/E70)</f>
        <v>0</v>
      </c>
      <c r="I70" s="12">
        <f>SUM(Data!J71,Data!L71,Data!N71,Data!P71,Data!R71,Data!T71,Data!V71,Data!X71,Data!Z71,Data!AB71,Data!AD71,Data!AF71,Data!AH71,Data!AJ71,Data!AL71,Data!AN71,Data!AP71,Data!AR71,Data!AT71)</f>
        <v>0</v>
      </c>
      <c r="J70" s="12">
        <f>SUM(Data!DJ71,Data!DL71,Data!DN71,Data!DP71,Data!DR71,Data!DT71,Data!DV71,Data!DX71,Data!DZ71,Data!EB71,Data!ED71,Data!EF71,Data!EH71,Data!EJ71,Data!EL71,Data!EN71,Data!EP71,Data!ER71,Data!ET71)</f>
        <v>0</v>
      </c>
      <c r="K70" s="12">
        <f>J70-I70</f>
        <v>0</v>
      </c>
      <c r="L70">
        <f>IF(I70=0,IF(J70&gt;0,"New",0),(J70-I70)/I70)</f>
        <v>0</v>
      </c>
      <c r="M70" t="str">
        <f>IF(F70=0,"No 2026 Sales",IF(E70=0,"New Product",IF(AND(ISNUMBER(H70),H70&gt;0.1),"↑ Strong Growth",IF(AND(ISNUMBER(H70),H70&gt;0),"↗ Growth",IF(AND(ISNUMBER(H70),H70&lt;-0.1),"↓ Strong Decline",IF(AND(ISNUMBER(H70),H70&lt;0),"↘ Decline","→ Stable"))))))</f>
        <v>No 2026 Sales</v>
      </c>
    </row>
    <row r="71" spans="1:13" hidden="1" x14ac:dyDescent="0.35">
      <c r="A71">
        <f>Data!A72</f>
        <v>202</v>
      </c>
      <c r="B71" t="str">
        <f>Data!B72</f>
        <v>BEEF</v>
      </c>
      <c r="C71" s="9">
        <f>Data!C72</f>
        <v>12160</v>
      </c>
      <c r="D71" s="10" t="s">
        <v>852</v>
      </c>
      <c r="E71" s="11">
        <f>SUM(Data!I72,Data!K72,Data!M72,Data!O72,Data!Q72,Data!S72,Data!U72,Data!W72,Data!Y72,Data!AA72,Data!AC72,Data!AE72,Data!AG72,Data!AI72,Data!AK72,Data!AM72,Data!AO72,Data!AQ72,Data!AS72)</f>
        <v>0</v>
      </c>
      <c r="F71" s="11">
        <f>SUM(Data!DI72,Data!DK72,Data!DM72,Data!DO72,Data!DQ72,Data!DS72,Data!DU72,Data!DW72,Data!DY72,Data!EA72,Data!EC72,Data!EE72,Data!EG72,Data!EI72,Data!EK72,Data!EM72,Data!EO72,Data!EQ72,Data!ES72)</f>
        <v>0</v>
      </c>
      <c r="G71" s="11">
        <f>F71-E71</f>
        <v>0</v>
      </c>
      <c r="H71">
        <f>IF(E71=0,IF(F71&gt;0,"New",0),(F71-E71)/E71)</f>
        <v>0</v>
      </c>
      <c r="I71" s="12">
        <f>SUM(Data!J72,Data!L72,Data!N72,Data!P72,Data!R72,Data!T72,Data!V72,Data!X72,Data!Z72,Data!AB72,Data!AD72,Data!AF72,Data!AH72,Data!AJ72,Data!AL72,Data!AN72,Data!AP72,Data!AR72,Data!AT72)</f>
        <v>0</v>
      </c>
      <c r="J71" s="12">
        <f>SUM(Data!DJ72,Data!DL72,Data!DN72,Data!DP72,Data!DR72,Data!DT72,Data!DV72,Data!DX72,Data!DZ72,Data!EB72,Data!ED72,Data!EF72,Data!EH72,Data!EJ72,Data!EL72,Data!EN72,Data!EP72,Data!ER72,Data!ET72)</f>
        <v>0</v>
      </c>
      <c r="K71" s="12">
        <f>J71-I71</f>
        <v>0</v>
      </c>
      <c r="L71">
        <f>IF(I71=0,IF(J71&gt;0,"New",0),(J71-I71)/I71)</f>
        <v>0</v>
      </c>
      <c r="M71" t="str">
        <f>IF(F71=0,"No 2026 Sales",IF(E71=0,"New Product",IF(AND(ISNUMBER(H71),H71&gt;0.1),"↑ Strong Growth",IF(AND(ISNUMBER(H71),H71&gt;0),"↗ Growth",IF(AND(ISNUMBER(H71),H71&lt;-0.1),"↓ Strong Decline",IF(AND(ISNUMBER(H71),H71&lt;0),"↘ Decline","→ Stable"))))))</f>
        <v>No 2026 Sales</v>
      </c>
    </row>
    <row r="72" spans="1:13" x14ac:dyDescent="0.35">
      <c r="A72">
        <f>Data!A73</f>
        <v>202</v>
      </c>
      <c r="B72" t="str">
        <f>Data!B73</f>
        <v>BEEF</v>
      </c>
      <c r="C72" s="9">
        <f>Data!C73</f>
        <v>12169</v>
      </c>
      <c r="D72" s="10" t="s">
        <v>853</v>
      </c>
      <c r="E72" s="11">
        <f>SUM(Data!I73,Data!K73,Data!M73,Data!O73,Data!Q73,Data!S73,Data!U73,Data!W73,Data!Y73,Data!AA73,Data!AC73,Data!AE73,Data!AG73,Data!AI73,Data!AK73,Data!AM73,Data!AO73,Data!AQ73,Data!AS73)</f>
        <v>0</v>
      </c>
      <c r="F72" s="11">
        <f>SUM(Data!DI73,Data!DK73,Data!DM73,Data!DO73,Data!DQ73,Data!DS73,Data!DU73,Data!DW73,Data!DY73,Data!EA73,Data!EC73,Data!EE73,Data!EG73,Data!EI73,Data!EK73,Data!EM73,Data!EO73,Data!EQ73,Data!ES73)</f>
        <v>1875.086956521739</v>
      </c>
      <c r="G72" s="11">
        <f>F72-E72</f>
        <v>1875.086956521739</v>
      </c>
      <c r="H72" s="13" t="str">
        <f>IF(E72=0,IF(F72&gt;0,"New",0),(F72-E72)/E72)</f>
        <v>New</v>
      </c>
      <c r="I72" s="12">
        <f>SUM(Data!J73,Data!L73,Data!N73,Data!P73,Data!R73,Data!T73,Data!V73,Data!X73,Data!Z73,Data!AB73,Data!AD73,Data!AF73,Data!AH73,Data!AJ73,Data!AL73,Data!AN73,Data!AP73,Data!AR73,Data!AT73)</f>
        <v>0</v>
      </c>
      <c r="J72" s="12">
        <f>SUM(Data!DJ73,Data!DL73,Data!DN73,Data!DP73,Data!DR73,Data!DT73,Data!DV73,Data!DX73,Data!DZ73,Data!EB73,Data!ED73,Data!EF73,Data!EH73,Data!EJ73,Data!EL73,Data!EN73,Data!EP73,Data!ER73,Data!ET73)</f>
        <v>11.159999999999998</v>
      </c>
      <c r="K72" s="12">
        <f>J72-I72</f>
        <v>11.159999999999998</v>
      </c>
      <c r="L72" s="13" t="str">
        <f>IF(I72=0,IF(J72&gt;0,"New",0),(J72-I72)/I72)</f>
        <v>New</v>
      </c>
      <c r="M72" t="str">
        <f>IF(F72=0,"No 2026 Sales",IF(E72=0,"New Product",IF(AND(ISNUMBER(H72),H72&gt;0.1),"↑ Strong Growth",IF(AND(ISNUMBER(H72),H72&gt;0),"↗ Growth",IF(AND(ISNUMBER(H72),H72&lt;-0.1),"↓ Strong Decline",IF(AND(ISNUMBER(H72),H72&lt;0),"↘ Decline","→ Stable"))))))</f>
        <v>New Product</v>
      </c>
    </row>
    <row r="73" spans="1:13" x14ac:dyDescent="0.35">
      <c r="A73">
        <f>Data!A74</f>
        <v>202</v>
      </c>
      <c r="B73" t="str">
        <f>Data!B74</f>
        <v>BEEF</v>
      </c>
      <c r="C73" s="9">
        <f>Data!C74</f>
        <v>12172</v>
      </c>
      <c r="D73" s="10" t="s">
        <v>854</v>
      </c>
      <c r="E73" s="11">
        <f>SUM(Data!I74,Data!K74,Data!M74,Data!O74,Data!Q74,Data!S74,Data!U74,Data!W74,Data!Y74,Data!AA74,Data!AC74,Data!AE74,Data!AG74,Data!AI74,Data!AK74,Data!AM74,Data!AO74,Data!AQ74,Data!AS74)</f>
        <v>0</v>
      </c>
      <c r="F73" s="11">
        <f>SUM(Data!DI74,Data!DK74,Data!DM74,Data!DO74,Data!DQ74,Data!DS74,Data!DU74,Data!DW74,Data!DY74,Data!EA74,Data!EC74,Data!EE74,Data!EG74,Data!EI74,Data!EK74,Data!EM74,Data!EO74,Data!EQ74,Data!ES74)</f>
        <v>5779.3043478260861</v>
      </c>
      <c r="G73" s="11">
        <f>F73-E73</f>
        <v>5779.3043478260861</v>
      </c>
      <c r="H73" s="13" t="str">
        <f>IF(E73=0,IF(F73&gt;0,"New",0),(F73-E73)/E73)</f>
        <v>New</v>
      </c>
      <c r="I73" s="12">
        <f>SUM(Data!J74,Data!L74,Data!N74,Data!P74,Data!R74,Data!T74,Data!V74,Data!X74,Data!Z74,Data!AB74,Data!AD74,Data!AF74,Data!AH74,Data!AJ74,Data!AL74,Data!AN74,Data!AP74,Data!AR74,Data!AT74)</f>
        <v>0</v>
      </c>
      <c r="J73" s="12">
        <f>SUM(Data!DJ74,Data!DL74,Data!DN74,Data!DP74,Data!DR74,Data!DT74,Data!DV74,Data!DX74,Data!DZ74,Data!EB74,Data!ED74,Data!EF74,Data!EH74,Data!EJ74,Data!EL74,Data!EN74,Data!EP74,Data!ER74,Data!ET74)</f>
        <v>16.645</v>
      </c>
      <c r="K73" s="12">
        <f>J73-I73</f>
        <v>16.645</v>
      </c>
      <c r="L73" s="13" t="str">
        <f>IF(I73=0,IF(J73&gt;0,"New",0),(J73-I73)/I73)</f>
        <v>New</v>
      </c>
      <c r="M73" t="str">
        <f>IF(F73=0,"No 2026 Sales",IF(E73=0,"New Product",IF(AND(ISNUMBER(H73),H73&gt;0.1),"↑ Strong Growth",IF(AND(ISNUMBER(H73),H73&gt;0),"↗ Growth",IF(AND(ISNUMBER(H73),H73&lt;-0.1),"↓ Strong Decline",IF(AND(ISNUMBER(H73),H73&lt;0),"↘ Decline","→ Stable"))))))</f>
        <v>New Product</v>
      </c>
    </row>
    <row r="74" spans="1:13" hidden="1" x14ac:dyDescent="0.35">
      <c r="A74">
        <f>Data!A75</f>
        <v>202</v>
      </c>
      <c r="B74" t="str">
        <f>Data!B75</f>
        <v>BEEF</v>
      </c>
      <c r="C74" s="9">
        <f>Data!C75</f>
        <v>12174</v>
      </c>
      <c r="D74" s="10" t="s">
        <v>855</v>
      </c>
      <c r="E74" s="11">
        <f>SUM(Data!I75,Data!K75,Data!M75,Data!O75,Data!Q75,Data!S75,Data!U75,Data!W75,Data!Y75,Data!AA75,Data!AC75,Data!AE75,Data!AG75,Data!AI75,Data!AK75,Data!AM75,Data!AO75,Data!AQ75,Data!AS75)</f>
        <v>19630.73043478261</v>
      </c>
      <c r="F74" s="11">
        <f>SUM(Data!DI75,Data!DK75,Data!DM75,Data!DO75,Data!DQ75,Data!DS75,Data!DU75,Data!DW75,Data!DY75,Data!EA75,Data!EC75,Data!EE75,Data!EG75,Data!EI75,Data!EK75,Data!EM75,Data!EO75,Data!EQ75,Data!ES75)</f>
        <v>0</v>
      </c>
      <c r="G74" s="11">
        <f>F74-E74</f>
        <v>-19630.73043478261</v>
      </c>
      <c r="H74">
        <f>IF(E74=0,IF(F74&gt;0,"New",0),(F74-E74)/E74)</f>
        <v>-1</v>
      </c>
      <c r="I74" s="12">
        <f>SUM(Data!J75,Data!L75,Data!N75,Data!P75,Data!R75,Data!T75,Data!V75,Data!X75,Data!Z75,Data!AB75,Data!AD75,Data!AF75,Data!AH75,Data!AJ75,Data!AL75,Data!AN75,Data!AP75,Data!AR75,Data!AT75)</f>
        <v>104.72699999999998</v>
      </c>
      <c r="J74" s="12">
        <f>SUM(Data!DJ75,Data!DL75,Data!DN75,Data!DP75,Data!DR75,Data!DT75,Data!DV75,Data!DX75,Data!DZ75,Data!EB75,Data!ED75,Data!EF75,Data!EH75,Data!EJ75,Data!EL75,Data!EN75,Data!EP75,Data!ER75,Data!ET75)</f>
        <v>0</v>
      </c>
      <c r="K74" s="12">
        <f>J74-I74</f>
        <v>-104.72699999999998</v>
      </c>
      <c r="L74">
        <f>IF(I74=0,IF(J74&gt;0,"New",0),(J74-I74)/I74)</f>
        <v>-1</v>
      </c>
      <c r="M74" t="str">
        <f>IF(F74=0,"No 2026 Sales",IF(E74=0,"New Product",IF(AND(ISNUMBER(H74),H74&gt;0.1),"↑ Strong Growth",IF(AND(ISNUMBER(H74),H74&gt;0),"↗ Growth",IF(AND(ISNUMBER(H74),H74&lt;-0.1),"↓ Strong Decline",IF(AND(ISNUMBER(H74),H74&lt;0),"↘ Decline","→ Stable"))))))</f>
        <v>No 2026 Sales</v>
      </c>
    </row>
    <row r="75" spans="1:13" hidden="1" x14ac:dyDescent="0.35">
      <c r="A75">
        <f>Data!A76</f>
        <v>202</v>
      </c>
      <c r="B75" t="str">
        <f>Data!B76</f>
        <v>BEEF</v>
      </c>
      <c r="C75" s="9">
        <f>Data!C76</f>
        <v>12175</v>
      </c>
      <c r="D75" s="10" t="s">
        <v>856</v>
      </c>
      <c r="E75" s="11">
        <f>SUM(Data!I76,Data!K76,Data!M76,Data!O76,Data!Q76,Data!S76,Data!U76,Data!W76,Data!Y76,Data!AA76,Data!AC76,Data!AE76,Data!AG76,Data!AI76,Data!AK76,Data!AM76,Data!AO76,Data!AQ76,Data!AS76)</f>
        <v>0</v>
      </c>
      <c r="F75" s="11">
        <f>SUM(Data!DI76,Data!DK76,Data!DM76,Data!DO76,Data!DQ76,Data!DS76,Data!DU76,Data!DW76,Data!DY76,Data!EA76,Data!EC76,Data!EE76,Data!EG76,Data!EI76,Data!EK76,Data!EM76,Data!EO76,Data!EQ76,Data!ES76)</f>
        <v>0</v>
      </c>
      <c r="G75" s="11">
        <f>F75-E75</f>
        <v>0</v>
      </c>
      <c r="H75">
        <f>IF(E75=0,IF(F75&gt;0,"New",0),(F75-E75)/E75)</f>
        <v>0</v>
      </c>
      <c r="I75" s="12">
        <f>SUM(Data!J76,Data!L76,Data!N76,Data!P76,Data!R76,Data!T76,Data!V76,Data!X76,Data!Z76,Data!AB76,Data!AD76,Data!AF76,Data!AH76,Data!AJ76,Data!AL76,Data!AN76,Data!AP76,Data!AR76,Data!AT76)</f>
        <v>0</v>
      </c>
      <c r="J75" s="12">
        <f>SUM(Data!DJ76,Data!DL76,Data!DN76,Data!DP76,Data!DR76,Data!DT76,Data!DV76,Data!DX76,Data!DZ76,Data!EB76,Data!ED76,Data!EF76,Data!EH76,Data!EJ76,Data!EL76,Data!EN76,Data!EP76,Data!ER76,Data!ET76)</f>
        <v>0</v>
      </c>
      <c r="K75" s="12">
        <f>J75-I75</f>
        <v>0</v>
      </c>
      <c r="L75">
        <f>IF(I75=0,IF(J75&gt;0,"New",0),(J75-I75)/I75)</f>
        <v>0</v>
      </c>
      <c r="M75" t="str">
        <f>IF(F75=0,"No 2026 Sales",IF(E75=0,"New Product",IF(AND(ISNUMBER(H75),H75&gt;0.1),"↑ Strong Growth",IF(AND(ISNUMBER(H75),H75&gt;0),"↗ Growth",IF(AND(ISNUMBER(H75),H75&lt;-0.1),"↓ Strong Decline",IF(AND(ISNUMBER(H75),H75&lt;0),"↘ Decline","→ Stable"))))))</f>
        <v>No 2026 Sales</v>
      </c>
    </row>
    <row r="76" spans="1:13" hidden="1" x14ac:dyDescent="0.35">
      <c r="A76">
        <f>Data!A77</f>
        <v>202</v>
      </c>
      <c r="B76" t="str">
        <f>Data!B77</f>
        <v>BEEF</v>
      </c>
      <c r="C76" s="9">
        <f>Data!C77</f>
        <v>12180</v>
      </c>
      <c r="D76" s="10" t="s">
        <v>857</v>
      </c>
      <c r="E76" s="11">
        <f>SUM(Data!I77,Data!K77,Data!M77,Data!O77,Data!Q77,Data!S77,Data!U77,Data!W77,Data!Y77,Data!AA77,Data!AC77,Data!AE77,Data!AG77,Data!AI77,Data!AK77,Data!AM77,Data!AO77,Data!AQ77,Data!AS77)</f>
        <v>0</v>
      </c>
      <c r="F76" s="11">
        <f>SUM(Data!DI77,Data!DK77,Data!DM77,Data!DO77,Data!DQ77,Data!DS77,Data!DU77,Data!DW77,Data!DY77,Data!EA77,Data!EC77,Data!EE77,Data!EG77,Data!EI77,Data!EK77,Data!EM77,Data!EO77,Data!EQ77,Data!ES77)</f>
        <v>0</v>
      </c>
      <c r="G76" s="11">
        <f>F76-E76</f>
        <v>0</v>
      </c>
      <c r="H76">
        <f>IF(E76=0,IF(F76&gt;0,"New",0),(F76-E76)/E76)</f>
        <v>0</v>
      </c>
      <c r="I76" s="12">
        <f>SUM(Data!J77,Data!L77,Data!N77,Data!P77,Data!R77,Data!T77,Data!V77,Data!X77,Data!Z77,Data!AB77,Data!AD77,Data!AF77,Data!AH77,Data!AJ77,Data!AL77,Data!AN77,Data!AP77,Data!AR77,Data!AT77)</f>
        <v>0</v>
      </c>
      <c r="J76" s="12">
        <f>SUM(Data!DJ77,Data!DL77,Data!DN77,Data!DP77,Data!DR77,Data!DT77,Data!DV77,Data!DX77,Data!DZ77,Data!EB77,Data!ED77,Data!EF77,Data!EH77,Data!EJ77,Data!EL77,Data!EN77,Data!EP77,Data!ER77,Data!ET77)</f>
        <v>0</v>
      </c>
      <c r="K76" s="12">
        <f>J76-I76</f>
        <v>0</v>
      </c>
      <c r="L76">
        <f>IF(I76=0,IF(J76&gt;0,"New",0),(J76-I76)/I76)</f>
        <v>0</v>
      </c>
      <c r="M76" t="str">
        <f>IF(F76=0,"No 2026 Sales",IF(E76=0,"New Product",IF(AND(ISNUMBER(H76),H76&gt;0.1),"↑ Strong Growth",IF(AND(ISNUMBER(H76),H76&gt;0),"↗ Growth",IF(AND(ISNUMBER(H76),H76&lt;-0.1),"↓ Strong Decline",IF(AND(ISNUMBER(H76),H76&lt;0),"↘ Decline","→ Stable"))))))</f>
        <v>No 2026 Sales</v>
      </c>
    </row>
    <row r="77" spans="1:13" hidden="1" x14ac:dyDescent="0.35">
      <c r="A77">
        <f>Data!A78</f>
        <v>202</v>
      </c>
      <c r="B77" t="str">
        <f>Data!B78</f>
        <v>BEEF</v>
      </c>
      <c r="C77" s="9">
        <f>Data!C78</f>
        <v>12199</v>
      </c>
      <c r="D77" s="10" t="s">
        <v>858</v>
      </c>
      <c r="E77" s="11">
        <f>SUM(Data!I78,Data!K78,Data!M78,Data!O78,Data!Q78,Data!S78,Data!U78,Data!W78,Data!Y78,Data!AA78,Data!AC78,Data!AE78,Data!AG78,Data!AI78,Data!AK78,Data!AM78,Data!AO78,Data!AQ78,Data!AS78)</f>
        <v>0</v>
      </c>
      <c r="F77" s="11">
        <f>SUM(Data!DI78,Data!DK78,Data!DM78,Data!DO78,Data!DQ78,Data!DS78,Data!DU78,Data!DW78,Data!DY78,Data!EA78,Data!EC78,Data!EE78,Data!EG78,Data!EI78,Data!EK78,Data!EM78,Data!EO78,Data!EQ78,Data!ES78)</f>
        <v>0</v>
      </c>
      <c r="G77" s="11">
        <f>F77-E77</f>
        <v>0</v>
      </c>
      <c r="H77">
        <f>IF(E77=0,IF(F77&gt;0,"New",0),(F77-E77)/E77)</f>
        <v>0</v>
      </c>
      <c r="I77" s="12">
        <f>SUM(Data!J78,Data!L78,Data!N78,Data!P78,Data!R78,Data!T78,Data!V78,Data!X78,Data!Z78,Data!AB78,Data!AD78,Data!AF78,Data!AH78,Data!AJ78,Data!AL78,Data!AN78,Data!AP78,Data!AR78,Data!AT78)</f>
        <v>0</v>
      </c>
      <c r="J77" s="12">
        <f>SUM(Data!DJ78,Data!DL78,Data!DN78,Data!DP78,Data!DR78,Data!DT78,Data!DV78,Data!DX78,Data!DZ78,Data!EB78,Data!ED78,Data!EF78,Data!EH78,Data!EJ78,Data!EL78,Data!EN78,Data!EP78,Data!ER78,Data!ET78)</f>
        <v>0</v>
      </c>
      <c r="K77" s="12">
        <f>J77-I77</f>
        <v>0</v>
      </c>
      <c r="L77">
        <f>IF(I77=0,IF(J77&gt;0,"New",0),(J77-I77)/I77)</f>
        <v>0</v>
      </c>
      <c r="M77" t="str">
        <f>IF(F77=0,"No 2026 Sales",IF(E77=0,"New Product",IF(AND(ISNUMBER(H77),H77&gt;0.1),"↑ Strong Growth",IF(AND(ISNUMBER(H77),H77&gt;0),"↗ Growth",IF(AND(ISNUMBER(H77),H77&lt;-0.1),"↓ Strong Decline",IF(AND(ISNUMBER(H77),H77&lt;0),"↘ Decline","→ Stable"))))))</f>
        <v>No 2026 Sales</v>
      </c>
    </row>
    <row r="78" spans="1:13" hidden="1" x14ac:dyDescent="0.35">
      <c r="A78">
        <f>Data!A79</f>
        <v>202</v>
      </c>
      <c r="B78" t="str">
        <f>Data!B79</f>
        <v>BEEF</v>
      </c>
      <c r="C78" s="9">
        <f>Data!C79</f>
        <v>12864</v>
      </c>
      <c r="D78" s="10" t="s">
        <v>859</v>
      </c>
      <c r="E78" s="11">
        <f>SUM(Data!I79,Data!K79,Data!M79,Data!O79,Data!Q79,Data!S79,Data!U79,Data!W79,Data!Y79,Data!AA79,Data!AC79,Data!AE79,Data!AG79,Data!AI79,Data!AK79,Data!AM79,Data!AO79,Data!AQ79,Data!AS79)</f>
        <v>0</v>
      </c>
      <c r="F78" s="11">
        <f>SUM(Data!DI79,Data!DK79,Data!DM79,Data!DO79,Data!DQ79,Data!DS79,Data!DU79,Data!DW79,Data!DY79,Data!EA79,Data!EC79,Data!EE79,Data!EG79,Data!EI79,Data!EK79,Data!EM79,Data!EO79,Data!EQ79,Data!ES79)</f>
        <v>0</v>
      </c>
      <c r="G78" s="11">
        <f>F78-E78</f>
        <v>0</v>
      </c>
      <c r="H78">
        <f>IF(E78=0,IF(F78&gt;0,"New",0),(F78-E78)/E78)</f>
        <v>0</v>
      </c>
      <c r="I78" s="12">
        <f>SUM(Data!J79,Data!L79,Data!N79,Data!P79,Data!R79,Data!T79,Data!V79,Data!X79,Data!Z79,Data!AB79,Data!AD79,Data!AF79,Data!AH79,Data!AJ79,Data!AL79,Data!AN79,Data!AP79,Data!AR79,Data!AT79)</f>
        <v>0</v>
      </c>
      <c r="J78" s="12">
        <f>SUM(Data!DJ79,Data!DL79,Data!DN79,Data!DP79,Data!DR79,Data!DT79,Data!DV79,Data!DX79,Data!DZ79,Data!EB79,Data!ED79,Data!EF79,Data!EH79,Data!EJ79,Data!EL79,Data!EN79,Data!EP79,Data!ER79,Data!ET79)</f>
        <v>0</v>
      </c>
      <c r="K78" s="12">
        <f>J78-I78</f>
        <v>0</v>
      </c>
      <c r="L78">
        <f>IF(I78=0,IF(J78&gt;0,"New",0),(J78-I78)/I78)</f>
        <v>0</v>
      </c>
      <c r="M78" t="str">
        <f>IF(F78=0,"No 2026 Sales",IF(E78=0,"New Product",IF(AND(ISNUMBER(H78),H78&gt;0.1),"↑ Strong Growth",IF(AND(ISNUMBER(H78),H78&gt;0),"↗ Growth",IF(AND(ISNUMBER(H78),H78&lt;-0.1),"↓ Strong Decline",IF(AND(ISNUMBER(H78),H78&lt;0),"↘ Decline","→ Stable"))))))</f>
        <v>No 2026 Sales</v>
      </c>
    </row>
    <row r="79" spans="1:13" hidden="1" x14ac:dyDescent="0.35">
      <c r="A79">
        <f>Data!A80</f>
        <v>202</v>
      </c>
      <c r="B79" t="str">
        <f>Data!B80</f>
        <v>BEEF</v>
      </c>
      <c r="C79" s="9">
        <f>Data!C80</f>
        <v>32048</v>
      </c>
      <c r="D79" s="10" t="s">
        <v>860</v>
      </c>
      <c r="E79" s="11">
        <f>SUM(Data!I80,Data!K80,Data!M80,Data!O80,Data!Q80,Data!S80,Data!U80,Data!W80,Data!Y80,Data!AA80,Data!AC80,Data!AE80,Data!AG80,Data!AI80,Data!AK80,Data!AM80,Data!AO80,Data!AQ80,Data!AS80)</f>
        <v>0</v>
      </c>
      <c r="F79" s="11">
        <f>SUM(Data!DI80,Data!DK80,Data!DM80,Data!DO80,Data!DQ80,Data!DS80,Data!DU80,Data!DW80,Data!DY80,Data!EA80,Data!EC80,Data!EE80,Data!EG80,Data!EI80,Data!EK80,Data!EM80,Data!EO80,Data!EQ80,Data!ES80)</f>
        <v>0</v>
      </c>
      <c r="G79" s="11">
        <f>F79-E79</f>
        <v>0</v>
      </c>
      <c r="H79">
        <f>IF(E79=0,IF(F79&gt;0,"New",0),(F79-E79)/E79)</f>
        <v>0</v>
      </c>
      <c r="I79" s="12">
        <f>SUM(Data!J80,Data!L80,Data!N80,Data!P80,Data!R80,Data!T80,Data!V80,Data!X80,Data!Z80,Data!AB80,Data!AD80,Data!AF80,Data!AH80,Data!AJ80,Data!AL80,Data!AN80,Data!AP80,Data!AR80,Data!AT80)</f>
        <v>0</v>
      </c>
      <c r="J79" s="12">
        <f>SUM(Data!DJ80,Data!DL80,Data!DN80,Data!DP80,Data!DR80,Data!DT80,Data!DV80,Data!DX80,Data!DZ80,Data!EB80,Data!ED80,Data!EF80,Data!EH80,Data!EJ80,Data!EL80,Data!EN80,Data!EP80,Data!ER80,Data!ET80)</f>
        <v>0</v>
      </c>
      <c r="K79" s="12">
        <f>J79-I79</f>
        <v>0</v>
      </c>
      <c r="L79">
        <f>IF(I79=0,IF(J79&gt;0,"New",0),(J79-I79)/I79)</f>
        <v>0</v>
      </c>
      <c r="M79" t="str">
        <f>IF(F79=0,"No 2026 Sales",IF(E79=0,"New Product",IF(AND(ISNUMBER(H79),H79&gt;0.1),"↑ Strong Growth",IF(AND(ISNUMBER(H79),H79&gt;0),"↗ Growth",IF(AND(ISNUMBER(H79),H79&lt;-0.1),"↓ Strong Decline",IF(AND(ISNUMBER(H79),H79&lt;0),"↘ Decline","→ Stable"))))))</f>
        <v>No 2026 Sales</v>
      </c>
    </row>
    <row r="80" spans="1:13" hidden="1" x14ac:dyDescent="0.35">
      <c r="A80">
        <f>Data!A81</f>
        <v>202</v>
      </c>
      <c r="B80" t="str">
        <f>Data!B81</f>
        <v>BEEF</v>
      </c>
      <c r="C80" s="9">
        <f>Data!C81</f>
        <v>34151</v>
      </c>
      <c r="D80" s="10" t="s">
        <v>861</v>
      </c>
      <c r="E80" s="11">
        <f>SUM(Data!I81,Data!K81,Data!M81,Data!O81,Data!Q81,Data!S81,Data!U81,Data!W81,Data!Y81,Data!AA81,Data!AC81,Data!AE81,Data!AG81,Data!AI81,Data!AK81,Data!AM81,Data!AO81,Data!AQ81,Data!AS81)</f>
        <v>0</v>
      </c>
      <c r="F80" s="11">
        <f>SUM(Data!DI81,Data!DK81,Data!DM81,Data!DO81,Data!DQ81,Data!DS81,Data!DU81,Data!DW81,Data!DY81,Data!EA81,Data!EC81,Data!EE81,Data!EG81,Data!EI81,Data!EK81,Data!EM81,Data!EO81,Data!EQ81,Data!ES81)</f>
        <v>0</v>
      </c>
      <c r="G80" s="11">
        <f>F80-E80</f>
        <v>0</v>
      </c>
      <c r="H80">
        <f>IF(E80=0,IF(F80&gt;0,"New",0),(F80-E80)/E80)</f>
        <v>0</v>
      </c>
      <c r="I80" s="12">
        <f>SUM(Data!J81,Data!L81,Data!N81,Data!P81,Data!R81,Data!T81,Data!V81,Data!X81,Data!Z81,Data!AB81,Data!AD81,Data!AF81,Data!AH81,Data!AJ81,Data!AL81,Data!AN81,Data!AP81,Data!AR81,Data!AT81)</f>
        <v>0</v>
      </c>
      <c r="J80" s="12">
        <f>SUM(Data!DJ81,Data!DL81,Data!DN81,Data!DP81,Data!DR81,Data!DT81,Data!DV81,Data!DX81,Data!DZ81,Data!EB81,Data!ED81,Data!EF81,Data!EH81,Data!EJ81,Data!EL81,Data!EN81,Data!EP81,Data!ER81,Data!ET81)</f>
        <v>0</v>
      </c>
      <c r="K80" s="12">
        <f>J80-I80</f>
        <v>0</v>
      </c>
      <c r="L80">
        <f>IF(I80=0,IF(J80&gt;0,"New",0),(J80-I80)/I80)</f>
        <v>0</v>
      </c>
      <c r="M80" t="str">
        <f>IF(F80=0,"No 2026 Sales",IF(E80=0,"New Product",IF(AND(ISNUMBER(H80),H80&gt;0.1),"↑ Strong Growth",IF(AND(ISNUMBER(H80),H80&gt;0),"↗ Growth",IF(AND(ISNUMBER(H80),H80&lt;-0.1),"↓ Strong Decline",IF(AND(ISNUMBER(H80),H80&lt;0),"↘ Decline","→ Stable"))))))</f>
        <v>No 2026 Sales</v>
      </c>
    </row>
    <row r="81" spans="1:13" x14ac:dyDescent="0.35">
      <c r="A81">
        <f>Data!A82</f>
        <v>202</v>
      </c>
      <c r="B81" t="str">
        <f>Data!B82</f>
        <v>BEEF</v>
      </c>
      <c r="C81" s="9">
        <f>Data!C82</f>
        <v>34152</v>
      </c>
      <c r="D81" s="10" t="s">
        <v>862</v>
      </c>
      <c r="E81" s="11">
        <f>SUM(Data!I82,Data!K82,Data!M82,Data!O82,Data!Q82,Data!S82,Data!U82,Data!W82,Data!Y82,Data!AA82,Data!AC82,Data!AE82,Data!AG82,Data!AI82,Data!AK82,Data!AM82,Data!AO82,Data!AQ82,Data!AS82)</f>
        <v>0</v>
      </c>
      <c r="F81" s="11">
        <f>SUM(Data!DI82,Data!DK82,Data!DM82,Data!DO82,Data!DQ82,Data!DS82,Data!DU82,Data!DW82,Data!DY82,Data!EA82,Data!EC82,Data!EE82,Data!EG82,Data!EI82,Data!EK82,Data!EM82,Data!EO82,Data!EQ82,Data!ES82)</f>
        <v>679.64347826086998</v>
      </c>
      <c r="G81" s="11">
        <f>F81-E81</f>
        <v>679.64347826086998</v>
      </c>
      <c r="H81" s="13" t="str">
        <f>IF(E81=0,IF(F81&gt;0,"New",0),(F81-E81)/E81)</f>
        <v>New</v>
      </c>
      <c r="I81" s="12">
        <f>SUM(Data!J82,Data!L82,Data!N82,Data!P82,Data!R82,Data!T82,Data!V82,Data!X82,Data!Z82,Data!AB82,Data!AD82,Data!AF82,Data!AH82,Data!AJ82,Data!AL82,Data!AN82,Data!AP82,Data!AR82,Data!AT82)</f>
        <v>0</v>
      </c>
      <c r="J81" s="12">
        <f>SUM(Data!DJ82,Data!DL82,Data!DN82,Data!DP82,Data!DR82,Data!DT82,Data!DV82,Data!DX82,Data!DZ82,Data!EB82,Data!ED82,Data!EF82,Data!EH82,Data!EJ82,Data!EL82,Data!EN82,Data!EP82,Data!ER82,Data!ET82)</f>
        <v>7.1059999999999999</v>
      </c>
      <c r="K81" s="12">
        <f>J81-I81</f>
        <v>7.1059999999999999</v>
      </c>
      <c r="L81" s="13" t="str">
        <f>IF(I81=0,IF(J81&gt;0,"New",0),(J81-I81)/I81)</f>
        <v>New</v>
      </c>
      <c r="M81" t="str">
        <f>IF(F81=0,"No 2026 Sales",IF(E81=0,"New Product",IF(AND(ISNUMBER(H81),H81&gt;0.1),"↑ Strong Growth",IF(AND(ISNUMBER(H81),H81&gt;0),"↗ Growth",IF(AND(ISNUMBER(H81),H81&lt;-0.1),"↓ Strong Decline",IF(AND(ISNUMBER(H81),H81&lt;0),"↘ Decline","→ Stable"))))))</f>
        <v>New Product</v>
      </c>
    </row>
    <row r="82" spans="1:13" x14ac:dyDescent="0.35">
      <c r="A82">
        <f>Data!A83</f>
        <v>202</v>
      </c>
      <c r="B82" t="str">
        <f>Data!B83</f>
        <v>BEEF</v>
      </c>
      <c r="C82" s="9">
        <f>Data!C83</f>
        <v>34154</v>
      </c>
      <c r="D82" s="10" t="s">
        <v>863</v>
      </c>
      <c r="E82" s="11">
        <f>SUM(Data!I83,Data!K83,Data!M83,Data!O83,Data!Q83,Data!S83,Data!U83,Data!W83,Data!Y83,Data!AA83,Data!AC83,Data!AE83,Data!AG83,Data!AI83,Data!AK83,Data!AM83,Data!AO83,Data!AQ83,Data!AS83)</f>
        <v>0</v>
      </c>
      <c r="F82" s="11">
        <f>SUM(Data!DI83,Data!DK83,Data!DM83,Data!DO83,Data!DQ83,Data!DS83,Data!DU83,Data!DW83,Data!DY83,Data!EA83,Data!EC83,Data!EE83,Data!EG83,Data!EI83,Data!EK83,Data!EM83,Data!EO83,Data!EQ83,Data!ES83)</f>
        <v>3588.3565217391329</v>
      </c>
      <c r="G82" s="11">
        <f>F82-E82</f>
        <v>3588.3565217391329</v>
      </c>
      <c r="H82" s="13" t="str">
        <f>IF(E82=0,IF(F82&gt;0,"New",0),(F82-E82)/E82)</f>
        <v>New</v>
      </c>
      <c r="I82" s="12">
        <f>SUM(Data!J83,Data!L83,Data!N83,Data!P83,Data!R83,Data!T83,Data!V83,Data!X83,Data!Z83,Data!AB83,Data!AD83,Data!AF83,Data!AH83,Data!AJ83,Data!AL83,Data!AN83,Data!AP83,Data!AR83,Data!AT83)</f>
        <v>0</v>
      </c>
      <c r="J82" s="12">
        <f>SUM(Data!DJ83,Data!DL83,Data!DN83,Data!DP83,Data!DR83,Data!DT83,Data!DV83,Data!DX83,Data!DZ83,Data!EB83,Data!ED83,Data!EF83,Data!EH83,Data!EJ83,Data!EL83,Data!EN83,Data!EP83,Data!ER83,Data!ET83)</f>
        <v>38.647999999999996</v>
      </c>
      <c r="K82" s="12">
        <f>J82-I82</f>
        <v>38.647999999999996</v>
      </c>
      <c r="L82" s="13" t="str">
        <f>IF(I82=0,IF(J82&gt;0,"New",0),(J82-I82)/I82)</f>
        <v>New</v>
      </c>
      <c r="M82" t="str">
        <f>IF(F82=0,"No 2026 Sales",IF(E82=0,"New Product",IF(AND(ISNUMBER(H82),H82&gt;0.1),"↑ Strong Growth",IF(AND(ISNUMBER(H82),H82&gt;0),"↗ Growth",IF(AND(ISNUMBER(H82),H82&lt;-0.1),"↓ Strong Decline",IF(AND(ISNUMBER(H82),H82&lt;0),"↘ Decline","→ Stable"))))))</f>
        <v>New Product</v>
      </c>
    </row>
    <row r="83" spans="1:13" hidden="1" x14ac:dyDescent="0.35">
      <c r="A83">
        <f>Data!A84</f>
        <v>202</v>
      </c>
      <c r="B83" t="str">
        <f>Data!B84</f>
        <v>BEEF</v>
      </c>
      <c r="C83" s="9">
        <f>Data!C84</f>
        <v>34156</v>
      </c>
      <c r="D83" s="10" t="s">
        <v>864</v>
      </c>
      <c r="E83" s="11">
        <f>SUM(Data!I84,Data!K84,Data!M84,Data!O84,Data!Q84,Data!S84,Data!U84,Data!W84,Data!Y84,Data!AA84,Data!AC84,Data!AE84,Data!AG84,Data!AI84,Data!AK84,Data!AM84,Data!AO84,Data!AQ84,Data!AS84)</f>
        <v>0</v>
      </c>
      <c r="F83" s="11">
        <f>SUM(Data!DI84,Data!DK84,Data!DM84,Data!DO84,Data!DQ84,Data!DS84,Data!DU84,Data!DW84,Data!DY84,Data!EA84,Data!EC84,Data!EE84,Data!EG84,Data!EI84,Data!EK84,Data!EM84,Data!EO84,Data!EQ84,Data!ES84)</f>
        <v>0</v>
      </c>
      <c r="G83" s="11">
        <f>F83-E83</f>
        <v>0</v>
      </c>
      <c r="H83">
        <f>IF(E83=0,IF(F83&gt;0,"New",0),(F83-E83)/E83)</f>
        <v>0</v>
      </c>
      <c r="I83" s="12">
        <f>SUM(Data!J84,Data!L84,Data!N84,Data!P84,Data!R84,Data!T84,Data!V84,Data!X84,Data!Z84,Data!AB84,Data!AD84,Data!AF84,Data!AH84,Data!AJ84,Data!AL84,Data!AN84,Data!AP84,Data!AR84,Data!AT84)</f>
        <v>0</v>
      </c>
      <c r="J83" s="12">
        <f>SUM(Data!DJ84,Data!DL84,Data!DN84,Data!DP84,Data!DR84,Data!DT84,Data!DV84,Data!DX84,Data!DZ84,Data!EB84,Data!ED84,Data!EF84,Data!EH84,Data!EJ84,Data!EL84,Data!EN84,Data!EP84,Data!ER84,Data!ET84)</f>
        <v>0</v>
      </c>
      <c r="K83" s="12">
        <f>J83-I83</f>
        <v>0</v>
      </c>
      <c r="L83">
        <f>IF(I83=0,IF(J83&gt;0,"New",0),(J83-I83)/I83)</f>
        <v>0</v>
      </c>
      <c r="M83" t="str">
        <f>IF(F83=0,"No 2026 Sales",IF(E83=0,"New Product",IF(AND(ISNUMBER(H83),H83&gt;0.1),"↑ Strong Growth",IF(AND(ISNUMBER(H83),H83&gt;0),"↗ Growth",IF(AND(ISNUMBER(H83),H83&lt;-0.1),"↓ Strong Decline",IF(AND(ISNUMBER(H83),H83&lt;0),"↘ Decline","→ Stable"))))))</f>
        <v>No 2026 Sales</v>
      </c>
    </row>
    <row r="84" spans="1:13" x14ac:dyDescent="0.35">
      <c r="A84">
        <f>Data!A85</f>
        <v>202</v>
      </c>
      <c r="B84" t="str">
        <f>Data!B85</f>
        <v>BEEF</v>
      </c>
      <c r="C84" s="9">
        <f>Data!C85</f>
        <v>34157</v>
      </c>
      <c r="D84" s="10" t="s">
        <v>865</v>
      </c>
      <c r="E84" s="11">
        <f>SUM(Data!I85,Data!K85,Data!M85,Data!O85,Data!Q85,Data!S85,Data!U85,Data!W85,Data!Y85,Data!AA85,Data!AC85,Data!AE85,Data!AG85,Data!AI85,Data!AK85,Data!AM85,Data!AO85,Data!AQ85,Data!AS85)</f>
        <v>11525.052173913045</v>
      </c>
      <c r="F84" s="11">
        <f>SUM(Data!DI85,Data!DK85,Data!DM85,Data!DO85,Data!DQ85,Data!DS85,Data!DU85,Data!DW85,Data!DY85,Data!EA85,Data!EC85,Data!EE85,Data!EG85,Data!EI85,Data!EK85,Data!EM85,Data!EO85,Data!EQ85,Data!ES85)</f>
        <v>10352.634782608699</v>
      </c>
      <c r="G84" s="11">
        <f>F84-E84</f>
        <v>-1172.4173913043469</v>
      </c>
      <c r="H84" s="13">
        <f>IF(E84=0,IF(F84&gt;0,"New",0),(F84-E84)/E84)</f>
        <v>-0.10172772961133431</v>
      </c>
      <c r="I84" s="12">
        <f>SUM(Data!J85,Data!L85,Data!N85,Data!P85,Data!R85,Data!T85,Data!V85,Data!X85,Data!Z85,Data!AB85,Data!AD85,Data!AF85,Data!AH85,Data!AJ85,Data!AL85,Data!AN85,Data!AP85,Data!AR85,Data!AT85)</f>
        <v>53.367999999999995</v>
      </c>
      <c r="J84" s="12">
        <f>SUM(Data!DJ85,Data!DL85,Data!DN85,Data!DP85,Data!DR85,Data!DT85,Data!DV85,Data!DX85,Data!DZ85,Data!EB85,Data!ED85,Data!EF85,Data!EH85,Data!EJ85,Data!EL85,Data!EN85,Data!EP85,Data!ER85,Data!ET85)</f>
        <v>46.913999999999994</v>
      </c>
      <c r="K84" s="12">
        <f>J84-I84</f>
        <v>-6.4540000000000006</v>
      </c>
      <c r="L84" s="13">
        <f>IF(I84=0,IF(J84&gt;0,"New",0),(J84-I84)/I84)</f>
        <v>-0.1209338929695698</v>
      </c>
      <c r="M84" t="str">
        <f>IF(F84=0,"No 2026 Sales",IF(E84=0,"New Product",IF(AND(ISNUMBER(H84),H84&gt;0.1),"↑ Strong Growth",IF(AND(ISNUMBER(H84),H84&gt;0),"↗ Growth",IF(AND(ISNUMBER(H84),H84&lt;-0.1),"↓ Strong Decline",IF(AND(ISNUMBER(H84),H84&lt;0),"↘ Decline","→ Stable"))))))</f>
        <v>↓ Strong Decline</v>
      </c>
    </row>
    <row r="85" spans="1:13" hidden="1" x14ac:dyDescent="0.35">
      <c r="A85">
        <f>Data!A86</f>
        <v>202</v>
      </c>
      <c r="B85" t="str">
        <f>Data!B86</f>
        <v>BEEF</v>
      </c>
      <c r="C85" s="9">
        <f>Data!C86</f>
        <v>34158</v>
      </c>
      <c r="D85" s="10" t="s">
        <v>866</v>
      </c>
      <c r="E85" s="11">
        <f>SUM(Data!I86,Data!K86,Data!M86,Data!O86,Data!Q86,Data!S86,Data!U86,Data!W86,Data!Y86,Data!AA86,Data!AC86,Data!AE86,Data!AG86,Data!AI86,Data!AK86,Data!AM86,Data!AO86,Data!AQ86,Data!AS86)</f>
        <v>0</v>
      </c>
      <c r="F85" s="11">
        <f>SUM(Data!DI86,Data!DK86,Data!DM86,Data!DO86,Data!DQ86,Data!DS86,Data!DU86,Data!DW86,Data!DY86,Data!EA86,Data!EC86,Data!EE86,Data!EG86,Data!EI86,Data!EK86,Data!EM86,Data!EO86,Data!EQ86,Data!ES86)</f>
        <v>0</v>
      </c>
      <c r="G85" s="11">
        <f>F85-E85</f>
        <v>0</v>
      </c>
      <c r="H85">
        <f>IF(E85=0,IF(F85&gt;0,"New",0),(F85-E85)/E85)</f>
        <v>0</v>
      </c>
      <c r="I85" s="12">
        <f>SUM(Data!J86,Data!L86,Data!N86,Data!P86,Data!R86,Data!T86,Data!V86,Data!X86,Data!Z86,Data!AB86,Data!AD86,Data!AF86,Data!AH86,Data!AJ86,Data!AL86,Data!AN86,Data!AP86,Data!AR86,Data!AT86)</f>
        <v>0</v>
      </c>
      <c r="J85" s="12">
        <f>SUM(Data!DJ86,Data!DL86,Data!DN86,Data!DP86,Data!DR86,Data!DT86,Data!DV86,Data!DX86,Data!DZ86,Data!EB86,Data!ED86,Data!EF86,Data!EH86,Data!EJ86,Data!EL86,Data!EN86,Data!EP86,Data!ER86,Data!ET86)</f>
        <v>0</v>
      </c>
      <c r="K85" s="12">
        <f>J85-I85</f>
        <v>0</v>
      </c>
      <c r="L85">
        <f>IF(I85=0,IF(J85&gt;0,"New",0),(J85-I85)/I85)</f>
        <v>0</v>
      </c>
      <c r="M85" t="str">
        <f>IF(F85=0,"No 2026 Sales",IF(E85=0,"New Product",IF(AND(ISNUMBER(H85),H85&gt;0.1),"↑ Strong Growth",IF(AND(ISNUMBER(H85),H85&gt;0),"↗ Growth",IF(AND(ISNUMBER(H85),H85&lt;-0.1),"↓ Strong Decline",IF(AND(ISNUMBER(H85),H85&lt;0),"↘ Decline","→ Stable"))))))</f>
        <v>No 2026 Sales</v>
      </c>
    </row>
    <row r="86" spans="1:13" x14ac:dyDescent="0.35">
      <c r="A86">
        <f>Data!A87</f>
        <v>202</v>
      </c>
      <c r="B86" t="str">
        <f>Data!B87</f>
        <v>BEEF</v>
      </c>
      <c r="C86" s="9">
        <f>Data!C87</f>
        <v>34159</v>
      </c>
      <c r="D86" s="10" t="s">
        <v>867</v>
      </c>
      <c r="E86" s="11">
        <f>SUM(Data!I87,Data!K87,Data!M87,Data!O87,Data!Q87,Data!S87,Data!U87,Data!W87,Data!Y87,Data!AA87,Data!AC87,Data!AE87,Data!AG87,Data!AI87,Data!AK87,Data!AM87,Data!AO87,Data!AQ87,Data!AS87)</f>
        <v>2444.3913043478269</v>
      </c>
      <c r="F86" s="11">
        <f>SUM(Data!DI87,Data!DK87,Data!DM87,Data!DO87,Data!DQ87,Data!DS87,Data!DU87,Data!DW87,Data!DY87,Data!EA87,Data!EC87,Data!EE87,Data!EG87,Data!EI87,Data!EK87,Data!EM87,Data!EO87,Data!EQ87,Data!ES87)</f>
        <v>602.66956521739098</v>
      </c>
      <c r="G86" s="11">
        <f>F86-E86</f>
        <v>-1841.7217391304359</v>
      </c>
      <c r="H86" s="13">
        <f>IF(E86=0,IF(F86&gt;0,"New",0),(F86-E86)/E86)</f>
        <v>-0.75344799985770461</v>
      </c>
      <c r="I86" s="12">
        <f>SUM(Data!J87,Data!L87,Data!N87,Data!P87,Data!R87,Data!T87,Data!V87,Data!X87,Data!Z87,Data!AB87,Data!AD87,Data!AF87,Data!AH87,Data!AJ87,Data!AL87,Data!AN87,Data!AP87,Data!AR87,Data!AT87)</f>
        <v>20.507999999999999</v>
      </c>
      <c r="J86" s="12">
        <f>SUM(Data!DJ87,Data!DL87,Data!DN87,Data!DP87,Data!DR87,Data!DT87,Data!DV87,Data!DX87,Data!DZ87,Data!EB87,Data!ED87,Data!EF87,Data!EH87,Data!EJ87,Data!EL87,Data!EN87,Data!EP87,Data!ER87,Data!ET87)</f>
        <v>4.7670000000000003</v>
      </c>
      <c r="K86" s="12">
        <f>J86-I86</f>
        <v>-15.741</v>
      </c>
      <c r="L86" s="13">
        <f>IF(I86=0,IF(J86&gt;0,"New",0),(J86-I86)/I86)</f>
        <v>-0.76755412521942656</v>
      </c>
      <c r="M86" t="str">
        <f>IF(F86=0,"No 2026 Sales",IF(E86=0,"New Product",IF(AND(ISNUMBER(H86),H86&gt;0.1),"↑ Strong Growth",IF(AND(ISNUMBER(H86),H86&gt;0),"↗ Growth",IF(AND(ISNUMBER(H86),H86&lt;-0.1),"↓ Strong Decline",IF(AND(ISNUMBER(H86),H86&lt;0),"↘ Decline","→ Stable"))))))</f>
        <v>↓ Strong Decline</v>
      </c>
    </row>
    <row r="87" spans="1:13" hidden="1" x14ac:dyDescent="0.35">
      <c r="A87">
        <f>Data!A88</f>
        <v>202</v>
      </c>
      <c r="B87" t="str">
        <f>Data!B88</f>
        <v>BEEF</v>
      </c>
      <c r="C87" s="9">
        <f>Data!C88</f>
        <v>34161</v>
      </c>
      <c r="D87" s="10" t="s">
        <v>868</v>
      </c>
      <c r="E87" s="11">
        <f>SUM(Data!I88,Data!K88,Data!M88,Data!O88,Data!Q88,Data!S88,Data!U88,Data!W88,Data!Y88,Data!AA88,Data!AC88,Data!AE88,Data!AG88,Data!AI88,Data!AK88,Data!AM88,Data!AO88,Data!AQ88,Data!AS88)</f>
        <v>452.3478260869565</v>
      </c>
      <c r="F87" s="11">
        <f>SUM(Data!DI88,Data!DK88,Data!DM88,Data!DO88,Data!DQ88,Data!DS88,Data!DU88,Data!DW88,Data!DY88,Data!EA88,Data!EC88,Data!EE88,Data!EG88,Data!EI88,Data!EK88,Data!EM88,Data!EO88,Data!EQ88,Data!ES88)</f>
        <v>0</v>
      </c>
      <c r="G87" s="11">
        <f>F87-E87</f>
        <v>-452.3478260869565</v>
      </c>
      <c r="H87">
        <f>IF(E87=0,IF(F87&gt;0,"New",0),(F87-E87)/E87)</f>
        <v>-1</v>
      </c>
      <c r="I87" s="12">
        <f>SUM(Data!J88,Data!L88,Data!N88,Data!P88,Data!R88,Data!T88,Data!V88,Data!X88,Data!Z88,Data!AB88,Data!AD88,Data!AF88,Data!AH88,Data!AJ88,Data!AL88,Data!AN88,Data!AP88,Data!AR88,Data!AT88)</f>
        <v>3.06</v>
      </c>
      <c r="J87" s="12">
        <f>SUM(Data!DJ88,Data!DL88,Data!DN88,Data!DP88,Data!DR88,Data!DT88,Data!DV88,Data!DX88,Data!DZ88,Data!EB88,Data!ED88,Data!EF88,Data!EH88,Data!EJ88,Data!EL88,Data!EN88,Data!EP88,Data!ER88,Data!ET88)</f>
        <v>0</v>
      </c>
      <c r="K87" s="12">
        <f>J87-I87</f>
        <v>-3.06</v>
      </c>
      <c r="L87">
        <f>IF(I87=0,IF(J87&gt;0,"New",0),(J87-I87)/I87)</f>
        <v>-1</v>
      </c>
      <c r="M87" t="str">
        <f>IF(F87=0,"No 2026 Sales",IF(E87=0,"New Product",IF(AND(ISNUMBER(H87),H87&gt;0.1),"↑ Strong Growth",IF(AND(ISNUMBER(H87),H87&gt;0),"↗ Growth",IF(AND(ISNUMBER(H87),H87&lt;-0.1),"↓ Strong Decline",IF(AND(ISNUMBER(H87),H87&lt;0),"↘ Decline","→ Stable"))))))</f>
        <v>No 2026 Sales</v>
      </c>
    </row>
    <row r="88" spans="1:13" hidden="1" x14ac:dyDescent="0.35">
      <c r="A88">
        <f>Data!A89</f>
        <v>202</v>
      </c>
      <c r="B88" t="str">
        <f>Data!B89</f>
        <v>BEEF</v>
      </c>
      <c r="C88" s="9">
        <f>Data!C89</f>
        <v>34162</v>
      </c>
      <c r="D88" s="10" t="s">
        <v>869</v>
      </c>
      <c r="E88" s="11">
        <f>SUM(Data!I89,Data!K89,Data!M89,Data!O89,Data!Q89,Data!S89,Data!U89,Data!W89,Data!Y89,Data!AA89,Data!AC89,Data!AE89,Data!AG89,Data!AI89,Data!AK89,Data!AM89,Data!AO89,Data!AQ89,Data!AS89)</f>
        <v>0</v>
      </c>
      <c r="F88" s="11">
        <f>SUM(Data!DI89,Data!DK89,Data!DM89,Data!DO89,Data!DQ89,Data!DS89,Data!DU89,Data!DW89,Data!DY89,Data!EA89,Data!EC89,Data!EE89,Data!EG89,Data!EI89,Data!EK89,Data!EM89,Data!EO89,Data!EQ89,Data!ES89)</f>
        <v>0</v>
      </c>
      <c r="G88" s="11">
        <f>F88-E88</f>
        <v>0</v>
      </c>
      <c r="H88">
        <f>IF(E88=0,IF(F88&gt;0,"New",0),(F88-E88)/E88)</f>
        <v>0</v>
      </c>
      <c r="I88" s="12">
        <f>SUM(Data!J89,Data!L89,Data!N89,Data!P89,Data!R89,Data!T89,Data!V89,Data!X89,Data!Z89,Data!AB89,Data!AD89,Data!AF89,Data!AH89,Data!AJ89,Data!AL89,Data!AN89,Data!AP89,Data!AR89,Data!AT89)</f>
        <v>0</v>
      </c>
      <c r="J88" s="12">
        <f>SUM(Data!DJ89,Data!DL89,Data!DN89,Data!DP89,Data!DR89,Data!DT89,Data!DV89,Data!DX89,Data!DZ89,Data!EB89,Data!ED89,Data!EF89,Data!EH89,Data!EJ89,Data!EL89,Data!EN89,Data!EP89,Data!ER89,Data!ET89)</f>
        <v>0</v>
      </c>
      <c r="K88" s="12">
        <f>J88-I88</f>
        <v>0</v>
      </c>
      <c r="L88">
        <f>IF(I88=0,IF(J88&gt;0,"New",0),(J88-I88)/I88)</f>
        <v>0</v>
      </c>
      <c r="M88" t="str">
        <f>IF(F88=0,"No 2026 Sales",IF(E88=0,"New Product",IF(AND(ISNUMBER(H88),H88&gt;0.1),"↑ Strong Growth",IF(AND(ISNUMBER(H88),H88&gt;0),"↗ Growth",IF(AND(ISNUMBER(H88),H88&lt;-0.1),"↓ Strong Decline",IF(AND(ISNUMBER(H88),H88&lt;0),"↘ Decline","→ Stable"))))))</f>
        <v>No 2026 Sales</v>
      </c>
    </row>
    <row r="89" spans="1:13" hidden="1" x14ac:dyDescent="0.35">
      <c r="A89">
        <f>Data!A90</f>
        <v>202</v>
      </c>
      <c r="B89" t="str">
        <f>Data!B90</f>
        <v>BEEF</v>
      </c>
      <c r="C89" s="9">
        <f>Data!C90</f>
        <v>34163</v>
      </c>
      <c r="D89" s="10" t="s">
        <v>870</v>
      </c>
      <c r="E89" s="11">
        <f>SUM(Data!I90,Data!K90,Data!M90,Data!O90,Data!Q90,Data!S90,Data!U90,Data!W90,Data!Y90,Data!AA90,Data!AC90,Data!AE90,Data!AG90,Data!AI90,Data!AK90,Data!AM90,Data!AO90,Data!AQ90,Data!AS90)</f>
        <v>0</v>
      </c>
      <c r="F89" s="11">
        <f>SUM(Data!DI90,Data!DK90,Data!DM90,Data!DO90,Data!DQ90,Data!DS90,Data!DU90,Data!DW90,Data!DY90,Data!EA90,Data!EC90,Data!EE90,Data!EG90,Data!EI90,Data!EK90,Data!EM90,Data!EO90,Data!EQ90,Data!ES90)</f>
        <v>0</v>
      </c>
      <c r="G89" s="11">
        <f>F89-E89</f>
        <v>0</v>
      </c>
      <c r="H89">
        <f>IF(E89=0,IF(F89&gt;0,"New",0),(F89-E89)/E89)</f>
        <v>0</v>
      </c>
      <c r="I89" s="12">
        <f>SUM(Data!J90,Data!L90,Data!N90,Data!P90,Data!R90,Data!T90,Data!V90,Data!X90,Data!Z90,Data!AB90,Data!AD90,Data!AF90,Data!AH90,Data!AJ90,Data!AL90,Data!AN90,Data!AP90,Data!AR90,Data!AT90)</f>
        <v>0</v>
      </c>
      <c r="J89" s="12">
        <f>SUM(Data!DJ90,Data!DL90,Data!DN90,Data!DP90,Data!DR90,Data!DT90,Data!DV90,Data!DX90,Data!DZ90,Data!EB90,Data!ED90,Data!EF90,Data!EH90,Data!EJ90,Data!EL90,Data!EN90,Data!EP90,Data!ER90,Data!ET90)</f>
        <v>0</v>
      </c>
      <c r="K89" s="12">
        <f>J89-I89</f>
        <v>0</v>
      </c>
      <c r="L89">
        <f>IF(I89=0,IF(J89&gt;0,"New",0),(J89-I89)/I89)</f>
        <v>0</v>
      </c>
      <c r="M89" t="str">
        <f>IF(F89=0,"No 2026 Sales",IF(E89=0,"New Product",IF(AND(ISNUMBER(H89),H89&gt;0.1),"↑ Strong Growth",IF(AND(ISNUMBER(H89),H89&gt;0),"↗ Growth",IF(AND(ISNUMBER(H89),H89&lt;-0.1),"↓ Strong Decline",IF(AND(ISNUMBER(H89),H89&lt;0),"↘ Decline","→ Stable"))))))</f>
        <v>No 2026 Sales</v>
      </c>
    </row>
    <row r="90" spans="1:13" hidden="1" x14ac:dyDescent="0.35">
      <c r="A90">
        <f>Data!A91</f>
        <v>202</v>
      </c>
      <c r="B90" t="str">
        <f>Data!B91</f>
        <v>BEEF</v>
      </c>
      <c r="C90" s="9">
        <f>Data!C91</f>
        <v>34164</v>
      </c>
      <c r="D90" s="10" t="s">
        <v>871</v>
      </c>
      <c r="E90" s="11">
        <f>SUM(Data!I91,Data!K91,Data!M91,Data!O91,Data!Q91,Data!S91,Data!U91,Data!W91,Data!Y91,Data!AA91,Data!AC91,Data!AE91,Data!AG91,Data!AI91,Data!AK91,Data!AM91,Data!AO91,Data!AQ91,Data!AS91)</f>
        <v>0</v>
      </c>
      <c r="F90" s="11">
        <f>SUM(Data!DI91,Data!DK91,Data!DM91,Data!DO91,Data!DQ91,Data!DS91,Data!DU91,Data!DW91,Data!DY91,Data!EA91,Data!EC91,Data!EE91,Data!EG91,Data!EI91,Data!EK91,Data!EM91,Data!EO91,Data!EQ91,Data!ES91)</f>
        <v>0</v>
      </c>
      <c r="G90" s="11">
        <f>F90-E90</f>
        <v>0</v>
      </c>
      <c r="H90">
        <f>IF(E90=0,IF(F90&gt;0,"New",0),(F90-E90)/E90)</f>
        <v>0</v>
      </c>
      <c r="I90" s="12">
        <f>SUM(Data!J91,Data!L91,Data!N91,Data!P91,Data!R91,Data!T91,Data!V91,Data!X91,Data!Z91,Data!AB91,Data!AD91,Data!AF91,Data!AH91,Data!AJ91,Data!AL91,Data!AN91,Data!AP91,Data!AR91,Data!AT91)</f>
        <v>0</v>
      </c>
      <c r="J90" s="12">
        <f>SUM(Data!DJ91,Data!DL91,Data!DN91,Data!DP91,Data!DR91,Data!DT91,Data!DV91,Data!DX91,Data!DZ91,Data!EB91,Data!ED91,Data!EF91,Data!EH91,Data!EJ91,Data!EL91,Data!EN91,Data!EP91,Data!ER91,Data!ET91)</f>
        <v>0</v>
      </c>
      <c r="K90" s="12">
        <f>J90-I90</f>
        <v>0</v>
      </c>
      <c r="L90">
        <f>IF(I90=0,IF(J90&gt;0,"New",0),(J90-I90)/I90)</f>
        <v>0</v>
      </c>
      <c r="M90" t="str">
        <f>IF(F90=0,"No 2026 Sales",IF(E90=0,"New Product",IF(AND(ISNUMBER(H90),H90&gt;0.1),"↑ Strong Growth",IF(AND(ISNUMBER(H90),H90&gt;0),"↗ Growth",IF(AND(ISNUMBER(H90),H90&lt;-0.1),"↓ Strong Decline",IF(AND(ISNUMBER(H90),H90&lt;0),"↘ Decline","→ Stable"))))))</f>
        <v>No 2026 Sales</v>
      </c>
    </row>
    <row r="91" spans="1:13" hidden="1" x14ac:dyDescent="0.35">
      <c r="A91">
        <f>Data!A92</f>
        <v>202</v>
      </c>
      <c r="B91" t="str">
        <f>Data!B92</f>
        <v>BEEF</v>
      </c>
      <c r="C91" s="9">
        <f>Data!C92</f>
        <v>34165</v>
      </c>
      <c r="D91" s="10" t="s">
        <v>872</v>
      </c>
      <c r="E91" s="11">
        <f>SUM(Data!I92,Data!K92,Data!M92,Data!O92,Data!Q92,Data!S92,Data!U92,Data!W92,Data!Y92,Data!AA92,Data!AC92,Data!AE92,Data!AG92,Data!AI92,Data!AK92,Data!AM92,Data!AO92,Data!AQ92,Data!AS92)</f>
        <v>486.25217391304363</v>
      </c>
      <c r="F91" s="11">
        <f>SUM(Data!DI92,Data!DK92,Data!DM92,Data!DO92,Data!DQ92,Data!DS92,Data!DU92,Data!DW92,Data!DY92,Data!EA92,Data!EC92,Data!EE92,Data!EG92,Data!EI92,Data!EK92,Data!EM92,Data!EO92,Data!EQ92,Data!ES92)</f>
        <v>0</v>
      </c>
      <c r="G91" s="11">
        <f>F91-E91</f>
        <v>-486.25217391304363</v>
      </c>
      <c r="H91">
        <f>IF(E91=0,IF(F91&gt;0,"New",0),(F91-E91)/E91)</f>
        <v>-1</v>
      </c>
      <c r="I91" s="12">
        <f>SUM(Data!J92,Data!L92,Data!N92,Data!P92,Data!R92,Data!T92,Data!V92,Data!X92,Data!Z92,Data!AB92,Data!AD92,Data!AF92,Data!AH92,Data!AJ92,Data!AL92,Data!AN92,Data!AP92,Data!AR92,Data!AT92)</f>
        <v>3.7279999999999998</v>
      </c>
      <c r="J91" s="12">
        <f>SUM(Data!DJ92,Data!DL92,Data!DN92,Data!DP92,Data!DR92,Data!DT92,Data!DV92,Data!DX92,Data!DZ92,Data!EB92,Data!ED92,Data!EF92,Data!EH92,Data!EJ92,Data!EL92,Data!EN92,Data!EP92,Data!ER92,Data!ET92)</f>
        <v>0</v>
      </c>
      <c r="K91" s="12">
        <f>J91-I91</f>
        <v>-3.7279999999999998</v>
      </c>
      <c r="L91">
        <f>IF(I91=0,IF(J91&gt;0,"New",0),(J91-I91)/I91)</f>
        <v>-1</v>
      </c>
      <c r="M91" t="str">
        <f>IF(F91=0,"No 2026 Sales",IF(E91=0,"New Product",IF(AND(ISNUMBER(H91),H91&gt;0.1),"↑ Strong Growth",IF(AND(ISNUMBER(H91),H91&gt;0),"↗ Growth",IF(AND(ISNUMBER(H91),H91&lt;-0.1),"↓ Strong Decline",IF(AND(ISNUMBER(H91),H91&lt;0),"↘ Decline","→ Stable"))))))</f>
        <v>No 2026 Sales</v>
      </c>
    </row>
    <row r="92" spans="1:13" hidden="1" x14ac:dyDescent="0.35">
      <c r="A92">
        <f>Data!A93</f>
        <v>202</v>
      </c>
      <c r="B92" t="str">
        <f>Data!B93</f>
        <v>BEEF</v>
      </c>
      <c r="C92" s="9">
        <f>Data!C93</f>
        <v>34166</v>
      </c>
      <c r="D92" s="10" t="s">
        <v>873</v>
      </c>
      <c r="E92" s="11">
        <f>SUM(Data!I93,Data!K93,Data!M93,Data!O93,Data!Q93,Data!S93,Data!U93,Data!W93,Data!Y93,Data!AA93,Data!AC93,Data!AE93,Data!AG93,Data!AI93,Data!AK93,Data!AM93,Data!AO93,Data!AQ93,Data!AS93)</f>
        <v>285.2</v>
      </c>
      <c r="F92" s="11">
        <f>SUM(Data!DI93,Data!DK93,Data!DM93,Data!DO93,Data!DQ93,Data!DS93,Data!DU93,Data!DW93,Data!DY93,Data!EA93,Data!EC93,Data!EE93,Data!EG93,Data!EI93,Data!EK93,Data!EM93,Data!EO93,Data!EQ93,Data!ES93)</f>
        <v>0</v>
      </c>
      <c r="G92" s="11">
        <f>F92-E92</f>
        <v>-285.2</v>
      </c>
      <c r="H92">
        <f>IF(E92=0,IF(F92&gt;0,"New",0),(F92-E92)/E92)</f>
        <v>-1</v>
      </c>
      <c r="I92" s="12">
        <f>SUM(Data!J93,Data!L93,Data!N93,Data!P93,Data!R93,Data!T93,Data!V93,Data!X93,Data!Z93,Data!AB93,Data!AD93,Data!AF93,Data!AH93,Data!AJ93,Data!AL93,Data!AN93,Data!AP93,Data!AR93,Data!AT93)</f>
        <v>2.0499999999999998</v>
      </c>
      <c r="J92" s="12">
        <f>SUM(Data!DJ93,Data!DL93,Data!DN93,Data!DP93,Data!DR93,Data!DT93,Data!DV93,Data!DX93,Data!DZ93,Data!EB93,Data!ED93,Data!EF93,Data!EH93,Data!EJ93,Data!EL93,Data!EN93,Data!EP93,Data!ER93,Data!ET93)</f>
        <v>0</v>
      </c>
      <c r="K92" s="12">
        <f>J92-I92</f>
        <v>-2.0499999999999998</v>
      </c>
      <c r="L92">
        <f>IF(I92=0,IF(J92&gt;0,"New",0),(J92-I92)/I92)</f>
        <v>-1</v>
      </c>
      <c r="M92" t="str">
        <f>IF(F92=0,"No 2026 Sales",IF(E92=0,"New Product",IF(AND(ISNUMBER(H92),H92&gt;0.1),"↑ Strong Growth",IF(AND(ISNUMBER(H92),H92&gt;0),"↗ Growth",IF(AND(ISNUMBER(H92),H92&lt;-0.1),"↓ Strong Decline",IF(AND(ISNUMBER(H92),H92&lt;0),"↘ Decline","→ Stable"))))))</f>
        <v>No 2026 Sales</v>
      </c>
    </row>
    <row r="93" spans="1:13" x14ac:dyDescent="0.35">
      <c r="A93">
        <f>Data!A94</f>
        <v>202</v>
      </c>
      <c r="B93" t="str">
        <f>Data!B94</f>
        <v>BEEF</v>
      </c>
      <c r="C93" s="9">
        <f>Data!C94</f>
        <v>34169</v>
      </c>
      <c r="D93" s="10" t="s">
        <v>874</v>
      </c>
      <c r="E93" s="11">
        <f>SUM(Data!I94,Data!K94,Data!M94,Data!O94,Data!Q94,Data!S94,Data!U94,Data!W94,Data!Y94,Data!AA94,Data!AC94,Data!AE94,Data!AG94,Data!AI94,Data!AK94,Data!AM94,Data!AO94,Data!AQ94,Data!AS94)</f>
        <v>2238.7478260869566</v>
      </c>
      <c r="F93" s="11">
        <f>SUM(Data!DI94,Data!DK94,Data!DM94,Data!DO94,Data!DQ94,Data!DS94,Data!DU94,Data!DW94,Data!DY94,Data!EA94,Data!EC94,Data!EE94,Data!EG94,Data!EI94,Data!EK94,Data!EM94,Data!EO94,Data!EQ94,Data!ES94)</f>
        <v>2056.0782608695681</v>
      </c>
      <c r="G93" s="11">
        <f>F93-E93</f>
        <v>-182.66956521738848</v>
      </c>
      <c r="H93" s="13">
        <f>IF(E93=0,IF(F93&gt;0,"New",0),(F93-E93)/E93)</f>
        <v>-8.159452488968863E-2</v>
      </c>
      <c r="I93" s="12">
        <f>SUM(Data!J94,Data!L94,Data!N94,Data!P94,Data!R94,Data!T94,Data!V94,Data!X94,Data!Z94,Data!AB94,Data!AD94,Data!AF94,Data!AH94,Data!AJ94,Data!AL94,Data!AN94,Data!AP94,Data!AR94,Data!AT94)</f>
        <v>24.832000000000001</v>
      </c>
      <c r="J93" s="12">
        <f>SUM(Data!DJ94,Data!DL94,Data!DN94,Data!DP94,Data!DR94,Data!DT94,Data!DV94,Data!DX94,Data!DZ94,Data!EB94,Data!ED94,Data!EF94,Data!EH94,Data!EJ94,Data!EL94,Data!EN94,Data!EP94,Data!ER94,Data!ET94)</f>
        <v>23.54</v>
      </c>
      <c r="K93" s="12">
        <f>J93-I93</f>
        <v>-1.2920000000000016</v>
      </c>
      <c r="L93" s="13">
        <f>IF(I93=0,IF(J93&gt;0,"New",0),(J93-I93)/I93)</f>
        <v>-5.2029639175257797E-2</v>
      </c>
      <c r="M93" t="str">
        <f>IF(F93=0,"No 2026 Sales",IF(E93=0,"New Product",IF(AND(ISNUMBER(H93),H93&gt;0.1),"↑ Strong Growth",IF(AND(ISNUMBER(H93),H93&gt;0),"↗ Growth",IF(AND(ISNUMBER(H93),H93&lt;-0.1),"↓ Strong Decline",IF(AND(ISNUMBER(H93),H93&lt;0),"↘ Decline","→ Stable"))))))</f>
        <v>↘ Decline</v>
      </c>
    </row>
    <row r="94" spans="1:13" hidden="1" x14ac:dyDescent="0.35">
      <c r="A94">
        <f>Data!A95</f>
        <v>202</v>
      </c>
      <c r="B94" t="str">
        <f>Data!B95</f>
        <v>BEEF</v>
      </c>
      <c r="C94" s="9">
        <f>Data!C95</f>
        <v>34170</v>
      </c>
      <c r="D94" s="10" t="s">
        <v>875</v>
      </c>
      <c r="E94" s="11">
        <f>SUM(Data!I95,Data!K95,Data!M95,Data!O95,Data!Q95,Data!S95,Data!U95,Data!W95,Data!Y95,Data!AA95,Data!AC95,Data!AE95,Data!AG95,Data!AI95,Data!AK95,Data!AM95,Data!AO95,Data!AQ95,Data!AS95)</f>
        <v>10595.452173913041</v>
      </c>
      <c r="F94" s="11">
        <f>SUM(Data!DI95,Data!DK95,Data!DM95,Data!DO95,Data!DQ95,Data!DS95,Data!DU95,Data!DW95,Data!DY95,Data!EA95,Data!EC95,Data!EE95,Data!EG95,Data!EI95,Data!EK95,Data!EM95,Data!EO95,Data!EQ95,Data!ES95)</f>
        <v>0</v>
      </c>
      <c r="G94" s="11">
        <f>F94-E94</f>
        <v>-10595.452173913041</v>
      </c>
      <c r="H94">
        <f>IF(E94=0,IF(F94&gt;0,"New",0),(F94-E94)/E94)</f>
        <v>-1</v>
      </c>
      <c r="I94" s="12">
        <f>SUM(Data!J95,Data!L95,Data!N95,Data!P95,Data!R95,Data!T95,Data!V95,Data!X95,Data!Z95,Data!AB95,Data!AD95,Data!AF95,Data!AH95,Data!AJ95,Data!AL95,Data!AN95,Data!AP95,Data!AR95,Data!AT95)</f>
        <v>101.652</v>
      </c>
      <c r="J94" s="12">
        <f>SUM(Data!DJ95,Data!DL95,Data!DN95,Data!DP95,Data!DR95,Data!DT95,Data!DV95,Data!DX95,Data!DZ95,Data!EB95,Data!ED95,Data!EF95,Data!EH95,Data!EJ95,Data!EL95,Data!EN95,Data!EP95,Data!ER95,Data!ET95)</f>
        <v>0</v>
      </c>
      <c r="K94" s="12">
        <f>J94-I94</f>
        <v>-101.652</v>
      </c>
      <c r="L94">
        <f>IF(I94=0,IF(J94&gt;0,"New",0),(J94-I94)/I94)</f>
        <v>-1</v>
      </c>
      <c r="M94" t="str">
        <f>IF(F94=0,"No 2026 Sales",IF(E94=0,"New Product",IF(AND(ISNUMBER(H94),H94&gt;0.1),"↑ Strong Growth",IF(AND(ISNUMBER(H94),H94&gt;0),"↗ Growth",IF(AND(ISNUMBER(H94),H94&lt;-0.1),"↓ Strong Decline",IF(AND(ISNUMBER(H94),H94&lt;0),"↘ Decline","→ Stable"))))))</f>
        <v>No 2026 Sales</v>
      </c>
    </row>
    <row r="95" spans="1:13" hidden="1" x14ac:dyDescent="0.35">
      <c r="A95">
        <f>Data!A96</f>
        <v>202</v>
      </c>
      <c r="B95" t="str">
        <f>Data!B96</f>
        <v>BEEF</v>
      </c>
      <c r="C95" s="9">
        <f>Data!C96</f>
        <v>34171</v>
      </c>
      <c r="D95" s="10" t="s">
        <v>876</v>
      </c>
      <c r="E95" s="11">
        <f>SUM(Data!I96,Data!K96,Data!M96,Data!O96,Data!Q96,Data!S96,Data!U96,Data!W96,Data!Y96,Data!AA96,Data!AC96,Data!AE96,Data!AG96,Data!AI96,Data!AK96,Data!AM96,Data!AO96,Data!AQ96,Data!AS96)</f>
        <v>0</v>
      </c>
      <c r="F95" s="11">
        <f>SUM(Data!DI96,Data!DK96,Data!DM96,Data!DO96,Data!DQ96,Data!DS96,Data!DU96,Data!DW96,Data!DY96,Data!EA96,Data!EC96,Data!EE96,Data!EG96,Data!EI96,Data!EK96,Data!EM96,Data!EO96,Data!EQ96,Data!ES96)</f>
        <v>0</v>
      </c>
      <c r="G95" s="11">
        <f>F95-E95</f>
        <v>0</v>
      </c>
      <c r="H95">
        <f>IF(E95=0,IF(F95&gt;0,"New",0),(F95-E95)/E95)</f>
        <v>0</v>
      </c>
      <c r="I95" s="12">
        <f>SUM(Data!J96,Data!L96,Data!N96,Data!P96,Data!R96,Data!T96,Data!V96,Data!X96,Data!Z96,Data!AB96,Data!AD96,Data!AF96,Data!AH96,Data!AJ96,Data!AL96,Data!AN96,Data!AP96,Data!AR96,Data!AT96)</f>
        <v>0</v>
      </c>
      <c r="J95" s="12">
        <f>SUM(Data!DJ96,Data!DL96,Data!DN96,Data!DP96,Data!DR96,Data!DT96,Data!DV96,Data!DX96,Data!DZ96,Data!EB96,Data!ED96,Data!EF96,Data!EH96,Data!EJ96,Data!EL96,Data!EN96,Data!EP96,Data!ER96,Data!ET96)</f>
        <v>0</v>
      </c>
      <c r="K95" s="12">
        <f>J95-I95</f>
        <v>0</v>
      </c>
      <c r="L95">
        <f>IF(I95=0,IF(J95&gt;0,"New",0),(J95-I95)/I95)</f>
        <v>0</v>
      </c>
      <c r="M95" t="str">
        <f>IF(F95=0,"No 2026 Sales",IF(E95=0,"New Product",IF(AND(ISNUMBER(H95),H95&gt;0.1),"↑ Strong Growth",IF(AND(ISNUMBER(H95),H95&gt;0),"↗ Growth",IF(AND(ISNUMBER(H95),H95&lt;-0.1),"↓ Strong Decline",IF(AND(ISNUMBER(H95),H95&lt;0),"↘ Decline","→ Stable"))))))</f>
        <v>No 2026 Sales</v>
      </c>
    </row>
    <row r="96" spans="1:13" x14ac:dyDescent="0.35">
      <c r="A96">
        <f>Data!A97</f>
        <v>202</v>
      </c>
      <c r="B96" t="str">
        <f>Data!B97</f>
        <v>BEEF</v>
      </c>
      <c r="C96" s="9">
        <f>Data!C97</f>
        <v>34172</v>
      </c>
      <c r="D96" s="10" t="s">
        <v>877</v>
      </c>
      <c r="E96" s="11">
        <f>SUM(Data!I97,Data!K97,Data!M97,Data!O97,Data!Q97,Data!S97,Data!U97,Data!W97,Data!Y97,Data!AA97,Data!AC97,Data!AE97,Data!AG97,Data!AI97,Data!AK97,Data!AM97,Data!AO97,Data!AQ97,Data!AS97)</f>
        <v>53330.79130434784</v>
      </c>
      <c r="F96" s="11">
        <f>SUM(Data!DI97,Data!DK97,Data!DM97,Data!DO97,Data!DQ97,Data!DS97,Data!DU97,Data!DW97,Data!DY97,Data!EA97,Data!EC97,Data!EE97,Data!EG97,Data!EI97,Data!EK97,Data!EM97,Data!EO97,Data!EQ97,Data!ES97)</f>
        <v>72748.478260869539</v>
      </c>
      <c r="G96" s="11">
        <f>F96-E96</f>
        <v>19417.686956521698</v>
      </c>
      <c r="H96" s="13">
        <f>IF(E96=0,IF(F96&gt;0,"New",0),(F96-E96)/E96)</f>
        <v>0.36409898450051037</v>
      </c>
      <c r="I96" s="12">
        <f>SUM(Data!J97,Data!L97,Data!N97,Data!P97,Data!R97,Data!T97,Data!V97,Data!X97,Data!Z97,Data!AB97,Data!AD97,Data!AF97,Data!AH97,Data!AJ97,Data!AL97,Data!AN97,Data!AP97,Data!AR97,Data!AT97)</f>
        <v>353.62599999999998</v>
      </c>
      <c r="J96" s="12">
        <f>SUM(Data!DJ97,Data!DL97,Data!DN97,Data!DP97,Data!DR97,Data!DT97,Data!DV97,Data!DX97,Data!DZ97,Data!EB97,Data!ED97,Data!EF97,Data!EH97,Data!EJ97,Data!EL97,Data!EN97,Data!EP97,Data!ER97,Data!ET97)</f>
        <v>479.25500000000005</v>
      </c>
      <c r="K96" s="12">
        <f>J96-I96</f>
        <v>125.62900000000008</v>
      </c>
      <c r="L96" s="13">
        <f>IF(I96=0,IF(J96&gt;0,"New",0),(J96-I96)/I96)</f>
        <v>0.35525951146126156</v>
      </c>
      <c r="M96" t="str">
        <f>IF(F96=0,"No 2026 Sales",IF(E96=0,"New Product",IF(AND(ISNUMBER(H96),H96&gt;0.1),"↑ Strong Growth",IF(AND(ISNUMBER(H96),H96&gt;0),"↗ Growth",IF(AND(ISNUMBER(H96),H96&lt;-0.1),"↓ Strong Decline",IF(AND(ISNUMBER(H96),H96&lt;0),"↘ Decline","→ Stable"))))))</f>
        <v>↑ Strong Growth</v>
      </c>
    </row>
    <row r="97" spans="1:13" hidden="1" x14ac:dyDescent="0.35">
      <c r="A97">
        <f>Data!A98</f>
        <v>202</v>
      </c>
      <c r="B97" t="str">
        <f>Data!B98</f>
        <v>BEEF</v>
      </c>
      <c r="C97" s="9">
        <f>Data!C98</f>
        <v>34177</v>
      </c>
      <c r="D97" s="10" t="s">
        <v>878</v>
      </c>
      <c r="E97" s="11">
        <f>SUM(Data!I98,Data!K98,Data!M98,Data!O98,Data!Q98,Data!S98,Data!U98,Data!W98,Data!Y98,Data!AA98,Data!AC98,Data!AE98,Data!AG98,Data!AI98,Data!AK98,Data!AM98,Data!AO98,Data!AQ98,Data!AS98)</f>
        <v>0</v>
      </c>
      <c r="F97" s="11">
        <f>SUM(Data!DI98,Data!DK98,Data!DM98,Data!DO98,Data!DQ98,Data!DS98,Data!DU98,Data!DW98,Data!DY98,Data!EA98,Data!EC98,Data!EE98,Data!EG98,Data!EI98,Data!EK98,Data!EM98,Data!EO98,Data!EQ98,Data!ES98)</f>
        <v>0</v>
      </c>
      <c r="G97" s="11">
        <f>F97-E97</f>
        <v>0</v>
      </c>
      <c r="H97">
        <f>IF(E97=0,IF(F97&gt;0,"New",0),(F97-E97)/E97)</f>
        <v>0</v>
      </c>
      <c r="I97" s="12">
        <f>SUM(Data!J98,Data!L98,Data!N98,Data!P98,Data!R98,Data!T98,Data!V98,Data!X98,Data!Z98,Data!AB98,Data!AD98,Data!AF98,Data!AH98,Data!AJ98,Data!AL98,Data!AN98,Data!AP98,Data!AR98,Data!AT98)</f>
        <v>0</v>
      </c>
      <c r="J97" s="12">
        <f>SUM(Data!DJ98,Data!DL98,Data!DN98,Data!DP98,Data!DR98,Data!DT98,Data!DV98,Data!DX98,Data!DZ98,Data!EB98,Data!ED98,Data!EF98,Data!EH98,Data!EJ98,Data!EL98,Data!EN98,Data!EP98,Data!ER98,Data!ET98)</f>
        <v>0</v>
      </c>
      <c r="K97" s="12">
        <f>J97-I97</f>
        <v>0</v>
      </c>
      <c r="L97">
        <f>IF(I97=0,IF(J97&gt;0,"New",0),(J97-I97)/I97)</f>
        <v>0</v>
      </c>
      <c r="M97" t="str">
        <f>IF(F97=0,"No 2026 Sales",IF(E97=0,"New Product",IF(AND(ISNUMBER(H97),H97&gt;0.1),"↑ Strong Growth",IF(AND(ISNUMBER(H97),H97&gt;0),"↗ Growth",IF(AND(ISNUMBER(H97),H97&lt;-0.1),"↓ Strong Decline",IF(AND(ISNUMBER(H97),H97&lt;0),"↘ Decline","→ Stable"))))))</f>
        <v>No 2026 Sales</v>
      </c>
    </row>
    <row r="98" spans="1:13" hidden="1" x14ac:dyDescent="0.35">
      <c r="A98">
        <f>Data!A99</f>
        <v>202</v>
      </c>
      <c r="B98" t="str">
        <f>Data!B99</f>
        <v>BEEF</v>
      </c>
      <c r="C98" s="9">
        <f>Data!C99</f>
        <v>34178</v>
      </c>
      <c r="D98" s="10" t="s">
        <v>879</v>
      </c>
      <c r="E98" s="11">
        <f>SUM(Data!I99,Data!K99,Data!M99,Data!O99,Data!Q99,Data!S99,Data!U99,Data!W99,Data!Y99,Data!AA99,Data!AC99,Data!AE99,Data!AG99,Data!AI99,Data!AK99,Data!AM99,Data!AO99,Data!AQ99,Data!AS99)</f>
        <v>0</v>
      </c>
      <c r="F98" s="11">
        <f>SUM(Data!DI99,Data!DK99,Data!DM99,Data!DO99,Data!DQ99,Data!DS99,Data!DU99,Data!DW99,Data!DY99,Data!EA99,Data!EC99,Data!EE99,Data!EG99,Data!EI99,Data!EK99,Data!EM99,Data!EO99,Data!EQ99,Data!ES99)</f>
        <v>0</v>
      </c>
      <c r="G98" s="11">
        <f>F98-E98</f>
        <v>0</v>
      </c>
      <c r="H98">
        <f>IF(E98=0,IF(F98&gt;0,"New",0),(F98-E98)/E98)</f>
        <v>0</v>
      </c>
      <c r="I98" s="12">
        <f>SUM(Data!J99,Data!L99,Data!N99,Data!P99,Data!R99,Data!T99,Data!V99,Data!X99,Data!Z99,Data!AB99,Data!AD99,Data!AF99,Data!AH99,Data!AJ99,Data!AL99,Data!AN99,Data!AP99,Data!AR99,Data!AT99)</f>
        <v>0</v>
      </c>
      <c r="J98" s="12">
        <f>SUM(Data!DJ99,Data!DL99,Data!DN99,Data!DP99,Data!DR99,Data!DT99,Data!DV99,Data!DX99,Data!DZ99,Data!EB99,Data!ED99,Data!EF99,Data!EH99,Data!EJ99,Data!EL99,Data!EN99,Data!EP99,Data!ER99,Data!ET99)</f>
        <v>0</v>
      </c>
      <c r="K98" s="12">
        <f>J98-I98</f>
        <v>0</v>
      </c>
      <c r="L98">
        <f>IF(I98=0,IF(J98&gt;0,"New",0),(J98-I98)/I98)</f>
        <v>0</v>
      </c>
      <c r="M98" t="str">
        <f>IF(F98=0,"No 2026 Sales",IF(E98=0,"New Product",IF(AND(ISNUMBER(H98),H98&gt;0.1),"↑ Strong Growth",IF(AND(ISNUMBER(H98),H98&gt;0),"↗ Growth",IF(AND(ISNUMBER(H98),H98&lt;-0.1),"↓ Strong Decline",IF(AND(ISNUMBER(H98),H98&lt;0),"↘ Decline","→ Stable"))))))</f>
        <v>No 2026 Sales</v>
      </c>
    </row>
    <row r="99" spans="1:13" hidden="1" x14ac:dyDescent="0.35">
      <c r="A99">
        <f>Data!A100</f>
        <v>202</v>
      </c>
      <c r="B99" t="str">
        <f>Data!B100</f>
        <v>BEEF</v>
      </c>
      <c r="C99" s="9">
        <f>Data!C100</f>
        <v>34179</v>
      </c>
      <c r="D99" s="10" t="s">
        <v>880</v>
      </c>
      <c r="E99" s="11">
        <f>SUM(Data!I100,Data!K100,Data!M100,Data!O100,Data!Q100,Data!S100,Data!U100,Data!W100,Data!Y100,Data!AA100,Data!AC100,Data!AE100,Data!AG100,Data!AI100,Data!AK100,Data!AM100,Data!AO100,Data!AQ100,Data!AS100)</f>
        <v>0</v>
      </c>
      <c r="F99" s="11">
        <f>SUM(Data!DI100,Data!DK100,Data!DM100,Data!DO100,Data!DQ100,Data!DS100,Data!DU100,Data!DW100,Data!DY100,Data!EA100,Data!EC100,Data!EE100,Data!EG100,Data!EI100,Data!EK100,Data!EM100,Data!EO100,Data!EQ100,Data!ES100)</f>
        <v>0</v>
      </c>
      <c r="G99" s="11">
        <f>F99-E99</f>
        <v>0</v>
      </c>
      <c r="H99">
        <f>IF(E99=0,IF(F99&gt;0,"New",0),(F99-E99)/E99)</f>
        <v>0</v>
      </c>
      <c r="I99" s="12">
        <f>SUM(Data!J100,Data!L100,Data!N100,Data!P100,Data!R100,Data!T100,Data!V100,Data!X100,Data!Z100,Data!AB100,Data!AD100,Data!AF100,Data!AH100,Data!AJ100,Data!AL100,Data!AN100,Data!AP100,Data!AR100,Data!AT100)</f>
        <v>0</v>
      </c>
      <c r="J99" s="12">
        <f>SUM(Data!DJ100,Data!DL100,Data!DN100,Data!DP100,Data!DR100,Data!DT100,Data!DV100,Data!DX100,Data!DZ100,Data!EB100,Data!ED100,Data!EF100,Data!EH100,Data!EJ100,Data!EL100,Data!EN100,Data!EP100,Data!ER100,Data!ET100)</f>
        <v>0</v>
      </c>
      <c r="K99" s="12">
        <f>J99-I99</f>
        <v>0</v>
      </c>
      <c r="L99">
        <f>IF(I99=0,IF(J99&gt;0,"New",0),(J99-I99)/I99)</f>
        <v>0</v>
      </c>
      <c r="M99" t="str">
        <f>IF(F99=0,"No 2026 Sales",IF(E99=0,"New Product",IF(AND(ISNUMBER(H99),H99&gt;0.1),"↑ Strong Growth",IF(AND(ISNUMBER(H99),H99&gt;0),"↗ Growth",IF(AND(ISNUMBER(H99),H99&lt;-0.1),"↓ Strong Decline",IF(AND(ISNUMBER(H99),H99&lt;0),"↘ Decline","→ Stable"))))))</f>
        <v>No 2026 Sales</v>
      </c>
    </row>
    <row r="100" spans="1:13" hidden="1" x14ac:dyDescent="0.35">
      <c r="A100">
        <f>Data!A101</f>
        <v>202</v>
      </c>
      <c r="B100" t="str">
        <f>Data!B101</f>
        <v>BEEF</v>
      </c>
      <c r="C100" s="9">
        <f>Data!C101</f>
        <v>34180</v>
      </c>
      <c r="D100" s="10" t="s">
        <v>881</v>
      </c>
      <c r="E100" s="11">
        <f>SUM(Data!I101,Data!K101,Data!M101,Data!O101,Data!Q101,Data!S101,Data!U101,Data!W101,Data!Y101,Data!AA101,Data!AC101,Data!AE101,Data!AG101,Data!AI101,Data!AK101,Data!AM101,Data!AO101,Data!AQ101,Data!AS101)</f>
        <v>0</v>
      </c>
      <c r="F100" s="11">
        <f>SUM(Data!DI101,Data!DK101,Data!DM101,Data!DO101,Data!DQ101,Data!DS101,Data!DU101,Data!DW101,Data!DY101,Data!EA101,Data!EC101,Data!EE101,Data!EG101,Data!EI101,Data!EK101,Data!EM101,Data!EO101,Data!EQ101,Data!ES101)</f>
        <v>0</v>
      </c>
      <c r="G100" s="11">
        <f>F100-E100</f>
        <v>0</v>
      </c>
      <c r="H100">
        <f>IF(E100=0,IF(F100&gt;0,"New",0),(F100-E100)/E100)</f>
        <v>0</v>
      </c>
      <c r="I100" s="12">
        <f>SUM(Data!J101,Data!L101,Data!N101,Data!P101,Data!R101,Data!T101,Data!V101,Data!X101,Data!Z101,Data!AB101,Data!AD101,Data!AF101,Data!AH101,Data!AJ101,Data!AL101,Data!AN101,Data!AP101,Data!AR101,Data!AT101)</f>
        <v>0</v>
      </c>
      <c r="J100" s="12">
        <f>SUM(Data!DJ101,Data!DL101,Data!DN101,Data!DP101,Data!DR101,Data!DT101,Data!DV101,Data!DX101,Data!DZ101,Data!EB101,Data!ED101,Data!EF101,Data!EH101,Data!EJ101,Data!EL101,Data!EN101,Data!EP101,Data!ER101,Data!ET101)</f>
        <v>0</v>
      </c>
      <c r="K100" s="12">
        <f>J100-I100</f>
        <v>0</v>
      </c>
      <c r="L100">
        <f>IF(I100=0,IF(J100&gt;0,"New",0),(J100-I100)/I100)</f>
        <v>0</v>
      </c>
      <c r="M100" t="str">
        <f>IF(F100=0,"No 2026 Sales",IF(E100=0,"New Product",IF(AND(ISNUMBER(H100),H100&gt;0.1),"↑ Strong Growth",IF(AND(ISNUMBER(H100),H100&gt;0),"↗ Growth",IF(AND(ISNUMBER(H100),H100&lt;-0.1),"↓ Strong Decline",IF(AND(ISNUMBER(H100),H100&lt;0),"↘ Decline","→ Stable"))))))</f>
        <v>No 2026 Sales</v>
      </c>
    </row>
    <row r="101" spans="1:13" hidden="1" x14ac:dyDescent="0.35">
      <c r="A101">
        <f>Data!A102</f>
        <v>202</v>
      </c>
      <c r="B101" t="str">
        <f>Data!B102</f>
        <v>BEEF</v>
      </c>
      <c r="C101" s="9">
        <f>Data!C102</f>
        <v>34182</v>
      </c>
      <c r="D101" s="10" t="s">
        <v>882</v>
      </c>
      <c r="E101" s="11">
        <f>SUM(Data!I102,Data!K102,Data!M102,Data!O102,Data!Q102,Data!S102,Data!U102,Data!W102,Data!Y102,Data!AA102,Data!AC102,Data!AE102,Data!AG102,Data!AI102,Data!AK102,Data!AM102,Data!AO102,Data!AQ102,Data!AS102)</f>
        <v>0</v>
      </c>
      <c r="F101" s="11">
        <f>SUM(Data!DI102,Data!DK102,Data!DM102,Data!DO102,Data!DQ102,Data!DS102,Data!DU102,Data!DW102,Data!DY102,Data!EA102,Data!EC102,Data!EE102,Data!EG102,Data!EI102,Data!EK102,Data!EM102,Data!EO102,Data!EQ102,Data!ES102)</f>
        <v>0</v>
      </c>
      <c r="G101" s="11">
        <f>F101-E101</f>
        <v>0</v>
      </c>
      <c r="H101">
        <f>IF(E101=0,IF(F101&gt;0,"New",0),(F101-E101)/E101)</f>
        <v>0</v>
      </c>
      <c r="I101" s="12">
        <f>SUM(Data!J102,Data!L102,Data!N102,Data!P102,Data!R102,Data!T102,Data!V102,Data!X102,Data!Z102,Data!AB102,Data!AD102,Data!AF102,Data!AH102,Data!AJ102,Data!AL102,Data!AN102,Data!AP102,Data!AR102,Data!AT102)</f>
        <v>0</v>
      </c>
      <c r="J101" s="12">
        <f>SUM(Data!DJ102,Data!DL102,Data!DN102,Data!DP102,Data!DR102,Data!DT102,Data!DV102,Data!DX102,Data!DZ102,Data!EB102,Data!ED102,Data!EF102,Data!EH102,Data!EJ102,Data!EL102,Data!EN102,Data!EP102,Data!ER102,Data!ET102)</f>
        <v>0</v>
      </c>
      <c r="K101" s="12">
        <f>J101-I101</f>
        <v>0</v>
      </c>
      <c r="L101">
        <f>IF(I101=0,IF(J101&gt;0,"New",0),(J101-I101)/I101)</f>
        <v>0</v>
      </c>
      <c r="M101" t="str">
        <f>IF(F101=0,"No 2026 Sales",IF(E101=0,"New Product",IF(AND(ISNUMBER(H101),H101&gt;0.1),"↑ Strong Growth",IF(AND(ISNUMBER(H101),H101&gt;0),"↗ Growth",IF(AND(ISNUMBER(H101),H101&lt;-0.1),"↓ Strong Decline",IF(AND(ISNUMBER(H101),H101&lt;0),"↘ Decline","→ Stable"))))))</f>
        <v>No 2026 Sales</v>
      </c>
    </row>
    <row r="102" spans="1:13" x14ac:dyDescent="0.35">
      <c r="A102">
        <f>Data!A103</f>
        <v>202</v>
      </c>
      <c r="B102" t="str">
        <f>Data!B103</f>
        <v>BEEF</v>
      </c>
      <c r="C102" s="9">
        <f>Data!C103</f>
        <v>34184</v>
      </c>
      <c r="D102" s="10" t="s">
        <v>883</v>
      </c>
      <c r="E102" s="11">
        <f>SUM(Data!I103,Data!K103,Data!M103,Data!O103,Data!Q103,Data!S103,Data!U103,Data!W103,Data!Y103,Data!AA103,Data!AC103,Data!AE103,Data!AG103,Data!AI103,Data!AK103,Data!AM103,Data!AO103,Data!AQ103,Data!AS103)</f>
        <v>0</v>
      </c>
      <c r="F102" s="11">
        <f>SUM(Data!DI103,Data!DK103,Data!DM103,Data!DO103,Data!DQ103,Data!DS103,Data!DU103,Data!DW103,Data!DY103,Data!EA103,Data!EC103,Data!EE103,Data!EG103,Data!EI103,Data!EK103,Data!EM103,Data!EO103,Data!EQ103,Data!ES103)</f>
        <v>2785.2260869565189</v>
      </c>
      <c r="G102" s="11">
        <f>F102-E102</f>
        <v>2785.2260869565189</v>
      </c>
      <c r="H102" s="13" t="str">
        <f>IF(E102=0,IF(F102&gt;0,"New",0),(F102-E102)/E102)</f>
        <v>New</v>
      </c>
      <c r="I102" s="12">
        <f>SUM(Data!J103,Data!L103,Data!N103,Data!P103,Data!R103,Data!T103,Data!V103,Data!X103,Data!Z103,Data!AB103,Data!AD103,Data!AF103,Data!AH103,Data!AJ103,Data!AL103,Data!AN103,Data!AP103,Data!AR103,Data!AT103)</f>
        <v>0</v>
      </c>
      <c r="J102" s="12">
        <f>SUM(Data!DJ103,Data!DL103,Data!DN103,Data!DP103,Data!DR103,Data!DT103,Data!DV103,Data!DX103,Data!DZ103,Data!EB103,Data!ED103,Data!EF103,Data!EH103,Data!EJ103,Data!EL103,Data!EN103,Data!EP103,Data!ER103,Data!ET103)</f>
        <v>20.02</v>
      </c>
      <c r="K102" s="12">
        <f>J102-I102</f>
        <v>20.02</v>
      </c>
      <c r="L102" s="13" t="str">
        <f>IF(I102=0,IF(J102&gt;0,"New",0),(J102-I102)/I102)</f>
        <v>New</v>
      </c>
      <c r="M102" t="str">
        <f>IF(F102=0,"No 2026 Sales",IF(E102=0,"New Product",IF(AND(ISNUMBER(H102),H102&gt;0.1),"↑ Strong Growth",IF(AND(ISNUMBER(H102),H102&gt;0),"↗ Growth",IF(AND(ISNUMBER(H102),H102&lt;-0.1),"↓ Strong Decline",IF(AND(ISNUMBER(H102),H102&lt;0),"↘ Decline","→ Stable"))))))</f>
        <v>New Product</v>
      </c>
    </row>
    <row r="103" spans="1:13" hidden="1" x14ac:dyDescent="0.35">
      <c r="A103">
        <f>Data!A104</f>
        <v>202</v>
      </c>
      <c r="B103" t="str">
        <f>Data!B104</f>
        <v>BEEF</v>
      </c>
      <c r="C103" s="9">
        <f>Data!C104</f>
        <v>34185</v>
      </c>
      <c r="D103" s="10" t="s">
        <v>884</v>
      </c>
      <c r="E103" s="11">
        <f>SUM(Data!I104,Data!K104,Data!M104,Data!O104,Data!Q104,Data!S104,Data!U104,Data!W104,Data!Y104,Data!AA104,Data!AC104,Data!AE104,Data!AG104,Data!AI104,Data!AK104,Data!AM104,Data!AO104,Data!AQ104,Data!AS104)</f>
        <v>0</v>
      </c>
      <c r="F103" s="11">
        <f>SUM(Data!DI104,Data!DK104,Data!DM104,Data!DO104,Data!DQ104,Data!DS104,Data!DU104,Data!DW104,Data!DY104,Data!EA104,Data!EC104,Data!EE104,Data!EG104,Data!EI104,Data!EK104,Data!EM104,Data!EO104,Data!EQ104,Data!ES104)</f>
        <v>0</v>
      </c>
      <c r="G103" s="11">
        <f>F103-E103</f>
        <v>0</v>
      </c>
      <c r="H103">
        <f>IF(E103=0,IF(F103&gt;0,"New",0),(F103-E103)/E103)</f>
        <v>0</v>
      </c>
      <c r="I103" s="12">
        <f>SUM(Data!J104,Data!L104,Data!N104,Data!P104,Data!R104,Data!T104,Data!V104,Data!X104,Data!Z104,Data!AB104,Data!AD104,Data!AF104,Data!AH104,Data!AJ104,Data!AL104,Data!AN104,Data!AP104,Data!AR104,Data!AT104)</f>
        <v>0</v>
      </c>
      <c r="J103" s="12">
        <f>SUM(Data!DJ104,Data!DL104,Data!DN104,Data!DP104,Data!DR104,Data!DT104,Data!DV104,Data!DX104,Data!DZ104,Data!EB104,Data!ED104,Data!EF104,Data!EH104,Data!EJ104,Data!EL104,Data!EN104,Data!EP104,Data!ER104,Data!ET104)</f>
        <v>0</v>
      </c>
      <c r="K103" s="12">
        <f>J103-I103</f>
        <v>0</v>
      </c>
      <c r="L103">
        <f>IF(I103=0,IF(J103&gt;0,"New",0),(J103-I103)/I103)</f>
        <v>0</v>
      </c>
      <c r="M103" t="str">
        <f>IF(F103=0,"No 2026 Sales",IF(E103=0,"New Product",IF(AND(ISNUMBER(H103),H103&gt;0.1),"↑ Strong Growth",IF(AND(ISNUMBER(H103),H103&gt;0),"↗ Growth",IF(AND(ISNUMBER(H103),H103&lt;-0.1),"↓ Strong Decline",IF(AND(ISNUMBER(H103),H103&lt;0),"↘ Decline","→ Stable"))))))</f>
        <v>No 2026 Sales</v>
      </c>
    </row>
    <row r="104" spans="1:13" hidden="1" x14ac:dyDescent="0.35">
      <c r="A104">
        <f>Data!A105</f>
        <v>202</v>
      </c>
      <c r="B104" t="str">
        <f>Data!B105</f>
        <v>BEEF</v>
      </c>
      <c r="C104" s="9">
        <f>Data!C105</f>
        <v>34191</v>
      </c>
      <c r="D104" s="10" t="s">
        <v>885</v>
      </c>
      <c r="E104" s="11">
        <f>SUM(Data!I105,Data!K105,Data!M105,Data!O105,Data!Q105,Data!S105,Data!U105,Data!W105,Data!Y105,Data!AA105,Data!AC105,Data!AE105,Data!AG105,Data!AI105,Data!AK105,Data!AM105,Data!AO105,Data!AQ105,Data!AS105)</f>
        <v>0</v>
      </c>
      <c r="F104" s="11">
        <f>SUM(Data!DI105,Data!DK105,Data!DM105,Data!DO105,Data!DQ105,Data!DS105,Data!DU105,Data!DW105,Data!DY105,Data!EA105,Data!EC105,Data!EE105,Data!EG105,Data!EI105,Data!EK105,Data!EM105,Data!EO105,Data!EQ105,Data!ES105)</f>
        <v>0</v>
      </c>
      <c r="G104" s="11">
        <f>F104-E104</f>
        <v>0</v>
      </c>
      <c r="H104">
        <f>IF(E104=0,IF(F104&gt;0,"New",0),(F104-E104)/E104)</f>
        <v>0</v>
      </c>
      <c r="I104" s="12">
        <f>SUM(Data!J105,Data!L105,Data!N105,Data!P105,Data!R105,Data!T105,Data!V105,Data!X105,Data!Z105,Data!AB105,Data!AD105,Data!AF105,Data!AH105,Data!AJ105,Data!AL105,Data!AN105,Data!AP105,Data!AR105,Data!AT105)</f>
        <v>0</v>
      </c>
      <c r="J104" s="12">
        <f>SUM(Data!DJ105,Data!DL105,Data!DN105,Data!DP105,Data!DR105,Data!DT105,Data!DV105,Data!DX105,Data!DZ105,Data!EB105,Data!ED105,Data!EF105,Data!EH105,Data!EJ105,Data!EL105,Data!EN105,Data!EP105,Data!ER105,Data!ET105)</f>
        <v>0</v>
      </c>
      <c r="K104" s="12">
        <f>J104-I104</f>
        <v>0</v>
      </c>
      <c r="L104">
        <f>IF(I104=0,IF(J104&gt;0,"New",0),(J104-I104)/I104)</f>
        <v>0</v>
      </c>
      <c r="M104" t="str">
        <f>IF(F104=0,"No 2026 Sales",IF(E104=0,"New Product",IF(AND(ISNUMBER(H104),H104&gt;0.1),"↑ Strong Growth",IF(AND(ISNUMBER(H104),H104&gt;0),"↗ Growth",IF(AND(ISNUMBER(H104),H104&lt;-0.1),"↓ Strong Decline",IF(AND(ISNUMBER(H104),H104&lt;0),"↘ Decline","→ Stable"))))))</f>
        <v>No 2026 Sales</v>
      </c>
    </row>
    <row r="105" spans="1:13" x14ac:dyDescent="0.35">
      <c r="A105">
        <f>Data!A106</f>
        <v>202</v>
      </c>
      <c r="B105" t="str">
        <f>Data!B106</f>
        <v>BEEF</v>
      </c>
      <c r="C105" s="9">
        <f>Data!C106</f>
        <v>34205</v>
      </c>
      <c r="D105" s="10" t="s">
        <v>886</v>
      </c>
      <c r="E105" s="11">
        <f>SUM(Data!I106,Data!K106,Data!M106,Data!O106,Data!Q106,Data!S106,Data!U106,Data!W106,Data!Y106,Data!AA106,Data!AC106,Data!AE106,Data!AG106,Data!AI106,Data!AK106,Data!AM106,Data!AO106,Data!AQ106,Data!AS106)</f>
        <v>17175.947826086966</v>
      </c>
      <c r="F105" s="11">
        <f>SUM(Data!DI106,Data!DK106,Data!DM106,Data!DO106,Data!DQ106,Data!DS106,Data!DU106,Data!DW106,Data!DY106,Data!EA106,Data!EC106,Data!EE106,Data!EG106,Data!EI106,Data!EK106,Data!EM106,Data!EO106,Data!EQ106,Data!ES106)</f>
        <v>22562.695652173912</v>
      </c>
      <c r="G105" s="11">
        <f>F105-E105</f>
        <v>5386.7478260869466</v>
      </c>
      <c r="H105" s="13">
        <f>IF(E105=0,IF(F105&gt;0,"New",0),(F105-E105)/E105)</f>
        <v>0.31362157597530144</v>
      </c>
      <c r="I105" s="12">
        <f>SUM(Data!J106,Data!L106,Data!N106,Data!P106,Data!R106,Data!T106,Data!V106,Data!X106,Data!Z106,Data!AB106,Data!AD106,Data!AF106,Data!AH106,Data!AJ106,Data!AL106,Data!AN106,Data!AP106,Data!AR106,Data!AT106)</f>
        <v>117.72</v>
      </c>
      <c r="J105" s="12">
        <f>SUM(Data!DJ106,Data!DL106,Data!DN106,Data!DP106,Data!DR106,Data!DT106,Data!DV106,Data!DX106,Data!DZ106,Data!EB106,Data!ED106,Data!EF106,Data!EH106,Data!EJ106,Data!EL106,Data!EN106,Data!EP106,Data!ER106,Data!ET106)</f>
        <v>147.50800000000001</v>
      </c>
      <c r="K105" s="12">
        <f>J105-I105</f>
        <v>29.788000000000011</v>
      </c>
      <c r="L105" s="13">
        <f>IF(I105=0,IF(J105&gt;0,"New",0),(J105-I105)/I105)</f>
        <v>0.25304111450900452</v>
      </c>
      <c r="M105" t="str">
        <f>IF(F105=0,"No 2026 Sales",IF(E105=0,"New Product",IF(AND(ISNUMBER(H105),H105&gt;0.1),"↑ Strong Growth",IF(AND(ISNUMBER(H105),H105&gt;0),"↗ Growth",IF(AND(ISNUMBER(H105),H105&lt;-0.1),"↓ Strong Decline",IF(AND(ISNUMBER(H105),H105&lt;0),"↘ Decline","→ Stable"))))))</f>
        <v>↑ Strong Growth</v>
      </c>
    </row>
    <row r="106" spans="1:13" hidden="1" x14ac:dyDescent="0.35">
      <c r="A106">
        <f>Data!A107</f>
        <v>202</v>
      </c>
      <c r="B106" t="str">
        <f>Data!B107</f>
        <v>BEEF</v>
      </c>
      <c r="C106" s="9">
        <f>Data!C107</f>
        <v>34206</v>
      </c>
      <c r="D106" s="10" t="s">
        <v>887</v>
      </c>
      <c r="E106" s="11">
        <f>SUM(Data!I107,Data!K107,Data!M107,Data!O107,Data!Q107,Data!S107,Data!U107,Data!W107,Data!Y107,Data!AA107,Data!AC107,Data!AE107,Data!AG107,Data!AI107,Data!AK107,Data!AM107,Data!AO107,Data!AQ107,Data!AS107)</f>
        <v>0</v>
      </c>
      <c r="F106" s="11">
        <f>SUM(Data!DI107,Data!DK107,Data!DM107,Data!DO107,Data!DQ107,Data!DS107,Data!DU107,Data!DW107,Data!DY107,Data!EA107,Data!EC107,Data!EE107,Data!EG107,Data!EI107,Data!EK107,Data!EM107,Data!EO107,Data!EQ107,Data!ES107)</f>
        <v>0</v>
      </c>
      <c r="G106" s="11">
        <f>F106-E106</f>
        <v>0</v>
      </c>
      <c r="H106">
        <f>IF(E106=0,IF(F106&gt;0,"New",0),(F106-E106)/E106)</f>
        <v>0</v>
      </c>
      <c r="I106" s="12">
        <f>SUM(Data!J107,Data!L107,Data!N107,Data!P107,Data!R107,Data!T107,Data!V107,Data!X107,Data!Z107,Data!AB107,Data!AD107,Data!AF107,Data!AH107,Data!AJ107,Data!AL107,Data!AN107,Data!AP107,Data!AR107,Data!AT107)</f>
        <v>0</v>
      </c>
      <c r="J106" s="12">
        <f>SUM(Data!DJ107,Data!DL107,Data!DN107,Data!DP107,Data!DR107,Data!DT107,Data!DV107,Data!DX107,Data!DZ107,Data!EB107,Data!ED107,Data!EF107,Data!EH107,Data!EJ107,Data!EL107,Data!EN107,Data!EP107,Data!ER107,Data!ET107)</f>
        <v>0</v>
      </c>
      <c r="K106" s="12">
        <f>J106-I106</f>
        <v>0</v>
      </c>
      <c r="L106">
        <f>IF(I106=0,IF(J106&gt;0,"New",0),(J106-I106)/I106)</f>
        <v>0</v>
      </c>
      <c r="M106" t="str">
        <f>IF(F106=0,"No 2026 Sales",IF(E106=0,"New Product",IF(AND(ISNUMBER(H106),H106&gt;0.1),"↑ Strong Growth",IF(AND(ISNUMBER(H106),H106&gt;0),"↗ Growth",IF(AND(ISNUMBER(H106),H106&lt;-0.1),"↓ Strong Decline",IF(AND(ISNUMBER(H106),H106&lt;0),"↘ Decline","→ Stable"))))))</f>
        <v>No 2026 Sales</v>
      </c>
    </row>
    <row r="107" spans="1:13" x14ac:dyDescent="0.35">
      <c r="A107">
        <f>Data!A108</f>
        <v>202</v>
      </c>
      <c r="B107" t="str">
        <f>Data!B108</f>
        <v>BEEF</v>
      </c>
      <c r="C107" s="9">
        <f>Data!C108</f>
        <v>34207</v>
      </c>
      <c r="D107" s="10" t="s">
        <v>888</v>
      </c>
      <c r="E107" s="11">
        <f>SUM(Data!I108,Data!K108,Data!M108,Data!O108,Data!Q108,Data!S108,Data!U108,Data!W108,Data!Y108,Data!AA108,Data!AC108,Data!AE108,Data!AG108,Data!AI108,Data!AK108,Data!AM108,Data!AO108,Data!AQ108,Data!AS108)</f>
        <v>10485.043478260866</v>
      </c>
      <c r="F107" s="11">
        <f>SUM(Data!DI108,Data!DK108,Data!DM108,Data!DO108,Data!DQ108,Data!DS108,Data!DU108,Data!DW108,Data!DY108,Data!EA108,Data!EC108,Data!EE108,Data!EG108,Data!EI108,Data!EK108,Data!EM108,Data!EO108,Data!EQ108,Data!ES108)</f>
        <v>4268.0608695652199</v>
      </c>
      <c r="G107" s="11">
        <f>F107-E107</f>
        <v>-6216.9826086956464</v>
      </c>
      <c r="H107" s="13">
        <f>IF(E107=0,IF(F107&gt;0,"New",0),(F107-E107)/E107)</f>
        <v>-0.592938181094395</v>
      </c>
      <c r="I107" s="12">
        <f>SUM(Data!J108,Data!L108,Data!N108,Data!P108,Data!R108,Data!T108,Data!V108,Data!X108,Data!Z108,Data!AB108,Data!AD108,Data!AF108,Data!AH108,Data!AJ108,Data!AL108,Data!AN108,Data!AP108,Data!AR108,Data!AT108)</f>
        <v>112.67399999999999</v>
      </c>
      <c r="J107" s="12">
        <f>SUM(Data!DJ108,Data!DL108,Data!DN108,Data!DP108,Data!DR108,Data!DT108,Data!DV108,Data!DX108,Data!DZ108,Data!EB108,Data!ED108,Data!EF108,Data!EH108,Data!EJ108,Data!EL108,Data!EN108,Data!EP108,Data!ER108,Data!ET108)</f>
        <v>37.782000000000004</v>
      </c>
      <c r="K107" s="12">
        <f>J107-I107</f>
        <v>-74.891999999999996</v>
      </c>
      <c r="L107" s="13">
        <f>IF(I107=0,IF(J107&gt;0,"New",0),(J107-I107)/I107)</f>
        <v>-0.66467863038500452</v>
      </c>
      <c r="M107" t="str">
        <f>IF(F107=0,"No 2026 Sales",IF(E107=0,"New Product",IF(AND(ISNUMBER(H107),H107&gt;0.1),"↑ Strong Growth",IF(AND(ISNUMBER(H107),H107&gt;0),"↗ Growth",IF(AND(ISNUMBER(H107),H107&lt;-0.1),"↓ Strong Decline",IF(AND(ISNUMBER(H107),H107&lt;0),"↘ Decline","→ Stable"))))))</f>
        <v>↓ Strong Decline</v>
      </c>
    </row>
    <row r="108" spans="1:13" hidden="1" x14ac:dyDescent="0.35">
      <c r="A108">
        <f>Data!A109</f>
        <v>202</v>
      </c>
      <c r="B108" t="str">
        <f>Data!B109</f>
        <v>BEEF</v>
      </c>
      <c r="C108" s="9">
        <f>Data!C109</f>
        <v>34208</v>
      </c>
      <c r="D108" s="10" t="s">
        <v>889</v>
      </c>
      <c r="E108" s="11">
        <f>SUM(Data!I109,Data!K109,Data!M109,Data!O109,Data!Q109,Data!S109,Data!U109,Data!W109,Data!Y109,Data!AA109,Data!AC109,Data!AE109,Data!AG109,Data!AI109,Data!AK109,Data!AM109,Data!AO109,Data!AQ109,Data!AS109)</f>
        <v>0</v>
      </c>
      <c r="F108" s="11">
        <f>SUM(Data!DI109,Data!DK109,Data!DM109,Data!DO109,Data!DQ109,Data!DS109,Data!DU109,Data!DW109,Data!DY109,Data!EA109,Data!EC109,Data!EE109,Data!EG109,Data!EI109,Data!EK109,Data!EM109,Data!EO109,Data!EQ109,Data!ES109)</f>
        <v>0</v>
      </c>
      <c r="G108" s="11">
        <f>F108-E108</f>
        <v>0</v>
      </c>
      <c r="H108">
        <f>IF(E108=0,IF(F108&gt;0,"New",0),(F108-E108)/E108)</f>
        <v>0</v>
      </c>
      <c r="I108" s="12">
        <f>SUM(Data!J109,Data!L109,Data!N109,Data!P109,Data!R109,Data!T109,Data!V109,Data!X109,Data!Z109,Data!AB109,Data!AD109,Data!AF109,Data!AH109,Data!AJ109,Data!AL109,Data!AN109,Data!AP109,Data!AR109,Data!AT109)</f>
        <v>0</v>
      </c>
      <c r="J108" s="12">
        <f>SUM(Data!DJ109,Data!DL109,Data!DN109,Data!DP109,Data!DR109,Data!DT109,Data!DV109,Data!DX109,Data!DZ109,Data!EB109,Data!ED109,Data!EF109,Data!EH109,Data!EJ109,Data!EL109,Data!EN109,Data!EP109,Data!ER109,Data!ET109)</f>
        <v>0</v>
      </c>
      <c r="K108" s="12">
        <f>J108-I108</f>
        <v>0</v>
      </c>
      <c r="L108">
        <f>IF(I108=0,IF(J108&gt;0,"New",0),(J108-I108)/I108)</f>
        <v>0</v>
      </c>
      <c r="M108" t="str">
        <f>IF(F108=0,"No 2026 Sales",IF(E108=0,"New Product",IF(AND(ISNUMBER(H108),H108&gt;0.1),"↑ Strong Growth",IF(AND(ISNUMBER(H108),H108&gt;0),"↗ Growth",IF(AND(ISNUMBER(H108),H108&lt;-0.1),"↓ Strong Decline",IF(AND(ISNUMBER(H108),H108&lt;0),"↘ Decline","→ Stable"))))))</f>
        <v>No 2026 Sales</v>
      </c>
    </row>
    <row r="109" spans="1:13" x14ac:dyDescent="0.35">
      <c r="A109">
        <f>Data!A110</f>
        <v>202</v>
      </c>
      <c r="B109" t="str">
        <f>Data!B110</f>
        <v>BEEF</v>
      </c>
      <c r="C109" s="9">
        <f>Data!C110</f>
        <v>34254</v>
      </c>
      <c r="D109" s="10" t="s">
        <v>890</v>
      </c>
      <c r="E109" s="11">
        <f>SUM(Data!I110,Data!K110,Data!M110,Data!O110,Data!Q110,Data!S110,Data!U110,Data!W110,Data!Y110,Data!AA110,Data!AC110,Data!AE110,Data!AG110,Data!AI110,Data!AK110,Data!AM110,Data!AO110,Data!AQ110,Data!AS110)</f>
        <v>21021.81739130435</v>
      </c>
      <c r="F109" s="11">
        <f>SUM(Data!DI110,Data!DK110,Data!DM110,Data!DO110,Data!DQ110,Data!DS110,Data!DU110,Data!DW110,Data!DY110,Data!EA110,Data!EC110,Data!EE110,Data!EG110,Data!EI110,Data!EK110,Data!EM110,Data!EO110,Data!EQ110,Data!ES110)</f>
        <v>23378.617391304339</v>
      </c>
      <c r="G109" s="11">
        <f>F109-E109</f>
        <v>2356.7999999999884</v>
      </c>
      <c r="H109" s="13">
        <f>IF(E109=0,IF(F109&gt;0,"New",0),(F109-E109)/E109)</f>
        <v>0.11211209554959201</v>
      </c>
      <c r="I109" s="12">
        <f>SUM(Data!J110,Data!L110,Data!N110,Data!P110,Data!R110,Data!T110,Data!V110,Data!X110,Data!Z110,Data!AB110,Data!AD110,Data!AF110,Data!AH110,Data!AJ110,Data!AL110,Data!AN110,Data!AP110,Data!AR110,Data!AT110)</f>
        <v>666.54099999999994</v>
      </c>
      <c r="J109" s="12">
        <f>SUM(Data!DJ110,Data!DL110,Data!DN110,Data!DP110,Data!DR110,Data!DT110,Data!DV110,Data!DX110,Data!DZ110,Data!EB110,Data!ED110,Data!EF110,Data!EH110,Data!EJ110,Data!EL110,Data!EN110,Data!EP110,Data!ER110,Data!ET110)</f>
        <v>673.14199999999994</v>
      </c>
      <c r="K109" s="12">
        <f>J109-I109</f>
        <v>6.6009999999999991</v>
      </c>
      <c r="L109" s="13">
        <f>IF(I109=0,IF(J109&gt;0,"New",0),(J109-I109)/I109)</f>
        <v>9.9033667846389044E-3</v>
      </c>
      <c r="M109" t="str">
        <f>IF(F109=0,"No 2026 Sales",IF(E109=0,"New Product",IF(AND(ISNUMBER(H109),H109&gt;0.1),"↑ Strong Growth",IF(AND(ISNUMBER(H109),H109&gt;0),"↗ Growth",IF(AND(ISNUMBER(H109),H109&lt;-0.1),"↓ Strong Decline",IF(AND(ISNUMBER(H109),H109&lt;0),"↘ Decline","→ Stable"))))))</f>
        <v>↑ Strong Growth</v>
      </c>
    </row>
    <row r="110" spans="1:13" x14ac:dyDescent="0.35">
      <c r="A110">
        <f>Data!A111</f>
        <v>202</v>
      </c>
      <c r="B110" t="str">
        <f>Data!B111</f>
        <v>BEEF</v>
      </c>
      <c r="C110" s="9">
        <f>Data!C111</f>
        <v>42859</v>
      </c>
      <c r="D110" s="10" t="s">
        <v>891</v>
      </c>
      <c r="E110" s="11">
        <f>SUM(Data!I111,Data!K111,Data!M111,Data!O111,Data!Q111,Data!S111,Data!U111,Data!W111,Data!Y111,Data!AA111,Data!AC111,Data!AE111,Data!AG111,Data!AI111,Data!AK111,Data!AM111,Data!AO111,Data!AQ111,Data!AS111)</f>
        <v>707.20869565217379</v>
      </c>
      <c r="F110" s="11">
        <f>SUM(Data!DI111,Data!DK111,Data!DM111,Data!DO111,Data!DQ111,Data!DS111,Data!DU111,Data!DW111,Data!DY111,Data!EA111,Data!EC111,Data!EE111,Data!EG111,Data!EI111,Data!EK111,Data!EM111,Data!EO111,Data!EQ111,Data!ES111)</f>
        <v>243.98260869565229</v>
      </c>
      <c r="G110" s="11">
        <f>F110-E110</f>
        <v>-463.2260869565215</v>
      </c>
      <c r="H110" s="13">
        <f>IF(E110=0,IF(F110&gt;0,"New",0),(F110-E110)/E110)</f>
        <v>-0.65500620934721909</v>
      </c>
      <c r="I110" s="12">
        <f>SUM(Data!J111,Data!L111,Data!N111,Data!P111,Data!R111,Data!T111,Data!V111,Data!X111,Data!Z111,Data!AB111,Data!AD111,Data!AF111,Data!AH111,Data!AJ111,Data!AL111,Data!AN111,Data!AP111,Data!AR111,Data!AT111)</f>
        <v>11.167</v>
      </c>
      <c r="J110" s="12">
        <f>SUM(Data!DJ111,Data!DL111,Data!DN111,Data!DP111,Data!DR111,Data!DT111,Data!DV111,Data!DX111,Data!DZ111,Data!EB111,Data!ED111,Data!EF111,Data!EH111,Data!EJ111,Data!EL111,Data!EN111,Data!EP111,Data!ER111,Data!ET111)</f>
        <v>3.1179999999999999</v>
      </c>
      <c r="K110" s="12">
        <f>J110-I110</f>
        <v>-8.0489999999999995</v>
      </c>
      <c r="L110" s="13">
        <f>IF(I110=0,IF(J110&gt;0,"New",0),(J110-I110)/I110)</f>
        <v>-0.72078445419539716</v>
      </c>
      <c r="M110" t="str">
        <f>IF(F110=0,"No 2026 Sales",IF(E110=0,"New Product",IF(AND(ISNUMBER(H110),H110&gt;0.1),"↑ Strong Growth",IF(AND(ISNUMBER(H110),H110&gt;0),"↗ Growth",IF(AND(ISNUMBER(H110),H110&lt;-0.1),"↓ Strong Decline",IF(AND(ISNUMBER(H110),H110&lt;0),"↘ Decline","→ Stable"))))))</f>
        <v>↓ Strong Decline</v>
      </c>
    </row>
    <row r="111" spans="1:13" hidden="1" x14ac:dyDescent="0.35">
      <c r="A111">
        <f>Data!A112</f>
        <v>202</v>
      </c>
      <c r="B111" t="str">
        <f>Data!B112</f>
        <v>BEEF</v>
      </c>
      <c r="C111" s="9">
        <f>Data!C112</f>
        <v>45167</v>
      </c>
      <c r="D111" s="10" t="s">
        <v>892</v>
      </c>
      <c r="E111" s="11">
        <f>SUM(Data!I112,Data!K112,Data!M112,Data!O112,Data!Q112,Data!S112,Data!U112,Data!W112,Data!Y112,Data!AA112,Data!AC112,Data!AE112,Data!AG112,Data!AI112,Data!AK112,Data!AM112,Data!AO112,Data!AQ112,Data!AS112)</f>
        <v>0</v>
      </c>
      <c r="F111" s="11">
        <f>SUM(Data!DI112,Data!DK112,Data!DM112,Data!DO112,Data!DQ112,Data!DS112,Data!DU112,Data!DW112,Data!DY112,Data!EA112,Data!EC112,Data!EE112,Data!EG112,Data!EI112,Data!EK112,Data!EM112,Data!EO112,Data!EQ112,Data!ES112)</f>
        <v>0</v>
      </c>
      <c r="G111" s="11">
        <f>F111-E111</f>
        <v>0</v>
      </c>
      <c r="H111">
        <f>IF(E111=0,IF(F111&gt;0,"New",0),(F111-E111)/E111)</f>
        <v>0</v>
      </c>
      <c r="I111" s="12">
        <f>SUM(Data!J112,Data!L112,Data!N112,Data!P112,Data!R112,Data!T112,Data!V112,Data!X112,Data!Z112,Data!AB112,Data!AD112,Data!AF112,Data!AH112,Data!AJ112,Data!AL112,Data!AN112,Data!AP112,Data!AR112,Data!AT112)</f>
        <v>0</v>
      </c>
      <c r="J111" s="12">
        <f>SUM(Data!DJ112,Data!DL112,Data!DN112,Data!DP112,Data!DR112,Data!DT112,Data!DV112,Data!DX112,Data!DZ112,Data!EB112,Data!ED112,Data!EF112,Data!EH112,Data!EJ112,Data!EL112,Data!EN112,Data!EP112,Data!ER112,Data!ET112)</f>
        <v>0</v>
      </c>
      <c r="K111" s="12">
        <f>J111-I111</f>
        <v>0</v>
      </c>
      <c r="L111">
        <f>IF(I111=0,IF(J111&gt;0,"New",0),(J111-I111)/I111)</f>
        <v>0</v>
      </c>
      <c r="M111" t="str">
        <f>IF(F111=0,"No 2026 Sales",IF(E111=0,"New Product",IF(AND(ISNUMBER(H111),H111&gt;0.1),"↑ Strong Growth",IF(AND(ISNUMBER(H111),H111&gt;0),"↗ Growth",IF(AND(ISNUMBER(H111),H111&lt;-0.1),"↓ Strong Decline",IF(AND(ISNUMBER(H111),H111&lt;0),"↘ Decline","→ Stable"))))))</f>
        <v>No 2026 Sales</v>
      </c>
    </row>
    <row r="112" spans="1:13" hidden="1" x14ac:dyDescent="0.35">
      <c r="A112">
        <f>Data!A113</f>
        <v>202</v>
      </c>
      <c r="B112" t="str">
        <f>Data!B113</f>
        <v>BEEF</v>
      </c>
      <c r="C112" s="9">
        <f>Data!C113</f>
        <v>46490</v>
      </c>
      <c r="D112" s="10" t="s">
        <v>893</v>
      </c>
      <c r="E112" s="11">
        <f>SUM(Data!I113,Data!K113,Data!M113,Data!O113,Data!Q113,Data!S113,Data!U113,Data!W113,Data!Y113,Data!AA113,Data!AC113,Data!AE113,Data!AG113,Data!AI113,Data!AK113,Data!AM113,Data!AO113,Data!AQ113,Data!AS113)</f>
        <v>0</v>
      </c>
      <c r="F112" s="11">
        <f>SUM(Data!DI113,Data!DK113,Data!DM113,Data!DO113,Data!DQ113,Data!DS113,Data!DU113,Data!DW113,Data!DY113,Data!EA113,Data!EC113,Data!EE113,Data!EG113,Data!EI113,Data!EK113,Data!EM113,Data!EO113,Data!EQ113,Data!ES113)</f>
        <v>0</v>
      </c>
      <c r="G112" s="11">
        <f>F112-E112</f>
        <v>0</v>
      </c>
      <c r="H112">
        <f>IF(E112=0,IF(F112&gt;0,"New",0),(F112-E112)/E112)</f>
        <v>0</v>
      </c>
      <c r="I112" s="12">
        <f>SUM(Data!J113,Data!L113,Data!N113,Data!P113,Data!R113,Data!T113,Data!V113,Data!X113,Data!Z113,Data!AB113,Data!AD113,Data!AF113,Data!AH113,Data!AJ113,Data!AL113,Data!AN113,Data!AP113,Data!AR113,Data!AT113)</f>
        <v>0</v>
      </c>
      <c r="J112" s="12">
        <f>SUM(Data!DJ113,Data!DL113,Data!DN113,Data!DP113,Data!DR113,Data!DT113,Data!DV113,Data!DX113,Data!DZ113,Data!EB113,Data!ED113,Data!EF113,Data!EH113,Data!EJ113,Data!EL113,Data!EN113,Data!EP113,Data!ER113,Data!ET113)</f>
        <v>0</v>
      </c>
      <c r="K112" s="12">
        <f>J112-I112</f>
        <v>0</v>
      </c>
      <c r="L112">
        <f>IF(I112=0,IF(J112&gt;0,"New",0),(J112-I112)/I112)</f>
        <v>0</v>
      </c>
      <c r="M112" t="str">
        <f>IF(F112=0,"No 2026 Sales",IF(E112=0,"New Product",IF(AND(ISNUMBER(H112),H112&gt;0.1),"↑ Strong Growth",IF(AND(ISNUMBER(H112),H112&gt;0),"↗ Growth",IF(AND(ISNUMBER(H112),H112&lt;-0.1),"↓ Strong Decline",IF(AND(ISNUMBER(H112),H112&lt;0),"↘ Decline","→ Stable"))))))</f>
        <v>No 2026 Sales</v>
      </c>
    </row>
    <row r="113" spans="1:13" hidden="1" x14ac:dyDescent="0.35">
      <c r="A113">
        <f>Data!A114</f>
        <v>202</v>
      </c>
      <c r="B113" t="str">
        <f>Data!B114</f>
        <v>BEEF</v>
      </c>
      <c r="C113" s="9">
        <f>Data!C114</f>
        <v>49605</v>
      </c>
      <c r="D113" s="10" t="s">
        <v>894</v>
      </c>
      <c r="E113" s="11">
        <f>SUM(Data!I114,Data!K114,Data!M114,Data!O114,Data!Q114,Data!S114,Data!U114,Data!W114,Data!Y114,Data!AA114,Data!AC114,Data!AE114,Data!AG114,Data!AI114,Data!AK114,Data!AM114,Data!AO114,Data!AQ114,Data!AS114)</f>
        <v>0</v>
      </c>
      <c r="F113" s="11">
        <f>SUM(Data!DI114,Data!DK114,Data!DM114,Data!DO114,Data!DQ114,Data!DS114,Data!DU114,Data!DW114,Data!DY114,Data!EA114,Data!EC114,Data!EE114,Data!EG114,Data!EI114,Data!EK114,Data!EM114,Data!EO114,Data!EQ114,Data!ES114)</f>
        <v>0</v>
      </c>
      <c r="G113" s="11">
        <f>F113-E113</f>
        <v>0</v>
      </c>
      <c r="H113">
        <f>IF(E113=0,IF(F113&gt;0,"New",0),(F113-E113)/E113)</f>
        <v>0</v>
      </c>
      <c r="I113" s="12">
        <f>SUM(Data!J114,Data!L114,Data!N114,Data!P114,Data!R114,Data!T114,Data!V114,Data!X114,Data!Z114,Data!AB114,Data!AD114,Data!AF114,Data!AH114,Data!AJ114,Data!AL114,Data!AN114,Data!AP114,Data!AR114,Data!AT114)</f>
        <v>0</v>
      </c>
      <c r="J113" s="12">
        <f>SUM(Data!DJ114,Data!DL114,Data!DN114,Data!DP114,Data!DR114,Data!DT114,Data!DV114,Data!DX114,Data!DZ114,Data!EB114,Data!ED114,Data!EF114,Data!EH114,Data!EJ114,Data!EL114,Data!EN114,Data!EP114,Data!ER114,Data!ET114)</f>
        <v>0</v>
      </c>
      <c r="K113" s="12">
        <f>J113-I113</f>
        <v>0</v>
      </c>
      <c r="L113">
        <f>IF(I113=0,IF(J113&gt;0,"New",0),(J113-I113)/I113)</f>
        <v>0</v>
      </c>
      <c r="M113" t="str">
        <f>IF(F113=0,"No 2026 Sales",IF(E113=0,"New Product",IF(AND(ISNUMBER(H113),H113&gt;0.1),"↑ Strong Growth",IF(AND(ISNUMBER(H113),H113&gt;0),"↗ Growth",IF(AND(ISNUMBER(H113),H113&lt;-0.1),"↓ Strong Decline",IF(AND(ISNUMBER(H113),H113&lt;0),"↘ Decline","→ Stable"))))))</f>
        <v>No 2026 Sales</v>
      </c>
    </row>
    <row r="114" spans="1:13" x14ac:dyDescent="0.35">
      <c r="A114">
        <f>Data!A115</f>
        <v>202</v>
      </c>
      <c r="B114" t="str">
        <f>Data!B115</f>
        <v>BEEF</v>
      </c>
      <c r="C114" s="9">
        <f>Data!C115</f>
        <v>52680</v>
      </c>
      <c r="D114" s="10" t="s">
        <v>895</v>
      </c>
      <c r="E114" s="11">
        <f>SUM(Data!I115,Data!K115,Data!M115,Data!O115,Data!Q115,Data!S115,Data!U115,Data!W115,Data!Y115,Data!AA115,Data!AC115,Data!AE115,Data!AG115,Data!AI115,Data!AK115,Data!AM115,Data!AO115,Data!AQ115,Data!AS115)</f>
        <v>7892.5130434782632</v>
      </c>
      <c r="F114" s="11">
        <f>SUM(Data!DI115,Data!DK115,Data!DM115,Data!DO115,Data!DQ115,Data!DS115,Data!DU115,Data!DW115,Data!DY115,Data!EA115,Data!EC115,Data!EE115,Data!EG115,Data!EI115,Data!EK115,Data!EM115,Data!EO115,Data!EQ115,Data!ES115)</f>
        <v>6500.4695652173914</v>
      </c>
      <c r="G114" s="11">
        <f>F114-E114</f>
        <v>-1392.0434782608718</v>
      </c>
      <c r="H114" s="13">
        <f>IF(E114=0,IF(F114&gt;0,"New",0),(F114-E114)/E114)</f>
        <v>-0.17637518881405514</v>
      </c>
      <c r="I114" s="12">
        <f>SUM(Data!J115,Data!L115,Data!N115,Data!P115,Data!R115,Data!T115,Data!V115,Data!X115,Data!Z115,Data!AB115,Data!AD115,Data!AF115,Data!AH115,Data!AJ115,Data!AL115,Data!AN115,Data!AP115,Data!AR115,Data!AT115)</f>
        <v>55.919000000000004</v>
      </c>
      <c r="J114" s="12">
        <f>SUM(Data!DJ115,Data!DL115,Data!DN115,Data!DP115,Data!DR115,Data!DT115,Data!DV115,Data!DX115,Data!DZ115,Data!EB115,Data!ED115,Data!EF115,Data!EH115,Data!EJ115,Data!EL115,Data!EN115,Data!EP115,Data!ER115,Data!ET115)</f>
        <v>36.368000000000002</v>
      </c>
      <c r="K114" s="12">
        <f>J114-I114</f>
        <v>-19.551000000000002</v>
      </c>
      <c r="L114" s="13">
        <f>IF(I114=0,IF(J114&gt;0,"New",0),(J114-I114)/I114)</f>
        <v>-0.34963071585686439</v>
      </c>
      <c r="M114" t="str">
        <f>IF(F114=0,"No 2026 Sales",IF(E114=0,"New Product",IF(AND(ISNUMBER(H114),H114&gt;0.1),"↑ Strong Growth",IF(AND(ISNUMBER(H114),H114&gt;0),"↗ Growth",IF(AND(ISNUMBER(H114),H114&lt;-0.1),"↓ Strong Decline",IF(AND(ISNUMBER(H114),H114&lt;0),"↘ Decline","→ Stable"))))))</f>
        <v>↓ Strong Decline</v>
      </c>
    </row>
    <row r="115" spans="1:13" x14ac:dyDescent="0.35">
      <c r="A115">
        <f>Data!A116</f>
        <v>202</v>
      </c>
      <c r="B115" t="str">
        <f>Data!B116</f>
        <v>BEEF</v>
      </c>
      <c r="C115" s="9">
        <f>Data!C116</f>
        <v>53487</v>
      </c>
      <c r="D115" s="10" t="s">
        <v>896</v>
      </c>
      <c r="E115" s="11">
        <f>SUM(Data!I116,Data!K116,Data!M116,Data!O116,Data!Q116,Data!S116,Data!U116,Data!W116,Data!Y116,Data!AA116,Data!AC116,Data!AE116,Data!AG116,Data!AI116,Data!AK116,Data!AM116,Data!AO116,Data!AQ116,Data!AS116)</f>
        <v>65318.521739130447</v>
      </c>
      <c r="F115" s="11">
        <f>SUM(Data!DI116,Data!DK116,Data!DM116,Data!DO116,Data!DQ116,Data!DS116,Data!DU116,Data!DW116,Data!DY116,Data!EA116,Data!EC116,Data!EE116,Data!EG116,Data!EI116,Data!EK116,Data!EM116,Data!EO116,Data!EQ116,Data!ES116)</f>
        <v>60935.895652173931</v>
      </c>
      <c r="G115" s="11">
        <f>F115-E115</f>
        <v>-4382.6260869565158</v>
      </c>
      <c r="H115" s="13">
        <f>IF(E115=0,IF(F115&gt;0,"New",0),(F115-E115)/E115)</f>
        <v>-6.7096222790526058E-2</v>
      </c>
      <c r="I115" s="12">
        <f>SUM(Data!J116,Data!L116,Data!N116,Data!P116,Data!R116,Data!T116,Data!V116,Data!X116,Data!Z116,Data!AB116,Data!AD116,Data!AF116,Data!AH116,Data!AJ116,Data!AL116,Data!AN116,Data!AP116,Data!AR116,Data!AT116)</f>
        <v>713.12099999999998</v>
      </c>
      <c r="J115" s="12">
        <f>SUM(Data!DJ116,Data!DL116,Data!DN116,Data!DP116,Data!DR116,Data!DT116,Data!DV116,Data!DX116,Data!DZ116,Data!EB116,Data!ED116,Data!EF116,Data!EH116,Data!EJ116,Data!EL116,Data!EN116,Data!EP116,Data!ER116,Data!ET116)</f>
        <v>508.7940000000001</v>
      </c>
      <c r="K115" s="12">
        <f>J115-I115</f>
        <v>-204.32699999999988</v>
      </c>
      <c r="L115" s="13">
        <f>IF(I115=0,IF(J115&gt;0,"New",0),(J115-I115)/I115)</f>
        <v>-0.28652500767751882</v>
      </c>
      <c r="M115" t="str">
        <f>IF(F115=0,"No 2026 Sales",IF(E115=0,"New Product",IF(AND(ISNUMBER(H115),H115&gt;0.1),"↑ Strong Growth",IF(AND(ISNUMBER(H115),H115&gt;0),"↗ Growth",IF(AND(ISNUMBER(H115),H115&lt;-0.1),"↓ Strong Decline",IF(AND(ISNUMBER(H115),H115&lt;0),"↘ Decline","→ Stable"))))))</f>
        <v>↘ Decline</v>
      </c>
    </row>
    <row r="116" spans="1:13" hidden="1" x14ac:dyDescent="0.35">
      <c r="A116">
        <f>Data!A117</f>
        <v>202</v>
      </c>
      <c r="B116" t="str">
        <f>Data!B117</f>
        <v>BEEF</v>
      </c>
      <c r="C116" s="9">
        <f>Data!C117</f>
        <v>53924</v>
      </c>
      <c r="D116" s="10" t="s">
        <v>897</v>
      </c>
      <c r="E116" s="11">
        <f>SUM(Data!I117,Data!K117,Data!M117,Data!O117,Data!Q117,Data!S117,Data!U117,Data!W117,Data!Y117,Data!AA117,Data!AC117,Data!AE117,Data!AG117,Data!AI117,Data!AK117,Data!AM117,Data!AO117,Data!AQ117,Data!AS117)</f>
        <v>0</v>
      </c>
      <c r="F116" s="11">
        <f>SUM(Data!DI117,Data!DK117,Data!DM117,Data!DO117,Data!DQ117,Data!DS117,Data!DU117,Data!DW117,Data!DY117,Data!EA117,Data!EC117,Data!EE117,Data!EG117,Data!EI117,Data!EK117,Data!EM117,Data!EO117,Data!EQ117,Data!ES117)</f>
        <v>0</v>
      </c>
      <c r="G116" s="11">
        <f>F116-E116</f>
        <v>0</v>
      </c>
      <c r="H116">
        <f>IF(E116=0,IF(F116&gt;0,"New",0),(F116-E116)/E116)</f>
        <v>0</v>
      </c>
      <c r="I116" s="12">
        <f>SUM(Data!J117,Data!L117,Data!N117,Data!P117,Data!R117,Data!T117,Data!V117,Data!X117,Data!Z117,Data!AB117,Data!AD117,Data!AF117,Data!AH117,Data!AJ117,Data!AL117,Data!AN117,Data!AP117,Data!AR117,Data!AT117)</f>
        <v>0</v>
      </c>
      <c r="J116" s="12">
        <f>SUM(Data!DJ117,Data!DL117,Data!DN117,Data!DP117,Data!DR117,Data!DT117,Data!DV117,Data!DX117,Data!DZ117,Data!EB117,Data!ED117,Data!EF117,Data!EH117,Data!EJ117,Data!EL117,Data!EN117,Data!EP117,Data!ER117,Data!ET117)</f>
        <v>0</v>
      </c>
      <c r="K116" s="12">
        <f>J116-I116</f>
        <v>0</v>
      </c>
      <c r="L116">
        <f>IF(I116=0,IF(J116&gt;0,"New",0),(J116-I116)/I116)</f>
        <v>0</v>
      </c>
      <c r="M116" t="str">
        <f>IF(F116=0,"No 2026 Sales",IF(E116=0,"New Product",IF(AND(ISNUMBER(H116),H116&gt;0.1),"↑ Strong Growth",IF(AND(ISNUMBER(H116),H116&gt;0),"↗ Growth",IF(AND(ISNUMBER(H116),H116&lt;-0.1),"↓ Strong Decline",IF(AND(ISNUMBER(H116),H116&lt;0),"↘ Decline","→ Stable"))))))</f>
        <v>No 2026 Sales</v>
      </c>
    </row>
    <row r="117" spans="1:13" hidden="1" x14ac:dyDescent="0.35">
      <c r="A117">
        <f>Data!A118</f>
        <v>202</v>
      </c>
      <c r="B117" t="str">
        <f>Data!B118</f>
        <v>BEEF</v>
      </c>
      <c r="C117" s="9">
        <f>Data!C118</f>
        <v>54363</v>
      </c>
      <c r="D117" s="10" t="s">
        <v>898</v>
      </c>
      <c r="E117" s="11">
        <f>SUM(Data!I118,Data!K118,Data!M118,Data!O118,Data!Q118,Data!S118,Data!U118,Data!W118,Data!Y118,Data!AA118,Data!AC118,Data!AE118,Data!AG118,Data!AI118,Data!AK118,Data!AM118,Data!AO118,Data!AQ118,Data!AS118)</f>
        <v>0</v>
      </c>
      <c r="F117" s="11">
        <f>SUM(Data!DI118,Data!DK118,Data!DM118,Data!DO118,Data!DQ118,Data!DS118,Data!DU118,Data!DW118,Data!DY118,Data!EA118,Data!EC118,Data!EE118,Data!EG118,Data!EI118,Data!EK118,Data!EM118,Data!EO118,Data!EQ118,Data!ES118)</f>
        <v>0</v>
      </c>
      <c r="G117" s="11">
        <f>F117-E117</f>
        <v>0</v>
      </c>
      <c r="H117">
        <f>IF(E117=0,IF(F117&gt;0,"New",0),(F117-E117)/E117)</f>
        <v>0</v>
      </c>
      <c r="I117" s="12">
        <f>SUM(Data!J118,Data!L118,Data!N118,Data!P118,Data!R118,Data!T118,Data!V118,Data!X118,Data!Z118,Data!AB118,Data!AD118,Data!AF118,Data!AH118,Data!AJ118,Data!AL118,Data!AN118,Data!AP118,Data!AR118,Data!AT118)</f>
        <v>0</v>
      </c>
      <c r="J117" s="12">
        <f>SUM(Data!DJ118,Data!DL118,Data!DN118,Data!DP118,Data!DR118,Data!DT118,Data!DV118,Data!DX118,Data!DZ118,Data!EB118,Data!ED118,Data!EF118,Data!EH118,Data!EJ118,Data!EL118,Data!EN118,Data!EP118,Data!ER118,Data!ET118)</f>
        <v>0</v>
      </c>
      <c r="K117" s="12">
        <f>J117-I117</f>
        <v>0</v>
      </c>
      <c r="L117">
        <f>IF(I117=0,IF(J117&gt;0,"New",0),(J117-I117)/I117)</f>
        <v>0</v>
      </c>
      <c r="M117" t="str">
        <f>IF(F117=0,"No 2026 Sales",IF(E117=0,"New Product",IF(AND(ISNUMBER(H117),H117&gt;0.1),"↑ Strong Growth",IF(AND(ISNUMBER(H117),H117&gt;0),"↗ Growth",IF(AND(ISNUMBER(H117),H117&lt;-0.1),"↓ Strong Decline",IF(AND(ISNUMBER(H117),H117&lt;0),"↘ Decline","→ Stable"))))))</f>
        <v>No 2026 Sales</v>
      </c>
    </row>
    <row r="118" spans="1:13" hidden="1" x14ac:dyDescent="0.35">
      <c r="A118">
        <f>Data!A119</f>
        <v>202</v>
      </c>
      <c r="B118" t="str">
        <f>Data!B119</f>
        <v>BEEF</v>
      </c>
      <c r="C118" s="9">
        <f>Data!C119</f>
        <v>54855</v>
      </c>
      <c r="D118" s="10" t="s">
        <v>899</v>
      </c>
      <c r="E118" s="11">
        <f>SUM(Data!I119,Data!K119,Data!M119,Data!O119,Data!Q119,Data!S119,Data!U119,Data!W119,Data!Y119,Data!AA119,Data!AC119,Data!AE119,Data!AG119,Data!AI119,Data!AK119,Data!AM119,Data!AO119,Data!AQ119,Data!AS119)</f>
        <v>0</v>
      </c>
      <c r="F118" s="11">
        <f>SUM(Data!DI119,Data!DK119,Data!DM119,Data!DO119,Data!DQ119,Data!DS119,Data!DU119,Data!DW119,Data!DY119,Data!EA119,Data!EC119,Data!EE119,Data!EG119,Data!EI119,Data!EK119,Data!EM119,Data!EO119,Data!EQ119,Data!ES119)</f>
        <v>0</v>
      </c>
      <c r="G118" s="11">
        <f>F118-E118</f>
        <v>0</v>
      </c>
      <c r="H118">
        <f>IF(E118=0,IF(F118&gt;0,"New",0),(F118-E118)/E118)</f>
        <v>0</v>
      </c>
      <c r="I118" s="12">
        <f>SUM(Data!J119,Data!L119,Data!N119,Data!P119,Data!R119,Data!T119,Data!V119,Data!X119,Data!Z119,Data!AB119,Data!AD119,Data!AF119,Data!AH119,Data!AJ119,Data!AL119,Data!AN119,Data!AP119,Data!AR119,Data!AT119)</f>
        <v>0</v>
      </c>
      <c r="J118" s="12">
        <f>SUM(Data!DJ119,Data!DL119,Data!DN119,Data!DP119,Data!DR119,Data!DT119,Data!DV119,Data!DX119,Data!DZ119,Data!EB119,Data!ED119,Data!EF119,Data!EH119,Data!EJ119,Data!EL119,Data!EN119,Data!EP119,Data!ER119,Data!ET119)</f>
        <v>0</v>
      </c>
      <c r="K118" s="12">
        <f>J118-I118</f>
        <v>0</v>
      </c>
      <c r="L118">
        <f>IF(I118=0,IF(J118&gt;0,"New",0),(J118-I118)/I118)</f>
        <v>0</v>
      </c>
      <c r="M118" t="str">
        <f>IF(F118=0,"No 2026 Sales",IF(E118=0,"New Product",IF(AND(ISNUMBER(H118),H118&gt;0.1),"↑ Strong Growth",IF(AND(ISNUMBER(H118),H118&gt;0),"↗ Growth",IF(AND(ISNUMBER(H118),H118&lt;-0.1),"↓ Strong Decline",IF(AND(ISNUMBER(H118),H118&lt;0),"↘ Decline","→ Stable"))))))</f>
        <v>No 2026 Sales</v>
      </c>
    </row>
    <row r="119" spans="1:13" x14ac:dyDescent="0.35">
      <c r="A119">
        <f>Data!A120</f>
        <v>202</v>
      </c>
      <c r="B119" t="str">
        <f>Data!B120</f>
        <v>BEEF</v>
      </c>
      <c r="C119" s="9">
        <f>Data!C120</f>
        <v>58817</v>
      </c>
      <c r="D119" s="10" t="s">
        <v>900</v>
      </c>
      <c r="E119" s="11">
        <f>SUM(Data!I120,Data!K120,Data!M120,Data!O120,Data!Q120,Data!S120,Data!U120,Data!W120,Data!Y120,Data!AA120,Data!AC120,Data!AE120,Data!AG120,Data!AI120,Data!AK120,Data!AM120,Data!AO120,Data!AQ120,Data!AS120)</f>
        <v>7360.782608695652</v>
      </c>
      <c r="F119" s="11">
        <f>SUM(Data!DI120,Data!DK120,Data!DM120,Data!DO120,Data!DQ120,Data!DS120,Data!DU120,Data!DW120,Data!DY120,Data!EA120,Data!EC120,Data!EE120,Data!EG120,Data!EI120,Data!EK120,Data!EM120,Data!EO120,Data!EQ120,Data!ES120)</f>
        <v>6751.2782608695643</v>
      </c>
      <c r="G119" s="11">
        <f>F119-E119</f>
        <v>-609.50434782608772</v>
      </c>
      <c r="H119" s="13">
        <f>IF(E119=0,IF(F119&gt;0,"New",0),(F119-E119)/E119)</f>
        <v>-8.2804285933679181E-2</v>
      </c>
      <c r="I119" s="12">
        <f>SUM(Data!J120,Data!L120,Data!N120,Data!P120,Data!R120,Data!T120,Data!V120,Data!X120,Data!Z120,Data!AB120,Data!AD120,Data!AF120,Data!AH120,Data!AJ120,Data!AL120,Data!AN120,Data!AP120,Data!AR120,Data!AT120)</f>
        <v>62.488000000000007</v>
      </c>
      <c r="J119" s="12">
        <f>SUM(Data!DJ120,Data!DL120,Data!DN120,Data!DP120,Data!DR120,Data!DT120,Data!DV120,Data!DX120,Data!DZ120,Data!EB120,Data!ED120,Data!EF120,Data!EH120,Data!EJ120,Data!EL120,Data!EN120,Data!EP120,Data!ER120,Data!ET120)</f>
        <v>53.212999999999994</v>
      </c>
      <c r="K119" s="12">
        <f>J119-I119</f>
        <v>-9.2750000000000128</v>
      </c>
      <c r="L119" s="13">
        <f>IF(I119=0,IF(J119&gt;0,"New",0),(J119-I119)/I119)</f>
        <v>-0.14842849827166835</v>
      </c>
      <c r="M119" t="str">
        <f>IF(F119=0,"No 2026 Sales",IF(E119=0,"New Product",IF(AND(ISNUMBER(H119),H119&gt;0.1),"↑ Strong Growth",IF(AND(ISNUMBER(H119),H119&gt;0),"↗ Growth",IF(AND(ISNUMBER(H119),H119&lt;-0.1),"↓ Strong Decline",IF(AND(ISNUMBER(H119),H119&lt;0),"↘ Decline","→ Stable"))))))</f>
        <v>↘ Decline</v>
      </c>
    </row>
    <row r="120" spans="1:13" x14ac:dyDescent="0.35">
      <c r="A120">
        <f>Data!A121</f>
        <v>202</v>
      </c>
      <c r="B120" t="str">
        <f>Data!B121</f>
        <v>BEEF</v>
      </c>
      <c r="C120" s="9">
        <f>Data!C121</f>
        <v>62790</v>
      </c>
      <c r="D120" s="10" t="s">
        <v>901</v>
      </c>
      <c r="E120" s="11">
        <f>SUM(Data!I121,Data!K121,Data!M121,Data!O121,Data!Q121,Data!S121,Data!U121,Data!W121,Data!Y121,Data!AA121,Data!AC121,Data!AE121,Data!AG121,Data!AI121,Data!AK121,Data!AM121,Data!AO121,Data!AQ121,Data!AS121)</f>
        <v>0</v>
      </c>
      <c r="F120" s="11">
        <f>SUM(Data!DI121,Data!DK121,Data!DM121,Data!DO121,Data!DQ121,Data!DS121,Data!DU121,Data!DW121,Data!DY121,Data!EA121,Data!EC121,Data!EE121,Data!EG121,Data!EI121,Data!EK121,Data!EM121,Data!EO121,Data!EQ121,Data!ES121)</f>
        <v>6549.3391304347833</v>
      </c>
      <c r="G120" s="11">
        <f>F120-E120</f>
        <v>6549.3391304347833</v>
      </c>
      <c r="H120" s="13" t="str">
        <f>IF(E120=0,IF(F120&gt;0,"New",0),(F120-E120)/E120)</f>
        <v>New</v>
      </c>
      <c r="I120" s="12">
        <f>SUM(Data!J121,Data!L121,Data!N121,Data!P121,Data!R121,Data!T121,Data!V121,Data!X121,Data!Z121,Data!AB121,Data!AD121,Data!AF121,Data!AH121,Data!AJ121,Data!AL121,Data!AN121,Data!AP121,Data!AR121,Data!AT121)</f>
        <v>0</v>
      </c>
      <c r="J120" s="12">
        <f>SUM(Data!DJ121,Data!DL121,Data!DN121,Data!DP121,Data!DR121,Data!DT121,Data!DV121,Data!DX121,Data!DZ121,Data!EB121,Data!ED121,Data!EF121,Data!EH121,Data!EJ121,Data!EL121,Data!EN121,Data!EP121,Data!ER121,Data!ET121)</f>
        <v>56.618000000000009</v>
      </c>
      <c r="K120" s="12">
        <f>J120-I120</f>
        <v>56.618000000000009</v>
      </c>
      <c r="L120" s="13" t="str">
        <f>IF(I120=0,IF(J120&gt;0,"New",0),(J120-I120)/I120)</f>
        <v>New</v>
      </c>
      <c r="M120" t="str">
        <f>IF(F120=0,"No 2026 Sales",IF(E120=0,"New Product",IF(AND(ISNUMBER(H120),H120&gt;0.1),"↑ Strong Growth",IF(AND(ISNUMBER(H120),H120&gt;0),"↗ Growth",IF(AND(ISNUMBER(H120),H120&lt;-0.1),"↓ Strong Decline",IF(AND(ISNUMBER(H120),H120&lt;0),"↘ Decline","→ Stable"))))))</f>
        <v>New Product</v>
      </c>
    </row>
    <row r="121" spans="1:13" hidden="1" x14ac:dyDescent="0.35">
      <c r="A121">
        <f>Data!A122</f>
        <v>202</v>
      </c>
      <c r="B121" t="str">
        <f>Data!B122</f>
        <v>BEEF</v>
      </c>
      <c r="C121" s="9">
        <f>Data!C122</f>
        <v>63220</v>
      </c>
      <c r="D121" s="10" t="s">
        <v>902</v>
      </c>
      <c r="E121" s="11">
        <f>SUM(Data!I122,Data!K122,Data!M122,Data!O122,Data!Q122,Data!S122,Data!U122,Data!W122,Data!Y122,Data!AA122,Data!AC122,Data!AE122,Data!AG122,Data!AI122,Data!AK122,Data!AM122,Data!AO122,Data!AQ122,Data!AS122)</f>
        <v>0</v>
      </c>
      <c r="F121" s="11">
        <f>SUM(Data!DI122,Data!DK122,Data!DM122,Data!DO122,Data!DQ122,Data!DS122,Data!DU122,Data!DW122,Data!DY122,Data!EA122,Data!EC122,Data!EE122,Data!EG122,Data!EI122,Data!EK122,Data!EM122,Data!EO122,Data!EQ122,Data!ES122)</f>
        <v>0</v>
      </c>
      <c r="G121" s="11">
        <f>F121-E121</f>
        <v>0</v>
      </c>
      <c r="H121">
        <f>IF(E121=0,IF(F121&gt;0,"New",0),(F121-E121)/E121)</f>
        <v>0</v>
      </c>
      <c r="I121" s="12">
        <f>SUM(Data!J122,Data!L122,Data!N122,Data!P122,Data!R122,Data!T122,Data!V122,Data!X122,Data!Z122,Data!AB122,Data!AD122,Data!AF122,Data!AH122,Data!AJ122,Data!AL122,Data!AN122,Data!AP122,Data!AR122,Data!AT122)</f>
        <v>0</v>
      </c>
      <c r="J121" s="12">
        <f>SUM(Data!DJ122,Data!DL122,Data!DN122,Data!DP122,Data!DR122,Data!DT122,Data!DV122,Data!DX122,Data!DZ122,Data!EB122,Data!ED122,Data!EF122,Data!EH122,Data!EJ122,Data!EL122,Data!EN122,Data!EP122,Data!ER122,Data!ET122)</f>
        <v>0</v>
      </c>
      <c r="K121" s="12">
        <f>J121-I121</f>
        <v>0</v>
      </c>
      <c r="L121">
        <f>IF(I121=0,IF(J121&gt;0,"New",0),(J121-I121)/I121)</f>
        <v>0</v>
      </c>
      <c r="M121" t="str">
        <f>IF(F121=0,"No 2026 Sales",IF(E121=0,"New Product",IF(AND(ISNUMBER(H121),H121&gt;0.1),"↑ Strong Growth",IF(AND(ISNUMBER(H121),H121&gt;0),"↗ Growth",IF(AND(ISNUMBER(H121),H121&lt;-0.1),"↓ Strong Decline",IF(AND(ISNUMBER(H121),H121&lt;0),"↘ Decline","→ Stable"))))))</f>
        <v>No 2026 Sales</v>
      </c>
    </row>
    <row r="122" spans="1:13" x14ac:dyDescent="0.35">
      <c r="A122">
        <f>Data!A123</f>
        <v>202</v>
      </c>
      <c r="B122" t="str">
        <f>Data!B123</f>
        <v>BEEF</v>
      </c>
      <c r="C122" s="9">
        <f>Data!C123</f>
        <v>63473</v>
      </c>
      <c r="D122" s="10" t="s">
        <v>903</v>
      </c>
      <c r="E122" s="11">
        <f>SUM(Data!I123,Data!K123,Data!M123,Data!O123,Data!Q123,Data!S123,Data!U123,Data!W123,Data!Y123,Data!AA123,Data!AC123,Data!AE123,Data!AG123,Data!AI123,Data!AK123,Data!AM123,Data!AO123,Data!AQ123,Data!AS123)</f>
        <v>0</v>
      </c>
      <c r="F122" s="11">
        <f>SUM(Data!DI123,Data!DK123,Data!DM123,Data!DO123,Data!DQ123,Data!DS123,Data!DU123,Data!DW123,Data!DY123,Data!EA123,Data!EC123,Data!EE123,Data!EG123,Data!EI123,Data!EK123,Data!EM123,Data!EO123,Data!EQ123,Data!ES123)</f>
        <v>1413.8608695652169</v>
      </c>
      <c r="G122" s="11">
        <f>F122-E122</f>
        <v>1413.8608695652169</v>
      </c>
      <c r="H122" s="13" t="str">
        <f>IF(E122=0,IF(F122&gt;0,"New",0),(F122-E122)/E122)</f>
        <v>New</v>
      </c>
      <c r="I122" s="12">
        <f>SUM(Data!J123,Data!L123,Data!N123,Data!P123,Data!R123,Data!T123,Data!V123,Data!X123,Data!Z123,Data!AB123,Data!AD123,Data!AF123,Data!AH123,Data!AJ123,Data!AL123,Data!AN123,Data!AP123,Data!AR123,Data!AT123)</f>
        <v>0</v>
      </c>
      <c r="J122" s="12">
        <f>SUM(Data!DJ123,Data!DL123,Data!DN123,Data!DP123,Data!DR123,Data!DT123,Data!DV123,Data!DX123,Data!DZ123,Data!EB123,Data!ED123,Data!EF123,Data!EH123,Data!EJ123,Data!EL123,Data!EN123,Data!EP123,Data!ER123,Data!ET123)</f>
        <v>12.008000000000001</v>
      </c>
      <c r="K122" s="12">
        <f>J122-I122</f>
        <v>12.008000000000001</v>
      </c>
      <c r="L122" s="13" t="str">
        <f>IF(I122=0,IF(J122&gt;0,"New",0),(J122-I122)/I122)</f>
        <v>New</v>
      </c>
      <c r="M122" t="str">
        <f>IF(F122=0,"No 2026 Sales",IF(E122=0,"New Product",IF(AND(ISNUMBER(H122),H122&gt;0.1),"↑ Strong Growth",IF(AND(ISNUMBER(H122),H122&gt;0),"↗ Growth",IF(AND(ISNUMBER(H122),H122&lt;-0.1),"↓ Strong Decline",IF(AND(ISNUMBER(H122),H122&lt;0),"↘ Decline","→ Stable"))))))</f>
        <v>New Product</v>
      </c>
    </row>
    <row r="123" spans="1:13" x14ac:dyDescent="0.35">
      <c r="A123">
        <f>Data!A124</f>
        <v>202</v>
      </c>
      <c r="B123" t="str">
        <f>Data!B124</f>
        <v>BEEF</v>
      </c>
      <c r="C123" s="9">
        <f>Data!C124</f>
        <v>63480</v>
      </c>
      <c r="D123" s="10" t="s">
        <v>904</v>
      </c>
      <c r="E123" s="11">
        <f>SUM(Data!I124,Data!K124,Data!M124,Data!O124,Data!Q124,Data!S124,Data!U124,Data!W124,Data!Y124,Data!AA124,Data!AC124,Data!AE124,Data!AG124,Data!AI124,Data!AK124,Data!AM124,Data!AO124,Data!AQ124,Data!AS124)</f>
        <v>0</v>
      </c>
      <c r="F123" s="11">
        <f>SUM(Data!DI124,Data!DK124,Data!DM124,Data!DO124,Data!DQ124,Data!DS124,Data!DU124,Data!DW124,Data!DY124,Data!EA124,Data!EC124,Data!EE124,Data!EG124,Data!EI124,Data!EK124,Data!EM124,Data!EO124,Data!EQ124,Data!ES124)</f>
        <v>1035.4347826086955</v>
      </c>
      <c r="G123" s="11">
        <f>F123-E123</f>
        <v>1035.4347826086955</v>
      </c>
      <c r="H123" s="13" t="str">
        <f>IF(E123=0,IF(F123&gt;0,"New",0),(F123-E123)/E123)</f>
        <v>New</v>
      </c>
      <c r="I123" s="12">
        <f>SUM(Data!J124,Data!L124,Data!N124,Data!P124,Data!R124,Data!T124,Data!V124,Data!X124,Data!Z124,Data!AB124,Data!AD124,Data!AF124,Data!AH124,Data!AJ124,Data!AL124,Data!AN124,Data!AP124,Data!AR124,Data!AT124)</f>
        <v>0</v>
      </c>
      <c r="J123" s="12">
        <f>SUM(Data!DJ124,Data!DL124,Data!DN124,Data!DP124,Data!DR124,Data!DT124,Data!DV124,Data!DX124,Data!DZ124,Data!EB124,Data!ED124,Data!EF124,Data!EH124,Data!EJ124,Data!EL124,Data!EN124,Data!EP124,Data!ER124,Data!ET124)</f>
        <v>5.9539999999999997</v>
      </c>
      <c r="K123" s="12">
        <f>J123-I123</f>
        <v>5.9539999999999997</v>
      </c>
      <c r="L123" s="13" t="str">
        <f>IF(I123=0,IF(J123&gt;0,"New",0),(J123-I123)/I123)</f>
        <v>New</v>
      </c>
      <c r="M123" t="str">
        <f>IF(F123=0,"No 2026 Sales",IF(E123=0,"New Product",IF(AND(ISNUMBER(H123),H123&gt;0.1),"↑ Strong Growth",IF(AND(ISNUMBER(H123),H123&gt;0),"↗ Growth",IF(AND(ISNUMBER(H123),H123&lt;-0.1),"↓ Strong Decline",IF(AND(ISNUMBER(H123),H123&lt;0),"↘ Decline","→ Stable"))))))</f>
        <v>New Product</v>
      </c>
    </row>
    <row r="124" spans="1:13" x14ac:dyDescent="0.35">
      <c r="A124">
        <f>Data!A125</f>
        <v>202</v>
      </c>
      <c r="B124" t="str">
        <f>Data!B125</f>
        <v>BEEF</v>
      </c>
      <c r="C124" s="9">
        <f>Data!C125</f>
        <v>63482</v>
      </c>
      <c r="D124" s="10" t="s">
        <v>905</v>
      </c>
      <c r="E124" s="11">
        <f>SUM(Data!I125,Data!K125,Data!M125,Data!O125,Data!Q125,Data!S125,Data!U125,Data!W125,Data!Y125,Data!AA125,Data!AC125,Data!AE125,Data!AG125,Data!AI125,Data!AK125,Data!AM125,Data!AO125,Data!AQ125,Data!AS125)</f>
        <v>0</v>
      </c>
      <c r="F124" s="11">
        <f>SUM(Data!DI125,Data!DK125,Data!DM125,Data!DO125,Data!DQ125,Data!DS125,Data!DU125,Data!DW125,Data!DY125,Data!EA125,Data!EC125,Data!EE125,Data!EG125,Data!EI125,Data!EK125,Data!EM125,Data!EO125,Data!EQ125,Data!ES125)</f>
        <v>20725.008695652159</v>
      </c>
      <c r="G124" s="11">
        <f>F124-E124</f>
        <v>20725.008695652159</v>
      </c>
      <c r="H124" s="13" t="str">
        <f>IF(E124=0,IF(F124&gt;0,"New",0),(F124-E124)/E124)</f>
        <v>New</v>
      </c>
      <c r="I124" s="12">
        <f>SUM(Data!J125,Data!L125,Data!N125,Data!P125,Data!R125,Data!T125,Data!V125,Data!X125,Data!Z125,Data!AB125,Data!AD125,Data!AF125,Data!AH125,Data!AJ125,Data!AL125,Data!AN125,Data!AP125,Data!AR125,Data!AT125)</f>
        <v>0</v>
      </c>
      <c r="J124" s="12">
        <f>SUM(Data!DJ125,Data!DL125,Data!DN125,Data!DP125,Data!DR125,Data!DT125,Data!DV125,Data!DX125,Data!DZ125,Data!EB125,Data!ED125,Data!EF125,Data!EH125,Data!EJ125,Data!EL125,Data!EN125,Data!EP125,Data!ER125,Data!ET125)</f>
        <v>168.36600000000001</v>
      </c>
      <c r="K124" s="12">
        <f>J124-I124</f>
        <v>168.36600000000001</v>
      </c>
      <c r="L124" s="13" t="str">
        <f>IF(I124=0,IF(J124&gt;0,"New",0),(J124-I124)/I124)</f>
        <v>New</v>
      </c>
      <c r="M124" t="str">
        <f>IF(F124=0,"No 2026 Sales",IF(E124=0,"New Product",IF(AND(ISNUMBER(H124),H124&gt;0.1),"↑ Strong Growth",IF(AND(ISNUMBER(H124),H124&gt;0),"↗ Growth",IF(AND(ISNUMBER(H124),H124&lt;-0.1),"↓ Strong Decline",IF(AND(ISNUMBER(H124),H124&lt;0),"↘ Decline","→ Stable"))))))</f>
        <v>New Product</v>
      </c>
    </row>
    <row r="125" spans="1:13" hidden="1" x14ac:dyDescent="0.35">
      <c r="A125">
        <f>Data!A126</f>
        <v>202</v>
      </c>
      <c r="B125" t="str">
        <f>Data!B126</f>
        <v>BEEF</v>
      </c>
      <c r="C125" s="9">
        <f>Data!C126</f>
        <v>63484</v>
      </c>
      <c r="D125" s="10" t="s">
        <v>906</v>
      </c>
      <c r="E125" s="11">
        <f>SUM(Data!I126,Data!K126,Data!M126,Data!O126,Data!Q126,Data!S126,Data!U126,Data!W126,Data!Y126,Data!AA126,Data!AC126,Data!AE126,Data!AG126,Data!AI126,Data!AK126,Data!AM126,Data!AO126,Data!AQ126,Data!AS126)</f>
        <v>0</v>
      </c>
      <c r="F125" s="11">
        <f>SUM(Data!DI126,Data!DK126,Data!DM126,Data!DO126,Data!DQ126,Data!DS126,Data!DU126,Data!DW126,Data!DY126,Data!EA126,Data!EC126,Data!EE126,Data!EG126,Data!EI126,Data!EK126,Data!EM126,Data!EO126,Data!EQ126,Data!ES126)</f>
        <v>0</v>
      </c>
      <c r="G125" s="11">
        <f>F125-E125</f>
        <v>0</v>
      </c>
      <c r="H125">
        <f>IF(E125=0,IF(F125&gt;0,"New",0),(F125-E125)/E125)</f>
        <v>0</v>
      </c>
      <c r="I125" s="12">
        <f>SUM(Data!J126,Data!L126,Data!N126,Data!P126,Data!R126,Data!T126,Data!V126,Data!X126,Data!Z126,Data!AB126,Data!AD126,Data!AF126,Data!AH126,Data!AJ126,Data!AL126,Data!AN126,Data!AP126,Data!AR126,Data!AT126)</f>
        <v>0</v>
      </c>
      <c r="J125" s="12">
        <f>SUM(Data!DJ126,Data!DL126,Data!DN126,Data!DP126,Data!DR126,Data!DT126,Data!DV126,Data!DX126,Data!DZ126,Data!EB126,Data!ED126,Data!EF126,Data!EH126,Data!EJ126,Data!EL126,Data!EN126,Data!EP126,Data!ER126,Data!ET126)</f>
        <v>0</v>
      </c>
      <c r="K125" s="12">
        <f>J125-I125</f>
        <v>0</v>
      </c>
      <c r="L125">
        <f>IF(I125=0,IF(J125&gt;0,"New",0),(J125-I125)/I125)</f>
        <v>0</v>
      </c>
      <c r="M125" t="str">
        <f>IF(F125=0,"No 2026 Sales",IF(E125=0,"New Product",IF(AND(ISNUMBER(H125),H125&gt;0.1),"↑ Strong Growth",IF(AND(ISNUMBER(H125),H125&gt;0),"↗ Growth",IF(AND(ISNUMBER(H125),H125&lt;-0.1),"↓ Strong Decline",IF(AND(ISNUMBER(H125),H125&lt;0),"↘ Decline","→ Stable"))))))</f>
        <v>No 2026 Sales</v>
      </c>
    </row>
    <row r="126" spans="1:13" x14ac:dyDescent="0.35">
      <c r="A126">
        <f>Data!A127</f>
        <v>202</v>
      </c>
      <c r="B126" t="str">
        <f>Data!B127</f>
        <v>BEEF</v>
      </c>
      <c r="C126" s="9">
        <f>Data!C127</f>
        <v>63499</v>
      </c>
      <c r="D126" s="10" t="s">
        <v>907</v>
      </c>
      <c r="E126" s="11">
        <f>SUM(Data!I127,Data!K127,Data!M127,Data!O127,Data!Q127,Data!S127,Data!U127,Data!W127,Data!Y127,Data!AA127,Data!AC127,Data!AE127,Data!AG127,Data!AI127,Data!AK127,Data!AM127,Data!AO127,Data!AQ127,Data!AS127)</f>
        <v>0</v>
      </c>
      <c r="F126" s="11">
        <f>SUM(Data!DI127,Data!DK127,Data!DM127,Data!DO127,Data!DQ127,Data!DS127,Data!DU127,Data!DW127,Data!DY127,Data!EA127,Data!EC127,Data!EE127,Data!EG127,Data!EI127,Data!EK127,Data!EM127,Data!EO127,Data!EQ127,Data!ES127)</f>
        <v>1835.3826086956528</v>
      </c>
      <c r="G126" s="11">
        <f>F126-E126</f>
        <v>1835.3826086956528</v>
      </c>
      <c r="H126" s="13" t="str">
        <f>IF(E126=0,IF(F126&gt;0,"New",0),(F126-E126)/E126)</f>
        <v>New</v>
      </c>
      <c r="I126" s="12">
        <f>SUM(Data!J127,Data!L127,Data!N127,Data!P127,Data!R127,Data!T127,Data!V127,Data!X127,Data!Z127,Data!AB127,Data!AD127,Data!AF127,Data!AH127,Data!AJ127,Data!AL127,Data!AN127,Data!AP127,Data!AR127,Data!AT127)</f>
        <v>0</v>
      </c>
      <c r="J126" s="12">
        <f>SUM(Data!DJ127,Data!DL127,Data!DN127,Data!DP127,Data!DR127,Data!DT127,Data!DV127,Data!DX127,Data!DZ127,Data!EB127,Data!ED127,Data!EF127,Data!EH127,Data!EJ127,Data!EL127,Data!EN127,Data!EP127,Data!ER127,Data!ET127)</f>
        <v>15.298999999999998</v>
      </c>
      <c r="K126" s="12">
        <f>J126-I126</f>
        <v>15.298999999999998</v>
      </c>
      <c r="L126" s="13" t="str">
        <f>IF(I126=0,IF(J126&gt;0,"New",0),(J126-I126)/I126)</f>
        <v>New</v>
      </c>
      <c r="M126" t="str">
        <f>IF(F126=0,"No 2026 Sales",IF(E126=0,"New Product",IF(AND(ISNUMBER(H126),H126&gt;0.1),"↑ Strong Growth",IF(AND(ISNUMBER(H126),H126&gt;0),"↗ Growth",IF(AND(ISNUMBER(H126),H126&lt;-0.1),"↓ Strong Decline",IF(AND(ISNUMBER(H126),H126&lt;0),"↘ Decline","→ Stable"))))))</f>
        <v>New Product</v>
      </c>
    </row>
    <row r="127" spans="1:13" hidden="1" x14ac:dyDescent="0.35">
      <c r="A127">
        <f>Data!A128</f>
        <v>202</v>
      </c>
      <c r="B127" t="str">
        <f>Data!B128</f>
        <v>BEEF</v>
      </c>
      <c r="C127" s="9">
        <f>Data!C128</f>
        <v>63524</v>
      </c>
      <c r="D127" s="10" t="s">
        <v>908</v>
      </c>
      <c r="E127" s="11">
        <f>SUM(Data!I128,Data!K128,Data!M128,Data!O128,Data!Q128,Data!S128,Data!U128,Data!W128,Data!Y128,Data!AA128,Data!AC128,Data!AE128,Data!AG128,Data!AI128,Data!AK128,Data!AM128,Data!AO128,Data!AQ128,Data!AS128)</f>
        <v>0</v>
      </c>
      <c r="F127" s="11">
        <f>SUM(Data!DI128,Data!DK128,Data!DM128,Data!DO128,Data!DQ128,Data!DS128,Data!DU128,Data!DW128,Data!DY128,Data!EA128,Data!EC128,Data!EE128,Data!EG128,Data!EI128,Data!EK128,Data!EM128,Data!EO128,Data!EQ128,Data!ES128)</f>
        <v>0</v>
      </c>
      <c r="G127" s="11">
        <f>F127-E127</f>
        <v>0</v>
      </c>
      <c r="H127">
        <f>IF(E127=0,IF(F127&gt;0,"New",0),(F127-E127)/E127)</f>
        <v>0</v>
      </c>
      <c r="I127" s="12">
        <f>SUM(Data!J128,Data!L128,Data!N128,Data!P128,Data!R128,Data!T128,Data!V128,Data!X128,Data!Z128,Data!AB128,Data!AD128,Data!AF128,Data!AH128,Data!AJ128,Data!AL128,Data!AN128,Data!AP128,Data!AR128,Data!AT128)</f>
        <v>0</v>
      </c>
      <c r="J127" s="12">
        <f>SUM(Data!DJ128,Data!DL128,Data!DN128,Data!DP128,Data!DR128,Data!DT128,Data!DV128,Data!DX128,Data!DZ128,Data!EB128,Data!ED128,Data!EF128,Data!EH128,Data!EJ128,Data!EL128,Data!EN128,Data!EP128,Data!ER128,Data!ET128)</f>
        <v>0</v>
      </c>
      <c r="K127" s="12">
        <f>J127-I127</f>
        <v>0</v>
      </c>
      <c r="L127">
        <f>IF(I127=0,IF(J127&gt;0,"New",0),(J127-I127)/I127)</f>
        <v>0</v>
      </c>
      <c r="M127" t="str">
        <f>IF(F127=0,"No 2026 Sales",IF(E127=0,"New Product",IF(AND(ISNUMBER(H127),H127&gt;0.1),"↑ Strong Growth",IF(AND(ISNUMBER(H127),H127&gt;0),"↗ Growth",IF(AND(ISNUMBER(H127),H127&lt;-0.1),"↓ Strong Decline",IF(AND(ISNUMBER(H127),H127&lt;0),"↘ Decline","→ Stable"))))))</f>
        <v>No 2026 Sales</v>
      </c>
    </row>
    <row r="128" spans="1:13" x14ac:dyDescent="0.35">
      <c r="A128">
        <f>Data!A129</f>
        <v>202</v>
      </c>
      <c r="B128" t="str">
        <f>Data!B129</f>
        <v>BEEF</v>
      </c>
      <c r="C128" s="9">
        <f>Data!C129</f>
        <v>63526</v>
      </c>
      <c r="D128" s="10" t="s">
        <v>909</v>
      </c>
      <c r="E128" s="11">
        <f>SUM(Data!I129,Data!K129,Data!M129,Data!O129,Data!Q129,Data!S129,Data!U129,Data!W129,Data!Y129,Data!AA129,Data!AC129,Data!AE129,Data!AG129,Data!AI129,Data!AK129,Data!AM129,Data!AO129,Data!AQ129,Data!AS129)</f>
        <v>0</v>
      </c>
      <c r="F128" s="11">
        <f>SUM(Data!DI129,Data!DK129,Data!DM129,Data!DO129,Data!DQ129,Data!DS129,Data!DU129,Data!DW129,Data!DY129,Data!EA129,Data!EC129,Data!EE129,Data!EG129,Data!EI129,Data!EK129,Data!EM129,Data!EO129,Data!EQ129,Data!ES129)</f>
        <v>30369.817391304332</v>
      </c>
      <c r="G128" s="11">
        <f>F128-E128</f>
        <v>30369.817391304332</v>
      </c>
      <c r="H128" s="13" t="str">
        <f>IF(E128=0,IF(F128&gt;0,"New",0),(F128-E128)/E128)</f>
        <v>New</v>
      </c>
      <c r="I128" s="12">
        <f>SUM(Data!J129,Data!L129,Data!N129,Data!P129,Data!R129,Data!T129,Data!V129,Data!X129,Data!Z129,Data!AB129,Data!AD129,Data!AF129,Data!AH129,Data!AJ129,Data!AL129,Data!AN129,Data!AP129,Data!AR129,Data!AT129)</f>
        <v>0</v>
      </c>
      <c r="J128" s="12">
        <f>SUM(Data!DJ129,Data!DL129,Data!DN129,Data!DP129,Data!DR129,Data!DT129,Data!DV129,Data!DX129,Data!DZ129,Data!EB129,Data!ED129,Data!EF129,Data!EH129,Data!EJ129,Data!EL129,Data!EN129,Data!EP129,Data!ER129,Data!ET129)</f>
        <v>361.90599999999995</v>
      </c>
      <c r="K128" s="12">
        <f>J128-I128</f>
        <v>361.90599999999995</v>
      </c>
      <c r="L128" s="13" t="str">
        <f>IF(I128=0,IF(J128&gt;0,"New",0),(J128-I128)/I128)</f>
        <v>New</v>
      </c>
      <c r="M128" t="str">
        <f>IF(F128=0,"No 2026 Sales",IF(E128=0,"New Product",IF(AND(ISNUMBER(H128),H128&gt;0.1),"↑ Strong Growth",IF(AND(ISNUMBER(H128),H128&gt;0),"↗ Growth",IF(AND(ISNUMBER(H128),H128&lt;-0.1),"↓ Strong Decline",IF(AND(ISNUMBER(H128),H128&lt;0),"↘ Decline","→ Stable"))))))</f>
        <v>New Product</v>
      </c>
    </row>
    <row r="129" spans="1:13" x14ac:dyDescent="0.35">
      <c r="A129">
        <f>Data!A130</f>
        <v>202</v>
      </c>
      <c r="B129" t="str">
        <f>Data!B130</f>
        <v>BEEF</v>
      </c>
      <c r="C129" s="9">
        <f>Data!C130</f>
        <v>63839</v>
      </c>
      <c r="D129" s="10" t="s">
        <v>910</v>
      </c>
      <c r="E129" s="11">
        <f>SUM(Data!I130,Data!K130,Data!M130,Data!O130,Data!Q130,Data!S130,Data!U130,Data!W130,Data!Y130,Data!AA130,Data!AC130,Data!AE130,Data!AG130,Data!AI130,Data!AK130,Data!AM130,Data!AO130,Data!AQ130,Data!AS130)</f>
        <v>0</v>
      </c>
      <c r="F129" s="11">
        <f>SUM(Data!DI130,Data!DK130,Data!DM130,Data!DO130,Data!DQ130,Data!DS130,Data!DU130,Data!DW130,Data!DY130,Data!EA130,Data!EC130,Data!EE130,Data!EG130,Data!EI130,Data!EK130,Data!EM130,Data!EO130,Data!EQ130,Data!ES130)</f>
        <v>1565.4608695652169</v>
      </c>
      <c r="G129" s="11">
        <f>F129-E129</f>
        <v>1565.4608695652169</v>
      </c>
      <c r="H129" s="13" t="str">
        <f>IF(E129=0,IF(F129&gt;0,"New",0),(F129-E129)/E129)</f>
        <v>New</v>
      </c>
      <c r="I129" s="12">
        <f>SUM(Data!J130,Data!L130,Data!N130,Data!P130,Data!R130,Data!T130,Data!V130,Data!X130,Data!Z130,Data!AB130,Data!AD130,Data!AF130,Data!AH130,Data!AJ130,Data!AL130,Data!AN130,Data!AP130,Data!AR130,Data!AT130)</f>
        <v>0</v>
      </c>
      <c r="J129" s="12">
        <f>SUM(Data!DJ130,Data!DL130,Data!DN130,Data!DP130,Data!DR130,Data!DT130,Data!DV130,Data!DX130,Data!DZ130,Data!EB130,Data!ED130,Data!EF130,Data!EH130,Data!EJ130,Data!EL130,Data!EN130,Data!EP130,Data!ER130,Data!ET130)</f>
        <v>10.002000000000001</v>
      </c>
      <c r="K129" s="12">
        <f>J129-I129</f>
        <v>10.002000000000001</v>
      </c>
      <c r="L129" s="13" t="str">
        <f>IF(I129=0,IF(J129&gt;0,"New",0),(J129-I129)/I129)</f>
        <v>New</v>
      </c>
      <c r="M129" t="str">
        <f>IF(F129=0,"No 2026 Sales",IF(E129=0,"New Product",IF(AND(ISNUMBER(H129),H129&gt;0.1),"↑ Strong Growth",IF(AND(ISNUMBER(H129),H129&gt;0),"↗ Growth",IF(AND(ISNUMBER(H129),H129&lt;-0.1),"↓ Strong Decline",IF(AND(ISNUMBER(H129),H129&lt;0),"↘ Decline","→ Stable"))))))</f>
        <v>New Product</v>
      </c>
    </row>
    <row r="130" spans="1:13" x14ac:dyDescent="0.35">
      <c r="A130">
        <f>Data!A131</f>
        <v>202</v>
      </c>
      <c r="B130" t="str">
        <f>Data!B131</f>
        <v>BEEF</v>
      </c>
      <c r="C130" s="9">
        <f>Data!C131</f>
        <v>63840</v>
      </c>
      <c r="D130" s="10" t="s">
        <v>911</v>
      </c>
      <c r="E130" s="11">
        <f>SUM(Data!I131,Data!K131,Data!M131,Data!O131,Data!Q131,Data!S131,Data!U131,Data!W131,Data!Y131,Data!AA131,Data!AC131,Data!AE131,Data!AG131,Data!AI131,Data!AK131,Data!AM131,Data!AO131,Data!AQ131,Data!AS131)</f>
        <v>0</v>
      </c>
      <c r="F130" s="11">
        <f>SUM(Data!DI131,Data!DK131,Data!DM131,Data!DO131,Data!DQ131,Data!DS131,Data!DU131,Data!DW131,Data!DY131,Data!EA131,Data!EC131,Data!EE131,Data!EG131,Data!EI131,Data!EK131,Data!EM131,Data!EO131,Data!EQ131,Data!ES131)</f>
        <v>55.956521739130402</v>
      </c>
      <c r="G130" s="11">
        <f>F130-E130</f>
        <v>55.956521739130402</v>
      </c>
      <c r="H130" s="13" t="str">
        <f>IF(E130=0,IF(F130&gt;0,"New",0),(F130-E130)/E130)</f>
        <v>New</v>
      </c>
      <c r="I130" s="12">
        <f>SUM(Data!J131,Data!L131,Data!N131,Data!P131,Data!R131,Data!T131,Data!V131,Data!X131,Data!Z131,Data!AB131,Data!AD131,Data!AF131,Data!AH131,Data!AJ131,Data!AL131,Data!AN131,Data!AP131,Data!AR131,Data!AT131)</f>
        <v>0</v>
      </c>
      <c r="J130" s="12">
        <f>SUM(Data!DJ131,Data!DL131,Data!DN131,Data!DP131,Data!DR131,Data!DT131,Data!DV131,Data!DX131,Data!DZ131,Data!EB131,Data!ED131,Data!EF131,Data!EH131,Data!EJ131,Data!EL131,Data!EN131,Data!EP131,Data!ER131,Data!ET131)</f>
        <v>0.34599999999999997</v>
      </c>
      <c r="K130" s="12">
        <f>J130-I130</f>
        <v>0.34599999999999997</v>
      </c>
      <c r="L130" s="13" t="str">
        <f>IF(I130=0,IF(J130&gt;0,"New",0),(J130-I130)/I130)</f>
        <v>New</v>
      </c>
      <c r="M130" t="str">
        <f>IF(F130=0,"No 2026 Sales",IF(E130=0,"New Product",IF(AND(ISNUMBER(H130),H130&gt;0.1),"↑ Strong Growth",IF(AND(ISNUMBER(H130),H130&gt;0),"↗ Growth",IF(AND(ISNUMBER(H130),H130&lt;-0.1),"↓ Strong Decline",IF(AND(ISNUMBER(H130),H130&lt;0),"↘ Decline","→ Stable"))))))</f>
        <v>New Product</v>
      </c>
    </row>
    <row r="131" spans="1:13" x14ac:dyDescent="0.35">
      <c r="A131">
        <f>Data!A132</f>
        <v>202</v>
      </c>
      <c r="B131" t="str">
        <f>Data!B132</f>
        <v>BEEF</v>
      </c>
      <c r="C131" s="9">
        <f>Data!C132</f>
        <v>64935</v>
      </c>
      <c r="D131" s="10" t="s">
        <v>912</v>
      </c>
      <c r="E131" s="11">
        <f>SUM(Data!I132,Data!K132,Data!M132,Data!O132,Data!Q132,Data!S132,Data!U132,Data!W132,Data!Y132,Data!AA132,Data!AC132,Data!AE132,Data!AG132,Data!AI132,Data!AK132,Data!AM132,Data!AO132,Data!AQ132,Data!AS132)</f>
        <v>0</v>
      </c>
      <c r="F131" s="11">
        <f>SUM(Data!DI132,Data!DK132,Data!DM132,Data!DO132,Data!DQ132,Data!DS132,Data!DU132,Data!DW132,Data!DY132,Data!EA132,Data!EC132,Data!EE132,Data!EG132,Data!EI132,Data!EK132,Data!EM132,Data!EO132,Data!EQ132,Data!ES132)</f>
        <v>751.304347826087</v>
      </c>
      <c r="G131" s="11">
        <f>F131-E131</f>
        <v>751.304347826087</v>
      </c>
      <c r="H131" s="13" t="str">
        <f>IF(E131=0,IF(F131&gt;0,"New",0),(F131-E131)/E131)</f>
        <v>New</v>
      </c>
      <c r="I131" s="12">
        <f>SUM(Data!J132,Data!L132,Data!N132,Data!P132,Data!R132,Data!T132,Data!V132,Data!X132,Data!Z132,Data!AB132,Data!AD132,Data!AF132,Data!AH132,Data!AJ132,Data!AL132,Data!AN132,Data!AP132,Data!AR132,Data!AT132)</f>
        <v>0</v>
      </c>
      <c r="J131" s="12">
        <f>SUM(Data!DJ132,Data!DL132,Data!DN132,Data!DP132,Data!DR132,Data!DT132,Data!DV132,Data!DX132,Data!DZ132,Data!EB132,Data!ED132,Data!EF132,Data!EH132,Data!EJ132,Data!EL132,Data!EN132,Data!EP132,Data!ER132,Data!ET132)</f>
        <v>2.4690000000000003</v>
      </c>
      <c r="K131" s="12">
        <f>J131-I131</f>
        <v>2.4690000000000003</v>
      </c>
      <c r="L131" s="13" t="str">
        <f>IF(I131=0,IF(J131&gt;0,"New",0),(J131-I131)/I131)</f>
        <v>New</v>
      </c>
      <c r="M131" t="str">
        <f>IF(F131=0,"No 2026 Sales",IF(E131=0,"New Product",IF(AND(ISNUMBER(H131),H131&gt;0.1),"↑ Strong Growth",IF(AND(ISNUMBER(H131),H131&gt;0),"↗ Growth",IF(AND(ISNUMBER(H131),H131&lt;-0.1),"↓ Strong Decline",IF(AND(ISNUMBER(H131),H131&lt;0),"↘ Decline","→ Stable"))))))</f>
        <v>New Product</v>
      </c>
    </row>
    <row r="132" spans="1:13" x14ac:dyDescent="0.35">
      <c r="A132">
        <f>Data!A133</f>
        <v>202</v>
      </c>
      <c r="B132" t="str">
        <f>Data!B133</f>
        <v>BEEF</v>
      </c>
      <c r="C132" s="9">
        <f>Data!C133</f>
        <v>64936</v>
      </c>
      <c r="D132" s="10" t="s">
        <v>913</v>
      </c>
      <c r="E132" s="11">
        <f>SUM(Data!I133,Data!K133,Data!M133,Data!O133,Data!Q133,Data!S133,Data!U133,Data!W133,Data!Y133,Data!AA133,Data!AC133,Data!AE133,Data!AG133,Data!AI133,Data!AK133,Data!AM133,Data!AO133,Data!AQ133,Data!AS133)</f>
        <v>0</v>
      </c>
      <c r="F132" s="11">
        <f>SUM(Data!DI133,Data!DK133,Data!DM133,Data!DO133,Data!DQ133,Data!DS133,Data!DU133,Data!DW133,Data!DY133,Data!EA133,Data!EC133,Data!EE133,Data!EG133,Data!EI133,Data!EK133,Data!EM133,Data!EO133,Data!EQ133,Data!ES133)</f>
        <v>8241.9652173913018</v>
      </c>
      <c r="G132" s="11">
        <f>F132-E132</f>
        <v>8241.9652173913018</v>
      </c>
      <c r="H132" s="13" t="str">
        <f>IF(E132=0,IF(F132&gt;0,"New",0),(F132-E132)/E132)</f>
        <v>New</v>
      </c>
      <c r="I132" s="12">
        <f>SUM(Data!J133,Data!L133,Data!N133,Data!P133,Data!R133,Data!T133,Data!V133,Data!X133,Data!Z133,Data!AB133,Data!AD133,Data!AF133,Data!AH133,Data!AJ133,Data!AL133,Data!AN133,Data!AP133,Data!AR133,Data!AT133)</f>
        <v>0</v>
      </c>
      <c r="J132" s="12">
        <f>SUM(Data!DJ133,Data!DL133,Data!DN133,Data!DP133,Data!DR133,Data!DT133,Data!DV133,Data!DX133,Data!DZ133,Data!EB133,Data!ED133,Data!EF133,Data!EH133,Data!EJ133,Data!EL133,Data!EN133,Data!EP133,Data!ER133,Data!ET133)</f>
        <v>26.425000000000001</v>
      </c>
      <c r="K132" s="12">
        <f>J132-I132</f>
        <v>26.425000000000001</v>
      </c>
      <c r="L132" s="13" t="str">
        <f>IF(I132=0,IF(J132&gt;0,"New",0),(J132-I132)/I132)</f>
        <v>New</v>
      </c>
      <c r="M132" t="str">
        <f>IF(F132=0,"No 2026 Sales",IF(E132=0,"New Product",IF(AND(ISNUMBER(H132),H132&gt;0.1),"↑ Strong Growth",IF(AND(ISNUMBER(H132),H132&gt;0),"↗ Growth",IF(AND(ISNUMBER(H132),H132&lt;-0.1),"↓ Strong Decline",IF(AND(ISNUMBER(H132),H132&lt;0),"↘ Decline","→ Stable"))))))</f>
        <v>New Product</v>
      </c>
    </row>
    <row r="133" spans="1:13" hidden="1" x14ac:dyDescent="0.35">
      <c r="A133">
        <f>Data!A134</f>
        <v>202</v>
      </c>
      <c r="B133" t="str">
        <f>Data!B134</f>
        <v>BEEF</v>
      </c>
      <c r="C133" s="9">
        <f>Data!C134</f>
        <v>65487</v>
      </c>
      <c r="D133" s="10" t="s">
        <v>914</v>
      </c>
      <c r="E133" s="11">
        <f>SUM(Data!I134,Data!K134,Data!M134,Data!O134,Data!Q134,Data!S134,Data!U134,Data!W134,Data!Y134,Data!AA134,Data!AC134,Data!AE134,Data!AG134,Data!AI134,Data!AK134,Data!AM134,Data!AO134,Data!AQ134,Data!AS134)</f>
        <v>0</v>
      </c>
      <c r="F133" s="11">
        <f>SUM(Data!DI134,Data!DK134,Data!DM134,Data!DO134,Data!DQ134,Data!DS134,Data!DU134,Data!DW134,Data!DY134,Data!EA134,Data!EC134,Data!EE134,Data!EG134,Data!EI134,Data!EK134,Data!EM134,Data!EO134,Data!EQ134,Data!ES134)</f>
        <v>0</v>
      </c>
      <c r="G133" s="11">
        <f>F133-E133</f>
        <v>0</v>
      </c>
      <c r="H133">
        <f>IF(E133=0,IF(F133&gt;0,"New",0),(F133-E133)/E133)</f>
        <v>0</v>
      </c>
      <c r="I133" s="12">
        <f>SUM(Data!J134,Data!L134,Data!N134,Data!P134,Data!R134,Data!T134,Data!V134,Data!X134,Data!Z134,Data!AB134,Data!AD134,Data!AF134,Data!AH134,Data!AJ134,Data!AL134,Data!AN134,Data!AP134,Data!AR134,Data!AT134)</f>
        <v>0</v>
      </c>
      <c r="J133" s="12">
        <f>SUM(Data!DJ134,Data!DL134,Data!DN134,Data!DP134,Data!DR134,Data!DT134,Data!DV134,Data!DX134,Data!DZ134,Data!EB134,Data!ED134,Data!EF134,Data!EH134,Data!EJ134,Data!EL134,Data!EN134,Data!EP134,Data!ER134,Data!ET134)</f>
        <v>0</v>
      </c>
      <c r="K133" s="12">
        <f>J133-I133</f>
        <v>0</v>
      </c>
      <c r="L133">
        <f>IF(I133=0,IF(J133&gt;0,"New",0),(J133-I133)/I133)</f>
        <v>0</v>
      </c>
      <c r="M133" t="str">
        <f>IF(F133=0,"No 2026 Sales",IF(E133=0,"New Product",IF(AND(ISNUMBER(H133),H133&gt;0.1),"↑ Strong Growth",IF(AND(ISNUMBER(H133),H133&gt;0),"↗ Growth",IF(AND(ISNUMBER(H133),H133&lt;-0.1),"↓ Strong Decline",IF(AND(ISNUMBER(H133),H133&lt;0),"↘ Decline","→ Stable"))))))</f>
        <v>No 2026 Sales</v>
      </c>
    </row>
    <row r="134" spans="1:13" hidden="1" x14ac:dyDescent="0.35">
      <c r="A134">
        <f>Data!A135</f>
        <v>202</v>
      </c>
      <c r="B134" t="str">
        <f>Data!B135</f>
        <v>BEEF</v>
      </c>
      <c r="C134" s="9">
        <f>Data!C135</f>
        <v>65673</v>
      </c>
      <c r="D134" s="10" t="s">
        <v>915</v>
      </c>
      <c r="E134" s="11">
        <f>SUM(Data!I135,Data!K135,Data!M135,Data!O135,Data!Q135,Data!S135,Data!U135,Data!W135,Data!Y135,Data!AA135,Data!AC135,Data!AE135,Data!AG135,Data!AI135,Data!AK135,Data!AM135,Data!AO135,Data!AQ135,Data!AS135)</f>
        <v>0</v>
      </c>
      <c r="F134" s="11">
        <f>SUM(Data!DI135,Data!DK135,Data!DM135,Data!DO135,Data!DQ135,Data!DS135,Data!DU135,Data!DW135,Data!DY135,Data!EA135,Data!EC135,Data!EE135,Data!EG135,Data!EI135,Data!EK135,Data!EM135,Data!EO135,Data!EQ135,Data!ES135)</f>
        <v>0</v>
      </c>
      <c r="G134" s="11">
        <f>F134-E134</f>
        <v>0</v>
      </c>
      <c r="H134">
        <f>IF(E134=0,IF(F134&gt;0,"New",0),(F134-E134)/E134)</f>
        <v>0</v>
      </c>
      <c r="I134" s="12">
        <f>SUM(Data!J135,Data!L135,Data!N135,Data!P135,Data!R135,Data!T135,Data!V135,Data!X135,Data!Z135,Data!AB135,Data!AD135,Data!AF135,Data!AH135,Data!AJ135,Data!AL135,Data!AN135,Data!AP135,Data!AR135,Data!AT135)</f>
        <v>0</v>
      </c>
      <c r="J134" s="12">
        <f>SUM(Data!DJ135,Data!DL135,Data!DN135,Data!DP135,Data!DR135,Data!DT135,Data!DV135,Data!DX135,Data!DZ135,Data!EB135,Data!ED135,Data!EF135,Data!EH135,Data!EJ135,Data!EL135,Data!EN135,Data!EP135,Data!ER135,Data!ET135)</f>
        <v>0</v>
      </c>
      <c r="K134" s="12">
        <f>J134-I134</f>
        <v>0</v>
      </c>
      <c r="L134">
        <f>IF(I134=0,IF(J134&gt;0,"New",0),(J134-I134)/I134)</f>
        <v>0</v>
      </c>
      <c r="M134" t="str">
        <f>IF(F134=0,"No 2026 Sales",IF(E134=0,"New Product",IF(AND(ISNUMBER(H134),H134&gt;0.1),"↑ Strong Growth",IF(AND(ISNUMBER(H134),H134&gt;0),"↗ Growth",IF(AND(ISNUMBER(H134),H134&lt;-0.1),"↓ Strong Decline",IF(AND(ISNUMBER(H134),H134&lt;0),"↘ Decline","→ Stable"))))))</f>
        <v>No 2026 Sales</v>
      </c>
    </row>
    <row r="135" spans="1:13" hidden="1" x14ac:dyDescent="0.35">
      <c r="A135">
        <f>Data!A136</f>
        <v>202</v>
      </c>
      <c r="B135" t="str">
        <f>Data!B136</f>
        <v>BEEF</v>
      </c>
      <c r="C135" s="9">
        <f>Data!C136</f>
        <v>65879</v>
      </c>
      <c r="D135" s="10" t="s">
        <v>916</v>
      </c>
      <c r="E135" s="11">
        <f>SUM(Data!I136,Data!K136,Data!M136,Data!O136,Data!Q136,Data!S136,Data!U136,Data!W136,Data!Y136,Data!AA136,Data!AC136,Data!AE136,Data!AG136,Data!AI136,Data!AK136,Data!AM136,Data!AO136,Data!AQ136,Data!AS136)</f>
        <v>0</v>
      </c>
      <c r="F135" s="11">
        <f>SUM(Data!DI136,Data!DK136,Data!DM136,Data!DO136,Data!DQ136,Data!DS136,Data!DU136,Data!DW136,Data!DY136,Data!EA136,Data!EC136,Data!EE136,Data!EG136,Data!EI136,Data!EK136,Data!EM136,Data!EO136,Data!EQ136,Data!ES136)</f>
        <v>0</v>
      </c>
      <c r="G135" s="11">
        <f>F135-E135</f>
        <v>0</v>
      </c>
      <c r="H135">
        <f>IF(E135=0,IF(F135&gt;0,"New",0),(F135-E135)/E135)</f>
        <v>0</v>
      </c>
      <c r="I135" s="12">
        <f>SUM(Data!J136,Data!L136,Data!N136,Data!P136,Data!R136,Data!T136,Data!V136,Data!X136,Data!Z136,Data!AB136,Data!AD136,Data!AF136,Data!AH136,Data!AJ136,Data!AL136,Data!AN136,Data!AP136,Data!AR136,Data!AT136)</f>
        <v>0</v>
      </c>
      <c r="J135" s="12">
        <f>SUM(Data!DJ136,Data!DL136,Data!DN136,Data!DP136,Data!DR136,Data!DT136,Data!DV136,Data!DX136,Data!DZ136,Data!EB136,Data!ED136,Data!EF136,Data!EH136,Data!EJ136,Data!EL136,Data!EN136,Data!EP136,Data!ER136,Data!ET136)</f>
        <v>0</v>
      </c>
      <c r="K135" s="12">
        <f>J135-I135</f>
        <v>0</v>
      </c>
      <c r="L135">
        <f>IF(I135=0,IF(J135&gt;0,"New",0),(J135-I135)/I135)</f>
        <v>0</v>
      </c>
      <c r="M135" t="str">
        <f>IF(F135=0,"No 2026 Sales",IF(E135=0,"New Product",IF(AND(ISNUMBER(H135),H135&gt;0.1),"↑ Strong Growth",IF(AND(ISNUMBER(H135),H135&gt;0),"↗ Growth",IF(AND(ISNUMBER(H135),H135&lt;-0.1),"↓ Strong Decline",IF(AND(ISNUMBER(H135),H135&lt;0),"↘ Decline","→ Stable"))))))</f>
        <v>No 2026 Sales</v>
      </c>
    </row>
    <row r="136" spans="1:13" hidden="1" x14ac:dyDescent="0.35">
      <c r="A136">
        <f>Data!A137</f>
        <v>203</v>
      </c>
      <c r="B136" t="str">
        <f>Data!B137</f>
        <v>BUTCHERY CHICKENS</v>
      </c>
      <c r="C136" s="9">
        <f>Data!C137</f>
        <v>34210</v>
      </c>
      <c r="D136" s="10" t="s">
        <v>917</v>
      </c>
      <c r="E136" s="11">
        <f>SUM(Data!I137,Data!K137,Data!M137,Data!O137,Data!Q137,Data!S137,Data!U137,Data!W137,Data!Y137,Data!AA137,Data!AC137,Data!AE137,Data!AG137,Data!AI137,Data!AK137,Data!AM137,Data!AO137,Data!AQ137,Data!AS137)</f>
        <v>0</v>
      </c>
      <c r="F136" s="11">
        <f>SUM(Data!DI137,Data!DK137,Data!DM137,Data!DO137,Data!DQ137,Data!DS137,Data!DU137,Data!DW137,Data!DY137,Data!EA137,Data!EC137,Data!EE137,Data!EG137,Data!EI137,Data!EK137,Data!EM137,Data!EO137,Data!EQ137,Data!ES137)</f>
        <v>0</v>
      </c>
      <c r="G136" s="11">
        <f>F136-E136</f>
        <v>0</v>
      </c>
      <c r="H136">
        <f>IF(E136=0,IF(F136&gt;0,"New",0),(F136-E136)/E136)</f>
        <v>0</v>
      </c>
      <c r="I136" s="12">
        <f>SUM(Data!J137,Data!L137,Data!N137,Data!P137,Data!R137,Data!T137,Data!V137,Data!X137,Data!Z137,Data!AB137,Data!AD137,Data!AF137,Data!AH137,Data!AJ137,Data!AL137,Data!AN137,Data!AP137,Data!AR137,Data!AT137)</f>
        <v>0</v>
      </c>
      <c r="J136" s="12">
        <f>SUM(Data!DJ137,Data!DL137,Data!DN137,Data!DP137,Data!DR137,Data!DT137,Data!DV137,Data!DX137,Data!DZ137,Data!EB137,Data!ED137,Data!EF137,Data!EH137,Data!EJ137,Data!EL137,Data!EN137,Data!EP137,Data!ER137,Data!ET137)</f>
        <v>0</v>
      </c>
      <c r="K136" s="12">
        <f>J136-I136</f>
        <v>0</v>
      </c>
      <c r="L136">
        <f>IF(I136=0,IF(J136&gt;0,"New",0),(J136-I136)/I136)</f>
        <v>0</v>
      </c>
      <c r="M136" t="str">
        <f>IF(F136=0,"No 2026 Sales",IF(E136=0,"New Product",IF(AND(ISNUMBER(H136),H136&gt;0.1),"↑ Strong Growth",IF(AND(ISNUMBER(H136),H136&gt;0),"↗ Growth",IF(AND(ISNUMBER(H136),H136&lt;-0.1),"↓ Strong Decline",IF(AND(ISNUMBER(H136),H136&lt;0),"↘ Decline","→ Stable"))))))</f>
        <v>No 2026 Sales</v>
      </c>
    </row>
    <row r="137" spans="1:13" hidden="1" x14ac:dyDescent="0.35">
      <c r="A137">
        <f>Data!A138</f>
        <v>203</v>
      </c>
      <c r="B137" t="str">
        <f>Data!B138</f>
        <v>BUTCHERY CHICKENS</v>
      </c>
      <c r="C137" s="9">
        <f>Data!C138</f>
        <v>34252</v>
      </c>
      <c r="D137" s="10" t="s">
        <v>918</v>
      </c>
      <c r="E137" s="11">
        <f>SUM(Data!I138,Data!K138,Data!M138,Data!O138,Data!Q138,Data!S138,Data!U138,Data!W138,Data!Y138,Data!AA138,Data!AC138,Data!AE138,Data!AG138,Data!AI138,Data!AK138,Data!AM138,Data!AO138,Data!AQ138,Data!AS138)</f>
        <v>0</v>
      </c>
      <c r="F137" s="11">
        <f>SUM(Data!DI138,Data!DK138,Data!DM138,Data!DO138,Data!DQ138,Data!DS138,Data!DU138,Data!DW138,Data!DY138,Data!EA138,Data!EC138,Data!EE138,Data!EG138,Data!EI138,Data!EK138,Data!EM138,Data!EO138,Data!EQ138,Data!ES138)</f>
        <v>0</v>
      </c>
      <c r="G137" s="11">
        <f>F137-E137</f>
        <v>0</v>
      </c>
      <c r="H137">
        <f>IF(E137=0,IF(F137&gt;0,"New",0),(F137-E137)/E137)</f>
        <v>0</v>
      </c>
      <c r="I137" s="12">
        <f>SUM(Data!J138,Data!L138,Data!N138,Data!P138,Data!R138,Data!T138,Data!V138,Data!X138,Data!Z138,Data!AB138,Data!AD138,Data!AF138,Data!AH138,Data!AJ138,Data!AL138,Data!AN138,Data!AP138,Data!AR138,Data!AT138)</f>
        <v>0</v>
      </c>
      <c r="J137" s="12">
        <f>SUM(Data!DJ138,Data!DL138,Data!DN138,Data!DP138,Data!DR138,Data!DT138,Data!DV138,Data!DX138,Data!DZ138,Data!EB138,Data!ED138,Data!EF138,Data!EH138,Data!EJ138,Data!EL138,Data!EN138,Data!EP138,Data!ER138,Data!ET138)</f>
        <v>0</v>
      </c>
      <c r="K137" s="12">
        <f>J137-I137</f>
        <v>0</v>
      </c>
      <c r="L137">
        <f>IF(I137=0,IF(J137&gt;0,"New",0),(J137-I137)/I137)</f>
        <v>0</v>
      </c>
      <c r="M137" t="str">
        <f>IF(F137=0,"No 2026 Sales",IF(E137=0,"New Product",IF(AND(ISNUMBER(H137),H137&gt;0.1),"↑ Strong Growth",IF(AND(ISNUMBER(H137),H137&gt;0),"↗ Growth",IF(AND(ISNUMBER(H137),H137&lt;-0.1),"↓ Strong Decline",IF(AND(ISNUMBER(H137),H137&lt;0),"↘ Decline","→ Stable"))))))</f>
        <v>No 2026 Sales</v>
      </c>
    </row>
    <row r="138" spans="1:13" hidden="1" x14ac:dyDescent="0.35">
      <c r="A138">
        <f>Data!A139</f>
        <v>203</v>
      </c>
      <c r="B138" t="str">
        <f>Data!B139</f>
        <v>BUTCHERY CHICKENS</v>
      </c>
      <c r="C138" s="9">
        <f>Data!C139</f>
        <v>52097</v>
      </c>
      <c r="D138" s="10" t="s">
        <v>919</v>
      </c>
      <c r="E138" s="11">
        <f>SUM(Data!I139,Data!K139,Data!M139,Data!O139,Data!Q139,Data!S139,Data!U139,Data!W139,Data!Y139,Data!AA139,Data!AC139,Data!AE139,Data!AG139,Data!AI139,Data!AK139,Data!AM139,Data!AO139,Data!AQ139,Data!AS139)</f>
        <v>0</v>
      </c>
      <c r="F138" s="11">
        <f>SUM(Data!DI139,Data!DK139,Data!DM139,Data!DO139,Data!DQ139,Data!DS139,Data!DU139,Data!DW139,Data!DY139,Data!EA139,Data!EC139,Data!EE139,Data!EG139,Data!EI139,Data!EK139,Data!EM139,Data!EO139,Data!EQ139,Data!ES139)</f>
        <v>0</v>
      </c>
      <c r="G138" s="11">
        <f>F138-E138</f>
        <v>0</v>
      </c>
      <c r="H138">
        <f>IF(E138=0,IF(F138&gt;0,"New",0),(F138-E138)/E138)</f>
        <v>0</v>
      </c>
      <c r="I138" s="12">
        <f>SUM(Data!J139,Data!L139,Data!N139,Data!P139,Data!R139,Data!T139,Data!V139,Data!X139,Data!Z139,Data!AB139,Data!AD139,Data!AF139,Data!AH139,Data!AJ139,Data!AL139,Data!AN139,Data!AP139,Data!AR139,Data!AT139)</f>
        <v>0</v>
      </c>
      <c r="J138" s="12">
        <f>SUM(Data!DJ139,Data!DL139,Data!DN139,Data!DP139,Data!DR139,Data!DT139,Data!DV139,Data!DX139,Data!DZ139,Data!EB139,Data!ED139,Data!EF139,Data!EH139,Data!EJ139,Data!EL139,Data!EN139,Data!EP139,Data!ER139,Data!ET139)</f>
        <v>0</v>
      </c>
      <c r="K138" s="12">
        <f>J138-I138</f>
        <v>0</v>
      </c>
      <c r="L138">
        <f>IF(I138=0,IF(J138&gt;0,"New",0),(J138-I138)/I138)</f>
        <v>0</v>
      </c>
      <c r="M138" t="str">
        <f>IF(F138=0,"No 2026 Sales",IF(E138=0,"New Product",IF(AND(ISNUMBER(H138),H138&gt;0.1),"↑ Strong Growth",IF(AND(ISNUMBER(H138),H138&gt;0),"↗ Growth",IF(AND(ISNUMBER(H138),H138&lt;-0.1),"↓ Strong Decline",IF(AND(ISNUMBER(H138),H138&lt;0),"↘ Decline","→ Stable"))))))</f>
        <v>No 2026 Sales</v>
      </c>
    </row>
    <row r="139" spans="1:13" hidden="1" x14ac:dyDescent="0.35">
      <c r="A139">
        <f>Data!A140</f>
        <v>203</v>
      </c>
      <c r="B139" t="str">
        <f>Data!B140</f>
        <v>BUTCHERY CHICKENS</v>
      </c>
      <c r="C139" s="9">
        <f>Data!C140</f>
        <v>58887</v>
      </c>
      <c r="D139" s="10" t="s">
        <v>920</v>
      </c>
      <c r="E139" s="11">
        <f>SUM(Data!I140,Data!K140,Data!M140,Data!O140,Data!Q140,Data!S140,Data!U140,Data!W140,Data!Y140,Data!AA140,Data!AC140,Data!AE140,Data!AG140,Data!AI140,Data!AK140,Data!AM140,Data!AO140,Data!AQ140,Data!AS140)</f>
        <v>0</v>
      </c>
      <c r="F139" s="11">
        <f>SUM(Data!DI140,Data!DK140,Data!DM140,Data!DO140,Data!DQ140,Data!DS140,Data!DU140,Data!DW140,Data!DY140,Data!EA140,Data!EC140,Data!EE140,Data!EG140,Data!EI140,Data!EK140,Data!EM140,Data!EO140,Data!EQ140,Data!ES140)</f>
        <v>0</v>
      </c>
      <c r="G139" s="11">
        <f>F139-E139</f>
        <v>0</v>
      </c>
      <c r="H139">
        <f>IF(E139=0,IF(F139&gt;0,"New",0),(F139-E139)/E139)</f>
        <v>0</v>
      </c>
      <c r="I139" s="12">
        <f>SUM(Data!J140,Data!L140,Data!N140,Data!P140,Data!R140,Data!T140,Data!V140,Data!X140,Data!Z140,Data!AB140,Data!AD140,Data!AF140,Data!AH140,Data!AJ140,Data!AL140,Data!AN140,Data!AP140,Data!AR140,Data!AT140)</f>
        <v>0</v>
      </c>
      <c r="J139" s="12">
        <f>SUM(Data!DJ140,Data!DL140,Data!DN140,Data!DP140,Data!DR140,Data!DT140,Data!DV140,Data!DX140,Data!DZ140,Data!EB140,Data!ED140,Data!EF140,Data!EH140,Data!EJ140,Data!EL140,Data!EN140,Data!EP140,Data!ER140,Data!ET140)</f>
        <v>0</v>
      </c>
      <c r="K139" s="12">
        <f>J139-I139</f>
        <v>0</v>
      </c>
      <c r="L139">
        <f>IF(I139=0,IF(J139&gt;0,"New",0),(J139-I139)/I139)</f>
        <v>0</v>
      </c>
      <c r="M139" t="str">
        <f>IF(F139=0,"No 2026 Sales",IF(E139=0,"New Product",IF(AND(ISNUMBER(H139),H139&gt;0.1),"↑ Strong Growth",IF(AND(ISNUMBER(H139),H139&gt;0),"↗ Growth",IF(AND(ISNUMBER(H139),H139&lt;-0.1),"↓ Strong Decline",IF(AND(ISNUMBER(H139),H139&lt;0),"↘ Decline","→ Stable"))))))</f>
        <v>No 2026 Sales</v>
      </c>
    </row>
    <row r="140" spans="1:13" hidden="1" x14ac:dyDescent="0.35">
      <c r="A140">
        <f>Data!A141</f>
        <v>204</v>
      </c>
      <c r="B140" t="str">
        <f>Data!B141</f>
        <v>LAMB</v>
      </c>
      <c r="C140" s="9">
        <f>Data!C141</f>
        <v>12700</v>
      </c>
      <c r="D140" s="10" t="s">
        <v>921</v>
      </c>
      <c r="E140" s="11">
        <f>SUM(Data!I141,Data!K141,Data!M141,Data!O141,Data!Q141,Data!S141,Data!U141,Data!W141,Data!Y141,Data!AA141,Data!AC141,Data!AE141,Data!AG141,Data!AI141,Data!AK141,Data!AM141,Data!AO141,Data!AQ141,Data!AS141)</f>
        <v>851.85217391304309</v>
      </c>
      <c r="F140" s="11">
        <f>SUM(Data!DI141,Data!DK141,Data!DM141,Data!DO141,Data!DQ141,Data!DS141,Data!DU141,Data!DW141,Data!DY141,Data!EA141,Data!EC141,Data!EE141,Data!EG141,Data!EI141,Data!EK141,Data!EM141,Data!EO141,Data!EQ141,Data!ES141)</f>
        <v>0</v>
      </c>
      <c r="G140" s="11">
        <f>F140-E140</f>
        <v>-851.85217391304309</v>
      </c>
      <c r="H140">
        <f>IF(E140=0,IF(F140&gt;0,"New",0),(F140-E140)/E140)</f>
        <v>-1</v>
      </c>
      <c r="I140" s="12">
        <f>SUM(Data!J141,Data!L141,Data!N141,Data!P141,Data!R141,Data!T141,Data!V141,Data!X141,Data!Z141,Data!AB141,Data!AD141,Data!AF141,Data!AH141,Data!AJ141,Data!AL141,Data!AN141,Data!AP141,Data!AR141,Data!AT141)</f>
        <v>6.673</v>
      </c>
      <c r="J140" s="12">
        <f>SUM(Data!DJ141,Data!DL141,Data!DN141,Data!DP141,Data!DR141,Data!DT141,Data!DV141,Data!DX141,Data!DZ141,Data!EB141,Data!ED141,Data!EF141,Data!EH141,Data!EJ141,Data!EL141,Data!EN141,Data!EP141,Data!ER141,Data!ET141)</f>
        <v>0</v>
      </c>
      <c r="K140" s="12">
        <f>J140-I140</f>
        <v>-6.673</v>
      </c>
      <c r="L140">
        <f>IF(I140=0,IF(J140&gt;0,"New",0),(J140-I140)/I140)</f>
        <v>-1</v>
      </c>
      <c r="M140" t="str">
        <f>IF(F140=0,"No 2026 Sales",IF(E140=0,"New Product",IF(AND(ISNUMBER(H140),H140&gt;0.1),"↑ Strong Growth",IF(AND(ISNUMBER(H140),H140&gt;0),"↗ Growth",IF(AND(ISNUMBER(H140),H140&lt;-0.1),"↓ Strong Decline",IF(AND(ISNUMBER(H140),H140&lt;0),"↘ Decline","→ Stable"))))))</f>
        <v>No 2026 Sales</v>
      </c>
    </row>
    <row r="141" spans="1:13" hidden="1" x14ac:dyDescent="0.35">
      <c r="A141">
        <f>Data!A142</f>
        <v>204</v>
      </c>
      <c r="B141" t="str">
        <f>Data!B142</f>
        <v>LAMB</v>
      </c>
      <c r="C141" s="9">
        <f>Data!C142</f>
        <v>12702</v>
      </c>
      <c r="D141" s="10" t="s">
        <v>922</v>
      </c>
      <c r="E141" s="11">
        <f>SUM(Data!I142,Data!K142,Data!M142,Data!O142,Data!Q142,Data!S142,Data!U142,Data!W142,Data!Y142,Data!AA142,Data!AC142,Data!AE142,Data!AG142,Data!AI142,Data!AK142,Data!AM142,Data!AO142,Data!AQ142,Data!AS142)</f>
        <v>0</v>
      </c>
      <c r="F141" s="11">
        <f>SUM(Data!DI142,Data!DK142,Data!DM142,Data!DO142,Data!DQ142,Data!DS142,Data!DU142,Data!DW142,Data!DY142,Data!EA142,Data!EC142,Data!EE142,Data!EG142,Data!EI142,Data!EK142,Data!EM142,Data!EO142,Data!EQ142,Data!ES142)</f>
        <v>0</v>
      </c>
      <c r="G141" s="11">
        <f>F141-E141</f>
        <v>0</v>
      </c>
      <c r="H141">
        <f>IF(E141=0,IF(F141&gt;0,"New",0),(F141-E141)/E141)</f>
        <v>0</v>
      </c>
      <c r="I141" s="12">
        <f>SUM(Data!J142,Data!L142,Data!N142,Data!P142,Data!R142,Data!T142,Data!V142,Data!X142,Data!Z142,Data!AB142,Data!AD142,Data!AF142,Data!AH142,Data!AJ142,Data!AL142,Data!AN142,Data!AP142,Data!AR142,Data!AT142)</f>
        <v>0</v>
      </c>
      <c r="J141" s="12">
        <f>SUM(Data!DJ142,Data!DL142,Data!DN142,Data!DP142,Data!DR142,Data!DT142,Data!DV142,Data!DX142,Data!DZ142,Data!EB142,Data!ED142,Data!EF142,Data!EH142,Data!EJ142,Data!EL142,Data!EN142,Data!EP142,Data!ER142,Data!ET142)</f>
        <v>0</v>
      </c>
      <c r="K141" s="12">
        <f>J141-I141</f>
        <v>0</v>
      </c>
      <c r="L141">
        <f>IF(I141=0,IF(J141&gt;0,"New",0),(J141-I141)/I141)</f>
        <v>0</v>
      </c>
      <c r="M141" t="str">
        <f>IF(F141=0,"No 2026 Sales",IF(E141=0,"New Product",IF(AND(ISNUMBER(H141),H141&gt;0.1),"↑ Strong Growth",IF(AND(ISNUMBER(H141),H141&gt;0),"↗ Growth",IF(AND(ISNUMBER(H141),H141&lt;-0.1),"↓ Strong Decline",IF(AND(ISNUMBER(H141),H141&lt;0),"↘ Decline","→ Stable"))))))</f>
        <v>No 2026 Sales</v>
      </c>
    </row>
    <row r="142" spans="1:13" x14ac:dyDescent="0.35">
      <c r="A142">
        <f>Data!A143</f>
        <v>204</v>
      </c>
      <c r="B142" t="str">
        <f>Data!B143</f>
        <v>LAMB</v>
      </c>
      <c r="C142" s="9">
        <f>Data!C143</f>
        <v>32041</v>
      </c>
      <c r="D142" s="10" t="s">
        <v>923</v>
      </c>
      <c r="E142" s="11">
        <f>SUM(Data!I143,Data!K143,Data!M143,Data!O143,Data!Q143,Data!S143,Data!U143,Data!W143,Data!Y143,Data!AA143,Data!AC143,Data!AE143,Data!AG143,Data!AI143,Data!AK143,Data!AM143,Data!AO143,Data!AQ143,Data!AS143)</f>
        <v>19857.782608695652</v>
      </c>
      <c r="F142" s="11">
        <f>SUM(Data!DI143,Data!DK143,Data!DM143,Data!DO143,Data!DQ143,Data!DS143,Data!DU143,Data!DW143,Data!DY143,Data!EA143,Data!EC143,Data!EE143,Data!EG143,Data!EI143,Data!EK143,Data!EM143,Data!EO143,Data!EQ143,Data!ES143)</f>
        <v>37132.95652173915</v>
      </c>
      <c r="G142" s="11">
        <f>F142-E142</f>
        <v>17275.173913043498</v>
      </c>
      <c r="H142" s="13">
        <f>IF(E142=0,IF(F142&gt;0,"New",0),(F142-E142)/E142)</f>
        <v>0.86994475936496363</v>
      </c>
      <c r="I142" s="12">
        <f>SUM(Data!J143,Data!L143,Data!N143,Data!P143,Data!R143,Data!T143,Data!V143,Data!X143,Data!Z143,Data!AB143,Data!AD143,Data!AF143,Data!AH143,Data!AJ143,Data!AL143,Data!AN143,Data!AP143,Data!AR143,Data!AT143)</f>
        <v>148.68200000000002</v>
      </c>
      <c r="J142" s="12">
        <f>SUM(Data!DJ143,Data!DL143,Data!DN143,Data!DP143,Data!DR143,Data!DT143,Data!DV143,Data!DX143,Data!DZ143,Data!EB143,Data!ED143,Data!EF143,Data!EH143,Data!EJ143,Data!EL143,Data!EN143,Data!EP143,Data!ER143,Data!ET143)</f>
        <v>303.73200000000003</v>
      </c>
      <c r="K142" s="12">
        <f>J142-I142</f>
        <v>155.05000000000001</v>
      </c>
      <c r="L142" s="13">
        <f>IF(I142=0,IF(J142&gt;0,"New",0),(J142-I142)/I142)</f>
        <v>1.0428296633082685</v>
      </c>
      <c r="M142" t="str">
        <f>IF(F142=0,"No 2026 Sales",IF(E142=0,"New Product",IF(AND(ISNUMBER(H142),H142&gt;0.1),"↑ Strong Growth",IF(AND(ISNUMBER(H142),H142&gt;0),"↗ Growth",IF(AND(ISNUMBER(H142),H142&lt;-0.1),"↓ Strong Decline",IF(AND(ISNUMBER(H142),H142&lt;0),"↘ Decline","→ Stable"))))))</f>
        <v>↑ Strong Growth</v>
      </c>
    </row>
    <row r="143" spans="1:13" hidden="1" x14ac:dyDescent="0.35">
      <c r="A143">
        <f>Data!A144</f>
        <v>204</v>
      </c>
      <c r="B143" t="str">
        <f>Data!B144</f>
        <v>LAMB</v>
      </c>
      <c r="C143" s="9">
        <f>Data!C144</f>
        <v>34192</v>
      </c>
      <c r="D143" s="10" t="s">
        <v>924</v>
      </c>
      <c r="E143" s="11">
        <f>SUM(Data!I144,Data!K144,Data!M144,Data!O144,Data!Q144,Data!S144,Data!U144,Data!W144,Data!Y144,Data!AA144,Data!AC144,Data!AE144,Data!AG144,Data!AI144,Data!AK144,Data!AM144,Data!AO144,Data!AQ144,Data!AS144)</f>
        <v>0</v>
      </c>
      <c r="F143" s="11">
        <f>SUM(Data!DI144,Data!DK144,Data!DM144,Data!DO144,Data!DQ144,Data!DS144,Data!DU144,Data!DW144,Data!DY144,Data!EA144,Data!EC144,Data!EE144,Data!EG144,Data!EI144,Data!EK144,Data!EM144,Data!EO144,Data!EQ144,Data!ES144)</f>
        <v>0</v>
      </c>
      <c r="G143" s="11">
        <f>F143-E143</f>
        <v>0</v>
      </c>
      <c r="H143">
        <f>IF(E143=0,IF(F143&gt;0,"New",0),(F143-E143)/E143)</f>
        <v>0</v>
      </c>
      <c r="I143" s="12">
        <f>SUM(Data!J144,Data!L144,Data!N144,Data!P144,Data!R144,Data!T144,Data!V144,Data!X144,Data!Z144,Data!AB144,Data!AD144,Data!AF144,Data!AH144,Data!AJ144,Data!AL144,Data!AN144,Data!AP144,Data!AR144,Data!AT144)</f>
        <v>0</v>
      </c>
      <c r="J143" s="12">
        <f>SUM(Data!DJ144,Data!DL144,Data!DN144,Data!DP144,Data!DR144,Data!DT144,Data!DV144,Data!DX144,Data!DZ144,Data!EB144,Data!ED144,Data!EF144,Data!EH144,Data!EJ144,Data!EL144,Data!EN144,Data!EP144,Data!ER144,Data!ET144)</f>
        <v>0</v>
      </c>
      <c r="K143" s="12">
        <f>J143-I143</f>
        <v>0</v>
      </c>
      <c r="L143">
        <f>IF(I143=0,IF(J143&gt;0,"New",0),(J143-I143)/I143)</f>
        <v>0</v>
      </c>
      <c r="M143" t="str">
        <f>IF(F143=0,"No 2026 Sales",IF(E143=0,"New Product",IF(AND(ISNUMBER(H143),H143&gt;0.1),"↑ Strong Growth",IF(AND(ISNUMBER(H143),H143&gt;0),"↗ Growth",IF(AND(ISNUMBER(H143),H143&lt;-0.1),"↓ Strong Decline",IF(AND(ISNUMBER(H143),H143&lt;0),"↘ Decline","→ Stable"))))))</f>
        <v>No 2026 Sales</v>
      </c>
    </row>
    <row r="144" spans="1:13" hidden="1" x14ac:dyDescent="0.35">
      <c r="A144">
        <f>Data!A145</f>
        <v>204</v>
      </c>
      <c r="B144" t="str">
        <f>Data!B145</f>
        <v>LAMB</v>
      </c>
      <c r="C144" s="9">
        <f>Data!C145</f>
        <v>34193</v>
      </c>
      <c r="D144" s="10" t="s">
        <v>925</v>
      </c>
      <c r="E144" s="11">
        <f>SUM(Data!I145,Data!K145,Data!M145,Data!O145,Data!Q145,Data!S145,Data!U145,Data!W145,Data!Y145,Data!AA145,Data!AC145,Data!AE145,Data!AG145,Data!AI145,Data!AK145,Data!AM145,Data!AO145,Data!AQ145,Data!AS145)</f>
        <v>0</v>
      </c>
      <c r="F144" s="11">
        <f>SUM(Data!DI145,Data!DK145,Data!DM145,Data!DO145,Data!DQ145,Data!DS145,Data!DU145,Data!DW145,Data!DY145,Data!EA145,Data!EC145,Data!EE145,Data!EG145,Data!EI145,Data!EK145,Data!EM145,Data!EO145,Data!EQ145,Data!ES145)</f>
        <v>0</v>
      </c>
      <c r="G144" s="11">
        <f>F144-E144</f>
        <v>0</v>
      </c>
      <c r="H144">
        <f>IF(E144=0,IF(F144&gt;0,"New",0),(F144-E144)/E144)</f>
        <v>0</v>
      </c>
      <c r="I144" s="12">
        <f>SUM(Data!J145,Data!L145,Data!N145,Data!P145,Data!R145,Data!T145,Data!V145,Data!X145,Data!Z145,Data!AB145,Data!AD145,Data!AF145,Data!AH145,Data!AJ145,Data!AL145,Data!AN145,Data!AP145,Data!AR145,Data!AT145)</f>
        <v>0</v>
      </c>
      <c r="J144" s="12">
        <f>SUM(Data!DJ145,Data!DL145,Data!DN145,Data!DP145,Data!DR145,Data!DT145,Data!DV145,Data!DX145,Data!DZ145,Data!EB145,Data!ED145,Data!EF145,Data!EH145,Data!EJ145,Data!EL145,Data!EN145,Data!EP145,Data!ER145,Data!ET145)</f>
        <v>0</v>
      </c>
      <c r="K144" s="12">
        <f>J144-I144</f>
        <v>0</v>
      </c>
      <c r="L144">
        <f>IF(I144=0,IF(J144&gt;0,"New",0),(J144-I144)/I144)</f>
        <v>0</v>
      </c>
      <c r="M144" t="str">
        <f>IF(F144=0,"No 2026 Sales",IF(E144=0,"New Product",IF(AND(ISNUMBER(H144),H144&gt;0.1),"↑ Strong Growth",IF(AND(ISNUMBER(H144),H144&gt;0),"↗ Growth",IF(AND(ISNUMBER(H144),H144&lt;-0.1),"↓ Strong Decline",IF(AND(ISNUMBER(H144),H144&lt;0),"↘ Decline","→ Stable"))))))</f>
        <v>No 2026 Sales</v>
      </c>
    </row>
    <row r="145" spans="1:13" x14ac:dyDescent="0.35">
      <c r="A145">
        <f>Data!A146</f>
        <v>204</v>
      </c>
      <c r="B145" t="str">
        <f>Data!B146</f>
        <v>LAMB</v>
      </c>
      <c r="C145" s="9">
        <f>Data!C146</f>
        <v>34238</v>
      </c>
      <c r="D145" s="10" t="s">
        <v>926</v>
      </c>
      <c r="E145" s="11">
        <f>SUM(Data!I146,Data!K146,Data!M146,Data!O146,Data!Q146,Data!S146,Data!U146,Data!W146,Data!Y146,Data!AA146,Data!AC146,Data!AE146,Data!AG146,Data!AI146,Data!AK146,Data!AM146,Data!AO146,Data!AQ146,Data!AS146)</f>
        <v>1185.721739130435</v>
      </c>
      <c r="F145" s="11">
        <f>SUM(Data!DI146,Data!DK146,Data!DM146,Data!DO146,Data!DQ146,Data!DS146,Data!DU146,Data!DW146,Data!DY146,Data!EA146,Data!EC146,Data!EE146,Data!EG146,Data!EI146,Data!EK146,Data!EM146,Data!EO146,Data!EQ146,Data!ES146)</f>
        <v>1494.2260869565223</v>
      </c>
      <c r="G145" s="11">
        <f>F145-E145</f>
        <v>308.50434782608727</v>
      </c>
      <c r="H145" s="13">
        <f>IF(E145=0,IF(F145&gt;0,"New",0),(F145-E145)/E145)</f>
        <v>0.26018275422050802</v>
      </c>
      <c r="I145" s="12">
        <f>SUM(Data!J146,Data!L146,Data!N146,Data!P146,Data!R146,Data!T146,Data!V146,Data!X146,Data!Z146,Data!AB146,Data!AD146,Data!AF146,Data!AH146,Data!AJ146,Data!AL146,Data!AN146,Data!AP146,Data!AR146,Data!AT146)</f>
        <v>20.753999999999994</v>
      </c>
      <c r="J145" s="12">
        <f>SUM(Data!DJ146,Data!DL146,Data!DN146,Data!DP146,Data!DR146,Data!DT146,Data!DV146,Data!DX146,Data!DZ146,Data!EB146,Data!ED146,Data!EF146,Data!EH146,Data!EJ146,Data!EL146,Data!EN146,Data!EP146,Data!ER146,Data!ET146)</f>
        <v>24.176000000000002</v>
      </c>
      <c r="K145" s="12">
        <f>J145-I145</f>
        <v>3.4220000000000077</v>
      </c>
      <c r="L145" s="13">
        <f>IF(I145=0,IF(J145&gt;0,"New",0),(J145-I145)/I145)</f>
        <v>0.16488387780668828</v>
      </c>
      <c r="M145" t="str">
        <f>IF(F145=0,"No 2026 Sales",IF(E145=0,"New Product",IF(AND(ISNUMBER(H145),H145&gt;0.1),"↑ Strong Growth",IF(AND(ISNUMBER(H145),H145&gt;0),"↗ Growth",IF(AND(ISNUMBER(H145),H145&lt;-0.1),"↓ Strong Decline",IF(AND(ISNUMBER(H145),H145&lt;0),"↘ Decline","→ Stable"))))))</f>
        <v>↑ Strong Growth</v>
      </c>
    </row>
    <row r="146" spans="1:13" x14ac:dyDescent="0.35">
      <c r="A146">
        <f>Data!A147</f>
        <v>204</v>
      </c>
      <c r="B146" t="str">
        <f>Data!B147</f>
        <v>LAMB</v>
      </c>
      <c r="C146" s="9">
        <f>Data!C147</f>
        <v>34239</v>
      </c>
      <c r="D146" s="10" t="s">
        <v>927</v>
      </c>
      <c r="E146" s="11">
        <f>SUM(Data!I147,Data!K147,Data!M147,Data!O147,Data!Q147,Data!S147,Data!U147,Data!W147,Data!Y147,Data!AA147,Data!AC147,Data!AE147,Data!AG147,Data!AI147,Data!AK147,Data!AM147,Data!AO147,Data!AQ147,Data!AS147)</f>
        <v>21621.860869565215</v>
      </c>
      <c r="F146" s="11">
        <f>SUM(Data!DI147,Data!DK147,Data!DM147,Data!DO147,Data!DQ147,Data!DS147,Data!DU147,Data!DW147,Data!DY147,Data!EA147,Data!EC147,Data!EE147,Data!EG147,Data!EI147,Data!EK147,Data!EM147,Data!EO147,Data!EQ147,Data!ES147)</f>
        <v>29576.426086956515</v>
      </c>
      <c r="G146" s="11">
        <f>F146-E146</f>
        <v>7954.5652173913004</v>
      </c>
      <c r="H146" s="13">
        <f>IF(E146=0,IF(F146&gt;0,"New",0),(F146-E146)/E146)</f>
        <v>0.36789457047094837</v>
      </c>
      <c r="I146" s="12">
        <f>SUM(Data!J147,Data!L147,Data!N147,Data!P147,Data!R147,Data!T147,Data!V147,Data!X147,Data!Z147,Data!AB147,Data!AD147,Data!AF147,Data!AH147,Data!AJ147,Data!AL147,Data!AN147,Data!AP147,Data!AR147,Data!AT147)</f>
        <v>130.23400000000001</v>
      </c>
      <c r="J146" s="12">
        <f>SUM(Data!DJ147,Data!DL147,Data!DN147,Data!DP147,Data!DR147,Data!DT147,Data!DV147,Data!DX147,Data!DZ147,Data!EB147,Data!ED147,Data!EF147,Data!EH147,Data!EJ147,Data!EL147,Data!EN147,Data!EP147,Data!ER147,Data!ET147)</f>
        <v>182.11200000000002</v>
      </c>
      <c r="K146" s="12">
        <f>J146-I146</f>
        <v>51.878000000000014</v>
      </c>
      <c r="L146" s="13">
        <f>IF(I146=0,IF(J146&gt;0,"New",0),(J146-I146)/I146)</f>
        <v>0.39834451832854717</v>
      </c>
      <c r="M146" t="str">
        <f>IF(F146=0,"No 2026 Sales",IF(E146=0,"New Product",IF(AND(ISNUMBER(H146),H146&gt;0.1),"↑ Strong Growth",IF(AND(ISNUMBER(H146),H146&gt;0),"↗ Growth",IF(AND(ISNUMBER(H146),H146&lt;-0.1),"↓ Strong Decline",IF(AND(ISNUMBER(H146),H146&lt;0),"↘ Decline","→ Stable"))))))</f>
        <v>↑ Strong Growth</v>
      </c>
    </row>
    <row r="147" spans="1:13" x14ac:dyDescent="0.35">
      <c r="A147">
        <f>Data!A148</f>
        <v>204</v>
      </c>
      <c r="B147" t="str">
        <f>Data!B148</f>
        <v>LAMB</v>
      </c>
      <c r="C147" s="9">
        <f>Data!C148</f>
        <v>34240</v>
      </c>
      <c r="D147" s="10" t="s">
        <v>928</v>
      </c>
      <c r="E147" s="11">
        <f>SUM(Data!I148,Data!K148,Data!M148,Data!O148,Data!Q148,Data!S148,Data!U148,Data!W148,Data!Y148,Data!AA148,Data!AC148,Data!AE148,Data!AG148,Data!AI148,Data!AK148,Data!AM148,Data!AO148,Data!AQ148,Data!AS148)</f>
        <v>3649.5130434782604</v>
      </c>
      <c r="F147" s="11">
        <f>SUM(Data!DI148,Data!DK148,Data!DM148,Data!DO148,Data!DQ148,Data!DS148,Data!DU148,Data!DW148,Data!DY148,Data!EA148,Data!EC148,Data!EE148,Data!EG148,Data!EI148,Data!EK148,Data!EM148,Data!EO148,Data!EQ148,Data!ES148)</f>
        <v>1448.6956521739137</v>
      </c>
      <c r="G147" s="11">
        <f>F147-E147</f>
        <v>-2200.8173913043465</v>
      </c>
      <c r="H147" s="13">
        <f>IF(E147=0,IF(F147&gt;0,"New",0),(F147-E147)/E147)</f>
        <v>-0.60304412262267237</v>
      </c>
      <c r="I147" s="12">
        <f>SUM(Data!J148,Data!L148,Data!N148,Data!P148,Data!R148,Data!T148,Data!V148,Data!X148,Data!Z148,Data!AB148,Data!AD148,Data!AF148,Data!AH148,Data!AJ148,Data!AL148,Data!AN148,Data!AP148,Data!AR148,Data!AT148)</f>
        <v>25.464000000000002</v>
      </c>
      <c r="J147" s="12">
        <f>SUM(Data!DJ148,Data!DL148,Data!DN148,Data!DP148,Data!DR148,Data!DT148,Data!DV148,Data!DX148,Data!DZ148,Data!EB148,Data!ED148,Data!EF148,Data!EH148,Data!EJ148,Data!EL148,Data!EN148,Data!EP148,Data!ER148,Data!ET148)</f>
        <v>9.2560000000000002</v>
      </c>
      <c r="K147" s="12">
        <f>J147-I147</f>
        <v>-16.208000000000002</v>
      </c>
      <c r="L147" s="13">
        <f>IF(I147=0,IF(J147&gt;0,"New",0),(J147-I147)/I147)</f>
        <v>-0.63650644046497018</v>
      </c>
      <c r="M147" t="str">
        <f>IF(F147=0,"No 2026 Sales",IF(E147=0,"New Product",IF(AND(ISNUMBER(H147),H147&gt;0.1),"↑ Strong Growth",IF(AND(ISNUMBER(H147),H147&gt;0),"↗ Growth",IF(AND(ISNUMBER(H147),H147&lt;-0.1),"↓ Strong Decline",IF(AND(ISNUMBER(H147),H147&lt;0),"↘ Decline","→ Stable"))))))</f>
        <v>↓ Strong Decline</v>
      </c>
    </row>
    <row r="148" spans="1:13" x14ac:dyDescent="0.35">
      <c r="A148">
        <f>Data!A149</f>
        <v>204</v>
      </c>
      <c r="B148" t="str">
        <f>Data!B149</f>
        <v>LAMB</v>
      </c>
      <c r="C148" s="9">
        <f>Data!C149</f>
        <v>34241</v>
      </c>
      <c r="D148" s="10" t="s">
        <v>929</v>
      </c>
      <c r="E148" s="11">
        <f>SUM(Data!I149,Data!K149,Data!M149,Data!O149,Data!Q149,Data!S149,Data!U149,Data!W149,Data!Y149,Data!AA149,Data!AC149,Data!AE149,Data!AG149,Data!AI149,Data!AK149,Data!AM149,Data!AO149,Data!AQ149,Data!AS149)</f>
        <v>1382.6695652173908</v>
      </c>
      <c r="F148" s="11">
        <f>SUM(Data!DI149,Data!DK149,Data!DM149,Data!DO149,Data!DQ149,Data!DS149,Data!DU149,Data!DW149,Data!DY149,Data!EA149,Data!EC149,Data!EE149,Data!EG149,Data!EI149,Data!EK149,Data!EM149,Data!EO149,Data!EQ149,Data!ES149)</f>
        <v>7756.2000000000035</v>
      </c>
      <c r="G148" s="11">
        <f>F148-E148</f>
        <v>6373.5304347826132</v>
      </c>
      <c r="H148" s="13">
        <f>IF(E148=0,IF(F148&gt;0,"New",0),(F148-E148)/E148)</f>
        <v>4.6095832258957206</v>
      </c>
      <c r="I148" s="12">
        <f>SUM(Data!J149,Data!L149,Data!N149,Data!P149,Data!R149,Data!T149,Data!V149,Data!X149,Data!Z149,Data!AB149,Data!AD149,Data!AF149,Data!AH149,Data!AJ149,Data!AL149,Data!AN149,Data!AP149,Data!AR149,Data!AT149)</f>
        <v>9.1840000000000011</v>
      </c>
      <c r="J148" s="12">
        <f>SUM(Data!DJ149,Data!DL149,Data!DN149,Data!DP149,Data!DR149,Data!DT149,Data!DV149,Data!DX149,Data!DZ149,Data!EB149,Data!ED149,Data!EF149,Data!EH149,Data!EJ149,Data!EL149,Data!EN149,Data!EP149,Data!ER149,Data!ET149)</f>
        <v>44.629999999999988</v>
      </c>
      <c r="K148" s="12">
        <f>J148-I148</f>
        <v>35.445999999999984</v>
      </c>
      <c r="L148" s="13">
        <f>IF(I148=0,IF(J148&gt;0,"New",0),(J148-I148)/I148)</f>
        <v>3.8595383275261304</v>
      </c>
      <c r="M148" t="str">
        <f>IF(F148=0,"No 2026 Sales",IF(E148=0,"New Product",IF(AND(ISNUMBER(H148),H148&gt;0.1),"↑ Strong Growth",IF(AND(ISNUMBER(H148),H148&gt;0),"↗ Growth",IF(AND(ISNUMBER(H148),H148&lt;-0.1),"↓ Strong Decline",IF(AND(ISNUMBER(H148),H148&lt;0),"↘ Decline","→ Stable"))))))</f>
        <v>↑ Strong Growth</v>
      </c>
    </row>
    <row r="149" spans="1:13" x14ac:dyDescent="0.35">
      <c r="A149">
        <f>Data!A150</f>
        <v>204</v>
      </c>
      <c r="B149" t="str">
        <f>Data!B150</f>
        <v>LAMB</v>
      </c>
      <c r="C149" s="9">
        <f>Data!C150</f>
        <v>34242</v>
      </c>
      <c r="D149" s="10" t="s">
        <v>930</v>
      </c>
      <c r="E149" s="11">
        <f>SUM(Data!I150,Data!K150,Data!M150,Data!O150,Data!Q150,Data!S150,Data!U150,Data!W150,Data!Y150,Data!AA150,Data!AC150,Data!AE150,Data!AG150,Data!AI150,Data!AK150,Data!AM150,Data!AO150,Data!AQ150,Data!AS150)</f>
        <v>30135.208695652174</v>
      </c>
      <c r="F149" s="11">
        <f>SUM(Data!DI150,Data!DK150,Data!DM150,Data!DO150,Data!DQ150,Data!DS150,Data!DU150,Data!DW150,Data!DY150,Data!EA150,Data!EC150,Data!EE150,Data!EG150,Data!EI150,Data!EK150,Data!EM150,Data!EO150,Data!EQ150,Data!ES150)</f>
        <v>28525.704347826086</v>
      </c>
      <c r="G149" s="11">
        <f>F149-E149</f>
        <v>-1609.5043478260886</v>
      </c>
      <c r="H149" s="13">
        <f>IF(E149=0,IF(F149&gt;0,"New",0),(F149-E149)/E149)</f>
        <v>-5.340943094441896E-2</v>
      </c>
      <c r="I149" s="12">
        <f>SUM(Data!J150,Data!L150,Data!N150,Data!P150,Data!R150,Data!T150,Data!V150,Data!X150,Data!Z150,Data!AB150,Data!AD150,Data!AF150,Data!AH150,Data!AJ150,Data!AL150,Data!AN150,Data!AP150,Data!AR150,Data!AT150)</f>
        <v>167.726</v>
      </c>
      <c r="J149" s="12">
        <f>SUM(Data!DJ150,Data!DL150,Data!DN150,Data!DP150,Data!DR150,Data!DT150,Data!DV150,Data!DX150,Data!DZ150,Data!EB150,Data!ED150,Data!EF150,Data!EH150,Data!EJ150,Data!EL150,Data!EN150,Data!EP150,Data!ER150,Data!ET150)</f>
        <v>142.83700000000002</v>
      </c>
      <c r="K149" s="12">
        <f>J149-I149</f>
        <v>-24.888999999999982</v>
      </c>
      <c r="L149" s="13">
        <f>IF(I149=0,IF(J149&gt;0,"New",0),(J149-I149)/I149)</f>
        <v>-0.14839082789788097</v>
      </c>
      <c r="M149" t="str">
        <f>IF(F149=0,"No 2026 Sales",IF(E149=0,"New Product",IF(AND(ISNUMBER(H149),H149&gt;0.1),"↑ Strong Growth",IF(AND(ISNUMBER(H149),H149&gt;0),"↗ Growth",IF(AND(ISNUMBER(H149),H149&lt;-0.1),"↓ Strong Decline",IF(AND(ISNUMBER(H149),H149&lt;0),"↘ Decline","→ Stable"))))))</f>
        <v>↘ Decline</v>
      </c>
    </row>
    <row r="150" spans="1:13" hidden="1" x14ac:dyDescent="0.35">
      <c r="A150">
        <f>Data!A151</f>
        <v>204</v>
      </c>
      <c r="B150" t="str">
        <f>Data!B151</f>
        <v>LAMB</v>
      </c>
      <c r="C150" s="9">
        <f>Data!C151</f>
        <v>34244</v>
      </c>
      <c r="D150" s="10" t="s">
        <v>931</v>
      </c>
      <c r="E150" s="11">
        <f>SUM(Data!I151,Data!K151,Data!M151,Data!O151,Data!Q151,Data!S151,Data!U151,Data!W151,Data!Y151,Data!AA151,Data!AC151,Data!AE151,Data!AG151,Data!AI151,Data!AK151,Data!AM151,Data!AO151,Data!AQ151,Data!AS151)</f>
        <v>0</v>
      </c>
      <c r="F150" s="11">
        <f>SUM(Data!DI151,Data!DK151,Data!DM151,Data!DO151,Data!DQ151,Data!DS151,Data!DU151,Data!DW151,Data!DY151,Data!EA151,Data!EC151,Data!EE151,Data!EG151,Data!EI151,Data!EK151,Data!EM151,Data!EO151,Data!EQ151,Data!ES151)</f>
        <v>0</v>
      </c>
      <c r="G150" s="11">
        <f>F150-E150</f>
        <v>0</v>
      </c>
      <c r="H150">
        <f>IF(E150=0,IF(F150&gt;0,"New",0),(F150-E150)/E150)</f>
        <v>0</v>
      </c>
      <c r="I150" s="12">
        <f>SUM(Data!J151,Data!L151,Data!N151,Data!P151,Data!R151,Data!T151,Data!V151,Data!X151,Data!Z151,Data!AB151,Data!AD151,Data!AF151,Data!AH151,Data!AJ151,Data!AL151,Data!AN151,Data!AP151,Data!AR151,Data!AT151)</f>
        <v>0</v>
      </c>
      <c r="J150" s="12">
        <f>SUM(Data!DJ151,Data!DL151,Data!DN151,Data!DP151,Data!DR151,Data!DT151,Data!DV151,Data!DX151,Data!DZ151,Data!EB151,Data!ED151,Data!EF151,Data!EH151,Data!EJ151,Data!EL151,Data!EN151,Data!EP151,Data!ER151,Data!ET151)</f>
        <v>0</v>
      </c>
      <c r="K150" s="12">
        <f>J150-I150</f>
        <v>0</v>
      </c>
      <c r="L150">
        <f>IF(I150=0,IF(J150&gt;0,"New",0),(J150-I150)/I150)</f>
        <v>0</v>
      </c>
      <c r="M150" t="str">
        <f>IF(F150=0,"No 2026 Sales",IF(E150=0,"New Product",IF(AND(ISNUMBER(H150),H150&gt;0.1),"↑ Strong Growth",IF(AND(ISNUMBER(H150),H150&gt;0),"↗ Growth",IF(AND(ISNUMBER(H150),H150&lt;-0.1),"↓ Strong Decline",IF(AND(ISNUMBER(H150),H150&lt;0),"↘ Decline","→ Stable"))))))</f>
        <v>No 2026 Sales</v>
      </c>
    </row>
    <row r="151" spans="1:13" x14ac:dyDescent="0.35">
      <c r="A151">
        <f>Data!A152</f>
        <v>204</v>
      </c>
      <c r="B151" t="str">
        <f>Data!B152</f>
        <v>LAMB</v>
      </c>
      <c r="C151" s="9">
        <f>Data!C152</f>
        <v>34245</v>
      </c>
      <c r="D151" s="10" t="s">
        <v>932</v>
      </c>
      <c r="E151" s="11">
        <f>SUM(Data!I152,Data!K152,Data!M152,Data!O152,Data!Q152,Data!S152,Data!U152,Data!W152,Data!Y152,Data!AA152,Data!AC152,Data!AE152,Data!AG152,Data!AI152,Data!AK152,Data!AM152,Data!AO152,Data!AQ152,Data!AS152)</f>
        <v>9069.1652173913044</v>
      </c>
      <c r="F151" s="11">
        <f>SUM(Data!DI152,Data!DK152,Data!DM152,Data!DO152,Data!DQ152,Data!DS152,Data!DU152,Data!DW152,Data!DY152,Data!EA152,Data!EC152,Data!EE152,Data!EG152,Data!EI152,Data!EK152,Data!EM152,Data!EO152,Data!EQ152,Data!ES152)</f>
        <v>86.704347826086902</v>
      </c>
      <c r="G151" s="11">
        <f>F151-E151</f>
        <v>-8982.4608695652169</v>
      </c>
      <c r="H151" s="13">
        <f>IF(E151=0,IF(F151&gt;0,"New",0),(F151-E151)/E151)</f>
        <v>-0.99043965505669462</v>
      </c>
      <c r="I151" s="12">
        <f>SUM(Data!J152,Data!L152,Data!N152,Data!P152,Data!R152,Data!T152,Data!V152,Data!X152,Data!Z152,Data!AB152,Data!AD152,Data!AF152,Data!AH152,Data!AJ152,Data!AL152,Data!AN152,Data!AP152,Data!AR152,Data!AT152)</f>
        <v>57.946000000000005</v>
      </c>
      <c r="J151" s="12">
        <f>SUM(Data!DJ152,Data!DL152,Data!DN152,Data!DP152,Data!DR152,Data!DT152,Data!DV152,Data!DX152,Data!DZ152,Data!EB152,Data!ED152,Data!EF152,Data!EH152,Data!EJ152,Data!EL152,Data!EN152,Data!EP152,Data!ER152,Data!ET152)</f>
        <v>0.55400000000000005</v>
      </c>
      <c r="K151" s="12">
        <f>J151-I151</f>
        <v>-57.392000000000003</v>
      </c>
      <c r="L151" s="13">
        <f>IF(I151=0,IF(J151&gt;0,"New",0),(J151-I151)/I151)</f>
        <v>-0.99043937459013565</v>
      </c>
      <c r="M151" t="str">
        <f>IF(F151=0,"No 2026 Sales",IF(E151=0,"New Product",IF(AND(ISNUMBER(H151),H151&gt;0.1),"↑ Strong Growth",IF(AND(ISNUMBER(H151),H151&gt;0),"↗ Growth",IF(AND(ISNUMBER(H151),H151&lt;-0.1),"↓ Strong Decline",IF(AND(ISNUMBER(H151),H151&lt;0),"↘ Decline","→ Stable"))))))</f>
        <v>↓ Strong Decline</v>
      </c>
    </row>
    <row r="152" spans="1:13" x14ac:dyDescent="0.35">
      <c r="A152">
        <f>Data!A153</f>
        <v>204</v>
      </c>
      <c r="B152" t="str">
        <f>Data!B153</f>
        <v>LAMB</v>
      </c>
      <c r="C152" s="9">
        <f>Data!C153</f>
        <v>34247</v>
      </c>
      <c r="D152" s="10" t="s">
        <v>933</v>
      </c>
      <c r="E152" s="11">
        <f>SUM(Data!I153,Data!K153,Data!M153,Data!O153,Data!Q153,Data!S153,Data!U153,Data!W153,Data!Y153,Data!AA153,Data!AC153,Data!AE153,Data!AG153,Data!AI153,Data!AK153,Data!AM153,Data!AO153,Data!AQ153,Data!AS153)</f>
        <v>5347.4086956521742</v>
      </c>
      <c r="F152" s="11">
        <f>SUM(Data!DI153,Data!DK153,Data!DM153,Data!DO153,Data!DQ153,Data!DS153,Data!DU153,Data!DW153,Data!DY153,Data!EA153,Data!EC153,Data!EE153,Data!EG153,Data!EI153,Data!EK153,Data!EM153,Data!EO153,Data!EQ153,Data!ES153)</f>
        <v>4976.6347826086949</v>
      </c>
      <c r="G152" s="11">
        <f>F152-E152</f>
        <v>-370.7739130434793</v>
      </c>
      <c r="H152" s="13">
        <f>IF(E152=0,IF(F152&gt;0,"New",0),(F152-E152)/E152)</f>
        <v>-6.9337118994653432E-2</v>
      </c>
      <c r="I152" s="12">
        <f>SUM(Data!J153,Data!L153,Data!N153,Data!P153,Data!R153,Data!T153,Data!V153,Data!X153,Data!Z153,Data!AB153,Data!AD153,Data!AF153,Data!AH153,Data!AJ153,Data!AL153,Data!AN153,Data!AP153,Data!AR153,Data!AT153)</f>
        <v>37.804000000000009</v>
      </c>
      <c r="J152" s="12">
        <f>SUM(Data!DJ153,Data!DL153,Data!DN153,Data!DP153,Data!DR153,Data!DT153,Data!DV153,Data!DX153,Data!DZ153,Data!EB153,Data!ED153,Data!EF153,Data!EH153,Data!EJ153,Data!EL153,Data!EN153,Data!EP153,Data!ER153,Data!ET153)</f>
        <v>33.774000000000001</v>
      </c>
      <c r="K152" s="12">
        <f>J152-I152</f>
        <v>-4.0300000000000082</v>
      </c>
      <c r="L152" s="13">
        <f>IF(I152=0,IF(J152&gt;0,"New",0),(J152-I152)/I152)</f>
        <v>-0.10660247592847337</v>
      </c>
      <c r="M152" t="str">
        <f>IF(F152=0,"No 2026 Sales",IF(E152=0,"New Product",IF(AND(ISNUMBER(H152),H152&gt;0.1),"↑ Strong Growth",IF(AND(ISNUMBER(H152),H152&gt;0),"↗ Growth",IF(AND(ISNUMBER(H152),H152&lt;-0.1),"↓ Strong Decline",IF(AND(ISNUMBER(H152),H152&lt;0),"↘ Decline","→ Stable"))))))</f>
        <v>↘ Decline</v>
      </c>
    </row>
    <row r="153" spans="1:13" x14ac:dyDescent="0.35">
      <c r="A153">
        <f>Data!A154</f>
        <v>204</v>
      </c>
      <c r="B153" t="str">
        <f>Data!B154</f>
        <v>LAMB</v>
      </c>
      <c r="C153" s="9">
        <f>Data!C154</f>
        <v>34249</v>
      </c>
      <c r="D153" s="10" t="s">
        <v>934</v>
      </c>
      <c r="E153" s="11">
        <f>SUM(Data!I154,Data!K154,Data!M154,Data!O154,Data!Q154,Data!S154,Data!U154,Data!W154,Data!Y154,Data!AA154,Data!AC154,Data!AE154,Data!AG154,Data!AI154,Data!AK154,Data!AM154,Data!AO154,Data!AQ154,Data!AS154)</f>
        <v>5356.2695652173907</v>
      </c>
      <c r="F153" s="11">
        <f>SUM(Data!DI154,Data!DK154,Data!DM154,Data!DO154,Data!DQ154,Data!DS154,Data!DU154,Data!DW154,Data!DY154,Data!EA154,Data!EC154,Data!EE154,Data!EG154,Data!EI154,Data!EK154,Data!EM154,Data!EO154,Data!EQ154,Data!ES154)</f>
        <v>6099.9565217391291</v>
      </c>
      <c r="G153" s="11">
        <f>F153-E153</f>
        <v>743.68695652173847</v>
      </c>
      <c r="H153" s="13">
        <f>IF(E153=0,IF(F153&gt;0,"New",0),(F153-E153)/E153)</f>
        <v>0.1388441988340359</v>
      </c>
      <c r="I153" s="12">
        <f>SUM(Data!J154,Data!L154,Data!N154,Data!P154,Data!R154,Data!T154,Data!V154,Data!X154,Data!Z154,Data!AB154,Data!AD154,Data!AF154,Data!AH154,Data!AJ154,Data!AL154,Data!AN154,Data!AP154,Data!AR154,Data!AT154)</f>
        <v>35.340000000000003</v>
      </c>
      <c r="J153" s="12">
        <f>SUM(Data!DJ154,Data!DL154,Data!DN154,Data!DP154,Data!DR154,Data!DT154,Data!DV154,Data!DX154,Data!DZ154,Data!EB154,Data!ED154,Data!EF154,Data!EH154,Data!EJ154,Data!EL154,Data!EN154,Data!EP154,Data!ER154,Data!ET154)</f>
        <v>39.189000000000007</v>
      </c>
      <c r="K153" s="12">
        <f>J153-I153</f>
        <v>3.8490000000000038</v>
      </c>
      <c r="L153" s="13">
        <f>IF(I153=0,IF(J153&gt;0,"New",0),(J153-I153)/I153)</f>
        <v>0.10891341256366732</v>
      </c>
      <c r="M153" t="str">
        <f>IF(F153=0,"No 2026 Sales",IF(E153=0,"New Product",IF(AND(ISNUMBER(H153),H153&gt;0.1),"↑ Strong Growth",IF(AND(ISNUMBER(H153),H153&gt;0),"↗ Growth",IF(AND(ISNUMBER(H153),H153&lt;-0.1),"↓ Strong Decline",IF(AND(ISNUMBER(H153),H153&lt;0),"↘ Decline","→ Stable"))))))</f>
        <v>↑ Strong Growth</v>
      </c>
    </row>
    <row r="154" spans="1:13" x14ac:dyDescent="0.35">
      <c r="A154">
        <f>Data!A155</f>
        <v>204</v>
      </c>
      <c r="B154" t="str">
        <f>Data!B155</f>
        <v>LAMB</v>
      </c>
      <c r="C154" s="9">
        <f>Data!C155</f>
        <v>34250</v>
      </c>
      <c r="D154" s="10" t="s">
        <v>935</v>
      </c>
      <c r="E154" s="11">
        <f>SUM(Data!I155,Data!K155,Data!M155,Data!O155,Data!Q155,Data!S155,Data!U155,Data!W155,Data!Y155,Data!AA155,Data!AC155,Data!AE155,Data!AG155,Data!AI155,Data!AK155,Data!AM155,Data!AO155,Data!AQ155,Data!AS155)</f>
        <v>11786.278260869563</v>
      </c>
      <c r="F154" s="11">
        <f>SUM(Data!DI155,Data!DK155,Data!DM155,Data!DO155,Data!DQ155,Data!DS155,Data!DU155,Data!DW155,Data!DY155,Data!EA155,Data!EC155,Data!EE155,Data!EG155,Data!EI155,Data!EK155,Data!EM155,Data!EO155,Data!EQ155,Data!ES155)</f>
        <v>15577.869565217392</v>
      </c>
      <c r="G154" s="11">
        <f>F154-E154</f>
        <v>3791.5913043478286</v>
      </c>
      <c r="H154" s="13">
        <f>IF(E154=0,IF(F154&gt;0,"New",0),(F154-E154)/E154)</f>
        <v>0.32169538343040055</v>
      </c>
      <c r="I154" s="12">
        <f>SUM(Data!J155,Data!L155,Data!N155,Data!P155,Data!R155,Data!T155,Data!V155,Data!X155,Data!Z155,Data!AB155,Data!AD155,Data!AF155,Data!AH155,Data!AJ155,Data!AL155,Data!AN155,Data!AP155,Data!AR155,Data!AT155)</f>
        <v>79.113</v>
      </c>
      <c r="J154" s="12">
        <f>SUM(Data!DJ155,Data!DL155,Data!DN155,Data!DP155,Data!DR155,Data!DT155,Data!DV155,Data!DX155,Data!DZ155,Data!EB155,Data!ED155,Data!EF155,Data!EH155,Data!EJ155,Data!EL155,Data!EN155,Data!EP155,Data!ER155,Data!ET155)</f>
        <v>97.144000000000005</v>
      </c>
      <c r="K154" s="12">
        <f>J154-I154</f>
        <v>18.031000000000006</v>
      </c>
      <c r="L154" s="13">
        <f>IF(I154=0,IF(J154&gt;0,"New",0),(J154-I154)/I154)</f>
        <v>0.22791450204138392</v>
      </c>
      <c r="M154" t="str">
        <f>IF(F154=0,"No 2026 Sales",IF(E154=0,"New Product",IF(AND(ISNUMBER(H154),H154&gt;0.1),"↑ Strong Growth",IF(AND(ISNUMBER(H154),H154&gt;0),"↗ Growth",IF(AND(ISNUMBER(H154),H154&lt;-0.1),"↓ Strong Decline",IF(AND(ISNUMBER(H154),H154&lt;0),"↘ Decline","→ Stable"))))))</f>
        <v>↑ Strong Growth</v>
      </c>
    </row>
    <row r="155" spans="1:13" hidden="1" x14ac:dyDescent="0.35">
      <c r="A155">
        <f>Data!A156</f>
        <v>204</v>
      </c>
      <c r="B155" t="str">
        <f>Data!B156</f>
        <v>LAMB</v>
      </c>
      <c r="C155" s="9">
        <f>Data!C156</f>
        <v>34251</v>
      </c>
      <c r="D155" s="10" t="s">
        <v>936</v>
      </c>
      <c r="E155" s="11">
        <f>SUM(Data!I156,Data!K156,Data!M156,Data!O156,Data!Q156,Data!S156,Data!U156,Data!W156,Data!Y156,Data!AA156,Data!AC156,Data!AE156,Data!AG156,Data!AI156,Data!AK156,Data!AM156,Data!AO156,Data!AQ156,Data!AS156)</f>
        <v>6313.4173913043469</v>
      </c>
      <c r="F155" s="11">
        <f>SUM(Data!DI156,Data!DK156,Data!DM156,Data!DO156,Data!DQ156,Data!DS156,Data!DU156,Data!DW156,Data!DY156,Data!EA156,Data!EC156,Data!EE156,Data!EG156,Data!EI156,Data!EK156,Data!EM156,Data!EO156,Data!EQ156,Data!ES156)</f>
        <v>0</v>
      </c>
      <c r="G155" s="11">
        <f>F155-E155</f>
        <v>-6313.4173913043469</v>
      </c>
      <c r="H155">
        <f>IF(E155=0,IF(F155&gt;0,"New",0),(F155-E155)/E155)</f>
        <v>-1</v>
      </c>
      <c r="I155" s="12">
        <f>SUM(Data!J156,Data!L156,Data!N156,Data!P156,Data!R156,Data!T156,Data!V156,Data!X156,Data!Z156,Data!AB156,Data!AD156,Data!AF156,Data!AH156,Data!AJ156,Data!AL156,Data!AN156,Data!AP156,Data!AR156,Data!AT156)</f>
        <v>51.898000000000003</v>
      </c>
      <c r="J155" s="12">
        <f>SUM(Data!DJ156,Data!DL156,Data!DN156,Data!DP156,Data!DR156,Data!DT156,Data!DV156,Data!DX156,Data!DZ156,Data!EB156,Data!ED156,Data!EF156,Data!EH156,Data!EJ156,Data!EL156,Data!EN156,Data!EP156,Data!ER156,Data!ET156)</f>
        <v>0</v>
      </c>
      <c r="K155" s="12">
        <f>J155-I155</f>
        <v>-51.898000000000003</v>
      </c>
      <c r="L155">
        <f>IF(I155=0,IF(J155&gt;0,"New",0),(J155-I155)/I155)</f>
        <v>-1</v>
      </c>
      <c r="M155" t="str">
        <f>IF(F155=0,"No 2026 Sales",IF(E155=0,"New Product",IF(AND(ISNUMBER(H155),H155&gt;0.1),"↑ Strong Growth",IF(AND(ISNUMBER(H155),H155&gt;0),"↗ Growth",IF(AND(ISNUMBER(H155),H155&lt;-0.1),"↓ Strong Decline",IF(AND(ISNUMBER(H155),H155&lt;0),"↘ Decline","→ Stable"))))))</f>
        <v>No 2026 Sales</v>
      </c>
    </row>
    <row r="156" spans="1:13" x14ac:dyDescent="0.35">
      <c r="A156">
        <f>Data!A157</f>
        <v>204</v>
      </c>
      <c r="B156" t="str">
        <f>Data!B157</f>
        <v>LAMB</v>
      </c>
      <c r="C156" s="9">
        <f>Data!C157</f>
        <v>39811</v>
      </c>
      <c r="D156" s="10" t="s">
        <v>937</v>
      </c>
      <c r="E156" s="11">
        <f>SUM(Data!I157,Data!K157,Data!M157,Data!O157,Data!Q157,Data!S157,Data!U157,Data!W157,Data!Y157,Data!AA157,Data!AC157,Data!AE157,Data!AG157,Data!AI157,Data!AK157,Data!AM157,Data!AO157,Data!AQ157,Data!AS157)</f>
        <v>28254.28695652173</v>
      </c>
      <c r="F156" s="11">
        <f>SUM(Data!DI157,Data!DK157,Data!DM157,Data!DO157,Data!DQ157,Data!DS157,Data!DU157,Data!DW157,Data!DY157,Data!EA157,Data!EC157,Data!EE157,Data!EG157,Data!EI157,Data!EK157,Data!EM157,Data!EO157,Data!EQ157,Data!ES157)</f>
        <v>29434.373913043462</v>
      </c>
      <c r="G156" s="11">
        <f>F156-E156</f>
        <v>1180.0869565217326</v>
      </c>
      <c r="H156" s="13">
        <f>IF(E156=0,IF(F156&gt;0,"New",0),(F156-E156)/E156)</f>
        <v>4.1766651493901595E-2</v>
      </c>
      <c r="I156" s="12">
        <f>SUM(Data!J157,Data!L157,Data!N157,Data!P157,Data!R157,Data!T157,Data!V157,Data!X157,Data!Z157,Data!AB157,Data!AD157,Data!AF157,Data!AH157,Data!AJ157,Data!AL157,Data!AN157,Data!AP157,Data!AR157,Data!AT157)</f>
        <v>172.39</v>
      </c>
      <c r="J156" s="12">
        <f>SUM(Data!DJ157,Data!DL157,Data!DN157,Data!DP157,Data!DR157,Data!DT157,Data!DV157,Data!DX157,Data!DZ157,Data!EB157,Data!ED157,Data!EF157,Data!EH157,Data!EJ157,Data!EL157,Data!EN157,Data!EP157,Data!ER157,Data!ET157)</f>
        <v>157.78599999999997</v>
      </c>
      <c r="K156" s="12">
        <f>J156-I156</f>
        <v>-14.604000000000013</v>
      </c>
      <c r="L156" s="13">
        <f>IF(I156=0,IF(J156&gt;0,"New",0),(J156-I156)/I156)</f>
        <v>-8.471489065491046E-2</v>
      </c>
      <c r="M156" t="str">
        <f>IF(F156=0,"No 2026 Sales",IF(E156=0,"New Product",IF(AND(ISNUMBER(H156),H156&gt;0.1),"↑ Strong Growth",IF(AND(ISNUMBER(H156),H156&gt;0),"↗ Growth",IF(AND(ISNUMBER(H156),H156&lt;-0.1),"↓ Strong Decline",IF(AND(ISNUMBER(H156),H156&lt;0),"↘ Decline","→ Stable"))))))</f>
        <v>↗ Growth</v>
      </c>
    </row>
    <row r="157" spans="1:13" hidden="1" x14ac:dyDescent="0.35">
      <c r="A157">
        <f>Data!A158</f>
        <v>204</v>
      </c>
      <c r="B157" t="str">
        <f>Data!B158</f>
        <v>LAMB</v>
      </c>
      <c r="C157" s="9">
        <f>Data!C158</f>
        <v>44899</v>
      </c>
      <c r="D157" s="10" t="s">
        <v>938</v>
      </c>
      <c r="E157" s="11">
        <f>SUM(Data!I158,Data!K158,Data!M158,Data!O158,Data!Q158,Data!S158,Data!U158,Data!W158,Data!Y158,Data!AA158,Data!AC158,Data!AE158,Data!AG158,Data!AI158,Data!AK158,Data!AM158,Data!AO158,Data!AQ158,Data!AS158)</f>
        <v>6276.0260869565236</v>
      </c>
      <c r="F157" s="11">
        <f>SUM(Data!DI158,Data!DK158,Data!DM158,Data!DO158,Data!DQ158,Data!DS158,Data!DU158,Data!DW158,Data!DY158,Data!EA158,Data!EC158,Data!EE158,Data!EG158,Data!EI158,Data!EK158,Data!EM158,Data!EO158,Data!EQ158,Data!ES158)</f>
        <v>0</v>
      </c>
      <c r="G157" s="11">
        <f>F157-E157</f>
        <v>-6276.0260869565236</v>
      </c>
      <c r="H157">
        <f>IF(E157=0,IF(F157&gt;0,"New",0),(F157-E157)/E157)</f>
        <v>-1</v>
      </c>
      <c r="I157" s="12">
        <f>SUM(Data!J158,Data!L158,Data!N158,Data!P158,Data!R158,Data!T158,Data!V158,Data!X158,Data!Z158,Data!AB158,Data!AD158,Data!AF158,Data!AH158,Data!AJ158,Data!AL158,Data!AN158,Data!AP158,Data!AR158,Data!AT158)</f>
        <v>42.551999999999992</v>
      </c>
      <c r="J157" s="12">
        <f>SUM(Data!DJ158,Data!DL158,Data!DN158,Data!DP158,Data!DR158,Data!DT158,Data!DV158,Data!DX158,Data!DZ158,Data!EB158,Data!ED158,Data!EF158,Data!EH158,Data!EJ158,Data!EL158,Data!EN158,Data!EP158,Data!ER158,Data!ET158)</f>
        <v>0</v>
      </c>
      <c r="K157" s="12">
        <f>J157-I157</f>
        <v>-42.551999999999992</v>
      </c>
      <c r="L157">
        <f>IF(I157=0,IF(J157&gt;0,"New",0),(J157-I157)/I157)</f>
        <v>-1</v>
      </c>
      <c r="M157" t="str">
        <f>IF(F157=0,"No 2026 Sales",IF(E157=0,"New Product",IF(AND(ISNUMBER(H157),H157&gt;0.1),"↑ Strong Growth",IF(AND(ISNUMBER(H157),H157&gt;0),"↗ Growth",IF(AND(ISNUMBER(H157),H157&lt;-0.1),"↓ Strong Decline",IF(AND(ISNUMBER(H157),H157&lt;0),"↘ Decline","→ Stable"))))))</f>
        <v>No 2026 Sales</v>
      </c>
    </row>
    <row r="158" spans="1:13" x14ac:dyDescent="0.35">
      <c r="A158">
        <f>Data!A159</f>
        <v>204</v>
      </c>
      <c r="B158" t="str">
        <f>Data!B159</f>
        <v>LAMB</v>
      </c>
      <c r="C158" s="9">
        <f>Data!C159</f>
        <v>44900</v>
      </c>
      <c r="D158" s="10" t="s">
        <v>939</v>
      </c>
      <c r="E158" s="11">
        <f>SUM(Data!I159,Data!K159,Data!M159,Data!O159,Data!Q159,Data!S159,Data!U159,Data!W159,Data!Y159,Data!AA159,Data!AC159,Data!AE159,Data!AG159,Data!AI159,Data!AK159,Data!AM159,Data!AO159,Data!AQ159,Data!AS159)</f>
        <v>635.95652173913004</v>
      </c>
      <c r="F158" s="11">
        <f>SUM(Data!DI159,Data!DK159,Data!DM159,Data!DO159,Data!DQ159,Data!DS159,Data!DU159,Data!DW159,Data!DY159,Data!EA159,Data!EC159,Data!EE159,Data!EG159,Data!EI159,Data!EK159,Data!EM159,Data!EO159,Data!EQ159,Data!ES159)</f>
        <v>73.730434782608697</v>
      </c>
      <c r="G158" s="11">
        <f>F158-E158</f>
        <v>-562.22608695652139</v>
      </c>
      <c r="H158" s="13">
        <f>IF(E158=0,IF(F158&gt;0,"New",0),(F158-E158)/E158)</f>
        <v>-0.88406371778218362</v>
      </c>
      <c r="I158" s="12">
        <f>SUM(Data!J159,Data!L159,Data!N159,Data!P159,Data!R159,Data!T159,Data!V159,Data!X159,Data!Z159,Data!AB159,Data!AD159,Data!AF159,Data!AH159,Data!AJ159,Data!AL159,Data!AN159,Data!AP159,Data!AR159,Data!AT159)</f>
        <v>4.6959999999999997</v>
      </c>
      <c r="J158" s="12">
        <f>SUM(Data!DJ159,Data!DL159,Data!DN159,Data!DP159,Data!DR159,Data!DT159,Data!DV159,Data!DX159,Data!DZ159,Data!EB159,Data!ED159,Data!EF159,Data!EH159,Data!EJ159,Data!EL159,Data!EN159,Data!EP159,Data!ER159,Data!ET159)</f>
        <v>0.53</v>
      </c>
      <c r="K158" s="12">
        <f>J158-I158</f>
        <v>-4.1659999999999995</v>
      </c>
      <c r="L158" s="13">
        <f>IF(I158=0,IF(J158&gt;0,"New",0),(J158-I158)/I158)</f>
        <v>-0.88713798977853486</v>
      </c>
      <c r="M158" t="str">
        <f>IF(F158=0,"No 2026 Sales",IF(E158=0,"New Product",IF(AND(ISNUMBER(H158),H158&gt;0.1),"↑ Strong Growth",IF(AND(ISNUMBER(H158),H158&gt;0),"↗ Growth",IF(AND(ISNUMBER(H158),H158&lt;-0.1),"↓ Strong Decline",IF(AND(ISNUMBER(H158),H158&lt;0),"↘ Decline","→ Stable"))))))</f>
        <v>↓ Strong Decline</v>
      </c>
    </row>
    <row r="159" spans="1:13" hidden="1" x14ac:dyDescent="0.35">
      <c r="A159">
        <f>Data!A160</f>
        <v>204</v>
      </c>
      <c r="B159" t="str">
        <f>Data!B160</f>
        <v>LAMB</v>
      </c>
      <c r="C159" s="9">
        <f>Data!C160</f>
        <v>45494</v>
      </c>
      <c r="D159" s="10" t="s">
        <v>940</v>
      </c>
      <c r="E159" s="11">
        <f>SUM(Data!I160,Data!K160,Data!M160,Data!O160,Data!Q160,Data!S160,Data!U160,Data!W160,Data!Y160,Data!AA160,Data!AC160,Data!AE160,Data!AG160,Data!AI160,Data!AK160,Data!AM160,Data!AO160,Data!AQ160,Data!AS160)</f>
        <v>668.269565217391</v>
      </c>
      <c r="F159" s="11">
        <f>SUM(Data!DI160,Data!DK160,Data!DM160,Data!DO160,Data!DQ160,Data!DS160,Data!DU160,Data!DW160,Data!DY160,Data!EA160,Data!EC160,Data!EE160,Data!EG160,Data!EI160,Data!EK160,Data!EM160,Data!EO160,Data!EQ160,Data!ES160)</f>
        <v>0</v>
      </c>
      <c r="G159" s="11">
        <f>F159-E159</f>
        <v>-668.269565217391</v>
      </c>
      <c r="H159">
        <f>IF(E159=0,IF(F159&gt;0,"New",0),(F159-E159)/E159)</f>
        <v>-1</v>
      </c>
      <c r="I159" s="12">
        <f>SUM(Data!J160,Data!L160,Data!N160,Data!P160,Data!R160,Data!T160,Data!V160,Data!X160,Data!Z160,Data!AB160,Data!AD160,Data!AF160,Data!AH160,Data!AJ160,Data!AL160,Data!AN160,Data!AP160,Data!AR160,Data!AT160)</f>
        <v>5.1859999999999999</v>
      </c>
      <c r="J159" s="12">
        <f>SUM(Data!DJ160,Data!DL160,Data!DN160,Data!DP160,Data!DR160,Data!DT160,Data!DV160,Data!DX160,Data!DZ160,Data!EB160,Data!ED160,Data!EF160,Data!EH160,Data!EJ160,Data!EL160,Data!EN160,Data!EP160,Data!ER160,Data!ET160)</f>
        <v>0</v>
      </c>
      <c r="K159" s="12">
        <f>J159-I159</f>
        <v>-5.1859999999999999</v>
      </c>
      <c r="L159">
        <f>IF(I159=0,IF(J159&gt;0,"New",0),(J159-I159)/I159)</f>
        <v>-1</v>
      </c>
      <c r="M159" t="str">
        <f>IF(F159=0,"No 2026 Sales",IF(E159=0,"New Product",IF(AND(ISNUMBER(H159),H159&gt;0.1),"↑ Strong Growth",IF(AND(ISNUMBER(H159),H159&gt;0),"↗ Growth",IF(AND(ISNUMBER(H159),H159&lt;-0.1),"↓ Strong Decline",IF(AND(ISNUMBER(H159),H159&lt;0),"↘ Decline","→ Stable"))))))</f>
        <v>No 2026 Sales</v>
      </c>
    </row>
    <row r="160" spans="1:13" hidden="1" x14ac:dyDescent="0.35">
      <c r="A160">
        <f>Data!A161</f>
        <v>204</v>
      </c>
      <c r="B160" t="str">
        <f>Data!B161</f>
        <v>LAMB</v>
      </c>
      <c r="C160" s="9">
        <f>Data!C161</f>
        <v>45495</v>
      </c>
      <c r="D160" s="10" t="s">
        <v>941</v>
      </c>
      <c r="E160" s="11">
        <f>SUM(Data!I161,Data!K161,Data!M161,Data!O161,Data!Q161,Data!S161,Data!U161,Data!W161,Data!Y161,Data!AA161,Data!AC161,Data!AE161,Data!AG161,Data!AI161,Data!AK161,Data!AM161,Data!AO161,Data!AQ161,Data!AS161)</f>
        <v>867.44347826086903</v>
      </c>
      <c r="F160" s="11">
        <f>SUM(Data!DI161,Data!DK161,Data!DM161,Data!DO161,Data!DQ161,Data!DS161,Data!DU161,Data!DW161,Data!DY161,Data!EA161,Data!EC161,Data!EE161,Data!EG161,Data!EI161,Data!EK161,Data!EM161,Data!EO161,Data!EQ161,Data!ES161)</f>
        <v>0</v>
      </c>
      <c r="G160" s="11">
        <f>F160-E160</f>
        <v>-867.44347826086903</v>
      </c>
      <c r="H160">
        <f>IF(E160=0,IF(F160&gt;0,"New",0),(F160-E160)/E160)</f>
        <v>-1</v>
      </c>
      <c r="I160" s="12">
        <f>SUM(Data!J161,Data!L161,Data!N161,Data!P161,Data!R161,Data!T161,Data!V161,Data!X161,Data!Z161,Data!AB161,Data!AD161,Data!AF161,Data!AH161,Data!AJ161,Data!AL161,Data!AN161,Data!AP161,Data!AR161,Data!AT161)</f>
        <v>6.3949999999999996</v>
      </c>
      <c r="J160" s="12">
        <f>SUM(Data!DJ161,Data!DL161,Data!DN161,Data!DP161,Data!DR161,Data!DT161,Data!DV161,Data!DX161,Data!DZ161,Data!EB161,Data!ED161,Data!EF161,Data!EH161,Data!EJ161,Data!EL161,Data!EN161,Data!EP161,Data!ER161,Data!ET161)</f>
        <v>0</v>
      </c>
      <c r="K160" s="12">
        <f>J160-I160</f>
        <v>-6.3949999999999996</v>
      </c>
      <c r="L160">
        <f>IF(I160=0,IF(J160&gt;0,"New",0),(J160-I160)/I160)</f>
        <v>-1</v>
      </c>
      <c r="M160" t="str">
        <f>IF(F160=0,"No 2026 Sales",IF(E160=0,"New Product",IF(AND(ISNUMBER(H160),H160&gt;0.1),"↑ Strong Growth",IF(AND(ISNUMBER(H160),H160&gt;0),"↗ Growth",IF(AND(ISNUMBER(H160),H160&lt;-0.1),"↓ Strong Decline",IF(AND(ISNUMBER(H160),H160&lt;0),"↘ Decline","→ Stable"))))))</f>
        <v>No 2026 Sales</v>
      </c>
    </row>
    <row r="161" spans="1:13" x14ac:dyDescent="0.35">
      <c r="A161">
        <f>Data!A162</f>
        <v>204</v>
      </c>
      <c r="B161" t="str">
        <f>Data!B162</f>
        <v>LAMB</v>
      </c>
      <c r="C161" s="9">
        <f>Data!C162</f>
        <v>45848</v>
      </c>
      <c r="D161" s="10" t="s">
        <v>942</v>
      </c>
      <c r="E161" s="11">
        <f>SUM(Data!I162,Data!K162,Data!M162,Data!O162,Data!Q162,Data!S162,Data!U162,Data!W162,Data!Y162,Data!AA162,Data!AC162,Data!AE162,Data!AG162,Data!AI162,Data!AK162,Data!AM162,Data!AO162,Data!AQ162,Data!AS162)</f>
        <v>3361.6608695652171</v>
      </c>
      <c r="F161" s="11">
        <f>SUM(Data!DI162,Data!DK162,Data!DM162,Data!DO162,Data!DQ162,Data!DS162,Data!DU162,Data!DW162,Data!DY162,Data!EA162,Data!EC162,Data!EE162,Data!EG162,Data!EI162,Data!EK162,Data!EM162,Data!EO162,Data!EQ162,Data!ES162)</f>
        <v>10514.869565217388</v>
      </c>
      <c r="G161" s="11">
        <f>F161-E161</f>
        <v>7153.2086956521707</v>
      </c>
      <c r="H161" s="13">
        <f>IF(E161=0,IF(F161&gt;0,"New",0),(F161-E161)/E161)</f>
        <v>2.127879335007798</v>
      </c>
      <c r="I161" s="12">
        <f>SUM(Data!J162,Data!L162,Data!N162,Data!P162,Data!R162,Data!T162,Data!V162,Data!X162,Data!Z162,Data!AB162,Data!AD162,Data!AF162,Data!AH162,Data!AJ162,Data!AL162,Data!AN162,Data!AP162,Data!AR162,Data!AT162)</f>
        <v>23.588000000000001</v>
      </c>
      <c r="J161" s="12">
        <f>SUM(Data!DJ162,Data!DL162,Data!DN162,Data!DP162,Data!DR162,Data!DT162,Data!DV162,Data!DX162,Data!DZ162,Data!EB162,Data!ED162,Data!EF162,Data!EH162,Data!EJ162,Data!EL162,Data!EN162,Data!EP162,Data!ER162,Data!ET162)</f>
        <v>69.383999999999986</v>
      </c>
      <c r="K161" s="12">
        <f>J161-I161</f>
        <v>45.795999999999985</v>
      </c>
      <c r="L161" s="13">
        <f>IF(I161=0,IF(J161&gt;0,"New",0),(J161-I161)/I161)</f>
        <v>1.9414956757673387</v>
      </c>
      <c r="M161" t="str">
        <f>IF(F161=0,"No 2026 Sales",IF(E161=0,"New Product",IF(AND(ISNUMBER(H161),H161&gt;0.1),"↑ Strong Growth",IF(AND(ISNUMBER(H161),H161&gt;0),"↗ Growth",IF(AND(ISNUMBER(H161),H161&lt;-0.1),"↓ Strong Decline",IF(AND(ISNUMBER(H161),H161&lt;0),"↘ Decline","→ Stable"))))))</f>
        <v>↑ Strong Growth</v>
      </c>
    </row>
    <row r="162" spans="1:13" x14ac:dyDescent="0.35">
      <c r="A162">
        <f>Data!A163</f>
        <v>204</v>
      </c>
      <c r="B162" t="str">
        <f>Data!B163</f>
        <v>LAMB</v>
      </c>
      <c r="C162" s="9">
        <f>Data!C163</f>
        <v>50339</v>
      </c>
      <c r="D162" s="10" t="s">
        <v>943</v>
      </c>
      <c r="E162" s="11">
        <f>SUM(Data!I163,Data!K163,Data!M163,Data!O163,Data!Q163,Data!S163,Data!U163,Data!W163,Data!Y163,Data!AA163,Data!AC163,Data!AE163,Data!AG163,Data!AI163,Data!AK163,Data!AM163,Data!AO163,Data!AQ163,Data!AS163)</f>
        <v>1732.4347826086946</v>
      </c>
      <c r="F162" s="11">
        <f>SUM(Data!DI163,Data!DK163,Data!DM163,Data!DO163,Data!DQ163,Data!DS163,Data!DU163,Data!DW163,Data!DY163,Data!EA163,Data!EC163,Data!EE163,Data!EG163,Data!EI163,Data!EK163,Data!EM163,Data!EO163,Data!EQ163,Data!ES163)</f>
        <v>1851.5739130434781</v>
      </c>
      <c r="G162" s="11">
        <f>F162-E162</f>
        <v>119.13913043478351</v>
      </c>
      <c r="H162" s="13">
        <f>IF(E162=0,IF(F162&gt;0,"New",0),(F162-E162)/E162)</f>
        <v>6.876976358982137E-2</v>
      </c>
      <c r="I162" s="12">
        <f>SUM(Data!J163,Data!L163,Data!N163,Data!P163,Data!R163,Data!T163,Data!V163,Data!X163,Data!Z163,Data!AB163,Data!AD163,Data!AF163,Data!AH163,Data!AJ163,Data!AL163,Data!AN163,Data!AP163,Data!AR163,Data!AT163)</f>
        <v>28.496000000000002</v>
      </c>
      <c r="J162" s="12">
        <f>SUM(Data!DJ163,Data!DL163,Data!DN163,Data!DP163,Data!DR163,Data!DT163,Data!DV163,Data!DX163,Data!DZ163,Data!EB163,Data!ED163,Data!EF163,Data!EH163,Data!EJ163,Data!EL163,Data!EN163,Data!EP163,Data!ER163,Data!ET163)</f>
        <v>26.726000000000003</v>
      </c>
      <c r="K162" s="12">
        <f>J162-I162</f>
        <v>-1.7699999999999996</v>
      </c>
      <c r="L162" s="13">
        <f>IF(I162=0,IF(J162&gt;0,"New",0),(J162-I162)/I162)</f>
        <v>-6.2113980909601331E-2</v>
      </c>
      <c r="M162" t="str">
        <f>IF(F162=0,"No 2026 Sales",IF(E162=0,"New Product",IF(AND(ISNUMBER(H162),H162&gt;0.1),"↑ Strong Growth",IF(AND(ISNUMBER(H162),H162&gt;0),"↗ Growth",IF(AND(ISNUMBER(H162),H162&lt;-0.1),"↓ Strong Decline",IF(AND(ISNUMBER(H162),H162&lt;0),"↘ Decline","→ Stable"))))))</f>
        <v>↗ Growth</v>
      </c>
    </row>
    <row r="163" spans="1:13" hidden="1" x14ac:dyDescent="0.35">
      <c r="A163">
        <f>Data!A164</f>
        <v>204</v>
      </c>
      <c r="B163" t="str">
        <f>Data!B164</f>
        <v>LAMB</v>
      </c>
      <c r="C163" s="9">
        <f>Data!C164</f>
        <v>52683</v>
      </c>
      <c r="D163" s="10" t="s">
        <v>944</v>
      </c>
      <c r="E163" s="11">
        <f>SUM(Data!I164,Data!K164,Data!M164,Data!O164,Data!Q164,Data!S164,Data!U164,Data!W164,Data!Y164,Data!AA164,Data!AC164,Data!AE164,Data!AG164,Data!AI164,Data!AK164,Data!AM164,Data!AO164,Data!AQ164,Data!AS164)</f>
        <v>3192.0695652173931</v>
      </c>
      <c r="F163" s="11">
        <f>SUM(Data!DI164,Data!DK164,Data!DM164,Data!DO164,Data!DQ164,Data!DS164,Data!DU164,Data!DW164,Data!DY164,Data!EA164,Data!EC164,Data!EE164,Data!EG164,Data!EI164,Data!EK164,Data!EM164,Data!EO164,Data!EQ164,Data!ES164)</f>
        <v>0</v>
      </c>
      <c r="G163" s="11">
        <f>F163-E163</f>
        <v>-3192.0695652173931</v>
      </c>
      <c r="H163">
        <f>IF(E163=0,IF(F163&gt;0,"New",0),(F163-E163)/E163)</f>
        <v>-1</v>
      </c>
      <c r="I163" s="12">
        <f>SUM(Data!J164,Data!L164,Data!N164,Data!P164,Data!R164,Data!T164,Data!V164,Data!X164,Data!Z164,Data!AB164,Data!AD164,Data!AF164,Data!AH164,Data!AJ164,Data!AL164,Data!AN164,Data!AP164,Data!AR164,Data!AT164)</f>
        <v>35.928999999999995</v>
      </c>
      <c r="J163" s="12">
        <f>SUM(Data!DJ164,Data!DL164,Data!DN164,Data!DP164,Data!DR164,Data!DT164,Data!DV164,Data!DX164,Data!DZ164,Data!EB164,Data!ED164,Data!EF164,Data!EH164,Data!EJ164,Data!EL164,Data!EN164,Data!EP164,Data!ER164,Data!ET164)</f>
        <v>0</v>
      </c>
      <c r="K163" s="12">
        <f>J163-I163</f>
        <v>-35.928999999999995</v>
      </c>
      <c r="L163">
        <f>IF(I163=0,IF(J163&gt;0,"New",0),(J163-I163)/I163)</f>
        <v>-1</v>
      </c>
      <c r="M163" t="str">
        <f>IF(F163=0,"No 2026 Sales",IF(E163=0,"New Product",IF(AND(ISNUMBER(H163),H163&gt;0.1),"↑ Strong Growth",IF(AND(ISNUMBER(H163),H163&gt;0),"↗ Growth",IF(AND(ISNUMBER(H163),H163&lt;-0.1),"↓ Strong Decline",IF(AND(ISNUMBER(H163),H163&lt;0),"↘ Decline","→ Stable"))))))</f>
        <v>No 2026 Sales</v>
      </c>
    </row>
    <row r="164" spans="1:13" x14ac:dyDescent="0.35">
      <c r="A164">
        <f>Data!A165</f>
        <v>204</v>
      </c>
      <c r="B164" t="str">
        <f>Data!B165</f>
        <v>LAMB</v>
      </c>
      <c r="C164" s="9">
        <f>Data!C165</f>
        <v>55100</v>
      </c>
      <c r="D164" s="10" t="s">
        <v>945</v>
      </c>
      <c r="E164" s="11">
        <f>SUM(Data!I165,Data!K165,Data!M165,Data!O165,Data!Q165,Data!S165,Data!U165,Data!W165,Data!Y165,Data!AA165,Data!AC165,Data!AE165,Data!AG165,Data!AI165,Data!AK165,Data!AM165,Data!AO165,Data!AQ165,Data!AS165)</f>
        <v>0</v>
      </c>
      <c r="F164" s="11">
        <f>SUM(Data!DI165,Data!DK165,Data!DM165,Data!DO165,Data!DQ165,Data!DS165,Data!DU165,Data!DW165,Data!DY165,Data!EA165,Data!EC165,Data!EE165,Data!EG165,Data!EI165,Data!EK165,Data!EM165,Data!EO165,Data!EQ165,Data!ES165)</f>
        <v>18316.982608695642</v>
      </c>
      <c r="G164" s="11">
        <f>F164-E164</f>
        <v>18316.982608695642</v>
      </c>
      <c r="H164" s="13" t="str">
        <f>IF(E164=0,IF(F164&gt;0,"New",0),(F164-E164)/E164)</f>
        <v>New</v>
      </c>
      <c r="I164" s="12">
        <f>SUM(Data!J165,Data!L165,Data!N165,Data!P165,Data!R165,Data!T165,Data!V165,Data!X165,Data!Z165,Data!AB165,Data!AD165,Data!AF165,Data!AH165,Data!AJ165,Data!AL165,Data!AN165,Data!AP165,Data!AR165,Data!AT165)</f>
        <v>0</v>
      </c>
      <c r="J164" s="12">
        <f>SUM(Data!DJ165,Data!DL165,Data!DN165,Data!DP165,Data!DR165,Data!DT165,Data!DV165,Data!DX165,Data!DZ165,Data!EB165,Data!ED165,Data!EF165,Data!EH165,Data!EJ165,Data!EL165,Data!EN165,Data!EP165,Data!ER165,Data!ET165)</f>
        <v>148.31399999999999</v>
      </c>
      <c r="K164" s="12">
        <f>J164-I164</f>
        <v>148.31399999999999</v>
      </c>
      <c r="L164" s="13" t="str">
        <f>IF(I164=0,IF(J164&gt;0,"New",0),(J164-I164)/I164)</f>
        <v>New</v>
      </c>
      <c r="M164" t="str">
        <f>IF(F164=0,"No 2026 Sales",IF(E164=0,"New Product",IF(AND(ISNUMBER(H164),H164&gt;0.1),"↑ Strong Growth",IF(AND(ISNUMBER(H164),H164&gt;0),"↗ Growth",IF(AND(ISNUMBER(H164),H164&lt;-0.1),"↓ Strong Decline",IF(AND(ISNUMBER(H164),H164&lt;0),"↘ Decline","→ Stable"))))))</f>
        <v>New Product</v>
      </c>
    </row>
    <row r="165" spans="1:13" x14ac:dyDescent="0.35">
      <c r="A165">
        <f>Data!A166</f>
        <v>204</v>
      </c>
      <c r="B165" t="str">
        <f>Data!B166</f>
        <v>LAMB</v>
      </c>
      <c r="C165" s="9">
        <f>Data!C166</f>
        <v>59535</v>
      </c>
      <c r="D165" s="10" t="s">
        <v>946</v>
      </c>
      <c r="E165" s="11">
        <f>SUM(Data!I166,Data!K166,Data!M166,Data!O166,Data!Q166,Data!S166,Data!U166,Data!W166,Data!Y166,Data!AA166,Data!AC166,Data!AE166,Data!AG166,Data!AI166,Data!AK166,Data!AM166,Data!AO166,Data!AQ166,Data!AS166)</f>
        <v>1068.1999999999998</v>
      </c>
      <c r="F165" s="11">
        <f>SUM(Data!DI166,Data!DK166,Data!DM166,Data!DO166,Data!DQ166,Data!DS166,Data!DU166,Data!DW166,Data!DY166,Data!EA166,Data!EC166,Data!EE166,Data!EG166,Data!EI166,Data!EK166,Data!EM166,Data!EO166,Data!EQ166,Data!ES166)</f>
        <v>3451.008695652175</v>
      </c>
      <c r="G165" s="11">
        <f>F165-E165</f>
        <v>2382.8086956521752</v>
      </c>
      <c r="H165" s="13">
        <f>IF(E165=0,IF(F165&gt;0,"New",0),(F165-E165)/E165)</f>
        <v>2.2306765546266387</v>
      </c>
      <c r="I165" s="12">
        <f>SUM(Data!J166,Data!L166,Data!N166,Data!P166,Data!R166,Data!T166,Data!V166,Data!X166,Data!Z166,Data!AB166,Data!AD166,Data!AF166,Data!AH166,Data!AJ166,Data!AL166,Data!AN166,Data!AP166,Data!AR166,Data!AT166)</f>
        <v>7.7040000000000006</v>
      </c>
      <c r="J165" s="12">
        <f>SUM(Data!DJ166,Data!DL166,Data!DN166,Data!DP166,Data!DR166,Data!DT166,Data!DV166,Data!DX166,Data!DZ166,Data!EB166,Data!ED166,Data!EF166,Data!EH166,Data!EJ166,Data!EL166,Data!EN166,Data!EP166,Data!ER166,Data!ET166)</f>
        <v>23.415999999999997</v>
      </c>
      <c r="K165" s="12">
        <f>J165-I165</f>
        <v>15.711999999999996</v>
      </c>
      <c r="L165" s="13">
        <f>IF(I165=0,IF(J165&gt;0,"New",0),(J165-I165)/I165)</f>
        <v>2.0394600207684315</v>
      </c>
      <c r="M165" t="str">
        <f>IF(F165=0,"No 2026 Sales",IF(E165=0,"New Product",IF(AND(ISNUMBER(H165),H165&gt;0.1),"↑ Strong Growth",IF(AND(ISNUMBER(H165),H165&gt;0),"↗ Growth",IF(AND(ISNUMBER(H165),H165&lt;-0.1),"↓ Strong Decline",IF(AND(ISNUMBER(H165),H165&lt;0),"↘ Decline","→ Stable"))))))</f>
        <v>↑ Strong Growth</v>
      </c>
    </row>
    <row r="166" spans="1:13" x14ac:dyDescent="0.35">
      <c r="A166">
        <f>Data!A167</f>
        <v>204</v>
      </c>
      <c r="B166" t="str">
        <f>Data!B167</f>
        <v>LAMB</v>
      </c>
      <c r="C166" s="9">
        <f>Data!C167</f>
        <v>63475</v>
      </c>
      <c r="D166" s="10" t="s">
        <v>947</v>
      </c>
      <c r="E166" s="11">
        <f>SUM(Data!I167,Data!K167,Data!M167,Data!O167,Data!Q167,Data!S167,Data!U167,Data!W167,Data!Y167,Data!AA167,Data!AC167,Data!AE167,Data!AG167,Data!AI167,Data!AK167,Data!AM167,Data!AO167,Data!AQ167,Data!AS167)</f>
        <v>0</v>
      </c>
      <c r="F166" s="11">
        <f>SUM(Data!DI167,Data!DK167,Data!DM167,Data!DO167,Data!DQ167,Data!DS167,Data!DU167,Data!DW167,Data!DY167,Data!EA167,Data!EC167,Data!EE167,Data!EG167,Data!EI167,Data!EK167,Data!EM167,Data!EO167,Data!EQ167,Data!ES167)</f>
        <v>5669.9130434782601</v>
      </c>
      <c r="G166" s="11">
        <f>F166-E166</f>
        <v>5669.9130434782601</v>
      </c>
      <c r="H166" s="13" t="str">
        <f>IF(E166=0,IF(F166&gt;0,"New",0),(F166-E166)/E166)</f>
        <v>New</v>
      </c>
      <c r="I166" s="12">
        <f>SUM(Data!J167,Data!L167,Data!N167,Data!P167,Data!R167,Data!T167,Data!V167,Data!X167,Data!Z167,Data!AB167,Data!AD167,Data!AF167,Data!AH167,Data!AJ167,Data!AL167,Data!AN167,Data!AP167,Data!AR167,Data!AT167)</f>
        <v>0</v>
      </c>
      <c r="J166" s="12">
        <f>SUM(Data!DJ167,Data!DL167,Data!DN167,Data!DP167,Data!DR167,Data!DT167,Data!DV167,Data!DX167,Data!DZ167,Data!EB167,Data!ED167,Data!EF167,Data!EH167,Data!EJ167,Data!EL167,Data!EN167,Data!EP167,Data!ER167,Data!ET167)</f>
        <v>50.750999999999998</v>
      </c>
      <c r="K166" s="12">
        <f>J166-I166</f>
        <v>50.750999999999998</v>
      </c>
      <c r="L166" s="13" t="str">
        <f>IF(I166=0,IF(J166&gt;0,"New",0),(J166-I166)/I166)</f>
        <v>New</v>
      </c>
      <c r="M166" t="str">
        <f>IF(F166=0,"No 2026 Sales",IF(E166=0,"New Product",IF(AND(ISNUMBER(H166),H166&gt;0.1),"↑ Strong Growth",IF(AND(ISNUMBER(H166),H166&gt;0),"↗ Growth",IF(AND(ISNUMBER(H166),H166&lt;-0.1),"↓ Strong Decline",IF(AND(ISNUMBER(H166),H166&lt;0),"↘ Decline","→ Stable"))))))</f>
        <v>New Product</v>
      </c>
    </row>
    <row r="167" spans="1:13" x14ac:dyDescent="0.35">
      <c r="A167">
        <f>Data!A168</f>
        <v>204</v>
      </c>
      <c r="B167" t="str">
        <f>Data!B168</f>
        <v>LAMB</v>
      </c>
      <c r="C167" s="9">
        <f>Data!C168</f>
        <v>63525</v>
      </c>
      <c r="D167" s="10" t="s">
        <v>948</v>
      </c>
      <c r="E167" s="11">
        <f>SUM(Data!I168,Data!K168,Data!M168,Data!O168,Data!Q168,Data!S168,Data!U168,Data!W168,Data!Y168,Data!AA168,Data!AC168,Data!AE168,Data!AG168,Data!AI168,Data!AK168,Data!AM168,Data!AO168,Data!AQ168,Data!AS168)</f>
        <v>0</v>
      </c>
      <c r="F167" s="11">
        <f>SUM(Data!DI168,Data!DK168,Data!DM168,Data!DO168,Data!DQ168,Data!DS168,Data!DU168,Data!DW168,Data!DY168,Data!EA168,Data!EC168,Data!EE168,Data!EG168,Data!EI168,Data!EK168,Data!EM168,Data!EO168,Data!EQ168,Data!ES168)</f>
        <v>1542.98260869565</v>
      </c>
      <c r="G167" s="11">
        <f>F167-E167</f>
        <v>1542.98260869565</v>
      </c>
      <c r="H167" s="13" t="str">
        <f>IF(E167=0,IF(F167&gt;0,"New",0),(F167-E167)/E167)</f>
        <v>New</v>
      </c>
      <c r="I167" s="12">
        <f>SUM(Data!J168,Data!L168,Data!N168,Data!P168,Data!R168,Data!T168,Data!V168,Data!X168,Data!Z168,Data!AB168,Data!AD168,Data!AF168,Data!AH168,Data!AJ168,Data!AL168,Data!AN168,Data!AP168,Data!AR168,Data!AT168)</f>
        <v>0</v>
      </c>
      <c r="J167" s="12">
        <f>SUM(Data!DJ168,Data!DL168,Data!DN168,Data!DP168,Data!DR168,Data!DT168,Data!DV168,Data!DX168,Data!DZ168,Data!EB168,Data!ED168,Data!EF168,Data!EH168,Data!EJ168,Data!EL168,Data!EN168,Data!EP168,Data!ER168,Data!ET168)</f>
        <v>17.745999999999999</v>
      </c>
      <c r="K167" s="12">
        <f>J167-I167</f>
        <v>17.745999999999999</v>
      </c>
      <c r="L167" s="13" t="str">
        <f>IF(I167=0,IF(J167&gt;0,"New",0),(J167-I167)/I167)</f>
        <v>New</v>
      </c>
      <c r="M167" t="str">
        <f>IF(F167=0,"No 2026 Sales",IF(E167=0,"New Product",IF(AND(ISNUMBER(H167),H167&gt;0.1),"↑ Strong Growth",IF(AND(ISNUMBER(H167),H167&gt;0),"↗ Growth",IF(AND(ISNUMBER(H167),H167&lt;-0.1),"↓ Strong Decline",IF(AND(ISNUMBER(H167),H167&lt;0),"↘ Decline","→ Stable"))))))</f>
        <v>New Product</v>
      </c>
    </row>
    <row r="168" spans="1:13" hidden="1" x14ac:dyDescent="0.35">
      <c r="A168">
        <f>Data!A169</f>
        <v>204</v>
      </c>
      <c r="B168" t="str">
        <f>Data!B169</f>
        <v>LAMB</v>
      </c>
      <c r="C168" s="9">
        <f>Data!C169</f>
        <v>99990204</v>
      </c>
      <c r="D168" s="10" t="s">
        <v>949</v>
      </c>
      <c r="E168" s="11">
        <f>SUM(Data!I169,Data!K169,Data!M169,Data!O169,Data!Q169,Data!S169,Data!U169,Data!W169,Data!Y169,Data!AA169,Data!AC169,Data!AE169,Data!AG169,Data!AI169,Data!AK169,Data!AM169,Data!AO169,Data!AQ169,Data!AS169)</f>
        <v>0</v>
      </c>
      <c r="F168" s="11">
        <f>SUM(Data!DI169,Data!DK169,Data!DM169,Data!DO169,Data!DQ169,Data!DS169,Data!DU169,Data!DW169,Data!DY169,Data!EA169,Data!EC169,Data!EE169,Data!EG169,Data!EI169,Data!EK169,Data!EM169,Data!EO169,Data!EQ169,Data!ES169)</f>
        <v>0</v>
      </c>
      <c r="G168" s="11">
        <f>F168-E168</f>
        <v>0</v>
      </c>
      <c r="H168">
        <f>IF(E168=0,IF(F168&gt;0,"New",0),(F168-E168)/E168)</f>
        <v>0</v>
      </c>
      <c r="I168" s="12">
        <f>SUM(Data!J169,Data!L169,Data!N169,Data!P169,Data!R169,Data!T169,Data!V169,Data!X169,Data!Z169,Data!AB169,Data!AD169,Data!AF169,Data!AH169,Data!AJ169,Data!AL169,Data!AN169,Data!AP169,Data!AR169,Data!AT169)</f>
        <v>0</v>
      </c>
      <c r="J168" s="12">
        <f>SUM(Data!DJ169,Data!DL169,Data!DN169,Data!DP169,Data!DR169,Data!DT169,Data!DV169,Data!DX169,Data!DZ169,Data!EB169,Data!ED169,Data!EF169,Data!EH169,Data!EJ169,Data!EL169,Data!EN169,Data!EP169,Data!ER169,Data!ET169)</f>
        <v>0</v>
      </c>
      <c r="K168" s="12">
        <f>J168-I168</f>
        <v>0</v>
      </c>
      <c r="L168">
        <f>IF(I168=0,IF(J168&gt;0,"New",0),(J168-I168)/I168)</f>
        <v>0</v>
      </c>
      <c r="M168" t="str">
        <f>IF(F168=0,"No 2026 Sales",IF(E168=0,"New Product",IF(AND(ISNUMBER(H168),H168&gt;0.1),"↑ Strong Growth",IF(AND(ISNUMBER(H168),H168&gt;0),"↗ Growth",IF(AND(ISNUMBER(H168),H168&lt;-0.1),"↓ Strong Decline",IF(AND(ISNUMBER(H168),H168&lt;0),"↘ Decline","→ Stable"))))))</f>
        <v>No 2026 Sales</v>
      </c>
    </row>
    <row r="169" spans="1:13" hidden="1" x14ac:dyDescent="0.35">
      <c r="A169">
        <f>Data!A170</f>
        <v>205</v>
      </c>
      <c r="B169" t="str">
        <f>Data!B170</f>
        <v>MUTTON</v>
      </c>
      <c r="C169" s="9">
        <f>Data!C170</f>
        <v>34195</v>
      </c>
      <c r="D169" s="10" t="s">
        <v>950</v>
      </c>
      <c r="E169" s="11">
        <f>SUM(Data!I170,Data!K170,Data!M170,Data!O170,Data!Q170,Data!S170,Data!U170,Data!W170,Data!Y170,Data!AA170,Data!AC170,Data!AE170,Data!AG170,Data!AI170,Data!AK170,Data!AM170,Data!AO170,Data!AQ170,Data!AS170)</f>
        <v>0</v>
      </c>
      <c r="F169" s="11">
        <f>SUM(Data!DI170,Data!DK170,Data!DM170,Data!DO170,Data!DQ170,Data!DS170,Data!DU170,Data!DW170,Data!DY170,Data!EA170,Data!EC170,Data!EE170,Data!EG170,Data!EI170,Data!EK170,Data!EM170,Data!EO170,Data!EQ170,Data!ES170)</f>
        <v>0</v>
      </c>
      <c r="G169" s="11">
        <f>F169-E169</f>
        <v>0</v>
      </c>
      <c r="H169">
        <f>IF(E169=0,IF(F169&gt;0,"New",0),(F169-E169)/E169)</f>
        <v>0</v>
      </c>
      <c r="I169" s="12">
        <f>SUM(Data!J170,Data!L170,Data!N170,Data!P170,Data!R170,Data!T170,Data!V170,Data!X170,Data!Z170,Data!AB170,Data!AD170,Data!AF170,Data!AH170,Data!AJ170,Data!AL170,Data!AN170,Data!AP170,Data!AR170,Data!AT170)</f>
        <v>0</v>
      </c>
      <c r="J169" s="12">
        <f>SUM(Data!DJ170,Data!DL170,Data!DN170,Data!DP170,Data!DR170,Data!DT170,Data!DV170,Data!DX170,Data!DZ170,Data!EB170,Data!ED170,Data!EF170,Data!EH170,Data!EJ170,Data!EL170,Data!EN170,Data!EP170,Data!ER170,Data!ET170)</f>
        <v>0</v>
      </c>
      <c r="K169" s="12">
        <f>J169-I169</f>
        <v>0</v>
      </c>
      <c r="L169">
        <f>IF(I169=0,IF(J169&gt;0,"New",0),(J169-I169)/I169)</f>
        <v>0</v>
      </c>
      <c r="M169" t="str">
        <f>IF(F169=0,"No 2026 Sales",IF(E169=0,"New Product",IF(AND(ISNUMBER(H169),H169&gt;0.1),"↑ Strong Growth",IF(AND(ISNUMBER(H169),H169&gt;0),"↗ Growth",IF(AND(ISNUMBER(H169),H169&lt;-0.1),"↓ Strong Decline",IF(AND(ISNUMBER(H169),H169&lt;0),"↘ Decline","→ Stable"))))))</f>
        <v>No 2026 Sales</v>
      </c>
    </row>
    <row r="170" spans="1:13" x14ac:dyDescent="0.35">
      <c r="A170">
        <f>Data!A171</f>
        <v>205</v>
      </c>
      <c r="B170" t="str">
        <f>Data!B171</f>
        <v>MUTTON</v>
      </c>
      <c r="C170" s="9">
        <f>Data!C171</f>
        <v>34202</v>
      </c>
      <c r="D170" s="10" t="s">
        <v>951</v>
      </c>
      <c r="E170" s="11">
        <f>SUM(Data!I171,Data!K171,Data!M171,Data!O171,Data!Q171,Data!S171,Data!U171,Data!W171,Data!Y171,Data!AA171,Data!AC171,Data!AE171,Data!AG171,Data!AI171,Data!AK171,Data!AM171,Data!AO171,Data!AQ171,Data!AS171)</f>
        <v>45824.860869565222</v>
      </c>
      <c r="F170" s="11">
        <f>SUM(Data!DI171,Data!DK171,Data!DM171,Data!DO171,Data!DQ171,Data!DS171,Data!DU171,Data!DW171,Data!DY171,Data!EA171,Data!EC171,Data!EE171,Data!EG171,Data!EI171,Data!EK171,Data!EM171,Data!EO171,Data!EQ171,Data!ES171)</f>
        <v>9130.6782608695721</v>
      </c>
      <c r="G170" s="11">
        <f>F170-E170</f>
        <v>-36694.18260869565</v>
      </c>
      <c r="H170" s="13">
        <f>IF(E170=0,IF(F170&gt;0,"New",0),(F170-E170)/E170)</f>
        <v>-0.80074836916889036</v>
      </c>
      <c r="I170" s="12">
        <f>SUM(Data!J171,Data!L171,Data!N171,Data!P171,Data!R171,Data!T171,Data!V171,Data!X171,Data!Z171,Data!AB171,Data!AD171,Data!AF171,Data!AH171,Data!AJ171,Data!AL171,Data!AN171,Data!AP171,Data!AR171,Data!AT171)</f>
        <v>542.54100000000005</v>
      </c>
      <c r="J170" s="12">
        <f>SUM(Data!DJ171,Data!DL171,Data!DN171,Data!DP171,Data!DR171,Data!DT171,Data!DV171,Data!DX171,Data!DZ171,Data!EB171,Data!ED171,Data!EF171,Data!EH171,Data!EJ171,Data!EL171,Data!EN171,Data!EP171,Data!ER171,Data!ET171)</f>
        <v>76.02000000000001</v>
      </c>
      <c r="K170" s="12">
        <f>J170-I170</f>
        <v>-466.52100000000007</v>
      </c>
      <c r="L170" s="13">
        <f>IF(I170=0,IF(J170&gt;0,"New",0),(J170-I170)/I170)</f>
        <v>-0.85988155733852378</v>
      </c>
      <c r="M170" t="str">
        <f>IF(F170=0,"No 2026 Sales",IF(E170=0,"New Product",IF(AND(ISNUMBER(H170),H170&gt;0.1),"↑ Strong Growth",IF(AND(ISNUMBER(H170),H170&gt;0),"↗ Growth",IF(AND(ISNUMBER(H170),H170&lt;-0.1),"↓ Strong Decline",IF(AND(ISNUMBER(H170),H170&lt;0),"↘ Decline","→ Stable"))))))</f>
        <v>↓ Strong Decline</v>
      </c>
    </row>
    <row r="171" spans="1:13" hidden="1" x14ac:dyDescent="0.35">
      <c r="A171">
        <f>Data!A172</f>
        <v>205</v>
      </c>
      <c r="B171" t="str">
        <f>Data!B172</f>
        <v>MUTTON</v>
      </c>
      <c r="C171" s="9">
        <f>Data!C172</f>
        <v>34253</v>
      </c>
      <c r="D171" s="10" t="s">
        <v>952</v>
      </c>
      <c r="E171" s="11">
        <f>SUM(Data!I172,Data!K172,Data!M172,Data!O172,Data!Q172,Data!S172,Data!U172,Data!W172,Data!Y172,Data!AA172,Data!AC172,Data!AE172,Data!AG172,Data!AI172,Data!AK172,Data!AM172,Data!AO172,Data!AQ172,Data!AS172)</f>
        <v>0</v>
      </c>
      <c r="F171" s="11">
        <f>SUM(Data!DI172,Data!DK172,Data!DM172,Data!DO172,Data!DQ172,Data!DS172,Data!DU172,Data!DW172,Data!DY172,Data!EA172,Data!EC172,Data!EE172,Data!EG172,Data!EI172,Data!EK172,Data!EM172,Data!EO172,Data!EQ172,Data!ES172)</f>
        <v>0</v>
      </c>
      <c r="G171" s="11">
        <f>F171-E171</f>
        <v>0</v>
      </c>
      <c r="H171">
        <f>IF(E171=0,IF(F171&gt;0,"New",0),(F171-E171)/E171)</f>
        <v>0</v>
      </c>
      <c r="I171" s="12">
        <f>SUM(Data!J172,Data!L172,Data!N172,Data!P172,Data!R172,Data!T172,Data!V172,Data!X172,Data!Z172,Data!AB172,Data!AD172,Data!AF172,Data!AH172,Data!AJ172,Data!AL172,Data!AN172,Data!AP172,Data!AR172,Data!AT172)</f>
        <v>0</v>
      </c>
      <c r="J171" s="12">
        <f>SUM(Data!DJ172,Data!DL172,Data!DN172,Data!DP172,Data!DR172,Data!DT172,Data!DV172,Data!DX172,Data!DZ172,Data!EB172,Data!ED172,Data!EF172,Data!EH172,Data!EJ172,Data!EL172,Data!EN172,Data!EP172,Data!ER172,Data!ET172)</f>
        <v>0</v>
      </c>
      <c r="K171" s="12">
        <f>J171-I171</f>
        <v>0</v>
      </c>
      <c r="L171">
        <f>IF(I171=0,IF(J171&gt;0,"New",0),(J171-I171)/I171)</f>
        <v>0</v>
      </c>
      <c r="M171" t="str">
        <f>IF(F171=0,"No 2026 Sales",IF(E171=0,"New Product",IF(AND(ISNUMBER(H171),H171&gt;0.1),"↑ Strong Growth",IF(AND(ISNUMBER(H171),H171&gt;0),"↗ Growth",IF(AND(ISNUMBER(H171),H171&lt;-0.1),"↓ Strong Decline",IF(AND(ISNUMBER(H171),H171&lt;0),"↘ Decline","→ Stable"))))))</f>
        <v>No 2026 Sales</v>
      </c>
    </row>
    <row r="172" spans="1:13" x14ac:dyDescent="0.35">
      <c r="A172">
        <f>Data!A173</f>
        <v>205</v>
      </c>
      <c r="B172" t="str">
        <f>Data!B173</f>
        <v>MUTTON</v>
      </c>
      <c r="C172" s="9">
        <f>Data!C173</f>
        <v>34255</v>
      </c>
      <c r="D172" s="10" t="s">
        <v>953</v>
      </c>
      <c r="E172" s="11">
        <f>SUM(Data!I173,Data!K173,Data!M173,Data!O173,Data!Q173,Data!S173,Data!U173,Data!W173,Data!Y173,Data!AA173,Data!AC173,Data!AE173,Data!AG173,Data!AI173,Data!AK173,Data!AM173,Data!AO173,Data!AQ173,Data!AS173)</f>
        <v>10269.730434782607</v>
      </c>
      <c r="F172" s="11">
        <f>SUM(Data!DI173,Data!DK173,Data!DM173,Data!DO173,Data!DQ173,Data!DS173,Data!DU173,Data!DW173,Data!DY173,Data!EA173,Data!EC173,Data!EE173,Data!EG173,Data!EI173,Data!EK173,Data!EM173,Data!EO173,Data!EQ173,Data!ES173)</f>
        <v>13348.156521739131</v>
      </c>
      <c r="G172" s="11">
        <f>F172-E172</f>
        <v>3078.4260869565242</v>
      </c>
      <c r="H172" s="13">
        <f>IF(E172=0,IF(F172&gt;0,"New",0),(F172-E172)/E172)</f>
        <v>0.2997572435329155</v>
      </c>
      <c r="I172" s="12">
        <f>SUM(Data!J173,Data!L173,Data!N173,Data!P173,Data!R173,Data!T173,Data!V173,Data!X173,Data!Z173,Data!AB173,Data!AD173,Data!AF173,Data!AH173,Data!AJ173,Data!AL173,Data!AN173,Data!AP173,Data!AR173,Data!AT173)</f>
        <v>82.528000000000006</v>
      </c>
      <c r="J172" s="12">
        <f>SUM(Data!DJ173,Data!DL173,Data!DN173,Data!DP173,Data!DR173,Data!DT173,Data!DV173,Data!DX173,Data!DZ173,Data!EB173,Data!ED173,Data!EF173,Data!EH173,Data!EJ173,Data!EL173,Data!EN173,Data!EP173,Data!ER173,Data!ET173)</f>
        <v>102.29600000000002</v>
      </c>
      <c r="K172" s="12">
        <f>J172-I172</f>
        <v>19.768000000000015</v>
      </c>
      <c r="L172" s="13">
        <f>IF(I172=0,IF(J172&gt;0,"New",0),(J172-I172)/I172)</f>
        <v>0.23953082590151237</v>
      </c>
      <c r="M172" t="str">
        <f>IF(F172=0,"No 2026 Sales",IF(E172=0,"New Product",IF(AND(ISNUMBER(H172),H172&gt;0.1),"↑ Strong Growth",IF(AND(ISNUMBER(H172),H172&gt;0),"↗ Growth",IF(AND(ISNUMBER(H172),H172&lt;-0.1),"↓ Strong Decline",IF(AND(ISNUMBER(H172),H172&lt;0),"↘ Decline","→ Stable"))))))</f>
        <v>↑ Strong Growth</v>
      </c>
    </row>
    <row r="173" spans="1:13" x14ac:dyDescent="0.35">
      <c r="A173">
        <f>Data!A174</f>
        <v>205</v>
      </c>
      <c r="B173" t="str">
        <f>Data!B174</f>
        <v>MUTTON</v>
      </c>
      <c r="C173" s="9">
        <f>Data!C174</f>
        <v>34256</v>
      </c>
      <c r="D173" s="10" t="s">
        <v>954</v>
      </c>
      <c r="E173" s="11">
        <f>SUM(Data!I174,Data!K174,Data!M174,Data!O174,Data!Q174,Data!S174,Data!U174,Data!W174,Data!Y174,Data!AA174,Data!AC174,Data!AE174,Data!AG174,Data!AI174,Data!AK174,Data!AM174,Data!AO174,Data!AQ174,Data!AS174)</f>
        <v>1791.1043478260874</v>
      </c>
      <c r="F173" s="11">
        <f>SUM(Data!DI174,Data!DK174,Data!DM174,Data!DO174,Data!DQ174,Data!DS174,Data!DU174,Data!DW174,Data!DY174,Data!EA174,Data!EC174,Data!EE174,Data!EG174,Data!EI174,Data!EK174,Data!EM174,Data!EO174,Data!EQ174,Data!ES174)</f>
        <v>690.89565217391305</v>
      </c>
      <c r="G173" s="11">
        <f>F173-E173</f>
        <v>-1100.2086956521744</v>
      </c>
      <c r="H173" s="13">
        <f>IF(E173=0,IF(F173&gt;0,"New",0),(F173-E173)/E173)</f>
        <v>-0.61426275749234149</v>
      </c>
      <c r="I173" s="12">
        <f>SUM(Data!J174,Data!L174,Data!N174,Data!P174,Data!R174,Data!T174,Data!V174,Data!X174,Data!Z174,Data!AB174,Data!AD174,Data!AF174,Data!AH174,Data!AJ174,Data!AL174,Data!AN174,Data!AP174,Data!AR174,Data!AT174)</f>
        <v>15.5</v>
      </c>
      <c r="J173" s="12">
        <f>SUM(Data!DJ174,Data!DL174,Data!DN174,Data!DP174,Data!DR174,Data!DT174,Data!DV174,Data!DX174,Data!DZ174,Data!EB174,Data!ED174,Data!EF174,Data!EH174,Data!EJ174,Data!EL174,Data!EN174,Data!EP174,Data!ER174,Data!ET174)</f>
        <v>5.4180000000000001</v>
      </c>
      <c r="K173" s="12">
        <f>J173-I173</f>
        <v>-10.082000000000001</v>
      </c>
      <c r="L173" s="13">
        <f>IF(I173=0,IF(J173&gt;0,"New",0),(J173-I173)/I173)</f>
        <v>-0.65045161290322584</v>
      </c>
      <c r="M173" t="str">
        <f>IF(F173=0,"No 2026 Sales",IF(E173=0,"New Product",IF(AND(ISNUMBER(H173),H173&gt;0.1),"↑ Strong Growth",IF(AND(ISNUMBER(H173),H173&gt;0),"↗ Growth",IF(AND(ISNUMBER(H173),H173&lt;-0.1),"↓ Strong Decline",IF(AND(ISNUMBER(H173),H173&lt;0),"↘ Decline","→ Stable"))))))</f>
        <v>↓ Strong Decline</v>
      </c>
    </row>
    <row r="174" spans="1:13" x14ac:dyDescent="0.35">
      <c r="A174">
        <f>Data!A175</f>
        <v>205</v>
      </c>
      <c r="B174" t="str">
        <f>Data!B175</f>
        <v>MUTTON</v>
      </c>
      <c r="C174" s="9">
        <f>Data!C175</f>
        <v>34257</v>
      </c>
      <c r="D174" s="10" t="s">
        <v>955</v>
      </c>
      <c r="E174" s="11">
        <f>SUM(Data!I175,Data!K175,Data!M175,Data!O175,Data!Q175,Data!S175,Data!U175,Data!W175,Data!Y175,Data!AA175,Data!AC175,Data!AE175,Data!AG175,Data!AI175,Data!AK175,Data!AM175,Data!AO175,Data!AQ175,Data!AS175)</f>
        <v>1069.2347826086971</v>
      </c>
      <c r="F174" s="11">
        <f>SUM(Data!DI175,Data!DK175,Data!DM175,Data!DO175,Data!DQ175,Data!DS175,Data!DU175,Data!DW175,Data!DY175,Data!EA175,Data!EC175,Data!EE175,Data!EG175,Data!EI175,Data!EK175,Data!EM175,Data!EO175,Data!EQ175,Data!ES175)</f>
        <v>3065.1826086956517</v>
      </c>
      <c r="G174" s="11">
        <f>F174-E174</f>
        <v>1995.9478260869546</v>
      </c>
      <c r="H174" s="13">
        <f>IF(E174=0,IF(F174&gt;0,"New",0),(F174-E174)/E174)</f>
        <v>1.8667067874627892</v>
      </c>
      <c r="I174" s="12">
        <f>SUM(Data!J175,Data!L175,Data!N175,Data!P175,Data!R175,Data!T175,Data!V175,Data!X175,Data!Z175,Data!AB175,Data!AD175,Data!AF175,Data!AH175,Data!AJ175,Data!AL175,Data!AN175,Data!AP175,Data!AR175,Data!AT175)</f>
        <v>8.1980000000000004</v>
      </c>
      <c r="J174" s="12">
        <f>SUM(Data!DJ175,Data!DL175,Data!DN175,Data!DP175,Data!DR175,Data!DT175,Data!DV175,Data!DX175,Data!DZ175,Data!EB175,Data!ED175,Data!EF175,Data!EH175,Data!EJ175,Data!EL175,Data!EN175,Data!EP175,Data!ER175,Data!ET175)</f>
        <v>23.419000000000004</v>
      </c>
      <c r="K174" s="12">
        <f>J174-I174</f>
        <v>15.221000000000004</v>
      </c>
      <c r="L174" s="13">
        <f>IF(I174=0,IF(J174&gt;0,"New",0),(J174-I174)/I174)</f>
        <v>1.8566723591119789</v>
      </c>
      <c r="M174" t="str">
        <f>IF(F174=0,"No 2026 Sales",IF(E174=0,"New Product",IF(AND(ISNUMBER(H174),H174&gt;0.1),"↑ Strong Growth",IF(AND(ISNUMBER(H174),H174&gt;0),"↗ Growth",IF(AND(ISNUMBER(H174),H174&lt;-0.1),"↓ Strong Decline",IF(AND(ISNUMBER(H174),H174&lt;0),"↘ Decline","→ Stable"))))))</f>
        <v>↑ Strong Growth</v>
      </c>
    </row>
    <row r="175" spans="1:13" x14ac:dyDescent="0.35">
      <c r="A175">
        <f>Data!A176</f>
        <v>205</v>
      </c>
      <c r="B175" t="str">
        <f>Data!B176</f>
        <v>MUTTON</v>
      </c>
      <c r="C175" s="9">
        <f>Data!C176</f>
        <v>34258</v>
      </c>
      <c r="D175" s="10" t="s">
        <v>956</v>
      </c>
      <c r="E175" s="11">
        <f>SUM(Data!I176,Data!K176,Data!M176,Data!O176,Data!Q176,Data!S176,Data!U176,Data!W176,Data!Y176,Data!AA176,Data!AC176,Data!AE176,Data!AG176,Data!AI176,Data!AK176,Data!AM176,Data!AO176,Data!AQ176,Data!AS176)</f>
        <v>11924.426086956511</v>
      </c>
      <c r="F175" s="11">
        <f>SUM(Data!DI176,Data!DK176,Data!DM176,Data!DO176,Data!DQ176,Data!DS176,Data!DU176,Data!DW176,Data!DY176,Data!EA176,Data!EC176,Data!EE176,Data!EG176,Data!EI176,Data!EK176,Data!EM176,Data!EO176,Data!EQ176,Data!ES176)</f>
        <v>16335.304347826073</v>
      </c>
      <c r="G175" s="11">
        <f>F175-E175</f>
        <v>4410.8782608695619</v>
      </c>
      <c r="H175" s="13">
        <f>IF(E175=0,IF(F175&gt;0,"New",0),(F175-E175)/E175)</f>
        <v>0.3699027717312437</v>
      </c>
      <c r="I175" s="12">
        <f>SUM(Data!J176,Data!L176,Data!N176,Data!P176,Data!R176,Data!T176,Data!V176,Data!X176,Data!Z176,Data!AB176,Data!AD176,Data!AF176,Data!AH176,Data!AJ176,Data!AL176,Data!AN176,Data!AP176,Data!AR176,Data!AT176)</f>
        <v>90.716000000000008</v>
      </c>
      <c r="J175" s="12">
        <f>SUM(Data!DJ176,Data!DL176,Data!DN176,Data!DP176,Data!DR176,Data!DT176,Data!DV176,Data!DX176,Data!DZ176,Data!EB176,Data!ED176,Data!EF176,Data!EH176,Data!EJ176,Data!EL176,Data!EN176,Data!EP176,Data!ER176,Data!ET176)</f>
        <v>116.054</v>
      </c>
      <c r="K175" s="12">
        <f>J175-I175</f>
        <v>25.337999999999994</v>
      </c>
      <c r="L175" s="13">
        <f>IF(I175=0,IF(J175&gt;0,"New",0),(J175-I175)/I175)</f>
        <v>0.27931125711010174</v>
      </c>
      <c r="M175" t="str">
        <f>IF(F175=0,"No 2026 Sales",IF(E175=0,"New Product",IF(AND(ISNUMBER(H175),H175&gt;0.1),"↑ Strong Growth",IF(AND(ISNUMBER(H175),H175&gt;0),"↗ Growth",IF(AND(ISNUMBER(H175),H175&lt;-0.1),"↓ Strong Decline",IF(AND(ISNUMBER(H175),H175&lt;0),"↘ Decline","→ Stable"))))))</f>
        <v>↑ Strong Growth</v>
      </c>
    </row>
    <row r="176" spans="1:13" hidden="1" x14ac:dyDescent="0.35">
      <c r="A176">
        <f>Data!A177</f>
        <v>205</v>
      </c>
      <c r="B176" t="str">
        <f>Data!B177</f>
        <v>MUTTON</v>
      </c>
      <c r="C176" s="9">
        <f>Data!C177</f>
        <v>34259</v>
      </c>
      <c r="D176" s="10" t="s">
        <v>957</v>
      </c>
      <c r="E176" s="11">
        <f>SUM(Data!I177,Data!K177,Data!M177,Data!O177,Data!Q177,Data!S177,Data!U177,Data!W177,Data!Y177,Data!AA177,Data!AC177,Data!AE177,Data!AG177,Data!AI177,Data!AK177,Data!AM177,Data!AO177,Data!AQ177,Data!AS177)</f>
        <v>0</v>
      </c>
      <c r="F176" s="11">
        <f>SUM(Data!DI177,Data!DK177,Data!DM177,Data!DO177,Data!DQ177,Data!DS177,Data!DU177,Data!DW177,Data!DY177,Data!EA177,Data!EC177,Data!EE177,Data!EG177,Data!EI177,Data!EK177,Data!EM177,Data!EO177,Data!EQ177,Data!ES177)</f>
        <v>0</v>
      </c>
      <c r="G176" s="11">
        <f>F176-E176</f>
        <v>0</v>
      </c>
      <c r="H176">
        <f>IF(E176=0,IF(F176&gt;0,"New",0),(F176-E176)/E176)</f>
        <v>0</v>
      </c>
      <c r="I176" s="12">
        <f>SUM(Data!J177,Data!L177,Data!N177,Data!P177,Data!R177,Data!T177,Data!V177,Data!X177,Data!Z177,Data!AB177,Data!AD177,Data!AF177,Data!AH177,Data!AJ177,Data!AL177,Data!AN177,Data!AP177,Data!AR177,Data!AT177)</f>
        <v>0</v>
      </c>
      <c r="J176" s="12">
        <f>SUM(Data!DJ177,Data!DL177,Data!DN177,Data!DP177,Data!DR177,Data!DT177,Data!DV177,Data!DX177,Data!DZ177,Data!EB177,Data!ED177,Data!EF177,Data!EH177,Data!EJ177,Data!EL177,Data!EN177,Data!EP177,Data!ER177,Data!ET177)</f>
        <v>0</v>
      </c>
      <c r="K176" s="12">
        <f>J176-I176</f>
        <v>0</v>
      </c>
      <c r="L176">
        <f>IF(I176=0,IF(J176&gt;0,"New",0),(J176-I176)/I176)</f>
        <v>0</v>
      </c>
      <c r="M176" t="str">
        <f>IF(F176=0,"No 2026 Sales",IF(E176=0,"New Product",IF(AND(ISNUMBER(H176),H176&gt;0.1),"↑ Strong Growth",IF(AND(ISNUMBER(H176),H176&gt;0),"↗ Growth",IF(AND(ISNUMBER(H176),H176&lt;-0.1),"↓ Strong Decline",IF(AND(ISNUMBER(H176),H176&lt;0),"↘ Decline","→ Stable"))))))</f>
        <v>No 2026 Sales</v>
      </c>
    </row>
    <row r="177" spans="1:13" hidden="1" x14ac:dyDescent="0.35">
      <c r="A177">
        <f>Data!A178</f>
        <v>205</v>
      </c>
      <c r="B177" t="str">
        <f>Data!B178</f>
        <v>MUTTON</v>
      </c>
      <c r="C177" s="9">
        <f>Data!C178</f>
        <v>34260</v>
      </c>
      <c r="D177" s="10" t="s">
        <v>958</v>
      </c>
      <c r="E177" s="11">
        <f>SUM(Data!I178,Data!K178,Data!M178,Data!O178,Data!Q178,Data!S178,Data!U178,Data!W178,Data!Y178,Data!AA178,Data!AC178,Data!AE178,Data!AG178,Data!AI178,Data!AK178,Data!AM178,Data!AO178,Data!AQ178,Data!AS178)</f>
        <v>0</v>
      </c>
      <c r="F177" s="11">
        <f>SUM(Data!DI178,Data!DK178,Data!DM178,Data!DO178,Data!DQ178,Data!DS178,Data!DU178,Data!DW178,Data!DY178,Data!EA178,Data!EC178,Data!EE178,Data!EG178,Data!EI178,Data!EK178,Data!EM178,Data!EO178,Data!EQ178,Data!ES178)</f>
        <v>0</v>
      </c>
      <c r="G177" s="11">
        <f>F177-E177</f>
        <v>0</v>
      </c>
      <c r="H177">
        <f>IF(E177=0,IF(F177&gt;0,"New",0),(F177-E177)/E177)</f>
        <v>0</v>
      </c>
      <c r="I177" s="12">
        <f>SUM(Data!J178,Data!L178,Data!N178,Data!P178,Data!R178,Data!T178,Data!V178,Data!X178,Data!Z178,Data!AB178,Data!AD178,Data!AF178,Data!AH178,Data!AJ178,Data!AL178,Data!AN178,Data!AP178,Data!AR178,Data!AT178)</f>
        <v>0</v>
      </c>
      <c r="J177" s="12">
        <f>SUM(Data!DJ178,Data!DL178,Data!DN178,Data!DP178,Data!DR178,Data!DT178,Data!DV178,Data!DX178,Data!DZ178,Data!EB178,Data!ED178,Data!EF178,Data!EH178,Data!EJ178,Data!EL178,Data!EN178,Data!EP178,Data!ER178,Data!ET178)</f>
        <v>0</v>
      </c>
      <c r="K177" s="12">
        <f>J177-I177</f>
        <v>0</v>
      </c>
      <c r="L177">
        <f>IF(I177=0,IF(J177&gt;0,"New",0),(J177-I177)/I177)</f>
        <v>0</v>
      </c>
      <c r="M177" t="str">
        <f>IF(F177=0,"No 2026 Sales",IF(E177=0,"New Product",IF(AND(ISNUMBER(H177),H177&gt;0.1),"↑ Strong Growth",IF(AND(ISNUMBER(H177),H177&gt;0),"↗ Growth",IF(AND(ISNUMBER(H177),H177&lt;-0.1),"↓ Strong Decline",IF(AND(ISNUMBER(H177),H177&lt;0),"↘ Decline","→ Stable"))))))</f>
        <v>No 2026 Sales</v>
      </c>
    </row>
    <row r="178" spans="1:13" x14ac:dyDescent="0.35">
      <c r="A178">
        <f>Data!A179</f>
        <v>205</v>
      </c>
      <c r="B178" t="str">
        <f>Data!B179</f>
        <v>MUTTON</v>
      </c>
      <c r="C178" s="9">
        <f>Data!C179</f>
        <v>34261</v>
      </c>
      <c r="D178" s="10" t="s">
        <v>959</v>
      </c>
      <c r="E178" s="11">
        <f>SUM(Data!I179,Data!K179,Data!M179,Data!O179,Data!Q179,Data!S179,Data!U179,Data!W179,Data!Y179,Data!AA179,Data!AC179,Data!AE179,Data!AG179,Data!AI179,Data!AK179,Data!AM179,Data!AO179,Data!AQ179,Data!AS179)</f>
        <v>14277.878260869556</v>
      </c>
      <c r="F178" s="11">
        <f>SUM(Data!DI179,Data!DK179,Data!DM179,Data!DO179,Data!DQ179,Data!DS179,Data!DU179,Data!DW179,Data!DY179,Data!EA179,Data!EC179,Data!EE179,Data!EG179,Data!EI179,Data!EK179,Data!EM179,Data!EO179,Data!EQ179,Data!ES179)</f>
        <v>16428.234782608695</v>
      </c>
      <c r="G178" s="11">
        <f>F178-E178</f>
        <v>2150.3565217391388</v>
      </c>
      <c r="H178" s="13">
        <f>IF(E178=0,IF(F178&gt;0,"New",0),(F178-E178)/E178)</f>
        <v>0.1506075680468911</v>
      </c>
      <c r="I178" s="12">
        <f>SUM(Data!J179,Data!L179,Data!N179,Data!P179,Data!R179,Data!T179,Data!V179,Data!X179,Data!Z179,Data!AB179,Data!AD179,Data!AF179,Data!AH179,Data!AJ179,Data!AL179,Data!AN179,Data!AP179,Data!AR179,Data!AT179)</f>
        <v>110.53</v>
      </c>
      <c r="J178" s="12">
        <f>SUM(Data!DJ179,Data!DL179,Data!DN179,Data!DP179,Data!DR179,Data!DT179,Data!DV179,Data!DX179,Data!DZ179,Data!EB179,Data!ED179,Data!EF179,Data!EH179,Data!EJ179,Data!EL179,Data!EN179,Data!EP179,Data!ER179,Data!ET179)</f>
        <v>120.16000000000001</v>
      </c>
      <c r="K178" s="12">
        <f>J178-I178</f>
        <v>9.6300000000000097</v>
      </c>
      <c r="L178" s="13">
        <f>IF(I178=0,IF(J178&gt;0,"New",0),(J178-I178)/I178)</f>
        <v>8.7125667239663529E-2</v>
      </c>
      <c r="M178" t="str">
        <f>IF(F178=0,"No 2026 Sales",IF(E178=0,"New Product",IF(AND(ISNUMBER(H178),H178&gt;0.1),"↑ Strong Growth",IF(AND(ISNUMBER(H178),H178&gt;0),"↗ Growth",IF(AND(ISNUMBER(H178),H178&lt;-0.1),"↓ Strong Decline",IF(AND(ISNUMBER(H178),H178&lt;0),"↘ Decline","→ Stable"))))))</f>
        <v>↑ Strong Growth</v>
      </c>
    </row>
    <row r="179" spans="1:13" x14ac:dyDescent="0.35">
      <c r="A179">
        <f>Data!A180</f>
        <v>205</v>
      </c>
      <c r="B179" t="str">
        <f>Data!B180</f>
        <v>MUTTON</v>
      </c>
      <c r="C179" s="9">
        <f>Data!C180</f>
        <v>34262</v>
      </c>
      <c r="D179" s="10" t="s">
        <v>960</v>
      </c>
      <c r="E179" s="11">
        <f>SUM(Data!I180,Data!K180,Data!M180,Data!O180,Data!Q180,Data!S180,Data!U180,Data!W180,Data!Y180,Data!AA180,Data!AC180,Data!AE180,Data!AG180,Data!AI180,Data!AK180,Data!AM180,Data!AO180,Data!AQ180,Data!AS180)</f>
        <v>0</v>
      </c>
      <c r="F179" s="11">
        <f>SUM(Data!DI180,Data!DK180,Data!DM180,Data!DO180,Data!DQ180,Data!DS180,Data!DU180,Data!DW180,Data!DY180,Data!EA180,Data!EC180,Data!EE180,Data!EG180,Data!EI180,Data!EK180,Data!EM180,Data!EO180,Data!EQ180,Data!ES180)</f>
        <v>494.426086956522</v>
      </c>
      <c r="G179" s="11">
        <f>F179-E179</f>
        <v>494.426086956522</v>
      </c>
      <c r="H179" s="13" t="str">
        <f>IF(E179=0,IF(F179&gt;0,"New",0),(F179-E179)/E179)</f>
        <v>New</v>
      </c>
      <c r="I179" s="12">
        <f>SUM(Data!J180,Data!L180,Data!N180,Data!P180,Data!R180,Data!T180,Data!V180,Data!X180,Data!Z180,Data!AB180,Data!AD180,Data!AF180,Data!AH180,Data!AJ180,Data!AL180,Data!AN180,Data!AP180,Data!AR180,Data!AT180)</f>
        <v>0</v>
      </c>
      <c r="J179" s="12">
        <f>SUM(Data!DJ180,Data!DL180,Data!DN180,Data!DP180,Data!DR180,Data!DT180,Data!DV180,Data!DX180,Data!DZ180,Data!EB180,Data!ED180,Data!EF180,Data!EH180,Data!EJ180,Data!EL180,Data!EN180,Data!EP180,Data!ER180,Data!ET180)</f>
        <v>4.0919999999999996</v>
      </c>
      <c r="K179" s="12">
        <f>J179-I179</f>
        <v>4.0919999999999996</v>
      </c>
      <c r="L179" s="13" t="str">
        <f>IF(I179=0,IF(J179&gt;0,"New",0),(J179-I179)/I179)</f>
        <v>New</v>
      </c>
      <c r="M179" t="str">
        <f>IF(F179=0,"No 2026 Sales",IF(E179=0,"New Product",IF(AND(ISNUMBER(H179),H179&gt;0.1),"↑ Strong Growth",IF(AND(ISNUMBER(H179),H179&gt;0),"↗ Growth",IF(AND(ISNUMBER(H179),H179&lt;-0.1),"↓ Strong Decline",IF(AND(ISNUMBER(H179),H179&lt;0),"↘ Decline","→ Stable"))))))</f>
        <v>New Product</v>
      </c>
    </row>
    <row r="180" spans="1:13" x14ac:dyDescent="0.35">
      <c r="A180">
        <f>Data!A181</f>
        <v>205</v>
      </c>
      <c r="B180" t="str">
        <f>Data!B181</f>
        <v>MUTTON</v>
      </c>
      <c r="C180" s="9">
        <f>Data!C181</f>
        <v>34264</v>
      </c>
      <c r="D180" s="10" t="s">
        <v>961</v>
      </c>
      <c r="E180" s="11">
        <f>SUM(Data!I181,Data!K181,Data!M181,Data!O181,Data!Q181,Data!S181,Data!U181,Data!W181,Data!Y181,Data!AA181,Data!AC181,Data!AE181,Data!AG181,Data!AI181,Data!AK181,Data!AM181,Data!AO181,Data!AQ181,Data!AS181)</f>
        <v>2394.8956521739142</v>
      </c>
      <c r="F180" s="11">
        <f>SUM(Data!DI181,Data!DK181,Data!DM181,Data!DO181,Data!DQ181,Data!DS181,Data!DU181,Data!DW181,Data!DY181,Data!EA181,Data!EC181,Data!EE181,Data!EG181,Data!EI181,Data!EK181,Data!EM181,Data!EO181,Data!EQ181,Data!ES181)</f>
        <v>2943.0260869565232</v>
      </c>
      <c r="G180" s="11">
        <f>F180-E180</f>
        <v>548.13043478260897</v>
      </c>
      <c r="H180" s="13">
        <f>IF(E180=0,IF(F180&gt;0,"New",0),(F180-E180)/E180)</f>
        <v>0.2288744540018082</v>
      </c>
      <c r="I180" s="12">
        <f>SUM(Data!J181,Data!L181,Data!N181,Data!P181,Data!R181,Data!T181,Data!V181,Data!X181,Data!Z181,Data!AB181,Data!AD181,Data!AF181,Data!AH181,Data!AJ181,Data!AL181,Data!AN181,Data!AP181,Data!AR181,Data!AT181)</f>
        <v>19.512</v>
      </c>
      <c r="J180" s="12">
        <f>SUM(Data!DJ181,Data!DL181,Data!DN181,Data!DP181,Data!DR181,Data!DT181,Data!DV181,Data!DX181,Data!DZ181,Data!EB181,Data!ED181,Data!EF181,Data!EH181,Data!EJ181,Data!EL181,Data!EN181,Data!EP181,Data!ER181,Data!ET181)</f>
        <v>24.463999999999999</v>
      </c>
      <c r="K180" s="12">
        <f>J180-I180</f>
        <v>4.9519999999999982</v>
      </c>
      <c r="L180" s="13">
        <f>IF(I180=0,IF(J180&gt;0,"New",0),(J180-I180)/I180)</f>
        <v>0.25379253792537915</v>
      </c>
      <c r="M180" t="str">
        <f>IF(F180=0,"No 2026 Sales",IF(E180=0,"New Product",IF(AND(ISNUMBER(H180),H180&gt;0.1),"↑ Strong Growth",IF(AND(ISNUMBER(H180),H180&gt;0),"↗ Growth",IF(AND(ISNUMBER(H180),H180&lt;-0.1),"↓ Strong Decline",IF(AND(ISNUMBER(H180),H180&lt;0),"↘ Decline","→ Stable"))))))</f>
        <v>↑ Strong Growth</v>
      </c>
    </row>
    <row r="181" spans="1:13" hidden="1" x14ac:dyDescent="0.35">
      <c r="A181">
        <f>Data!A182</f>
        <v>205</v>
      </c>
      <c r="B181" t="str">
        <f>Data!B182</f>
        <v>MUTTON</v>
      </c>
      <c r="C181" s="9">
        <f>Data!C182</f>
        <v>34265</v>
      </c>
      <c r="D181" s="10" t="s">
        <v>962</v>
      </c>
      <c r="E181" s="11">
        <f>SUM(Data!I182,Data!K182,Data!M182,Data!O182,Data!Q182,Data!S182,Data!U182,Data!W182,Data!Y182,Data!AA182,Data!AC182,Data!AE182,Data!AG182,Data!AI182,Data!AK182,Data!AM182,Data!AO182,Data!AQ182,Data!AS182)</f>
        <v>0</v>
      </c>
      <c r="F181" s="11">
        <f>SUM(Data!DI182,Data!DK182,Data!DM182,Data!DO182,Data!DQ182,Data!DS182,Data!DU182,Data!DW182,Data!DY182,Data!EA182,Data!EC182,Data!EE182,Data!EG182,Data!EI182,Data!EK182,Data!EM182,Data!EO182,Data!EQ182,Data!ES182)</f>
        <v>0</v>
      </c>
      <c r="G181" s="11">
        <f>F181-E181</f>
        <v>0</v>
      </c>
      <c r="H181">
        <f>IF(E181=0,IF(F181&gt;0,"New",0),(F181-E181)/E181)</f>
        <v>0</v>
      </c>
      <c r="I181" s="12">
        <f>SUM(Data!J182,Data!L182,Data!N182,Data!P182,Data!R182,Data!T182,Data!V182,Data!X182,Data!Z182,Data!AB182,Data!AD182,Data!AF182,Data!AH182,Data!AJ182,Data!AL182,Data!AN182,Data!AP182,Data!AR182,Data!AT182)</f>
        <v>0</v>
      </c>
      <c r="J181" s="12">
        <f>SUM(Data!DJ182,Data!DL182,Data!DN182,Data!DP182,Data!DR182,Data!DT182,Data!DV182,Data!DX182,Data!DZ182,Data!EB182,Data!ED182,Data!EF182,Data!EH182,Data!EJ182,Data!EL182,Data!EN182,Data!EP182,Data!ER182,Data!ET182)</f>
        <v>0</v>
      </c>
      <c r="K181" s="12">
        <f>J181-I181</f>
        <v>0</v>
      </c>
      <c r="L181">
        <f>IF(I181=0,IF(J181&gt;0,"New",0),(J181-I181)/I181)</f>
        <v>0</v>
      </c>
      <c r="M181" t="str">
        <f>IF(F181=0,"No 2026 Sales",IF(E181=0,"New Product",IF(AND(ISNUMBER(H181),H181&gt;0.1),"↑ Strong Growth",IF(AND(ISNUMBER(H181),H181&gt;0),"↗ Growth",IF(AND(ISNUMBER(H181),H181&lt;-0.1),"↓ Strong Decline",IF(AND(ISNUMBER(H181),H181&lt;0),"↘ Decline","→ Stable"))))))</f>
        <v>No 2026 Sales</v>
      </c>
    </row>
    <row r="182" spans="1:13" x14ac:dyDescent="0.35">
      <c r="A182">
        <f>Data!A183</f>
        <v>205</v>
      </c>
      <c r="B182" t="str">
        <f>Data!B183</f>
        <v>MUTTON</v>
      </c>
      <c r="C182" s="9">
        <f>Data!C183</f>
        <v>34266</v>
      </c>
      <c r="D182" s="10" t="s">
        <v>963</v>
      </c>
      <c r="E182" s="11">
        <f>SUM(Data!I183,Data!K183,Data!M183,Data!O183,Data!Q183,Data!S183,Data!U183,Data!W183,Data!Y183,Data!AA183,Data!AC183,Data!AE183,Data!AG183,Data!AI183,Data!AK183,Data!AM183,Data!AO183,Data!AQ183,Data!AS183)</f>
        <v>3159.6000000000004</v>
      </c>
      <c r="F182" s="11">
        <f>SUM(Data!DI183,Data!DK183,Data!DM183,Data!DO183,Data!DQ183,Data!DS183,Data!DU183,Data!DW183,Data!DY183,Data!EA183,Data!EC183,Data!EE183,Data!EG183,Data!EI183,Data!EK183,Data!EM183,Data!EO183,Data!EQ183,Data!ES183)</f>
        <v>3436.8869565217378</v>
      </c>
      <c r="G182" s="11">
        <f>F182-E182</f>
        <v>277.28695652173747</v>
      </c>
      <c r="H182" s="13">
        <f>IF(E182=0,IF(F182&gt;0,"New",0),(F182-E182)/E182)</f>
        <v>8.776014575317681E-2</v>
      </c>
      <c r="I182" s="12">
        <f>SUM(Data!J183,Data!L183,Data!N183,Data!P183,Data!R183,Data!T183,Data!V183,Data!X183,Data!Z183,Data!AB183,Data!AD183,Data!AF183,Data!AH183,Data!AJ183,Data!AL183,Data!AN183,Data!AP183,Data!AR183,Data!AT183)</f>
        <v>26.161999999999999</v>
      </c>
      <c r="J182" s="12">
        <f>SUM(Data!DJ183,Data!DL183,Data!DN183,Data!DP183,Data!DR183,Data!DT183,Data!DV183,Data!DX183,Data!DZ183,Data!EB183,Data!ED183,Data!EF183,Data!EH183,Data!EJ183,Data!EL183,Data!EN183,Data!EP183,Data!ER183,Data!ET183)</f>
        <v>26.752000000000006</v>
      </c>
      <c r="K182" s="12">
        <f>J182-I182</f>
        <v>0.59000000000000696</v>
      </c>
      <c r="L182" s="13">
        <f>IF(I182=0,IF(J182&gt;0,"New",0),(J182-I182)/I182)</f>
        <v>2.2551792676401155E-2</v>
      </c>
      <c r="M182" t="str">
        <f>IF(F182=0,"No 2026 Sales",IF(E182=0,"New Product",IF(AND(ISNUMBER(H182),H182&gt;0.1),"↑ Strong Growth",IF(AND(ISNUMBER(H182),H182&gt;0),"↗ Growth",IF(AND(ISNUMBER(H182),H182&lt;-0.1),"↓ Strong Decline",IF(AND(ISNUMBER(H182),H182&lt;0),"↘ Decline","→ Stable"))))))</f>
        <v>↗ Growth</v>
      </c>
    </row>
    <row r="183" spans="1:13" x14ac:dyDescent="0.35">
      <c r="A183">
        <f>Data!A184</f>
        <v>205</v>
      </c>
      <c r="B183" t="str">
        <f>Data!B184</f>
        <v>MUTTON</v>
      </c>
      <c r="C183" s="9">
        <f>Data!C184</f>
        <v>34267</v>
      </c>
      <c r="D183" s="10" t="s">
        <v>964</v>
      </c>
      <c r="E183" s="11">
        <f>SUM(Data!I184,Data!K184,Data!M184,Data!O184,Data!Q184,Data!S184,Data!U184,Data!W184,Data!Y184,Data!AA184,Data!AC184,Data!AE184,Data!AG184,Data!AI184,Data!AK184,Data!AM184,Data!AO184,Data!AQ184,Data!AS184)</f>
        <v>6062.5652173913031</v>
      </c>
      <c r="F183" s="11">
        <f>SUM(Data!DI184,Data!DK184,Data!DM184,Data!DO184,Data!DQ184,Data!DS184,Data!DU184,Data!DW184,Data!DY184,Data!EA184,Data!EC184,Data!EE184,Data!EG184,Data!EI184,Data!EK184,Data!EM184,Data!EO184,Data!EQ184,Data!ES184)</f>
        <v>8540.4434782608678</v>
      </c>
      <c r="G183" s="11">
        <f>F183-E183</f>
        <v>2477.8782608695647</v>
      </c>
      <c r="H183" s="13">
        <f>IF(E183=0,IF(F183&gt;0,"New",0),(F183-E183)/E183)</f>
        <v>0.40871779057509017</v>
      </c>
      <c r="I183" s="12">
        <f>SUM(Data!J184,Data!L184,Data!N184,Data!P184,Data!R184,Data!T184,Data!V184,Data!X184,Data!Z184,Data!AB184,Data!AD184,Data!AF184,Data!AH184,Data!AJ184,Data!AL184,Data!AN184,Data!AP184,Data!AR184,Data!AT184)</f>
        <v>51.246000000000002</v>
      </c>
      <c r="J183" s="12">
        <f>SUM(Data!DJ184,Data!DL184,Data!DN184,Data!DP184,Data!DR184,Data!DT184,Data!DV184,Data!DX184,Data!DZ184,Data!EB184,Data!ED184,Data!EF184,Data!EH184,Data!EJ184,Data!EL184,Data!EN184,Data!EP184,Data!ER184,Data!ET184)</f>
        <v>68.699999999999989</v>
      </c>
      <c r="K183" s="12">
        <f>J183-I183</f>
        <v>17.453999999999986</v>
      </c>
      <c r="L183" s="13">
        <f>IF(I183=0,IF(J183&gt;0,"New",0),(J183-I183)/I183)</f>
        <v>0.34059243648284715</v>
      </c>
      <c r="M183" t="str">
        <f>IF(F183=0,"No 2026 Sales",IF(E183=0,"New Product",IF(AND(ISNUMBER(H183),H183&gt;0.1),"↑ Strong Growth",IF(AND(ISNUMBER(H183),H183&gt;0),"↗ Growth",IF(AND(ISNUMBER(H183),H183&lt;-0.1),"↓ Strong Decline",IF(AND(ISNUMBER(H183),H183&lt;0),"↘ Decline","→ Stable"))))))</f>
        <v>↑ Strong Growth</v>
      </c>
    </row>
    <row r="184" spans="1:13" hidden="1" x14ac:dyDescent="0.35">
      <c r="A184">
        <f>Data!A185</f>
        <v>205</v>
      </c>
      <c r="B184" t="str">
        <f>Data!B185</f>
        <v>MUTTON</v>
      </c>
      <c r="C184" s="9">
        <f>Data!C185</f>
        <v>34268</v>
      </c>
      <c r="D184" s="10" t="s">
        <v>965</v>
      </c>
      <c r="E184" s="11">
        <f>SUM(Data!I185,Data!K185,Data!M185,Data!O185,Data!Q185,Data!S185,Data!U185,Data!W185,Data!Y185,Data!AA185,Data!AC185,Data!AE185,Data!AG185,Data!AI185,Data!AK185,Data!AM185,Data!AO185,Data!AQ185,Data!AS185)</f>
        <v>2576.1391304347803</v>
      </c>
      <c r="F184" s="11">
        <f>SUM(Data!DI185,Data!DK185,Data!DM185,Data!DO185,Data!DQ185,Data!DS185,Data!DU185,Data!DW185,Data!DY185,Data!EA185,Data!EC185,Data!EE185,Data!EG185,Data!EI185,Data!EK185,Data!EM185,Data!EO185,Data!EQ185,Data!ES185)</f>
        <v>0</v>
      </c>
      <c r="G184" s="11">
        <f>F184-E184</f>
        <v>-2576.1391304347803</v>
      </c>
      <c r="H184">
        <f>IF(E184=0,IF(F184&gt;0,"New",0),(F184-E184)/E184)</f>
        <v>-1</v>
      </c>
      <c r="I184" s="12">
        <f>SUM(Data!J185,Data!L185,Data!N185,Data!P185,Data!R185,Data!T185,Data!V185,Data!X185,Data!Z185,Data!AB185,Data!AD185,Data!AF185,Data!AH185,Data!AJ185,Data!AL185,Data!AN185,Data!AP185,Data!AR185,Data!AT185)</f>
        <v>27.038</v>
      </c>
      <c r="J184" s="12">
        <f>SUM(Data!DJ185,Data!DL185,Data!DN185,Data!DP185,Data!DR185,Data!DT185,Data!DV185,Data!DX185,Data!DZ185,Data!EB185,Data!ED185,Data!EF185,Data!EH185,Data!EJ185,Data!EL185,Data!EN185,Data!EP185,Data!ER185,Data!ET185)</f>
        <v>0</v>
      </c>
      <c r="K184" s="12">
        <f>J184-I184</f>
        <v>-27.038</v>
      </c>
      <c r="L184">
        <f>IF(I184=0,IF(J184&gt;0,"New",0),(J184-I184)/I184)</f>
        <v>-1</v>
      </c>
      <c r="M184" t="str">
        <f>IF(F184=0,"No 2026 Sales",IF(E184=0,"New Product",IF(AND(ISNUMBER(H184),H184&gt;0.1),"↑ Strong Growth",IF(AND(ISNUMBER(H184),H184&gt;0),"↗ Growth",IF(AND(ISNUMBER(H184),H184&lt;-0.1),"↓ Strong Decline",IF(AND(ISNUMBER(H184),H184&lt;0),"↘ Decline","→ Stable"))))))</f>
        <v>No 2026 Sales</v>
      </c>
    </row>
    <row r="185" spans="1:13" hidden="1" x14ac:dyDescent="0.35">
      <c r="A185">
        <f>Data!A186</f>
        <v>205</v>
      </c>
      <c r="B185" t="str">
        <f>Data!B186</f>
        <v>MUTTON</v>
      </c>
      <c r="C185" s="9">
        <f>Data!C186</f>
        <v>39912</v>
      </c>
      <c r="D185" s="10" t="s">
        <v>966</v>
      </c>
      <c r="E185" s="11">
        <f>SUM(Data!I186,Data!K186,Data!M186,Data!O186,Data!Q186,Data!S186,Data!U186,Data!W186,Data!Y186,Data!AA186,Data!AC186,Data!AE186,Data!AG186,Data!AI186,Data!AK186,Data!AM186,Data!AO186,Data!AQ186,Data!AS186)</f>
        <v>868.44347826087005</v>
      </c>
      <c r="F185" s="11">
        <f>SUM(Data!DI186,Data!DK186,Data!DM186,Data!DO186,Data!DQ186,Data!DS186,Data!DU186,Data!DW186,Data!DY186,Data!EA186,Data!EC186,Data!EE186,Data!EG186,Data!EI186,Data!EK186,Data!EM186,Data!EO186,Data!EQ186,Data!ES186)</f>
        <v>0</v>
      </c>
      <c r="G185" s="11">
        <f>F185-E185</f>
        <v>-868.44347826087005</v>
      </c>
      <c r="H185">
        <f>IF(E185=0,IF(F185&gt;0,"New",0),(F185-E185)/E185)</f>
        <v>-1</v>
      </c>
      <c r="I185" s="12">
        <f>SUM(Data!J186,Data!L186,Data!N186,Data!P186,Data!R186,Data!T186,Data!V186,Data!X186,Data!Z186,Data!AB186,Data!AD186,Data!AF186,Data!AH186,Data!AJ186,Data!AL186,Data!AN186,Data!AP186,Data!AR186,Data!AT186)</f>
        <v>9.08</v>
      </c>
      <c r="J185" s="12">
        <f>SUM(Data!DJ186,Data!DL186,Data!DN186,Data!DP186,Data!DR186,Data!DT186,Data!DV186,Data!DX186,Data!DZ186,Data!EB186,Data!ED186,Data!EF186,Data!EH186,Data!EJ186,Data!EL186,Data!EN186,Data!EP186,Data!ER186,Data!ET186)</f>
        <v>0</v>
      </c>
      <c r="K185" s="12">
        <f>J185-I185</f>
        <v>-9.08</v>
      </c>
      <c r="L185">
        <f>IF(I185=0,IF(J185&gt;0,"New",0),(J185-I185)/I185)</f>
        <v>-1</v>
      </c>
      <c r="M185" t="str">
        <f>IF(F185=0,"No 2026 Sales",IF(E185=0,"New Product",IF(AND(ISNUMBER(H185),H185&gt;0.1),"↑ Strong Growth",IF(AND(ISNUMBER(H185),H185&gt;0),"↗ Growth",IF(AND(ISNUMBER(H185),H185&lt;-0.1),"↓ Strong Decline",IF(AND(ISNUMBER(H185),H185&lt;0),"↘ Decline","→ Stable"))))))</f>
        <v>No 2026 Sales</v>
      </c>
    </row>
    <row r="186" spans="1:13" hidden="1" x14ac:dyDescent="0.35">
      <c r="A186">
        <f>Data!A187</f>
        <v>205</v>
      </c>
      <c r="B186" t="str">
        <f>Data!B187</f>
        <v>MUTTON</v>
      </c>
      <c r="C186" s="9">
        <f>Data!C187</f>
        <v>40510</v>
      </c>
      <c r="D186" s="10" t="s">
        <v>967</v>
      </c>
      <c r="E186" s="11">
        <f>SUM(Data!I187,Data!K187,Data!M187,Data!O187,Data!Q187,Data!S187,Data!U187,Data!W187,Data!Y187,Data!AA187,Data!AC187,Data!AE187,Data!AG187,Data!AI187,Data!AK187,Data!AM187,Data!AO187,Data!AQ187,Data!AS187)</f>
        <v>1240.20869565217</v>
      </c>
      <c r="F186" s="11">
        <f>SUM(Data!DI187,Data!DK187,Data!DM187,Data!DO187,Data!DQ187,Data!DS187,Data!DU187,Data!DW187,Data!DY187,Data!EA187,Data!EC187,Data!EE187,Data!EG187,Data!EI187,Data!EK187,Data!EM187,Data!EO187,Data!EQ187,Data!ES187)</f>
        <v>0</v>
      </c>
      <c r="G186" s="11">
        <f>F186-E186</f>
        <v>-1240.20869565217</v>
      </c>
      <c r="H186">
        <f>IF(E186=0,IF(F186&gt;0,"New",0),(F186-E186)/E186)</f>
        <v>-1</v>
      </c>
      <c r="I186" s="12">
        <f>SUM(Data!J187,Data!L187,Data!N187,Data!P187,Data!R187,Data!T187,Data!V187,Data!X187,Data!Z187,Data!AB187,Data!AD187,Data!AF187,Data!AH187,Data!AJ187,Data!AL187,Data!AN187,Data!AP187,Data!AR187,Data!AT187)</f>
        <v>12.967000000000001</v>
      </c>
      <c r="J186" s="12">
        <f>SUM(Data!DJ187,Data!DL187,Data!DN187,Data!DP187,Data!DR187,Data!DT187,Data!DV187,Data!DX187,Data!DZ187,Data!EB187,Data!ED187,Data!EF187,Data!EH187,Data!EJ187,Data!EL187,Data!EN187,Data!EP187,Data!ER187,Data!ET187)</f>
        <v>0</v>
      </c>
      <c r="K186" s="12">
        <f>J186-I186</f>
        <v>-12.967000000000001</v>
      </c>
      <c r="L186">
        <f>IF(I186=0,IF(J186&gt;0,"New",0),(J186-I186)/I186)</f>
        <v>-1</v>
      </c>
      <c r="M186" t="str">
        <f>IF(F186=0,"No 2026 Sales",IF(E186=0,"New Product",IF(AND(ISNUMBER(H186),H186&gt;0.1),"↑ Strong Growth",IF(AND(ISNUMBER(H186),H186&gt;0),"↗ Growth",IF(AND(ISNUMBER(H186),H186&lt;-0.1),"↓ Strong Decline",IF(AND(ISNUMBER(H186),H186&lt;0),"↘ Decline","→ Stable"))))))</f>
        <v>No 2026 Sales</v>
      </c>
    </row>
    <row r="187" spans="1:13" hidden="1" x14ac:dyDescent="0.35">
      <c r="A187">
        <f>Data!A188</f>
        <v>205</v>
      </c>
      <c r="B187" t="str">
        <f>Data!B188</f>
        <v>MUTTON</v>
      </c>
      <c r="C187" s="9">
        <f>Data!C188</f>
        <v>41008</v>
      </c>
      <c r="D187" s="10" t="s">
        <v>968</v>
      </c>
      <c r="E187" s="11">
        <f>SUM(Data!I188,Data!K188,Data!M188,Data!O188,Data!Q188,Data!S188,Data!U188,Data!W188,Data!Y188,Data!AA188,Data!AC188,Data!AE188,Data!AG188,Data!AI188,Data!AK188,Data!AM188,Data!AO188,Data!AQ188,Data!AS188)</f>
        <v>0</v>
      </c>
      <c r="F187" s="11">
        <f>SUM(Data!DI188,Data!DK188,Data!DM188,Data!DO188,Data!DQ188,Data!DS188,Data!DU188,Data!DW188,Data!DY188,Data!EA188,Data!EC188,Data!EE188,Data!EG188,Data!EI188,Data!EK188,Data!EM188,Data!EO188,Data!EQ188,Data!ES188)</f>
        <v>0</v>
      </c>
      <c r="G187" s="11">
        <f>F187-E187</f>
        <v>0</v>
      </c>
      <c r="H187">
        <f>IF(E187=0,IF(F187&gt;0,"New",0),(F187-E187)/E187)</f>
        <v>0</v>
      </c>
      <c r="I187" s="12">
        <f>SUM(Data!J188,Data!L188,Data!N188,Data!P188,Data!R188,Data!T188,Data!V188,Data!X188,Data!Z188,Data!AB188,Data!AD188,Data!AF188,Data!AH188,Data!AJ188,Data!AL188,Data!AN188,Data!AP188,Data!AR188,Data!AT188)</f>
        <v>0</v>
      </c>
      <c r="J187" s="12">
        <f>SUM(Data!DJ188,Data!DL188,Data!DN188,Data!DP188,Data!DR188,Data!DT188,Data!DV188,Data!DX188,Data!DZ188,Data!EB188,Data!ED188,Data!EF188,Data!EH188,Data!EJ188,Data!EL188,Data!EN188,Data!EP188,Data!ER188,Data!ET188)</f>
        <v>0</v>
      </c>
      <c r="K187" s="12">
        <f>J187-I187</f>
        <v>0</v>
      </c>
      <c r="L187">
        <f>IF(I187=0,IF(J187&gt;0,"New",0),(J187-I187)/I187)</f>
        <v>0</v>
      </c>
      <c r="M187" t="str">
        <f>IF(F187=0,"No 2026 Sales",IF(E187=0,"New Product",IF(AND(ISNUMBER(H187),H187&gt;0.1),"↑ Strong Growth",IF(AND(ISNUMBER(H187),H187&gt;0),"↗ Growth",IF(AND(ISNUMBER(H187),H187&lt;-0.1),"↓ Strong Decline",IF(AND(ISNUMBER(H187),H187&lt;0),"↘ Decline","→ Stable"))))))</f>
        <v>No 2026 Sales</v>
      </c>
    </row>
    <row r="188" spans="1:13" hidden="1" x14ac:dyDescent="0.35">
      <c r="A188">
        <f>Data!A189</f>
        <v>205</v>
      </c>
      <c r="B188" t="str">
        <f>Data!B189</f>
        <v>MUTTON</v>
      </c>
      <c r="C188" s="9">
        <f>Data!C189</f>
        <v>44898</v>
      </c>
      <c r="D188" s="10" t="s">
        <v>969</v>
      </c>
      <c r="E188" s="11">
        <f>SUM(Data!I189,Data!K189,Data!M189,Data!O189,Data!Q189,Data!S189,Data!U189,Data!W189,Data!Y189,Data!AA189,Data!AC189,Data!AE189,Data!AG189,Data!AI189,Data!AK189,Data!AM189,Data!AO189,Data!AQ189,Data!AS189)</f>
        <v>2084.0173913043468</v>
      </c>
      <c r="F188" s="11">
        <f>SUM(Data!DI189,Data!DK189,Data!DM189,Data!DO189,Data!DQ189,Data!DS189,Data!DU189,Data!DW189,Data!DY189,Data!EA189,Data!EC189,Data!EE189,Data!EG189,Data!EI189,Data!EK189,Data!EM189,Data!EO189,Data!EQ189,Data!ES189)</f>
        <v>0</v>
      </c>
      <c r="G188" s="11">
        <f>F188-E188</f>
        <v>-2084.0173913043468</v>
      </c>
      <c r="H188">
        <f>IF(E188=0,IF(F188&gt;0,"New",0),(F188-E188)/E188)</f>
        <v>-1</v>
      </c>
      <c r="I188" s="12">
        <f>SUM(Data!J189,Data!L189,Data!N189,Data!P189,Data!R189,Data!T189,Data!V189,Data!X189,Data!Z189,Data!AB189,Data!AD189,Data!AF189,Data!AH189,Data!AJ189,Data!AL189,Data!AN189,Data!AP189,Data!AR189,Data!AT189)</f>
        <v>17.12</v>
      </c>
      <c r="J188" s="12">
        <f>SUM(Data!DJ189,Data!DL189,Data!DN189,Data!DP189,Data!DR189,Data!DT189,Data!DV189,Data!DX189,Data!DZ189,Data!EB189,Data!ED189,Data!EF189,Data!EH189,Data!EJ189,Data!EL189,Data!EN189,Data!EP189,Data!ER189,Data!ET189)</f>
        <v>0</v>
      </c>
      <c r="K188" s="12">
        <f>J188-I188</f>
        <v>-17.12</v>
      </c>
      <c r="L188">
        <f>IF(I188=0,IF(J188&gt;0,"New",0),(J188-I188)/I188)</f>
        <v>-1</v>
      </c>
      <c r="M188" t="str">
        <f>IF(F188=0,"No 2026 Sales",IF(E188=0,"New Product",IF(AND(ISNUMBER(H188),H188&gt;0.1),"↑ Strong Growth",IF(AND(ISNUMBER(H188),H188&gt;0),"↗ Growth",IF(AND(ISNUMBER(H188),H188&lt;-0.1),"↓ Strong Decline",IF(AND(ISNUMBER(H188),H188&lt;0),"↘ Decline","→ Stable"))))))</f>
        <v>No 2026 Sales</v>
      </c>
    </row>
    <row r="189" spans="1:13" x14ac:dyDescent="0.35">
      <c r="A189">
        <f>Data!A190</f>
        <v>205</v>
      </c>
      <c r="B189" t="str">
        <f>Data!B190</f>
        <v>MUTTON</v>
      </c>
      <c r="C189" s="9">
        <f>Data!C190</f>
        <v>56816</v>
      </c>
      <c r="D189" s="10" t="s">
        <v>970</v>
      </c>
      <c r="E189" s="11">
        <f>SUM(Data!I190,Data!K190,Data!M190,Data!O190,Data!Q190,Data!S190,Data!U190,Data!W190,Data!Y190,Data!AA190,Data!AC190,Data!AE190,Data!AG190,Data!AI190,Data!AK190,Data!AM190,Data!AO190,Data!AQ190,Data!AS190)</f>
        <v>2248.1739130434789</v>
      </c>
      <c r="F189" s="11">
        <f>SUM(Data!DI190,Data!DK190,Data!DM190,Data!DO190,Data!DQ190,Data!DS190,Data!DU190,Data!DW190,Data!DY190,Data!EA190,Data!EC190,Data!EE190,Data!EG190,Data!EI190,Data!EK190,Data!EM190,Data!EO190,Data!EQ190,Data!ES190)</f>
        <v>7718.2521739130425</v>
      </c>
      <c r="G189" s="11">
        <f>F189-E189</f>
        <v>5470.0782608695636</v>
      </c>
      <c r="H189" s="13">
        <f>IF(E189=0,IF(F189&gt;0,"New",0),(F189-E189)/E189)</f>
        <v>2.4331206002939569</v>
      </c>
      <c r="I189" s="12">
        <f>SUM(Data!J190,Data!L190,Data!N190,Data!P190,Data!R190,Data!T190,Data!V190,Data!X190,Data!Z190,Data!AB190,Data!AD190,Data!AF190,Data!AH190,Data!AJ190,Data!AL190,Data!AN190,Data!AP190,Data!AR190,Data!AT190)</f>
        <v>19.398</v>
      </c>
      <c r="J189" s="12">
        <f>SUM(Data!DJ190,Data!DL190,Data!DN190,Data!DP190,Data!DR190,Data!DT190,Data!DV190,Data!DX190,Data!DZ190,Data!EB190,Data!ED190,Data!EF190,Data!EH190,Data!EJ190,Data!EL190,Data!EN190,Data!EP190,Data!ER190,Data!ET190)</f>
        <v>69.546000000000006</v>
      </c>
      <c r="K189" s="12">
        <f>J189-I189</f>
        <v>50.14800000000001</v>
      </c>
      <c r="L189" s="13">
        <f>IF(I189=0,IF(J189&gt;0,"New",0),(J189-I189)/I189)</f>
        <v>2.5852149706155281</v>
      </c>
      <c r="M189" t="str">
        <f>IF(F189=0,"No 2026 Sales",IF(E189=0,"New Product",IF(AND(ISNUMBER(H189),H189&gt;0.1),"↑ Strong Growth",IF(AND(ISNUMBER(H189),H189&gt;0),"↗ Growth",IF(AND(ISNUMBER(H189),H189&lt;-0.1),"↓ Strong Decline",IF(AND(ISNUMBER(H189),H189&lt;0),"↘ Decline","→ Stable"))))))</f>
        <v>↑ Strong Growth</v>
      </c>
    </row>
    <row r="190" spans="1:13" hidden="1" x14ac:dyDescent="0.35">
      <c r="A190">
        <f>Data!A191</f>
        <v>205</v>
      </c>
      <c r="B190" t="str">
        <f>Data!B191</f>
        <v>MUTTON</v>
      </c>
      <c r="C190" s="9">
        <f>Data!C191</f>
        <v>64528</v>
      </c>
      <c r="D190" s="10" t="s">
        <v>971</v>
      </c>
      <c r="E190" s="11">
        <f>SUM(Data!I191,Data!K191,Data!M191,Data!O191,Data!Q191,Data!S191,Data!U191,Data!W191,Data!Y191,Data!AA191,Data!AC191,Data!AE191,Data!AG191,Data!AI191,Data!AK191,Data!AM191,Data!AO191,Data!AQ191,Data!AS191)</f>
        <v>0</v>
      </c>
      <c r="F190" s="11">
        <f>SUM(Data!DI191,Data!DK191,Data!DM191,Data!DO191,Data!DQ191,Data!DS191,Data!DU191,Data!DW191,Data!DY191,Data!EA191,Data!EC191,Data!EE191,Data!EG191,Data!EI191,Data!EK191,Data!EM191,Data!EO191,Data!EQ191,Data!ES191)</f>
        <v>0</v>
      </c>
      <c r="G190" s="11">
        <f>F190-E190</f>
        <v>0</v>
      </c>
      <c r="H190">
        <f>IF(E190=0,IF(F190&gt;0,"New",0),(F190-E190)/E190)</f>
        <v>0</v>
      </c>
      <c r="I190" s="12">
        <f>SUM(Data!J191,Data!L191,Data!N191,Data!P191,Data!R191,Data!T191,Data!V191,Data!X191,Data!Z191,Data!AB191,Data!AD191,Data!AF191,Data!AH191,Data!AJ191,Data!AL191,Data!AN191,Data!AP191,Data!AR191,Data!AT191)</f>
        <v>0</v>
      </c>
      <c r="J190" s="12">
        <f>SUM(Data!DJ191,Data!DL191,Data!DN191,Data!DP191,Data!DR191,Data!DT191,Data!DV191,Data!DX191,Data!DZ191,Data!EB191,Data!ED191,Data!EF191,Data!EH191,Data!EJ191,Data!EL191,Data!EN191,Data!EP191,Data!ER191,Data!ET191)</f>
        <v>0</v>
      </c>
      <c r="K190" s="12">
        <f>J190-I190</f>
        <v>0</v>
      </c>
      <c r="L190">
        <f>IF(I190=0,IF(J190&gt;0,"New",0),(J190-I190)/I190)</f>
        <v>0</v>
      </c>
      <c r="M190" t="str">
        <f>IF(F190=0,"No 2026 Sales",IF(E190=0,"New Product",IF(AND(ISNUMBER(H190),H190&gt;0.1),"↑ Strong Growth",IF(AND(ISNUMBER(H190),H190&gt;0),"↗ Growth",IF(AND(ISNUMBER(H190),H190&lt;-0.1),"↓ Strong Decline",IF(AND(ISNUMBER(H190),H190&lt;0),"↘ Decline","→ Stable"))))))</f>
        <v>No 2026 Sales</v>
      </c>
    </row>
    <row r="191" spans="1:13" hidden="1" x14ac:dyDescent="0.35">
      <c r="A191">
        <f>Data!A192</f>
        <v>205</v>
      </c>
      <c r="B191" t="str">
        <f>Data!B192</f>
        <v>MUTTON</v>
      </c>
      <c r="C191" s="9">
        <f>Data!C192</f>
        <v>64529</v>
      </c>
      <c r="D191" s="10" t="s">
        <v>972</v>
      </c>
      <c r="E191" s="11">
        <f>SUM(Data!I192,Data!K192,Data!M192,Data!O192,Data!Q192,Data!S192,Data!U192,Data!W192,Data!Y192,Data!AA192,Data!AC192,Data!AE192,Data!AG192,Data!AI192,Data!AK192,Data!AM192,Data!AO192,Data!AQ192,Data!AS192)</f>
        <v>0</v>
      </c>
      <c r="F191" s="11">
        <f>SUM(Data!DI192,Data!DK192,Data!DM192,Data!DO192,Data!DQ192,Data!DS192,Data!DU192,Data!DW192,Data!DY192,Data!EA192,Data!EC192,Data!EE192,Data!EG192,Data!EI192,Data!EK192,Data!EM192,Data!EO192,Data!EQ192,Data!ES192)</f>
        <v>0</v>
      </c>
      <c r="G191" s="11">
        <f>F191-E191</f>
        <v>0</v>
      </c>
      <c r="H191">
        <f>IF(E191=0,IF(F191&gt;0,"New",0),(F191-E191)/E191)</f>
        <v>0</v>
      </c>
      <c r="I191" s="12">
        <f>SUM(Data!J192,Data!L192,Data!N192,Data!P192,Data!R192,Data!T192,Data!V192,Data!X192,Data!Z192,Data!AB192,Data!AD192,Data!AF192,Data!AH192,Data!AJ192,Data!AL192,Data!AN192,Data!AP192,Data!AR192,Data!AT192)</f>
        <v>0</v>
      </c>
      <c r="J191" s="12">
        <f>SUM(Data!DJ192,Data!DL192,Data!DN192,Data!DP192,Data!DR192,Data!DT192,Data!DV192,Data!DX192,Data!DZ192,Data!EB192,Data!ED192,Data!EF192,Data!EH192,Data!EJ192,Data!EL192,Data!EN192,Data!EP192,Data!ER192,Data!ET192)</f>
        <v>0</v>
      </c>
      <c r="K191" s="12">
        <f>J191-I191</f>
        <v>0</v>
      </c>
      <c r="L191">
        <f>IF(I191=0,IF(J191&gt;0,"New",0),(J191-I191)/I191)</f>
        <v>0</v>
      </c>
      <c r="M191" t="str">
        <f>IF(F191=0,"No 2026 Sales",IF(E191=0,"New Product",IF(AND(ISNUMBER(H191),H191&gt;0.1),"↑ Strong Growth",IF(AND(ISNUMBER(H191),H191&gt;0),"↗ Growth",IF(AND(ISNUMBER(H191),H191&lt;-0.1),"↓ Strong Decline",IF(AND(ISNUMBER(H191),H191&lt;0),"↘ Decline","→ Stable"))))))</f>
        <v>No 2026 Sales</v>
      </c>
    </row>
    <row r="192" spans="1:13" hidden="1" x14ac:dyDescent="0.35">
      <c r="A192">
        <f>Data!A193</f>
        <v>206</v>
      </c>
      <c r="B192" t="str">
        <f>Data!B193</f>
        <v>PET MINCE/DROEWORS</v>
      </c>
      <c r="C192" s="9">
        <f>Data!C193</f>
        <v>34231</v>
      </c>
      <c r="D192" s="10" t="s">
        <v>973</v>
      </c>
      <c r="E192" s="11">
        <f>SUM(Data!I193,Data!K193,Data!M193,Data!O193,Data!Q193,Data!S193,Data!U193,Data!W193,Data!Y193,Data!AA193,Data!AC193,Data!AE193,Data!AG193,Data!AI193,Data!AK193,Data!AM193,Data!AO193,Data!AQ193,Data!AS193)</f>
        <v>0</v>
      </c>
      <c r="F192" s="11">
        <f>SUM(Data!DI193,Data!DK193,Data!DM193,Data!DO193,Data!DQ193,Data!DS193,Data!DU193,Data!DW193,Data!DY193,Data!EA193,Data!EC193,Data!EE193,Data!EG193,Data!EI193,Data!EK193,Data!EM193,Data!EO193,Data!EQ193,Data!ES193)</f>
        <v>0</v>
      </c>
      <c r="G192" s="11">
        <f>F192-E192</f>
        <v>0</v>
      </c>
      <c r="H192">
        <f>IF(E192=0,IF(F192&gt;0,"New",0),(F192-E192)/E192)</f>
        <v>0</v>
      </c>
      <c r="I192" s="12">
        <f>SUM(Data!J193,Data!L193,Data!N193,Data!P193,Data!R193,Data!T193,Data!V193,Data!X193,Data!Z193,Data!AB193,Data!AD193,Data!AF193,Data!AH193,Data!AJ193,Data!AL193,Data!AN193,Data!AP193,Data!AR193,Data!AT193)</f>
        <v>0</v>
      </c>
      <c r="J192" s="12">
        <f>SUM(Data!DJ193,Data!DL193,Data!DN193,Data!DP193,Data!DR193,Data!DT193,Data!DV193,Data!DX193,Data!DZ193,Data!EB193,Data!ED193,Data!EF193,Data!EH193,Data!EJ193,Data!EL193,Data!EN193,Data!EP193,Data!ER193,Data!ET193)</f>
        <v>0</v>
      </c>
      <c r="K192" s="12">
        <f>J192-I192</f>
        <v>0</v>
      </c>
      <c r="L192">
        <f>IF(I192=0,IF(J192&gt;0,"New",0),(J192-I192)/I192)</f>
        <v>0</v>
      </c>
      <c r="M192" t="str">
        <f>IF(F192=0,"No 2026 Sales",IF(E192=0,"New Product",IF(AND(ISNUMBER(H192),H192&gt;0.1),"↑ Strong Growth",IF(AND(ISNUMBER(H192),H192&gt;0),"↗ Growth",IF(AND(ISNUMBER(H192),H192&lt;-0.1),"↓ Strong Decline",IF(AND(ISNUMBER(H192),H192&lt;0),"↘ Decline","→ Stable"))))))</f>
        <v>No 2026 Sales</v>
      </c>
    </row>
    <row r="193" spans="1:13" x14ac:dyDescent="0.35">
      <c r="A193">
        <f>Data!A194</f>
        <v>206</v>
      </c>
      <c r="B193" t="str">
        <f>Data!B194</f>
        <v>PET MINCE/DROEWORS</v>
      </c>
      <c r="C193" s="9">
        <f>Data!C194</f>
        <v>34271</v>
      </c>
      <c r="D193" s="10" t="s">
        <v>974</v>
      </c>
      <c r="E193" s="11">
        <f>SUM(Data!I194,Data!K194,Data!M194,Data!O194,Data!Q194,Data!S194,Data!U194,Data!W194,Data!Y194,Data!AA194,Data!AC194,Data!AE194,Data!AG194,Data!AI194,Data!AK194,Data!AM194,Data!AO194,Data!AQ194,Data!AS194)</f>
        <v>2404.3217391304361</v>
      </c>
      <c r="F193" s="11">
        <f>SUM(Data!DI194,Data!DK194,Data!DM194,Data!DO194,Data!DQ194,Data!DS194,Data!DU194,Data!DW194,Data!DY194,Data!EA194,Data!EC194,Data!EE194,Data!EG194,Data!EI194,Data!EK194,Data!EM194,Data!EO194,Data!EQ194,Data!ES194)</f>
        <v>4861.1304347826081</v>
      </c>
      <c r="G193" s="11">
        <f>F193-E193</f>
        <v>2456.808695652172</v>
      </c>
      <c r="H193" s="13">
        <f>IF(E193=0,IF(F193&gt;0,"New",0),(F193-E193)/E193)</f>
        <v>1.0218302549394735</v>
      </c>
      <c r="I193" s="12">
        <f>SUM(Data!J194,Data!L194,Data!N194,Data!P194,Data!R194,Data!T194,Data!V194,Data!X194,Data!Z194,Data!AB194,Data!AD194,Data!AF194,Data!AH194,Data!AJ194,Data!AL194,Data!AN194,Data!AP194,Data!AR194,Data!AT194)</f>
        <v>138.84</v>
      </c>
      <c r="J193" s="12">
        <f>SUM(Data!DJ194,Data!DL194,Data!DN194,Data!DP194,Data!DR194,Data!DT194,Data!DV194,Data!DX194,Data!DZ194,Data!EB194,Data!ED194,Data!EF194,Data!EH194,Data!EJ194,Data!EL194,Data!EN194,Data!EP194,Data!ER194,Data!ET194)</f>
        <v>280.036</v>
      </c>
      <c r="K193" s="12">
        <f>J193-I193</f>
        <v>141.196</v>
      </c>
      <c r="L193" s="13">
        <f>IF(I193=0,IF(J193&gt;0,"New",0),(J193-I193)/I193)</f>
        <v>1.0169691731489483</v>
      </c>
      <c r="M193" t="str">
        <f>IF(F193=0,"No 2026 Sales",IF(E193=0,"New Product",IF(AND(ISNUMBER(H193),H193&gt;0.1),"↑ Strong Growth",IF(AND(ISNUMBER(H193),H193&gt;0),"↗ Growth",IF(AND(ISNUMBER(H193),H193&lt;-0.1),"↓ Strong Decline",IF(AND(ISNUMBER(H193),H193&lt;0),"↘ Decline","→ Stable"))))))</f>
        <v>↑ Strong Growth</v>
      </c>
    </row>
    <row r="194" spans="1:13" x14ac:dyDescent="0.35">
      <c r="A194">
        <f>Data!A195</f>
        <v>206</v>
      </c>
      <c r="B194" t="str">
        <f>Data!B195</f>
        <v>PET MINCE/DROEWORS</v>
      </c>
      <c r="C194" s="9">
        <f>Data!C195</f>
        <v>34297</v>
      </c>
      <c r="D194" s="10" t="s">
        <v>975</v>
      </c>
      <c r="E194" s="11">
        <f>SUM(Data!I195,Data!K195,Data!M195,Data!O195,Data!Q195,Data!S195,Data!U195,Data!W195,Data!Y195,Data!AA195,Data!AC195,Data!AE195,Data!AG195,Data!AI195,Data!AK195,Data!AM195,Data!AO195,Data!AQ195,Data!AS195)</f>
        <v>2893.6782608695635</v>
      </c>
      <c r="F194" s="11">
        <f>SUM(Data!DI195,Data!DK195,Data!DM195,Data!DO195,Data!DQ195,Data!DS195,Data!DU195,Data!DW195,Data!DY195,Data!EA195,Data!EC195,Data!EE195,Data!EG195,Data!EI195,Data!EK195,Data!EM195,Data!EO195,Data!EQ195,Data!ES195)</f>
        <v>1889.2260869565202</v>
      </c>
      <c r="G194" s="11">
        <f>F194-E194</f>
        <v>-1004.4521739130432</v>
      </c>
      <c r="H194" s="13">
        <f>IF(E194=0,IF(F194&gt;0,"New",0),(F194-E194)/E194)</f>
        <v>-0.34711950789276785</v>
      </c>
      <c r="I194" s="12">
        <f>SUM(Data!J195,Data!L195,Data!N195,Data!P195,Data!R195,Data!T195,Data!V195,Data!X195,Data!Z195,Data!AB195,Data!AD195,Data!AF195,Data!AH195,Data!AJ195,Data!AL195,Data!AN195,Data!AP195,Data!AR195,Data!AT195)</f>
        <v>333.6350000000001</v>
      </c>
      <c r="J194" s="12">
        <f>SUM(Data!DJ195,Data!DL195,Data!DN195,Data!DP195,Data!DR195,Data!DT195,Data!DV195,Data!DX195,Data!DZ195,Data!EB195,Data!ED195,Data!EF195,Data!EH195,Data!EJ195,Data!EL195,Data!EN195,Data!EP195,Data!ER195,Data!ET195)</f>
        <v>218.46199999999996</v>
      </c>
      <c r="K194" s="12">
        <f>J194-I194</f>
        <v>-115.17300000000014</v>
      </c>
      <c r="L194" s="13">
        <f>IF(I194=0,IF(J194&gt;0,"New",0),(J194-I194)/I194)</f>
        <v>-0.34520658803782611</v>
      </c>
      <c r="M194" t="str">
        <f>IF(F194=0,"No 2026 Sales",IF(E194=0,"New Product",IF(AND(ISNUMBER(H194),H194&gt;0.1),"↑ Strong Growth",IF(AND(ISNUMBER(H194),H194&gt;0),"↗ Growth",IF(AND(ISNUMBER(H194),H194&lt;-0.1),"↓ Strong Decline",IF(AND(ISNUMBER(H194),H194&lt;0),"↘ Decline","→ Stable"))))))</f>
        <v>↓ Strong Decline</v>
      </c>
    </row>
    <row r="195" spans="1:13" hidden="1" x14ac:dyDescent="0.35">
      <c r="A195">
        <f>Data!A196</f>
        <v>206</v>
      </c>
      <c r="B195" t="str">
        <f>Data!B196</f>
        <v>PET MINCE/DROEWORS</v>
      </c>
      <c r="C195" s="9">
        <f>Data!C196</f>
        <v>34305</v>
      </c>
      <c r="D195" s="10" t="s">
        <v>976</v>
      </c>
      <c r="E195" s="11">
        <f>SUM(Data!I196,Data!K196,Data!M196,Data!O196,Data!Q196,Data!S196,Data!U196,Data!W196,Data!Y196,Data!AA196,Data!AC196,Data!AE196,Data!AG196,Data!AI196,Data!AK196,Data!AM196,Data!AO196,Data!AQ196,Data!AS196)</f>
        <v>0</v>
      </c>
      <c r="F195" s="11">
        <f>SUM(Data!DI196,Data!DK196,Data!DM196,Data!DO196,Data!DQ196,Data!DS196,Data!DU196,Data!DW196,Data!DY196,Data!EA196,Data!EC196,Data!EE196,Data!EG196,Data!EI196,Data!EK196,Data!EM196,Data!EO196,Data!EQ196,Data!ES196)</f>
        <v>0</v>
      </c>
      <c r="G195" s="11">
        <f>F195-E195</f>
        <v>0</v>
      </c>
      <c r="H195">
        <f>IF(E195=0,IF(F195&gt;0,"New",0),(F195-E195)/E195)</f>
        <v>0</v>
      </c>
      <c r="I195" s="12">
        <f>SUM(Data!J196,Data!L196,Data!N196,Data!P196,Data!R196,Data!T196,Data!V196,Data!X196,Data!Z196,Data!AB196,Data!AD196,Data!AF196,Data!AH196,Data!AJ196,Data!AL196,Data!AN196,Data!AP196,Data!AR196,Data!AT196)</f>
        <v>0</v>
      </c>
      <c r="J195" s="12">
        <f>SUM(Data!DJ196,Data!DL196,Data!DN196,Data!DP196,Data!DR196,Data!DT196,Data!DV196,Data!DX196,Data!DZ196,Data!EB196,Data!ED196,Data!EF196,Data!EH196,Data!EJ196,Data!EL196,Data!EN196,Data!EP196,Data!ER196,Data!ET196)</f>
        <v>0</v>
      </c>
      <c r="K195" s="12">
        <f>J195-I195</f>
        <v>0</v>
      </c>
      <c r="L195">
        <f>IF(I195=0,IF(J195&gt;0,"New",0),(J195-I195)/I195)</f>
        <v>0</v>
      </c>
      <c r="M195" t="str">
        <f>IF(F195=0,"No 2026 Sales",IF(E195=0,"New Product",IF(AND(ISNUMBER(H195),H195&gt;0.1),"↑ Strong Growth",IF(AND(ISNUMBER(H195),H195&gt;0),"↗ Growth",IF(AND(ISNUMBER(H195),H195&lt;-0.1),"↓ Strong Decline",IF(AND(ISNUMBER(H195),H195&lt;0),"↘ Decline","→ Stable"))))))</f>
        <v>No 2026 Sales</v>
      </c>
    </row>
    <row r="196" spans="1:13" x14ac:dyDescent="0.35">
      <c r="A196">
        <f>Data!A197</f>
        <v>206</v>
      </c>
      <c r="B196" t="str">
        <f>Data!B197</f>
        <v>PET MINCE/DROEWORS</v>
      </c>
      <c r="C196" s="9">
        <f>Data!C197</f>
        <v>39771</v>
      </c>
      <c r="D196" s="10" t="s">
        <v>977</v>
      </c>
      <c r="E196" s="11">
        <f>SUM(Data!I197,Data!K197,Data!M197,Data!O197,Data!Q197,Data!S197,Data!U197,Data!W197,Data!Y197,Data!AA197,Data!AC197,Data!AE197,Data!AG197,Data!AI197,Data!AK197,Data!AM197,Data!AO197,Data!AQ197,Data!AS197)</f>
        <v>4444.6521739130421</v>
      </c>
      <c r="F196" s="11">
        <f>SUM(Data!DI197,Data!DK197,Data!DM197,Data!DO197,Data!DQ197,Data!DS197,Data!DU197,Data!DW197,Data!DY197,Data!EA197,Data!EC197,Data!EE197,Data!EG197,Data!EI197,Data!EK197,Data!EM197,Data!EO197,Data!EQ197,Data!ES197)</f>
        <v>5390.2869565217416</v>
      </c>
      <c r="G196" s="11">
        <f>F196-E196</f>
        <v>945.63478260869942</v>
      </c>
      <c r="H196" s="13">
        <f>IF(E196=0,IF(F196&gt;0,"New",0),(F196-E196)/E196)</f>
        <v>0.21275788196856107</v>
      </c>
      <c r="I196" s="12">
        <f>SUM(Data!J197,Data!L197,Data!N197,Data!P197,Data!R197,Data!T197,Data!V197,Data!X197,Data!Z197,Data!AB197,Data!AD197,Data!AF197,Data!AH197,Data!AJ197,Data!AL197,Data!AN197,Data!AP197,Data!AR197,Data!AT197)</f>
        <v>56.878</v>
      </c>
      <c r="J196" s="12">
        <f>SUM(Data!DJ197,Data!DL197,Data!DN197,Data!DP197,Data!DR197,Data!DT197,Data!DV197,Data!DX197,Data!DZ197,Data!EB197,Data!ED197,Data!EF197,Data!EH197,Data!EJ197,Data!EL197,Data!EN197,Data!EP197,Data!ER197,Data!ET197)</f>
        <v>68.935999999999993</v>
      </c>
      <c r="K196" s="12">
        <f>J196-I196</f>
        <v>12.057999999999993</v>
      </c>
      <c r="L196" s="13">
        <f>IF(I196=0,IF(J196&gt;0,"New",0),(J196-I196)/I196)</f>
        <v>0.21199760891733171</v>
      </c>
      <c r="M196" t="str">
        <f>IF(F196=0,"No 2026 Sales",IF(E196=0,"New Product",IF(AND(ISNUMBER(H196),H196&gt;0.1),"↑ Strong Growth",IF(AND(ISNUMBER(H196),H196&gt;0),"↗ Growth",IF(AND(ISNUMBER(H196),H196&lt;-0.1),"↓ Strong Decline",IF(AND(ISNUMBER(H196),H196&lt;0),"↘ Decline","→ Stable"))))))</f>
        <v>↑ Strong Growth</v>
      </c>
    </row>
    <row r="197" spans="1:13" hidden="1" x14ac:dyDescent="0.35">
      <c r="A197">
        <f>Data!A198</f>
        <v>207</v>
      </c>
      <c r="B197" t="str">
        <f>Data!B198</f>
        <v>PORK</v>
      </c>
      <c r="C197" s="9">
        <f>Data!C198</f>
        <v>11131</v>
      </c>
      <c r="D197" s="10" t="s">
        <v>978</v>
      </c>
      <c r="E197" s="11">
        <f>SUM(Data!I198,Data!K198,Data!M198,Data!O198,Data!Q198,Data!S198,Data!U198,Data!W198,Data!Y198,Data!AA198,Data!AC198,Data!AE198,Data!AG198,Data!AI198,Data!AK198,Data!AM198,Data!AO198,Data!AQ198,Data!AS198)</f>
        <v>0</v>
      </c>
      <c r="F197" s="11">
        <f>SUM(Data!DI198,Data!DK198,Data!DM198,Data!DO198,Data!DQ198,Data!DS198,Data!DU198,Data!DW198,Data!DY198,Data!EA198,Data!EC198,Data!EE198,Data!EG198,Data!EI198,Data!EK198,Data!EM198,Data!EO198,Data!EQ198,Data!ES198)</f>
        <v>0</v>
      </c>
      <c r="G197" s="11">
        <f>F197-E197</f>
        <v>0</v>
      </c>
      <c r="H197">
        <f>IF(E197=0,IF(F197&gt;0,"New",0),(F197-E197)/E197)</f>
        <v>0</v>
      </c>
      <c r="I197" s="12">
        <f>SUM(Data!J198,Data!L198,Data!N198,Data!P198,Data!R198,Data!T198,Data!V198,Data!X198,Data!Z198,Data!AB198,Data!AD198,Data!AF198,Data!AH198,Data!AJ198,Data!AL198,Data!AN198,Data!AP198,Data!AR198,Data!AT198)</f>
        <v>0</v>
      </c>
      <c r="J197" s="12">
        <f>SUM(Data!DJ198,Data!DL198,Data!DN198,Data!DP198,Data!DR198,Data!DT198,Data!DV198,Data!DX198,Data!DZ198,Data!EB198,Data!ED198,Data!EF198,Data!EH198,Data!EJ198,Data!EL198,Data!EN198,Data!EP198,Data!ER198,Data!ET198)</f>
        <v>0</v>
      </c>
      <c r="K197" s="12">
        <f>J197-I197</f>
        <v>0</v>
      </c>
      <c r="L197">
        <f>IF(I197=0,IF(J197&gt;0,"New",0),(J197-I197)/I197)</f>
        <v>0</v>
      </c>
      <c r="M197" t="str">
        <f>IF(F197=0,"No 2026 Sales",IF(E197=0,"New Product",IF(AND(ISNUMBER(H197),H197&gt;0.1),"↑ Strong Growth",IF(AND(ISNUMBER(H197),H197&gt;0),"↗ Growth",IF(AND(ISNUMBER(H197),H197&lt;-0.1),"↓ Strong Decline",IF(AND(ISNUMBER(H197),H197&lt;0),"↘ Decline","→ Stable"))))))</f>
        <v>No 2026 Sales</v>
      </c>
    </row>
    <row r="198" spans="1:13" hidden="1" x14ac:dyDescent="0.35">
      <c r="A198">
        <f>Data!A199</f>
        <v>207</v>
      </c>
      <c r="B198" t="str">
        <f>Data!B199</f>
        <v>PORK</v>
      </c>
      <c r="C198" s="9">
        <f>Data!C199</f>
        <v>11132</v>
      </c>
      <c r="D198" s="10" t="s">
        <v>979</v>
      </c>
      <c r="E198" s="11">
        <f>SUM(Data!I199,Data!K199,Data!M199,Data!O199,Data!Q199,Data!S199,Data!U199,Data!W199,Data!Y199,Data!AA199,Data!AC199,Data!AE199,Data!AG199,Data!AI199,Data!AK199,Data!AM199,Data!AO199,Data!AQ199,Data!AS199)</f>
        <v>20554.40869565215</v>
      </c>
      <c r="F198" s="11">
        <f>SUM(Data!DI199,Data!DK199,Data!DM199,Data!DO199,Data!DQ199,Data!DS199,Data!DU199,Data!DW199,Data!DY199,Data!EA199,Data!EC199,Data!EE199,Data!EG199,Data!EI199,Data!EK199,Data!EM199,Data!EO199,Data!EQ199,Data!ES199)</f>
        <v>0</v>
      </c>
      <c r="G198" s="11">
        <f>F198-E198</f>
        <v>-20554.40869565215</v>
      </c>
      <c r="H198">
        <f>IF(E198=0,IF(F198&gt;0,"New",0),(F198-E198)/E198)</f>
        <v>-1</v>
      </c>
      <c r="I198" s="12">
        <f>SUM(Data!J199,Data!L199,Data!N199,Data!P199,Data!R199,Data!T199,Data!V199,Data!X199,Data!Z199,Data!AB199,Data!AD199,Data!AF199,Data!AH199,Data!AJ199,Data!AL199,Data!AN199,Data!AP199,Data!AR199,Data!AT199)</f>
        <v>342.99700000000001</v>
      </c>
      <c r="J198" s="12">
        <f>SUM(Data!DJ199,Data!DL199,Data!DN199,Data!DP199,Data!DR199,Data!DT199,Data!DV199,Data!DX199,Data!DZ199,Data!EB199,Data!ED199,Data!EF199,Data!EH199,Data!EJ199,Data!EL199,Data!EN199,Data!EP199,Data!ER199,Data!ET199)</f>
        <v>0</v>
      </c>
      <c r="K198" s="12">
        <f>J198-I198</f>
        <v>-342.99700000000001</v>
      </c>
      <c r="L198">
        <f>IF(I198=0,IF(J198&gt;0,"New",0),(J198-I198)/I198)</f>
        <v>-1</v>
      </c>
      <c r="M198" t="str">
        <f>IF(F198=0,"No 2026 Sales",IF(E198=0,"New Product",IF(AND(ISNUMBER(H198),H198&gt;0.1),"↑ Strong Growth",IF(AND(ISNUMBER(H198),H198&gt;0),"↗ Growth",IF(AND(ISNUMBER(H198),H198&lt;-0.1),"↓ Strong Decline",IF(AND(ISNUMBER(H198),H198&lt;0),"↘ Decline","→ Stable"))))))</f>
        <v>No 2026 Sales</v>
      </c>
    </row>
    <row r="199" spans="1:13" hidden="1" x14ac:dyDescent="0.35">
      <c r="A199">
        <f>Data!A200</f>
        <v>207</v>
      </c>
      <c r="B199" t="str">
        <f>Data!B200</f>
        <v>PORK</v>
      </c>
      <c r="C199" s="9">
        <f>Data!C200</f>
        <v>11136</v>
      </c>
      <c r="D199" s="10" t="s">
        <v>980</v>
      </c>
      <c r="E199" s="11">
        <f>SUM(Data!I200,Data!K200,Data!M200,Data!O200,Data!Q200,Data!S200,Data!U200,Data!W200,Data!Y200,Data!AA200,Data!AC200,Data!AE200,Data!AG200,Data!AI200,Data!AK200,Data!AM200,Data!AO200,Data!AQ200,Data!AS200)</f>
        <v>187556.93913043474</v>
      </c>
      <c r="F199" s="11">
        <f>SUM(Data!DI200,Data!DK200,Data!DM200,Data!DO200,Data!DQ200,Data!DS200,Data!DU200,Data!DW200,Data!DY200,Data!EA200,Data!EC200,Data!EE200,Data!EG200,Data!EI200,Data!EK200,Data!EM200,Data!EO200,Data!EQ200,Data!ES200)</f>
        <v>0</v>
      </c>
      <c r="G199" s="11">
        <f>F199-E199</f>
        <v>-187556.93913043474</v>
      </c>
      <c r="H199">
        <f>IF(E199=0,IF(F199&gt;0,"New",0),(F199-E199)/E199)</f>
        <v>-1</v>
      </c>
      <c r="I199" s="12">
        <f>SUM(Data!J200,Data!L200,Data!N200,Data!P200,Data!R200,Data!T200,Data!V200,Data!X200,Data!Z200,Data!AB200,Data!AD200,Data!AF200,Data!AH200,Data!AJ200,Data!AL200,Data!AN200,Data!AP200,Data!AR200,Data!AT200)</f>
        <v>2826.2639999999997</v>
      </c>
      <c r="J199" s="12">
        <f>SUM(Data!DJ200,Data!DL200,Data!DN200,Data!DP200,Data!DR200,Data!DT200,Data!DV200,Data!DX200,Data!DZ200,Data!EB200,Data!ED200,Data!EF200,Data!EH200,Data!EJ200,Data!EL200,Data!EN200,Data!EP200,Data!ER200,Data!ET200)</f>
        <v>0</v>
      </c>
      <c r="K199" s="12">
        <f>J199-I199</f>
        <v>-2826.2639999999997</v>
      </c>
      <c r="L199">
        <f>IF(I199=0,IF(J199&gt;0,"New",0),(J199-I199)/I199)</f>
        <v>-1</v>
      </c>
      <c r="M199" t="str">
        <f>IF(F199=0,"No 2026 Sales",IF(E199=0,"New Product",IF(AND(ISNUMBER(H199),H199&gt;0.1),"↑ Strong Growth",IF(AND(ISNUMBER(H199),H199&gt;0),"↗ Growth",IF(AND(ISNUMBER(H199),H199&lt;-0.1),"↓ Strong Decline",IF(AND(ISNUMBER(H199),H199&lt;0),"↘ Decline","→ Stable"))))))</f>
        <v>No 2026 Sales</v>
      </c>
    </row>
    <row r="200" spans="1:13" hidden="1" x14ac:dyDescent="0.35">
      <c r="A200">
        <f>Data!A201</f>
        <v>207</v>
      </c>
      <c r="B200" t="str">
        <f>Data!B201</f>
        <v>PORK</v>
      </c>
      <c r="C200" s="9">
        <f>Data!C201</f>
        <v>11137</v>
      </c>
      <c r="D200" s="10" t="s">
        <v>981</v>
      </c>
      <c r="E200" s="11">
        <f>SUM(Data!I201,Data!K201,Data!M201,Data!O201,Data!Q201,Data!S201,Data!U201,Data!W201,Data!Y201,Data!AA201,Data!AC201,Data!AE201,Data!AG201,Data!AI201,Data!AK201,Data!AM201,Data!AO201,Data!AQ201,Data!AS201)</f>
        <v>74864.96521739132</v>
      </c>
      <c r="F200" s="11">
        <f>SUM(Data!DI201,Data!DK201,Data!DM201,Data!DO201,Data!DQ201,Data!DS201,Data!DU201,Data!DW201,Data!DY201,Data!EA201,Data!EC201,Data!EE201,Data!EG201,Data!EI201,Data!EK201,Data!EM201,Data!EO201,Data!EQ201,Data!ES201)</f>
        <v>0</v>
      </c>
      <c r="G200" s="11">
        <f>F200-E200</f>
        <v>-74864.96521739132</v>
      </c>
      <c r="H200">
        <f>IF(E200=0,IF(F200&gt;0,"New",0),(F200-E200)/E200)</f>
        <v>-1</v>
      </c>
      <c r="I200" s="12">
        <f>SUM(Data!J201,Data!L201,Data!N201,Data!P201,Data!R201,Data!T201,Data!V201,Data!X201,Data!Z201,Data!AB201,Data!AD201,Data!AF201,Data!AH201,Data!AJ201,Data!AL201,Data!AN201,Data!AP201,Data!AR201,Data!AT201)</f>
        <v>901.50799999999992</v>
      </c>
      <c r="J200" s="12">
        <f>SUM(Data!DJ201,Data!DL201,Data!DN201,Data!DP201,Data!DR201,Data!DT201,Data!DV201,Data!DX201,Data!DZ201,Data!EB201,Data!ED201,Data!EF201,Data!EH201,Data!EJ201,Data!EL201,Data!EN201,Data!EP201,Data!ER201,Data!ET201)</f>
        <v>0</v>
      </c>
      <c r="K200" s="12">
        <f>J200-I200</f>
        <v>-901.50799999999992</v>
      </c>
      <c r="L200">
        <f>IF(I200=0,IF(J200&gt;0,"New",0),(J200-I200)/I200)</f>
        <v>-1</v>
      </c>
      <c r="M200" t="str">
        <f>IF(F200=0,"No 2026 Sales",IF(E200=0,"New Product",IF(AND(ISNUMBER(H200),H200&gt;0.1),"↑ Strong Growth",IF(AND(ISNUMBER(H200),H200&gt;0),"↗ Growth",IF(AND(ISNUMBER(H200),H200&lt;-0.1),"↓ Strong Decline",IF(AND(ISNUMBER(H200),H200&lt;0),"↘ Decline","→ Stable"))))))</f>
        <v>No 2026 Sales</v>
      </c>
    </row>
    <row r="201" spans="1:13" hidden="1" x14ac:dyDescent="0.35">
      <c r="A201">
        <f>Data!A202</f>
        <v>207</v>
      </c>
      <c r="B201" t="str">
        <f>Data!B202</f>
        <v>PORK</v>
      </c>
      <c r="C201" s="9">
        <f>Data!C202</f>
        <v>11139</v>
      </c>
      <c r="D201" s="10" t="s">
        <v>982</v>
      </c>
      <c r="E201" s="11">
        <f>SUM(Data!I202,Data!K202,Data!M202,Data!O202,Data!Q202,Data!S202,Data!U202,Data!W202,Data!Y202,Data!AA202,Data!AC202,Data!AE202,Data!AG202,Data!AI202,Data!AK202,Data!AM202,Data!AO202,Data!AQ202,Data!AS202)</f>
        <v>0</v>
      </c>
      <c r="F201" s="11">
        <f>SUM(Data!DI202,Data!DK202,Data!DM202,Data!DO202,Data!DQ202,Data!DS202,Data!DU202,Data!DW202,Data!DY202,Data!EA202,Data!EC202,Data!EE202,Data!EG202,Data!EI202,Data!EK202,Data!EM202,Data!EO202,Data!EQ202,Data!ES202)</f>
        <v>0</v>
      </c>
      <c r="G201" s="11">
        <f>F201-E201</f>
        <v>0</v>
      </c>
      <c r="H201">
        <f>IF(E201=0,IF(F201&gt;0,"New",0),(F201-E201)/E201)</f>
        <v>0</v>
      </c>
      <c r="I201" s="12">
        <f>SUM(Data!J202,Data!L202,Data!N202,Data!P202,Data!R202,Data!T202,Data!V202,Data!X202,Data!Z202,Data!AB202,Data!AD202,Data!AF202,Data!AH202,Data!AJ202,Data!AL202,Data!AN202,Data!AP202,Data!AR202,Data!AT202)</f>
        <v>0</v>
      </c>
      <c r="J201" s="12">
        <f>SUM(Data!DJ202,Data!DL202,Data!DN202,Data!DP202,Data!DR202,Data!DT202,Data!DV202,Data!DX202,Data!DZ202,Data!EB202,Data!ED202,Data!EF202,Data!EH202,Data!EJ202,Data!EL202,Data!EN202,Data!EP202,Data!ER202,Data!ET202)</f>
        <v>0</v>
      </c>
      <c r="K201" s="12">
        <f>J201-I201</f>
        <v>0</v>
      </c>
      <c r="L201">
        <f>IF(I201=0,IF(J201&gt;0,"New",0),(J201-I201)/I201)</f>
        <v>0</v>
      </c>
      <c r="M201" t="str">
        <f>IF(F201=0,"No 2026 Sales",IF(E201=0,"New Product",IF(AND(ISNUMBER(H201),H201&gt;0.1),"↑ Strong Growth",IF(AND(ISNUMBER(H201),H201&gt;0),"↗ Growth",IF(AND(ISNUMBER(H201),H201&lt;-0.1),"↓ Strong Decline",IF(AND(ISNUMBER(H201),H201&lt;0),"↘ Decline","→ Stable"))))))</f>
        <v>No 2026 Sales</v>
      </c>
    </row>
    <row r="202" spans="1:13" x14ac:dyDescent="0.35">
      <c r="A202">
        <f>Data!A203</f>
        <v>207</v>
      </c>
      <c r="B202" t="str">
        <f>Data!B203</f>
        <v>PORK</v>
      </c>
      <c r="C202" s="9">
        <f>Data!C203</f>
        <v>11142</v>
      </c>
      <c r="D202" s="10" t="s">
        <v>983</v>
      </c>
      <c r="E202" s="11">
        <f>SUM(Data!I203,Data!K203,Data!M203,Data!O203,Data!Q203,Data!S203,Data!U203,Data!W203,Data!Y203,Data!AA203,Data!AC203,Data!AE203,Data!AG203,Data!AI203,Data!AK203,Data!AM203,Data!AO203,Data!AQ203,Data!AS203)</f>
        <v>4407.6608695652185</v>
      </c>
      <c r="F202" s="11">
        <f>SUM(Data!DI203,Data!DK203,Data!DM203,Data!DO203,Data!DQ203,Data!DS203,Data!DU203,Data!DW203,Data!DY203,Data!EA203,Data!EC203,Data!EE203,Data!EG203,Data!EI203,Data!EK203,Data!EM203,Data!EO203,Data!EQ203,Data!ES203)</f>
        <v>1854.730434782608</v>
      </c>
      <c r="G202" s="11">
        <f>F202-E202</f>
        <v>-2552.9304347826105</v>
      </c>
      <c r="H202" s="13">
        <f>IF(E202=0,IF(F202&gt;0,"New",0),(F202-E202)/E202)</f>
        <v>-0.57920300820113624</v>
      </c>
      <c r="I202" s="12">
        <f>SUM(Data!J203,Data!L203,Data!N203,Data!P203,Data!R203,Data!T203,Data!V203,Data!X203,Data!Z203,Data!AB203,Data!AD203,Data!AF203,Data!AH203,Data!AJ203,Data!AL203,Data!AN203,Data!AP203,Data!AR203,Data!AT203)</f>
        <v>54.692999999999998</v>
      </c>
      <c r="J202" s="12">
        <f>SUM(Data!DJ203,Data!DL203,Data!DN203,Data!DP203,Data!DR203,Data!DT203,Data!DV203,Data!DX203,Data!DZ203,Data!EB203,Data!ED203,Data!EF203,Data!EH203,Data!EJ203,Data!EL203,Data!EN203,Data!EP203,Data!ER203,Data!ET203)</f>
        <v>19.988</v>
      </c>
      <c r="K202" s="12">
        <f>J202-I202</f>
        <v>-34.704999999999998</v>
      </c>
      <c r="L202" s="13">
        <f>IF(I202=0,IF(J202&gt;0,"New",0),(J202-I202)/I202)</f>
        <v>-0.6345418975005942</v>
      </c>
      <c r="M202" t="str">
        <f>IF(F202=0,"No 2026 Sales",IF(E202=0,"New Product",IF(AND(ISNUMBER(H202),H202&gt;0.1),"↑ Strong Growth",IF(AND(ISNUMBER(H202),H202&gt;0),"↗ Growth",IF(AND(ISNUMBER(H202),H202&lt;-0.1),"↓ Strong Decline",IF(AND(ISNUMBER(H202),H202&lt;0),"↘ Decline","→ Stable"))))))</f>
        <v>↓ Strong Decline</v>
      </c>
    </row>
    <row r="203" spans="1:13" hidden="1" x14ac:dyDescent="0.35">
      <c r="A203">
        <f>Data!A204</f>
        <v>207</v>
      </c>
      <c r="B203" t="str">
        <f>Data!B204</f>
        <v>PORK</v>
      </c>
      <c r="C203" s="9">
        <f>Data!C204</f>
        <v>11152</v>
      </c>
      <c r="D203" s="10" t="s">
        <v>984</v>
      </c>
      <c r="E203" s="11">
        <f>SUM(Data!I204,Data!K204,Data!M204,Data!O204,Data!Q204,Data!S204,Data!U204,Data!W204,Data!Y204,Data!AA204,Data!AC204,Data!AE204,Data!AG204,Data!AI204,Data!AK204,Data!AM204,Data!AO204,Data!AQ204,Data!AS204)</f>
        <v>0</v>
      </c>
      <c r="F203" s="11">
        <f>SUM(Data!DI204,Data!DK204,Data!DM204,Data!DO204,Data!DQ204,Data!DS204,Data!DU204,Data!DW204,Data!DY204,Data!EA204,Data!EC204,Data!EE204,Data!EG204,Data!EI204,Data!EK204,Data!EM204,Data!EO204,Data!EQ204,Data!ES204)</f>
        <v>0</v>
      </c>
      <c r="G203" s="11">
        <f>F203-E203</f>
        <v>0</v>
      </c>
      <c r="H203">
        <f>IF(E203=0,IF(F203&gt;0,"New",0),(F203-E203)/E203)</f>
        <v>0</v>
      </c>
      <c r="I203" s="12">
        <f>SUM(Data!J204,Data!L204,Data!N204,Data!P204,Data!R204,Data!T204,Data!V204,Data!X204,Data!Z204,Data!AB204,Data!AD204,Data!AF204,Data!AH204,Data!AJ204,Data!AL204,Data!AN204,Data!AP204,Data!AR204,Data!AT204)</f>
        <v>0</v>
      </c>
      <c r="J203" s="12">
        <f>SUM(Data!DJ204,Data!DL204,Data!DN204,Data!DP204,Data!DR204,Data!DT204,Data!DV204,Data!DX204,Data!DZ204,Data!EB204,Data!ED204,Data!EF204,Data!EH204,Data!EJ204,Data!EL204,Data!EN204,Data!EP204,Data!ER204,Data!ET204)</f>
        <v>0</v>
      </c>
      <c r="K203" s="12">
        <f>J203-I203</f>
        <v>0</v>
      </c>
      <c r="L203">
        <f>IF(I203=0,IF(J203&gt;0,"New",0),(J203-I203)/I203)</f>
        <v>0</v>
      </c>
      <c r="M203" t="str">
        <f>IF(F203=0,"No 2026 Sales",IF(E203=0,"New Product",IF(AND(ISNUMBER(H203),H203&gt;0.1),"↑ Strong Growth",IF(AND(ISNUMBER(H203),H203&gt;0),"↗ Growth",IF(AND(ISNUMBER(H203),H203&lt;-0.1),"↓ Strong Decline",IF(AND(ISNUMBER(H203),H203&lt;0),"↘ Decline","→ Stable"))))))</f>
        <v>No 2026 Sales</v>
      </c>
    </row>
    <row r="204" spans="1:13" x14ac:dyDescent="0.35">
      <c r="A204">
        <f>Data!A205</f>
        <v>207</v>
      </c>
      <c r="B204" t="str">
        <f>Data!B205</f>
        <v>PORK</v>
      </c>
      <c r="C204" s="9">
        <f>Data!C205</f>
        <v>12197</v>
      </c>
      <c r="D204" s="10" t="s">
        <v>985</v>
      </c>
      <c r="E204" s="11">
        <f>SUM(Data!I205,Data!K205,Data!M205,Data!O205,Data!Q205,Data!S205,Data!U205,Data!W205,Data!Y205,Data!AA205,Data!AC205,Data!AE205,Data!AG205,Data!AI205,Data!AK205,Data!AM205,Data!AO205,Data!AQ205,Data!AS205)</f>
        <v>0</v>
      </c>
      <c r="F204" s="11">
        <f>SUM(Data!DI205,Data!DK205,Data!DM205,Data!DO205,Data!DQ205,Data!DS205,Data!DU205,Data!DW205,Data!DY205,Data!EA205,Data!EC205,Data!EE205,Data!EG205,Data!EI205,Data!EK205,Data!EM205,Data!EO205,Data!EQ205,Data!ES205)</f>
        <v>173.90434782608699</v>
      </c>
      <c r="G204" s="11">
        <f>F204-E204</f>
        <v>173.90434782608699</v>
      </c>
      <c r="H204" s="13" t="str">
        <f>IF(E204=0,IF(F204&gt;0,"New",0),(F204-E204)/E204)</f>
        <v>New</v>
      </c>
      <c r="I204" s="12">
        <f>SUM(Data!J205,Data!L205,Data!N205,Data!P205,Data!R205,Data!T205,Data!V205,Data!X205,Data!Z205,Data!AB205,Data!AD205,Data!AF205,Data!AH205,Data!AJ205,Data!AL205,Data!AN205,Data!AP205,Data!AR205,Data!AT205)</f>
        <v>0</v>
      </c>
      <c r="J204" s="12">
        <f>SUM(Data!DJ205,Data!DL205,Data!DN205,Data!DP205,Data!DR205,Data!DT205,Data!DV205,Data!DX205,Data!DZ205,Data!EB205,Data!ED205,Data!EF205,Data!EH205,Data!EJ205,Data!EL205,Data!EN205,Data!EP205,Data!ER205,Data!ET205)</f>
        <v>1</v>
      </c>
      <c r="K204" s="12">
        <f>J204-I204</f>
        <v>1</v>
      </c>
      <c r="L204" s="13" t="str">
        <f>IF(I204=0,IF(J204&gt;0,"New",0),(J204-I204)/I204)</f>
        <v>New</v>
      </c>
      <c r="M204" t="str">
        <f>IF(F204=0,"No 2026 Sales",IF(E204=0,"New Product",IF(AND(ISNUMBER(H204),H204&gt;0.1),"↑ Strong Growth",IF(AND(ISNUMBER(H204),H204&gt;0),"↗ Growth",IF(AND(ISNUMBER(H204),H204&lt;-0.1),"↓ Strong Decline",IF(AND(ISNUMBER(H204),H204&lt;0),"↘ Decline","→ Stable"))))))</f>
        <v>New Product</v>
      </c>
    </row>
    <row r="205" spans="1:13" hidden="1" x14ac:dyDescent="0.35">
      <c r="A205">
        <f>Data!A206</f>
        <v>207</v>
      </c>
      <c r="B205" t="str">
        <f>Data!B206</f>
        <v>PORK</v>
      </c>
      <c r="C205" s="9">
        <f>Data!C206</f>
        <v>12200</v>
      </c>
      <c r="D205" s="10" t="s">
        <v>986</v>
      </c>
      <c r="E205" s="11">
        <f>SUM(Data!I206,Data!K206,Data!M206,Data!O206,Data!Q206,Data!S206,Data!U206,Data!W206,Data!Y206,Data!AA206,Data!AC206,Data!AE206,Data!AG206,Data!AI206,Data!AK206,Data!AM206,Data!AO206,Data!AQ206,Data!AS206)</f>
        <v>0</v>
      </c>
      <c r="F205" s="11">
        <f>SUM(Data!DI206,Data!DK206,Data!DM206,Data!DO206,Data!DQ206,Data!DS206,Data!DU206,Data!DW206,Data!DY206,Data!EA206,Data!EC206,Data!EE206,Data!EG206,Data!EI206,Data!EK206,Data!EM206,Data!EO206,Data!EQ206,Data!ES206)</f>
        <v>0</v>
      </c>
      <c r="G205" s="11">
        <f>F205-E205</f>
        <v>0</v>
      </c>
      <c r="H205">
        <f>IF(E205=0,IF(F205&gt;0,"New",0),(F205-E205)/E205)</f>
        <v>0</v>
      </c>
      <c r="I205" s="12">
        <f>SUM(Data!J206,Data!L206,Data!N206,Data!P206,Data!R206,Data!T206,Data!V206,Data!X206,Data!Z206,Data!AB206,Data!AD206,Data!AF206,Data!AH206,Data!AJ206,Data!AL206,Data!AN206,Data!AP206,Data!AR206,Data!AT206)</f>
        <v>0</v>
      </c>
      <c r="J205" s="12">
        <f>SUM(Data!DJ206,Data!DL206,Data!DN206,Data!DP206,Data!DR206,Data!DT206,Data!DV206,Data!DX206,Data!DZ206,Data!EB206,Data!ED206,Data!EF206,Data!EH206,Data!EJ206,Data!EL206,Data!EN206,Data!EP206,Data!ER206,Data!ET206)</f>
        <v>0</v>
      </c>
      <c r="K205" s="12">
        <f>J205-I205</f>
        <v>0</v>
      </c>
      <c r="L205">
        <f>IF(I205=0,IF(J205&gt;0,"New",0),(J205-I205)/I205)</f>
        <v>0</v>
      </c>
      <c r="M205" t="str">
        <f>IF(F205=0,"No 2026 Sales",IF(E205=0,"New Product",IF(AND(ISNUMBER(H205),H205&gt;0.1),"↑ Strong Growth",IF(AND(ISNUMBER(H205),H205&gt;0),"↗ Growth",IF(AND(ISNUMBER(H205),H205&lt;-0.1),"↓ Strong Decline",IF(AND(ISNUMBER(H205),H205&lt;0),"↘ Decline","→ Stable"))))))</f>
        <v>No 2026 Sales</v>
      </c>
    </row>
    <row r="206" spans="1:13" x14ac:dyDescent="0.35">
      <c r="A206">
        <f>Data!A207</f>
        <v>207</v>
      </c>
      <c r="B206" t="str">
        <f>Data!B207</f>
        <v>PORK</v>
      </c>
      <c r="C206" s="9">
        <f>Data!C207</f>
        <v>12317</v>
      </c>
      <c r="D206" s="10" t="s">
        <v>987</v>
      </c>
      <c r="E206" s="11">
        <f>SUM(Data!I207,Data!K207,Data!M207,Data!O207,Data!Q207,Data!S207,Data!U207,Data!W207,Data!Y207,Data!AA207,Data!AC207,Data!AE207,Data!AG207,Data!AI207,Data!AK207,Data!AM207,Data!AO207,Data!AQ207,Data!AS207)</f>
        <v>121.730434782609</v>
      </c>
      <c r="F206" s="11">
        <f>SUM(Data!DI207,Data!DK207,Data!DM207,Data!DO207,Data!DQ207,Data!DS207,Data!DU207,Data!DW207,Data!DY207,Data!EA207,Data!EC207,Data!EE207,Data!EG207,Data!EI207,Data!EK207,Data!EM207,Data!EO207,Data!EQ207,Data!ES207)</f>
        <v>730.37391304347807</v>
      </c>
      <c r="G206" s="11">
        <f>F206-E206</f>
        <v>608.64347826086907</v>
      </c>
      <c r="H206" s="13">
        <f>IF(E206=0,IF(F206&gt;0,"New",0),(F206-E206)/E206)</f>
        <v>4.9999285663261501</v>
      </c>
      <c r="I206" s="12">
        <f>SUM(Data!J207,Data!L207,Data!N207,Data!P207,Data!R207,Data!T207,Data!V207,Data!X207,Data!Z207,Data!AB207,Data!AD207,Data!AF207,Data!AH207,Data!AJ207,Data!AL207,Data!AN207,Data!AP207,Data!AR207,Data!AT207)</f>
        <v>1</v>
      </c>
      <c r="J206" s="12">
        <f>SUM(Data!DJ207,Data!DL207,Data!DN207,Data!DP207,Data!DR207,Data!DT207,Data!DV207,Data!DX207,Data!DZ207,Data!EB207,Data!ED207,Data!EF207,Data!EH207,Data!EJ207,Data!EL207,Data!EN207,Data!EP207,Data!ER207,Data!ET207)</f>
        <v>7</v>
      </c>
      <c r="K206" s="12">
        <f>J206-I206</f>
        <v>6</v>
      </c>
      <c r="L206" s="13">
        <f>IF(I206=0,IF(J206&gt;0,"New",0),(J206-I206)/I206)</f>
        <v>6</v>
      </c>
      <c r="M206" t="str">
        <f>IF(F206=0,"No 2026 Sales",IF(E206=0,"New Product",IF(AND(ISNUMBER(H206),H206&gt;0.1),"↑ Strong Growth",IF(AND(ISNUMBER(H206),H206&gt;0),"↗ Growth",IF(AND(ISNUMBER(H206),H206&lt;-0.1),"↓ Strong Decline",IF(AND(ISNUMBER(H206),H206&lt;0),"↘ Decline","→ Stable"))))))</f>
        <v>↑ Strong Growth</v>
      </c>
    </row>
    <row r="207" spans="1:13" x14ac:dyDescent="0.35">
      <c r="A207">
        <f>Data!A208</f>
        <v>207</v>
      </c>
      <c r="B207" t="str">
        <f>Data!B208</f>
        <v>PORK</v>
      </c>
      <c r="C207" s="9">
        <f>Data!C208</f>
        <v>12325</v>
      </c>
      <c r="D207" s="10" t="s">
        <v>988</v>
      </c>
      <c r="E207" s="11">
        <f>SUM(Data!I208,Data!K208,Data!M208,Data!O208,Data!Q208,Data!S208,Data!U208,Data!W208,Data!Y208,Data!AA208,Data!AC208,Data!AE208,Data!AG208,Data!AI208,Data!AK208,Data!AM208,Data!AO208,Data!AQ208,Data!AS208)</f>
        <v>0</v>
      </c>
      <c r="F207" s="11">
        <f>SUM(Data!DI208,Data!DK208,Data!DM208,Data!DO208,Data!DQ208,Data!DS208,Data!DU208,Data!DW208,Data!DY208,Data!EA208,Data!EC208,Data!EE208,Data!EG208,Data!EI208,Data!EK208,Data!EM208,Data!EO208,Data!EQ208,Data!ES208)</f>
        <v>4135.5826086956522</v>
      </c>
      <c r="G207" s="11">
        <f>F207-E207</f>
        <v>4135.5826086956522</v>
      </c>
      <c r="H207" s="13" t="str">
        <f>IF(E207=0,IF(F207&gt;0,"New",0),(F207-E207)/E207)</f>
        <v>New</v>
      </c>
      <c r="I207" s="12">
        <f>SUM(Data!J208,Data!L208,Data!N208,Data!P208,Data!R208,Data!T208,Data!V208,Data!X208,Data!Z208,Data!AB208,Data!AD208,Data!AF208,Data!AH208,Data!AJ208,Data!AL208,Data!AN208,Data!AP208,Data!AR208,Data!AT208)</f>
        <v>0</v>
      </c>
      <c r="J207" s="12">
        <f>SUM(Data!DJ208,Data!DL208,Data!DN208,Data!DP208,Data!DR208,Data!DT208,Data!DV208,Data!DX208,Data!DZ208,Data!EB208,Data!ED208,Data!EF208,Data!EH208,Data!EJ208,Data!EL208,Data!EN208,Data!EP208,Data!ER208,Data!ET208)</f>
        <v>27.981999999999999</v>
      </c>
      <c r="K207" s="12">
        <f>J207-I207</f>
        <v>27.981999999999999</v>
      </c>
      <c r="L207" s="13" t="str">
        <f>IF(I207=0,IF(J207&gt;0,"New",0),(J207-I207)/I207)</f>
        <v>New</v>
      </c>
      <c r="M207" t="str">
        <f>IF(F207=0,"No 2026 Sales",IF(E207=0,"New Product",IF(AND(ISNUMBER(H207),H207&gt;0.1),"↑ Strong Growth",IF(AND(ISNUMBER(H207),H207&gt;0),"↗ Growth",IF(AND(ISNUMBER(H207),H207&lt;-0.1),"↓ Strong Decline",IF(AND(ISNUMBER(H207),H207&lt;0),"↘ Decline","→ Stable"))))))</f>
        <v>New Product</v>
      </c>
    </row>
    <row r="208" spans="1:13" x14ac:dyDescent="0.35">
      <c r="A208">
        <f>Data!A209</f>
        <v>207</v>
      </c>
      <c r="B208" t="str">
        <f>Data!B209</f>
        <v>PORK</v>
      </c>
      <c r="C208" s="9">
        <f>Data!C209</f>
        <v>12330</v>
      </c>
      <c r="D208" s="10" t="s">
        <v>989</v>
      </c>
      <c r="E208" s="11">
        <f>SUM(Data!I209,Data!K209,Data!M209,Data!O209,Data!Q209,Data!S209,Data!U209,Data!W209,Data!Y209,Data!AA209,Data!AC209,Data!AE209,Data!AG209,Data!AI209,Data!AK209,Data!AM209,Data!AO209,Data!AQ209,Data!AS209)</f>
        <v>8334.1391304347817</v>
      </c>
      <c r="F208" s="11">
        <f>SUM(Data!DI209,Data!DK209,Data!DM209,Data!DO209,Data!DQ209,Data!DS209,Data!DU209,Data!DW209,Data!DY209,Data!EA209,Data!EC209,Data!EE209,Data!EG209,Data!EI209,Data!EK209,Data!EM209,Data!EO209,Data!EQ209,Data!ES209)</f>
        <v>10399.721739130437</v>
      </c>
      <c r="G208" s="11">
        <f>F208-E208</f>
        <v>2065.5826086956549</v>
      </c>
      <c r="H208" s="13">
        <f>IF(E208=0,IF(F208&gt;0,"New",0),(F208-E208)/E208)</f>
        <v>0.24784594741795438</v>
      </c>
      <c r="I208" s="12">
        <f>SUM(Data!J209,Data!L209,Data!N209,Data!P209,Data!R209,Data!T209,Data!V209,Data!X209,Data!Z209,Data!AB209,Data!AD209,Data!AF209,Data!AH209,Data!AJ209,Data!AL209,Data!AN209,Data!AP209,Data!AR209,Data!AT209)</f>
        <v>124</v>
      </c>
      <c r="J208" s="12">
        <f>SUM(Data!DJ209,Data!DL209,Data!DN209,Data!DP209,Data!DR209,Data!DT209,Data!DV209,Data!DX209,Data!DZ209,Data!EB209,Data!ED209,Data!EF209,Data!EH209,Data!EJ209,Data!EL209,Data!EN209,Data!EP209,Data!ER209,Data!ET209)</f>
        <v>162</v>
      </c>
      <c r="K208" s="12">
        <f>J208-I208</f>
        <v>38</v>
      </c>
      <c r="L208" s="13">
        <f>IF(I208=0,IF(J208&gt;0,"New",0),(J208-I208)/I208)</f>
        <v>0.30645161290322581</v>
      </c>
      <c r="M208" t="str">
        <f>IF(F208=0,"No 2026 Sales",IF(E208=0,"New Product",IF(AND(ISNUMBER(H208),H208&gt;0.1),"↑ Strong Growth",IF(AND(ISNUMBER(H208),H208&gt;0),"↗ Growth",IF(AND(ISNUMBER(H208),H208&lt;-0.1),"↓ Strong Decline",IF(AND(ISNUMBER(H208),H208&lt;0),"↘ Decline","→ Stable"))))))</f>
        <v>↑ Strong Growth</v>
      </c>
    </row>
    <row r="209" spans="1:13" hidden="1" x14ac:dyDescent="0.35">
      <c r="A209">
        <f>Data!A210</f>
        <v>207</v>
      </c>
      <c r="B209" t="str">
        <f>Data!B210</f>
        <v>PORK</v>
      </c>
      <c r="C209" s="9">
        <f>Data!C210</f>
        <v>12644</v>
      </c>
      <c r="D209" s="10" t="s">
        <v>990</v>
      </c>
      <c r="E209" s="11">
        <f>SUM(Data!I210,Data!K210,Data!M210,Data!O210,Data!Q210,Data!S210,Data!U210,Data!W210,Data!Y210,Data!AA210,Data!AC210,Data!AE210,Data!AG210,Data!AI210,Data!AK210,Data!AM210,Data!AO210,Data!AQ210,Data!AS210)</f>
        <v>0</v>
      </c>
      <c r="F209" s="11">
        <f>SUM(Data!DI210,Data!DK210,Data!DM210,Data!DO210,Data!DQ210,Data!DS210,Data!DU210,Data!DW210,Data!DY210,Data!EA210,Data!EC210,Data!EE210,Data!EG210,Data!EI210,Data!EK210,Data!EM210,Data!EO210,Data!EQ210,Data!ES210)</f>
        <v>0</v>
      </c>
      <c r="G209" s="11">
        <f>F209-E209</f>
        <v>0</v>
      </c>
      <c r="H209">
        <f>IF(E209=0,IF(F209&gt;0,"New",0),(F209-E209)/E209)</f>
        <v>0</v>
      </c>
      <c r="I209" s="12">
        <f>SUM(Data!J210,Data!L210,Data!N210,Data!P210,Data!R210,Data!T210,Data!V210,Data!X210,Data!Z210,Data!AB210,Data!AD210,Data!AF210,Data!AH210,Data!AJ210,Data!AL210,Data!AN210,Data!AP210,Data!AR210,Data!AT210)</f>
        <v>0</v>
      </c>
      <c r="J209" s="12">
        <f>SUM(Data!DJ210,Data!DL210,Data!DN210,Data!DP210,Data!DR210,Data!DT210,Data!DV210,Data!DX210,Data!DZ210,Data!EB210,Data!ED210,Data!EF210,Data!EH210,Data!EJ210,Data!EL210,Data!EN210,Data!EP210,Data!ER210,Data!ET210)</f>
        <v>0</v>
      </c>
      <c r="K209" s="12">
        <f>J209-I209</f>
        <v>0</v>
      </c>
      <c r="L209">
        <f>IF(I209=0,IF(J209&gt;0,"New",0),(J209-I209)/I209)</f>
        <v>0</v>
      </c>
      <c r="M209" t="str">
        <f>IF(F209=0,"No 2026 Sales",IF(E209=0,"New Product",IF(AND(ISNUMBER(H209),H209&gt;0.1),"↑ Strong Growth",IF(AND(ISNUMBER(H209),H209&gt;0),"↗ Growth",IF(AND(ISNUMBER(H209),H209&lt;-0.1),"↓ Strong Decline",IF(AND(ISNUMBER(H209),H209&lt;0),"↘ Decline","→ Stable"))))))</f>
        <v>No 2026 Sales</v>
      </c>
    </row>
    <row r="210" spans="1:13" hidden="1" x14ac:dyDescent="0.35">
      <c r="A210">
        <f>Data!A211</f>
        <v>207</v>
      </c>
      <c r="B210" t="str">
        <f>Data!B211</f>
        <v>PORK</v>
      </c>
      <c r="C210" s="9">
        <f>Data!C211</f>
        <v>12650</v>
      </c>
      <c r="D210" s="10" t="s">
        <v>991</v>
      </c>
      <c r="E210" s="11">
        <f>SUM(Data!I211,Data!K211,Data!M211,Data!O211,Data!Q211,Data!S211,Data!U211,Data!W211,Data!Y211,Data!AA211,Data!AC211,Data!AE211,Data!AG211,Data!AI211,Data!AK211,Data!AM211,Data!AO211,Data!AQ211,Data!AS211)</f>
        <v>0</v>
      </c>
      <c r="F210" s="11">
        <f>SUM(Data!DI211,Data!DK211,Data!DM211,Data!DO211,Data!DQ211,Data!DS211,Data!DU211,Data!DW211,Data!DY211,Data!EA211,Data!EC211,Data!EE211,Data!EG211,Data!EI211,Data!EK211,Data!EM211,Data!EO211,Data!EQ211,Data!ES211)</f>
        <v>0</v>
      </c>
      <c r="G210" s="11">
        <f>F210-E210</f>
        <v>0</v>
      </c>
      <c r="H210">
        <f>IF(E210=0,IF(F210&gt;0,"New",0),(F210-E210)/E210)</f>
        <v>0</v>
      </c>
      <c r="I210" s="12">
        <f>SUM(Data!J211,Data!L211,Data!N211,Data!P211,Data!R211,Data!T211,Data!V211,Data!X211,Data!Z211,Data!AB211,Data!AD211,Data!AF211,Data!AH211,Data!AJ211,Data!AL211,Data!AN211,Data!AP211,Data!AR211,Data!AT211)</f>
        <v>0</v>
      </c>
      <c r="J210" s="12">
        <f>SUM(Data!DJ211,Data!DL211,Data!DN211,Data!DP211,Data!DR211,Data!DT211,Data!DV211,Data!DX211,Data!DZ211,Data!EB211,Data!ED211,Data!EF211,Data!EH211,Data!EJ211,Data!EL211,Data!EN211,Data!EP211,Data!ER211,Data!ET211)</f>
        <v>0</v>
      </c>
      <c r="K210" s="12">
        <f>J210-I210</f>
        <v>0</v>
      </c>
      <c r="L210">
        <f>IF(I210=0,IF(J210&gt;0,"New",0),(J210-I210)/I210)</f>
        <v>0</v>
      </c>
      <c r="M210" t="str">
        <f>IF(F210=0,"No 2026 Sales",IF(E210=0,"New Product",IF(AND(ISNUMBER(H210),H210&gt;0.1),"↑ Strong Growth",IF(AND(ISNUMBER(H210),H210&gt;0),"↗ Growth",IF(AND(ISNUMBER(H210),H210&lt;-0.1),"↓ Strong Decline",IF(AND(ISNUMBER(H210),H210&lt;0),"↘ Decline","→ Stable"))))))</f>
        <v>No 2026 Sales</v>
      </c>
    </row>
    <row r="211" spans="1:13" hidden="1" x14ac:dyDescent="0.35">
      <c r="A211">
        <f>Data!A212</f>
        <v>207</v>
      </c>
      <c r="B211" t="str">
        <f>Data!B212</f>
        <v>PORK</v>
      </c>
      <c r="C211" s="9">
        <f>Data!C212</f>
        <v>12659</v>
      </c>
      <c r="D211" s="10" t="s">
        <v>992</v>
      </c>
      <c r="E211" s="11">
        <f>SUM(Data!I212,Data!K212,Data!M212,Data!O212,Data!Q212,Data!S212,Data!U212,Data!W212,Data!Y212,Data!AA212,Data!AC212,Data!AE212,Data!AG212,Data!AI212,Data!AK212,Data!AM212,Data!AO212,Data!AQ212,Data!AS212)</f>
        <v>15747.191304347831</v>
      </c>
      <c r="F211" s="11">
        <f>SUM(Data!DI212,Data!DK212,Data!DM212,Data!DO212,Data!DQ212,Data!DS212,Data!DU212,Data!DW212,Data!DY212,Data!EA212,Data!EC212,Data!EE212,Data!EG212,Data!EI212,Data!EK212,Data!EM212,Data!EO212,Data!EQ212,Data!ES212)</f>
        <v>0</v>
      </c>
      <c r="G211" s="11">
        <f>F211-E211</f>
        <v>-15747.191304347831</v>
      </c>
      <c r="H211">
        <f>IF(E211=0,IF(F211&gt;0,"New",0),(F211-E211)/E211)</f>
        <v>-1</v>
      </c>
      <c r="I211" s="12">
        <f>SUM(Data!J212,Data!L212,Data!N212,Data!P212,Data!R212,Data!T212,Data!V212,Data!X212,Data!Z212,Data!AB212,Data!AD212,Data!AF212,Data!AH212,Data!AJ212,Data!AL212,Data!AN212,Data!AP212,Data!AR212,Data!AT212)</f>
        <v>210.911</v>
      </c>
      <c r="J211" s="12">
        <f>SUM(Data!DJ212,Data!DL212,Data!DN212,Data!DP212,Data!DR212,Data!DT212,Data!DV212,Data!DX212,Data!DZ212,Data!EB212,Data!ED212,Data!EF212,Data!EH212,Data!EJ212,Data!EL212,Data!EN212,Data!EP212,Data!ER212,Data!ET212)</f>
        <v>0</v>
      </c>
      <c r="K211" s="12">
        <f>J211-I211</f>
        <v>-210.911</v>
      </c>
      <c r="L211">
        <f>IF(I211=0,IF(J211&gt;0,"New",0),(J211-I211)/I211)</f>
        <v>-1</v>
      </c>
      <c r="M211" t="str">
        <f>IF(F211=0,"No 2026 Sales",IF(E211=0,"New Product",IF(AND(ISNUMBER(H211),H211&gt;0.1),"↑ Strong Growth",IF(AND(ISNUMBER(H211),H211&gt;0),"↗ Growth",IF(AND(ISNUMBER(H211),H211&lt;-0.1),"↓ Strong Decline",IF(AND(ISNUMBER(H211),H211&lt;0),"↘ Decline","→ Stable"))))))</f>
        <v>No 2026 Sales</v>
      </c>
    </row>
    <row r="212" spans="1:13" hidden="1" x14ac:dyDescent="0.35">
      <c r="A212">
        <f>Data!A213</f>
        <v>207</v>
      </c>
      <c r="B212" t="str">
        <f>Data!B213</f>
        <v>PORK</v>
      </c>
      <c r="C212" s="9">
        <f>Data!C213</f>
        <v>12732</v>
      </c>
      <c r="D212" s="10" t="s">
        <v>993</v>
      </c>
      <c r="E212" s="11">
        <f>SUM(Data!I213,Data!K213,Data!M213,Data!O213,Data!Q213,Data!S213,Data!U213,Data!W213,Data!Y213,Data!AA213,Data!AC213,Data!AE213,Data!AG213,Data!AI213,Data!AK213,Data!AM213,Data!AO213,Data!AQ213,Data!AS213)</f>
        <v>0</v>
      </c>
      <c r="F212" s="11">
        <f>SUM(Data!DI213,Data!DK213,Data!DM213,Data!DO213,Data!DQ213,Data!DS213,Data!DU213,Data!DW213,Data!DY213,Data!EA213,Data!EC213,Data!EE213,Data!EG213,Data!EI213,Data!EK213,Data!EM213,Data!EO213,Data!EQ213,Data!ES213)</f>
        <v>0</v>
      </c>
      <c r="G212" s="11">
        <f>F212-E212</f>
        <v>0</v>
      </c>
      <c r="H212">
        <f>IF(E212=0,IF(F212&gt;0,"New",0),(F212-E212)/E212)</f>
        <v>0</v>
      </c>
      <c r="I212" s="12">
        <f>SUM(Data!J213,Data!L213,Data!N213,Data!P213,Data!R213,Data!T213,Data!V213,Data!X213,Data!Z213,Data!AB213,Data!AD213,Data!AF213,Data!AH213,Data!AJ213,Data!AL213,Data!AN213,Data!AP213,Data!AR213,Data!AT213)</f>
        <v>0</v>
      </c>
      <c r="J212" s="12">
        <f>SUM(Data!DJ213,Data!DL213,Data!DN213,Data!DP213,Data!DR213,Data!DT213,Data!DV213,Data!DX213,Data!DZ213,Data!EB213,Data!ED213,Data!EF213,Data!EH213,Data!EJ213,Data!EL213,Data!EN213,Data!EP213,Data!ER213,Data!ET213)</f>
        <v>0</v>
      </c>
      <c r="K212" s="12">
        <f>J212-I212</f>
        <v>0</v>
      </c>
      <c r="L212">
        <f>IF(I212=0,IF(J212&gt;0,"New",0),(J212-I212)/I212)</f>
        <v>0</v>
      </c>
      <c r="M212" t="str">
        <f>IF(F212=0,"No 2026 Sales",IF(E212=0,"New Product",IF(AND(ISNUMBER(H212),H212&gt;0.1),"↑ Strong Growth",IF(AND(ISNUMBER(H212),H212&gt;0),"↗ Growth",IF(AND(ISNUMBER(H212),H212&lt;-0.1),"↓ Strong Decline",IF(AND(ISNUMBER(H212),H212&lt;0),"↘ Decline","→ Stable"))))))</f>
        <v>No 2026 Sales</v>
      </c>
    </row>
    <row r="213" spans="1:13" x14ac:dyDescent="0.35">
      <c r="A213">
        <f>Data!A214</f>
        <v>207</v>
      </c>
      <c r="B213" t="str">
        <f>Data!B214</f>
        <v>PORK</v>
      </c>
      <c r="C213" s="9">
        <f>Data!C214</f>
        <v>14922</v>
      </c>
      <c r="D213" s="10" t="s">
        <v>994</v>
      </c>
      <c r="E213" s="11">
        <f>SUM(Data!I214,Data!K214,Data!M214,Data!O214,Data!Q214,Data!S214,Data!U214,Data!W214,Data!Y214,Data!AA214,Data!AC214,Data!AE214,Data!AG214,Data!AI214,Data!AK214,Data!AM214,Data!AO214,Data!AQ214,Data!AS214)</f>
        <v>11720.495652173915</v>
      </c>
      <c r="F213" s="11">
        <f>SUM(Data!DI214,Data!DK214,Data!DM214,Data!DO214,Data!DQ214,Data!DS214,Data!DU214,Data!DW214,Data!DY214,Data!EA214,Data!EC214,Data!EE214,Data!EG214,Data!EI214,Data!EK214,Data!EM214,Data!EO214,Data!EQ214,Data!ES214)</f>
        <v>18124.356521739152</v>
      </c>
      <c r="G213" s="11">
        <f>F213-E213</f>
        <v>6403.8608695652365</v>
      </c>
      <c r="H213" s="13">
        <f>IF(E213=0,IF(F213&gt;0,"New",0),(F213-E213)/E213)</f>
        <v>0.54638140396199453</v>
      </c>
      <c r="I213" s="12">
        <f>SUM(Data!J214,Data!L214,Data!N214,Data!P214,Data!R214,Data!T214,Data!V214,Data!X214,Data!Z214,Data!AB214,Data!AD214,Data!AF214,Data!AH214,Data!AJ214,Data!AL214,Data!AN214,Data!AP214,Data!AR214,Data!AT214)</f>
        <v>483</v>
      </c>
      <c r="J213" s="12">
        <f>SUM(Data!DJ214,Data!DL214,Data!DN214,Data!DP214,Data!DR214,Data!DT214,Data!DV214,Data!DX214,Data!DZ214,Data!EB214,Data!ED214,Data!EF214,Data!EH214,Data!EJ214,Data!EL214,Data!EN214,Data!EP214,Data!ER214,Data!ET214)</f>
        <v>774</v>
      </c>
      <c r="K213" s="12">
        <f>J213-I213</f>
        <v>291</v>
      </c>
      <c r="L213" s="13">
        <f>IF(I213=0,IF(J213&gt;0,"New",0),(J213-I213)/I213)</f>
        <v>0.60248447204968947</v>
      </c>
      <c r="M213" t="str">
        <f>IF(F213=0,"No 2026 Sales",IF(E213=0,"New Product",IF(AND(ISNUMBER(H213),H213&gt;0.1),"↑ Strong Growth",IF(AND(ISNUMBER(H213),H213&gt;0),"↗ Growth",IF(AND(ISNUMBER(H213),H213&lt;-0.1),"↓ Strong Decline",IF(AND(ISNUMBER(H213),H213&lt;0),"↘ Decline","→ Stable"))))))</f>
        <v>↑ Strong Growth</v>
      </c>
    </row>
    <row r="214" spans="1:13" x14ac:dyDescent="0.35">
      <c r="A214">
        <f>Data!A215</f>
        <v>207</v>
      </c>
      <c r="B214" t="str">
        <f>Data!B215</f>
        <v>PORK</v>
      </c>
      <c r="C214" s="9">
        <f>Data!C215</f>
        <v>14923</v>
      </c>
      <c r="D214" s="10" t="s">
        <v>995</v>
      </c>
      <c r="E214" s="11">
        <f>SUM(Data!I215,Data!K215,Data!M215,Data!O215,Data!Q215,Data!S215,Data!U215,Data!W215,Data!Y215,Data!AA215,Data!AC215,Data!AE215,Data!AG215,Data!AI215,Data!AK215,Data!AM215,Data!AO215,Data!AQ215,Data!AS215)</f>
        <v>3133.6260869565231</v>
      </c>
      <c r="F214" s="11">
        <f>SUM(Data!DI215,Data!DK215,Data!DM215,Data!DO215,Data!DQ215,Data!DS215,Data!DU215,Data!DW215,Data!DY215,Data!EA215,Data!EC215,Data!EE215,Data!EG215,Data!EI215,Data!EK215,Data!EM215,Data!EO215,Data!EQ215,Data!ES215)</f>
        <v>9060.8869565217392</v>
      </c>
      <c r="G214" s="11">
        <f>F214-E214</f>
        <v>5927.2608695652161</v>
      </c>
      <c r="H214" s="13">
        <f>IF(E214=0,IF(F214&gt;0,"New",0),(F214-E214)/E214)</f>
        <v>1.8915022740705991</v>
      </c>
      <c r="I214" s="12">
        <f>SUM(Data!J215,Data!L215,Data!N215,Data!P215,Data!R215,Data!T215,Data!V215,Data!X215,Data!Z215,Data!AB215,Data!AD215,Data!AF215,Data!AH215,Data!AJ215,Data!AL215,Data!AN215,Data!AP215,Data!AR215,Data!AT215)</f>
        <v>113</v>
      </c>
      <c r="J214" s="12">
        <f>SUM(Data!DJ215,Data!DL215,Data!DN215,Data!DP215,Data!DR215,Data!DT215,Data!DV215,Data!DX215,Data!DZ215,Data!EB215,Data!ED215,Data!EF215,Data!EH215,Data!EJ215,Data!EL215,Data!EN215,Data!EP215,Data!ER215,Data!ET215)</f>
        <v>348</v>
      </c>
      <c r="K214" s="12">
        <f>J214-I214</f>
        <v>235</v>
      </c>
      <c r="L214" s="13">
        <f>IF(I214=0,IF(J214&gt;0,"New",0),(J214-I214)/I214)</f>
        <v>2.0796460176991149</v>
      </c>
      <c r="M214" t="str">
        <f>IF(F214=0,"No 2026 Sales",IF(E214=0,"New Product",IF(AND(ISNUMBER(H214),H214&gt;0.1),"↑ Strong Growth",IF(AND(ISNUMBER(H214),H214&gt;0),"↗ Growth",IF(AND(ISNUMBER(H214),H214&lt;-0.1),"↓ Strong Decline",IF(AND(ISNUMBER(H214),H214&lt;0),"↘ Decline","→ Stable"))))))</f>
        <v>↑ Strong Growth</v>
      </c>
    </row>
    <row r="215" spans="1:13" x14ac:dyDescent="0.35">
      <c r="A215">
        <f>Data!A216</f>
        <v>207</v>
      </c>
      <c r="B215" t="str">
        <f>Data!B216</f>
        <v>PORK</v>
      </c>
      <c r="C215" s="9">
        <f>Data!C216</f>
        <v>14926</v>
      </c>
      <c r="D215" s="10" t="s">
        <v>996</v>
      </c>
      <c r="E215" s="11">
        <f>SUM(Data!I216,Data!K216,Data!M216,Data!O216,Data!Q216,Data!S216,Data!U216,Data!W216,Data!Y216,Data!AA216,Data!AC216,Data!AE216,Data!AG216,Data!AI216,Data!AK216,Data!AM216,Data!AO216,Data!AQ216,Data!AS216)</f>
        <v>3823.0347826086963</v>
      </c>
      <c r="F215" s="11">
        <f>SUM(Data!DI216,Data!DK216,Data!DM216,Data!DO216,Data!DQ216,Data!DS216,Data!DU216,Data!DW216,Data!DY216,Data!EA216,Data!EC216,Data!EE216,Data!EG216,Data!EI216,Data!EK216,Data!EM216,Data!EO216,Data!EQ216,Data!ES216)</f>
        <v>3521.8173913043483</v>
      </c>
      <c r="G215" s="11">
        <f>F215-E215</f>
        <v>-301.21739130434798</v>
      </c>
      <c r="H215" s="13">
        <f>IF(E215=0,IF(F215&gt;0,"New",0),(F215-E215)/E215)</f>
        <v>-7.8790125759412646E-2</v>
      </c>
      <c r="I215" s="12">
        <f>SUM(Data!J216,Data!L216,Data!N216,Data!P216,Data!R216,Data!T216,Data!V216,Data!X216,Data!Z216,Data!AB216,Data!AD216,Data!AF216,Data!AH216,Data!AJ216,Data!AL216,Data!AN216,Data!AP216,Data!AR216,Data!AT216)</f>
        <v>126</v>
      </c>
      <c r="J215" s="12">
        <f>SUM(Data!DJ216,Data!DL216,Data!DN216,Data!DP216,Data!DR216,Data!DT216,Data!DV216,Data!DX216,Data!DZ216,Data!EB216,Data!ED216,Data!EF216,Data!EH216,Data!EJ216,Data!EL216,Data!EN216,Data!EP216,Data!ER216,Data!ET216)</f>
        <v>116</v>
      </c>
      <c r="K215" s="12">
        <f>J215-I215</f>
        <v>-10</v>
      </c>
      <c r="L215" s="13">
        <f>IF(I215=0,IF(J215&gt;0,"New",0),(J215-I215)/I215)</f>
        <v>-7.9365079365079361E-2</v>
      </c>
      <c r="M215" t="str">
        <f>IF(F215=0,"No 2026 Sales",IF(E215=0,"New Product",IF(AND(ISNUMBER(H215),H215&gt;0.1),"↑ Strong Growth",IF(AND(ISNUMBER(H215),H215&gt;0),"↗ Growth",IF(AND(ISNUMBER(H215),H215&lt;-0.1),"↓ Strong Decline",IF(AND(ISNUMBER(H215),H215&lt;0),"↘ Decline","→ Stable"))))))</f>
        <v>↘ Decline</v>
      </c>
    </row>
    <row r="216" spans="1:13" hidden="1" x14ac:dyDescent="0.35">
      <c r="A216">
        <f>Data!A217</f>
        <v>207</v>
      </c>
      <c r="B216" t="str">
        <f>Data!B217</f>
        <v>PORK</v>
      </c>
      <c r="C216" s="9">
        <f>Data!C217</f>
        <v>34150</v>
      </c>
      <c r="D216" s="10" t="s">
        <v>997</v>
      </c>
      <c r="E216" s="11">
        <f>SUM(Data!I217,Data!K217,Data!M217,Data!O217,Data!Q217,Data!S217,Data!U217,Data!W217,Data!Y217,Data!AA217,Data!AC217,Data!AE217,Data!AG217,Data!AI217,Data!AK217,Data!AM217,Data!AO217,Data!AQ217,Data!AS217)</f>
        <v>0</v>
      </c>
      <c r="F216" s="11">
        <f>SUM(Data!DI217,Data!DK217,Data!DM217,Data!DO217,Data!DQ217,Data!DS217,Data!DU217,Data!DW217,Data!DY217,Data!EA217,Data!EC217,Data!EE217,Data!EG217,Data!EI217,Data!EK217,Data!EM217,Data!EO217,Data!EQ217,Data!ES217)</f>
        <v>0</v>
      </c>
      <c r="G216" s="11">
        <f>F216-E216</f>
        <v>0</v>
      </c>
      <c r="H216">
        <f>IF(E216=0,IF(F216&gt;0,"New",0),(F216-E216)/E216)</f>
        <v>0</v>
      </c>
      <c r="I216" s="12">
        <f>SUM(Data!J217,Data!L217,Data!N217,Data!P217,Data!R217,Data!T217,Data!V217,Data!X217,Data!Z217,Data!AB217,Data!AD217,Data!AF217,Data!AH217,Data!AJ217,Data!AL217,Data!AN217,Data!AP217,Data!AR217,Data!AT217)</f>
        <v>0</v>
      </c>
      <c r="J216" s="12">
        <f>SUM(Data!DJ217,Data!DL217,Data!DN217,Data!DP217,Data!DR217,Data!DT217,Data!DV217,Data!DX217,Data!DZ217,Data!EB217,Data!ED217,Data!EF217,Data!EH217,Data!EJ217,Data!EL217,Data!EN217,Data!EP217,Data!ER217,Data!ET217)</f>
        <v>0</v>
      </c>
      <c r="K216" s="12">
        <f>J216-I216</f>
        <v>0</v>
      </c>
      <c r="L216">
        <f>IF(I216=0,IF(J216&gt;0,"New",0),(J216-I216)/I216)</f>
        <v>0</v>
      </c>
      <c r="M216" t="str">
        <f>IF(F216=0,"No 2026 Sales",IF(E216=0,"New Product",IF(AND(ISNUMBER(H216),H216&gt;0.1),"↑ Strong Growth",IF(AND(ISNUMBER(H216),H216&gt;0),"↗ Growth",IF(AND(ISNUMBER(H216),H216&lt;-0.1),"↓ Strong Decline",IF(AND(ISNUMBER(H216),H216&lt;0),"↘ Decline","→ Stable"))))))</f>
        <v>No 2026 Sales</v>
      </c>
    </row>
    <row r="217" spans="1:13" hidden="1" x14ac:dyDescent="0.35">
      <c r="A217">
        <f>Data!A218</f>
        <v>207</v>
      </c>
      <c r="B217" t="str">
        <f>Data!B218</f>
        <v>PORK</v>
      </c>
      <c r="C217" s="9">
        <f>Data!C218</f>
        <v>34186</v>
      </c>
      <c r="D217" s="10" t="s">
        <v>998</v>
      </c>
      <c r="E217" s="11">
        <f>SUM(Data!I218,Data!K218,Data!M218,Data!O218,Data!Q218,Data!S218,Data!U218,Data!W218,Data!Y218,Data!AA218,Data!AC218,Data!AE218,Data!AG218,Data!AI218,Data!AK218,Data!AM218,Data!AO218,Data!AQ218,Data!AS218)</f>
        <v>0</v>
      </c>
      <c r="F217" s="11">
        <f>SUM(Data!DI218,Data!DK218,Data!DM218,Data!DO218,Data!DQ218,Data!DS218,Data!DU218,Data!DW218,Data!DY218,Data!EA218,Data!EC218,Data!EE218,Data!EG218,Data!EI218,Data!EK218,Data!EM218,Data!EO218,Data!EQ218,Data!ES218)</f>
        <v>0</v>
      </c>
      <c r="G217" s="11">
        <f>F217-E217</f>
        <v>0</v>
      </c>
      <c r="H217">
        <f>IF(E217=0,IF(F217&gt;0,"New",0),(F217-E217)/E217)</f>
        <v>0</v>
      </c>
      <c r="I217" s="12">
        <f>SUM(Data!J218,Data!L218,Data!N218,Data!P218,Data!R218,Data!T218,Data!V218,Data!X218,Data!Z218,Data!AB218,Data!AD218,Data!AF218,Data!AH218,Data!AJ218,Data!AL218,Data!AN218,Data!AP218,Data!AR218,Data!AT218)</f>
        <v>0</v>
      </c>
      <c r="J217" s="12">
        <f>SUM(Data!DJ218,Data!DL218,Data!DN218,Data!DP218,Data!DR218,Data!DT218,Data!DV218,Data!DX218,Data!DZ218,Data!EB218,Data!ED218,Data!EF218,Data!EH218,Data!EJ218,Data!EL218,Data!EN218,Data!EP218,Data!ER218,Data!ET218)</f>
        <v>0</v>
      </c>
      <c r="K217" s="12">
        <f>J217-I217</f>
        <v>0</v>
      </c>
      <c r="L217">
        <f>IF(I217=0,IF(J217&gt;0,"New",0),(J217-I217)/I217)</f>
        <v>0</v>
      </c>
      <c r="M217" t="str">
        <f>IF(F217=0,"No 2026 Sales",IF(E217=0,"New Product",IF(AND(ISNUMBER(H217),H217&gt;0.1),"↑ Strong Growth",IF(AND(ISNUMBER(H217),H217&gt;0),"↗ Growth",IF(AND(ISNUMBER(H217),H217&lt;-0.1),"↓ Strong Decline",IF(AND(ISNUMBER(H217),H217&lt;0),"↘ Decline","→ Stable"))))))</f>
        <v>No 2026 Sales</v>
      </c>
    </row>
    <row r="218" spans="1:13" hidden="1" x14ac:dyDescent="0.35">
      <c r="A218">
        <f>Data!A219</f>
        <v>207</v>
      </c>
      <c r="B218" t="str">
        <f>Data!B219</f>
        <v>PORK</v>
      </c>
      <c r="C218" s="9">
        <f>Data!C219</f>
        <v>34203</v>
      </c>
      <c r="D218" s="10" t="s">
        <v>999</v>
      </c>
      <c r="E218" s="11">
        <f>SUM(Data!I219,Data!K219,Data!M219,Data!O219,Data!Q219,Data!S219,Data!U219,Data!W219,Data!Y219,Data!AA219,Data!AC219,Data!AE219,Data!AG219,Data!AI219,Data!AK219,Data!AM219,Data!AO219,Data!AQ219,Data!AS219)</f>
        <v>0</v>
      </c>
      <c r="F218" s="11">
        <f>SUM(Data!DI219,Data!DK219,Data!DM219,Data!DO219,Data!DQ219,Data!DS219,Data!DU219,Data!DW219,Data!DY219,Data!EA219,Data!EC219,Data!EE219,Data!EG219,Data!EI219,Data!EK219,Data!EM219,Data!EO219,Data!EQ219,Data!ES219)</f>
        <v>0</v>
      </c>
      <c r="G218" s="11">
        <f>F218-E218</f>
        <v>0</v>
      </c>
      <c r="H218">
        <f>IF(E218=0,IF(F218&gt;0,"New",0),(F218-E218)/E218)</f>
        <v>0</v>
      </c>
      <c r="I218" s="12">
        <f>SUM(Data!J219,Data!L219,Data!N219,Data!P219,Data!R219,Data!T219,Data!V219,Data!X219,Data!Z219,Data!AB219,Data!AD219,Data!AF219,Data!AH219,Data!AJ219,Data!AL219,Data!AN219,Data!AP219,Data!AR219,Data!AT219)</f>
        <v>0</v>
      </c>
      <c r="J218" s="12">
        <f>SUM(Data!DJ219,Data!DL219,Data!DN219,Data!DP219,Data!DR219,Data!DT219,Data!DV219,Data!DX219,Data!DZ219,Data!EB219,Data!ED219,Data!EF219,Data!EH219,Data!EJ219,Data!EL219,Data!EN219,Data!EP219,Data!ER219,Data!ET219)</f>
        <v>0</v>
      </c>
      <c r="K218" s="12">
        <f>J218-I218</f>
        <v>0</v>
      </c>
      <c r="L218">
        <f>IF(I218=0,IF(J218&gt;0,"New",0),(J218-I218)/I218)</f>
        <v>0</v>
      </c>
      <c r="M218" t="str">
        <f>IF(F218=0,"No 2026 Sales",IF(E218=0,"New Product",IF(AND(ISNUMBER(H218),H218&gt;0.1),"↑ Strong Growth",IF(AND(ISNUMBER(H218),H218&gt;0),"↗ Growth",IF(AND(ISNUMBER(H218),H218&lt;-0.1),"↓ Strong Decline",IF(AND(ISNUMBER(H218),H218&lt;0),"↘ Decline","→ Stable"))))))</f>
        <v>No 2026 Sales</v>
      </c>
    </row>
    <row r="219" spans="1:13" hidden="1" x14ac:dyDescent="0.35">
      <c r="A219">
        <f>Data!A220</f>
        <v>207</v>
      </c>
      <c r="B219" t="str">
        <f>Data!B220</f>
        <v>PORK</v>
      </c>
      <c r="C219" s="9">
        <f>Data!C220</f>
        <v>34204</v>
      </c>
      <c r="D219" s="10" t="s">
        <v>1000</v>
      </c>
      <c r="E219" s="11">
        <f>SUM(Data!I220,Data!K220,Data!M220,Data!O220,Data!Q220,Data!S220,Data!U220,Data!W220,Data!Y220,Data!AA220,Data!AC220,Data!AE220,Data!AG220,Data!AI220,Data!AK220,Data!AM220,Data!AO220,Data!AQ220,Data!AS220)</f>
        <v>0</v>
      </c>
      <c r="F219" s="11">
        <f>SUM(Data!DI220,Data!DK220,Data!DM220,Data!DO220,Data!DQ220,Data!DS220,Data!DU220,Data!DW220,Data!DY220,Data!EA220,Data!EC220,Data!EE220,Data!EG220,Data!EI220,Data!EK220,Data!EM220,Data!EO220,Data!EQ220,Data!ES220)</f>
        <v>0</v>
      </c>
      <c r="G219" s="11">
        <f>F219-E219</f>
        <v>0</v>
      </c>
      <c r="H219">
        <f>IF(E219=0,IF(F219&gt;0,"New",0),(F219-E219)/E219)</f>
        <v>0</v>
      </c>
      <c r="I219" s="12">
        <f>SUM(Data!J220,Data!L220,Data!N220,Data!P220,Data!R220,Data!T220,Data!V220,Data!X220,Data!Z220,Data!AB220,Data!AD220,Data!AF220,Data!AH220,Data!AJ220,Data!AL220,Data!AN220,Data!AP220,Data!AR220,Data!AT220)</f>
        <v>0</v>
      </c>
      <c r="J219" s="12">
        <f>SUM(Data!DJ220,Data!DL220,Data!DN220,Data!DP220,Data!DR220,Data!DT220,Data!DV220,Data!DX220,Data!DZ220,Data!EB220,Data!ED220,Data!EF220,Data!EH220,Data!EJ220,Data!EL220,Data!EN220,Data!EP220,Data!ER220,Data!ET220)</f>
        <v>0</v>
      </c>
      <c r="K219" s="12">
        <f>J219-I219</f>
        <v>0</v>
      </c>
      <c r="L219">
        <f>IF(I219=0,IF(J219&gt;0,"New",0),(J219-I219)/I219)</f>
        <v>0</v>
      </c>
      <c r="M219" t="str">
        <f>IF(F219=0,"No 2026 Sales",IF(E219=0,"New Product",IF(AND(ISNUMBER(H219),H219&gt;0.1),"↑ Strong Growth",IF(AND(ISNUMBER(H219),H219&gt;0),"↗ Growth",IF(AND(ISNUMBER(H219),H219&lt;-0.1),"↓ Strong Decline",IF(AND(ISNUMBER(H219),H219&lt;0),"↘ Decline","→ Stable"))))))</f>
        <v>No 2026 Sales</v>
      </c>
    </row>
    <row r="220" spans="1:13" x14ac:dyDescent="0.35">
      <c r="A220">
        <f>Data!A221</f>
        <v>207</v>
      </c>
      <c r="B220" t="str">
        <f>Data!B221</f>
        <v>PORK</v>
      </c>
      <c r="C220" s="9">
        <f>Data!C221</f>
        <v>34232</v>
      </c>
      <c r="D220" s="10" t="s">
        <v>1001</v>
      </c>
      <c r="E220" s="11">
        <f>SUM(Data!I221,Data!K221,Data!M221,Data!O221,Data!Q221,Data!S221,Data!U221,Data!W221,Data!Y221,Data!AA221,Data!AC221,Data!AE221,Data!AG221,Data!AI221,Data!AK221,Data!AM221,Data!AO221,Data!AQ221,Data!AS221)</f>
        <v>461.42608695652098</v>
      </c>
      <c r="F220" s="11">
        <f>SUM(Data!DI221,Data!DK221,Data!DM221,Data!DO221,Data!DQ221,Data!DS221,Data!DU221,Data!DW221,Data!DY221,Data!EA221,Data!EC221,Data!EE221,Data!EG221,Data!EI221,Data!EK221,Data!EM221,Data!EO221,Data!EQ221,Data!ES221)</f>
        <v>406.91304347826099</v>
      </c>
      <c r="G220" s="11">
        <f>F220-E220</f>
        <v>-54.513043478259988</v>
      </c>
      <c r="H220" s="13">
        <f>IF(E220=0,IF(F220&gt;0,"New",0),(F220-E220)/E220)</f>
        <v>-0.11814035881199889</v>
      </c>
      <c r="I220" s="12">
        <f>SUM(Data!J221,Data!L221,Data!N221,Data!P221,Data!R221,Data!T221,Data!V221,Data!X221,Data!Z221,Data!AB221,Data!AD221,Data!AF221,Data!AH221,Data!AJ221,Data!AL221,Data!AN221,Data!AP221,Data!AR221,Data!AT221)</f>
        <v>5.8970000000000002</v>
      </c>
      <c r="J220" s="12">
        <f>SUM(Data!DJ221,Data!DL221,Data!DN221,Data!DP221,Data!DR221,Data!DT221,Data!DV221,Data!DX221,Data!DZ221,Data!EB221,Data!ED221,Data!EF221,Data!EH221,Data!EJ221,Data!EL221,Data!EN221,Data!EP221,Data!ER221,Data!ET221)</f>
        <v>5.1999999999999993</v>
      </c>
      <c r="K220" s="12">
        <f>J220-I220</f>
        <v>-0.69700000000000095</v>
      </c>
      <c r="L220" s="13">
        <f>IF(I220=0,IF(J220&gt;0,"New",0),(J220-I220)/I220)</f>
        <v>-0.11819569272511463</v>
      </c>
      <c r="M220" t="str">
        <f>IF(F220=0,"No 2026 Sales",IF(E220=0,"New Product",IF(AND(ISNUMBER(H220),H220&gt;0.1),"↑ Strong Growth",IF(AND(ISNUMBER(H220),H220&gt;0),"↗ Growth",IF(AND(ISNUMBER(H220),H220&lt;-0.1),"↓ Strong Decline",IF(AND(ISNUMBER(H220),H220&lt;0),"↘ Decline","→ Stable"))))))</f>
        <v>↓ Strong Decline</v>
      </c>
    </row>
    <row r="221" spans="1:13" hidden="1" x14ac:dyDescent="0.35">
      <c r="A221">
        <f>Data!A222</f>
        <v>207</v>
      </c>
      <c r="B221" t="str">
        <f>Data!B222</f>
        <v>PORK</v>
      </c>
      <c r="C221" s="9">
        <f>Data!C222</f>
        <v>34272</v>
      </c>
      <c r="D221" s="10" t="s">
        <v>1002</v>
      </c>
      <c r="E221" s="11">
        <f>SUM(Data!I222,Data!K222,Data!M222,Data!O222,Data!Q222,Data!S222,Data!U222,Data!W222,Data!Y222,Data!AA222,Data!AC222,Data!AE222,Data!AG222,Data!AI222,Data!AK222,Data!AM222,Data!AO222,Data!AQ222,Data!AS222)</f>
        <v>2707.9999999999986</v>
      </c>
      <c r="F221" s="11">
        <f>SUM(Data!DI222,Data!DK222,Data!DM222,Data!DO222,Data!DQ222,Data!DS222,Data!DU222,Data!DW222,Data!DY222,Data!EA222,Data!EC222,Data!EE222,Data!EG222,Data!EI222,Data!EK222,Data!EM222,Data!EO222,Data!EQ222,Data!ES222)</f>
        <v>0</v>
      </c>
      <c r="G221" s="11">
        <f>F221-E221</f>
        <v>-2707.9999999999986</v>
      </c>
      <c r="H221">
        <f>IF(E221=0,IF(F221&gt;0,"New",0),(F221-E221)/E221)</f>
        <v>-1</v>
      </c>
      <c r="I221" s="12">
        <f>SUM(Data!J222,Data!L222,Data!N222,Data!P222,Data!R222,Data!T222,Data!V222,Data!X222,Data!Z222,Data!AB222,Data!AD222,Data!AF222,Data!AH222,Data!AJ222,Data!AL222,Data!AN222,Data!AP222,Data!AR222,Data!AT222)</f>
        <v>33.5</v>
      </c>
      <c r="J221" s="12">
        <f>SUM(Data!DJ222,Data!DL222,Data!DN222,Data!DP222,Data!DR222,Data!DT222,Data!DV222,Data!DX222,Data!DZ222,Data!EB222,Data!ED222,Data!EF222,Data!EH222,Data!EJ222,Data!EL222,Data!EN222,Data!EP222,Data!ER222,Data!ET222)</f>
        <v>0</v>
      </c>
      <c r="K221" s="12">
        <f>J221-I221</f>
        <v>-33.5</v>
      </c>
      <c r="L221">
        <f>IF(I221=0,IF(J221&gt;0,"New",0),(J221-I221)/I221)</f>
        <v>-1</v>
      </c>
      <c r="M221" t="str">
        <f>IF(F221=0,"No 2026 Sales",IF(E221=0,"New Product",IF(AND(ISNUMBER(H221),H221&gt;0.1),"↑ Strong Growth",IF(AND(ISNUMBER(H221),H221&gt;0),"↗ Growth",IF(AND(ISNUMBER(H221),H221&lt;-0.1),"↓ Strong Decline",IF(AND(ISNUMBER(H221),H221&lt;0),"↘ Decline","→ Stable"))))))</f>
        <v>No 2026 Sales</v>
      </c>
    </row>
    <row r="222" spans="1:13" hidden="1" x14ac:dyDescent="0.35">
      <c r="A222">
        <f>Data!A223</f>
        <v>207</v>
      </c>
      <c r="B222" t="str">
        <f>Data!B223</f>
        <v>PORK</v>
      </c>
      <c r="C222" s="9">
        <f>Data!C223</f>
        <v>34280</v>
      </c>
      <c r="D222" s="10" t="s">
        <v>1003</v>
      </c>
      <c r="E222" s="11">
        <f>SUM(Data!I223,Data!K223,Data!M223,Data!O223,Data!Q223,Data!S223,Data!U223,Data!W223,Data!Y223,Data!AA223,Data!AC223,Data!AE223,Data!AG223,Data!AI223,Data!AK223,Data!AM223,Data!AO223,Data!AQ223,Data!AS223)</f>
        <v>0</v>
      </c>
      <c r="F222" s="11">
        <f>SUM(Data!DI223,Data!DK223,Data!DM223,Data!DO223,Data!DQ223,Data!DS223,Data!DU223,Data!DW223,Data!DY223,Data!EA223,Data!EC223,Data!EE223,Data!EG223,Data!EI223,Data!EK223,Data!EM223,Data!EO223,Data!EQ223,Data!ES223)</f>
        <v>0</v>
      </c>
      <c r="G222" s="11">
        <f>F222-E222</f>
        <v>0</v>
      </c>
      <c r="H222">
        <f>IF(E222=0,IF(F222&gt;0,"New",0),(F222-E222)/E222)</f>
        <v>0</v>
      </c>
      <c r="I222" s="12">
        <f>SUM(Data!J223,Data!L223,Data!N223,Data!P223,Data!R223,Data!T223,Data!V223,Data!X223,Data!Z223,Data!AB223,Data!AD223,Data!AF223,Data!AH223,Data!AJ223,Data!AL223,Data!AN223,Data!AP223,Data!AR223,Data!AT223)</f>
        <v>0</v>
      </c>
      <c r="J222" s="12">
        <f>SUM(Data!DJ223,Data!DL223,Data!DN223,Data!DP223,Data!DR223,Data!DT223,Data!DV223,Data!DX223,Data!DZ223,Data!EB223,Data!ED223,Data!EF223,Data!EH223,Data!EJ223,Data!EL223,Data!EN223,Data!EP223,Data!ER223,Data!ET223)</f>
        <v>0</v>
      </c>
      <c r="K222" s="12">
        <f>J222-I222</f>
        <v>0</v>
      </c>
      <c r="L222">
        <f>IF(I222=0,IF(J222&gt;0,"New",0),(J222-I222)/I222)</f>
        <v>0</v>
      </c>
      <c r="M222" t="str">
        <f>IF(F222=0,"No 2026 Sales",IF(E222=0,"New Product",IF(AND(ISNUMBER(H222),H222&gt;0.1),"↑ Strong Growth",IF(AND(ISNUMBER(H222),H222&gt;0),"↗ Growth",IF(AND(ISNUMBER(H222),H222&lt;-0.1),"↓ Strong Decline",IF(AND(ISNUMBER(H222),H222&lt;0),"↘ Decline","→ Stable"))))))</f>
        <v>No 2026 Sales</v>
      </c>
    </row>
    <row r="223" spans="1:13" hidden="1" x14ac:dyDescent="0.35">
      <c r="A223">
        <f>Data!A224</f>
        <v>207</v>
      </c>
      <c r="B223" t="str">
        <f>Data!B224</f>
        <v>PORK</v>
      </c>
      <c r="C223" s="9">
        <f>Data!C224</f>
        <v>34281</v>
      </c>
      <c r="D223" s="10" t="s">
        <v>1004</v>
      </c>
      <c r="E223" s="11">
        <f>SUM(Data!I224,Data!K224,Data!M224,Data!O224,Data!Q224,Data!S224,Data!U224,Data!W224,Data!Y224,Data!AA224,Data!AC224,Data!AE224,Data!AG224,Data!AI224,Data!AK224,Data!AM224,Data!AO224,Data!AQ224,Data!AS224)</f>
        <v>0</v>
      </c>
      <c r="F223" s="11">
        <f>SUM(Data!DI224,Data!DK224,Data!DM224,Data!DO224,Data!DQ224,Data!DS224,Data!DU224,Data!DW224,Data!DY224,Data!EA224,Data!EC224,Data!EE224,Data!EG224,Data!EI224,Data!EK224,Data!EM224,Data!EO224,Data!EQ224,Data!ES224)</f>
        <v>0</v>
      </c>
      <c r="G223" s="11">
        <f>F223-E223</f>
        <v>0</v>
      </c>
      <c r="H223">
        <f>IF(E223=0,IF(F223&gt;0,"New",0),(F223-E223)/E223)</f>
        <v>0</v>
      </c>
      <c r="I223" s="12">
        <f>SUM(Data!J224,Data!L224,Data!N224,Data!P224,Data!R224,Data!T224,Data!V224,Data!X224,Data!Z224,Data!AB224,Data!AD224,Data!AF224,Data!AH224,Data!AJ224,Data!AL224,Data!AN224,Data!AP224,Data!AR224,Data!AT224)</f>
        <v>0</v>
      </c>
      <c r="J223" s="12">
        <f>SUM(Data!DJ224,Data!DL224,Data!DN224,Data!DP224,Data!DR224,Data!DT224,Data!DV224,Data!DX224,Data!DZ224,Data!EB224,Data!ED224,Data!EF224,Data!EH224,Data!EJ224,Data!EL224,Data!EN224,Data!EP224,Data!ER224,Data!ET224)</f>
        <v>0</v>
      </c>
      <c r="K223" s="12">
        <f>J223-I223</f>
        <v>0</v>
      </c>
      <c r="L223">
        <f>IF(I223=0,IF(J223&gt;0,"New",0),(J223-I223)/I223)</f>
        <v>0</v>
      </c>
      <c r="M223" t="str">
        <f>IF(F223=0,"No 2026 Sales",IF(E223=0,"New Product",IF(AND(ISNUMBER(H223),H223&gt;0.1),"↑ Strong Growth",IF(AND(ISNUMBER(H223),H223&gt;0),"↗ Growth",IF(AND(ISNUMBER(H223),H223&lt;-0.1),"↓ Strong Decline",IF(AND(ISNUMBER(H223),H223&lt;0),"↘ Decline","→ Stable"))))))</f>
        <v>No 2026 Sales</v>
      </c>
    </row>
    <row r="224" spans="1:13" hidden="1" x14ac:dyDescent="0.35">
      <c r="A224">
        <f>Data!A225</f>
        <v>207</v>
      </c>
      <c r="B224" t="str">
        <f>Data!B225</f>
        <v>PORK</v>
      </c>
      <c r="C224" s="9">
        <f>Data!C225</f>
        <v>34283</v>
      </c>
      <c r="D224" s="10" t="s">
        <v>1005</v>
      </c>
      <c r="E224" s="11">
        <f>SUM(Data!I225,Data!K225,Data!M225,Data!O225,Data!Q225,Data!S225,Data!U225,Data!W225,Data!Y225,Data!AA225,Data!AC225,Data!AE225,Data!AG225,Data!AI225,Data!AK225,Data!AM225,Data!AO225,Data!AQ225,Data!AS225)</f>
        <v>122319.51304347825</v>
      </c>
      <c r="F224" s="11">
        <f>SUM(Data!DI225,Data!DK225,Data!DM225,Data!DO225,Data!DQ225,Data!DS225,Data!DU225,Data!DW225,Data!DY225,Data!EA225,Data!EC225,Data!EE225,Data!EG225,Data!EI225,Data!EK225,Data!EM225,Data!EO225,Data!EQ225,Data!ES225)</f>
        <v>0</v>
      </c>
      <c r="G224" s="11">
        <f>F224-E224</f>
        <v>-122319.51304347825</v>
      </c>
      <c r="H224">
        <f>IF(E224=0,IF(F224&gt;0,"New",0),(F224-E224)/E224)</f>
        <v>-1</v>
      </c>
      <c r="I224" s="12">
        <f>SUM(Data!J225,Data!L225,Data!N225,Data!P225,Data!R225,Data!T225,Data!V225,Data!X225,Data!Z225,Data!AB225,Data!AD225,Data!AF225,Data!AH225,Data!AJ225,Data!AL225,Data!AN225,Data!AP225,Data!AR225,Data!AT225)</f>
        <v>1862.5929999999998</v>
      </c>
      <c r="J224" s="12">
        <f>SUM(Data!DJ225,Data!DL225,Data!DN225,Data!DP225,Data!DR225,Data!DT225,Data!DV225,Data!DX225,Data!DZ225,Data!EB225,Data!ED225,Data!EF225,Data!EH225,Data!EJ225,Data!EL225,Data!EN225,Data!EP225,Data!ER225,Data!ET225)</f>
        <v>0</v>
      </c>
      <c r="K224" s="12">
        <f>J224-I224</f>
        <v>-1862.5929999999998</v>
      </c>
      <c r="L224">
        <f>IF(I224=0,IF(J224&gt;0,"New",0),(J224-I224)/I224)</f>
        <v>-1</v>
      </c>
      <c r="M224" t="str">
        <f>IF(F224=0,"No 2026 Sales",IF(E224=0,"New Product",IF(AND(ISNUMBER(H224),H224&gt;0.1),"↑ Strong Growth",IF(AND(ISNUMBER(H224),H224&gt;0),"↗ Growth",IF(AND(ISNUMBER(H224),H224&lt;-0.1),"↓ Strong Decline",IF(AND(ISNUMBER(H224),H224&lt;0),"↘ Decline","→ Stable"))))))</f>
        <v>No 2026 Sales</v>
      </c>
    </row>
    <row r="225" spans="1:13" x14ac:dyDescent="0.35">
      <c r="A225">
        <f>Data!A226</f>
        <v>207</v>
      </c>
      <c r="B225" t="str">
        <f>Data!B226</f>
        <v>PORK</v>
      </c>
      <c r="C225" s="9">
        <f>Data!C226</f>
        <v>34285</v>
      </c>
      <c r="D225" s="10" t="s">
        <v>1006</v>
      </c>
      <c r="E225" s="11">
        <f>SUM(Data!I226,Data!K226,Data!M226,Data!O226,Data!Q226,Data!S226,Data!U226,Data!W226,Data!Y226,Data!AA226,Data!AC226,Data!AE226,Data!AG226,Data!AI226,Data!AK226,Data!AM226,Data!AO226,Data!AQ226,Data!AS226)</f>
        <v>0</v>
      </c>
      <c r="F225" s="11">
        <f>SUM(Data!DI226,Data!DK226,Data!DM226,Data!DO226,Data!DQ226,Data!DS226,Data!DU226,Data!DW226,Data!DY226,Data!EA226,Data!EC226,Data!EE226,Data!EG226,Data!EI226,Data!EK226,Data!EM226,Data!EO226,Data!EQ226,Data!ES226)</f>
        <v>410.860869565217</v>
      </c>
      <c r="G225" s="11">
        <f>F225-E225</f>
        <v>410.860869565217</v>
      </c>
      <c r="H225" s="13" t="str">
        <f>IF(E225=0,IF(F225&gt;0,"New",0),(F225-E225)/E225)</f>
        <v>New</v>
      </c>
      <c r="I225" s="12">
        <f>SUM(Data!J226,Data!L226,Data!N226,Data!P226,Data!R226,Data!T226,Data!V226,Data!X226,Data!Z226,Data!AB226,Data!AD226,Data!AF226,Data!AH226,Data!AJ226,Data!AL226,Data!AN226,Data!AP226,Data!AR226,Data!AT226)</f>
        <v>0</v>
      </c>
      <c r="J225" s="12">
        <f>SUM(Data!DJ226,Data!DL226,Data!DN226,Data!DP226,Data!DR226,Data!DT226,Data!DV226,Data!DX226,Data!DZ226,Data!EB226,Data!ED226,Data!EF226,Data!EH226,Data!EJ226,Data!EL226,Data!EN226,Data!EP226,Data!ER226,Data!ET226)</f>
        <v>4.9219999999999997</v>
      </c>
      <c r="K225" s="12">
        <f>J225-I225</f>
        <v>4.9219999999999997</v>
      </c>
      <c r="L225" s="13" t="str">
        <f>IF(I225=0,IF(J225&gt;0,"New",0),(J225-I225)/I225)</f>
        <v>New</v>
      </c>
      <c r="M225" t="str">
        <f>IF(F225=0,"No 2026 Sales",IF(E225=0,"New Product",IF(AND(ISNUMBER(H225),H225&gt;0.1),"↑ Strong Growth",IF(AND(ISNUMBER(H225),H225&gt;0),"↗ Growth",IF(AND(ISNUMBER(H225),H225&lt;-0.1),"↓ Strong Decline",IF(AND(ISNUMBER(H225),H225&lt;0),"↘ Decline","→ Stable"))))))</f>
        <v>New Product</v>
      </c>
    </row>
    <row r="226" spans="1:13" hidden="1" x14ac:dyDescent="0.35">
      <c r="A226">
        <f>Data!A227</f>
        <v>207</v>
      </c>
      <c r="B226" t="str">
        <f>Data!B227</f>
        <v>PORK</v>
      </c>
      <c r="C226" s="9">
        <f>Data!C227</f>
        <v>34288</v>
      </c>
      <c r="D226" s="10" t="s">
        <v>1007</v>
      </c>
      <c r="E226" s="11">
        <f>SUM(Data!I227,Data!K227,Data!M227,Data!O227,Data!Q227,Data!S227,Data!U227,Data!W227,Data!Y227,Data!AA227,Data!AC227,Data!AE227,Data!AG227,Data!AI227,Data!AK227,Data!AM227,Data!AO227,Data!AQ227,Data!AS227)</f>
        <v>8793.2260869565271</v>
      </c>
      <c r="F226" s="11">
        <f>SUM(Data!DI227,Data!DK227,Data!DM227,Data!DO227,Data!DQ227,Data!DS227,Data!DU227,Data!DW227,Data!DY227,Data!EA227,Data!EC227,Data!EE227,Data!EG227,Data!EI227,Data!EK227,Data!EM227,Data!EO227,Data!EQ227,Data!ES227)</f>
        <v>0</v>
      </c>
      <c r="G226" s="11">
        <f>F226-E226</f>
        <v>-8793.2260869565271</v>
      </c>
      <c r="H226">
        <f>IF(E226=0,IF(F226&gt;0,"New",0),(F226-E226)/E226)</f>
        <v>-1</v>
      </c>
      <c r="I226" s="12">
        <f>SUM(Data!J227,Data!L227,Data!N227,Data!P227,Data!R227,Data!T227,Data!V227,Data!X227,Data!Z227,Data!AB227,Data!AD227,Data!AF227,Data!AH227,Data!AJ227,Data!AL227,Data!AN227,Data!AP227,Data!AR227,Data!AT227)</f>
        <v>67.233999999999995</v>
      </c>
      <c r="J226" s="12">
        <f>SUM(Data!DJ227,Data!DL227,Data!DN227,Data!DP227,Data!DR227,Data!DT227,Data!DV227,Data!DX227,Data!DZ227,Data!EB227,Data!ED227,Data!EF227,Data!EH227,Data!EJ227,Data!EL227,Data!EN227,Data!EP227,Data!ER227,Data!ET227)</f>
        <v>0</v>
      </c>
      <c r="K226" s="12">
        <f>J226-I226</f>
        <v>-67.233999999999995</v>
      </c>
      <c r="L226">
        <f>IF(I226=0,IF(J226&gt;0,"New",0),(J226-I226)/I226)</f>
        <v>-1</v>
      </c>
      <c r="M226" t="str">
        <f>IF(F226=0,"No 2026 Sales",IF(E226=0,"New Product",IF(AND(ISNUMBER(H226),H226&gt;0.1),"↑ Strong Growth",IF(AND(ISNUMBER(H226),H226&gt;0),"↗ Growth",IF(AND(ISNUMBER(H226),H226&lt;-0.1),"↓ Strong Decline",IF(AND(ISNUMBER(H226),H226&lt;0),"↘ Decline","→ Stable"))))))</f>
        <v>No 2026 Sales</v>
      </c>
    </row>
    <row r="227" spans="1:13" hidden="1" x14ac:dyDescent="0.35">
      <c r="A227">
        <f>Data!A228</f>
        <v>207</v>
      </c>
      <c r="B227" t="str">
        <f>Data!B228</f>
        <v>PORK</v>
      </c>
      <c r="C227" s="9">
        <f>Data!C228</f>
        <v>34289</v>
      </c>
      <c r="D227" s="10" t="s">
        <v>1008</v>
      </c>
      <c r="E227" s="11">
        <f>SUM(Data!I228,Data!K228,Data!M228,Data!O228,Data!Q228,Data!S228,Data!U228,Data!W228,Data!Y228,Data!AA228,Data!AC228,Data!AE228,Data!AG228,Data!AI228,Data!AK228,Data!AM228,Data!AO228,Data!AQ228,Data!AS228)</f>
        <v>35614.878260869562</v>
      </c>
      <c r="F227" s="11">
        <f>SUM(Data!DI228,Data!DK228,Data!DM228,Data!DO228,Data!DQ228,Data!DS228,Data!DU228,Data!DW228,Data!DY228,Data!EA228,Data!EC228,Data!EE228,Data!EG228,Data!EI228,Data!EK228,Data!EM228,Data!EO228,Data!EQ228,Data!ES228)</f>
        <v>0</v>
      </c>
      <c r="G227" s="11">
        <f>F227-E227</f>
        <v>-35614.878260869562</v>
      </c>
      <c r="H227">
        <f>IF(E227=0,IF(F227&gt;0,"New",0),(F227-E227)/E227)</f>
        <v>-1</v>
      </c>
      <c r="I227" s="12">
        <f>SUM(Data!J228,Data!L228,Data!N228,Data!P228,Data!R228,Data!T228,Data!V228,Data!X228,Data!Z228,Data!AB228,Data!AD228,Data!AF228,Data!AH228,Data!AJ228,Data!AL228,Data!AN228,Data!AP228,Data!AR228,Data!AT228)</f>
        <v>715.79600000000005</v>
      </c>
      <c r="J227" s="12">
        <f>SUM(Data!DJ228,Data!DL228,Data!DN228,Data!DP228,Data!DR228,Data!DT228,Data!DV228,Data!DX228,Data!DZ228,Data!EB228,Data!ED228,Data!EF228,Data!EH228,Data!EJ228,Data!EL228,Data!EN228,Data!EP228,Data!ER228,Data!ET228)</f>
        <v>0</v>
      </c>
      <c r="K227" s="12">
        <f>J227-I227</f>
        <v>-715.79600000000005</v>
      </c>
      <c r="L227">
        <f>IF(I227=0,IF(J227&gt;0,"New",0),(J227-I227)/I227)</f>
        <v>-1</v>
      </c>
      <c r="M227" t="str">
        <f>IF(F227=0,"No 2026 Sales",IF(E227=0,"New Product",IF(AND(ISNUMBER(H227),H227&gt;0.1),"↑ Strong Growth",IF(AND(ISNUMBER(H227),H227&gt;0),"↗ Growth",IF(AND(ISNUMBER(H227),H227&lt;-0.1),"↓ Strong Decline",IF(AND(ISNUMBER(H227),H227&lt;0),"↘ Decline","→ Stable"))))))</f>
        <v>No 2026 Sales</v>
      </c>
    </row>
    <row r="228" spans="1:13" hidden="1" x14ac:dyDescent="0.35">
      <c r="A228">
        <f>Data!A229</f>
        <v>207</v>
      </c>
      <c r="B228" t="str">
        <f>Data!B229</f>
        <v>PORK</v>
      </c>
      <c r="C228" s="9">
        <f>Data!C229</f>
        <v>34290</v>
      </c>
      <c r="D228" s="10" t="s">
        <v>1009</v>
      </c>
      <c r="E228" s="11">
        <f>SUM(Data!I229,Data!K229,Data!M229,Data!O229,Data!Q229,Data!S229,Data!U229,Data!W229,Data!Y229,Data!AA229,Data!AC229,Data!AE229,Data!AG229,Data!AI229,Data!AK229,Data!AM229,Data!AO229,Data!AQ229,Data!AS229)</f>
        <v>0</v>
      </c>
      <c r="F228" s="11">
        <f>SUM(Data!DI229,Data!DK229,Data!DM229,Data!DO229,Data!DQ229,Data!DS229,Data!DU229,Data!DW229,Data!DY229,Data!EA229,Data!EC229,Data!EE229,Data!EG229,Data!EI229,Data!EK229,Data!EM229,Data!EO229,Data!EQ229,Data!ES229)</f>
        <v>0</v>
      </c>
      <c r="G228" s="11">
        <f>F228-E228</f>
        <v>0</v>
      </c>
      <c r="H228">
        <f>IF(E228=0,IF(F228&gt;0,"New",0),(F228-E228)/E228)</f>
        <v>0</v>
      </c>
      <c r="I228" s="12">
        <f>SUM(Data!J229,Data!L229,Data!N229,Data!P229,Data!R229,Data!T229,Data!V229,Data!X229,Data!Z229,Data!AB229,Data!AD229,Data!AF229,Data!AH229,Data!AJ229,Data!AL229,Data!AN229,Data!AP229,Data!AR229,Data!AT229)</f>
        <v>0</v>
      </c>
      <c r="J228" s="12">
        <f>SUM(Data!DJ229,Data!DL229,Data!DN229,Data!DP229,Data!DR229,Data!DT229,Data!DV229,Data!DX229,Data!DZ229,Data!EB229,Data!ED229,Data!EF229,Data!EH229,Data!EJ229,Data!EL229,Data!EN229,Data!EP229,Data!ER229,Data!ET229)</f>
        <v>0</v>
      </c>
      <c r="K228" s="12">
        <f>J228-I228</f>
        <v>0</v>
      </c>
      <c r="L228">
        <f>IF(I228=0,IF(J228&gt;0,"New",0),(J228-I228)/I228)</f>
        <v>0</v>
      </c>
      <c r="M228" t="str">
        <f>IF(F228=0,"No 2026 Sales",IF(E228=0,"New Product",IF(AND(ISNUMBER(H228),H228&gt;0.1),"↑ Strong Growth",IF(AND(ISNUMBER(H228),H228&gt;0),"↗ Growth",IF(AND(ISNUMBER(H228),H228&lt;-0.1),"↓ Strong Decline",IF(AND(ISNUMBER(H228),H228&lt;0),"↘ Decline","→ Stable"))))))</f>
        <v>No 2026 Sales</v>
      </c>
    </row>
    <row r="229" spans="1:13" x14ac:dyDescent="0.35">
      <c r="A229">
        <f>Data!A230</f>
        <v>207</v>
      </c>
      <c r="B229" t="str">
        <f>Data!B230</f>
        <v>PORK</v>
      </c>
      <c r="C229" s="9">
        <f>Data!C230</f>
        <v>34304</v>
      </c>
      <c r="D229" s="10" t="s">
        <v>1010</v>
      </c>
      <c r="E229" s="11">
        <f>SUM(Data!I230,Data!K230,Data!M230,Data!O230,Data!Q230,Data!S230,Data!U230,Data!W230,Data!Y230,Data!AA230,Data!AC230,Data!AE230,Data!AG230,Data!AI230,Data!AK230,Data!AM230,Data!AO230,Data!AQ230,Data!AS230)</f>
        <v>2283.4347826086951</v>
      </c>
      <c r="F229" s="11">
        <f>SUM(Data!DI230,Data!DK230,Data!DM230,Data!DO230,Data!DQ230,Data!DS230,Data!DU230,Data!DW230,Data!DY230,Data!EA230,Data!EC230,Data!EE230,Data!EG230,Data!EI230,Data!EK230,Data!EM230,Data!EO230,Data!EQ230,Data!ES230)</f>
        <v>2663.5913043478254</v>
      </c>
      <c r="G229" s="11">
        <f>F229-E229</f>
        <v>380.15652173913031</v>
      </c>
      <c r="H229" s="13">
        <f>IF(E229=0,IF(F229&gt;0,"New",0),(F229-E229)/E229)</f>
        <v>0.16648451036767645</v>
      </c>
      <c r="I229" s="12">
        <f>SUM(Data!J230,Data!L230,Data!N230,Data!P230,Data!R230,Data!T230,Data!V230,Data!X230,Data!Z230,Data!AB230,Data!AD230,Data!AF230,Data!AH230,Data!AJ230,Data!AL230,Data!AN230,Data!AP230,Data!AR230,Data!AT230)</f>
        <v>131.654</v>
      </c>
      <c r="J229" s="12">
        <f>SUM(Data!DJ230,Data!DL230,Data!DN230,Data!DP230,Data!DR230,Data!DT230,Data!DV230,Data!DX230,Data!DZ230,Data!EB230,Data!ED230,Data!EF230,Data!EH230,Data!EJ230,Data!EL230,Data!EN230,Data!EP230,Data!ER230,Data!ET230)</f>
        <v>153.23400000000001</v>
      </c>
      <c r="K229" s="12">
        <f>J229-I229</f>
        <v>21.580000000000013</v>
      </c>
      <c r="L229" s="13">
        <f>IF(I229=0,IF(J229&gt;0,"New",0),(J229-I229)/I229)</f>
        <v>0.16391450316739342</v>
      </c>
      <c r="M229" t="str">
        <f>IF(F229=0,"No 2026 Sales",IF(E229=0,"New Product",IF(AND(ISNUMBER(H229),H229&gt;0.1),"↑ Strong Growth",IF(AND(ISNUMBER(H229),H229&gt;0),"↗ Growth",IF(AND(ISNUMBER(H229),H229&lt;-0.1),"↓ Strong Decline",IF(AND(ISNUMBER(H229),H229&lt;0),"↘ Decline","→ Stable"))))))</f>
        <v>↑ Strong Growth</v>
      </c>
    </row>
    <row r="230" spans="1:13" x14ac:dyDescent="0.35">
      <c r="A230">
        <f>Data!A231</f>
        <v>207</v>
      </c>
      <c r="B230" t="str">
        <f>Data!B231</f>
        <v>PORK</v>
      </c>
      <c r="C230" s="9">
        <f>Data!C231</f>
        <v>38927</v>
      </c>
      <c r="D230" s="10" t="s">
        <v>1011</v>
      </c>
      <c r="E230" s="11">
        <f>SUM(Data!I231,Data!K231,Data!M231,Data!O231,Data!Q231,Data!S231,Data!U231,Data!W231,Data!Y231,Data!AA231,Data!AC231,Data!AE231,Data!AG231,Data!AI231,Data!AK231,Data!AM231,Data!AO231,Data!AQ231,Data!AS231)</f>
        <v>4670.9826086956527</v>
      </c>
      <c r="F230" s="11">
        <f>SUM(Data!DI231,Data!DK231,Data!DM231,Data!DO231,Data!DQ231,Data!DS231,Data!DU231,Data!DW231,Data!DY231,Data!EA231,Data!EC231,Data!EE231,Data!EG231,Data!EI231,Data!EK231,Data!EM231,Data!EO231,Data!EQ231,Data!ES231)</f>
        <v>1326.5826086956529</v>
      </c>
      <c r="G230" s="11">
        <f>F230-E230</f>
        <v>-3344.3999999999996</v>
      </c>
      <c r="H230" s="13">
        <f>IF(E230=0,IF(F230&gt;0,"New",0),(F230-E230)/E230)</f>
        <v>-0.71599495869968688</v>
      </c>
      <c r="I230" s="12">
        <f>SUM(Data!J231,Data!L231,Data!N231,Data!P231,Data!R231,Data!T231,Data!V231,Data!X231,Data!Z231,Data!AB231,Data!AD231,Data!AF231,Data!AH231,Data!AJ231,Data!AL231,Data!AN231,Data!AP231,Data!AR231,Data!AT231)</f>
        <v>62</v>
      </c>
      <c r="J230" s="12">
        <f>SUM(Data!DJ231,Data!DL231,Data!DN231,Data!DP231,Data!DR231,Data!DT231,Data!DV231,Data!DX231,Data!DZ231,Data!EB231,Data!ED231,Data!EF231,Data!EH231,Data!EJ231,Data!EL231,Data!EN231,Data!EP231,Data!ER231,Data!ET231)</f>
        <v>18</v>
      </c>
      <c r="K230" s="12">
        <f>J230-I230</f>
        <v>-44</v>
      </c>
      <c r="L230" s="13">
        <f>IF(I230=0,IF(J230&gt;0,"New",0),(J230-I230)/I230)</f>
        <v>-0.70967741935483875</v>
      </c>
      <c r="M230" t="str">
        <f>IF(F230=0,"No 2026 Sales",IF(E230=0,"New Product",IF(AND(ISNUMBER(H230),H230&gt;0.1),"↑ Strong Growth",IF(AND(ISNUMBER(H230),H230&gt;0),"↗ Growth",IF(AND(ISNUMBER(H230),H230&lt;-0.1),"↓ Strong Decline",IF(AND(ISNUMBER(H230),H230&lt;0),"↘ Decline","→ Stable"))))))</f>
        <v>↓ Strong Decline</v>
      </c>
    </row>
    <row r="231" spans="1:13" hidden="1" x14ac:dyDescent="0.35">
      <c r="A231">
        <f>Data!A232</f>
        <v>207</v>
      </c>
      <c r="B231" t="str">
        <f>Data!B232</f>
        <v>PORK</v>
      </c>
      <c r="C231" s="9">
        <f>Data!C232</f>
        <v>38928</v>
      </c>
      <c r="D231" s="10" t="s">
        <v>1012</v>
      </c>
      <c r="E231" s="11">
        <f>SUM(Data!I232,Data!K232,Data!M232,Data!O232,Data!Q232,Data!S232,Data!U232,Data!W232,Data!Y232,Data!AA232,Data!AC232,Data!AE232,Data!AG232,Data!AI232,Data!AK232,Data!AM232,Data!AO232,Data!AQ232,Data!AS232)</f>
        <v>1105.9652173913041</v>
      </c>
      <c r="F231" s="11">
        <f>SUM(Data!DI232,Data!DK232,Data!DM232,Data!DO232,Data!DQ232,Data!DS232,Data!DU232,Data!DW232,Data!DY232,Data!EA232,Data!EC232,Data!EE232,Data!EG232,Data!EI232,Data!EK232,Data!EM232,Data!EO232,Data!EQ232,Data!ES232)</f>
        <v>0</v>
      </c>
      <c r="G231" s="11">
        <f>F231-E231</f>
        <v>-1105.9652173913041</v>
      </c>
      <c r="H231">
        <f>IF(E231=0,IF(F231&gt;0,"New",0),(F231-E231)/E231)</f>
        <v>-1</v>
      </c>
      <c r="I231" s="12">
        <f>SUM(Data!J232,Data!L232,Data!N232,Data!P232,Data!R232,Data!T232,Data!V232,Data!X232,Data!Z232,Data!AB232,Data!AD232,Data!AF232,Data!AH232,Data!AJ232,Data!AL232,Data!AN232,Data!AP232,Data!AR232,Data!AT232)</f>
        <v>6.8379999999999992</v>
      </c>
      <c r="J231" s="12">
        <f>SUM(Data!DJ232,Data!DL232,Data!DN232,Data!DP232,Data!DR232,Data!DT232,Data!DV232,Data!DX232,Data!DZ232,Data!EB232,Data!ED232,Data!EF232,Data!EH232,Data!EJ232,Data!EL232,Data!EN232,Data!EP232,Data!ER232,Data!ET232)</f>
        <v>0</v>
      </c>
      <c r="K231" s="12">
        <f>J231-I231</f>
        <v>-6.8379999999999992</v>
      </c>
      <c r="L231">
        <f>IF(I231=0,IF(J231&gt;0,"New",0),(J231-I231)/I231)</f>
        <v>-1</v>
      </c>
      <c r="M231" t="str">
        <f>IF(F231=0,"No 2026 Sales",IF(E231=0,"New Product",IF(AND(ISNUMBER(H231),H231&gt;0.1),"↑ Strong Growth",IF(AND(ISNUMBER(H231),H231&gt;0),"↗ Growth",IF(AND(ISNUMBER(H231),H231&lt;-0.1),"↓ Strong Decline",IF(AND(ISNUMBER(H231),H231&lt;0),"↘ Decline","→ Stable"))))))</f>
        <v>No 2026 Sales</v>
      </c>
    </row>
    <row r="232" spans="1:13" hidden="1" x14ac:dyDescent="0.35">
      <c r="A232">
        <f>Data!A233</f>
        <v>207</v>
      </c>
      <c r="B232" t="str">
        <f>Data!B233</f>
        <v>PORK</v>
      </c>
      <c r="C232" s="9">
        <f>Data!C233</f>
        <v>38929</v>
      </c>
      <c r="D232" s="10" t="s">
        <v>1013</v>
      </c>
      <c r="E232" s="11">
        <f>SUM(Data!I233,Data!K233,Data!M233,Data!O233,Data!Q233,Data!S233,Data!U233,Data!W233,Data!Y233,Data!AA233,Data!AC233,Data!AE233,Data!AG233,Data!AI233,Data!AK233,Data!AM233,Data!AO233,Data!AQ233,Data!AS233)</f>
        <v>0</v>
      </c>
      <c r="F232" s="11">
        <f>SUM(Data!DI233,Data!DK233,Data!DM233,Data!DO233,Data!DQ233,Data!DS233,Data!DU233,Data!DW233,Data!DY233,Data!EA233,Data!EC233,Data!EE233,Data!EG233,Data!EI233,Data!EK233,Data!EM233,Data!EO233,Data!EQ233,Data!ES233)</f>
        <v>0</v>
      </c>
      <c r="G232" s="11">
        <f>F232-E232</f>
        <v>0</v>
      </c>
      <c r="H232">
        <f>IF(E232=0,IF(F232&gt;0,"New",0),(F232-E232)/E232)</f>
        <v>0</v>
      </c>
      <c r="I232" s="12">
        <f>SUM(Data!J233,Data!L233,Data!N233,Data!P233,Data!R233,Data!T233,Data!V233,Data!X233,Data!Z233,Data!AB233,Data!AD233,Data!AF233,Data!AH233,Data!AJ233,Data!AL233,Data!AN233,Data!AP233,Data!AR233,Data!AT233)</f>
        <v>0</v>
      </c>
      <c r="J232" s="12">
        <f>SUM(Data!DJ233,Data!DL233,Data!DN233,Data!DP233,Data!DR233,Data!DT233,Data!DV233,Data!DX233,Data!DZ233,Data!EB233,Data!ED233,Data!EF233,Data!EH233,Data!EJ233,Data!EL233,Data!EN233,Data!EP233,Data!ER233,Data!ET233)</f>
        <v>0</v>
      </c>
      <c r="K232" s="12">
        <f>J232-I232</f>
        <v>0</v>
      </c>
      <c r="L232">
        <f>IF(I232=0,IF(J232&gt;0,"New",0),(J232-I232)/I232)</f>
        <v>0</v>
      </c>
      <c r="M232" t="str">
        <f>IF(F232=0,"No 2026 Sales",IF(E232=0,"New Product",IF(AND(ISNUMBER(H232),H232&gt;0.1),"↑ Strong Growth",IF(AND(ISNUMBER(H232),H232&gt;0),"↗ Growth",IF(AND(ISNUMBER(H232),H232&lt;-0.1),"↓ Strong Decline",IF(AND(ISNUMBER(H232),H232&lt;0),"↘ Decline","→ Stable"))))))</f>
        <v>No 2026 Sales</v>
      </c>
    </row>
    <row r="233" spans="1:13" x14ac:dyDescent="0.35">
      <c r="A233">
        <f>Data!A234</f>
        <v>207</v>
      </c>
      <c r="B233" t="str">
        <f>Data!B234</f>
        <v>PORK</v>
      </c>
      <c r="C233" s="9">
        <f>Data!C234</f>
        <v>39397</v>
      </c>
      <c r="D233" s="10" t="s">
        <v>1014</v>
      </c>
      <c r="E233" s="11">
        <f>SUM(Data!I234,Data!K234,Data!M234,Data!O234,Data!Q234,Data!S234,Data!U234,Data!W234,Data!Y234,Data!AA234,Data!AC234,Data!AE234,Data!AG234,Data!AI234,Data!AK234,Data!AM234,Data!AO234,Data!AQ234,Data!AS234)</f>
        <v>1457.0695652173922</v>
      </c>
      <c r="F233" s="11">
        <f>SUM(Data!DI234,Data!DK234,Data!DM234,Data!DO234,Data!DQ234,Data!DS234,Data!DU234,Data!DW234,Data!DY234,Data!EA234,Data!EC234,Data!EE234,Data!EG234,Data!EI234,Data!EK234,Data!EM234,Data!EO234,Data!EQ234,Data!ES234)</f>
        <v>1095.678260869566</v>
      </c>
      <c r="G233" s="11">
        <f>F233-E233</f>
        <v>-361.39130434782624</v>
      </c>
      <c r="H233" s="13">
        <f>IF(E233=0,IF(F233&gt;0,"New",0),(F233-E233)/E233)</f>
        <v>-0.248026115550569</v>
      </c>
      <c r="I233" s="12">
        <f>SUM(Data!J234,Data!L234,Data!N234,Data!P234,Data!R234,Data!T234,Data!V234,Data!X234,Data!Z234,Data!AB234,Data!AD234,Data!AF234,Data!AH234,Data!AJ234,Data!AL234,Data!AN234,Data!AP234,Data!AR234,Data!AT234)</f>
        <v>16.475999999999999</v>
      </c>
      <c r="J233" s="12">
        <f>SUM(Data!DJ234,Data!DL234,Data!DN234,Data!DP234,Data!DR234,Data!DT234,Data!DV234,Data!DX234,Data!DZ234,Data!EB234,Data!ED234,Data!EF234,Data!EH234,Data!EJ234,Data!EL234,Data!EN234,Data!EP234,Data!ER234,Data!ET234)</f>
        <v>12.802</v>
      </c>
      <c r="K233" s="12">
        <f>J233-I233</f>
        <v>-3.6739999999999995</v>
      </c>
      <c r="L233" s="13">
        <f>IF(I233=0,IF(J233&gt;0,"New",0),(J233-I233)/I233)</f>
        <v>-0.22299101723719347</v>
      </c>
      <c r="M233" t="str">
        <f>IF(F233=0,"No 2026 Sales",IF(E233=0,"New Product",IF(AND(ISNUMBER(H233),H233&gt;0.1),"↑ Strong Growth",IF(AND(ISNUMBER(H233),H233&gt;0),"↗ Growth",IF(AND(ISNUMBER(H233),H233&lt;-0.1),"↓ Strong Decline",IF(AND(ISNUMBER(H233),H233&lt;0),"↘ Decline","→ Stable"))))))</f>
        <v>↓ Strong Decline</v>
      </c>
    </row>
    <row r="234" spans="1:13" hidden="1" x14ac:dyDescent="0.35">
      <c r="A234">
        <f>Data!A235</f>
        <v>207</v>
      </c>
      <c r="B234" t="str">
        <f>Data!B235</f>
        <v>PORK</v>
      </c>
      <c r="C234" s="9">
        <f>Data!C235</f>
        <v>39411</v>
      </c>
      <c r="D234" s="10" t="s">
        <v>1015</v>
      </c>
      <c r="E234" s="11">
        <f>SUM(Data!I235,Data!K235,Data!M235,Data!O235,Data!Q235,Data!S235,Data!U235,Data!W235,Data!Y235,Data!AA235,Data!AC235,Data!AE235,Data!AG235,Data!AI235,Data!AK235,Data!AM235,Data!AO235,Data!AQ235,Data!AS235)</f>
        <v>0</v>
      </c>
      <c r="F234" s="11">
        <f>SUM(Data!DI235,Data!DK235,Data!DM235,Data!DO235,Data!DQ235,Data!DS235,Data!DU235,Data!DW235,Data!DY235,Data!EA235,Data!EC235,Data!EE235,Data!EG235,Data!EI235,Data!EK235,Data!EM235,Data!EO235,Data!EQ235,Data!ES235)</f>
        <v>0</v>
      </c>
      <c r="G234" s="11">
        <f>F234-E234</f>
        <v>0</v>
      </c>
      <c r="H234">
        <f>IF(E234=0,IF(F234&gt;0,"New",0),(F234-E234)/E234)</f>
        <v>0</v>
      </c>
      <c r="I234" s="12">
        <f>SUM(Data!J235,Data!L235,Data!N235,Data!P235,Data!R235,Data!T235,Data!V235,Data!X235,Data!Z235,Data!AB235,Data!AD235,Data!AF235,Data!AH235,Data!AJ235,Data!AL235,Data!AN235,Data!AP235,Data!AR235,Data!AT235)</f>
        <v>0</v>
      </c>
      <c r="J234" s="12">
        <f>SUM(Data!DJ235,Data!DL235,Data!DN235,Data!DP235,Data!DR235,Data!DT235,Data!DV235,Data!DX235,Data!DZ235,Data!EB235,Data!ED235,Data!EF235,Data!EH235,Data!EJ235,Data!EL235,Data!EN235,Data!EP235,Data!ER235,Data!ET235)</f>
        <v>0</v>
      </c>
      <c r="K234" s="12">
        <f>J234-I234</f>
        <v>0</v>
      </c>
      <c r="L234">
        <f>IF(I234=0,IF(J234&gt;0,"New",0),(J234-I234)/I234)</f>
        <v>0</v>
      </c>
      <c r="M234" t="str">
        <f>IF(F234=0,"No 2026 Sales",IF(E234=0,"New Product",IF(AND(ISNUMBER(H234),H234&gt;0.1),"↑ Strong Growth",IF(AND(ISNUMBER(H234),H234&gt;0),"↗ Growth",IF(AND(ISNUMBER(H234),H234&lt;-0.1),"↓ Strong Decline",IF(AND(ISNUMBER(H234),H234&lt;0),"↘ Decline","→ Stable"))))))</f>
        <v>No 2026 Sales</v>
      </c>
    </row>
    <row r="235" spans="1:13" hidden="1" x14ac:dyDescent="0.35">
      <c r="A235">
        <f>Data!A236</f>
        <v>207</v>
      </c>
      <c r="B235" t="str">
        <f>Data!B236</f>
        <v>PORK</v>
      </c>
      <c r="C235" s="9">
        <f>Data!C236</f>
        <v>40148</v>
      </c>
      <c r="D235" s="10" t="s">
        <v>1016</v>
      </c>
      <c r="E235" s="11">
        <f>SUM(Data!I236,Data!K236,Data!M236,Data!O236,Data!Q236,Data!S236,Data!U236,Data!W236,Data!Y236,Data!AA236,Data!AC236,Data!AE236,Data!AG236,Data!AI236,Data!AK236,Data!AM236,Data!AO236,Data!AQ236,Data!AS236)</f>
        <v>0</v>
      </c>
      <c r="F235" s="11">
        <f>SUM(Data!DI236,Data!DK236,Data!DM236,Data!DO236,Data!DQ236,Data!DS236,Data!DU236,Data!DW236,Data!DY236,Data!EA236,Data!EC236,Data!EE236,Data!EG236,Data!EI236,Data!EK236,Data!EM236,Data!EO236,Data!EQ236,Data!ES236)</f>
        <v>0</v>
      </c>
      <c r="G235" s="11">
        <f>F235-E235</f>
        <v>0</v>
      </c>
      <c r="H235">
        <f>IF(E235=0,IF(F235&gt;0,"New",0),(F235-E235)/E235)</f>
        <v>0</v>
      </c>
      <c r="I235" s="12">
        <f>SUM(Data!J236,Data!L236,Data!N236,Data!P236,Data!R236,Data!T236,Data!V236,Data!X236,Data!Z236,Data!AB236,Data!AD236,Data!AF236,Data!AH236,Data!AJ236,Data!AL236,Data!AN236,Data!AP236,Data!AR236,Data!AT236)</f>
        <v>0</v>
      </c>
      <c r="J235" s="12">
        <f>SUM(Data!DJ236,Data!DL236,Data!DN236,Data!DP236,Data!DR236,Data!DT236,Data!DV236,Data!DX236,Data!DZ236,Data!EB236,Data!ED236,Data!EF236,Data!EH236,Data!EJ236,Data!EL236,Data!EN236,Data!EP236,Data!ER236,Data!ET236)</f>
        <v>0</v>
      </c>
      <c r="K235" s="12">
        <f>J235-I235</f>
        <v>0</v>
      </c>
      <c r="L235">
        <f>IF(I235=0,IF(J235&gt;0,"New",0),(J235-I235)/I235)</f>
        <v>0</v>
      </c>
      <c r="M235" t="str">
        <f>IF(F235=0,"No 2026 Sales",IF(E235=0,"New Product",IF(AND(ISNUMBER(H235),H235&gt;0.1),"↑ Strong Growth",IF(AND(ISNUMBER(H235),H235&gt;0),"↗ Growth",IF(AND(ISNUMBER(H235),H235&lt;-0.1),"↓ Strong Decline",IF(AND(ISNUMBER(H235),H235&lt;0),"↘ Decline","→ Stable"))))))</f>
        <v>No 2026 Sales</v>
      </c>
    </row>
    <row r="236" spans="1:13" hidden="1" x14ac:dyDescent="0.35">
      <c r="A236">
        <f>Data!A237</f>
        <v>207</v>
      </c>
      <c r="B236" t="str">
        <f>Data!B237</f>
        <v>PORK</v>
      </c>
      <c r="C236" s="9">
        <f>Data!C237</f>
        <v>41260</v>
      </c>
      <c r="D236" s="10" t="s">
        <v>1017</v>
      </c>
      <c r="E236" s="11">
        <f>SUM(Data!I237,Data!K237,Data!M237,Data!O237,Data!Q237,Data!S237,Data!U237,Data!W237,Data!Y237,Data!AA237,Data!AC237,Data!AE237,Data!AG237,Data!AI237,Data!AK237,Data!AM237,Data!AO237,Data!AQ237,Data!AS237)</f>
        <v>0</v>
      </c>
      <c r="F236" s="11">
        <f>SUM(Data!DI237,Data!DK237,Data!DM237,Data!DO237,Data!DQ237,Data!DS237,Data!DU237,Data!DW237,Data!DY237,Data!EA237,Data!EC237,Data!EE237,Data!EG237,Data!EI237,Data!EK237,Data!EM237,Data!EO237,Data!EQ237,Data!ES237)</f>
        <v>0</v>
      </c>
      <c r="G236" s="11">
        <f>F236-E236</f>
        <v>0</v>
      </c>
      <c r="H236">
        <f>IF(E236=0,IF(F236&gt;0,"New",0),(F236-E236)/E236)</f>
        <v>0</v>
      </c>
      <c r="I236" s="12">
        <f>SUM(Data!J237,Data!L237,Data!N237,Data!P237,Data!R237,Data!T237,Data!V237,Data!X237,Data!Z237,Data!AB237,Data!AD237,Data!AF237,Data!AH237,Data!AJ237,Data!AL237,Data!AN237,Data!AP237,Data!AR237,Data!AT237)</f>
        <v>0</v>
      </c>
      <c r="J236" s="12">
        <f>SUM(Data!DJ237,Data!DL237,Data!DN237,Data!DP237,Data!DR237,Data!DT237,Data!DV237,Data!DX237,Data!DZ237,Data!EB237,Data!ED237,Data!EF237,Data!EH237,Data!EJ237,Data!EL237,Data!EN237,Data!EP237,Data!ER237,Data!ET237)</f>
        <v>0</v>
      </c>
      <c r="K236" s="12">
        <f>J236-I236</f>
        <v>0</v>
      </c>
      <c r="L236">
        <f>IF(I236=0,IF(J236&gt;0,"New",0),(J236-I236)/I236)</f>
        <v>0</v>
      </c>
      <c r="M236" t="str">
        <f>IF(F236=0,"No 2026 Sales",IF(E236=0,"New Product",IF(AND(ISNUMBER(H236),H236&gt;0.1),"↑ Strong Growth",IF(AND(ISNUMBER(H236),H236&gt;0),"↗ Growth",IF(AND(ISNUMBER(H236),H236&lt;-0.1),"↓ Strong Decline",IF(AND(ISNUMBER(H236),H236&lt;0),"↘ Decline","→ Stable"))))))</f>
        <v>No 2026 Sales</v>
      </c>
    </row>
    <row r="237" spans="1:13" hidden="1" x14ac:dyDescent="0.35">
      <c r="A237">
        <f>Data!A238</f>
        <v>207</v>
      </c>
      <c r="B237" t="str">
        <f>Data!B238</f>
        <v>PORK</v>
      </c>
      <c r="C237" s="9">
        <f>Data!C238</f>
        <v>46391</v>
      </c>
      <c r="D237" s="10" t="s">
        <v>1018</v>
      </c>
      <c r="E237" s="11">
        <f>SUM(Data!I238,Data!K238,Data!M238,Data!O238,Data!Q238,Data!S238,Data!U238,Data!W238,Data!Y238,Data!AA238,Data!AC238,Data!AE238,Data!AG238,Data!AI238,Data!AK238,Data!AM238,Data!AO238,Data!AQ238,Data!AS238)</f>
        <v>842.89565217391305</v>
      </c>
      <c r="F237" s="11">
        <f>SUM(Data!DI238,Data!DK238,Data!DM238,Data!DO238,Data!DQ238,Data!DS238,Data!DU238,Data!DW238,Data!DY238,Data!EA238,Data!EC238,Data!EE238,Data!EG238,Data!EI238,Data!EK238,Data!EM238,Data!EO238,Data!EQ238,Data!ES238)</f>
        <v>0</v>
      </c>
      <c r="G237" s="11">
        <f>F237-E237</f>
        <v>-842.89565217391305</v>
      </c>
      <c r="H237">
        <f>IF(E237=0,IF(F237&gt;0,"New",0),(F237-E237)/E237)</f>
        <v>-1</v>
      </c>
      <c r="I237" s="12">
        <f>SUM(Data!J238,Data!L238,Data!N238,Data!P238,Data!R238,Data!T238,Data!V238,Data!X238,Data!Z238,Data!AB238,Data!AD238,Data!AF238,Data!AH238,Data!AJ238,Data!AL238,Data!AN238,Data!AP238,Data!AR238,Data!AT238)</f>
        <v>16.158000000000001</v>
      </c>
      <c r="J237" s="12">
        <f>SUM(Data!DJ238,Data!DL238,Data!DN238,Data!DP238,Data!DR238,Data!DT238,Data!DV238,Data!DX238,Data!DZ238,Data!EB238,Data!ED238,Data!EF238,Data!EH238,Data!EJ238,Data!EL238,Data!EN238,Data!EP238,Data!ER238,Data!ET238)</f>
        <v>0</v>
      </c>
      <c r="K237" s="12">
        <f>J237-I237</f>
        <v>-16.158000000000001</v>
      </c>
      <c r="L237">
        <f>IF(I237=0,IF(J237&gt;0,"New",0),(J237-I237)/I237)</f>
        <v>-1</v>
      </c>
      <c r="M237" t="str">
        <f>IF(F237=0,"No 2026 Sales",IF(E237=0,"New Product",IF(AND(ISNUMBER(H237),H237&gt;0.1),"↑ Strong Growth",IF(AND(ISNUMBER(H237),H237&gt;0),"↗ Growth",IF(AND(ISNUMBER(H237),H237&lt;-0.1),"↓ Strong Decline",IF(AND(ISNUMBER(H237),H237&lt;0),"↘ Decline","→ Stable"))))))</f>
        <v>No 2026 Sales</v>
      </c>
    </row>
    <row r="238" spans="1:13" hidden="1" x14ac:dyDescent="0.35">
      <c r="A238">
        <f>Data!A239</f>
        <v>207</v>
      </c>
      <c r="B238" t="str">
        <f>Data!B239</f>
        <v>PORK</v>
      </c>
      <c r="C238" s="9">
        <f>Data!C239</f>
        <v>48338</v>
      </c>
      <c r="D238" s="10" t="s">
        <v>1019</v>
      </c>
      <c r="E238" s="11">
        <f>SUM(Data!I239,Data!K239,Data!M239,Data!O239,Data!Q239,Data!S239,Data!U239,Data!W239,Data!Y239,Data!AA239,Data!AC239,Data!AE239,Data!AG239,Data!AI239,Data!AK239,Data!AM239,Data!AO239,Data!AQ239,Data!AS239)</f>
        <v>0</v>
      </c>
      <c r="F238" s="11">
        <f>SUM(Data!DI239,Data!DK239,Data!DM239,Data!DO239,Data!DQ239,Data!DS239,Data!DU239,Data!DW239,Data!DY239,Data!EA239,Data!EC239,Data!EE239,Data!EG239,Data!EI239,Data!EK239,Data!EM239,Data!EO239,Data!EQ239,Data!ES239)</f>
        <v>0</v>
      </c>
      <c r="G238" s="11">
        <f>F238-E238</f>
        <v>0</v>
      </c>
      <c r="H238">
        <f>IF(E238=0,IF(F238&gt;0,"New",0),(F238-E238)/E238)</f>
        <v>0</v>
      </c>
      <c r="I238" s="12">
        <f>SUM(Data!J239,Data!L239,Data!N239,Data!P239,Data!R239,Data!T239,Data!V239,Data!X239,Data!Z239,Data!AB239,Data!AD239,Data!AF239,Data!AH239,Data!AJ239,Data!AL239,Data!AN239,Data!AP239,Data!AR239,Data!AT239)</f>
        <v>0</v>
      </c>
      <c r="J238" s="12">
        <f>SUM(Data!DJ239,Data!DL239,Data!DN239,Data!DP239,Data!DR239,Data!DT239,Data!DV239,Data!DX239,Data!DZ239,Data!EB239,Data!ED239,Data!EF239,Data!EH239,Data!EJ239,Data!EL239,Data!EN239,Data!EP239,Data!ER239,Data!ET239)</f>
        <v>0</v>
      </c>
      <c r="K238" s="12">
        <f>J238-I238</f>
        <v>0</v>
      </c>
      <c r="L238">
        <f>IF(I238=0,IF(J238&gt;0,"New",0),(J238-I238)/I238)</f>
        <v>0</v>
      </c>
      <c r="M238" t="str">
        <f>IF(F238=0,"No 2026 Sales",IF(E238=0,"New Product",IF(AND(ISNUMBER(H238),H238&gt;0.1),"↑ Strong Growth",IF(AND(ISNUMBER(H238),H238&gt;0),"↗ Growth",IF(AND(ISNUMBER(H238),H238&lt;-0.1),"↓ Strong Decline",IF(AND(ISNUMBER(H238),H238&lt;0),"↘ Decline","→ Stable"))))))</f>
        <v>No 2026 Sales</v>
      </c>
    </row>
    <row r="239" spans="1:13" x14ac:dyDescent="0.35">
      <c r="A239">
        <f>Data!A240</f>
        <v>207</v>
      </c>
      <c r="B239" t="str">
        <f>Data!B240</f>
        <v>PORK</v>
      </c>
      <c r="C239" s="9">
        <f>Data!C240</f>
        <v>48771</v>
      </c>
      <c r="D239" s="10" t="s">
        <v>1020</v>
      </c>
      <c r="E239" s="11">
        <f>SUM(Data!I240,Data!K240,Data!M240,Data!O240,Data!Q240,Data!S240,Data!U240,Data!W240,Data!Y240,Data!AA240,Data!AC240,Data!AE240,Data!AG240,Data!AI240,Data!AK240,Data!AM240,Data!AO240,Data!AQ240,Data!AS240)</f>
        <v>3490.4956521739123</v>
      </c>
      <c r="F239" s="11">
        <f>SUM(Data!DI240,Data!DK240,Data!DM240,Data!DO240,Data!DQ240,Data!DS240,Data!DU240,Data!DW240,Data!DY240,Data!EA240,Data!EC240,Data!EE240,Data!EG240,Data!EI240,Data!EK240,Data!EM240,Data!EO240,Data!EQ240,Data!ES240)</f>
        <v>3690.0695652173918</v>
      </c>
      <c r="G239" s="11">
        <f>F239-E239</f>
        <v>199.57391304347948</v>
      </c>
      <c r="H239" s="13">
        <f>IF(E239=0,IF(F239&gt;0,"New",0),(F239-E239)/E239)</f>
        <v>5.7176382076047867E-2</v>
      </c>
      <c r="I239" s="12">
        <f>SUM(Data!J240,Data!L240,Data!N240,Data!P240,Data!R240,Data!T240,Data!V240,Data!X240,Data!Z240,Data!AB240,Data!AD240,Data!AF240,Data!AH240,Data!AJ240,Data!AL240,Data!AN240,Data!AP240,Data!AR240,Data!AT240)</f>
        <v>37.777000000000008</v>
      </c>
      <c r="J239" s="12">
        <f>SUM(Data!DJ240,Data!DL240,Data!DN240,Data!DP240,Data!DR240,Data!DT240,Data!DV240,Data!DX240,Data!DZ240,Data!EB240,Data!ED240,Data!EF240,Data!EH240,Data!EJ240,Data!EL240,Data!EN240,Data!EP240,Data!ER240,Data!ET240)</f>
        <v>34.938000000000002</v>
      </c>
      <c r="K239" s="12">
        <f>J239-I239</f>
        <v>-2.8390000000000057</v>
      </c>
      <c r="L239" s="13">
        <f>IF(I239=0,IF(J239&gt;0,"New",0),(J239-I239)/I239)</f>
        <v>-7.5151547237737384E-2</v>
      </c>
      <c r="M239" t="str">
        <f>IF(F239=0,"No 2026 Sales",IF(E239=0,"New Product",IF(AND(ISNUMBER(H239),H239&gt;0.1),"↑ Strong Growth",IF(AND(ISNUMBER(H239),H239&gt;0),"↗ Growth",IF(AND(ISNUMBER(H239),H239&lt;-0.1),"↓ Strong Decline",IF(AND(ISNUMBER(H239),H239&lt;0),"↘ Decline","→ Stable"))))))</f>
        <v>↗ Growth</v>
      </c>
    </row>
    <row r="240" spans="1:13" hidden="1" x14ac:dyDescent="0.35">
      <c r="A240">
        <f>Data!A241</f>
        <v>207</v>
      </c>
      <c r="B240" t="str">
        <f>Data!B241</f>
        <v>PORK</v>
      </c>
      <c r="C240" s="9">
        <f>Data!C241</f>
        <v>48944</v>
      </c>
      <c r="D240" s="10" t="s">
        <v>1021</v>
      </c>
      <c r="E240" s="11">
        <f>SUM(Data!I241,Data!K241,Data!M241,Data!O241,Data!Q241,Data!S241,Data!U241,Data!W241,Data!Y241,Data!AA241,Data!AC241,Data!AE241,Data!AG241,Data!AI241,Data!AK241,Data!AM241,Data!AO241,Data!AQ241,Data!AS241)</f>
        <v>0</v>
      </c>
      <c r="F240" s="11">
        <f>SUM(Data!DI241,Data!DK241,Data!DM241,Data!DO241,Data!DQ241,Data!DS241,Data!DU241,Data!DW241,Data!DY241,Data!EA241,Data!EC241,Data!EE241,Data!EG241,Data!EI241,Data!EK241,Data!EM241,Data!EO241,Data!EQ241,Data!ES241)</f>
        <v>0</v>
      </c>
      <c r="G240" s="11">
        <f>F240-E240</f>
        <v>0</v>
      </c>
      <c r="H240">
        <f>IF(E240=0,IF(F240&gt;0,"New",0),(F240-E240)/E240)</f>
        <v>0</v>
      </c>
      <c r="I240" s="12">
        <f>SUM(Data!J241,Data!L241,Data!N241,Data!P241,Data!R241,Data!T241,Data!V241,Data!X241,Data!Z241,Data!AB241,Data!AD241,Data!AF241,Data!AH241,Data!AJ241,Data!AL241,Data!AN241,Data!AP241,Data!AR241,Data!AT241)</f>
        <v>0</v>
      </c>
      <c r="J240" s="12">
        <f>SUM(Data!DJ241,Data!DL241,Data!DN241,Data!DP241,Data!DR241,Data!DT241,Data!DV241,Data!DX241,Data!DZ241,Data!EB241,Data!ED241,Data!EF241,Data!EH241,Data!EJ241,Data!EL241,Data!EN241,Data!EP241,Data!ER241,Data!ET241)</f>
        <v>0</v>
      </c>
      <c r="K240" s="12">
        <f>J240-I240</f>
        <v>0</v>
      </c>
      <c r="L240">
        <f>IF(I240=0,IF(J240&gt;0,"New",0),(J240-I240)/I240)</f>
        <v>0</v>
      </c>
      <c r="M240" t="str">
        <f>IF(F240=0,"No 2026 Sales",IF(E240=0,"New Product",IF(AND(ISNUMBER(H240),H240&gt;0.1),"↑ Strong Growth",IF(AND(ISNUMBER(H240),H240&gt;0),"↗ Growth",IF(AND(ISNUMBER(H240),H240&lt;-0.1),"↓ Strong Decline",IF(AND(ISNUMBER(H240),H240&lt;0),"↘ Decline","→ Stable"))))))</f>
        <v>No 2026 Sales</v>
      </c>
    </row>
    <row r="241" spans="1:13" hidden="1" x14ac:dyDescent="0.35">
      <c r="A241">
        <f>Data!A242</f>
        <v>207</v>
      </c>
      <c r="B241" t="str">
        <f>Data!B242</f>
        <v>PORK</v>
      </c>
      <c r="C241" s="9">
        <f>Data!C242</f>
        <v>51066</v>
      </c>
      <c r="D241" s="10" t="s">
        <v>1022</v>
      </c>
      <c r="E241" s="11">
        <f>SUM(Data!I242,Data!K242,Data!M242,Data!O242,Data!Q242,Data!S242,Data!U242,Data!W242,Data!Y242,Data!AA242,Data!AC242,Data!AE242,Data!AG242,Data!AI242,Data!AK242,Data!AM242,Data!AO242,Data!AQ242,Data!AS242)</f>
        <v>0</v>
      </c>
      <c r="F241" s="11">
        <f>SUM(Data!DI242,Data!DK242,Data!DM242,Data!DO242,Data!DQ242,Data!DS242,Data!DU242,Data!DW242,Data!DY242,Data!EA242,Data!EC242,Data!EE242,Data!EG242,Data!EI242,Data!EK242,Data!EM242,Data!EO242,Data!EQ242,Data!ES242)</f>
        <v>0</v>
      </c>
      <c r="G241" s="11">
        <f>F241-E241</f>
        <v>0</v>
      </c>
      <c r="H241">
        <f>IF(E241=0,IF(F241&gt;0,"New",0),(F241-E241)/E241)</f>
        <v>0</v>
      </c>
      <c r="I241" s="12">
        <f>SUM(Data!J242,Data!L242,Data!N242,Data!P242,Data!R242,Data!T242,Data!V242,Data!X242,Data!Z242,Data!AB242,Data!AD242,Data!AF242,Data!AH242,Data!AJ242,Data!AL242,Data!AN242,Data!AP242,Data!AR242,Data!AT242)</f>
        <v>0</v>
      </c>
      <c r="J241" s="12">
        <f>SUM(Data!DJ242,Data!DL242,Data!DN242,Data!DP242,Data!DR242,Data!DT242,Data!DV242,Data!DX242,Data!DZ242,Data!EB242,Data!ED242,Data!EF242,Data!EH242,Data!EJ242,Data!EL242,Data!EN242,Data!EP242,Data!ER242,Data!ET242)</f>
        <v>0</v>
      </c>
      <c r="K241" s="12">
        <f>J241-I241</f>
        <v>0</v>
      </c>
      <c r="L241">
        <f>IF(I241=0,IF(J241&gt;0,"New",0),(J241-I241)/I241)</f>
        <v>0</v>
      </c>
      <c r="M241" t="str">
        <f>IF(F241=0,"No 2026 Sales",IF(E241=0,"New Product",IF(AND(ISNUMBER(H241),H241&gt;0.1),"↑ Strong Growth",IF(AND(ISNUMBER(H241),H241&gt;0),"↗ Growth",IF(AND(ISNUMBER(H241),H241&lt;-0.1),"↓ Strong Decline",IF(AND(ISNUMBER(H241),H241&lt;0),"↘ Decline","→ Stable"))))))</f>
        <v>No 2026 Sales</v>
      </c>
    </row>
    <row r="242" spans="1:13" hidden="1" x14ac:dyDescent="0.35">
      <c r="A242">
        <f>Data!A243</f>
        <v>207</v>
      </c>
      <c r="B242" t="str">
        <f>Data!B243</f>
        <v>PORK</v>
      </c>
      <c r="C242" s="9">
        <f>Data!C243</f>
        <v>51067</v>
      </c>
      <c r="D242" s="10" t="s">
        <v>1023</v>
      </c>
      <c r="E242" s="11">
        <f>SUM(Data!I243,Data!K243,Data!M243,Data!O243,Data!Q243,Data!S243,Data!U243,Data!W243,Data!Y243,Data!AA243,Data!AC243,Data!AE243,Data!AG243,Data!AI243,Data!AK243,Data!AM243,Data!AO243,Data!AQ243,Data!AS243)</f>
        <v>0</v>
      </c>
      <c r="F242" s="11">
        <f>SUM(Data!DI243,Data!DK243,Data!DM243,Data!DO243,Data!DQ243,Data!DS243,Data!DU243,Data!DW243,Data!DY243,Data!EA243,Data!EC243,Data!EE243,Data!EG243,Data!EI243,Data!EK243,Data!EM243,Data!EO243,Data!EQ243,Data!ES243)</f>
        <v>0</v>
      </c>
      <c r="G242" s="11">
        <f>F242-E242</f>
        <v>0</v>
      </c>
      <c r="H242">
        <f>IF(E242=0,IF(F242&gt;0,"New",0),(F242-E242)/E242)</f>
        <v>0</v>
      </c>
      <c r="I242" s="12">
        <f>SUM(Data!J243,Data!L243,Data!N243,Data!P243,Data!R243,Data!T243,Data!V243,Data!X243,Data!Z243,Data!AB243,Data!AD243,Data!AF243,Data!AH243,Data!AJ243,Data!AL243,Data!AN243,Data!AP243,Data!AR243,Data!AT243)</f>
        <v>0</v>
      </c>
      <c r="J242" s="12">
        <f>SUM(Data!DJ243,Data!DL243,Data!DN243,Data!DP243,Data!DR243,Data!DT243,Data!DV243,Data!DX243,Data!DZ243,Data!EB243,Data!ED243,Data!EF243,Data!EH243,Data!EJ243,Data!EL243,Data!EN243,Data!EP243,Data!ER243,Data!ET243)</f>
        <v>0</v>
      </c>
      <c r="K242" s="12">
        <f>J242-I242</f>
        <v>0</v>
      </c>
      <c r="L242">
        <f>IF(I242=0,IF(J242&gt;0,"New",0),(J242-I242)/I242)</f>
        <v>0</v>
      </c>
      <c r="M242" t="str">
        <f>IF(F242=0,"No 2026 Sales",IF(E242=0,"New Product",IF(AND(ISNUMBER(H242),H242&gt;0.1),"↑ Strong Growth",IF(AND(ISNUMBER(H242),H242&gt;0),"↗ Growth",IF(AND(ISNUMBER(H242),H242&lt;-0.1),"↓ Strong Decline",IF(AND(ISNUMBER(H242),H242&lt;0),"↘ Decline","→ Stable"))))))</f>
        <v>No 2026 Sales</v>
      </c>
    </row>
    <row r="243" spans="1:13" hidden="1" x14ac:dyDescent="0.35">
      <c r="A243">
        <f>Data!A244</f>
        <v>207</v>
      </c>
      <c r="B243" t="str">
        <f>Data!B244</f>
        <v>PORK</v>
      </c>
      <c r="C243" s="9">
        <f>Data!C244</f>
        <v>54107</v>
      </c>
      <c r="D243" s="10" t="s">
        <v>1024</v>
      </c>
      <c r="E243" s="11">
        <f>SUM(Data!I244,Data!K244,Data!M244,Data!O244,Data!Q244,Data!S244,Data!U244,Data!W244,Data!Y244,Data!AA244,Data!AC244,Data!AE244,Data!AG244,Data!AI244,Data!AK244,Data!AM244,Data!AO244,Data!AQ244,Data!AS244)</f>
        <v>4194.626086956524</v>
      </c>
      <c r="F243" s="11">
        <f>SUM(Data!DI244,Data!DK244,Data!DM244,Data!DO244,Data!DQ244,Data!DS244,Data!DU244,Data!DW244,Data!DY244,Data!EA244,Data!EC244,Data!EE244,Data!EG244,Data!EI244,Data!EK244,Data!EM244,Data!EO244,Data!EQ244,Data!ES244)</f>
        <v>0</v>
      </c>
      <c r="G243" s="11">
        <f>F243-E243</f>
        <v>-4194.626086956524</v>
      </c>
      <c r="H243">
        <f>IF(E243=0,IF(F243&gt;0,"New",0),(F243-E243)/E243)</f>
        <v>-1</v>
      </c>
      <c r="I243" s="12">
        <f>SUM(Data!J244,Data!L244,Data!N244,Data!P244,Data!R244,Data!T244,Data!V244,Data!X244,Data!Z244,Data!AB244,Data!AD244,Data!AF244,Data!AH244,Data!AJ244,Data!AL244,Data!AN244,Data!AP244,Data!AR244,Data!AT244)</f>
        <v>31.411999999999999</v>
      </c>
      <c r="J243" s="12">
        <f>SUM(Data!DJ244,Data!DL244,Data!DN244,Data!DP244,Data!DR244,Data!DT244,Data!DV244,Data!DX244,Data!DZ244,Data!EB244,Data!ED244,Data!EF244,Data!EH244,Data!EJ244,Data!EL244,Data!EN244,Data!EP244,Data!ER244,Data!ET244)</f>
        <v>0</v>
      </c>
      <c r="K243" s="12">
        <f>J243-I243</f>
        <v>-31.411999999999999</v>
      </c>
      <c r="L243">
        <f>IF(I243=0,IF(J243&gt;0,"New",0),(J243-I243)/I243)</f>
        <v>-1</v>
      </c>
      <c r="M243" t="str">
        <f>IF(F243=0,"No 2026 Sales",IF(E243=0,"New Product",IF(AND(ISNUMBER(H243),H243&gt;0.1),"↑ Strong Growth",IF(AND(ISNUMBER(H243),H243&gt;0),"↗ Growth",IF(AND(ISNUMBER(H243),H243&lt;-0.1),"↓ Strong Decline",IF(AND(ISNUMBER(H243),H243&lt;0),"↘ Decline","→ Stable"))))))</f>
        <v>No 2026 Sales</v>
      </c>
    </row>
    <row r="244" spans="1:13" x14ac:dyDescent="0.35">
      <c r="A244">
        <f>Data!A245</f>
        <v>207</v>
      </c>
      <c r="B244" t="str">
        <f>Data!B245</f>
        <v>PORK</v>
      </c>
      <c r="C244" s="9">
        <f>Data!C245</f>
        <v>54562</v>
      </c>
      <c r="D244" s="10" t="s">
        <v>1025</v>
      </c>
      <c r="E244" s="11">
        <f>SUM(Data!I245,Data!K245,Data!M245,Data!O245,Data!Q245,Data!S245,Data!U245,Data!W245,Data!Y245,Data!AA245,Data!AC245,Data!AE245,Data!AG245,Data!AI245,Data!AK245,Data!AM245,Data!AO245,Data!AQ245,Data!AS245)</f>
        <v>43447.843478260897</v>
      </c>
      <c r="F244" s="11">
        <f>SUM(Data!DI245,Data!DK245,Data!DM245,Data!DO245,Data!DQ245,Data!DS245,Data!DU245,Data!DW245,Data!DY245,Data!EA245,Data!EC245,Data!EE245,Data!EG245,Data!EI245,Data!EK245,Data!EM245,Data!EO245,Data!EQ245,Data!ES245)</f>
        <v>36247.252173913053</v>
      </c>
      <c r="G244" s="11">
        <f>F244-E244</f>
        <v>-7200.5913043478431</v>
      </c>
      <c r="H244" s="13">
        <f>IF(E244=0,IF(F244&gt;0,"New",0),(F244-E244)/E244)</f>
        <v>-0.16572954438925502</v>
      </c>
      <c r="I244" s="12">
        <f>SUM(Data!J245,Data!L245,Data!N245,Data!P245,Data!R245,Data!T245,Data!V245,Data!X245,Data!Z245,Data!AB245,Data!AD245,Data!AF245,Data!AH245,Data!AJ245,Data!AL245,Data!AN245,Data!AP245,Data!AR245,Data!AT245)</f>
        <v>398</v>
      </c>
      <c r="J244" s="12">
        <f>SUM(Data!DJ245,Data!DL245,Data!DN245,Data!DP245,Data!DR245,Data!DT245,Data!DV245,Data!DX245,Data!DZ245,Data!EB245,Data!ED245,Data!EF245,Data!EH245,Data!EJ245,Data!EL245,Data!EN245,Data!EP245,Data!ER245,Data!ET245)</f>
        <v>283</v>
      </c>
      <c r="K244" s="12">
        <f>J244-I244</f>
        <v>-115</v>
      </c>
      <c r="L244" s="13">
        <f>IF(I244=0,IF(J244&gt;0,"New",0),(J244-I244)/I244)</f>
        <v>-0.28894472361809043</v>
      </c>
      <c r="M244" t="str">
        <f>IF(F244=0,"No 2026 Sales",IF(E244=0,"New Product",IF(AND(ISNUMBER(H244),H244&gt;0.1),"↑ Strong Growth",IF(AND(ISNUMBER(H244),H244&gt;0),"↗ Growth",IF(AND(ISNUMBER(H244),H244&lt;-0.1),"↓ Strong Decline",IF(AND(ISNUMBER(H244),H244&lt;0),"↘ Decline","→ Stable"))))))</f>
        <v>↓ Strong Decline</v>
      </c>
    </row>
    <row r="245" spans="1:13" x14ac:dyDescent="0.35">
      <c r="A245">
        <f>Data!A246</f>
        <v>207</v>
      </c>
      <c r="B245" t="str">
        <f>Data!B246</f>
        <v>PORK</v>
      </c>
      <c r="C245" s="9">
        <f>Data!C246</f>
        <v>54629</v>
      </c>
      <c r="D245" s="10" t="s">
        <v>1026</v>
      </c>
      <c r="E245" s="11">
        <f>SUM(Data!I246,Data!K246,Data!M246,Data!O246,Data!Q246,Data!S246,Data!U246,Data!W246,Data!Y246,Data!AA246,Data!AC246,Data!AE246,Data!AG246,Data!AI246,Data!AK246,Data!AM246,Data!AO246,Data!AQ246,Data!AS246)</f>
        <v>26819.58260869564</v>
      </c>
      <c r="F245" s="11">
        <f>SUM(Data!DI246,Data!DK246,Data!DM246,Data!DO246,Data!DQ246,Data!DS246,Data!DU246,Data!DW246,Data!DY246,Data!EA246,Data!EC246,Data!EE246,Data!EG246,Data!EI246,Data!EK246,Data!EM246,Data!EO246,Data!EQ246,Data!ES246)</f>
        <v>25741.826086956506</v>
      </c>
      <c r="G245" s="11">
        <f>F245-E245</f>
        <v>-1077.7565217391348</v>
      </c>
      <c r="H245" s="13">
        <f>IF(E245=0,IF(F245&gt;0,"New",0),(F245-E245)/E245)</f>
        <v>-4.0185432318760123E-2</v>
      </c>
      <c r="I245" s="12">
        <f>SUM(Data!J246,Data!L246,Data!N246,Data!P246,Data!R246,Data!T246,Data!V246,Data!X246,Data!Z246,Data!AB246,Data!AD246,Data!AF246,Data!AH246,Data!AJ246,Data!AL246,Data!AN246,Data!AP246,Data!AR246,Data!AT246)</f>
        <v>248</v>
      </c>
      <c r="J245" s="12">
        <f>SUM(Data!DJ246,Data!DL246,Data!DN246,Data!DP246,Data!DR246,Data!DT246,Data!DV246,Data!DX246,Data!DZ246,Data!EB246,Data!ED246,Data!EF246,Data!EH246,Data!EJ246,Data!EL246,Data!EN246,Data!EP246,Data!ER246,Data!ET246)</f>
        <v>197</v>
      </c>
      <c r="K245" s="12">
        <f>J245-I245</f>
        <v>-51</v>
      </c>
      <c r="L245" s="13">
        <f>IF(I245=0,IF(J245&gt;0,"New",0),(J245-I245)/I245)</f>
        <v>-0.20564516129032259</v>
      </c>
      <c r="M245" t="str">
        <f>IF(F245=0,"No 2026 Sales",IF(E245=0,"New Product",IF(AND(ISNUMBER(H245),H245&gt;0.1),"↑ Strong Growth",IF(AND(ISNUMBER(H245),H245&gt;0),"↗ Growth",IF(AND(ISNUMBER(H245),H245&lt;-0.1),"↓ Strong Decline",IF(AND(ISNUMBER(H245),H245&lt;0),"↘ Decline","→ Stable"))))))</f>
        <v>↘ Decline</v>
      </c>
    </row>
    <row r="246" spans="1:13" x14ac:dyDescent="0.35">
      <c r="A246">
        <f>Data!A247</f>
        <v>207</v>
      </c>
      <c r="B246" t="str">
        <f>Data!B247</f>
        <v>PORK</v>
      </c>
      <c r="C246" s="9">
        <f>Data!C247</f>
        <v>54630</v>
      </c>
      <c r="D246" s="10" t="s">
        <v>1027</v>
      </c>
      <c r="E246" s="11">
        <f>SUM(Data!I247,Data!K247,Data!M247,Data!O247,Data!Q247,Data!S247,Data!U247,Data!W247,Data!Y247,Data!AA247,Data!AC247,Data!AE247,Data!AG247,Data!AI247,Data!AK247,Data!AM247,Data!AO247,Data!AQ247,Data!AS247)</f>
        <v>0</v>
      </c>
      <c r="F246" s="11">
        <f>SUM(Data!DI247,Data!DK247,Data!DM247,Data!DO247,Data!DQ247,Data!DS247,Data!DU247,Data!DW247,Data!DY247,Data!EA247,Data!EC247,Data!EE247,Data!EG247,Data!EI247,Data!EK247,Data!EM247,Data!EO247,Data!EQ247,Data!ES247)</f>
        <v>1956.4086956521737</v>
      </c>
      <c r="G246" s="11">
        <f>F246-E246</f>
        <v>1956.4086956521737</v>
      </c>
      <c r="H246" s="13" t="str">
        <f>IF(E246=0,IF(F246&gt;0,"New",0),(F246-E246)/E246)</f>
        <v>New</v>
      </c>
      <c r="I246" s="12">
        <f>SUM(Data!J247,Data!L247,Data!N247,Data!P247,Data!R247,Data!T247,Data!V247,Data!X247,Data!Z247,Data!AB247,Data!AD247,Data!AF247,Data!AH247,Data!AJ247,Data!AL247,Data!AN247,Data!AP247,Data!AR247,Data!AT247)</f>
        <v>0</v>
      </c>
      <c r="J246" s="12">
        <f>SUM(Data!DJ247,Data!DL247,Data!DN247,Data!DP247,Data!DR247,Data!DT247,Data!DV247,Data!DX247,Data!DZ247,Data!EB247,Data!ED247,Data!EF247,Data!EH247,Data!EJ247,Data!EL247,Data!EN247,Data!EP247,Data!ER247,Data!ET247)</f>
        <v>13</v>
      </c>
      <c r="K246" s="12">
        <f>J246-I246</f>
        <v>13</v>
      </c>
      <c r="L246" s="13" t="str">
        <f>IF(I246=0,IF(J246&gt;0,"New",0),(J246-I246)/I246)</f>
        <v>New</v>
      </c>
      <c r="M246" t="str">
        <f>IF(F246=0,"No 2026 Sales",IF(E246=0,"New Product",IF(AND(ISNUMBER(H246),H246&gt;0.1),"↑ Strong Growth",IF(AND(ISNUMBER(H246),H246&gt;0),"↗ Growth",IF(AND(ISNUMBER(H246),H246&lt;-0.1),"↓ Strong Decline",IF(AND(ISNUMBER(H246),H246&lt;0),"↘ Decline","→ Stable"))))))</f>
        <v>New Product</v>
      </c>
    </row>
    <row r="247" spans="1:13" x14ac:dyDescent="0.35">
      <c r="A247">
        <f>Data!A248</f>
        <v>207</v>
      </c>
      <c r="B247" t="str">
        <f>Data!B248</f>
        <v>PORK</v>
      </c>
      <c r="C247" s="9">
        <f>Data!C248</f>
        <v>54631</v>
      </c>
      <c r="D247" s="10" t="s">
        <v>1028</v>
      </c>
      <c r="E247" s="11">
        <f>SUM(Data!I248,Data!K248,Data!M248,Data!O248,Data!Q248,Data!S248,Data!U248,Data!W248,Data!Y248,Data!AA248,Data!AC248,Data!AE248,Data!AG248,Data!AI248,Data!AK248,Data!AM248,Data!AO248,Data!AQ248,Data!AS248)</f>
        <v>0</v>
      </c>
      <c r="F247" s="11">
        <f>SUM(Data!DI248,Data!DK248,Data!DM248,Data!DO248,Data!DQ248,Data!DS248,Data!DU248,Data!DW248,Data!DY248,Data!EA248,Data!EC248,Data!EE248,Data!EG248,Data!EI248,Data!EK248,Data!EM248,Data!EO248,Data!EQ248,Data!ES248)</f>
        <v>3331.1043478260913</v>
      </c>
      <c r="G247" s="11">
        <f>F247-E247</f>
        <v>3331.1043478260913</v>
      </c>
      <c r="H247" s="13" t="str">
        <f>IF(E247=0,IF(F247&gt;0,"New",0),(F247-E247)/E247)</f>
        <v>New</v>
      </c>
      <c r="I247" s="12">
        <f>SUM(Data!J248,Data!L248,Data!N248,Data!P248,Data!R248,Data!T248,Data!V248,Data!X248,Data!Z248,Data!AB248,Data!AD248,Data!AF248,Data!AH248,Data!AJ248,Data!AL248,Data!AN248,Data!AP248,Data!AR248,Data!AT248)</f>
        <v>0</v>
      </c>
      <c r="J247" s="12">
        <f>SUM(Data!DJ248,Data!DL248,Data!DN248,Data!DP248,Data!DR248,Data!DT248,Data!DV248,Data!DX248,Data!DZ248,Data!EB248,Data!ED248,Data!EF248,Data!EH248,Data!EJ248,Data!EL248,Data!EN248,Data!EP248,Data!ER248,Data!ET248)</f>
        <v>23</v>
      </c>
      <c r="K247" s="12">
        <f>J247-I247</f>
        <v>23</v>
      </c>
      <c r="L247" s="13" t="str">
        <f>IF(I247=0,IF(J247&gt;0,"New",0),(J247-I247)/I247)</f>
        <v>New</v>
      </c>
      <c r="M247" t="str">
        <f>IF(F247=0,"No 2026 Sales",IF(E247=0,"New Product",IF(AND(ISNUMBER(H247),H247&gt;0.1),"↑ Strong Growth",IF(AND(ISNUMBER(H247),H247&gt;0),"↗ Growth",IF(AND(ISNUMBER(H247),H247&lt;-0.1),"↓ Strong Decline",IF(AND(ISNUMBER(H247),H247&lt;0),"↘ Decline","→ Stable"))))))</f>
        <v>New Product</v>
      </c>
    </row>
    <row r="248" spans="1:13" hidden="1" x14ac:dyDescent="0.35">
      <c r="A248">
        <f>Data!A249</f>
        <v>207</v>
      </c>
      <c r="B248" t="str">
        <f>Data!B249</f>
        <v>PORK</v>
      </c>
      <c r="C248" s="9">
        <f>Data!C249</f>
        <v>55173</v>
      </c>
      <c r="D248" s="10" t="s">
        <v>1029</v>
      </c>
      <c r="E248" s="11">
        <f>SUM(Data!I249,Data!K249,Data!M249,Data!O249,Data!Q249,Data!S249,Data!U249,Data!W249,Data!Y249,Data!AA249,Data!AC249,Data!AE249,Data!AG249,Data!AI249,Data!AK249,Data!AM249,Data!AO249,Data!AQ249,Data!AS249)</f>
        <v>0</v>
      </c>
      <c r="F248" s="11">
        <f>SUM(Data!DI249,Data!DK249,Data!DM249,Data!DO249,Data!DQ249,Data!DS249,Data!DU249,Data!DW249,Data!DY249,Data!EA249,Data!EC249,Data!EE249,Data!EG249,Data!EI249,Data!EK249,Data!EM249,Data!EO249,Data!EQ249,Data!ES249)</f>
        <v>0</v>
      </c>
      <c r="G248" s="11">
        <f>F248-E248</f>
        <v>0</v>
      </c>
      <c r="H248">
        <f>IF(E248=0,IF(F248&gt;0,"New",0),(F248-E248)/E248)</f>
        <v>0</v>
      </c>
      <c r="I248" s="12">
        <f>SUM(Data!J249,Data!L249,Data!N249,Data!P249,Data!R249,Data!T249,Data!V249,Data!X249,Data!Z249,Data!AB249,Data!AD249,Data!AF249,Data!AH249,Data!AJ249,Data!AL249,Data!AN249,Data!AP249,Data!AR249,Data!AT249)</f>
        <v>0</v>
      </c>
      <c r="J248" s="12">
        <f>SUM(Data!DJ249,Data!DL249,Data!DN249,Data!DP249,Data!DR249,Data!DT249,Data!DV249,Data!DX249,Data!DZ249,Data!EB249,Data!ED249,Data!EF249,Data!EH249,Data!EJ249,Data!EL249,Data!EN249,Data!EP249,Data!ER249,Data!ET249)</f>
        <v>0</v>
      </c>
      <c r="K248" s="12">
        <f>J248-I248</f>
        <v>0</v>
      </c>
      <c r="L248">
        <f>IF(I248=0,IF(J248&gt;0,"New",0),(J248-I248)/I248)</f>
        <v>0</v>
      </c>
      <c r="M248" t="str">
        <f>IF(F248=0,"No 2026 Sales",IF(E248=0,"New Product",IF(AND(ISNUMBER(H248),H248&gt;0.1),"↑ Strong Growth",IF(AND(ISNUMBER(H248),H248&gt;0),"↗ Growth",IF(AND(ISNUMBER(H248),H248&lt;-0.1),"↓ Strong Decline",IF(AND(ISNUMBER(H248),H248&lt;0),"↘ Decline","→ Stable"))))))</f>
        <v>No 2026 Sales</v>
      </c>
    </row>
    <row r="249" spans="1:13" hidden="1" x14ac:dyDescent="0.35">
      <c r="A249">
        <f>Data!A250</f>
        <v>207</v>
      </c>
      <c r="B249" t="str">
        <f>Data!B250</f>
        <v>PORK</v>
      </c>
      <c r="C249" s="9">
        <f>Data!C250</f>
        <v>56774</v>
      </c>
      <c r="D249" s="10" t="s">
        <v>1030</v>
      </c>
      <c r="E249" s="11">
        <f>SUM(Data!I250,Data!K250,Data!M250,Data!O250,Data!Q250,Data!S250,Data!U250,Data!W250,Data!Y250,Data!AA250,Data!AC250,Data!AE250,Data!AG250,Data!AI250,Data!AK250,Data!AM250,Data!AO250,Data!AQ250,Data!AS250)</f>
        <v>0</v>
      </c>
      <c r="F249" s="11">
        <f>SUM(Data!DI250,Data!DK250,Data!DM250,Data!DO250,Data!DQ250,Data!DS250,Data!DU250,Data!DW250,Data!DY250,Data!EA250,Data!EC250,Data!EE250,Data!EG250,Data!EI250,Data!EK250,Data!EM250,Data!EO250,Data!EQ250,Data!ES250)</f>
        <v>0</v>
      </c>
      <c r="G249" s="11">
        <f>F249-E249</f>
        <v>0</v>
      </c>
      <c r="H249">
        <f>IF(E249=0,IF(F249&gt;0,"New",0),(F249-E249)/E249)</f>
        <v>0</v>
      </c>
      <c r="I249" s="12">
        <f>SUM(Data!J250,Data!L250,Data!N250,Data!P250,Data!R250,Data!T250,Data!V250,Data!X250,Data!Z250,Data!AB250,Data!AD250,Data!AF250,Data!AH250,Data!AJ250,Data!AL250,Data!AN250,Data!AP250,Data!AR250,Data!AT250)</f>
        <v>0</v>
      </c>
      <c r="J249" s="12">
        <f>SUM(Data!DJ250,Data!DL250,Data!DN250,Data!DP250,Data!DR250,Data!DT250,Data!DV250,Data!DX250,Data!DZ250,Data!EB250,Data!ED250,Data!EF250,Data!EH250,Data!EJ250,Data!EL250,Data!EN250,Data!EP250,Data!ER250,Data!ET250)</f>
        <v>0</v>
      </c>
      <c r="K249" s="12">
        <f>J249-I249</f>
        <v>0</v>
      </c>
      <c r="L249">
        <f>IF(I249=0,IF(J249&gt;0,"New",0),(J249-I249)/I249)</f>
        <v>0</v>
      </c>
      <c r="M249" t="str">
        <f>IF(F249=0,"No 2026 Sales",IF(E249=0,"New Product",IF(AND(ISNUMBER(H249),H249&gt;0.1),"↑ Strong Growth",IF(AND(ISNUMBER(H249),H249&gt;0),"↗ Growth",IF(AND(ISNUMBER(H249),H249&lt;-0.1),"↓ Strong Decline",IF(AND(ISNUMBER(H249),H249&lt;0),"↘ Decline","→ Stable"))))))</f>
        <v>No 2026 Sales</v>
      </c>
    </row>
    <row r="250" spans="1:13" hidden="1" x14ac:dyDescent="0.35">
      <c r="A250">
        <f>Data!A251</f>
        <v>207</v>
      </c>
      <c r="B250" t="str">
        <f>Data!B251</f>
        <v>PORK</v>
      </c>
      <c r="C250" s="9">
        <f>Data!C251</f>
        <v>58095</v>
      </c>
      <c r="D250" s="10" t="s">
        <v>1031</v>
      </c>
      <c r="E250" s="11">
        <f>SUM(Data!I251,Data!K251,Data!M251,Data!O251,Data!Q251,Data!S251,Data!U251,Data!W251,Data!Y251,Data!AA251,Data!AC251,Data!AE251,Data!AG251,Data!AI251,Data!AK251,Data!AM251,Data!AO251,Data!AQ251,Data!AS251)</f>
        <v>0</v>
      </c>
      <c r="F250" s="11">
        <f>SUM(Data!DI251,Data!DK251,Data!DM251,Data!DO251,Data!DQ251,Data!DS251,Data!DU251,Data!DW251,Data!DY251,Data!EA251,Data!EC251,Data!EE251,Data!EG251,Data!EI251,Data!EK251,Data!EM251,Data!EO251,Data!EQ251,Data!ES251)</f>
        <v>0</v>
      </c>
      <c r="G250" s="11">
        <f>F250-E250</f>
        <v>0</v>
      </c>
      <c r="H250">
        <f>IF(E250=0,IF(F250&gt;0,"New",0),(F250-E250)/E250)</f>
        <v>0</v>
      </c>
      <c r="I250" s="12">
        <f>SUM(Data!J251,Data!L251,Data!N251,Data!P251,Data!R251,Data!T251,Data!V251,Data!X251,Data!Z251,Data!AB251,Data!AD251,Data!AF251,Data!AH251,Data!AJ251,Data!AL251,Data!AN251,Data!AP251,Data!AR251,Data!AT251)</f>
        <v>0</v>
      </c>
      <c r="J250" s="12">
        <f>SUM(Data!DJ251,Data!DL251,Data!DN251,Data!DP251,Data!DR251,Data!DT251,Data!DV251,Data!DX251,Data!DZ251,Data!EB251,Data!ED251,Data!EF251,Data!EH251,Data!EJ251,Data!EL251,Data!EN251,Data!EP251,Data!ER251,Data!ET251)</f>
        <v>0</v>
      </c>
      <c r="K250" s="12">
        <f>J250-I250</f>
        <v>0</v>
      </c>
      <c r="L250">
        <f>IF(I250=0,IF(J250&gt;0,"New",0),(J250-I250)/I250)</f>
        <v>0</v>
      </c>
      <c r="M250" t="str">
        <f>IF(F250=0,"No 2026 Sales",IF(E250=0,"New Product",IF(AND(ISNUMBER(H250),H250&gt;0.1),"↑ Strong Growth",IF(AND(ISNUMBER(H250),H250&gt;0),"↗ Growth",IF(AND(ISNUMBER(H250),H250&lt;-0.1),"↓ Strong Decline",IF(AND(ISNUMBER(H250),H250&lt;0),"↘ Decline","→ Stable"))))))</f>
        <v>No 2026 Sales</v>
      </c>
    </row>
    <row r="251" spans="1:13" hidden="1" x14ac:dyDescent="0.35">
      <c r="A251">
        <f>Data!A252</f>
        <v>207</v>
      </c>
      <c r="B251" t="str">
        <f>Data!B252</f>
        <v>PORK</v>
      </c>
      <c r="C251" s="9">
        <f>Data!C252</f>
        <v>58405</v>
      </c>
      <c r="D251" s="10" t="s">
        <v>1032</v>
      </c>
      <c r="E251" s="11">
        <f>SUM(Data!I252,Data!K252,Data!M252,Data!O252,Data!Q252,Data!S252,Data!U252,Data!W252,Data!Y252,Data!AA252,Data!AC252,Data!AE252,Data!AG252,Data!AI252,Data!AK252,Data!AM252,Data!AO252,Data!AQ252,Data!AS252)</f>
        <v>18378.18260869565</v>
      </c>
      <c r="F251" s="11">
        <f>SUM(Data!DI252,Data!DK252,Data!DM252,Data!DO252,Data!DQ252,Data!DS252,Data!DU252,Data!DW252,Data!DY252,Data!EA252,Data!EC252,Data!EE252,Data!EG252,Data!EI252,Data!EK252,Data!EM252,Data!EO252,Data!EQ252,Data!ES252)</f>
        <v>0</v>
      </c>
      <c r="G251" s="11">
        <f>F251-E251</f>
        <v>-18378.18260869565</v>
      </c>
      <c r="H251">
        <f>IF(E251=0,IF(F251&gt;0,"New",0),(F251-E251)/E251)</f>
        <v>-1</v>
      </c>
      <c r="I251" s="12">
        <f>SUM(Data!J252,Data!L252,Data!N252,Data!P252,Data!R252,Data!T252,Data!V252,Data!X252,Data!Z252,Data!AB252,Data!AD252,Data!AF252,Data!AH252,Data!AJ252,Data!AL252,Data!AN252,Data!AP252,Data!AR252,Data!AT252)</f>
        <v>114.33199999999999</v>
      </c>
      <c r="J251" s="12">
        <f>SUM(Data!DJ252,Data!DL252,Data!DN252,Data!DP252,Data!DR252,Data!DT252,Data!DV252,Data!DX252,Data!DZ252,Data!EB252,Data!ED252,Data!EF252,Data!EH252,Data!EJ252,Data!EL252,Data!EN252,Data!EP252,Data!ER252,Data!ET252)</f>
        <v>0</v>
      </c>
      <c r="K251" s="12">
        <f>J251-I251</f>
        <v>-114.33199999999999</v>
      </c>
      <c r="L251">
        <f>IF(I251=0,IF(J251&gt;0,"New",0),(J251-I251)/I251)</f>
        <v>-1</v>
      </c>
      <c r="M251" t="str">
        <f>IF(F251=0,"No 2026 Sales",IF(E251=0,"New Product",IF(AND(ISNUMBER(H251),H251&gt;0.1),"↑ Strong Growth",IF(AND(ISNUMBER(H251),H251&gt;0),"↗ Growth",IF(AND(ISNUMBER(H251),H251&lt;-0.1),"↓ Strong Decline",IF(AND(ISNUMBER(H251),H251&lt;0),"↘ Decline","→ Stable"))))))</f>
        <v>No 2026 Sales</v>
      </c>
    </row>
    <row r="252" spans="1:13" hidden="1" x14ac:dyDescent="0.35">
      <c r="A252">
        <f>Data!A253</f>
        <v>207</v>
      </c>
      <c r="B252" t="str">
        <f>Data!B253</f>
        <v>PORK</v>
      </c>
      <c r="C252" s="9">
        <f>Data!C253</f>
        <v>61369</v>
      </c>
      <c r="D252" s="10" t="s">
        <v>1033</v>
      </c>
      <c r="E252" s="11">
        <f>SUM(Data!I253,Data!K253,Data!M253,Data!O253,Data!Q253,Data!S253,Data!U253,Data!W253,Data!Y253,Data!AA253,Data!AC253,Data!AE253,Data!AG253,Data!AI253,Data!AK253,Data!AM253,Data!AO253,Data!AQ253,Data!AS253)</f>
        <v>8018.7043478260903</v>
      </c>
      <c r="F252" s="11">
        <f>SUM(Data!DI253,Data!DK253,Data!DM253,Data!DO253,Data!DQ253,Data!DS253,Data!DU253,Data!DW253,Data!DY253,Data!EA253,Data!EC253,Data!EE253,Data!EG253,Data!EI253,Data!EK253,Data!EM253,Data!EO253,Data!EQ253,Data!ES253)</f>
        <v>0</v>
      </c>
      <c r="G252" s="11">
        <f>F252-E252</f>
        <v>-8018.7043478260903</v>
      </c>
      <c r="H252">
        <f>IF(E252=0,IF(F252&gt;0,"New",0),(F252-E252)/E252)</f>
        <v>-1</v>
      </c>
      <c r="I252" s="12">
        <f>SUM(Data!J253,Data!L253,Data!N253,Data!P253,Data!R253,Data!T253,Data!V253,Data!X253,Data!Z253,Data!AB253,Data!AD253,Data!AF253,Data!AH253,Data!AJ253,Data!AL253,Data!AN253,Data!AP253,Data!AR253,Data!AT253)</f>
        <v>108.71599999999999</v>
      </c>
      <c r="J252" s="12">
        <f>SUM(Data!DJ253,Data!DL253,Data!DN253,Data!DP253,Data!DR253,Data!DT253,Data!DV253,Data!DX253,Data!DZ253,Data!EB253,Data!ED253,Data!EF253,Data!EH253,Data!EJ253,Data!EL253,Data!EN253,Data!EP253,Data!ER253,Data!ET253)</f>
        <v>0</v>
      </c>
      <c r="K252" s="12">
        <f>J252-I252</f>
        <v>-108.71599999999999</v>
      </c>
      <c r="L252">
        <f>IF(I252=0,IF(J252&gt;0,"New",0),(J252-I252)/I252)</f>
        <v>-1</v>
      </c>
      <c r="M252" t="str">
        <f>IF(F252=0,"No 2026 Sales",IF(E252=0,"New Product",IF(AND(ISNUMBER(H252),H252&gt;0.1),"↑ Strong Growth",IF(AND(ISNUMBER(H252),H252&gt;0),"↗ Growth",IF(AND(ISNUMBER(H252),H252&lt;-0.1),"↓ Strong Decline",IF(AND(ISNUMBER(H252),H252&lt;0),"↘ Decline","→ Stable"))))))</f>
        <v>No 2026 Sales</v>
      </c>
    </row>
    <row r="253" spans="1:13" hidden="1" x14ac:dyDescent="0.35">
      <c r="A253">
        <f>Data!A254</f>
        <v>207</v>
      </c>
      <c r="B253" t="str">
        <f>Data!B254</f>
        <v>PORK</v>
      </c>
      <c r="C253" s="9">
        <f>Data!C254</f>
        <v>61768</v>
      </c>
      <c r="D253" s="10" t="s">
        <v>1034</v>
      </c>
      <c r="E253" s="11">
        <f>SUM(Data!I254,Data!K254,Data!M254,Data!O254,Data!Q254,Data!S254,Data!U254,Data!W254,Data!Y254,Data!AA254,Data!AC254,Data!AE254,Data!AG254,Data!AI254,Data!AK254,Data!AM254,Data!AO254,Data!AQ254,Data!AS254)</f>
        <v>727.90434782608781</v>
      </c>
      <c r="F253" s="11">
        <f>SUM(Data!DI254,Data!DK254,Data!DM254,Data!DO254,Data!DQ254,Data!DS254,Data!DU254,Data!DW254,Data!DY254,Data!EA254,Data!EC254,Data!EE254,Data!EG254,Data!EI254,Data!EK254,Data!EM254,Data!EO254,Data!EQ254,Data!ES254)</f>
        <v>0</v>
      </c>
      <c r="G253" s="11">
        <f>F253-E253</f>
        <v>-727.90434782608781</v>
      </c>
      <c r="H253">
        <f>IF(E253=0,IF(F253&gt;0,"New",0),(F253-E253)/E253)</f>
        <v>-1</v>
      </c>
      <c r="I253" s="12">
        <f>SUM(Data!J254,Data!L254,Data!N254,Data!P254,Data!R254,Data!T254,Data!V254,Data!X254,Data!Z254,Data!AB254,Data!AD254,Data!AF254,Data!AH254,Data!AJ254,Data!AL254,Data!AN254,Data!AP254,Data!AR254,Data!AT254)</f>
        <v>5.2320000000000002</v>
      </c>
      <c r="J253" s="12">
        <f>SUM(Data!DJ254,Data!DL254,Data!DN254,Data!DP254,Data!DR254,Data!DT254,Data!DV254,Data!DX254,Data!DZ254,Data!EB254,Data!ED254,Data!EF254,Data!EH254,Data!EJ254,Data!EL254,Data!EN254,Data!EP254,Data!ER254,Data!ET254)</f>
        <v>0</v>
      </c>
      <c r="K253" s="12">
        <f>J253-I253</f>
        <v>-5.2320000000000002</v>
      </c>
      <c r="L253">
        <f>IF(I253=0,IF(J253&gt;0,"New",0),(J253-I253)/I253)</f>
        <v>-1</v>
      </c>
      <c r="M253" t="str">
        <f>IF(F253=0,"No 2026 Sales",IF(E253=0,"New Product",IF(AND(ISNUMBER(H253),H253&gt;0.1),"↑ Strong Growth",IF(AND(ISNUMBER(H253),H253&gt;0),"↗ Growth",IF(AND(ISNUMBER(H253),H253&lt;-0.1),"↓ Strong Decline",IF(AND(ISNUMBER(H253),H253&lt;0),"↘ Decline","→ Stable"))))))</f>
        <v>No 2026 Sales</v>
      </c>
    </row>
    <row r="254" spans="1:13" hidden="1" x14ac:dyDescent="0.35">
      <c r="A254">
        <f>Data!A255</f>
        <v>207</v>
      </c>
      <c r="B254" t="str">
        <f>Data!B255</f>
        <v>PORK</v>
      </c>
      <c r="C254" s="9">
        <f>Data!C255</f>
        <v>61769</v>
      </c>
      <c r="D254" s="10" t="s">
        <v>1035</v>
      </c>
      <c r="E254" s="11">
        <f>SUM(Data!I255,Data!K255,Data!M255,Data!O255,Data!Q255,Data!S255,Data!U255,Data!W255,Data!Y255,Data!AA255,Data!AC255,Data!AE255,Data!AG255,Data!AI255,Data!AK255,Data!AM255,Data!AO255,Data!AQ255,Data!AS255)</f>
        <v>1581.51304347826</v>
      </c>
      <c r="F254" s="11">
        <f>SUM(Data!DI255,Data!DK255,Data!DM255,Data!DO255,Data!DQ255,Data!DS255,Data!DU255,Data!DW255,Data!DY255,Data!EA255,Data!EC255,Data!EE255,Data!EG255,Data!EI255,Data!EK255,Data!EM255,Data!EO255,Data!EQ255,Data!ES255)</f>
        <v>0</v>
      </c>
      <c r="G254" s="11">
        <f>F254-E254</f>
        <v>-1581.51304347826</v>
      </c>
      <c r="H254">
        <f>IF(E254=0,IF(F254&gt;0,"New",0),(F254-E254)/E254)</f>
        <v>-1</v>
      </c>
      <c r="I254" s="12">
        <f>SUM(Data!J255,Data!L255,Data!N255,Data!P255,Data!R255,Data!T255,Data!V255,Data!X255,Data!Z255,Data!AB255,Data!AD255,Data!AF255,Data!AH255,Data!AJ255,Data!AL255,Data!AN255,Data!AP255,Data!AR255,Data!AT255)</f>
        <v>11.367999999999999</v>
      </c>
      <c r="J254" s="12">
        <f>SUM(Data!DJ255,Data!DL255,Data!DN255,Data!DP255,Data!DR255,Data!DT255,Data!DV255,Data!DX255,Data!DZ255,Data!EB255,Data!ED255,Data!EF255,Data!EH255,Data!EJ255,Data!EL255,Data!EN255,Data!EP255,Data!ER255,Data!ET255)</f>
        <v>0</v>
      </c>
      <c r="K254" s="12">
        <f>J254-I254</f>
        <v>-11.367999999999999</v>
      </c>
      <c r="L254">
        <f>IF(I254=0,IF(J254&gt;0,"New",0),(J254-I254)/I254)</f>
        <v>-1</v>
      </c>
      <c r="M254" t="str">
        <f>IF(F254=0,"No 2026 Sales",IF(E254=0,"New Product",IF(AND(ISNUMBER(H254),H254&gt;0.1),"↑ Strong Growth",IF(AND(ISNUMBER(H254),H254&gt;0),"↗ Growth",IF(AND(ISNUMBER(H254),H254&lt;-0.1),"↓ Strong Decline",IF(AND(ISNUMBER(H254),H254&lt;0),"↘ Decline","→ Stable"))))))</f>
        <v>No 2026 Sales</v>
      </c>
    </row>
    <row r="255" spans="1:13" hidden="1" x14ac:dyDescent="0.35">
      <c r="A255">
        <f>Data!A256</f>
        <v>207</v>
      </c>
      <c r="B255" t="str">
        <f>Data!B256</f>
        <v>PORK</v>
      </c>
      <c r="C255" s="9">
        <f>Data!C256</f>
        <v>62213</v>
      </c>
      <c r="D255" s="10" t="s">
        <v>1036</v>
      </c>
      <c r="E255" s="11">
        <f>SUM(Data!I256,Data!K256,Data!M256,Data!O256,Data!Q256,Data!S256,Data!U256,Data!W256,Data!Y256,Data!AA256,Data!AC256,Data!AE256,Data!AG256,Data!AI256,Data!AK256,Data!AM256,Data!AO256,Data!AQ256,Data!AS256)</f>
        <v>172.09565217391301</v>
      </c>
      <c r="F255" s="11">
        <f>SUM(Data!DI256,Data!DK256,Data!DM256,Data!DO256,Data!DQ256,Data!DS256,Data!DU256,Data!DW256,Data!DY256,Data!EA256,Data!EC256,Data!EE256,Data!EG256,Data!EI256,Data!EK256,Data!EM256,Data!EO256,Data!EQ256,Data!ES256)</f>
        <v>0</v>
      </c>
      <c r="G255" s="11">
        <f>F255-E255</f>
        <v>-172.09565217391301</v>
      </c>
      <c r="H255">
        <f>IF(E255=0,IF(F255&gt;0,"New",0),(F255-E255)/E255)</f>
        <v>-1</v>
      </c>
      <c r="I255" s="12">
        <f>SUM(Data!J256,Data!L256,Data!N256,Data!P256,Data!R256,Data!T256,Data!V256,Data!X256,Data!Z256,Data!AB256,Data!AD256,Data!AF256,Data!AH256,Data!AJ256,Data!AL256,Data!AN256,Data!AP256,Data!AR256,Data!AT256)</f>
        <v>9</v>
      </c>
      <c r="J255" s="12">
        <f>SUM(Data!DJ256,Data!DL256,Data!DN256,Data!DP256,Data!DR256,Data!DT256,Data!DV256,Data!DX256,Data!DZ256,Data!EB256,Data!ED256,Data!EF256,Data!EH256,Data!EJ256,Data!EL256,Data!EN256,Data!EP256,Data!ER256,Data!ET256)</f>
        <v>0</v>
      </c>
      <c r="K255" s="12">
        <f>J255-I255</f>
        <v>-9</v>
      </c>
      <c r="L255">
        <f>IF(I255=0,IF(J255&gt;0,"New",0),(J255-I255)/I255)</f>
        <v>-1</v>
      </c>
      <c r="M255" t="str">
        <f>IF(F255=0,"No 2026 Sales",IF(E255=0,"New Product",IF(AND(ISNUMBER(H255),H255&gt;0.1),"↑ Strong Growth",IF(AND(ISNUMBER(H255),H255&gt;0),"↗ Growth",IF(AND(ISNUMBER(H255),H255&lt;-0.1),"↓ Strong Decline",IF(AND(ISNUMBER(H255),H255&lt;0),"↘ Decline","→ Stable"))))))</f>
        <v>No 2026 Sales</v>
      </c>
    </row>
    <row r="256" spans="1:13" hidden="1" x14ac:dyDescent="0.35">
      <c r="A256">
        <f>Data!A257</f>
        <v>207</v>
      </c>
      <c r="B256" t="str">
        <f>Data!B257</f>
        <v>PORK</v>
      </c>
      <c r="C256" s="9">
        <f>Data!C257</f>
        <v>63025</v>
      </c>
      <c r="D256" s="10" t="s">
        <v>1037</v>
      </c>
      <c r="E256" s="11">
        <f>SUM(Data!I257,Data!K257,Data!M257,Data!O257,Data!Q257,Data!S257,Data!U257,Data!W257,Data!Y257,Data!AA257,Data!AC257,Data!AE257,Data!AG257,Data!AI257,Data!AK257,Data!AM257,Data!AO257,Data!AQ257,Data!AS257)</f>
        <v>0</v>
      </c>
      <c r="F256" s="11">
        <f>SUM(Data!DI257,Data!DK257,Data!DM257,Data!DO257,Data!DQ257,Data!DS257,Data!DU257,Data!DW257,Data!DY257,Data!EA257,Data!EC257,Data!EE257,Data!EG257,Data!EI257,Data!EK257,Data!EM257,Data!EO257,Data!EQ257,Data!ES257)</f>
        <v>0</v>
      </c>
      <c r="G256" s="11">
        <f>F256-E256</f>
        <v>0</v>
      </c>
      <c r="H256">
        <f>IF(E256=0,IF(F256&gt;0,"New",0),(F256-E256)/E256)</f>
        <v>0</v>
      </c>
      <c r="I256" s="12">
        <f>SUM(Data!J257,Data!L257,Data!N257,Data!P257,Data!R257,Data!T257,Data!V257,Data!X257,Data!Z257,Data!AB257,Data!AD257,Data!AF257,Data!AH257,Data!AJ257,Data!AL257,Data!AN257,Data!AP257,Data!AR257,Data!AT257)</f>
        <v>0</v>
      </c>
      <c r="J256" s="12">
        <f>SUM(Data!DJ257,Data!DL257,Data!DN257,Data!DP257,Data!DR257,Data!DT257,Data!DV257,Data!DX257,Data!DZ257,Data!EB257,Data!ED257,Data!EF257,Data!EH257,Data!EJ257,Data!EL257,Data!EN257,Data!EP257,Data!ER257,Data!ET257)</f>
        <v>0</v>
      </c>
      <c r="K256" s="12">
        <f>J256-I256</f>
        <v>0</v>
      </c>
      <c r="L256">
        <f>IF(I256=0,IF(J256&gt;0,"New",0),(J256-I256)/I256)</f>
        <v>0</v>
      </c>
      <c r="M256" t="str">
        <f>IF(F256=0,"No 2026 Sales",IF(E256=0,"New Product",IF(AND(ISNUMBER(H256),H256&gt;0.1),"↑ Strong Growth",IF(AND(ISNUMBER(H256),H256&gt;0),"↗ Growth",IF(AND(ISNUMBER(H256),H256&lt;-0.1),"↓ Strong Decline",IF(AND(ISNUMBER(H256),H256&lt;0),"↘ Decline","→ Stable"))))))</f>
        <v>No 2026 Sales</v>
      </c>
    </row>
    <row r="257" spans="1:13" hidden="1" x14ac:dyDescent="0.35">
      <c r="A257">
        <f>Data!A258</f>
        <v>207</v>
      </c>
      <c r="B257" t="str">
        <f>Data!B258</f>
        <v>PORK</v>
      </c>
      <c r="C257" s="9">
        <f>Data!C258</f>
        <v>63363</v>
      </c>
      <c r="D257" s="10" t="s">
        <v>1038</v>
      </c>
      <c r="E257" s="11">
        <f>SUM(Data!I258,Data!K258,Data!M258,Data!O258,Data!Q258,Data!S258,Data!U258,Data!W258,Data!Y258,Data!AA258,Data!AC258,Data!AE258,Data!AG258,Data!AI258,Data!AK258,Data!AM258,Data!AO258,Data!AQ258,Data!AS258)</f>
        <v>0</v>
      </c>
      <c r="F257" s="11">
        <f>SUM(Data!DI258,Data!DK258,Data!DM258,Data!DO258,Data!DQ258,Data!DS258,Data!DU258,Data!DW258,Data!DY258,Data!EA258,Data!EC258,Data!EE258,Data!EG258,Data!EI258,Data!EK258,Data!EM258,Data!EO258,Data!EQ258,Data!ES258)</f>
        <v>0</v>
      </c>
      <c r="G257" s="11">
        <f>F257-E257</f>
        <v>0</v>
      </c>
      <c r="H257">
        <f>IF(E257=0,IF(F257&gt;0,"New",0),(F257-E257)/E257)</f>
        <v>0</v>
      </c>
      <c r="I257" s="12">
        <f>SUM(Data!J258,Data!L258,Data!N258,Data!P258,Data!R258,Data!T258,Data!V258,Data!X258,Data!Z258,Data!AB258,Data!AD258,Data!AF258,Data!AH258,Data!AJ258,Data!AL258,Data!AN258,Data!AP258,Data!AR258,Data!AT258)</f>
        <v>0</v>
      </c>
      <c r="J257" s="12">
        <f>SUM(Data!DJ258,Data!DL258,Data!DN258,Data!DP258,Data!DR258,Data!DT258,Data!DV258,Data!DX258,Data!DZ258,Data!EB258,Data!ED258,Data!EF258,Data!EH258,Data!EJ258,Data!EL258,Data!EN258,Data!EP258,Data!ER258,Data!ET258)</f>
        <v>0</v>
      </c>
      <c r="K257" s="12">
        <f>J257-I257</f>
        <v>0</v>
      </c>
      <c r="L257">
        <f>IF(I257=0,IF(J257&gt;0,"New",0),(J257-I257)/I257)</f>
        <v>0</v>
      </c>
      <c r="M257" t="str">
        <f>IF(F257=0,"No 2026 Sales",IF(E257=0,"New Product",IF(AND(ISNUMBER(H257),H257&gt;0.1),"↑ Strong Growth",IF(AND(ISNUMBER(H257),H257&gt;0),"↗ Growth",IF(AND(ISNUMBER(H257),H257&lt;-0.1),"↓ Strong Decline",IF(AND(ISNUMBER(H257),H257&lt;0),"↘ Decline","→ Stable"))))))</f>
        <v>No 2026 Sales</v>
      </c>
    </row>
    <row r="258" spans="1:13" hidden="1" x14ac:dyDescent="0.35">
      <c r="A258">
        <f>Data!A259</f>
        <v>207</v>
      </c>
      <c r="B258" t="str">
        <f>Data!B259</f>
        <v>PORK</v>
      </c>
      <c r="C258" s="9">
        <f>Data!C259</f>
        <v>63364</v>
      </c>
      <c r="D258" s="10" t="s">
        <v>1039</v>
      </c>
      <c r="E258" s="11">
        <f>SUM(Data!I259,Data!K259,Data!M259,Data!O259,Data!Q259,Data!S259,Data!U259,Data!W259,Data!Y259,Data!AA259,Data!AC259,Data!AE259,Data!AG259,Data!AI259,Data!AK259,Data!AM259,Data!AO259,Data!AQ259,Data!AS259)</f>
        <v>0</v>
      </c>
      <c r="F258" s="11">
        <f>SUM(Data!DI259,Data!DK259,Data!DM259,Data!DO259,Data!DQ259,Data!DS259,Data!DU259,Data!DW259,Data!DY259,Data!EA259,Data!EC259,Data!EE259,Data!EG259,Data!EI259,Data!EK259,Data!EM259,Data!EO259,Data!EQ259,Data!ES259)</f>
        <v>0</v>
      </c>
      <c r="G258" s="11">
        <f>F258-E258</f>
        <v>0</v>
      </c>
      <c r="H258">
        <f>IF(E258=0,IF(F258&gt;0,"New",0),(F258-E258)/E258)</f>
        <v>0</v>
      </c>
      <c r="I258" s="12">
        <f>SUM(Data!J259,Data!L259,Data!N259,Data!P259,Data!R259,Data!T259,Data!V259,Data!X259,Data!Z259,Data!AB259,Data!AD259,Data!AF259,Data!AH259,Data!AJ259,Data!AL259,Data!AN259,Data!AP259,Data!AR259,Data!AT259)</f>
        <v>0</v>
      </c>
      <c r="J258" s="12">
        <f>SUM(Data!DJ259,Data!DL259,Data!DN259,Data!DP259,Data!DR259,Data!DT259,Data!DV259,Data!DX259,Data!DZ259,Data!EB259,Data!ED259,Data!EF259,Data!EH259,Data!EJ259,Data!EL259,Data!EN259,Data!EP259,Data!ER259,Data!ET259)</f>
        <v>0</v>
      </c>
      <c r="K258" s="12">
        <f>J258-I258</f>
        <v>0</v>
      </c>
      <c r="L258">
        <f>IF(I258=0,IF(J258&gt;0,"New",0),(J258-I258)/I258)</f>
        <v>0</v>
      </c>
      <c r="M258" t="str">
        <f>IF(F258=0,"No 2026 Sales",IF(E258=0,"New Product",IF(AND(ISNUMBER(H258),H258&gt;0.1),"↑ Strong Growth",IF(AND(ISNUMBER(H258),H258&gt;0),"↗ Growth",IF(AND(ISNUMBER(H258),H258&lt;-0.1),"↓ Strong Decline",IF(AND(ISNUMBER(H258),H258&lt;0),"↘ Decline","→ Stable"))))))</f>
        <v>No 2026 Sales</v>
      </c>
    </row>
    <row r="259" spans="1:13" x14ac:dyDescent="0.35">
      <c r="A259">
        <f>Data!A260</f>
        <v>207</v>
      </c>
      <c r="B259" t="str">
        <f>Data!B260</f>
        <v>PORK</v>
      </c>
      <c r="C259" s="9">
        <f>Data!C260</f>
        <v>63365</v>
      </c>
      <c r="D259" s="10" t="s">
        <v>1040</v>
      </c>
      <c r="E259" s="11">
        <f>SUM(Data!I260,Data!K260,Data!M260,Data!O260,Data!Q260,Data!S260,Data!U260,Data!W260,Data!Y260,Data!AA260,Data!AC260,Data!AE260,Data!AG260,Data!AI260,Data!AK260,Data!AM260,Data!AO260,Data!AQ260,Data!AS260)</f>
        <v>0</v>
      </c>
      <c r="F259" s="11">
        <f>SUM(Data!DI260,Data!DK260,Data!DM260,Data!DO260,Data!DQ260,Data!DS260,Data!DU260,Data!DW260,Data!DY260,Data!EA260,Data!EC260,Data!EE260,Data!EG260,Data!EI260,Data!EK260,Data!EM260,Data!EO260,Data!EQ260,Data!ES260)</f>
        <v>2992.4521739130441</v>
      </c>
      <c r="G259" s="11">
        <f>F259-E259</f>
        <v>2992.4521739130441</v>
      </c>
      <c r="H259" s="13" t="str">
        <f>IF(E259=0,IF(F259&gt;0,"New",0),(F259-E259)/E259)</f>
        <v>New</v>
      </c>
      <c r="I259" s="12">
        <f>SUM(Data!J260,Data!L260,Data!N260,Data!P260,Data!R260,Data!T260,Data!V260,Data!X260,Data!Z260,Data!AB260,Data!AD260,Data!AF260,Data!AH260,Data!AJ260,Data!AL260,Data!AN260,Data!AP260,Data!AR260,Data!AT260)</f>
        <v>0</v>
      </c>
      <c r="J259" s="12">
        <f>SUM(Data!DJ260,Data!DL260,Data!DN260,Data!DP260,Data!DR260,Data!DT260,Data!DV260,Data!DX260,Data!DZ260,Data!EB260,Data!ED260,Data!EF260,Data!EH260,Data!EJ260,Data!EL260,Data!EN260,Data!EP260,Data!ER260,Data!ET260)</f>
        <v>14.854000000000003</v>
      </c>
      <c r="K259" s="12">
        <f>J259-I259</f>
        <v>14.854000000000003</v>
      </c>
      <c r="L259" s="13" t="str">
        <f>IF(I259=0,IF(J259&gt;0,"New",0),(J259-I259)/I259)</f>
        <v>New</v>
      </c>
      <c r="M259" t="str">
        <f>IF(F259=0,"No 2026 Sales",IF(E259=0,"New Product",IF(AND(ISNUMBER(H259),H259&gt;0.1),"↑ Strong Growth",IF(AND(ISNUMBER(H259),H259&gt;0),"↗ Growth",IF(AND(ISNUMBER(H259),H259&lt;-0.1),"↓ Strong Decline",IF(AND(ISNUMBER(H259),H259&lt;0),"↘ Decline","→ Stable"))))))</f>
        <v>New Product</v>
      </c>
    </row>
    <row r="260" spans="1:13" hidden="1" x14ac:dyDescent="0.35">
      <c r="A260">
        <f>Data!A261</f>
        <v>207</v>
      </c>
      <c r="B260" t="str">
        <f>Data!B261</f>
        <v>PORK</v>
      </c>
      <c r="C260" s="9">
        <f>Data!C261</f>
        <v>63366</v>
      </c>
      <c r="D260" s="10" t="s">
        <v>1041</v>
      </c>
      <c r="E260" s="11">
        <f>SUM(Data!I261,Data!K261,Data!M261,Data!O261,Data!Q261,Data!S261,Data!U261,Data!W261,Data!Y261,Data!AA261,Data!AC261,Data!AE261,Data!AG261,Data!AI261,Data!AK261,Data!AM261,Data!AO261,Data!AQ261,Data!AS261)</f>
        <v>0</v>
      </c>
      <c r="F260" s="11">
        <f>SUM(Data!DI261,Data!DK261,Data!DM261,Data!DO261,Data!DQ261,Data!DS261,Data!DU261,Data!DW261,Data!DY261,Data!EA261,Data!EC261,Data!EE261,Data!EG261,Data!EI261,Data!EK261,Data!EM261,Data!EO261,Data!EQ261,Data!ES261)</f>
        <v>0</v>
      </c>
      <c r="G260" s="11">
        <f>F260-E260</f>
        <v>0</v>
      </c>
      <c r="H260">
        <f>IF(E260=0,IF(F260&gt;0,"New",0),(F260-E260)/E260)</f>
        <v>0</v>
      </c>
      <c r="I260" s="12">
        <f>SUM(Data!J261,Data!L261,Data!N261,Data!P261,Data!R261,Data!T261,Data!V261,Data!X261,Data!Z261,Data!AB261,Data!AD261,Data!AF261,Data!AH261,Data!AJ261,Data!AL261,Data!AN261,Data!AP261,Data!AR261,Data!AT261)</f>
        <v>0</v>
      </c>
      <c r="J260" s="12">
        <f>SUM(Data!DJ261,Data!DL261,Data!DN261,Data!DP261,Data!DR261,Data!DT261,Data!DV261,Data!DX261,Data!DZ261,Data!EB261,Data!ED261,Data!EF261,Data!EH261,Data!EJ261,Data!EL261,Data!EN261,Data!EP261,Data!ER261,Data!ET261)</f>
        <v>0</v>
      </c>
      <c r="K260" s="12">
        <f>J260-I260</f>
        <v>0</v>
      </c>
      <c r="L260">
        <f>IF(I260=0,IF(J260&gt;0,"New",0),(J260-I260)/I260)</f>
        <v>0</v>
      </c>
      <c r="M260" t="str">
        <f>IF(F260=0,"No 2026 Sales",IF(E260=0,"New Product",IF(AND(ISNUMBER(H260),H260&gt;0.1),"↑ Strong Growth",IF(AND(ISNUMBER(H260),H260&gt;0),"↗ Growth",IF(AND(ISNUMBER(H260),H260&lt;-0.1),"↓ Strong Decline",IF(AND(ISNUMBER(H260),H260&lt;0),"↘ Decline","→ Stable"))))))</f>
        <v>No 2026 Sales</v>
      </c>
    </row>
    <row r="261" spans="1:13" x14ac:dyDescent="0.35">
      <c r="A261">
        <f>Data!A262</f>
        <v>207</v>
      </c>
      <c r="B261" t="str">
        <f>Data!B262</f>
        <v>PORK</v>
      </c>
      <c r="C261" s="9">
        <f>Data!C262</f>
        <v>63367</v>
      </c>
      <c r="D261" s="10" t="s">
        <v>1042</v>
      </c>
      <c r="E261" s="11">
        <f>SUM(Data!I262,Data!K262,Data!M262,Data!O262,Data!Q262,Data!S262,Data!U262,Data!W262,Data!Y262,Data!AA262,Data!AC262,Data!AE262,Data!AG262,Data!AI262,Data!AK262,Data!AM262,Data!AO262,Data!AQ262,Data!AS262)</f>
        <v>0</v>
      </c>
      <c r="F261" s="11">
        <f>SUM(Data!DI262,Data!DK262,Data!DM262,Data!DO262,Data!DQ262,Data!DS262,Data!DU262,Data!DW262,Data!DY262,Data!EA262,Data!EC262,Data!EE262,Data!EG262,Data!EI262,Data!EK262,Data!EM262,Data!EO262,Data!EQ262,Data!ES262)</f>
        <v>5932.9043478260883</v>
      </c>
      <c r="G261" s="11">
        <f>F261-E261</f>
        <v>5932.9043478260883</v>
      </c>
      <c r="H261" s="13" t="str">
        <f>IF(E261=0,IF(F261&gt;0,"New",0),(F261-E261)/E261)</f>
        <v>New</v>
      </c>
      <c r="I261" s="12">
        <f>SUM(Data!J262,Data!L262,Data!N262,Data!P262,Data!R262,Data!T262,Data!V262,Data!X262,Data!Z262,Data!AB262,Data!AD262,Data!AF262,Data!AH262,Data!AJ262,Data!AL262,Data!AN262,Data!AP262,Data!AR262,Data!AT262)</f>
        <v>0</v>
      </c>
      <c r="J261" s="12">
        <f>SUM(Data!DJ262,Data!DL262,Data!DN262,Data!DP262,Data!DR262,Data!DT262,Data!DV262,Data!DX262,Data!DZ262,Data!EB262,Data!ED262,Data!EF262,Data!EH262,Data!EJ262,Data!EL262,Data!EN262,Data!EP262,Data!ER262,Data!ET262)</f>
        <v>39.5</v>
      </c>
      <c r="K261" s="12">
        <f>J261-I261</f>
        <v>39.5</v>
      </c>
      <c r="L261" s="13" t="str">
        <f>IF(I261=0,IF(J261&gt;0,"New",0),(J261-I261)/I261)</f>
        <v>New</v>
      </c>
      <c r="M261" t="str">
        <f>IF(F261=0,"No 2026 Sales",IF(E261=0,"New Product",IF(AND(ISNUMBER(H261),H261&gt;0.1),"↑ Strong Growth",IF(AND(ISNUMBER(H261),H261&gt;0),"↗ Growth",IF(AND(ISNUMBER(H261),H261&lt;-0.1),"↓ Strong Decline",IF(AND(ISNUMBER(H261),H261&lt;0),"↘ Decline","→ Stable"))))))</f>
        <v>New Product</v>
      </c>
    </row>
    <row r="262" spans="1:13" hidden="1" x14ac:dyDescent="0.35">
      <c r="A262">
        <f>Data!A263</f>
        <v>207</v>
      </c>
      <c r="B262" t="str">
        <f>Data!B263</f>
        <v>PORK</v>
      </c>
      <c r="C262" s="9">
        <f>Data!C263</f>
        <v>63368</v>
      </c>
      <c r="D262" s="10" t="s">
        <v>1043</v>
      </c>
      <c r="E262" s="11">
        <f>SUM(Data!I263,Data!K263,Data!M263,Data!O263,Data!Q263,Data!S263,Data!U263,Data!W263,Data!Y263,Data!AA263,Data!AC263,Data!AE263,Data!AG263,Data!AI263,Data!AK263,Data!AM263,Data!AO263,Data!AQ263,Data!AS263)</f>
        <v>0</v>
      </c>
      <c r="F262" s="11">
        <f>SUM(Data!DI263,Data!DK263,Data!DM263,Data!DO263,Data!DQ263,Data!DS263,Data!DU263,Data!DW263,Data!DY263,Data!EA263,Data!EC263,Data!EE263,Data!EG263,Data!EI263,Data!EK263,Data!EM263,Data!EO263,Data!EQ263,Data!ES263)</f>
        <v>0</v>
      </c>
      <c r="G262" s="11">
        <f>F262-E262</f>
        <v>0</v>
      </c>
      <c r="H262">
        <f>IF(E262=0,IF(F262&gt;0,"New",0),(F262-E262)/E262)</f>
        <v>0</v>
      </c>
      <c r="I262" s="12">
        <f>SUM(Data!J263,Data!L263,Data!N263,Data!P263,Data!R263,Data!T263,Data!V263,Data!X263,Data!Z263,Data!AB263,Data!AD263,Data!AF263,Data!AH263,Data!AJ263,Data!AL263,Data!AN263,Data!AP263,Data!AR263,Data!AT263)</f>
        <v>0</v>
      </c>
      <c r="J262" s="12">
        <f>SUM(Data!DJ263,Data!DL263,Data!DN263,Data!DP263,Data!DR263,Data!DT263,Data!DV263,Data!DX263,Data!DZ263,Data!EB263,Data!ED263,Data!EF263,Data!EH263,Data!EJ263,Data!EL263,Data!EN263,Data!EP263,Data!ER263,Data!ET263)</f>
        <v>0</v>
      </c>
      <c r="K262" s="12">
        <f>J262-I262</f>
        <v>0</v>
      </c>
      <c r="L262">
        <f>IF(I262=0,IF(J262&gt;0,"New",0),(J262-I262)/I262)</f>
        <v>0</v>
      </c>
      <c r="M262" t="str">
        <f>IF(F262=0,"No 2026 Sales",IF(E262=0,"New Product",IF(AND(ISNUMBER(H262),H262&gt;0.1),"↑ Strong Growth",IF(AND(ISNUMBER(H262),H262&gt;0),"↗ Growth",IF(AND(ISNUMBER(H262),H262&lt;-0.1),"↓ Strong Decline",IF(AND(ISNUMBER(H262),H262&lt;0),"↘ Decline","→ Stable"))))))</f>
        <v>No 2026 Sales</v>
      </c>
    </row>
    <row r="263" spans="1:13" x14ac:dyDescent="0.35">
      <c r="A263">
        <f>Data!A264</f>
        <v>207</v>
      </c>
      <c r="B263" t="str">
        <f>Data!B264</f>
        <v>PORK</v>
      </c>
      <c r="C263" s="9">
        <f>Data!C264</f>
        <v>63414</v>
      </c>
      <c r="D263" s="10" t="s">
        <v>1044</v>
      </c>
      <c r="E263" s="11">
        <f>SUM(Data!I264,Data!K264,Data!M264,Data!O264,Data!Q264,Data!S264,Data!U264,Data!W264,Data!Y264,Data!AA264,Data!AC264,Data!AE264,Data!AG264,Data!AI264,Data!AK264,Data!AM264,Data!AO264,Data!AQ264,Data!AS264)</f>
        <v>0</v>
      </c>
      <c r="F263" s="11">
        <f>SUM(Data!DI264,Data!DK264,Data!DM264,Data!DO264,Data!DQ264,Data!DS264,Data!DU264,Data!DW264,Data!DY264,Data!EA264,Data!EC264,Data!EE264,Data!EG264,Data!EI264,Data!EK264,Data!EM264,Data!EO264,Data!EQ264,Data!ES264)</f>
        <v>1908.139130434786</v>
      </c>
      <c r="G263" s="11">
        <f>F263-E263</f>
        <v>1908.139130434786</v>
      </c>
      <c r="H263" s="13" t="str">
        <f>IF(E263=0,IF(F263&gt;0,"New",0),(F263-E263)/E263)</f>
        <v>New</v>
      </c>
      <c r="I263" s="12">
        <f>SUM(Data!J264,Data!L264,Data!N264,Data!P264,Data!R264,Data!T264,Data!V264,Data!X264,Data!Z264,Data!AB264,Data!AD264,Data!AF264,Data!AH264,Data!AJ264,Data!AL264,Data!AN264,Data!AP264,Data!AR264,Data!AT264)</f>
        <v>0</v>
      </c>
      <c r="J263" s="12">
        <f>SUM(Data!DJ264,Data!DL264,Data!DN264,Data!DP264,Data!DR264,Data!DT264,Data!DV264,Data!DX264,Data!DZ264,Data!EB264,Data!ED264,Data!EF264,Data!EH264,Data!EJ264,Data!EL264,Data!EN264,Data!EP264,Data!ER264,Data!ET264)</f>
        <v>17.501999999999999</v>
      </c>
      <c r="K263" s="12">
        <f>J263-I263</f>
        <v>17.501999999999999</v>
      </c>
      <c r="L263" s="13" t="str">
        <f>IF(I263=0,IF(J263&gt;0,"New",0),(J263-I263)/I263)</f>
        <v>New</v>
      </c>
      <c r="M263" t="str">
        <f>IF(F263=0,"No 2026 Sales",IF(E263=0,"New Product",IF(AND(ISNUMBER(H263),H263&gt;0.1),"↑ Strong Growth",IF(AND(ISNUMBER(H263),H263&gt;0),"↗ Growth",IF(AND(ISNUMBER(H263),H263&lt;-0.1),"↓ Strong Decline",IF(AND(ISNUMBER(H263),H263&lt;0),"↘ Decline","→ Stable"))))))</f>
        <v>New Product</v>
      </c>
    </row>
    <row r="264" spans="1:13" x14ac:dyDescent="0.35">
      <c r="A264">
        <f>Data!A265</f>
        <v>207</v>
      </c>
      <c r="B264" t="str">
        <f>Data!B265</f>
        <v>PORK</v>
      </c>
      <c r="C264" s="9">
        <f>Data!C265</f>
        <v>63470</v>
      </c>
      <c r="D264" s="10" t="s">
        <v>1045</v>
      </c>
      <c r="E264" s="11">
        <f>SUM(Data!I265,Data!K265,Data!M265,Data!O265,Data!Q265,Data!S265,Data!U265,Data!W265,Data!Y265,Data!AA265,Data!AC265,Data!AE265,Data!AG265,Data!AI265,Data!AK265,Data!AM265,Data!AO265,Data!AQ265,Data!AS265)</f>
        <v>0</v>
      </c>
      <c r="F264" s="11">
        <f>SUM(Data!DI265,Data!DK265,Data!DM265,Data!DO265,Data!DQ265,Data!DS265,Data!DU265,Data!DW265,Data!DY265,Data!EA265,Data!EC265,Data!EE265,Data!EG265,Data!EI265,Data!EK265,Data!EM265,Data!EO265,Data!EQ265,Data!ES265)</f>
        <v>141843.94782608695</v>
      </c>
      <c r="G264" s="11">
        <f>F264-E264</f>
        <v>141843.94782608695</v>
      </c>
      <c r="H264" s="13" t="str">
        <f>IF(E264=0,IF(F264&gt;0,"New",0),(F264-E264)/E264)</f>
        <v>New</v>
      </c>
      <c r="I264" s="12">
        <f>SUM(Data!J265,Data!L265,Data!N265,Data!P265,Data!R265,Data!T265,Data!V265,Data!X265,Data!Z265,Data!AB265,Data!AD265,Data!AF265,Data!AH265,Data!AJ265,Data!AL265,Data!AN265,Data!AP265,Data!AR265,Data!AT265)</f>
        <v>0</v>
      </c>
      <c r="J264" s="12">
        <f>SUM(Data!DJ265,Data!DL265,Data!DN265,Data!DP265,Data!DR265,Data!DT265,Data!DV265,Data!DX265,Data!DZ265,Data!EB265,Data!ED265,Data!EF265,Data!EH265,Data!EJ265,Data!EL265,Data!EN265,Data!EP265,Data!ER265,Data!ET265)</f>
        <v>1667.01</v>
      </c>
      <c r="K264" s="12">
        <f>J264-I264</f>
        <v>1667.01</v>
      </c>
      <c r="L264" s="13" t="str">
        <f>IF(I264=0,IF(J264&gt;0,"New",0),(J264-I264)/I264)</f>
        <v>New</v>
      </c>
      <c r="M264" t="str">
        <f>IF(F264=0,"No 2026 Sales",IF(E264=0,"New Product",IF(AND(ISNUMBER(H264),H264&gt;0.1),"↑ Strong Growth",IF(AND(ISNUMBER(H264),H264&gt;0),"↗ Growth",IF(AND(ISNUMBER(H264),H264&lt;-0.1),"↓ Strong Decline",IF(AND(ISNUMBER(H264),H264&lt;0),"↘ Decline","→ Stable"))))))</f>
        <v>New Product</v>
      </c>
    </row>
    <row r="265" spans="1:13" x14ac:dyDescent="0.35">
      <c r="A265">
        <f>Data!A266</f>
        <v>207</v>
      </c>
      <c r="B265" t="str">
        <f>Data!B266</f>
        <v>PORK</v>
      </c>
      <c r="C265" s="9">
        <f>Data!C266</f>
        <v>63471</v>
      </c>
      <c r="D265" s="10" t="s">
        <v>1046</v>
      </c>
      <c r="E265" s="11">
        <f>SUM(Data!I266,Data!K266,Data!M266,Data!O266,Data!Q266,Data!S266,Data!U266,Data!W266,Data!Y266,Data!AA266,Data!AC266,Data!AE266,Data!AG266,Data!AI266,Data!AK266,Data!AM266,Data!AO266,Data!AQ266,Data!AS266)</f>
        <v>0</v>
      </c>
      <c r="F265" s="11">
        <f>SUM(Data!DI266,Data!DK266,Data!DM266,Data!DO266,Data!DQ266,Data!DS266,Data!DU266,Data!DW266,Data!DY266,Data!EA266,Data!EC266,Data!EE266,Data!EG266,Data!EI266,Data!EK266,Data!EM266,Data!EO266,Data!EQ266,Data!ES266)</f>
        <v>107013.23478260869</v>
      </c>
      <c r="G265" s="11">
        <f>F265-E265</f>
        <v>107013.23478260869</v>
      </c>
      <c r="H265" s="13" t="str">
        <f>IF(E265=0,IF(F265&gt;0,"New",0),(F265-E265)/E265)</f>
        <v>New</v>
      </c>
      <c r="I265" s="12">
        <f>SUM(Data!J266,Data!L266,Data!N266,Data!P266,Data!R266,Data!T266,Data!V266,Data!X266,Data!Z266,Data!AB266,Data!AD266,Data!AF266,Data!AH266,Data!AJ266,Data!AL266,Data!AN266,Data!AP266,Data!AR266,Data!AT266)</f>
        <v>0</v>
      </c>
      <c r="J265" s="12">
        <f>SUM(Data!DJ266,Data!DL266,Data!DN266,Data!DP266,Data!DR266,Data!DT266,Data!DV266,Data!DX266,Data!DZ266,Data!EB266,Data!ED266,Data!EF266,Data!EH266,Data!EJ266,Data!EL266,Data!EN266,Data!EP266,Data!ER266,Data!ET266)</f>
        <v>1198.4959999999999</v>
      </c>
      <c r="K265" s="12">
        <f>J265-I265</f>
        <v>1198.4959999999999</v>
      </c>
      <c r="L265" s="13" t="str">
        <f>IF(I265=0,IF(J265&gt;0,"New",0),(J265-I265)/I265)</f>
        <v>New</v>
      </c>
      <c r="M265" t="str">
        <f>IF(F265=0,"No 2026 Sales",IF(E265=0,"New Product",IF(AND(ISNUMBER(H265),H265&gt;0.1),"↑ Strong Growth",IF(AND(ISNUMBER(H265),H265&gt;0),"↗ Growth",IF(AND(ISNUMBER(H265),H265&lt;-0.1),"↓ Strong Decline",IF(AND(ISNUMBER(H265),H265&lt;0),"↘ Decline","→ Stable"))))))</f>
        <v>New Product</v>
      </c>
    </row>
    <row r="266" spans="1:13" x14ac:dyDescent="0.35">
      <c r="A266">
        <f>Data!A267</f>
        <v>207</v>
      </c>
      <c r="B266" t="str">
        <f>Data!B267</f>
        <v>PORK</v>
      </c>
      <c r="C266" s="9">
        <f>Data!C267</f>
        <v>63472</v>
      </c>
      <c r="D266" s="10" t="s">
        <v>1047</v>
      </c>
      <c r="E266" s="11">
        <f>SUM(Data!I267,Data!K267,Data!M267,Data!O267,Data!Q267,Data!S267,Data!U267,Data!W267,Data!Y267,Data!AA267,Data!AC267,Data!AE267,Data!AG267,Data!AI267,Data!AK267,Data!AM267,Data!AO267,Data!AQ267,Data!AS267)</f>
        <v>0</v>
      </c>
      <c r="F266" s="11">
        <f>SUM(Data!DI267,Data!DK267,Data!DM267,Data!DO267,Data!DQ267,Data!DS267,Data!DU267,Data!DW267,Data!DY267,Data!EA267,Data!EC267,Data!EE267,Data!EG267,Data!EI267,Data!EK267,Data!EM267,Data!EO267,Data!EQ267,Data!ES267)</f>
        <v>29971.234782608684</v>
      </c>
      <c r="G266" s="11">
        <f>F266-E266</f>
        <v>29971.234782608684</v>
      </c>
      <c r="H266" s="13" t="str">
        <f>IF(E266=0,IF(F266&gt;0,"New",0),(F266-E266)/E266)</f>
        <v>New</v>
      </c>
      <c r="I266" s="12">
        <f>SUM(Data!J267,Data!L267,Data!N267,Data!P267,Data!R267,Data!T267,Data!V267,Data!X267,Data!Z267,Data!AB267,Data!AD267,Data!AF267,Data!AH267,Data!AJ267,Data!AL267,Data!AN267,Data!AP267,Data!AR267,Data!AT267)</f>
        <v>0</v>
      </c>
      <c r="J266" s="12">
        <f>SUM(Data!DJ267,Data!DL267,Data!DN267,Data!DP267,Data!DR267,Data!DT267,Data!DV267,Data!DX267,Data!DZ267,Data!EB267,Data!ED267,Data!EF267,Data!EH267,Data!EJ267,Data!EL267,Data!EN267,Data!EP267,Data!ER267,Data!ET267)</f>
        <v>332.08600000000007</v>
      </c>
      <c r="K266" s="12">
        <f>J266-I266</f>
        <v>332.08600000000007</v>
      </c>
      <c r="L266" s="13" t="str">
        <f>IF(I266=0,IF(J266&gt;0,"New",0),(J266-I266)/I266)</f>
        <v>New</v>
      </c>
      <c r="M266" t="str">
        <f>IF(F266=0,"No 2026 Sales",IF(E266=0,"New Product",IF(AND(ISNUMBER(H266),H266&gt;0.1),"↑ Strong Growth",IF(AND(ISNUMBER(H266),H266&gt;0),"↗ Growth",IF(AND(ISNUMBER(H266),H266&lt;-0.1),"↓ Strong Decline",IF(AND(ISNUMBER(H266),H266&lt;0),"↘ Decline","→ Stable"))))))</f>
        <v>New Product</v>
      </c>
    </row>
    <row r="267" spans="1:13" x14ac:dyDescent="0.35">
      <c r="A267">
        <f>Data!A268</f>
        <v>207</v>
      </c>
      <c r="B267" t="str">
        <f>Data!B268</f>
        <v>PORK</v>
      </c>
      <c r="C267" s="9">
        <f>Data!C268</f>
        <v>63474</v>
      </c>
      <c r="D267" s="10" t="s">
        <v>1048</v>
      </c>
      <c r="E267" s="11">
        <f>SUM(Data!I268,Data!K268,Data!M268,Data!O268,Data!Q268,Data!S268,Data!U268,Data!W268,Data!Y268,Data!AA268,Data!AC268,Data!AE268,Data!AG268,Data!AI268,Data!AK268,Data!AM268,Data!AO268,Data!AQ268,Data!AS268)</f>
        <v>0</v>
      </c>
      <c r="F267" s="11">
        <f>SUM(Data!DI268,Data!DK268,Data!DM268,Data!DO268,Data!DQ268,Data!DS268,Data!DU268,Data!DW268,Data!DY268,Data!EA268,Data!EC268,Data!EE268,Data!EG268,Data!EI268,Data!EK268,Data!EM268,Data!EO268,Data!EQ268,Data!ES268)</f>
        <v>58699.365217391329</v>
      </c>
      <c r="G267" s="11">
        <f>F267-E267</f>
        <v>58699.365217391329</v>
      </c>
      <c r="H267" s="13" t="str">
        <f>IF(E267=0,IF(F267&gt;0,"New",0),(F267-E267)/E267)</f>
        <v>New</v>
      </c>
      <c r="I267" s="12">
        <f>SUM(Data!J268,Data!L268,Data!N268,Data!P268,Data!R268,Data!T268,Data!V268,Data!X268,Data!Z268,Data!AB268,Data!AD268,Data!AF268,Data!AH268,Data!AJ268,Data!AL268,Data!AN268,Data!AP268,Data!AR268,Data!AT268)</f>
        <v>0</v>
      </c>
      <c r="J267" s="12">
        <f>SUM(Data!DJ268,Data!DL268,Data!DN268,Data!DP268,Data!DR268,Data!DT268,Data!DV268,Data!DX268,Data!DZ268,Data!EB268,Data!ED268,Data!EF268,Data!EH268,Data!EJ268,Data!EL268,Data!EN268,Data!EP268,Data!ER268,Data!ET268)</f>
        <v>522.38800000000003</v>
      </c>
      <c r="K267" s="12">
        <f>J267-I267</f>
        <v>522.38800000000003</v>
      </c>
      <c r="L267" s="13" t="str">
        <f>IF(I267=0,IF(J267&gt;0,"New",0),(J267-I267)/I267)</f>
        <v>New</v>
      </c>
      <c r="M267" t="str">
        <f>IF(F267=0,"No 2026 Sales",IF(E267=0,"New Product",IF(AND(ISNUMBER(H267),H267&gt;0.1),"↑ Strong Growth",IF(AND(ISNUMBER(H267),H267&gt;0),"↗ Growth",IF(AND(ISNUMBER(H267),H267&lt;-0.1),"↓ Strong Decline",IF(AND(ISNUMBER(H267),H267&lt;0),"↘ Decline","→ Stable"))))))</f>
        <v>New Product</v>
      </c>
    </row>
    <row r="268" spans="1:13" x14ac:dyDescent="0.35">
      <c r="A268">
        <f>Data!A269</f>
        <v>207</v>
      </c>
      <c r="B268" t="str">
        <f>Data!B269</f>
        <v>PORK</v>
      </c>
      <c r="C268" s="9">
        <f>Data!C269</f>
        <v>63497</v>
      </c>
      <c r="D268" s="10" t="s">
        <v>1049</v>
      </c>
      <c r="E268" s="11">
        <f>SUM(Data!I269,Data!K269,Data!M269,Data!O269,Data!Q269,Data!S269,Data!U269,Data!W269,Data!Y269,Data!AA269,Data!AC269,Data!AE269,Data!AG269,Data!AI269,Data!AK269,Data!AM269,Data!AO269,Data!AQ269,Data!AS269)</f>
        <v>0</v>
      </c>
      <c r="F268" s="11">
        <f>SUM(Data!DI269,Data!DK269,Data!DM269,Data!DO269,Data!DQ269,Data!DS269,Data!DU269,Data!DW269,Data!DY269,Data!EA269,Data!EC269,Data!EE269,Data!EG269,Data!EI269,Data!EK269,Data!EM269,Data!EO269,Data!EQ269,Data!ES269)</f>
        <v>13725.721739130437</v>
      </c>
      <c r="G268" s="11">
        <f>F268-E268</f>
        <v>13725.721739130437</v>
      </c>
      <c r="H268" s="13" t="str">
        <f>IF(E268=0,IF(F268&gt;0,"New",0),(F268-E268)/E268)</f>
        <v>New</v>
      </c>
      <c r="I268" s="12">
        <f>SUM(Data!J269,Data!L269,Data!N269,Data!P269,Data!R269,Data!T269,Data!V269,Data!X269,Data!Z269,Data!AB269,Data!AD269,Data!AF269,Data!AH269,Data!AJ269,Data!AL269,Data!AN269,Data!AP269,Data!AR269,Data!AT269)</f>
        <v>0</v>
      </c>
      <c r="J268" s="12">
        <f>SUM(Data!DJ269,Data!DL269,Data!DN269,Data!DP269,Data!DR269,Data!DT269,Data!DV269,Data!DX269,Data!DZ269,Data!EB269,Data!ED269,Data!EF269,Data!EH269,Data!EJ269,Data!EL269,Data!EN269,Data!EP269,Data!ER269,Data!ET269)</f>
        <v>115.78199999999998</v>
      </c>
      <c r="K268" s="12">
        <f>J268-I268</f>
        <v>115.78199999999998</v>
      </c>
      <c r="L268" s="13" t="str">
        <f>IF(I268=0,IF(J268&gt;0,"New",0),(J268-I268)/I268)</f>
        <v>New</v>
      </c>
      <c r="M268" t="str">
        <f>IF(F268=0,"No 2026 Sales",IF(E268=0,"New Product",IF(AND(ISNUMBER(H268),H268&gt;0.1),"↑ Strong Growth",IF(AND(ISNUMBER(H268),H268&gt;0),"↗ Growth",IF(AND(ISNUMBER(H268),H268&lt;-0.1),"↓ Strong Decline",IF(AND(ISNUMBER(H268),H268&lt;0),"↘ Decline","→ Stable"))))))</f>
        <v>New Product</v>
      </c>
    </row>
    <row r="269" spans="1:13" x14ac:dyDescent="0.35">
      <c r="A269">
        <f>Data!A270</f>
        <v>207</v>
      </c>
      <c r="B269" t="str">
        <f>Data!B270</f>
        <v>PORK</v>
      </c>
      <c r="C269" s="9">
        <f>Data!C270</f>
        <v>63523</v>
      </c>
      <c r="D269" s="10" t="s">
        <v>1050</v>
      </c>
      <c r="E269" s="11">
        <f>SUM(Data!I270,Data!K270,Data!M270,Data!O270,Data!Q270,Data!S270,Data!U270,Data!W270,Data!Y270,Data!AA270,Data!AC270,Data!AE270,Data!AG270,Data!AI270,Data!AK270,Data!AM270,Data!AO270,Data!AQ270,Data!AS270)</f>
        <v>0</v>
      </c>
      <c r="F269" s="11">
        <f>SUM(Data!DI270,Data!DK270,Data!DM270,Data!DO270,Data!DQ270,Data!DS270,Data!DU270,Data!DW270,Data!DY270,Data!EA270,Data!EC270,Data!EE270,Data!EG270,Data!EI270,Data!EK270,Data!EM270,Data!EO270,Data!EQ270,Data!ES270)</f>
        <v>36889.521739130447</v>
      </c>
      <c r="G269" s="11">
        <f>F269-E269</f>
        <v>36889.521739130447</v>
      </c>
      <c r="H269" s="13" t="str">
        <f>IF(E269=0,IF(F269&gt;0,"New",0),(F269-E269)/E269)</f>
        <v>New</v>
      </c>
      <c r="I269" s="12">
        <f>SUM(Data!J270,Data!L270,Data!N270,Data!P270,Data!R270,Data!T270,Data!V270,Data!X270,Data!Z270,Data!AB270,Data!AD270,Data!AF270,Data!AH270,Data!AJ270,Data!AL270,Data!AN270,Data!AP270,Data!AR270,Data!AT270)</f>
        <v>0</v>
      </c>
      <c r="J269" s="12">
        <f>SUM(Data!DJ270,Data!DL270,Data!DN270,Data!DP270,Data!DR270,Data!DT270,Data!DV270,Data!DX270,Data!DZ270,Data!EB270,Data!ED270,Data!EF270,Data!EH270,Data!EJ270,Data!EL270,Data!EN270,Data!EP270,Data!ER270,Data!ET270)</f>
        <v>554.06899999999985</v>
      </c>
      <c r="K269" s="12">
        <f>J269-I269</f>
        <v>554.06899999999985</v>
      </c>
      <c r="L269" s="13" t="str">
        <f>IF(I269=0,IF(J269&gt;0,"New",0),(J269-I269)/I269)</f>
        <v>New</v>
      </c>
      <c r="M269" t="str">
        <f>IF(F269=0,"No 2026 Sales",IF(E269=0,"New Product",IF(AND(ISNUMBER(H269),H269&gt;0.1),"↑ Strong Growth",IF(AND(ISNUMBER(H269),H269&gt;0),"↗ Growth",IF(AND(ISNUMBER(H269),H269&lt;-0.1),"↓ Strong Decline",IF(AND(ISNUMBER(H269),H269&lt;0),"↘ Decline","→ Stable"))))))</f>
        <v>New Product</v>
      </c>
    </row>
    <row r="270" spans="1:13" x14ac:dyDescent="0.35">
      <c r="A270">
        <f>Data!A271</f>
        <v>207</v>
      </c>
      <c r="B270" t="str">
        <f>Data!B271</f>
        <v>PORK</v>
      </c>
      <c r="C270" s="9">
        <f>Data!C271</f>
        <v>64053</v>
      </c>
      <c r="D270" s="10" t="s">
        <v>1051</v>
      </c>
      <c r="E270" s="11">
        <f>SUM(Data!I271,Data!K271,Data!M271,Data!O271,Data!Q271,Data!S271,Data!U271,Data!W271,Data!Y271,Data!AA271,Data!AC271,Data!AE271,Data!AG271,Data!AI271,Data!AK271,Data!AM271,Data!AO271,Data!AQ271,Data!AS271)</f>
        <v>0</v>
      </c>
      <c r="F270" s="11">
        <f>SUM(Data!DI271,Data!DK271,Data!DM271,Data!DO271,Data!DQ271,Data!DS271,Data!DU271,Data!DW271,Data!DY271,Data!EA271,Data!EC271,Data!EE271,Data!EG271,Data!EI271,Data!EK271,Data!EM271,Data!EO271,Data!EQ271,Data!ES271)</f>
        <v>11367.747826086958</v>
      </c>
      <c r="G270" s="11">
        <f>F270-E270</f>
        <v>11367.747826086958</v>
      </c>
      <c r="H270" s="13" t="str">
        <f>IF(E270=0,IF(F270&gt;0,"New",0),(F270-E270)/E270)</f>
        <v>New</v>
      </c>
      <c r="I270" s="12">
        <f>SUM(Data!J271,Data!L271,Data!N271,Data!P271,Data!R271,Data!T271,Data!V271,Data!X271,Data!Z271,Data!AB271,Data!AD271,Data!AF271,Data!AH271,Data!AJ271,Data!AL271,Data!AN271,Data!AP271,Data!AR271,Data!AT271)</f>
        <v>0</v>
      </c>
      <c r="J270" s="12">
        <f>SUM(Data!DJ271,Data!DL271,Data!DN271,Data!DP271,Data!DR271,Data!DT271,Data!DV271,Data!DX271,Data!DZ271,Data!EB271,Data!ED271,Data!EF271,Data!EH271,Data!EJ271,Data!EL271,Data!EN271,Data!EP271,Data!ER271,Data!ET271)</f>
        <v>109</v>
      </c>
      <c r="K270" s="12">
        <f>J270-I270</f>
        <v>109</v>
      </c>
      <c r="L270" s="13" t="str">
        <f>IF(I270=0,IF(J270&gt;0,"New",0),(J270-I270)/I270)</f>
        <v>New</v>
      </c>
      <c r="M270" t="str">
        <f>IF(F270=0,"No 2026 Sales",IF(E270=0,"New Product",IF(AND(ISNUMBER(H270),H270&gt;0.1),"↑ Strong Growth",IF(AND(ISNUMBER(H270),H270&gt;0),"↗ Growth",IF(AND(ISNUMBER(H270),H270&lt;-0.1),"↓ Strong Decline",IF(AND(ISNUMBER(H270),H270&lt;0),"↘ Decline","→ Stable"))))))</f>
        <v>New Product</v>
      </c>
    </row>
    <row r="271" spans="1:13" hidden="1" x14ac:dyDescent="0.35">
      <c r="A271">
        <f>Data!A272</f>
        <v>207</v>
      </c>
      <c r="B271" t="str">
        <f>Data!B272</f>
        <v>PORK</v>
      </c>
      <c r="C271" s="9">
        <f>Data!C272</f>
        <v>64126</v>
      </c>
      <c r="D271" s="10" t="s">
        <v>1052</v>
      </c>
      <c r="E271" s="11">
        <f>SUM(Data!I272,Data!K272,Data!M272,Data!O272,Data!Q272,Data!S272,Data!U272,Data!W272,Data!Y272,Data!AA272,Data!AC272,Data!AE272,Data!AG272,Data!AI272,Data!AK272,Data!AM272,Data!AO272,Data!AQ272,Data!AS272)</f>
        <v>0</v>
      </c>
      <c r="F271" s="11">
        <f>SUM(Data!DI272,Data!DK272,Data!DM272,Data!DO272,Data!DQ272,Data!DS272,Data!DU272,Data!DW272,Data!DY272,Data!EA272,Data!EC272,Data!EE272,Data!EG272,Data!EI272,Data!EK272,Data!EM272,Data!EO272,Data!EQ272,Data!ES272)</f>
        <v>0</v>
      </c>
      <c r="G271" s="11">
        <f>F271-E271</f>
        <v>0</v>
      </c>
      <c r="H271">
        <f>IF(E271=0,IF(F271&gt;0,"New",0),(F271-E271)/E271)</f>
        <v>0</v>
      </c>
      <c r="I271" s="12">
        <f>SUM(Data!J272,Data!L272,Data!N272,Data!P272,Data!R272,Data!T272,Data!V272,Data!X272,Data!Z272,Data!AB272,Data!AD272,Data!AF272,Data!AH272,Data!AJ272,Data!AL272,Data!AN272,Data!AP272,Data!AR272,Data!AT272)</f>
        <v>0</v>
      </c>
      <c r="J271" s="12">
        <f>SUM(Data!DJ272,Data!DL272,Data!DN272,Data!DP272,Data!DR272,Data!DT272,Data!DV272,Data!DX272,Data!DZ272,Data!EB272,Data!ED272,Data!EF272,Data!EH272,Data!EJ272,Data!EL272,Data!EN272,Data!EP272,Data!ER272,Data!ET272)</f>
        <v>0</v>
      </c>
      <c r="K271" s="12">
        <f>J271-I271</f>
        <v>0</v>
      </c>
      <c r="L271">
        <f>IF(I271=0,IF(J271&gt;0,"New",0),(J271-I271)/I271)</f>
        <v>0</v>
      </c>
      <c r="M271" t="str">
        <f>IF(F271=0,"No 2026 Sales",IF(E271=0,"New Product",IF(AND(ISNUMBER(H271),H271&gt;0.1),"↑ Strong Growth",IF(AND(ISNUMBER(H271),H271&gt;0),"↗ Growth",IF(AND(ISNUMBER(H271),H271&lt;-0.1),"↓ Strong Decline",IF(AND(ISNUMBER(H271),H271&lt;0),"↘ Decline","→ Stable"))))))</f>
        <v>No 2026 Sales</v>
      </c>
    </row>
    <row r="272" spans="1:13" x14ac:dyDescent="0.35">
      <c r="A272">
        <f>Data!A273</f>
        <v>207</v>
      </c>
      <c r="B272" t="str">
        <f>Data!B273</f>
        <v>PORK</v>
      </c>
      <c r="C272" s="9">
        <f>Data!C273</f>
        <v>66630</v>
      </c>
      <c r="D272" s="10" t="s">
        <v>1053</v>
      </c>
      <c r="E272" s="11">
        <f>SUM(Data!I273,Data!K273,Data!M273,Data!O273,Data!Q273,Data!S273,Data!U273,Data!W273,Data!Y273,Data!AA273,Data!AC273,Data!AE273,Data!AG273,Data!AI273,Data!AK273,Data!AM273,Data!AO273,Data!AQ273,Data!AS273)</f>
        <v>0</v>
      </c>
      <c r="F272" s="11">
        <f>SUM(Data!DI273,Data!DK273,Data!DM273,Data!DO273,Data!DQ273,Data!DS273,Data!DU273,Data!DW273,Data!DY273,Data!EA273,Data!EC273,Data!EE273,Data!EG273,Data!EI273,Data!EK273,Data!EM273,Data!EO273,Data!EQ273,Data!ES273)</f>
        <v>5899.5043478260795</v>
      </c>
      <c r="G272" s="11">
        <f>F272-E272</f>
        <v>5899.5043478260795</v>
      </c>
      <c r="H272" s="13" t="str">
        <f>IF(E272=0,IF(F272&gt;0,"New",0),(F272-E272)/E272)</f>
        <v>New</v>
      </c>
      <c r="I272" s="12">
        <f>SUM(Data!J273,Data!L273,Data!N273,Data!P273,Data!R273,Data!T273,Data!V273,Data!X273,Data!Z273,Data!AB273,Data!AD273,Data!AF273,Data!AH273,Data!AJ273,Data!AL273,Data!AN273,Data!AP273,Data!AR273,Data!AT273)</f>
        <v>0</v>
      </c>
      <c r="J272" s="12">
        <f>SUM(Data!DJ273,Data!DL273,Data!DN273,Data!DP273,Data!DR273,Data!DT273,Data!DV273,Data!DX273,Data!DZ273,Data!EB273,Data!ED273,Data!EF273,Data!EH273,Data!EJ273,Data!EL273,Data!EN273,Data!EP273,Data!ER273,Data!ET273)</f>
        <v>78.128</v>
      </c>
      <c r="K272" s="12">
        <f>J272-I272</f>
        <v>78.128</v>
      </c>
      <c r="L272" s="13" t="str">
        <f>IF(I272=0,IF(J272&gt;0,"New",0),(J272-I272)/I272)</f>
        <v>New</v>
      </c>
      <c r="M272" t="str">
        <f>IF(F272=0,"No 2026 Sales",IF(E272=0,"New Product",IF(AND(ISNUMBER(H272),H272&gt;0.1),"↑ Strong Growth",IF(AND(ISNUMBER(H272),H272&gt;0),"↗ Growth",IF(AND(ISNUMBER(H272),H272&lt;-0.1),"↓ Strong Decline",IF(AND(ISNUMBER(H272),H272&lt;0),"↘ Decline","→ Stable"))))))</f>
        <v>New Product</v>
      </c>
    </row>
    <row r="273" spans="1:13" hidden="1" x14ac:dyDescent="0.35">
      <c r="A273">
        <f>Data!A274</f>
        <v>207</v>
      </c>
      <c r="B273" t="str">
        <f>Data!B274</f>
        <v>PORK</v>
      </c>
      <c r="C273" s="9">
        <f>Data!C274</f>
        <v>99990207</v>
      </c>
      <c r="D273" s="10" t="s">
        <v>1054</v>
      </c>
      <c r="E273" s="11">
        <f>SUM(Data!I274,Data!K274,Data!M274,Data!O274,Data!Q274,Data!S274,Data!U274,Data!W274,Data!Y274,Data!AA274,Data!AC274,Data!AE274,Data!AG274,Data!AI274,Data!AK274,Data!AM274,Data!AO274,Data!AQ274,Data!AS274)</f>
        <v>0</v>
      </c>
      <c r="F273" s="11">
        <f>SUM(Data!DI274,Data!DK274,Data!DM274,Data!DO274,Data!DQ274,Data!DS274,Data!DU274,Data!DW274,Data!DY274,Data!EA274,Data!EC274,Data!EE274,Data!EG274,Data!EI274,Data!EK274,Data!EM274,Data!EO274,Data!EQ274,Data!ES274)</f>
        <v>0</v>
      </c>
      <c r="G273" s="11">
        <f>F273-E273</f>
        <v>0</v>
      </c>
      <c r="H273">
        <f>IF(E273=0,IF(F273&gt;0,"New",0),(F273-E273)/E273)</f>
        <v>0</v>
      </c>
      <c r="I273" s="12">
        <f>SUM(Data!J274,Data!L274,Data!N274,Data!P274,Data!R274,Data!T274,Data!V274,Data!X274,Data!Z274,Data!AB274,Data!AD274,Data!AF274,Data!AH274,Data!AJ274,Data!AL274,Data!AN274,Data!AP274,Data!AR274,Data!AT274)</f>
        <v>0</v>
      </c>
      <c r="J273" s="12">
        <f>SUM(Data!DJ274,Data!DL274,Data!DN274,Data!DP274,Data!DR274,Data!DT274,Data!DV274,Data!DX274,Data!DZ274,Data!EB274,Data!ED274,Data!EF274,Data!EH274,Data!EJ274,Data!EL274,Data!EN274,Data!EP274,Data!ER274,Data!ET274)</f>
        <v>0</v>
      </c>
      <c r="K273" s="12">
        <f>J273-I273</f>
        <v>0</v>
      </c>
      <c r="L273">
        <f>IF(I273=0,IF(J273&gt;0,"New",0),(J273-I273)/I273)</f>
        <v>0</v>
      </c>
      <c r="M273" t="str">
        <f>IF(F273=0,"No 2026 Sales",IF(E273=0,"New Product",IF(AND(ISNUMBER(H273),H273&gt;0.1),"↑ Strong Growth",IF(AND(ISNUMBER(H273),H273&gt;0),"↗ Growth",IF(AND(ISNUMBER(H273),H273&lt;-0.1),"↓ Strong Decline",IF(AND(ISNUMBER(H273),H273&lt;0),"↘ Decline","→ Stable"))))))</f>
        <v>No 2026 Sales</v>
      </c>
    </row>
    <row r="274" spans="1:13" hidden="1" x14ac:dyDescent="0.35">
      <c r="A274">
        <f>Data!A275</f>
        <v>210</v>
      </c>
      <c r="B274" t="str">
        <f>Data!B275</f>
        <v>INGREDIENTS</v>
      </c>
      <c r="C274" s="9">
        <f>Data!C275</f>
        <v>2749</v>
      </c>
      <c r="D274" s="10" t="s">
        <v>1055</v>
      </c>
      <c r="E274" s="11">
        <f>SUM(Data!I275,Data!K275,Data!M275,Data!O275,Data!Q275,Data!S275,Data!U275,Data!W275,Data!Y275,Data!AA275,Data!AC275,Data!AE275,Data!AG275,Data!AI275,Data!AK275,Data!AM275,Data!AO275,Data!AQ275,Data!AS275)</f>
        <v>0</v>
      </c>
      <c r="F274" s="11">
        <f>SUM(Data!DI275,Data!DK275,Data!DM275,Data!DO275,Data!DQ275,Data!DS275,Data!DU275,Data!DW275,Data!DY275,Data!EA275,Data!EC275,Data!EE275,Data!EG275,Data!EI275,Data!EK275,Data!EM275,Data!EO275,Data!EQ275,Data!ES275)</f>
        <v>0</v>
      </c>
      <c r="G274" s="11">
        <f>F274-E274</f>
        <v>0</v>
      </c>
      <c r="H274">
        <f>IF(E274=0,IF(F274&gt;0,"New",0),(F274-E274)/E274)</f>
        <v>0</v>
      </c>
      <c r="I274" s="12">
        <f>SUM(Data!J275,Data!L275,Data!N275,Data!P275,Data!R275,Data!T275,Data!V275,Data!X275,Data!Z275,Data!AB275,Data!AD275,Data!AF275,Data!AH275,Data!AJ275,Data!AL275,Data!AN275,Data!AP275,Data!AR275,Data!AT275)</f>
        <v>0</v>
      </c>
      <c r="J274" s="12">
        <f>SUM(Data!DJ275,Data!DL275,Data!DN275,Data!DP275,Data!DR275,Data!DT275,Data!DV275,Data!DX275,Data!DZ275,Data!EB275,Data!ED275,Data!EF275,Data!EH275,Data!EJ275,Data!EL275,Data!EN275,Data!EP275,Data!ER275,Data!ET275)</f>
        <v>0</v>
      </c>
      <c r="K274" s="12">
        <f>J274-I274</f>
        <v>0</v>
      </c>
      <c r="L274">
        <f>IF(I274=0,IF(J274&gt;0,"New",0),(J274-I274)/I274)</f>
        <v>0</v>
      </c>
      <c r="M274" t="str">
        <f>IF(F274=0,"No 2026 Sales",IF(E274=0,"New Product",IF(AND(ISNUMBER(H274),H274&gt;0.1),"↑ Strong Growth",IF(AND(ISNUMBER(H274),H274&gt;0),"↗ Growth",IF(AND(ISNUMBER(H274),H274&lt;-0.1),"↓ Strong Decline",IF(AND(ISNUMBER(H274),H274&lt;0),"↘ Decline","→ Stable"))))))</f>
        <v>No 2026 Sales</v>
      </c>
    </row>
    <row r="275" spans="1:13" hidden="1" x14ac:dyDescent="0.35">
      <c r="A275">
        <f>Data!A276</f>
        <v>210</v>
      </c>
      <c r="B275" t="str">
        <f>Data!B276</f>
        <v>INGREDIENTS</v>
      </c>
      <c r="C275" s="9">
        <f>Data!C276</f>
        <v>11140</v>
      </c>
      <c r="D275" s="10" t="s">
        <v>1056</v>
      </c>
      <c r="E275" s="11">
        <f>SUM(Data!I276,Data!K276,Data!M276,Data!O276,Data!Q276,Data!S276,Data!U276,Data!W276,Data!Y276,Data!AA276,Data!AC276,Data!AE276,Data!AG276,Data!AI276,Data!AK276,Data!AM276,Data!AO276,Data!AQ276,Data!AS276)</f>
        <v>5247.8869565217401</v>
      </c>
      <c r="F275" s="11">
        <f>SUM(Data!DI276,Data!DK276,Data!DM276,Data!DO276,Data!DQ276,Data!DS276,Data!DU276,Data!DW276,Data!DY276,Data!EA276,Data!EC276,Data!EE276,Data!EG276,Data!EI276,Data!EK276,Data!EM276,Data!EO276,Data!EQ276,Data!ES276)</f>
        <v>0</v>
      </c>
      <c r="G275" s="11">
        <f>F275-E275</f>
        <v>-5247.8869565217401</v>
      </c>
      <c r="H275">
        <f>IF(E275=0,IF(F275&gt;0,"New",0),(F275-E275)/E275)</f>
        <v>-1</v>
      </c>
      <c r="I275" s="12">
        <f>SUM(Data!J276,Data!L276,Data!N276,Data!P276,Data!R276,Data!T276,Data!V276,Data!X276,Data!Z276,Data!AB276,Data!AD276,Data!AF276,Data!AH276,Data!AJ276,Data!AL276,Data!AN276,Data!AP276,Data!AR276,Data!AT276)</f>
        <v>54.935999999999993</v>
      </c>
      <c r="J275" s="12">
        <f>SUM(Data!DJ276,Data!DL276,Data!DN276,Data!DP276,Data!DR276,Data!DT276,Data!DV276,Data!DX276,Data!DZ276,Data!EB276,Data!ED276,Data!EF276,Data!EH276,Data!EJ276,Data!EL276,Data!EN276,Data!EP276,Data!ER276,Data!ET276)</f>
        <v>0</v>
      </c>
      <c r="K275" s="12">
        <f>J275-I275</f>
        <v>-54.935999999999993</v>
      </c>
      <c r="L275">
        <f>IF(I275=0,IF(J275&gt;0,"New",0),(J275-I275)/I275)</f>
        <v>-1</v>
      </c>
      <c r="M275" t="str">
        <f>IF(F275=0,"No 2026 Sales",IF(E275=0,"New Product",IF(AND(ISNUMBER(H275),H275&gt;0.1),"↑ Strong Growth",IF(AND(ISNUMBER(H275),H275&gt;0),"↗ Growth",IF(AND(ISNUMBER(H275),H275&lt;-0.1),"↓ Strong Decline",IF(AND(ISNUMBER(H275),H275&lt;0),"↘ Decline","→ Stable"))))))</f>
        <v>No 2026 Sales</v>
      </c>
    </row>
    <row r="276" spans="1:13" hidden="1" x14ac:dyDescent="0.35">
      <c r="A276">
        <f>Data!A277</f>
        <v>210</v>
      </c>
      <c r="B276" t="str">
        <f>Data!B277</f>
        <v>INGREDIENTS</v>
      </c>
      <c r="C276" s="9">
        <f>Data!C277</f>
        <v>12135</v>
      </c>
      <c r="D276" s="10" t="s">
        <v>1057</v>
      </c>
      <c r="E276" s="11">
        <f>SUM(Data!I277,Data!K277,Data!M277,Data!O277,Data!Q277,Data!S277,Data!U277,Data!W277,Data!Y277,Data!AA277,Data!AC277,Data!AE277,Data!AG277,Data!AI277,Data!AK277,Data!AM277,Data!AO277,Data!AQ277,Data!AS277)</f>
        <v>0</v>
      </c>
      <c r="F276" s="11">
        <f>SUM(Data!DI277,Data!DK277,Data!DM277,Data!DO277,Data!DQ277,Data!DS277,Data!DU277,Data!DW277,Data!DY277,Data!EA277,Data!EC277,Data!EE277,Data!EG277,Data!EI277,Data!EK277,Data!EM277,Data!EO277,Data!EQ277,Data!ES277)</f>
        <v>0</v>
      </c>
      <c r="G276" s="11">
        <f>F276-E276</f>
        <v>0</v>
      </c>
      <c r="H276">
        <f>IF(E276=0,IF(F276&gt;0,"New",0),(F276-E276)/E276)</f>
        <v>0</v>
      </c>
      <c r="I276" s="12">
        <f>SUM(Data!J277,Data!L277,Data!N277,Data!P277,Data!R277,Data!T277,Data!V277,Data!X277,Data!Z277,Data!AB277,Data!AD277,Data!AF277,Data!AH277,Data!AJ277,Data!AL277,Data!AN277,Data!AP277,Data!AR277,Data!AT277)</f>
        <v>0</v>
      </c>
      <c r="J276" s="12">
        <f>SUM(Data!DJ277,Data!DL277,Data!DN277,Data!DP277,Data!DR277,Data!DT277,Data!DV277,Data!DX277,Data!DZ277,Data!EB277,Data!ED277,Data!EF277,Data!EH277,Data!EJ277,Data!EL277,Data!EN277,Data!EP277,Data!ER277,Data!ET277)</f>
        <v>0</v>
      </c>
      <c r="K276" s="12">
        <f>J276-I276</f>
        <v>0</v>
      </c>
      <c r="L276">
        <f>IF(I276=0,IF(J276&gt;0,"New",0),(J276-I276)/I276)</f>
        <v>0</v>
      </c>
      <c r="M276" t="str">
        <f>IF(F276=0,"No 2026 Sales",IF(E276=0,"New Product",IF(AND(ISNUMBER(H276),H276&gt;0.1),"↑ Strong Growth",IF(AND(ISNUMBER(H276),H276&gt;0),"↗ Growth",IF(AND(ISNUMBER(H276),H276&lt;-0.1),"↓ Strong Decline",IF(AND(ISNUMBER(H276),H276&lt;0),"↘ Decline","→ Stable"))))))</f>
        <v>No 2026 Sales</v>
      </c>
    </row>
    <row r="277" spans="1:13" hidden="1" x14ac:dyDescent="0.35">
      <c r="A277">
        <f>Data!A278</f>
        <v>210</v>
      </c>
      <c r="B277" t="str">
        <f>Data!B278</f>
        <v>INGREDIENTS</v>
      </c>
      <c r="C277" s="9">
        <f>Data!C278</f>
        <v>38903</v>
      </c>
      <c r="D277" s="10" t="s">
        <v>1058</v>
      </c>
      <c r="E277" s="11">
        <f>SUM(Data!I278,Data!K278,Data!M278,Data!O278,Data!Q278,Data!S278,Data!U278,Data!W278,Data!Y278,Data!AA278,Data!AC278,Data!AE278,Data!AG278,Data!AI278,Data!AK278,Data!AM278,Data!AO278,Data!AQ278,Data!AS278)</f>
        <v>0</v>
      </c>
      <c r="F277" s="11">
        <f>SUM(Data!DI278,Data!DK278,Data!DM278,Data!DO278,Data!DQ278,Data!DS278,Data!DU278,Data!DW278,Data!DY278,Data!EA278,Data!EC278,Data!EE278,Data!EG278,Data!EI278,Data!EK278,Data!EM278,Data!EO278,Data!EQ278,Data!ES278)</f>
        <v>0</v>
      </c>
      <c r="G277" s="11">
        <f>F277-E277</f>
        <v>0</v>
      </c>
      <c r="H277">
        <f>IF(E277=0,IF(F277&gt;0,"New",0),(F277-E277)/E277)</f>
        <v>0</v>
      </c>
      <c r="I277" s="12">
        <f>SUM(Data!J278,Data!L278,Data!N278,Data!P278,Data!R278,Data!T278,Data!V278,Data!X278,Data!Z278,Data!AB278,Data!AD278,Data!AF278,Data!AH278,Data!AJ278,Data!AL278,Data!AN278,Data!AP278,Data!AR278,Data!AT278)</f>
        <v>0</v>
      </c>
      <c r="J277" s="12">
        <f>SUM(Data!DJ278,Data!DL278,Data!DN278,Data!DP278,Data!DR278,Data!DT278,Data!DV278,Data!DX278,Data!DZ278,Data!EB278,Data!ED278,Data!EF278,Data!EH278,Data!EJ278,Data!EL278,Data!EN278,Data!EP278,Data!ER278,Data!ET278)</f>
        <v>0</v>
      </c>
      <c r="K277" s="12">
        <f>J277-I277</f>
        <v>0</v>
      </c>
      <c r="L277">
        <f>IF(I277=0,IF(J277&gt;0,"New",0),(J277-I277)/I277)</f>
        <v>0</v>
      </c>
      <c r="M277" t="str">
        <f>IF(F277=0,"No 2026 Sales",IF(E277=0,"New Product",IF(AND(ISNUMBER(H277),H277&gt;0.1),"↑ Strong Growth",IF(AND(ISNUMBER(H277),H277&gt;0),"↗ Growth",IF(AND(ISNUMBER(H277),H277&lt;-0.1),"↓ Strong Decline",IF(AND(ISNUMBER(H277),H277&lt;0),"↘ Decline","→ Stable"))))))</f>
        <v>No 2026 Sales</v>
      </c>
    </row>
    <row r="278" spans="1:13" hidden="1" x14ac:dyDescent="0.35">
      <c r="A278">
        <f>Data!A279</f>
        <v>210</v>
      </c>
      <c r="B278" t="str">
        <f>Data!B279</f>
        <v>INGREDIENTS</v>
      </c>
      <c r="C278" s="9">
        <f>Data!C279</f>
        <v>39402</v>
      </c>
      <c r="D278" s="10" t="s">
        <v>1059</v>
      </c>
      <c r="E278" s="11">
        <f>SUM(Data!I279,Data!K279,Data!M279,Data!O279,Data!Q279,Data!S279,Data!U279,Data!W279,Data!Y279,Data!AA279,Data!AC279,Data!AE279,Data!AG279,Data!AI279,Data!AK279,Data!AM279,Data!AO279,Data!AQ279,Data!AS279)</f>
        <v>0</v>
      </c>
      <c r="F278" s="11">
        <f>SUM(Data!DI279,Data!DK279,Data!DM279,Data!DO279,Data!DQ279,Data!DS279,Data!DU279,Data!DW279,Data!DY279,Data!EA279,Data!EC279,Data!EE279,Data!EG279,Data!EI279,Data!EK279,Data!EM279,Data!EO279,Data!EQ279,Data!ES279)</f>
        <v>0</v>
      </c>
      <c r="G278" s="11">
        <f>F278-E278</f>
        <v>0</v>
      </c>
      <c r="H278">
        <f>IF(E278=0,IF(F278&gt;0,"New",0),(F278-E278)/E278)</f>
        <v>0</v>
      </c>
      <c r="I278" s="12">
        <f>SUM(Data!J279,Data!L279,Data!N279,Data!P279,Data!R279,Data!T279,Data!V279,Data!X279,Data!Z279,Data!AB279,Data!AD279,Data!AF279,Data!AH279,Data!AJ279,Data!AL279,Data!AN279,Data!AP279,Data!AR279,Data!AT279)</f>
        <v>0</v>
      </c>
      <c r="J278" s="12">
        <f>SUM(Data!DJ279,Data!DL279,Data!DN279,Data!DP279,Data!DR279,Data!DT279,Data!DV279,Data!DX279,Data!DZ279,Data!EB279,Data!ED279,Data!EF279,Data!EH279,Data!EJ279,Data!EL279,Data!EN279,Data!EP279,Data!ER279,Data!ET279)</f>
        <v>0</v>
      </c>
      <c r="K278" s="12">
        <f>J278-I278</f>
        <v>0</v>
      </c>
      <c r="L278">
        <f>IF(I278=0,IF(J278&gt;0,"New",0),(J278-I278)/I278)</f>
        <v>0</v>
      </c>
      <c r="M278" t="str">
        <f>IF(F278=0,"No 2026 Sales",IF(E278=0,"New Product",IF(AND(ISNUMBER(H278),H278&gt;0.1),"↑ Strong Growth",IF(AND(ISNUMBER(H278),H278&gt;0),"↗ Growth",IF(AND(ISNUMBER(H278),H278&lt;-0.1),"↓ Strong Decline",IF(AND(ISNUMBER(H278),H278&lt;0),"↘ Decline","→ Stable"))))))</f>
        <v>No 2026 Sales</v>
      </c>
    </row>
    <row r="279" spans="1:13" hidden="1" x14ac:dyDescent="0.35">
      <c r="A279">
        <f>Data!A280</f>
        <v>210</v>
      </c>
      <c r="B279" t="str">
        <f>Data!B280</f>
        <v>INGREDIENTS</v>
      </c>
      <c r="C279" s="9">
        <f>Data!C280</f>
        <v>39412</v>
      </c>
      <c r="D279" s="10" t="s">
        <v>1060</v>
      </c>
      <c r="E279" s="11">
        <f>SUM(Data!I280,Data!K280,Data!M280,Data!O280,Data!Q280,Data!S280,Data!U280,Data!W280,Data!Y280,Data!AA280,Data!AC280,Data!AE280,Data!AG280,Data!AI280,Data!AK280,Data!AM280,Data!AO280,Data!AQ280,Data!AS280)</f>
        <v>0</v>
      </c>
      <c r="F279" s="11">
        <f>SUM(Data!DI280,Data!DK280,Data!DM280,Data!DO280,Data!DQ280,Data!DS280,Data!DU280,Data!DW280,Data!DY280,Data!EA280,Data!EC280,Data!EE280,Data!EG280,Data!EI280,Data!EK280,Data!EM280,Data!EO280,Data!EQ280,Data!ES280)</f>
        <v>0</v>
      </c>
      <c r="G279" s="11">
        <f>F279-E279</f>
        <v>0</v>
      </c>
      <c r="H279">
        <f>IF(E279=0,IF(F279&gt;0,"New",0),(F279-E279)/E279)</f>
        <v>0</v>
      </c>
      <c r="I279" s="12">
        <f>SUM(Data!J280,Data!L280,Data!N280,Data!P280,Data!R280,Data!T280,Data!V280,Data!X280,Data!Z280,Data!AB280,Data!AD280,Data!AF280,Data!AH280,Data!AJ280,Data!AL280,Data!AN280,Data!AP280,Data!AR280,Data!AT280)</f>
        <v>0</v>
      </c>
      <c r="J279" s="12">
        <f>SUM(Data!DJ280,Data!DL280,Data!DN280,Data!DP280,Data!DR280,Data!DT280,Data!DV280,Data!DX280,Data!DZ280,Data!EB280,Data!ED280,Data!EF280,Data!EH280,Data!EJ280,Data!EL280,Data!EN280,Data!EP280,Data!ER280,Data!ET280)</f>
        <v>0</v>
      </c>
      <c r="K279" s="12">
        <f>J279-I279</f>
        <v>0</v>
      </c>
      <c r="L279">
        <f>IF(I279=0,IF(J279&gt;0,"New",0),(J279-I279)/I279)</f>
        <v>0</v>
      </c>
      <c r="M279" t="str">
        <f>IF(F279=0,"No 2026 Sales",IF(E279=0,"New Product",IF(AND(ISNUMBER(H279),H279&gt;0.1),"↑ Strong Growth",IF(AND(ISNUMBER(H279),H279&gt;0),"↗ Growth",IF(AND(ISNUMBER(H279),H279&lt;-0.1),"↓ Strong Decline",IF(AND(ISNUMBER(H279),H279&lt;0),"↘ Decline","→ Stable"))))))</f>
        <v>No 2026 Sales</v>
      </c>
    </row>
    <row r="280" spans="1:13" hidden="1" x14ac:dyDescent="0.35">
      <c r="A280">
        <f>Data!A281</f>
        <v>210</v>
      </c>
      <c r="B280" t="str">
        <f>Data!B281</f>
        <v>INGREDIENTS</v>
      </c>
      <c r="C280" s="9">
        <f>Data!C281</f>
        <v>39414</v>
      </c>
      <c r="D280" s="10" t="s">
        <v>1061</v>
      </c>
      <c r="E280" s="11">
        <f>SUM(Data!I281,Data!K281,Data!M281,Data!O281,Data!Q281,Data!S281,Data!U281,Data!W281,Data!Y281,Data!AA281,Data!AC281,Data!AE281,Data!AG281,Data!AI281,Data!AK281,Data!AM281,Data!AO281,Data!AQ281,Data!AS281)</f>
        <v>0</v>
      </c>
      <c r="F280" s="11">
        <f>SUM(Data!DI281,Data!DK281,Data!DM281,Data!DO281,Data!DQ281,Data!DS281,Data!DU281,Data!DW281,Data!DY281,Data!EA281,Data!EC281,Data!EE281,Data!EG281,Data!EI281,Data!EK281,Data!EM281,Data!EO281,Data!EQ281,Data!ES281)</f>
        <v>0</v>
      </c>
      <c r="G280" s="11">
        <f>F280-E280</f>
        <v>0</v>
      </c>
      <c r="H280">
        <f>IF(E280=0,IF(F280&gt;0,"New",0),(F280-E280)/E280)</f>
        <v>0</v>
      </c>
      <c r="I280" s="12">
        <f>SUM(Data!J281,Data!L281,Data!N281,Data!P281,Data!R281,Data!T281,Data!V281,Data!X281,Data!Z281,Data!AB281,Data!AD281,Data!AF281,Data!AH281,Data!AJ281,Data!AL281,Data!AN281,Data!AP281,Data!AR281,Data!AT281)</f>
        <v>0</v>
      </c>
      <c r="J280" s="12">
        <f>SUM(Data!DJ281,Data!DL281,Data!DN281,Data!DP281,Data!DR281,Data!DT281,Data!DV281,Data!DX281,Data!DZ281,Data!EB281,Data!ED281,Data!EF281,Data!EH281,Data!EJ281,Data!EL281,Data!EN281,Data!EP281,Data!ER281,Data!ET281)</f>
        <v>0</v>
      </c>
      <c r="K280" s="12">
        <f>J280-I280</f>
        <v>0</v>
      </c>
      <c r="L280">
        <f>IF(I280=0,IF(J280&gt;0,"New",0),(J280-I280)/I280)</f>
        <v>0</v>
      </c>
      <c r="M280" t="str">
        <f>IF(F280=0,"No 2026 Sales",IF(E280=0,"New Product",IF(AND(ISNUMBER(H280),H280&gt;0.1),"↑ Strong Growth",IF(AND(ISNUMBER(H280),H280&gt;0),"↗ Growth",IF(AND(ISNUMBER(H280),H280&lt;-0.1),"↓ Strong Decline",IF(AND(ISNUMBER(H280),H280&lt;0),"↘ Decline","→ Stable"))))))</f>
        <v>No 2026 Sales</v>
      </c>
    </row>
    <row r="281" spans="1:13" hidden="1" x14ac:dyDescent="0.35">
      <c r="A281">
        <f>Data!A282</f>
        <v>210</v>
      </c>
      <c r="B281" t="str">
        <f>Data!B282</f>
        <v>INGREDIENTS</v>
      </c>
      <c r="C281" s="9">
        <f>Data!C282</f>
        <v>39415</v>
      </c>
      <c r="D281" s="10" t="s">
        <v>1062</v>
      </c>
      <c r="E281" s="11">
        <f>SUM(Data!I282,Data!K282,Data!M282,Data!O282,Data!Q282,Data!S282,Data!U282,Data!W282,Data!Y282,Data!AA282,Data!AC282,Data!AE282,Data!AG282,Data!AI282,Data!AK282,Data!AM282,Data!AO282,Data!AQ282,Data!AS282)</f>
        <v>0</v>
      </c>
      <c r="F281" s="11">
        <f>SUM(Data!DI282,Data!DK282,Data!DM282,Data!DO282,Data!DQ282,Data!DS282,Data!DU282,Data!DW282,Data!DY282,Data!EA282,Data!EC282,Data!EE282,Data!EG282,Data!EI282,Data!EK282,Data!EM282,Data!EO282,Data!EQ282,Data!ES282)</f>
        <v>0</v>
      </c>
      <c r="G281" s="11">
        <f>F281-E281</f>
        <v>0</v>
      </c>
      <c r="H281">
        <f>IF(E281=0,IF(F281&gt;0,"New",0),(F281-E281)/E281)</f>
        <v>0</v>
      </c>
      <c r="I281" s="12">
        <f>SUM(Data!J282,Data!L282,Data!N282,Data!P282,Data!R282,Data!T282,Data!V282,Data!X282,Data!Z282,Data!AB282,Data!AD282,Data!AF282,Data!AH282,Data!AJ282,Data!AL282,Data!AN282,Data!AP282,Data!AR282,Data!AT282)</f>
        <v>0</v>
      </c>
      <c r="J281" s="12">
        <f>SUM(Data!DJ282,Data!DL282,Data!DN282,Data!DP282,Data!DR282,Data!DT282,Data!DV282,Data!DX282,Data!DZ282,Data!EB282,Data!ED282,Data!EF282,Data!EH282,Data!EJ282,Data!EL282,Data!EN282,Data!EP282,Data!ER282,Data!ET282)</f>
        <v>0</v>
      </c>
      <c r="K281" s="12">
        <f>J281-I281</f>
        <v>0</v>
      </c>
      <c r="L281">
        <f>IF(I281=0,IF(J281&gt;0,"New",0),(J281-I281)/I281)</f>
        <v>0</v>
      </c>
      <c r="M281" t="str">
        <f>IF(F281=0,"No 2026 Sales",IF(E281=0,"New Product",IF(AND(ISNUMBER(H281),H281&gt;0.1),"↑ Strong Growth",IF(AND(ISNUMBER(H281),H281&gt;0),"↗ Growth",IF(AND(ISNUMBER(H281),H281&lt;-0.1),"↓ Strong Decline",IF(AND(ISNUMBER(H281),H281&lt;0),"↘ Decline","→ Stable"))))))</f>
        <v>No 2026 Sales</v>
      </c>
    </row>
    <row r="282" spans="1:13" hidden="1" x14ac:dyDescent="0.35">
      <c r="A282">
        <f>Data!A283</f>
        <v>210</v>
      </c>
      <c r="B282" t="str">
        <f>Data!B283</f>
        <v>INGREDIENTS</v>
      </c>
      <c r="C282" s="9">
        <f>Data!C283</f>
        <v>39417</v>
      </c>
      <c r="D282" s="10" t="s">
        <v>1063</v>
      </c>
      <c r="E282" s="11">
        <f>SUM(Data!I283,Data!K283,Data!M283,Data!O283,Data!Q283,Data!S283,Data!U283,Data!W283,Data!Y283,Data!AA283,Data!AC283,Data!AE283,Data!AG283,Data!AI283,Data!AK283,Data!AM283,Data!AO283,Data!AQ283,Data!AS283)</f>
        <v>0</v>
      </c>
      <c r="F282" s="11">
        <f>SUM(Data!DI283,Data!DK283,Data!DM283,Data!DO283,Data!DQ283,Data!DS283,Data!DU283,Data!DW283,Data!DY283,Data!EA283,Data!EC283,Data!EE283,Data!EG283,Data!EI283,Data!EK283,Data!EM283,Data!EO283,Data!EQ283,Data!ES283)</f>
        <v>0</v>
      </c>
      <c r="G282" s="11">
        <f>F282-E282</f>
        <v>0</v>
      </c>
      <c r="H282">
        <f>IF(E282=0,IF(F282&gt;0,"New",0),(F282-E282)/E282)</f>
        <v>0</v>
      </c>
      <c r="I282" s="12">
        <f>SUM(Data!J283,Data!L283,Data!N283,Data!P283,Data!R283,Data!T283,Data!V283,Data!X283,Data!Z283,Data!AB283,Data!AD283,Data!AF283,Data!AH283,Data!AJ283,Data!AL283,Data!AN283,Data!AP283,Data!AR283,Data!AT283)</f>
        <v>0</v>
      </c>
      <c r="J282" s="12">
        <f>SUM(Data!DJ283,Data!DL283,Data!DN283,Data!DP283,Data!DR283,Data!DT283,Data!DV283,Data!DX283,Data!DZ283,Data!EB283,Data!ED283,Data!EF283,Data!EH283,Data!EJ283,Data!EL283,Data!EN283,Data!EP283,Data!ER283,Data!ET283)</f>
        <v>0</v>
      </c>
      <c r="K282" s="12">
        <f>J282-I282</f>
        <v>0</v>
      </c>
      <c r="L282">
        <f>IF(I282=0,IF(J282&gt;0,"New",0),(J282-I282)/I282)</f>
        <v>0</v>
      </c>
      <c r="M282" t="str">
        <f>IF(F282=0,"No 2026 Sales",IF(E282=0,"New Product",IF(AND(ISNUMBER(H282),H282&gt;0.1),"↑ Strong Growth",IF(AND(ISNUMBER(H282),H282&gt;0),"↗ Growth",IF(AND(ISNUMBER(H282),H282&lt;-0.1),"↓ Strong Decline",IF(AND(ISNUMBER(H282),H282&lt;0),"↘ Decline","→ Stable"))))))</f>
        <v>No 2026 Sales</v>
      </c>
    </row>
    <row r="283" spans="1:13" hidden="1" x14ac:dyDescent="0.35">
      <c r="A283">
        <f>Data!A284</f>
        <v>210</v>
      </c>
      <c r="B283" t="str">
        <f>Data!B284</f>
        <v>INGREDIENTS</v>
      </c>
      <c r="C283" s="9">
        <f>Data!C284</f>
        <v>39495</v>
      </c>
      <c r="D283" s="10" t="s">
        <v>1064</v>
      </c>
      <c r="E283" s="11">
        <f>SUM(Data!I284,Data!K284,Data!M284,Data!O284,Data!Q284,Data!S284,Data!U284,Data!W284,Data!Y284,Data!AA284,Data!AC284,Data!AE284,Data!AG284,Data!AI284,Data!AK284,Data!AM284,Data!AO284,Data!AQ284,Data!AS284)</f>
        <v>0</v>
      </c>
      <c r="F283" s="11">
        <f>SUM(Data!DI284,Data!DK284,Data!DM284,Data!DO284,Data!DQ284,Data!DS284,Data!DU284,Data!DW284,Data!DY284,Data!EA284,Data!EC284,Data!EE284,Data!EG284,Data!EI284,Data!EK284,Data!EM284,Data!EO284,Data!EQ284,Data!ES284)</f>
        <v>0</v>
      </c>
      <c r="G283" s="11">
        <f>F283-E283</f>
        <v>0</v>
      </c>
      <c r="H283">
        <f>IF(E283=0,IF(F283&gt;0,"New",0),(F283-E283)/E283)</f>
        <v>0</v>
      </c>
      <c r="I283" s="12">
        <f>SUM(Data!J284,Data!L284,Data!N284,Data!P284,Data!R284,Data!T284,Data!V284,Data!X284,Data!Z284,Data!AB284,Data!AD284,Data!AF284,Data!AH284,Data!AJ284,Data!AL284,Data!AN284,Data!AP284,Data!AR284,Data!AT284)</f>
        <v>0</v>
      </c>
      <c r="J283" s="12">
        <f>SUM(Data!DJ284,Data!DL284,Data!DN284,Data!DP284,Data!DR284,Data!DT284,Data!DV284,Data!DX284,Data!DZ284,Data!EB284,Data!ED284,Data!EF284,Data!EH284,Data!EJ284,Data!EL284,Data!EN284,Data!EP284,Data!ER284,Data!ET284)</f>
        <v>0</v>
      </c>
      <c r="K283" s="12">
        <f>J283-I283</f>
        <v>0</v>
      </c>
      <c r="L283">
        <f>IF(I283=0,IF(J283&gt;0,"New",0),(J283-I283)/I283)</f>
        <v>0</v>
      </c>
      <c r="M283" t="str">
        <f>IF(F283=0,"No 2026 Sales",IF(E283=0,"New Product",IF(AND(ISNUMBER(H283),H283&gt;0.1),"↑ Strong Growth",IF(AND(ISNUMBER(H283),H283&gt;0),"↗ Growth",IF(AND(ISNUMBER(H283),H283&lt;-0.1),"↓ Strong Decline",IF(AND(ISNUMBER(H283),H283&lt;0),"↘ Decline","→ Stable"))))))</f>
        <v>No 2026 Sales</v>
      </c>
    </row>
    <row r="284" spans="1:13" hidden="1" x14ac:dyDescent="0.35">
      <c r="A284">
        <f>Data!A285</f>
        <v>210</v>
      </c>
      <c r="B284" t="str">
        <f>Data!B285</f>
        <v>INGREDIENTS</v>
      </c>
      <c r="C284" s="9">
        <f>Data!C285</f>
        <v>39496</v>
      </c>
      <c r="D284" s="10" t="s">
        <v>1065</v>
      </c>
      <c r="E284" s="11">
        <f>SUM(Data!I285,Data!K285,Data!M285,Data!O285,Data!Q285,Data!S285,Data!U285,Data!W285,Data!Y285,Data!AA285,Data!AC285,Data!AE285,Data!AG285,Data!AI285,Data!AK285,Data!AM285,Data!AO285,Data!AQ285,Data!AS285)</f>
        <v>0</v>
      </c>
      <c r="F284" s="11">
        <f>SUM(Data!DI285,Data!DK285,Data!DM285,Data!DO285,Data!DQ285,Data!DS285,Data!DU285,Data!DW285,Data!DY285,Data!EA285,Data!EC285,Data!EE285,Data!EG285,Data!EI285,Data!EK285,Data!EM285,Data!EO285,Data!EQ285,Data!ES285)</f>
        <v>0</v>
      </c>
      <c r="G284" s="11">
        <f>F284-E284</f>
        <v>0</v>
      </c>
      <c r="H284">
        <f>IF(E284=0,IF(F284&gt;0,"New",0),(F284-E284)/E284)</f>
        <v>0</v>
      </c>
      <c r="I284" s="12">
        <f>SUM(Data!J285,Data!L285,Data!N285,Data!P285,Data!R285,Data!T285,Data!V285,Data!X285,Data!Z285,Data!AB285,Data!AD285,Data!AF285,Data!AH285,Data!AJ285,Data!AL285,Data!AN285,Data!AP285,Data!AR285,Data!AT285)</f>
        <v>0</v>
      </c>
      <c r="J284" s="12">
        <f>SUM(Data!DJ285,Data!DL285,Data!DN285,Data!DP285,Data!DR285,Data!DT285,Data!DV285,Data!DX285,Data!DZ285,Data!EB285,Data!ED285,Data!EF285,Data!EH285,Data!EJ285,Data!EL285,Data!EN285,Data!EP285,Data!ER285,Data!ET285)</f>
        <v>0</v>
      </c>
      <c r="K284" s="12">
        <f>J284-I284</f>
        <v>0</v>
      </c>
      <c r="L284">
        <f>IF(I284=0,IF(J284&gt;0,"New",0),(J284-I284)/I284)</f>
        <v>0</v>
      </c>
      <c r="M284" t="str">
        <f>IF(F284=0,"No 2026 Sales",IF(E284=0,"New Product",IF(AND(ISNUMBER(H284),H284&gt;0.1),"↑ Strong Growth",IF(AND(ISNUMBER(H284),H284&gt;0),"↗ Growth",IF(AND(ISNUMBER(H284),H284&lt;-0.1),"↓ Strong Decline",IF(AND(ISNUMBER(H284),H284&lt;0),"↘ Decline","→ Stable"))))))</f>
        <v>No 2026 Sales</v>
      </c>
    </row>
    <row r="285" spans="1:13" hidden="1" x14ac:dyDescent="0.35">
      <c r="A285">
        <f>Data!A286</f>
        <v>210</v>
      </c>
      <c r="B285" t="str">
        <f>Data!B286</f>
        <v>INGREDIENTS</v>
      </c>
      <c r="C285" s="9">
        <f>Data!C286</f>
        <v>39500</v>
      </c>
      <c r="D285" s="10" t="s">
        <v>1066</v>
      </c>
      <c r="E285" s="11">
        <f>SUM(Data!I286,Data!K286,Data!M286,Data!O286,Data!Q286,Data!S286,Data!U286,Data!W286,Data!Y286,Data!AA286,Data!AC286,Data!AE286,Data!AG286,Data!AI286,Data!AK286,Data!AM286,Data!AO286,Data!AQ286,Data!AS286)</f>
        <v>0</v>
      </c>
      <c r="F285" s="11">
        <f>SUM(Data!DI286,Data!DK286,Data!DM286,Data!DO286,Data!DQ286,Data!DS286,Data!DU286,Data!DW286,Data!DY286,Data!EA286,Data!EC286,Data!EE286,Data!EG286,Data!EI286,Data!EK286,Data!EM286,Data!EO286,Data!EQ286,Data!ES286)</f>
        <v>0</v>
      </c>
      <c r="G285" s="11">
        <f>F285-E285</f>
        <v>0</v>
      </c>
      <c r="H285">
        <f>IF(E285=0,IF(F285&gt;0,"New",0),(F285-E285)/E285)</f>
        <v>0</v>
      </c>
      <c r="I285" s="12">
        <f>SUM(Data!J286,Data!L286,Data!N286,Data!P286,Data!R286,Data!T286,Data!V286,Data!X286,Data!Z286,Data!AB286,Data!AD286,Data!AF286,Data!AH286,Data!AJ286,Data!AL286,Data!AN286,Data!AP286,Data!AR286,Data!AT286)</f>
        <v>0</v>
      </c>
      <c r="J285" s="12">
        <f>SUM(Data!DJ286,Data!DL286,Data!DN286,Data!DP286,Data!DR286,Data!DT286,Data!DV286,Data!DX286,Data!DZ286,Data!EB286,Data!ED286,Data!EF286,Data!EH286,Data!EJ286,Data!EL286,Data!EN286,Data!EP286,Data!ER286,Data!ET286)</f>
        <v>0</v>
      </c>
      <c r="K285" s="12">
        <f>J285-I285</f>
        <v>0</v>
      </c>
      <c r="L285">
        <f>IF(I285=0,IF(J285&gt;0,"New",0),(J285-I285)/I285)</f>
        <v>0</v>
      </c>
      <c r="M285" t="str">
        <f>IF(F285=0,"No 2026 Sales",IF(E285=0,"New Product",IF(AND(ISNUMBER(H285),H285&gt;0.1),"↑ Strong Growth",IF(AND(ISNUMBER(H285),H285&gt;0),"↗ Growth",IF(AND(ISNUMBER(H285),H285&lt;-0.1),"↓ Strong Decline",IF(AND(ISNUMBER(H285),H285&lt;0),"↘ Decline","→ Stable"))))))</f>
        <v>No 2026 Sales</v>
      </c>
    </row>
    <row r="286" spans="1:13" hidden="1" x14ac:dyDescent="0.35">
      <c r="A286">
        <f>Data!A287</f>
        <v>210</v>
      </c>
      <c r="B286" t="str">
        <f>Data!B287</f>
        <v>INGREDIENTS</v>
      </c>
      <c r="C286" s="9">
        <f>Data!C287</f>
        <v>39597</v>
      </c>
      <c r="D286" s="10" t="s">
        <v>1067</v>
      </c>
      <c r="E286" s="11">
        <f>SUM(Data!I287,Data!K287,Data!M287,Data!O287,Data!Q287,Data!S287,Data!U287,Data!W287,Data!Y287,Data!AA287,Data!AC287,Data!AE287,Data!AG287,Data!AI287,Data!AK287,Data!AM287,Data!AO287,Data!AQ287,Data!AS287)</f>
        <v>0</v>
      </c>
      <c r="F286" s="11">
        <f>SUM(Data!DI287,Data!DK287,Data!DM287,Data!DO287,Data!DQ287,Data!DS287,Data!DU287,Data!DW287,Data!DY287,Data!EA287,Data!EC287,Data!EE287,Data!EG287,Data!EI287,Data!EK287,Data!EM287,Data!EO287,Data!EQ287,Data!ES287)</f>
        <v>0</v>
      </c>
      <c r="G286" s="11">
        <f>F286-E286</f>
        <v>0</v>
      </c>
      <c r="H286">
        <f>IF(E286=0,IF(F286&gt;0,"New",0),(F286-E286)/E286)</f>
        <v>0</v>
      </c>
      <c r="I286" s="12">
        <f>SUM(Data!J287,Data!L287,Data!N287,Data!P287,Data!R287,Data!T287,Data!V287,Data!X287,Data!Z287,Data!AB287,Data!AD287,Data!AF287,Data!AH287,Data!AJ287,Data!AL287,Data!AN287,Data!AP287,Data!AR287,Data!AT287)</f>
        <v>0</v>
      </c>
      <c r="J286" s="12">
        <f>SUM(Data!DJ287,Data!DL287,Data!DN287,Data!DP287,Data!DR287,Data!DT287,Data!DV287,Data!DX287,Data!DZ287,Data!EB287,Data!ED287,Data!EF287,Data!EH287,Data!EJ287,Data!EL287,Data!EN287,Data!EP287,Data!ER287,Data!ET287)</f>
        <v>0</v>
      </c>
      <c r="K286" s="12">
        <f>J286-I286</f>
        <v>0</v>
      </c>
      <c r="L286">
        <f>IF(I286=0,IF(J286&gt;0,"New",0),(J286-I286)/I286)</f>
        <v>0</v>
      </c>
      <c r="M286" t="str">
        <f>IF(F286=0,"No 2026 Sales",IF(E286=0,"New Product",IF(AND(ISNUMBER(H286),H286&gt;0.1),"↑ Strong Growth",IF(AND(ISNUMBER(H286),H286&gt;0),"↗ Growth",IF(AND(ISNUMBER(H286),H286&lt;-0.1),"↓ Strong Decline",IF(AND(ISNUMBER(H286),H286&lt;0),"↘ Decline","→ Stable"))))))</f>
        <v>No 2026 Sales</v>
      </c>
    </row>
    <row r="287" spans="1:13" hidden="1" x14ac:dyDescent="0.35">
      <c r="A287">
        <f>Data!A288</f>
        <v>210</v>
      </c>
      <c r="B287" t="str">
        <f>Data!B288</f>
        <v>INGREDIENTS</v>
      </c>
      <c r="C287" s="9">
        <f>Data!C288</f>
        <v>39737</v>
      </c>
      <c r="D287" s="10" t="s">
        <v>1068</v>
      </c>
      <c r="E287" s="11">
        <f>SUM(Data!I288,Data!K288,Data!M288,Data!O288,Data!Q288,Data!S288,Data!U288,Data!W288,Data!Y288,Data!AA288,Data!AC288,Data!AE288,Data!AG288,Data!AI288,Data!AK288,Data!AM288,Data!AO288,Data!AQ288,Data!AS288)</f>
        <v>0</v>
      </c>
      <c r="F287" s="11">
        <f>SUM(Data!DI288,Data!DK288,Data!DM288,Data!DO288,Data!DQ288,Data!DS288,Data!DU288,Data!DW288,Data!DY288,Data!EA288,Data!EC288,Data!EE288,Data!EG288,Data!EI288,Data!EK288,Data!EM288,Data!EO288,Data!EQ288,Data!ES288)</f>
        <v>0</v>
      </c>
      <c r="G287" s="11">
        <f>F287-E287</f>
        <v>0</v>
      </c>
      <c r="H287">
        <f>IF(E287=0,IF(F287&gt;0,"New",0),(F287-E287)/E287)</f>
        <v>0</v>
      </c>
      <c r="I287" s="12">
        <f>SUM(Data!J288,Data!L288,Data!N288,Data!P288,Data!R288,Data!T288,Data!V288,Data!X288,Data!Z288,Data!AB288,Data!AD288,Data!AF288,Data!AH288,Data!AJ288,Data!AL288,Data!AN288,Data!AP288,Data!AR288,Data!AT288)</f>
        <v>0</v>
      </c>
      <c r="J287" s="12">
        <f>SUM(Data!DJ288,Data!DL288,Data!DN288,Data!DP288,Data!DR288,Data!DT288,Data!DV288,Data!DX288,Data!DZ288,Data!EB288,Data!ED288,Data!EF288,Data!EH288,Data!EJ288,Data!EL288,Data!EN288,Data!EP288,Data!ER288,Data!ET288)</f>
        <v>0</v>
      </c>
      <c r="K287" s="12">
        <f>J287-I287</f>
        <v>0</v>
      </c>
      <c r="L287">
        <f>IF(I287=0,IF(J287&gt;0,"New",0),(J287-I287)/I287)</f>
        <v>0</v>
      </c>
      <c r="M287" t="str">
        <f>IF(F287=0,"No 2026 Sales",IF(E287=0,"New Product",IF(AND(ISNUMBER(H287),H287&gt;0.1),"↑ Strong Growth",IF(AND(ISNUMBER(H287),H287&gt;0),"↗ Growth",IF(AND(ISNUMBER(H287),H287&lt;-0.1),"↓ Strong Decline",IF(AND(ISNUMBER(H287),H287&lt;0),"↘ Decline","→ Stable"))))))</f>
        <v>No 2026 Sales</v>
      </c>
    </row>
    <row r="288" spans="1:13" hidden="1" x14ac:dyDescent="0.35">
      <c r="A288">
        <f>Data!A289</f>
        <v>210</v>
      </c>
      <c r="B288" t="str">
        <f>Data!B289</f>
        <v>INGREDIENTS</v>
      </c>
      <c r="C288" s="9">
        <f>Data!C289</f>
        <v>39742</v>
      </c>
      <c r="D288" s="10" t="s">
        <v>1069</v>
      </c>
      <c r="E288" s="11">
        <f>SUM(Data!I289,Data!K289,Data!M289,Data!O289,Data!Q289,Data!S289,Data!U289,Data!W289,Data!Y289,Data!AA289,Data!AC289,Data!AE289,Data!AG289,Data!AI289,Data!AK289,Data!AM289,Data!AO289,Data!AQ289,Data!AS289)</f>
        <v>0</v>
      </c>
      <c r="F288" s="11">
        <f>SUM(Data!DI289,Data!DK289,Data!DM289,Data!DO289,Data!DQ289,Data!DS289,Data!DU289,Data!DW289,Data!DY289,Data!EA289,Data!EC289,Data!EE289,Data!EG289,Data!EI289,Data!EK289,Data!EM289,Data!EO289,Data!EQ289,Data!ES289)</f>
        <v>0</v>
      </c>
      <c r="G288" s="11">
        <f>F288-E288</f>
        <v>0</v>
      </c>
      <c r="H288">
        <f>IF(E288=0,IF(F288&gt;0,"New",0),(F288-E288)/E288)</f>
        <v>0</v>
      </c>
      <c r="I288" s="12">
        <f>SUM(Data!J289,Data!L289,Data!N289,Data!P289,Data!R289,Data!T289,Data!V289,Data!X289,Data!Z289,Data!AB289,Data!AD289,Data!AF289,Data!AH289,Data!AJ289,Data!AL289,Data!AN289,Data!AP289,Data!AR289,Data!AT289)</f>
        <v>0</v>
      </c>
      <c r="J288" s="12">
        <f>SUM(Data!DJ289,Data!DL289,Data!DN289,Data!DP289,Data!DR289,Data!DT289,Data!DV289,Data!DX289,Data!DZ289,Data!EB289,Data!ED289,Data!EF289,Data!EH289,Data!EJ289,Data!EL289,Data!EN289,Data!EP289,Data!ER289,Data!ET289)</f>
        <v>0</v>
      </c>
      <c r="K288" s="12">
        <f>J288-I288</f>
        <v>0</v>
      </c>
      <c r="L288">
        <f>IF(I288=0,IF(J288&gt;0,"New",0),(J288-I288)/I288)</f>
        <v>0</v>
      </c>
      <c r="M288" t="str">
        <f>IF(F288=0,"No 2026 Sales",IF(E288=0,"New Product",IF(AND(ISNUMBER(H288),H288&gt;0.1),"↑ Strong Growth",IF(AND(ISNUMBER(H288),H288&gt;0),"↗ Growth",IF(AND(ISNUMBER(H288),H288&lt;-0.1),"↓ Strong Decline",IF(AND(ISNUMBER(H288),H288&lt;0),"↘ Decline","→ Stable"))))))</f>
        <v>No 2026 Sales</v>
      </c>
    </row>
    <row r="289" spans="1:13" hidden="1" x14ac:dyDescent="0.35">
      <c r="A289">
        <f>Data!A290</f>
        <v>210</v>
      </c>
      <c r="B289" t="str">
        <f>Data!B290</f>
        <v>INGREDIENTS</v>
      </c>
      <c r="C289" s="9">
        <f>Data!C290</f>
        <v>39743</v>
      </c>
      <c r="D289" s="10" t="s">
        <v>1070</v>
      </c>
      <c r="E289" s="11">
        <f>SUM(Data!I290,Data!K290,Data!M290,Data!O290,Data!Q290,Data!S290,Data!U290,Data!W290,Data!Y290,Data!AA290,Data!AC290,Data!AE290,Data!AG290,Data!AI290,Data!AK290,Data!AM290,Data!AO290,Data!AQ290,Data!AS290)</f>
        <v>0</v>
      </c>
      <c r="F289" s="11">
        <f>SUM(Data!DI290,Data!DK290,Data!DM290,Data!DO290,Data!DQ290,Data!DS290,Data!DU290,Data!DW290,Data!DY290,Data!EA290,Data!EC290,Data!EE290,Data!EG290,Data!EI290,Data!EK290,Data!EM290,Data!EO290,Data!EQ290,Data!ES290)</f>
        <v>0</v>
      </c>
      <c r="G289" s="11">
        <f>F289-E289</f>
        <v>0</v>
      </c>
      <c r="H289">
        <f>IF(E289=0,IF(F289&gt;0,"New",0),(F289-E289)/E289)</f>
        <v>0</v>
      </c>
      <c r="I289" s="12">
        <f>SUM(Data!J290,Data!L290,Data!N290,Data!P290,Data!R290,Data!T290,Data!V290,Data!X290,Data!Z290,Data!AB290,Data!AD290,Data!AF290,Data!AH290,Data!AJ290,Data!AL290,Data!AN290,Data!AP290,Data!AR290,Data!AT290)</f>
        <v>0</v>
      </c>
      <c r="J289" s="12">
        <f>SUM(Data!DJ290,Data!DL290,Data!DN290,Data!DP290,Data!DR290,Data!DT290,Data!DV290,Data!DX290,Data!DZ290,Data!EB290,Data!ED290,Data!EF290,Data!EH290,Data!EJ290,Data!EL290,Data!EN290,Data!EP290,Data!ER290,Data!ET290)</f>
        <v>0</v>
      </c>
      <c r="K289" s="12">
        <f>J289-I289</f>
        <v>0</v>
      </c>
      <c r="L289">
        <f>IF(I289=0,IF(J289&gt;0,"New",0),(J289-I289)/I289)</f>
        <v>0</v>
      </c>
      <c r="M289" t="str">
        <f>IF(F289=0,"No 2026 Sales",IF(E289=0,"New Product",IF(AND(ISNUMBER(H289),H289&gt;0.1),"↑ Strong Growth",IF(AND(ISNUMBER(H289),H289&gt;0),"↗ Growth",IF(AND(ISNUMBER(H289),H289&lt;-0.1),"↓ Strong Decline",IF(AND(ISNUMBER(H289),H289&lt;0),"↘ Decline","→ Stable"))))))</f>
        <v>No 2026 Sales</v>
      </c>
    </row>
    <row r="290" spans="1:13" hidden="1" x14ac:dyDescent="0.35">
      <c r="A290">
        <f>Data!A291</f>
        <v>210</v>
      </c>
      <c r="B290" t="str">
        <f>Data!B291</f>
        <v>INGREDIENTS</v>
      </c>
      <c r="C290" s="9">
        <f>Data!C291</f>
        <v>40199</v>
      </c>
      <c r="D290" s="10" t="s">
        <v>1071</v>
      </c>
      <c r="E290" s="11">
        <f>SUM(Data!I291,Data!K291,Data!M291,Data!O291,Data!Q291,Data!S291,Data!U291,Data!W291,Data!Y291,Data!AA291,Data!AC291,Data!AE291,Data!AG291,Data!AI291,Data!AK291,Data!AM291,Data!AO291,Data!AQ291,Data!AS291)</f>
        <v>0</v>
      </c>
      <c r="F290" s="11">
        <f>SUM(Data!DI291,Data!DK291,Data!DM291,Data!DO291,Data!DQ291,Data!DS291,Data!DU291,Data!DW291,Data!DY291,Data!EA291,Data!EC291,Data!EE291,Data!EG291,Data!EI291,Data!EK291,Data!EM291,Data!EO291,Data!EQ291,Data!ES291)</f>
        <v>0</v>
      </c>
      <c r="G290" s="11">
        <f>F290-E290</f>
        <v>0</v>
      </c>
      <c r="H290">
        <f>IF(E290=0,IF(F290&gt;0,"New",0),(F290-E290)/E290)</f>
        <v>0</v>
      </c>
      <c r="I290" s="12">
        <f>SUM(Data!J291,Data!L291,Data!N291,Data!P291,Data!R291,Data!T291,Data!V291,Data!X291,Data!Z291,Data!AB291,Data!AD291,Data!AF291,Data!AH291,Data!AJ291,Data!AL291,Data!AN291,Data!AP291,Data!AR291,Data!AT291)</f>
        <v>0</v>
      </c>
      <c r="J290" s="12">
        <f>SUM(Data!DJ291,Data!DL291,Data!DN291,Data!DP291,Data!DR291,Data!DT291,Data!DV291,Data!DX291,Data!DZ291,Data!EB291,Data!ED291,Data!EF291,Data!EH291,Data!EJ291,Data!EL291,Data!EN291,Data!EP291,Data!ER291,Data!ET291)</f>
        <v>0</v>
      </c>
      <c r="K290" s="12">
        <f>J290-I290</f>
        <v>0</v>
      </c>
      <c r="L290">
        <f>IF(I290=0,IF(J290&gt;0,"New",0),(J290-I290)/I290)</f>
        <v>0</v>
      </c>
      <c r="M290" t="str">
        <f>IF(F290=0,"No 2026 Sales",IF(E290=0,"New Product",IF(AND(ISNUMBER(H290),H290&gt;0.1),"↑ Strong Growth",IF(AND(ISNUMBER(H290),H290&gt;0),"↗ Growth",IF(AND(ISNUMBER(H290),H290&lt;-0.1),"↓ Strong Decline",IF(AND(ISNUMBER(H290),H290&lt;0),"↘ Decline","→ Stable"))))))</f>
        <v>No 2026 Sales</v>
      </c>
    </row>
    <row r="291" spans="1:13" hidden="1" x14ac:dyDescent="0.35">
      <c r="A291">
        <f>Data!A292</f>
        <v>210</v>
      </c>
      <c r="B291" t="str">
        <f>Data!B292</f>
        <v>INGREDIENTS</v>
      </c>
      <c r="C291" s="9">
        <f>Data!C292</f>
        <v>40200</v>
      </c>
      <c r="D291" s="10" t="s">
        <v>1072</v>
      </c>
      <c r="E291" s="11">
        <f>SUM(Data!I292,Data!K292,Data!M292,Data!O292,Data!Q292,Data!S292,Data!U292,Data!W292,Data!Y292,Data!AA292,Data!AC292,Data!AE292,Data!AG292,Data!AI292,Data!AK292,Data!AM292,Data!AO292,Data!AQ292,Data!AS292)</f>
        <v>0</v>
      </c>
      <c r="F291" s="11">
        <f>SUM(Data!DI292,Data!DK292,Data!DM292,Data!DO292,Data!DQ292,Data!DS292,Data!DU292,Data!DW292,Data!DY292,Data!EA292,Data!EC292,Data!EE292,Data!EG292,Data!EI292,Data!EK292,Data!EM292,Data!EO292,Data!EQ292,Data!ES292)</f>
        <v>0</v>
      </c>
      <c r="G291" s="11">
        <f>F291-E291</f>
        <v>0</v>
      </c>
      <c r="H291">
        <f>IF(E291=0,IF(F291&gt;0,"New",0),(F291-E291)/E291)</f>
        <v>0</v>
      </c>
      <c r="I291" s="12">
        <f>SUM(Data!J292,Data!L292,Data!N292,Data!P292,Data!R292,Data!T292,Data!V292,Data!X292,Data!Z292,Data!AB292,Data!AD292,Data!AF292,Data!AH292,Data!AJ292,Data!AL292,Data!AN292,Data!AP292,Data!AR292,Data!AT292)</f>
        <v>0</v>
      </c>
      <c r="J291" s="12">
        <f>SUM(Data!DJ292,Data!DL292,Data!DN292,Data!DP292,Data!DR292,Data!DT292,Data!DV292,Data!DX292,Data!DZ292,Data!EB292,Data!ED292,Data!EF292,Data!EH292,Data!EJ292,Data!EL292,Data!EN292,Data!EP292,Data!ER292,Data!ET292)</f>
        <v>0</v>
      </c>
      <c r="K291" s="12">
        <f>J291-I291</f>
        <v>0</v>
      </c>
      <c r="L291">
        <f>IF(I291=0,IF(J291&gt;0,"New",0),(J291-I291)/I291)</f>
        <v>0</v>
      </c>
      <c r="M291" t="str">
        <f>IF(F291=0,"No 2026 Sales",IF(E291=0,"New Product",IF(AND(ISNUMBER(H291),H291&gt;0.1),"↑ Strong Growth",IF(AND(ISNUMBER(H291),H291&gt;0),"↗ Growth",IF(AND(ISNUMBER(H291),H291&lt;-0.1),"↓ Strong Decline",IF(AND(ISNUMBER(H291),H291&lt;0),"↘ Decline","→ Stable"))))))</f>
        <v>No 2026 Sales</v>
      </c>
    </row>
    <row r="292" spans="1:13" hidden="1" x14ac:dyDescent="0.35">
      <c r="A292">
        <f>Data!A293</f>
        <v>210</v>
      </c>
      <c r="B292" t="str">
        <f>Data!B293</f>
        <v>INGREDIENTS</v>
      </c>
      <c r="C292" s="9">
        <f>Data!C293</f>
        <v>40208</v>
      </c>
      <c r="D292" s="10" t="s">
        <v>1073</v>
      </c>
      <c r="E292" s="11">
        <f>SUM(Data!I293,Data!K293,Data!M293,Data!O293,Data!Q293,Data!S293,Data!U293,Data!W293,Data!Y293,Data!AA293,Data!AC293,Data!AE293,Data!AG293,Data!AI293,Data!AK293,Data!AM293,Data!AO293,Data!AQ293,Data!AS293)</f>
        <v>0</v>
      </c>
      <c r="F292" s="11">
        <f>SUM(Data!DI293,Data!DK293,Data!DM293,Data!DO293,Data!DQ293,Data!DS293,Data!DU293,Data!DW293,Data!DY293,Data!EA293,Data!EC293,Data!EE293,Data!EG293,Data!EI293,Data!EK293,Data!EM293,Data!EO293,Data!EQ293,Data!ES293)</f>
        <v>0</v>
      </c>
      <c r="G292" s="11">
        <f>F292-E292</f>
        <v>0</v>
      </c>
      <c r="H292">
        <f>IF(E292=0,IF(F292&gt;0,"New",0),(F292-E292)/E292)</f>
        <v>0</v>
      </c>
      <c r="I292" s="12">
        <f>SUM(Data!J293,Data!L293,Data!N293,Data!P293,Data!R293,Data!T293,Data!V293,Data!X293,Data!Z293,Data!AB293,Data!AD293,Data!AF293,Data!AH293,Data!AJ293,Data!AL293,Data!AN293,Data!AP293,Data!AR293,Data!AT293)</f>
        <v>0</v>
      </c>
      <c r="J292" s="12">
        <f>SUM(Data!DJ293,Data!DL293,Data!DN293,Data!DP293,Data!DR293,Data!DT293,Data!DV293,Data!DX293,Data!DZ293,Data!EB293,Data!ED293,Data!EF293,Data!EH293,Data!EJ293,Data!EL293,Data!EN293,Data!EP293,Data!ER293,Data!ET293)</f>
        <v>0</v>
      </c>
      <c r="K292" s="12">
        <f>J292-I292</f>
        <v>0</v>
      </c>
      <c r="L292">
        <f>IF(I292=0,IF(J292&gt;0,"New",0),(J292-I292)/I292)</f>
        <v>0</v>
      </c>
      <c r="M292" t="str">
        <f>IF(F292=0,"No 2026 Sales",IF(E292=0,"New Product",IF(AND(ISNUMBER(H292),H292&gt;0.1),"↑ Strong Growth",IF(AND(ISNUMBER(H292),H292&gt;0),"↗ Growth",IF(AND(ISNUMBER(H292),H292&lt;-0.1),"↓ Strong Decline",IF(AND(ISNUMBER(H292),H292&lt;0),"↘ Decline","→ Stable"))))))</f>
        <v>No 2026 Sales</v>
      </c>
    </row>
    <row r="293" spans="1:13" hidden="1" x14ac:dyDescent="0.35">
      <c r="A293">
        <f>Data!A294</f>
        <v>210</v>
      </c>
      <c r="B293" t="str">
        <f>Data!B294</f>
        <v>INGREDIENTS</v>
      </c>
      <c r="C293" s="9">
        <f>Data!C294</f>
        <v>40209</v>
      </c>
      <c r="D293" s="10" t="s">
        <v>1074</v>
      </c>
      <c r="E293" s="11">
        <f>SUM(Data!I294,Data!K294,Data!M294,Data!O294,Data!Q294,Data!S294,Data!U294,Data!W294,Data!Y294,Data!AA294,Data!AC294,Data!AE294,Data!AG294,Data!AI294,Data!AK294,Data!AM294,Data!AO294,Data!AQ294,Data!AS294)</f>
        <v>0</v>
      </c>
      <c r="F293" s="11">
        <f>SUM(Data!DI294,Data!DK294,Data!DM294,Data!DO294,Data!DQ294,Data!DS294,Data!DU294,Data!DW294,Data!DY294,Data!EA294,Data!EC294,Data!EE294,Data!EG294,Data!EI294,Data!EK294,Data!EM294,Data!EO294,Data!EQ294,Data!ES294)</f>
        <v>0</v>
      </c>
      <c r="G293" s="11">
        <f>F293-E293</f>
        <v>0</v>
      </c>
      <c r="H293">
        <f>IF(E293=0,IF(F293&gt;0,"New",0),(F293-E293)/E293)</f>
        <v>0</v>
      </c>
      <c r="I293" s="12">
        <f>SUM(Data!J294,Data!L294,Data!N294,Data!P294,Data!R294,Data!T294,Data!V294,Data!X294,Data!Z294,Data!AB294,Data!AD294,Data!AF294,Data!AH294,Data!AJ294,Data!AL294,Data!AN294,Data!AP294,Data!AR294,Data!AT294)</f>
        <v>0</v>
      </c>
      <c r="J293" s="12">
        <f>SUM(Data!DJ294,Data!DL294,Data!DN294,Data!DP294,Data!DR294,Data!DT294,Data!DV294,Data!DX294,Data!DZ294,Data!EB294,Data!ED294,Data!EF294,Data!EH294,Data!EJ294,Data!EL294,Data!EN294,Data!EP294,Data!ER294,Data!ET294)</f>
        <v>0</v>
      </c>
      <c r="K293" s="12">
        <f>J293-I293</f>
        <v>0</v>
      </c>
      <c r="L293">
        <f>IF(I293=0,IF(J293&gt;0,"New",0),(J293-I293)/I293)</f>
        <v>0</v>
      </c>
      <c r="M293" t="str">
        <f>IF(F293=0,"No 2026 Sales",IF(E293=0,"New Product",IF(AND(ISNUMBER(H293),H293&gt;0.1),"↑ Strong Growth",IF(AND(ISNUMBER(H293),H293&gt;0),"↗ Growth",IF(AND(ISNUMBER(H293),H293&lt;-0.1),"↓ Strong Decline",IF(AND(ISNUMBER(H293),H293&lt;0),"↘ Decline","→ Stable"))))))</f>
        <v>No 2026 Sales</v>
      </c>
    </row>
    <row r="294" spans="1:13" hidden="1" x14ac:dyDescent="0.35">
      <c r="A294">
        <f>Data!A295</f>
        <v>210</v>
      </c>
      <c r="B294" t="str">
        <f>Data!B295</f>
        <v>INGREDIENTS</v>
      </c>
      <c r="C294" s="9">
        <f>Data!C295</f>
        <v>40253</v>
      </c>
      <c r="D294" s="10" t="s">
        <v>1075</v>
      </c>
      <c r="E294" s="11">
        <f>SUM(Data!I295,Data!K295,Data!M295,Data!O295,Data!Q295,Data!S295,Data!U295,Data!W295,Data!Y295,Data!AA295,Data!AC295,Data!AE295,Data!AG295,Data!AI295,Data!AK295,Data!AM295,Data!AO295,Data!AQ295,Data!AS295)</f>
        <v>0</v>
      </c>
      <c r="F294" s="11">
        <f>SUM(Data!DI295,Data!DK295,Data!DM295,Data!DO295,Data!DQ295,Data!DS295,Data!DU295,Data!DW295,Data!DY295,Data!EA295,Data!EC295,Data!EE295,Data!EG295,Data!EI295,Data!EK295,Data!EM295,Data!EO295,Data!EQ295,Data!ES295)</f>
        <v>0</v>
      </c>
      <c r="G294" s="11">
        <f>F294-E294</f>
        <v>0</v>
      </c>
      <c r="H294">
        <f>IF(E294=0,IF(F294&gt;0,"New",0),(F294-E294)/E294)</f>
        <v>0</v>
      </c>
      <c r="I294" s="12">
        <f>SUM(Data!J295,Data!L295,Data!N295,Data!P295,Data!R295,Data!T295,Data!V295,Data!X295,Data!Z295,Data!AB295,Data!AD295,Data!AF295,Data!AH295,Data!AJ295,Data!AL295,Data!AN295,Data!AP295,Data!AR295,Data!AT295)</f>
        <v>0</v>
      </c>
      <c r="J294" s="12">
        <f>SUM(Data!DJ295,Data!DL295,Data!DN295,Data!DP295,Data!DR295,Data!DT295,Data!DV295,Data!DX295,Data!DZ295,Data!EB295,Data!ED295,Data!EF295,Data!EH295,Data!EJ295,Data!EL295,Data!EN295,Data!EP295,Data!ER295,Data!ET295)</f>
        <v>0</v>
      </c>
      <c r="K294" s="12">
        <f>J294-I294</f>
        <v>0</v>
      </c>
      <c r="L294">
        <f>IF(I294=0,IF(J294&gt;0,"New",0),(J294-I294)/I294)</f>
        <v>0</v>
      </c>
      <c r="M294" t="str">
        <f>IF(F294=0,"No 2026 Sales",IF(E294=0,"New Product",IF(AND(ISNUMBER(H294),H294&gt;0.1),"↑ Strong Growth",IF(AND(ISNUMBER(H294),H294&gt;0),"↗ Growth",IF(AND(ISNUMBER(H294),H294&lt;-0.1),"↓ Strong Decline",IF(AND(ISNUMBER(H294),H294&lt;0),"↘ Decline","→ Stable"))))))</f>
        <v>No 2026 Sales</v>
      </c>
    </row>
    <row r="295" spans="1:13" hidden="1" x14ac:dyDescent="0.35">
      <c r="A295">
        <f>Data!A296</f>
        <v>210</v>
      </c>
      <c r="B295" t="str">
        <f>Data!B296</f>
        <v>INGREDIENTS</v>
      </c>
      <c r="C295" s="9">
        <f>Data!C296</f>
        <v>40361</v>
      </c>
      <c r="D295" s="10" t="s">
        <v>1076</v>
      </c>
      <c r="E295" s="11">
        <f>SUM(Data!I296,Data!K296,Data!M296,Data!O296,Data!Q296,Data!S296,Data!U296,Data!W296,Data!Y296,Data!AA296,Data!AC296,Data!AE296,Data!AG296,Data!AI296,Data!AK296,Data!AM296,Data!AO296,Data!AQ296,Data!AS296)</f>
        <v>0</v>
      </c>
      <c r="F295" s="11">
        <f>SUM(Data!DI296,Data!DK296,Data!DM296,Data!DO296,Data!DQ296,Data!DS296,Data!DU296,Data!DW296,Data!DY296,Data!EA296,Data!EC296,Data!EE296,Data!EG296,Data!EI296,Data!EK296,Data!EM296,Data!EO296,Data!EQ296,Data!ES296)</f>
        <v>0</v>
      </c>
      <c r="G295" s="11">
        <f>F295-E295</f>
        <v>0</v>
      </c>
      <c r="H295">
        <f>IF(E295=0,IF(F295&gt;0,"New",0),(F295-E295)/E295)</f>
        <v>0</v>
      </c>
      <c r="I295" s="12">
        <f>SUM(Data!J296,Data!L296,Data!N296,Data!P296,Data!R296,Data!T296,Data!V296,Data!X296,Data!Z296,Data!AB296,Data!AD296,Data!AF296,Data!AH296,Data!AJ296,Data!AL296,Data!AN296,Data!AP296,Data!AR296,Data!AT296)</f>
        <v>0</v>
      </c>
      <c r="J295" s="12">
        <f>SUM(Data!DJ296,Data!DL296,Data!DN296,Data!DP296,Data!DR296,Data!DT296,Data!DV296,Data!DX296,Data!DZ296,Data!EB296,Data!ED296,Data!EF296,Data!EH296,Data!EJ296,Data!EL296,Data!EN296,Data!EP296,Data!ER296,Data!ET296)</f>
        <v>0</v>
      </c>
      <c r="K295" s="12">
        <f>J295-I295</f>
        <v>0</v>
      </c>
      <c r="L295">
        <f>IF(I295=0,IF(J295&gt;0,"New",0),(J295-I295)/I295)</f>
        <v>0</v>
      </c>
      <c r="M295" t="str">
        <f>IF(F295=0,"No 2026 Sales",IF(E295=0,"New Product",IF(AND(ISNUMBER(H295),H295&gt;0.1),"↑ Strong Growth",IF(AND(ISNUMBER(H295),H295&gt;0),"↗ Growth",IF(AND(ISNUMBER(H295),H295&lt;-0.1),"↓ Strong Decline",IF(AND(ISNUMBER(H295),H295&lt;0),"↘ Decline","→ Stable"))))))</f>
        <v>No 2026 Sales</v>
      </c>
    </row>
    <row r="296" spans="1:13" hidden="1" x14ac:dyDescent="0.35">
      <c r="A296">
        <f>Data!A297</f>
        <v>210</v>
      </c>
      <c r="B296" t="str">
        <f>Data!B297</f>
        <v>INGREDIENTS</v>
      </c>
      <c r="C296" s="9">
        <f>Data!C297</f>
        <v>41084</v>
      </c>
      <c r="D296" s="10" t="s">
        <v>1077</v>
      </c>
      <c r="E296" s="11">
        <f>SUM(Data!I297,Data!K297,Data!M297,Data!O297,Data!Q297,Data!S297,Data!U297,Data!W297,Data!Y297,Data!AA297,Data!AC297,Data!AE297,Data!AG297,Data!AI297,Data!AK297,Data!AM297,Data!AO297,Data!AQ297,Data!AS297)</f>
        <v>0</v>
      </c>
      <c r="F296" s="11">
        <f>SUM(Data!DI297,Data!DK297,Data!DM297,Data!DO297,Data!DQ297,Data!DS297,Data!DU297,Data!DW297,Data!DY297,Data!EA297,Data!EC297,Data!EE297,Data!EG297,Data!EI297,Data!EK297,Data!EM297,Data!EO297,Data!EQ297,Data!ES297)</f>
        <v>0</v>
      </c>
      <c r="G296" s="11">
        <f>F296-E296</f>
        <v>0</v>
      </c>
      <c r="H296">
        <f>IF(E296=0,IF(F296&gt;0,"New",0),(F296-E296)/E296)</f>
        <v>0</v>
      </c>
      <c r="I296" s="12">
        <f>SUM(Data!J297,Data!L297,Data!N297,Data!P297,Data!R297,Data!T297,Data!V297,Data!X297,Data!Z297,Data!AB297,Data!AD297,Data!AF297,Data!AH297,Data!AJ297,Data!AL297,Data!AN297,Data!AP297,Data!AR297,Data!AT297)</f>
        <v>0</v>
      </c>
      <c r="J296" s="12">
        <f>SUM(Data!DJ297,Data!DL297,Data!DN297,Data!DP297,Data!DR297,Data!DT297,Data!DV297,Data!DX297,Data!DZ297,Data!EB297,Data!ED297,Data!EF297,Data!EH297,Data!EJ297,Data!EL297,Data!EN297,Data!EP297,Data!ER297,Data!ET297)</f>
        <v>0</v>
      </c>
      <c r="K296" s="12">
        <f>J296-I296</f>
        <v>0</v>
      </c>
      <c r="L296">
        <f>IF(I296=0,IF(J296&gt;0,"New",0),(J296-I296)/I296)</f>
        <v>0</v>
      </c>
      <c r="M296" t="str">
        <f>IF(F296=0,"No 2026 Sales",IF(E296=0,"New Product",IF(AND(ISNUMBER(H296),H296&gt;0.1),"↑ Strong Growth",IF(AND(ISNUMBER(H296),H296&gt;0),"↗ Growth",IF(AND(ISNUMBER(H296),H296&lt;-0.1),"↓ Strong Decline",IF(AND(ISNUMBER(H296),H296&lt;0),"↘ Decline","→ Stable"))))))</f>
        <v>No 2026 Sales</v>
      </c>
    </row>
    <row r="297" spans="1:13" hidden="1" x14ac:dyDescent="0.35">
      <c r="A297">
        <f>Data!A298</f>
        <v>210</v>
      </c>
      <c r="B297" t="str">
        <f>Data!B298</f>
        <v>INGREDIENTS</v>
      </c>
      <c r="C297" s="9">
        <f>Data!C298</f>
        <v>41085</v>
      </c>
      <c r="D297" s="10" t="s">
        <v>1078</v>
      </c>
      <c r="E297" s="11">
        <f>SUM(Data!I298,Data!K298,Data!M298,Data!O298,Data!Q298,Data!S298,Data!U298,Data!W298,Data!Y298,Data!AA298,Data!AC298,Data!AE298,Data!AG298,Data!AI298,Data!AK298,Data!AM298,Data!AO298,Data!AQ298,Data!AS298)</f>
        <v>0</v>
      </c>
      <c r="F297" s="11">
        <f>SUM(Data!DI298,Data!DK298,Data!DM298,Data!DO298,Data!DQ298,Data!DS298,Data!DU298,Data!DW298,Data!DY298,Data!EA298,Data!EC298,Data!EE298,Data!EG298,Data!EI298,Data!EK298,Data!EM298,Data!EO298,Data!EQ298,Data!ES298)</f>
        <v>0</v>
      </c>
      <c r="G297" s="11">
        <f>F297-E297</f>
        <v>0</v>
      </c>
      <c r="H297">
        <f>IF(E297=0,IF(F297&gt;0,"New",0),(F297-E297)/E297)</f>
        <v>0</v>
      </c>
      <c r="I297" s="12">
        <f>SUM(Data!J298,Data!L298,Data!N298,Data!P298,Data!R298,Data!T298,Data!V298,Data!X298,Data!Z298,Data!AB298,Data!AD298,Data!AF298,Data!AH298,Data!AJ298,Data!AL298,Data!AN298,Data!AP298,Data!AR298,Data!AT298)</f>
        <v>0</v>
      </c>
      <c r="J297" s="12">
        <f>SUM(Data!DJ298,Data!DL298,Data!DN298,Data!DP298,Data!DR298,Data!DT298,Data!DV298,Data!DX298,Data!DZ298,Data!EB298,Data!ED298,Data!EF298,Data!EH298,Data!EJ298,Data!EL298,Data!EN298,Data!EP298,Data!ER298,Data!ET298)</f>
        <v>0</v>
      </c>
      <c r="K297" s="12">
        <f>J297-I297</f>
        <v>0</v>
      </c>
      <c r="L297">
        <f>IF(I297=0,IF(J297&gt;0,"New",0),(J297-I297)/I297)</f>
        <v>0</v>
      </c>
      <c r="M297" t="str">
        <f>IF(F297=0,"No 2026 Sales",IF(E297=0,"New Product",IF(AND(ISNUMBER(H297),H297&gt;0.1),"↑ Strong Growth",IF(AND(ISNUMBER(H297),H297&gt;0),"↗ Growth",IF(AND(ISNUMBER(H297),H297&lt;-0.1),"↓ Strong Decline",IF(AND(ISNUMBER(H297),H297&lt;0),"↘ Decline","→ Stable"))))))</f>
        <v>No 2026 Sales</v>
      </c>
    </row>
    <row r="298" spans="1:13" hidden="1" x14ac:dyDescent="0.35">
      <c r="A298">
        <f>Data!A299</f>
        <v>210</v>
      </c>
      <c r="B298" t="str">
        <f>Data!B299</f>
        <v>INGREDIENTS</v>
      </c>
      <c r="C298" s="9">
        <f>Data!C299</f>
        <v>41212</v>
      </c>
      <c r="D298" s="10" t="s">
        <v>1079</v>
      </c>
      <c r="E298" s="11">
        <f>SUM(Data!I299,Data!K299,Data!M299,Data!O299,Data!Q299,Data!S299,Data!U299,Data!W299,Data!Y299,Data!AA299,Data!AC299,Data!AE299,Data!AG299,Data!AI299,Data!AK299,Data!AM299,Data!AO299,Data!AQ299,Data!AS299)</f>
        <v>0</v>
      </c>
      <c r="F298" s="11">
        <f>SUM(Data!DI299,Data!DK299,Data!DM299,Data!DO299,Data!DQ299,Data!DS299,Data!DU299,Data!DW299,Data!DY299,Data!EA299,Data!EC299,Data!EE299,Data!EG299,Data!EI299,Data!EK299,Data!EM299,Data!EO299,Data!EQ299,Data!ES299)</f>
        <v>0</v>
      </c>
      <c r="G298" s="11">
        <f>F298-E298</f>
        <v>0</v>
      </c>
      <c r="H298">
        <f>IF(E298=0,IF(F298&gt;0,"New",0),(F298-E298)/E298)</f>
        <v>0</v>
      </c>
      <c r="I298" s="12">
        <f>SUM(Data!J299,Data!L299,Data!N299,Data!P299,Data!R299,Data!T299,Data!V299,Data!X299,Data!Z299,Data!AB299,Data!AD299,Data!AF299,Data!AH299,Data!AJ299,Data!AL299,Data!AN299,Data!AP299,Data!AR299,Data!AT299)</f>
        <v>0</v>
      </c>
      <c r="J298" s="12">
        <f>SUM(Data!DJ299,Data!DL299,Data!DN299,Data!DP299,Data!DR299,Data!DT299,Data!DV299,Data!DX299,Data!DZ299,Data!EB299,Data!ED299,Data!EF299,Data!EH299,Data!EJ299,Data!EL299,Data!EN299,Data!EP299,Data!ER299,Data!ET299)</f>
        <v>0</v>
      </c>
      <c r="K298" s="12">
        <f>J298-I298</f>
        <v>0</v>
      </c>
      <c r="L298">
        <f>IF(I298=0,IF(J298&gt;0,"New",0),(J298-I298)/I298)</f>
        <v>0</v>
      </c>
      <c r="M298" t="str">
        <f>IF(F298=0,"No 2026 Sales",IF(E298=0,"New Product",IF(AND(ISNUMBER(H298),H298&gt;0.1),"↑ Strong Growth",IF(AND(ISNUMBER(H298),H298&gt;0),"↗ Growth",IF(AND(ISNUMBER(H298),H298&lt;-0.1),"↓ Strong Decline",IF(AND(ISNUMBER(H298),H298&lt;0),"↘ Decline","→ Stable"))))))</f>
        <v>No 2026 Sales</v>
      </c>
    </row>
    <row r="299" spans="1:13" hidden="1" x14ac:dyDescent="0.35">
      <c r="A299">
        <f>Data!A300</f>
        <v>210</v>
      </c>
      <c r="B299" t="str">
        <f>Data!B300</f>
        <v>INGREDIENTS</v>
      </c>
      <c r="C299" s="9">
        <f>Data!C300</f>
        <v>41215</v>
      </c>
      <c r="D299" s="10" t="s">
        <v>1080</v>
      </c>
      <c r="E299" s="11">
        <f>SUM(Data!I300,Data!K300,Data!M300,Data!O300,Data!Q300,Data!S300,Data!U300,Data!W300,Data!Y300,Data!AA300,Data!AC300,Data!AE300,Data!AG300,Data!AI300,Data!AK300,Data!AM300,Data!AO300,Data!AQ300,Data!AS300)</f>
        <v>0</v>
      </c>
      <c r="F299" s="11">
        <f>SUM(Data!DI300,Data!DK300,Data!DM300,Data!DO300,Data!DQ300,Data!DS300,Data!DU300,Data!DW300,Data!DY300,Data!EA300,Data!EC300,Data!EE300,Data!EG300,Data!EI300,Data!EK300,Data!EM300,Data!EO300,Data!EQ300,Data!ES300)</f>
        <v>0</v>
      </c>
      <c r="G299" s="11">
        <f>F299-E299</f>
        <v>0</v>
      </c>
      <c r="H299">
        <f>IF(E299=0,IF(F299&gt;0,"New",0),(F299-E299)/E299)</f>
        <v>0</v>
      </c>
      <c r="I299" s="12">
        <f>SUM(Data!J300,Data!L300,Data!N300,Data!P300,Data!R300,Data!T300,Data!V300,Data!X300,Data!Z300,Data!AB300,Data!AD300,Data!AF300,Data!AH300,Data!AJ300,Data!AL300,Data!AN300,Data!AP300,Data!AR300,Data!AT300)</f>
        <v>0</v>
      </c>
      <c r="J299" s="12">
        <f>SUM(Data!DJ300,Data!DL300,Data!DN300,Data!DP300,Data!DR300,Data!DT300,Data!DV300,Data!DX300,Data!DZ300,Data!EB300,Data!ED300,Data!EF300,Data!EH300,Data!EJ300,Data!EL300,Data!EN300,Data!EP300,Data!ER300,Data!ET300)</f>
        <v>0</v>
      </c>
      <c r="K299" s="12">
        <f>J299-I299</f>
        <v>0</v>
      </c>
      <c r="L299">
        <f>IF(I299=0,IF(J299&gt;0,"New",0),(J299-I299)/I299)</f>
        <v>0</v>
      </c>
      <c r="M299" t="str">
        <f>IF(F299=0,"No 2026 Sales",IF(E299=0,"New Product",IF(AND(ISNUMBER(H299),H299&gt;0.1),"↑ Strong Growth",IF(AND(ISNUMBER(H299),H299&gt;0),"↗ Growth",IF(AND(ISNUMBER(H299),H299&lt;-0.1),"↓ Strong Decline",IF(AND(ISNUMBER(H299),H299&lt;0),"↘ Decline","→ Stable"))))))</f>
        <v>No 2026 Sales</v>
      </c>
    </row>
    <row r="300" spans="1:13" hidden="1" x14ac:dyDescent="0.35">
      <c r="A300">
        <f>Data!A301</f>
        <v>210</v>
      </c>
      <c r="B300" t="str">
        <f>Data!B301</f>
        <v>INGREDIENTS</v>
      </c>
      <c r="C300" s="9">
        <f>Data!C301</f>
        <v>41220</v>
      </c>
      <c r="D300" s="10" t="s">
        <v>1081</v>
      </c>
      <c r="E300" s="11">
        <f>SUM(Data!I301,Data!K301,Data!M301,Data!O301,Data!Q301,Data!S301,Data!U301,Data!W301,Data!Y301,Data!AA301,Data!AC301,Data!AE301,Data!AG301,Data!AI301,Data!AK301,Data!AM301,Data!AO301,Data!AQ301,Data!AS301)</f>
        <v>0</v>
      </c>
      <c r="F300" s="11">
        <f>SUM(Data!DI301,Data!DK301,Data!DM301,Data!DO301,Data!DQ301,Data!DS301,Data!DU301,Data!DW301,Data!DY301,Data!EA301,Data!EC301,Data!EE301,Data!EG301,Data!EI301,Data!EK301,Data!EM301,Data!EO301,Data!EQ301,Data!ES301)</f>
        <v>0</v>
      </c>
      <c r="G300" s="11">
        <f>F300-E300</f>
        <v>0</v>
      </c>
      <c r="H300">
        <f>IF(E300=0,IF(F300&gt;0,"New",0),(F300-E300)/E300)</f>
        <v>0</v>
      </c>
      <c r="I300" s="12">
        <f>SUM(Data!J301,Data!L301,Data!N301,Data!P301,Data!R301,Data!T301,Data!V301,Data!X301,Data!Z301,Data!AB301,Data!AD301,Data!AF301,Data!AH301,Data!AJ301,Data!AL301,Data!AN301,Data!AP301,Data!AR301,Data!AT301)</f>
        <v>0</v>
      </c>
      <c r="J300" s="12">
        <f>SUM(Data!DJ301,Data!DL301,Data!DN301,Data!DP301,Data!DR301,Data!DT301,Data!DV301,Data!DX301,Data!DZ301,Data!EB301,Data!ED301,Data!EF301,Data!EH301,Data!EJ301,Data!EL301,Data!EN301,Data!EP301,Data!ER301,Data!ET301)</f>
        <v>0</v>
      </c>
      <c r="K300" s="12">
        <f>J300-I300</f>
        <v>0</v>
      </c>
      <c r="L300">
        <f>IF(I300=0,IF(J300&gt;0,"New",0),(J300-I300)/I300)</f>
        <v>0</v>
      </c>
      <c r="M300" t="str">
        <f>IF(F300=0,"No 2026 Sales",IF(E300=0,"New Product",IF(AND(ISNUMBER(H300),H300&gt;0.1),"↑ Strong Growth",IF(AND(ISNUMBER(H300),H300&gt;0),"↗ Growth",IF(AND(ISNUMBER(H300),H300&lt;-0.1),"↓ Strong Decline",IF(AND(ISNUMBER(H300),H300&lt;0),"↘ Decline","→ Stable"))))))</f>
        <v>No 2026 Sales</v>
      </c>
    </row>
    <row r="301" spans="1:13" hidden="1" x14ac:dyDescent="0.35">
      <c r="A301">
        <f>Data!A302</f>
        <v>210</v>
      </c>
      <c r="B301" t="str">
        <f>Data!B302</f>
        <v>INGREDIENTS</v>
      </c>
      <c r="C301" s="9">
        <f>Data!C302</f>
        <v>41221</v>
      </c>
      <c r="D301" s="10" t="s">
        <v>1082</v>
      </c>
      <c r="E301" s="11">
        <f>SUM(Data!I302,Data!K302,Data!M302,Data!O302,Data!Q302,Data!S302,Data!U302,Data!W302,Data!Y302,Data!AA302,Data!AC302,Data!AE302,Data!AG302,Data!AI302,Data!AK302,Data!AM302,Data!AO302,Data!AQ302,Data!AS302)</f>
        <v>0</v>
      </c>
      <c r="F301" s="11">
        <f>SUM(Data!DI302,Data!DK302,Data!DM302,Data!DO302,Data!DQ302,Data!DS302,Data!DU302,Data!DW302,Data!DY302,Data!EA302,Data!EC302,Data!EE302,Data!EG302,Data!EI302,Data!EK302,Data!EM302,Data!EO302,Data!EQ302,Data!ES302)</f>
        <v>0</v>
      </c>
      <c r="G301" s="11">
        <f>F301-E301</f>
        <v>0</v>
      </c>
      <c r="H301">
        <f>IF(E301=0,IF(F301&gt;0,"New",0),(F301-E301)/E301)</f>
        <v>0</v>
      </c>
      <c r="I301" s="12">
        <f>SUM(Data!J302,Data!L302,Data!N302,Data!P302,Data!R302,Data!T302,Data!V302,Data!X302,Data!Z302,Data!AB302,Data!AD302,Data!AF302,Data!AH302,Data!AJ302,Data!AL302,Data!AN302,Data!AP302,Data!AR302,Data!AT302)</f>
        <v>0</v>
      </c>
      <c r="J301" s="12">
        <f>SUM(Data!DJ302,Data!DL302,Data!DN302,Data!DP302,Data!DR302,Data!DT302,Data!DV302,Data!DX302,Data!DZ302,Data!EB302,Data!ED302,Data!EF302,Data!EH302,Data!EJ302,Data!EL302,Data!EN302,Data!EP302,Data!ER302,Data!ET302)</f>
        <v>0</v>
      </c>
      <c r="K301" s="12">
        <f>J301-I301</f>
        <v>0</v>
      </c>
      <c r="L301">
        <f>IF(I301=0,IF(J301&gt;0,"New",0),(J301-I301)/I301)</f>
        <v>0</v>
      </c>
      <c r="M301" t="str">
        <f>IF(F301=0,"No 2026 Sales",IF(E301=0,"New Product",IF(AND(ISNUMBER(H301),H301&gt;0.1),"↑ Strong Growth",IF(AND(ISNUMBER(H301),H301&gt;0),"↗ Growth",IF(AND(ISNUMBER(H301),H301&lt;-0.1),"↓ Strong Decline",IF(AND(ISNUMBER(H301),H301&lt;0),"↘ Decline","→ Stable"))))))</f>
        <v>No 2026 Sales</v>
      </c>
    </row>
    <row r="302" spans="1:13" hidden="1" x14ac:dyDescent="0.35">
      <c r="A302">
        <f>Data!A303</f>
        <v>210</v>
      </c>
      <c r="B302" t="str">
        <f>Data!B303</f>
        <v>INGREDIENTS</v>
      </c>
      <c r="C302" s="9">
        <f>Data!C303</f>
        <v>41222</v>
      </c>
      <c r="D302" s="10" t="s">
        <v>1083</v>
      </c>
      <c r="E302" s="11">
        <f>SUM(Data!I303,Data!K303,Data!M303,Data!O303,Data!Q303,Data!S303,Data!U303,Data!W303,Data!Y303,Data!AA303,Data!AC303,Data!AE303,Data!AG303,Data!AI303,Data!AK303,Data!AM303,Data!AO303,Data!AQ303,Data!AS303)</f>
        <v>0</v>
      </c>
      <c r="F302" s="11">
        <f>SUM(Data!DI303,Data!DK303,Data!DM303,Data!DO303,Data!DQ303,Data!DS303,Data!DU303,Data!DW303,Data!DY303,Data!EA303,Data!EC303,Data!EE303,Data!EG303,Data!EI303,Data!EK303,Data!EM303,Data!EO303,Data!EQ303,Data!ES303)</f>
        <v>0</v>
      </c>
      <c r="G302" s="11">
        <f>F302-E302</f>
        <v>0</v>
      </c>
      <c r="H302">
        <f>IF(E302=0,IF(F302&gt;0,"New",0),(F302-E302)/E302)</f>
        <v>0</v>
      </c>
      <c r="I302" s="12">
        <f>SUM(Data!J303,Data!L303,Data!N303,Data!P303,Data!R303,Data!T303,Data!V303,Data!X303,Data!Z303,Data!AB303,Data!AD303,Data!AF303,Data!AH303,Data!AJ303,Data!AL303,Data!AN303,Data!AP303,Data!AR303,Data!AT303)</f>
        <v>0</v>
      </c>
      <c r="J302" s="12">
        <f>SUM(Data!DJ303,Data!DL303,Data!DN303,Data!DP303,Data!DR303,Data!DT303,Data!DV303,Data!DX303,Data!DZ303,Data!EB303,Data!ED303,Data!EF303,Data!EH303,Data!EJ303,Data!EL303,Data!EN303,Data!EP303,Data!ER303,Data!ET303)</f>
        <v>0</v>
      </c>
      <c r="K302" s="12">
        <f>J302-I302</f>
        <v>0</v>
      </c>
      <c r="L302">
        <f>IF(I302=0,IF(J302&gt;0,"New",0),(J302-I302)/I302)</f>
        <v>0</v>
      </c>
      <c r="M302" t="str">
        <f>IF(F302=0,"No 2026 Sales",IF(E302=0,"New Product",IF(AND(ISNUMBER(H302),H302&gt;0.1),"↑ Strong Growth",IF(AND(ISNUMBER(H302),H302&gt;0),"↗ Growth",IF(AND(ISNUMBER(H302),H302&lt;-0.1),"↓ Strong Decline",IF(AND(ISNUMBER(H302),H302&lt;0),"↘ Decline","→ Stable"))))))</f>
        <v>No 2026 Sales</v>
      </c>
    </row>
    <row r="303" spans="1:13" hidden="1" x14ac:dyDescent="0.35">
      <c r="A303">
        <f>Data!A304</f>
        <v>210</v>
      </c>
      <c r="B303" t="str">
        <f>Data!B304</f>
        <v>INGREDIENTS</v>
      </c>
      <c r="C303" s="9">
        <f>Data!C304</f>
        <v>41223</v>
      </c>
      <c r="D303" s="10" t="s">
        <v>1084</v>
      </c>
      <c r="E303" s="11">
        <f>SUM(Data!I304,Data!K304,Data!M304,Data!O304,Data!Q304,Data!S304,Data!U304,Data!W304,Data!Y304,Data!AA304,Data!AC304,Data!AE304,Data!AG304,Data!AI304,Data!AK304,Data!AM304,Data!AO304,Data!AQ304,Data!AS304)</f>
        <v>0</v>
      </c>
      <c r="F303" s="11">
        <f>SUM(Data!DI304,Data!DK304,Data!DM304,Data!DO304,Data!DQ304,Data!DS304,Data!DU304,Data!DW304,Data!DY304,Data!EA304,Data!EC304,Data!EE304,Data!EG304,Data!EI304,Data!EK304,Data!EM304,Data!EO304,Data!EQ304,Data!ES304)</f>
        <v>0</v>
      </c>
      <c r="G303" s="11">
        <f>F303-E303</f>
        <v>0</v>
      </c>
      <c r="H303">
        <f>IF(E303=0,IF(F303&gt;0,"New",0),(F303-E303)/E303)</f>
        <v>0</v>
      </c>
      <c r="I303" s="12">
        <f>SUM(Data!J304,Data!L304,Data!N304,Data!P304,Data!R304,Data!T304,Data!V304,Data!X304,Data!Z304,Data!AB304,Data!AD304,Data!AF304,Data!AH304,Data!AJ304,Data!AL304,Data!AN304,Data!AP304,Data!AR304,Data!AT304)</f>
        <v>0</v>
      </c>
      <c r="J303" s="12">
        <f>SUM(Data!DJ304,Data!DL304,Data!DN304,Data!DP304,Data!DR304,Data!DT304,Data!DV304,Data!DX304,Data!DZ304,Data!EB304,Data!ED304,Data!EF304,Data!EH304,Data!EJ304,Data!EL304,Data!EN304,Data!EP304,Data!ER304,Data!ET304)</f>
        <v>0</v>
      </c>
      <c r="K303" s="12">
        <f>J303-I303</f>
        <v>0</v>
      </c>
      <c r="L303">
        <f>IF(I303=0,IF(J303&gt;0,"New",0),(J303-I303)/I303)</f>
        <v>0</v>
      </c>
      <c r="M303" t="str">
        <f>IF(F303=0,"No 2026 Sales",IF(E303=0,"New Product",IF(AND(ISNUMBER(H303),H303&gt;0.1),"↑ Strong Growth",IF(AND(ISNUMBER(H303),H303&gt;0),"↗ Growth",IF(AND(ISNUMBER(H303),H303&lt;-0.1),"↓ Strong Decline",IF(AND(ISNUMBER(H303),H303&lt;0),"↘ Decline","→ Stable"))))))</f>
        <v>No 2026 Sales</v>
      </c>
    </row>
    <row r="304" spans="1:13" hidden="1" x14ac:dyDescent="0.35">
      <c r="A304">
        <f>Data!A305</f>
        <v>210</v>
      </c>
      <c r="B304" t="str">
        <f>Data!B305</f>
        <v>INGREDIENTS</v>
      </c>
      <c r="C304" s="9">
        <f>Data!C305</f>
        <v>41226</v>
      </c>
      <c r="D304" s="10" t="s">
        <v>1085</v>
      </c>
      <c r="E304" s="11">
        <f>SUM(Data!I305,Data!K305,Data!M305,Data!O305,Data!Q305,Data!S305,Data!U305,Data!W305,Data!Y305,Data!AA305,Data!AC305,Data!AE305,Data!AG305,Data!AI305,Data!AK305,Data!AM305,Data!AO305,Data!AQ305,Data!AS305)</f>
        <v>0</v>
      </c>
      <c r="F304" s="11">
        <f>SUM(Data!DI305,Data!DK305,Data!DM305,Data!DO305,Data!DQ305,Data!DS305,Data!DU305,Data!DW305,Data!DY305,Data!EA305,Data!EC305,Data!EE305,Data!EG305,Data!EI305,Data!EK305,Data!EM305,Data!EO305,Data!EQ305,Data!ES305)</f>
        <v>0</v>
      </c>
      <c r="G304" s="11">
        <f>F304-E304</f>
        <v>0</v>
      </c>
      <c r="H304">
        <f>IF(E304=0,IF(F304&gt;0,"New",0),(F304-E304)/E304)</f>
        <v>0</v>
      </c>
      <c r="I304" s="12">
        <f>SUM(Data!J305,Data!L305,Data!N305,Data!P305,Data!R305,Data!T305,Data!V305,Data!X305,Data!Z305,Data!AB305,Data!AD305,Data!AF305,Data!AH305,Data!AJ305,Data!AL305,Data!AN305,Data!AP305,Data!AR305,Data!AT305)</f>
        <v>0</v>
      </c>
      <c r="J304" s="12">
        <f>SUM(Data!DJ305,Data!DL305,Data!DN305,Data!DP305,Data!DR305,Data!DT305,Data!DV305,Data!DX305,Data!DZ305,Data!EB305,Data!ED305,Data!EF305,Data!EH305,Data!EJ305,Data!EL305,Data!EN305,Data!EP305,Data!ER305,Data!ET305)</f>
        <v>0</v>
      </c>
      <c r="K304" s="12">
        <f>J304-I304</f>
        <v>0</v>
      </c>
      <c r="L304">
        <f>IF(I304=0,IF(J304&gt;0,"New",0),(J304-I304)/I304)</f>
        <v>0</v>
      </c>
      <c r="M304" t="str">
        <f>IF(F304=0,"No 2026 Sales",IF(E304=0,"New Product",IF(AND(ISNUMBER(H304),H304&gt;0.1),"↑ Strong Growth",IF(AND(ISNUMBER(H304),H304&gt;0),"↗ Growth",IF(AND(ISNUMBER(H304),H304&lt;-0.1),"↓ Strong Decline",IF(AND(ISNUMBER(H304),H304&lt;0),"↘ Decline","→ Stable"))))))</f>
        <v>No 2026 Sales</v>
      </c>
    </row>
    <row r="305" spans="1:13" hidden="1" x14ac:dyDescent="0.35">
      <c r="A305">
        <f>Data!A306</f>
        <v>210</v>
      </c>
      <c r="B305" t="str">
        <f>Data!B306</f>
        <v>INGREDIENTS</v>
      </c>
      <c r="C305" s="9">
        <f>Data!C306</f>
        <v>41244</v>
      </c>
      <c r="D305" s="10" t="s">
        <v>1086</v>
      </c>
      <c r="E305" s="11">
        <f>SUM(Data!I306,Data!K306,Data!M306,Data!O306,Data!Q306,Data!S306,Data!U306,Data!W306,Data!Y306,Data!AA306,Data!AC306,Data!AE306,Data!AG306,Data!AI306,Data!AK306,Data!AM306,Data!AO306,Data!AQ306,Data!AS306)</f>
        <v>0</v>
      </c>
      <c r="F305" s="11">
        <f>SUM(Data!DI306,Data!DK306,Data!DM306,Data!DO306,Data!DQ306,Data!DS306,Data!DU306,Data!DW306,Data!DY306,Data!EA306,Data!EC306,Data!EE306,Data!EG306,Data!EI306,Data!EK306,Data!EM306,Data!EO306,Data!EQ306,Data!ES306)</f>
        <v>0</v>
      </c>
      <c r="G305" s="11">
        <f>F305-E305</f>
        <v>0</v>
      </c>
      <c r="H305">
        <f>IF(E305=0,IF(F305&gt;0,"New",0),(F305-E305)/E305)</f>
        <v>0</v>
      </c>
      <c r="I305" s="12">
        <f>SUM(Data!J306,Data!L306,Data!N306,Data!P306,Data!R306,Data!T306,Data!V306,Data!X306,Data!Z306,Data!AB306,Data!AD306,Data!AF306,Data!AH306,Data!AJ306,Data!AL306,Data!AN306,Data!AP306,Data!AR306,Data!AT306)</f>
        <v>0</v>
      </c>
      <c r="J305" s="12">
        <f>SUM(Data!DJ306,Data!DL306,Data!DN306,Data!DP306,Data!DR306,Data!DT306,Data!DV306,Data!DX306,Data!DZ306,Data!EB306,Data!ED306,Data!EF306,Data!EH306,Data!EJ306,Data!EL306,Data!EN306,Data!EP306,Data!ER306,Data!ET306)</f>
        <v>0</v>
      </c>
      <c r="K305" s="12">
        <f>J305-I305</f>
        <v>0</v>
      </c>
      <c r="L305">
        <f>IF(I305=0,IF(J305&gt;0,"New",0),(J305-I305)/I305)</f>
        <v>0</v>
      </c>
      <c r="M305" t="str">
        <f>IF(F305=0,"No 2026 Sales",IF(E305=0,"New Product",IF(AND(ISNUMBER(H305),H305&gt;0.1),"↑ Strong Growth",IF(AND(ISNUMBER(H305),H305&gt;0),"↗ Growth",IF(AND(ISNUMBER(H305),H305&lt;-0.1),"↓ Strong Decline",IF(AND(ISNUMBER(H305),H305&lt;0),"↘ Decline","→ Stable"))))))</f>
        <v>No 2026 Sales</v>
      </c>
    </row>
    <row r="306" spans="1:13" hidden="1" x14ac:dyDescent="0.35">
      <c r="A306">
        <f>Data!A307</f>
        <v>210</v>
      </c>
      <c r="B306" t="str">
        <f>Data!B307</f>
        <v>INGREDIENTS</v>
      </c>
      <c r="C306" s="9">
        <f>Data!C307</f>
        <v>41258</v>
      </c>
      <c r="D306" s="10" t="s">
        <v>1087</v>
      </c>
      <c r="E306" s="11">
        <f>SUM(Data!I307,Data!K307,Data!M307,Data!O307,Data!Q307,Data!S307,Data!U307,Data!W307,Data!Y307,Data!AA307,Data!AC307,Data!AE307,Data!AG307,Data!AI307,Data!AK307,Data!AM307,Data!AO307,Data!AQ307,Data!AS307)</f>
        <v>0</v>
      </c>
      <c r="F306" s="11">
        <f>SUM(Data!DI307,Data!DK307,Data!DM307,Data!DO307,Data!DQ307,Data!DS307,Data!DU307,Data!DW307,Data!DY307,Data!EA307,Data!EC307,Data!EE307,Data!EG307,Data!EI307,Data!EK307,Data!EM307,Data!EO307,Data!EQ307,Data!ES307)</f>
        <v>0</v>
      </c>
      <c r="G306" s="11">
        <f>F306-E306</f>
        <v>0</v>
      </c>
      <c r="H306">
        <f>IF(E306=0,IF(F306&gt;0,"New",0),(F306-E306)/E306)</f>
        <v>0</v>
      </c>
      <c r="I306" s="12">
        <f>SUM(Data!J307,Data!L307,Data!N307,Data!P307,Data!R307,Data!T307,Data!V307,Data!X307,Data!Z307,Data!AB307,Data!AD307,Data!AF307,Data!AH307,Data!AJ307,Data!AL307,Data!AN307,Data!AP307,Data!AR307,Data!AT307)</f>
        <v>0</v>
      </c>
      <c r="J306" s="12">
        <f>SUM(Data!DJ307,Data!DL307,Data!DN307,Data!DP307,Data!DR307,Data!DT307,Data!DV307,Data!DX307,Data!DZ307,Data!EB307,Data!ED307,Data!EF307,Data!EH307,Data!EJ307,Data!EL307,Data!EN307,Data!EP307,Data!ER307,Data!ET307)</f>
        <v>0</v>
      </c>
      <c r="K306" s="12">
        <f>J306-I306</f>
        <v>0</v>
      </c>
      <c r="L306">
        <f>IF(I306=0,IF(J306&gt;0,"New",0),(J306-I306)/I306)</f>
        <v>0</v>
      </c>
      <c r="M306" t="str">
        <f>IF(F306=0,"No 2026 Sales",IF(E306=0,"New Product",IF(AND(ISNUMBER(H306),H306&gt;0.1),"↑ Strong Growth",IF(AND(ISNUMBER(H306),H306&gt;0),"↗ Growth",IF(AND(ISNUMBER(H306),H306&lt;-0.1),"↓ Strong Decline",IF(AND(ISNUMBER(H306),H306&lt;0),"↘ Decline","→ Stable"))))))</f>
        <v>No 2026 Sales</v>
      </c>
    </row>
    <row r="307" spans="1:13" hidden="1" x14ac:dyDescent="0.35">
      <c r="A307">
        <f>Data!A308</f>
        <v>210</v>
      </c>
      <c r="B307" t="str">
        <f>Data!B308</f>
        <v>INGREDIENTS</v>
      </c>
      <c r="C307" s="9">
        <f>Data!C308</f>
        <v>41365</v>
      </c>
      <c r="D307" s="10" t="s">
        <v>1088</v>
      </c>
      <c r="E307" s="11">
        <f>SUM(Data!I308,Data!K308,Data!M308,Data!O308,Data!Q308,Data!S308,Data!U308,Data!W308,Data!Y308,Data!AA308,Data!AC308,Data!AE308,Data!AG308,Data!AI308,Data!AK308,Data!AM308,Data!AO308,Data!AQ308,Data!AS308)</f>
        <v>0</v>
      </c>
      <c r="F307" s="11">
        <f>SUM(Data!DI308,Data!DK308,Data!DM308,Data!DO308,Data!DQ308,Data!DS308,Data!DU308,Data!DW308,Data!DY308,Data!EA308,Data!EC308,Data!EE308,Data!EG308,Data!EI308,Data!EK308,Data!EM308,Data!EO308,Data!EQ308,Data!ES308)</f>
        <v>0</v>
      </c>
      <c r="G307" s="11">
        <f>F307-E307</f>
        <v>0</v>
      </c>
      <c r="H307">
        <f>IF(E307=0,IF(F307&gt;0,"New",0),(F307-E307)/E307)</f>
        <v>0</v>
      </c>
      <c r="I307" s="12">
        <f>SUM(Data!J308,Data!L308,Data!N308,Data!P308,Data!R308,Data!T308,Data!V308,Data!X308,Data!Z308,Data!AB308,Data!AD308,Data!AF308,Data!AH308,Data!AJ308,Data!AL308,Data!AN308,Data!AP308,Data!AR308,Data!AT308)</f>
        <v>0</v>
      </c>
      <c r="J307" s="12">
        <f>SUM(Data!DJ308,Data!DL308,Data!DN308,Data!DP308,Data!DR308,Data!DT308,Data!DV308,Data!DX308,Data!DZ308,Data!EB308,Data!ED308,Data!EF308,Data!EH308,Data!EJ308,Data!EL308,Data!EN308,Data!EP308,Data!ER308,Data!ET308)</f>
        <v>0</v>
      </c>
      <c r="K307" s="12">
        <f>J307-I307</f>
        <v>0</v>
      </c>
      <c r="L307">
        <f>IF(I307=0,IF(J307&gt;0,"New",0),(J307-I307)/I307)</f>
        <v>0</v>
      </c>
      <c r="M307" t="str">
        <f>IF(F307=0,"No 2026 Sales",IF(E307=0,"New Product",IF(AND(ISNUMBER(H307),H307&gt;0.1),"↑ Strong Growth",IF(AND(ISNUMBER(H307),H307&gt;0),"↗ Growth",IF(AND(ISNUMBER(H307),H307&lt;-0.1),"↓ Strong Decline",IF(AND(ISNUMBER(H307),H307&lt;0),"↘ Decline","→ Stable"))))))</f>
        <v>No 2026 Sales</v>
      </c>
    </row>
    <row r="308" spans="1:13" hidden="1" x14ac:dyDescent="0.35">
      <c r="A308">
        <f>Data!A309</f>
        <v>210</v>
      </c>
      <c r="B308" t="str">
        <f>Data!B309</f>
        <v>INGREDIENTS</v>
      </c>
      <c r="C308" s="9">
        <f>Data!C309</f>
        <v>41514</v>
      </c>
      <c r="D308" s="10" t="s">
        <v>1089</v>
      </c>
      <c r="E308" s="11">
        <f>SUM(Data!I309,Data!K309,Data!M309,Data!O309,Data!Q309,Data!S309,Data!U309,Data!W309,Data!Y309,Data!AA309,Data!AC309,Data!AE309,Data!AG309,Data!AI309,Data!AK309,Data!AM309,Data!AO309,Data!AQ309,Data!AS309)</f>
        <v>0</v>
      </c>
      <c r="F308" s="11">
        <f>SUM(Data!DI309,Data!DK309,Data!DM309,Data!DO309,Data!DQ309,Data!DS309,Data!DU309,Data!DW309,Data!DY309,Data!EA309,Data!EC309,Data!EE309,Data!EG309,Data!EI309,Data!EK309,Data!EM309,Data!EO309,Data!EQ309,Data!ES309)</f>
        <v>0</v>
      </c>
      <c r="G308" s="11">
        <f>F308-E308</f>
        <v>0</v>
      </c>
      <c r="H308">
        <f>IF(E308=0,IF(F308&gt;0,"New",0),(F308-E308)/E308)</f>
        <v>0</v>
      </c>
      <c r="I308" s="12">
        <f>SUM(Data!J309,Data!L309,Data!N309,Data!P309,Data!R309,Data!T309,Data!V309,Data!X309,Data!Z309,Data!AB309,Data!AD309,Data!AF309,Data!AH309,Data!AJ309,Data!AL309,Data!AN309,Data!AP309,Data!AR309,Data!AT309)</f>
        <v>0</v>
      </c>
      <c r="J308" s="12">
        <f>SUM(Data!DJ309,Data!DL309,Data!DN309,Data!DP309,Data!DR309,Data!DT309,Data!DV309,Data!DX309,Data!DZ309,Data!EB309,Data!ED309,Data!EF309,Data!EH309,Data!EJ309,Data!EL309,Data!EN309,Data!EP309,Data!ER309,Data!ET309)</f>
        <v>0</v>
      </c>
      <c r="K308" s="12">
        <f>J308-I308</f>
        <v>0</v>
      </c>
      <c r="L308">
        <f>IF(I308=0,IF(J308&gt;0,"New",0),(J308-I308)/I308)</f>
        <v>0</v>
      </c>
      <c r="M308" t="str">
        <f>IF(F308=0,"No 2026 Sales",IF(E308=0,"New Product",IF(AND(ISNUMBER(H308),H308&gt;0.1),"↑ Strong Growth",IF(AND(ISNUMBER(H308),H308&gt;0),"↗ Growth",IF(AND(ISNUMBER(H308),H308&lt;-0.1),"↓ Strong Decline",IF(AND(ISNUMBER(H308),H308&lt;0),"↘ Decline","→ Stable"))))))</f>
        <v>No 2026 Sales</v>
      </c>
    </row>
    <row r="309" spans="1:13" hidden="1" x14ac:dyDescent="0.35">
      <c r="A309">
        <f>Data!A310</f>
        <v>210</v>
      </c>
      <c r="B309" t="str">
        <f>Data!B310</f>
        <v>INGREDIENTS</v>
      </c>
      <c r="C309" s="9">
        <f>Data!C310</f>
        <v>41522</v>
      </c>
      <c r="D309" s="10" t="s">
        <v>1090</v>
      </c>
      <c r="E309" s="11">
        <f>SUM(Data!I310,Data!K310,Data!M310,Data!O310,Data!Q310,Data!S310,Data!U310,Data!W310,Data!Y310,Data!AA310,Data!AC310,Data!AE310,Data!AG310,Data!AI310,Data!AK310,Data!AM310,Data!AO310,Data!AQ310,Data!AS310)</f>
        <v>0</v>
      </c>
      <c r="F309" s="11">
        <f>SUM(Data!DI310,Data!DK310,Data!DM310,Data!DO310,Data!DQ310,Data!DS310,Data!DU310,Data!DW310,Data!DY310,Data!EA310,Data!EC310,Data!EE310,Data!EG310,Data!EI310,Data!EK310,Data!EM310,Data!EO310,Data!EQ310,Data!ES310)</f>
        <v>0</v>
      </c>
      <c r="G309" s="11">
        <f>F309-E309</f>
        <v>0</v>
      </c>
      <c r="H309">
        <f>IF(E309=0,IF(F309&gt;0,"New",0),(F309-E309)/E309)</f>
        <v>0</v>
      </c>
      <c r="I309" s="12">
        <f>SUM(Data!J310,Data!L310,Data!N310,Data!P310,Data!R310,Data!T310,Data!V310,Data!X310,Data!Z310,Data!AB310,Data!AD310,Data!AF310,Data!AH310,Data!AJ310,Data!AL310,Data!AN310,Data!AP310,Data!AR310,Data!AT310)</f>
        <v>0</v>
      </c>
      <c r="J309" s="12">
        <f>SUM(Data!DJ310,Data!DL310,Data!DN310,Data!DP310,Data!DR310,Data!DT310,Data!DV310,Data!DX310,Data!DZ310,Data!EB310,Data!ED310,Data!EF310,Data!EH310,Data!EJ310,Data!EL310,Data!EN310,Data!EP310,Data!ER310,Data!ET310)</f>
        <v>0</v>
      </c>
      <c r="K309" s="12">
        <f>J309-I309</f>
        <v>0</v>
      </c>
      <c r="L309">
        <f>IF(I309=0,IF(J309&gt;0,"New",0),(J309-I309)/I309)</f>
        <v>0</v>
      </c>
      <c r="M309" t="str">
        <f>IF(F309=0,"No 2026 Sales",IF(E309=0,"New Product",IF(AND(ISNUMBER(H309),H309&gt;0.1),"↑ Strong Growth",IF(AND(ISNUMBER(H309),H309&gt;0),"↗ Growth",IF(AND(ISNUMBER(H309),H309&lt;-0.1),"↓ Strong Decline",IF(AND(ISNUMBER(H309),H309&lt;0),"↘ Decline","→ Stable"))))))</f>
        <v>No 2026 Sales</v>
      </c>
    </row>
    <row r="310" spans="1:13" hidden="1" x14ac:dyDescent="0.35">
      <c r="A310">
        <f>Data!A311</f>
        <v>210</v>
      </c>
      <c r="B310" t="str">
        <f>Data!B311</f>
        <v>INGREDIENTS</v>
      </c>
      <c r="C310" s="9">
        <f>Data!C311</f>
        <v>41523</v>
      </c>
      <c r="D310" s="10" t="s">
        <v>1091</v>
      </c>
      <c r="E310" s="11">
        <f>SUM(Data!I311,Data!K311,Data!M311,Data!O311,Data!Q311,Data!S311,Data!U311,Data!W311,Data!Y311,Data!AA311,Data!AC311,Data!AE311,Data!AG311,Data!AI311,Data!AK311,Data!AM311,Data!AO311,Data!AQ311,Data!AS311)</f>
        <v>0</v>
      </c>
      <c r="F310" s="11">
        <f>SUM(Data!DI311,Data!DK311,Data!DM311,Data!DO311,Data!DQ311,Data!DS311,Data!DU311,Data!DW311,Data!DY311,Data!EA311,Data!EC311,Data!EE311,Data!EG311,Data!EI311,Data!EK311,Data!EM311,Data!EO311,Data!EQ311,Data!ES311)</f>
        <v>0</v>
      </c>
      <c r="G310" s="11">
        <f>F310-E310</f>
        <v>0</v>
      </c>
      <c r="H310">
        <f>IF(E310=0,IF(F310&gt;0,"New",0),(F310-E310)/E310)</f>
        <v>0</v>
      </c>
      <c r="I310" s="12">
        <f>SUM(Data!J311,Data!L311,Data!N311,Data!P311,Data!R311,Data!T311,Data!V311,Data!X311,Data!Z311,Data!AB311,Data!AD311,Data!AF311,Data!AH311,Data!AJ311,Data!AL311,Data!AN311,Data!AP311,Data!AR311,Data!AT311)</f>
        <v>0</v>
      </c>
      <c r="J310" s="12">
        <f>SUM(Data!DJ311,Data!DL311,Data!DN311,Data!DP311,Data!DR311,Data!DT311,Data!DV311,Data!DX311,Data!DZ311,Data!EB311,Data!ED311,Data!EF311,Data!EH311,Data!EJ311,Data!EL311,Data!EN311,Data!EP311,Data!ER311,Data!ET311)</f>
        <v>0</v>
      </c>
      <c r="K310" s="12">
        <f>J310-I310</f>
        <v>0</v>
      </c>
      <c r="L310">
        <f>IF(I310=0,IF(J310&gt;0,"New",0),(J310-I310)/I310)</f>
        <v>0</v>
      </c>
      <c r="M310" t="str">
        <f>IF(F310=0,"No 2026 Sales",IF(E310=0,"New Product",IF(AND(ISNUMBER(H310),H310&gt;0.1),"↑ Strong Growth",IF(AND(ISNUMBER(H310),H310&gt;0),"↗ Growth",IF(AND(ISNUMBER(H310),H310&lt;-0.1),"↓ Strong Decline",IF(AND(ISNUMBER(H310),H310&lt;0),"↘ Decline","→ Stable"))))))</f>
        <v>No 2026 Sales</v>
      </c>
    </row>
    <row r="311" spans="1:13" hidden="1" x14ac:dyDescent="0.35">
      <c r="A311">
        <f>Data!A312</f>
        <v>210</v>
      </c>
      <c r="B311" t="str">
        <f>Data!B312</f>
        <v>INGREDIENTS</v>
      </c>
      <c r="C311" s="9">
        <f>Data!C312</f>
        <v>41566</v>
      </c>
      <c r="D311" s="10" t="s">
        <v>1092</v>
      </c>
      <c r="E311" s="11">
        <f>SUM(Data!I312,Data!K312,Data!M312,Data!O312,Data!Q312,Data!S312,Data!U312,Data!W312,Data!Y312,Data!AA312,Data!AC312,Data!AE312,Data!AG312,Data!AI312,Data!AK312,Data!AM312,Data!AO312,Data!AQ312,Data!AS312)</f>
        <v>0</v>
      </c>
      <c r="F311" s="11">
        <f>SUM(Data!DI312,Data!DK312,Data!DM312,Data!DO312,Data!DQ312,Data!DS312,Data!DU312,Data!DW312,Data!DY312,Data!EA312,Data!EC312,Data!EE312,Data!EG312,Data!EI312,Data!EK312,Data!EM312,Data!EO312,Data!EQ312,Data!ES312)</f>
        <v>0</v>
      </c>
      <c r="G311" s="11">
        <f>F311-E311</f>
        <v>0</v>
      </c>
      <c r="H311">
        <f>IF(E311=0,IF(F311&gt;0,"New",0),(F311-E311)/E311)</f>
        <v>0</v>
      </c>
      <c r="I311" s="12">
        <f>SUM(Data!J312,Data!L312,Data!N312,Data!P312,Data!R312,Data!T312,Data!V312,Data!X312,Data!Z312,Data!AB312,Data!AD312,Data!AF312,Data!AH312,Data!AJ312,Data!AL312,Data!AN312,Data!AP312,Data!AR312,Data!AT312)</f>
        <v>0</v>
      </c>
      <c r="J311" s="12">
        <f>SUM(Data!DJ312,Data!DL312,Data!DN312,Data!DP312,Data!DR312,Data!DT312,Data!DV312,Data!DX312,Data!DZ312,Data!EB312,Data!ED312,Data!EF312,Data!EH312,Data!EJ312,Data!EL312,Data!EN312,Data!EP312,Data!ER312,Data!ET312)</f>
        <v>0</v>
      </c>
      <c r="K311" s="12">
        <f>J311-I311</f>
        <v>0</v>
      </c>
      <c r="L311">
        <f>IF(I311=0,IF(J311&gt;0,"New",0),(J311-I311)/I311)</f>
        <v>0</v>
      </c>
      <c r="M311" t="str">
        <f>IF(F311=0,"No 2026 Sales",IF(E311=0,"New Product",IF(AND(ISNUMBER(H311),H311&gt;0.1),"↑ Strong Growth",IF(AND(ISNUMBER(H311),H311&gt;0),"↗ Growth",IF(AND(ISNUMBER(H311),H311&lt;-0.1),"↓ Strong Decline",IF(AND(ISNUMBER(H311),H311&lt;0),"↘ Decline","→ Stable"))))))</f>
        <v>No 2026 Sales</v>
      </c>
    </row>
    <row r="312" spans="1:13" hidden="1" x14ac:dyDescent="0.35">
      <c r="A312">
        <f>Data!A313</f>
        <v>210</v>
      </c>
      <c r="B312" t="str">
        <f>Data!B313</f>
        <v>INGREDIENTS</v>
      </c>
      <c r="C312" s="9">
        <f>Data!C313</f>
        <v>41567</v>
      </c>
      <c r="D312" s="10" t="s">
        <v>1093</v>
      </c>
      <c r="E312" s="11">
        <f>SUM(Data!I313,Data!K313,Data!M313,Data!O313,Data!Q313,Data!S313,Data!U313,Data!W313,Data!Y313,Data!AA313,Data!AC313,Data!AE313,Data!AG313,Data!AI313,Data!AK313,Data!AM313,Data!AO313,Data!AQ313,Data!AS313)</f>
        <v>0</v>
      </c>
      <c r="F312" s="11">
        <f>SUM(Data!DI313,Data!DK313,Data!DM313,Data!DO313,Data!DQ313,Data!DS313,Data!DU313,Data!DW313,Data!DY313,Data!EA313,Data!EC313,Data!EE313,Data!EG313,Data!EI313,Data!EK313,Data!EM313,Data!EO313,Data!EQ313,Data!ES313)</f>
        <v>0</v>
      </c>
      <c r="G312" s="11">
        <f>F312-E312</f>
        <v>0</v>
      </c>
      <c r="H312">
        <f>IF(E312=0,IF(F312&gt;0,"New",0),(F312-E312)/E312)</f>
        <v>0</v>
      </c>
      <c r="I312" s="12">
        <f>SUM(Data!J313,Data!L313,Data!N313,Data!P313,Data!R313,Data!T313,Data!V313,Data!X313,Data!Z313,Data!AB313,Data!AD313,Data!AF313,Data!AH313,Data!AJ313,Data!AL313,Data!AN313,Data!AP313,Data!AR313,Data!AT313)</f>
        <v>0</v>
      </c>
      <c r="J312" s="12">
        <f>SUM(Data!DJ313,Data!DL313,Data!DN313,Data!DP313,Data!DR313,Data!DT313,Data!DV313,Data!DX313,Data!DZ313,Data!EB313,Data!ED313,Data!EF313,Data!EH313,Data!EJ313,Data!EL313,Data!EN313,Data!EP313,Data!ER313,Data!ET313)</f>
        <v>0</v>
      </c>
      <c r="K312" s="12">
        <f>J312-I312</f>
        <v>0</v>
      </c>
      <c r="L312">
        <f>IF(I312=0,IF(J312&gt;0,"New",0),(J312-I312)/I312)</f>
        <v>0</v>
      </c>
      <c r="M312" t="str">
        <f>IF(F312=0,"No 2026 Sales",IF(E312=0,"New Product",IF(AND(ISNUMBER(H312),H312&gt;0.1),"↑ Strong Growth",IF(AND(ISNUMBER(H312),H312&gt;0),"↗ Growth",IF(AND(ISNUMBER(H312),H312&lt;-0.1),"↓ Strong Decline",IF(AND(ISNUMBER(H312),H312&lt;0),"↘ Decline","→ Stable"))))))</f>
        <v>No 2026 Sales</v>
      </c>
    </row>
    <row r="313" spans="1:13" hidden="1" x14ac:dyDescent="0.35">
      <c r="A313">
        <f>Data!A314</f>
        <v>210</v>
      </c>
      <c r="B313" t="str">
        <f>Data!B314</f>
        <v>INGREDIENTS</v>
      </c>
      <c r="C313" s="9">
        <f>Data!C314</f>
        <v>41614</v>
      </c>
      <c r="D313" s="10" t="s">
        <v>1094</v>
      </c>
      <c r="E313" s="11">
        <f>SUM(Data!I314,Data!K314,Data!M314,Data!O314,Data!Q314,Data!S314,Data!U314,Data!W314,Data!Y314,Data!AA314,Data!AC314,Data!AE314,Data!AG314,Data!AI314,Data!AK314,Data!AM314,Data!AO314,Data!AQ314,Data!AS314)</f>
        <v>0</v>
      </c>
      <c r="F313" s="11">
        <f>SUM(Data!DI314,Data!DK314,Data!DM314,Data!DO314,Data!DQ314,Data!DS314,Data!DU314,Data!DW314,Data!DY314,Data!EA314,Data!EC314,Data!EE314,Data!EG314,Data!EI314,Data!EK314,Data!EM314,Data!EO314,Data!EQ314,Data!ES314)</f>
        <v>0</v>
      </c>
      <c r="G313" s="11">
        <f>F313-E313</f>
        <v>0</v>
      </c>
      <c r="H313">
        <f>IF(E313=0,IF(F313&gt;0,"New",0),(F313-E313)/E313)</f>
        <v>0</v>
      </c>
      <c r="I313" s="12">
        <f>SUM(Data!J314,Data!L314,Data!N314,Data!P314,Data!R314,Data!T314,Data!V314,Data!X314,Data!Z314,Data!AB314,Data!AD314,Data!AF314,Data!AH314,Data!AJ314,Data!AL314,Data!AN314,Data!AP314,Data!AR314,Data!AT314)</f>
        <v>0</v>
      </c>
      <c r="J313" s="12">
        <f>SUM(Data!DJ314,Data!DL314,Data!DN314,Data!DP314,Data!DR314,Data!DT314,Data!DV314,Data!DX314,Data!DZ314,Data!EB314,Data!ED314,Data!EF314,Data!EH314,Data!EJ314,Data!EL314,Data!EN314,Data!EP314,Data!ER314,Data!ET314)</f>
        <v>0</v>
      </c>
      <c r="K313" s="12">
        <f>J313-I313</f>
        <v>0</v>
      </c>
      <c r="L313">
        <f>IF(I313=0,IF(J313&gt;0,"New",0),(J313-I313)/I313)</f>
        <v>0</v>
      </c>
      <c r="M313" t="str">
        <f>IF(F313=0,"No 2026 Sales",IF(E313=0,"New Product",IF(AND(ISNUMBER(H313),H313&gt;0.1),"↑ Strong Growth",IF(AND(ISNUMBER(H313),H313&gt;0),"↗ Growth",IF(AND(ISNUMBER(H313),H313&lt;-0.1),"↓ Strong Decline",IF(AND(ISNUMBER(H313),H313&lt;0),"↘ Decline","→ Stable"))))))</f>
        <v>No 2026 Sales</v>
      </c>
    </row>
    <row r="314" spans="1:13" hidden="1" x14ac:dyDescent="0.35">
      <c r="A314">
        <f>Data!A315</f>
        <v>210</v>
      </c>
      <c r="B314" t="str">
        <f>Data!B315</f>
        <v>INGREDIENTS</v>
      </c>
      <c r="C314" s="9">
        <f>Data!C315</f>
        <v>41641</v>
      </c>
      <c r="D314" s="10" t="s">
        <v>1095</v>
      </c>
      <c r="E314" s="11">
        <f>SUM(Data!I315,Data!K315,Data!M315,Data!O315,Data!Q315,Data!S315,Data!U315,Data!W315,Data!Y315,Data!AA315,Data!AC315,Data!AE315,Data!AG315,Data!AI315,Data!AK315,Data!AM315,Data!AO315,Data!AQ315,Data!AS315)</f>
        <v>0</v>
      </c>
      <c r="F314" s="11">
        <f>SUM(Data!DI315,Data!DK315,Data!DM315,Data!DO315,Data!DQ315,Data!DS315,Data!DU315,Data!DW315,Data!DY315,Data!EA315,Data!EC315,Data!EE315,Data!EG315,Data!EI315,Data!EK315,Data!EM315,Data!EO315,Data!EQ315,Data!ES315)</f>
        <v>0</v>
      </c>
      <c r="G314" s="11">
        <f>F314-E314</f>
        <v>0</v>
      </c>
      <c r="H314">
        <f>IF(E314=0,IF(F314&gt;0,"New",0),(F314-E314)/E314)</f>
        <v>0</v>
      </c>
      <c r="I314" s="12">
        <f>SUM(Data!J315,Data!L315,Data!N315,Data!P315,Data!R315,Data!T315,Data!V315,Data!X315,Data!Z315,Data!AB315,Data!AD315,Data!AF315,Data!AH315,Data!AJ315,Data!AL315,Data!AN315,Data!AP315,Data!AR315,Data!AT315)</f>
        <v>0</v>
      </c>
      <c r="J314" s="12">
        <f>SUM(Data!DJ315,Data!DL315,Data!DN315,Data!DP315,Data!DR315,Data!DT315,Data!DV315,Data!DX315,Data!DZ315,Data!EB315,Data!ED315,Data!EF315,Data!EH315,Data!EJ315,Data!EL315,Data!EN315,Data!EP315,Data!ER315,Data!ET315)</f>
        <v>0</v>
      </c>
      <c r="K314" s="12">
        <f>J314-I314</f>
        <v>0</v>
      </c>
      <c r="L314">
        <f>IF(I314=0,IF(J314&gt;0,"New",0),(J314-I314)/I314)</f>
        <v>0</v>
      </c>
      <c r="M314" t="str">
        <f>IF(F314=0,"No 2026 Sales",IF(E314=0,"New Product",IF(AND(ISNUMBER(H314),H314&gt;0.1),"↑ Strong Growth",IF(AND(ISNUMBER(H314),H314&gt;0),"↗ Growth",IF(AND(ISNUMBER(H314),H314&lt;-0.1),"↓ Strong Decline",IF(AND(ISNUMBER(H314),H314&lt;0),"↘ Decline","→ Stable"))))))</f>
        <v>No 2026 Sales</v>
      </c>
    </row>
    <row r="315" spans="1:13" hidden="1" x14ac:dyDescent="0.35">
      <c r="A315">
        <f>Data!A316</f>
        <v>210</v>
      </c>
      <c r="B315" t="str">
        <f>Data!B316</f>
        <v>INGREDIENTS</v>
      </c>
      <c r="C315" s="9">
        <f>Data!C316</f>
        <v>41642</v>
      </c>
      <c r="D315" s="10" t="s">
        <v>1096</v>
      </c>
      <c r="E315" s="11">
        <f>SUM(Data!I316,Data!K316,Data!M316,Data!O316,Data!Q316,Data!S316,Data!U316,Data!W316,Data!Y316,Data!AA316,Data!AC316,Data!AE316,Data!AG316,Data!AI316,Data!AK316,Data!AM316,Data!AO316,Data!AQ316,Data!AS316)</f>
        <v>0</v>
      </c>
      <c r="F315" s="11">
        <f>SUM(Data!DI316,Data!DK316,Data!DM316,Data!DO316,Data!DQ316,Data!DS316,Data!DU316,Data!DW316,Data!DY316,Data!EA316,Data!EC316,Data!EE316,Data!EG316,Data!EI316,Data!EK316,Data!EM316,Data!EO316,Data!EQ316,Data!ES316)</f>
        <v>0</v>
      </c>
      <c r="G315" s="11">
        <f>F315-E315</f>
        <v>0</v>
      </c>
      <c r="H315">
        <f>IF(E315=0,IF(F315&gt;0,"New",0),(F315-E315)/E315)</f>
        <v>0</v>
      </c>
      <c r="I315" s="12">
        <f>SUM(Data!J316,Data!L316,Data!N316,Data!P316,Data!R316,Data!T316,Data!V316,Data!X316,Data!Z316,Data!AB316,Data!AD316,Data!AF316,Data!AH316,Data!AJ316,Data!AL316,Data!AN316,Data!AP316,Data!AR316,Data!AT316)</f>
        <v>0</v>
      </c>
      <c r="J315" s="12">
        <f>SUM(Data!DJ316,Data!DL316,Data!DN316,Data!DP316,Data!DR316,Data!DT316,Data!DV316,Data!DX316,Data!DZ316,Data!EB316,Data!ED316,Data!EF316,Data!EH316,Data!EJ316,Data!EL316,Data!EN316,Data!EP316,Data!ER316,Data!ET316)</f>
        <v>0</v>
      </c>
      <c r="K315" s="12">
        <f>J315-I315</f>
        <v>0</v>
      </c>
      <c r="L315">
        <f>IF(I315=0,IF(J315&gt;0,"New",0),(J315-I315)/I315)</f>
        <v>0</v>
      </c>
      <c r="M315" t="str">
        <f>IF(F315=0,"No 2026 Sales",IF(E315=0,"New Product",IF(AND(ISNUMBER(H315),H315&gt;0.1),"↑ Strong Growth",IF(AND(ISNUMBER(H315),H315&gt;0),"↗ Growth",IF(AND(ISNUMBER(H315),H315&lt;-0.1),"↓ Strong Decline",IF(AND(ISNUMBER(H315),H315&lt;0),"↘ Decline","→ Stable"))))))</f>
        <v>No 2026 Sales</v>
      </c>
    </row>
    <row r="316" spans="1:13" hidden="1" x14ac:dyDescent="0.35">
      <c r="A316">
        <f>Data!A317</f>
        <v>210</v>
      </c>
      <c r="B316" t="str">
        <f>Data!B317</f>
        <v>INGREDIENTS</v>
      </c>
      <c r="C316" s="9">
        <f>Data!C317</f>
        <v>42326</v>
      </c>
      <c r="D316" s="10" t="s">
        <v>1097</v>
      </c>
      <c r="E316" s="11">
        <f>SUM(Data!I317,Data!K317,Data!M317,Data!O317,Data!Q317,Data!S317,Data!U317,Data!W317,Data!Y317,Data!AA317,Data!AC317,Data!AE317,Data!AG317,Data!AI317,Data!AK317,Data!AM317,Data!AO317,Data!AQ317,Data!AS317)</f>
        <v>0</v>
      </c>
      <c r="F316" s="11">
        <f>SUM(Data!DI317,Data!DK317,Data!DM317,Data!DO317,Data!DQ317,Data!DS317,Data!DU317,Data!DW317,Data!DY317,Data!EA317,Data!EC317,Data!EE317,Data!EG317,Data!EI317,Data!EK317,Data!EM317,Data!EO317,Data!EQ317,Data!ES317)</f>
        <v>0</v>
      </c>
      <c r="G316" s="11">
        <f>F316-E316</f>
        <v>0</v>
      </c>
      <c r="H316">
        <f>IF(E316=0,IF(F316&gt;0,"New",0),(F316-E316)/E316)</f>
        <v>0</v>
      </c>
      <c r="I316" s="12">
        <f>SUM(Data!J317,Data!L317,Data!N317,Data!P317,Data!R317,Data!T317,Data!V317,Data!X317,Data!Z317,Data!AB317,Data!AD317,Data!AF317,Data!AH317,Data!AJ317,Data!AL317,Data!AN317,Data!AP317,Data!AR317,Data!AT317)</f>
        <v>0</v>
      </c>
      <c r="J316" s="12">
        <f>SUM(Data!DJ317,Data!DL317,Data!DN317,Data!DP317,Data!DR317,Data!DT317,Data!DV317,Data!DX317,Data!DZ317,Data!EB317,Data!ED317,Data!EF317,Data!EH317,Data!EJ317,Data!EL317,Data!EN317,Data!EP317,Data!ER317,Data!ET317)</f>
        <v>0</v>
      </c>
      <c r="K316" s="12">
        <f>J316-I316</f>
        <v>0</v>
      </c>
      <c r="L316">
        <f>IF(I316=0,IF(J316&gt;0,"New",0),(J316-I316)/I316)</f>
        <v>0</v>
      </c>
      <c r="M316" t="str">
        <f>IF(F316=0,"No 2026 Sales",IF(E316=0,"New Product",IF(AND(ISNUMBER(H316),H316&gt;0.1),"↑ Strong Growth",IF(AND(ISNUMBER(H316),H316&gt;0),"↗ Growth",IF(AND(ISNUMBER(H316),H316&lt;-0.1),"↓ Strong Decline",IF(AND(ISNUMBER(H316),H316&lt;0),"↘ Decline","→ Stable"))))))</f>
        <v>No 2026 Sales</v>
      </c>
    </row>
    <row r="317" spans="1:13" hidden="1" x14ac:dyDescent="0.35">
      <c r="A317">
        <f>Data!A318</f>
        <v>210</v>
      </c>
      <c r="B317" t="str">
        <f>Data!B318</f>
        <v>INGREDIENTS</v>
      </c>
      <c r="C317" s="9">
        <f>Data!C318</f>
        <v>42328</v>
      </c>
      <c r="D317" s="10" t="s">
        <v>1098</v>
      </c>
      <c r="E317" s="11">
        <f>SUM(Data!I318,Data!K318,Data!M318,Data!O318,Data!Q318,Data!S318,Data!U318,Data!W318,Data!Y318,Data!AA318,Data!AC318,Data!AE318,Data!AG318,Data!AI318,Data!AK318,Data!AM318,Data!AO318,Data!AQ318,Data!AS318)</f>
        <v>0</v>
      </c>
      <c r="F317" s="11">
        <f>SUM(Data!DI318,Data!DK318,Data!DM318,Data!DO318,Data!DQ318,Data!DS318,Data!DU318,Data!DW318,Data!DY318,Data!EA318,Data!EC318,Data!EE318,Data!EG318,Data!EI318,Data!EK318,Data!EM318,Data!EO318,Data!EQ318,Data!ES318)</f>
        <v>0</v>
      </c>
      <c r="G317" s="11">
        <f>F317-E317</f>
        <v>0</v>
      </c>
      <c r="H317">
        <f>IF(E317=0,IF(F317&gt;0,"New",0),(F317-E317)/E317)</f>
        <v>0</v>
      </c>
      <c r="I317" s="12">
        <f>SUM(Data!J318,Data!L318,Data!N318,Data!P318,Data!R318,Data!T318,Data!V318,Data!X318,Data!Z318,Data!AB318,Data!AD318,Data!AF318,Data!AH318,Data!AJ318,Data!AL318,Data!AN318,Data!AP318,Data!AR318,Data!AT318)</f>
        <v>0</v>
      </c>
      <c r="J317" s="12">
        <f>SUM(Data!DJ318,Data!DL318,Data!DN318,Data!DP318,Data!DR318,Data!DT318,Data!DV318,Data!DX318,Data!DZ318,Data!EB318,Data!ED318,Data!EF318,Data!EH318,Data!EJ318,Data!EL318,Data!EN318,Data!EP318,Data!ER318,Data!ET318)</f>
        <v>0</v>
      </c>
      <c r="K317" s="12">
        <f>J317-I317</f>
        <v>0</v>
      </c>
      <c r="L317">
        <f>IF(I317=0,IF(J317&gt;0,"New",0),(J317-I317)/I317)</f>
        <v>0</v>
      </c>
      <c r="M317" t="str">
        <f>IF(F317=0,"No 2026 Sales",IF(E317=0,"New Product",IF(AND(ISNUMBER(H317),H317&gt;0.1),"↑ Strong Growth",IF(AND(ISNUMBER(H317),H317&gt;0),"↗ Growth",IF(AND(ISNUMBER(H317),H317&lt;-0.1),"↓ Strong Decline",IF(AND(ISNUMBER(H317),H317&lt;0),"↘ Decline","→ Stable"))))))</f>
        <v>No 2026 Sales</v>
      </c>
    </row>
    <row r="318" spans="1:13" hidden="1" x14ac:dyDescent="0.35">
      <c r="A318">
        <f>Data!A319</f>
        <v>210</v>
      </c>
      <c r="B318" t="str">
        <f>Data!B319</f>
        <v>INGREDIENTS</v>
      </c>
      <c r="C318" s="9">
        <f>Data!C319</f>
        <v>42335</v>
      </c>
      <c r="D318" s="10" t="s">
        <v>1099</v>
      </c>
      <c r="E318" s="11">
        <f>SUM(Data!I319,Data!K319,Data!M319,Data!O319,Data!Q319,Data!S319,Data!U319,Data!W319,Data!Y319,Data!AA319,Data!AC319,Data!AE319,Data!AG319,Data!AI319,Data!AK319,Data!AM319,Data!AO319,Data!AQ319,Data!AS319)</f>
        <v>0</v>
      </c>
      <c r="F318" s="11">
        <f>SUM(Data!DI319,Data!DK319,Data!DM319,Data!DO319,Data!DQ319,Data!DS319,Data!DU319,Data!DW319,Data!DY319,Data!EA319,Data!EC319,Data!EE319,Data!EG319,Data!EI319,Data!EK319,Data!EM319,Data!EO319,Data!EQ319,Data!ES319)</f>
        <v>0</v>
      </c>
      <c r="G318" s="11">
        <f>F318-E318</f>
        <v>0</v>
      </c>
      <c r="H318">
        <f>IF(E318=0,IF(F318&gt;0,"New",0),(F318-E318)/E318)</f>
        <v>0</v>
      </c>
      <c r="I318" s="12">
        <f>SUM(Data!J319,Data!L319,Data!N319,Data!P319,Data!R319,Data!T319,Data!V319,Data!X319,Data!Z319,Data!AB319,Data!AD319,Data!AF319,Data!AH319,Data!AJ319,Data!AL319,Data!AN319,Data!AP319,Data!AR319,Data!AT319)</f>
        <v>0</v>
      </c>
      <c r="J318" s="12">
        <f>SUM(Data!DJ319,Data!DL319,Data!DN319,Data!DP319,Data!DR319,Data!DT319,Data!DV319,Data!DX319,Data!DZ319,Data!EB319,Data!ED319,Data!EF319,Data!EH319,Data!EJ319,Data!EL319,Data!EN319,Data!EP319,Data!ER319,Data!ET319)</f>
        <v>0</v>
      </c>
      <c r="K318" s="12">
        <f>J318-I318</f>
        <v>0</v>
      </c>
      <c r="L318">
        <f>IF(I318=0,IF(J318&gt;0,"New",0),(J318-I318)/I318)</f>
        <v>0</v>
      </c>
      <c r="M318" t="str">
        <f>IF(F318=0,"No 2026 Sales",IF(E318=0,"New Product",IF(AND(ISNUMBER(H318),H318&gt;0.1),"↑ Strong Growth",IF(AND(ISNUMBER(H318),H318&gt;0),"↗ Growth",IF(AND(ISNUMBER(H318),H318&lt;-0.1),"↓ Strong Decline",IF(AND(ISNUMBER(H318),H318&lt;0),"↘ Decline","→ Stable"))))))</f>
        <v>No 2026 Sales</v>
      </c>
    </row>
    <row r="319" spans="1:13" hidden="1" x14ac:dyDescent="0.35">
      <c r="A319">
        <f>Data!A320</f>
        <v>210</v>
      </c>
      <c r="B319" t="str">
        <f>Data!B320</f>
        <v>INGREDIENTS</v>
      </c>
      <c r="C319" s="9">
        <f>Data!C320</f>
        <v>42415</v>
      </c>
      <c r="D319" s="10" t="s">
        <v>1100</v>
      </c>
      <c r="E319" s="11">
        <f>SUM(Data!I320,Data!K320,Data!M320,Data!O320,Data!Q320,Data!S320,Data!U320,Data!W320,Data!Y320,Data!AA320,Data!AC320,Data!AE320,Data!AG320,Data!AI320,Data!AK320,Data!AM320,Data!AO320,Data!AQ320,Data!AS320)</f>
        <v>0</v>
      </c>
      <c r="F319" s="11">
        <f>SUM(Data!DI320,Data!DK320,Data!DM320,Data!DO320,Data!DQ320,Data!DS320,Data!DU320,Data!DW320,Data!DY320,Data!EA320,Data!EC320,Data!EE320,Data!EG320,Data!EI320,Data!EK320,Data!EM320,Data!EO320,Data!EQ320,Data!ES320)</f>
        <v>0</v>
      </c>
      <c r="G319" s="11">
        <f>F319-E319</f>
        <v>0</v>
      </c>
      <c r="H319">
        <f>IF(E319=0,IF(F319&gt;0,"New",0),(F319-E319)/E319)</f>
        <v>0</v>
      </c>
      <c r="I319" s="12">
        <f>SUM(Data!J320,Data!L320,Data!N320,Data!P320,Data!R320,Data!T320,Data!V320,Data!X320,Data!Z320,Data!AB320,Data!AD320,Data!AF320,Data!AH320,Data!AJ320,Data!AL320,Data!AN320,Data!AP320,Data!AR320,Data!AT320)</f>
        <v>0</v>
      </c>
      <c r="J319" s="12">
        <f>SUM(Data!DJ320,Data!DL320,Data!DN320,Data!DP320,Data!DR320,Data!DT320,Data!DV320,Data!DX320,Data!DZ320,Data!EB320,Data!ED320,Data!EF320,Data!EH320,Data!EJ320,Data!EL320,Data!EN320,Data!EP320,Data!ER320,Data!ET320)</f>
        <v>0</v>
      </c>
      <c r="K319" s="12">
        <f>J319-I319</f>
        <v>0</v>
      </c>
      <c r="L319">
        <f>IF(I319=0,IF(J319&gt;0,"New",0),(J319-I319)/I319)</f>
        <v>0</v>
      </c>
      <c r="M319" t="str">
        <f>IF(F319=0,"No 2026 Sales",IF(E319=0,"New Product",IF(AND(ISNUMBER(H319),H319&gt;0.1),"↑ Strong Growth",IF(AND(ISNUMBER(H319),H319&gt;0),"↗ Growth",IF(AND(ISNUMBER(H319),H319&lt;-0.1),"↓ Strong Decline",IF(AND(ISNUMBER(H319),H319&lt;0),"↘ Decline","→ Stable"))))))</f>
        <v>No 2026 Sales</v>
      </c>
    </row>
    <row r="320" spans="1:13" hidden="1" x14ac:dyDescent="0.35">
      <c r="A320">
        <f>Data!A321</f>
        <v>210</v>
      </c>
      <c r="B320" t="str">
        <f>Data!B321</f>
        <v>INGREDIENTS</v>
      </c>
      <c r="C320" s="9">
        <f>Data!C321</f>
        <v>42416</v>
      </c>
      <c r="D320" s="10" t="s">
        <v>1101</v>
      </c>
      <c r="E320" s="11">
        <f>SUM(Data!I321,Data!K321,Data!M321,Data!O321,Data!Q321,Data!S321,Data!U321,Data!W321,Data!Y321,Data!AA321,Data!AC321,Data!AE321,Data!AG321,Data!AI321,Data!AK321,Data!AM321,Data!AO321,Data!AQ321,Data!AS321)</f>
        <v>0</v>
      </c>
      <c r="F320" s="11">
        <f>SUM(Data!DI321,Data!DK321,Data!DM321,Data!DO321,Data!DQ321,Data!DS321,Data!DU321,Data!DW321,Data!DY321,Data!EA321,Data!EC321,Data!EE321,Data!EG321,Data!EI321,Data!EK321,Data!EM321,Data!EO321,Data!EQ321,Data!ES321)</f>
        <v>0</v>
      </c>
      <c r="G320" s="11">
        <f>F320-E320</f>
        <v>0</v>
      </c>
      <c r="H320">
        <f>IF(E320=0,IF(F320&gt;0,"New",0),(F320-E320)/E320)</f>
        <v>0</v>
      </c>
      <c r="I320" s="12">
        <f>SUM(Data!J321,Data!L321,Data!N321,Data!P321,Data!R321,Data!T321,Data!V321,Data!X321,Data!Z321,Data!AB321,Data!AD321,Data!AF321,Data!AH321,Data!AJ321,Data!AL321,Data!AN321,Data!AP321,Data!AR321,Data!AT321)</f>
        <v>0</v>
      </c>
      <c r="J320" s="12">
        <f>SUM(Data!DJ321,Data!DL321,Data!DN321,Data!DP321,Data!DR321,Data!DT321,Data!DV321,Data!DX321,Data!DZ321,Data!EB321,Data!ED321,Data!EF321,Data!EH321,Data!EJ321,Data!EL321,Data!EN321,Data!EP321,Data!ER321,Data!ET321)</f>
        <v>0</v>
      </c>
      <c r="K320" s="12">
        <f>J320-I320</f>
        <v>0</v>
      </c>
      <c r="L320">
        <f>IF(I320=0,IF(J320&gt;0,"New",0),(J320-I320)/I320)</f>
        <v>0</v>
      </c>
      <c r="M320" t="str">
        <f>IF(F320=0,"No 2026 Sales",IF(E320=0,"New Product",IF(AND(ISNUMBER(H320),H320&gt;0.1),"↑ Strong Growth",IF(AND(ISNUMBER(H320),H320&gt;0),"↗ Growth",IF(AND(ISNUMBER(H320),H320&lt;-0.1),"↓ Strong Decline",IF(AND(ISNUMBER(H320),H320&lt;0),"↘ Decline","→ Stable"))))))</f>
        <v>No 2026 Sales</v>
      </c>
    </row>
    <row r="321" spans="1:13" hidden="1" x14ac:dyDescent="0.35">
      <c r="A321">
        <f>Data!A322</f>
        <v>210</v>
      </c>
      <c r="B321" t="str">
        <f>Data!B322</f>
        <v>INGREDIENTS</v>
      </c>
      <c r="C321" s="9">
        <f>Data!C322</f>
        <v>42671</v>
      </c>
      <c r="D321" s="10" t="s">
        <v>1102</v>
      </c>
      <c r="E321" s="11">
        <f>SUM(Data!I322,Data!K322,Data!M322,Data!O322,Data!Q322,Data!S322,Data!U322,Data!W322,Data!Y322,Data!AA322,Data!AC322,Data!AE322,Data!AG322,Data!AI322,Data!AK322,Data!AM322,Data!AO322,Data!AQ322,Data!AS322)</f>
        <v>0</v>
      </c>
      <c r="F321" s="11">
        <f>SUM(Data!DI322,Data!DK322,Data!DM322,Data!DO322,Data!DQ322,Data!DS322,Data!DU322,Data!DW322,Data!DY322,Data!EA322,Data!EC322,Data!EE322,Data!EG322,Data!EI322,Data!EK322,Data!EM322,Data!EO322,Data!EQ322,Data!ES322)</f>
        <v>0</v>
      </c>
      <c r="G321" s="11">
        <f>F321-E321</f>
        <v>0</v>
      </c>
      <c r="H321">
        <f>IF(E321=0,IF(F321&gt;0,"New",0),(F321-E321)/E321)</f>
        <v>0</v>
      </c>
      <c r="I321" s="12">
        <f>SUM(Data!J322,Data!L322,Data!N322,Data!P322,Data!R322,Data!T322,Data!V322,Data!X322,Data!Z322,Data!AB322,Data!AD322,Data!AF322,Data!AH322,Data!AJ322,Data!AL322,Data!AN322,Data!AP322,Data!AR322,Data!AT322)</f>
        <v>0</v>
      </c>
      <c r="J321" s="12">
        <f>SUM(Data!DJ322,Data!DL322,Data!DN322,Data!DP322,Data!DR322,Data!DT322,Data!DV322,Data!DX322,Data!DZ322,Data!EB322,Data!ED322,Data!EF322,Data!EH322,Data!EJ322,Data!EL322,Data!EN322,Data!EP322,Data!ER322,Data!ET322)</f>
        <v>0</v>
      </c>
      <c r="K321" s="12">
        <f>J321-I321</f>
        <v>0</v>
      </c>
      <c r="L321">
        <f>IF(I321=0,IF(J321&gt;0,"New",0),(J321-I321)/I321)</f>
        <v>0</v>
      </c>
      <c r="M321" t="str">
        <f>IF(F321=0,"No 2026 Sales",IF(E321=0,"New Product",IF(AND(ISNUMBER(H321),H321&gt;0.1),"↑ Strong Growth",IF(AND(ISNUMBER(H321),H321&gt;0),"↗ Growth",IF(AND(ISNUMBER(H321),H321&lt;-0.1),"↓ Strong Decline",IF(AND(ISNUMBER(H321),H321&lt;0),"↘ Decline","→ Stable"))))))</f>
        <v>No 2026 Sales</v>
      </c>
    </row>
    <row r="322" spans="1:13" hidden="1" x14ac:dyDescent="0.35">
      <c r="A322">
        <f>Data!A323</f>
        <v>210</v>
      </c>
      <c r="B322" t="str">
        <f>Data!B323</f>
        <v>INGREDIENTS</v>
      </c>
      <c r="C322" s="9">
        <f>Data!C323</f>
        <v>42677</v>
      </c>
      <c r="D322" s="10" t="s">
        <v>1103</v>
      </c>
      <c r="E322" s="11">
        <f>SUM(Data!I323,Data!K323,Data!M323,Data!O323,Data!Q323,Data!S323,Data!U323,Data!W323,Data!Y323,Data!AA323,Data!AC323,Data!AE323,Data!AG323,Data!AI323,Data!AK323,Data!AM323,Data!AO323,Data!AQ323,Data!AS323)</f>
        <v>0</v>
      </c>
      <c r="F322" s="11">
        <f>SUM(Data!DI323,Data!DK323,Data!DM323,Data!DO323,Data!DQ323,Data!DS323,Data!DU323,Data!DW323,Data!DY323,Data!EA323,Data!EC323,Data!EE323,Data!EG323,Data!EI323,Data!EK323,Data!EM323,Data!EO323,Data!EQ323,Data!ES323)</f>
        <v>0</v>
      </c>
      <c r="G322" s="11">
        <f>F322-E322</f>
        <v>0</v>
      </c>
      <c r="H322">
        <f>IF(E322=0,IF(F322&gt;0,"New",0),(F322-E322)/E322)</f>
        <v>0</v>
      </c>
      <c r="I322" s="12">
        <f>SUM(Data!J323,Data!L323,Data!N323,Data!P323,Data!R323,Data!T323,Data!V323,Data!X323,Data!Z323,Data!AB323,Data!AD323,Data!AF323,Data!AH323,Data!AJ323,Data!AL323,Data!AN323,Data!AP323,Data!AR323,Data!AT323)</f>
        <v>0</v>
      </c>
      <c r="J322" s="12">
        <f>SUM(Data!DJ323,Data!DL323,Data!DN323,Data!DP323,Data!DR323,Data!DT323,Data!DV323,Data!DX323,Data!DZ323,Data!EB323,Data!ED323,Data!EF323,Data!EH323,Data!EJ323,Data!EL323,Data!EN323,Data!EP323,Data!ER323,Data!ET323)</f>
        <v>0</v>
      </c>
      <c r="K322" s="12">
        <f>J322-I322</f>
        <v>0</v>
      </c>
      <c r="L322">
        <f>IF(I322=0,IF(J322&gt;0,"New",0),(J322-I322)/I322)</f>
        <v>0</v>
      </c>
      <c r="M322" t="str">
        <f>IF(F322=0,"No 2026 Sales",IF(E322=0,"New Product",IF(AND(ISNUMBER(H322),H322&gt;0.1),"↑ Strong Growth",IF(AND(ISNUMBER(H322),H322&gt;0),"↗ Growth",IF(AND(ISNUMBER(H322),H322&lt;-0.1),"↓ Strong Decline",IF(AND(ISNUMBER(H322),H322&lt;0),"↘ Decline","→ Stable"))))))</f>
        <v>No 2026 Sales</v>
      </c>
    </row>
    <row r="323" spans="1:13" hidden="1" x14ac:dyDescent="0.35">
      <c r="A323">
        <f>Data!A324</f>
        <v>210</v>
      </c>
      <c r="B323" t="str">
        <f>Data!B324</f>
        <v>INGREDIENTS</v>
      </c>
      <c r="C323" s="9">
        <f>Data!C324</f>
        <v>42724</v>
      </c>
      <c r="D323" s="10" t="s">
        <v>1104</v>
      </c>
      <c r="E323" s="11">
        <f>SUM(Data!I324,Data!K324,Data!M324,Data!O324,Data!Q324,Data!S324,Data!U324,Data!W324,Data!Y324,Data!AA324,Data!AC324,Data!AE324,Data!AG324,Data!AI324,Data!AK324,Data!AM324,Data!AO324,Data!AQ324,Data!AS324)</f>
        <v>0</v>
      </c>
      <c r="F323" s="11">
        <f>SUM(Data!DI324,Data!DK324,Data!DM324,Data!DO324,Data!DQ324,Data!DS324,Data!DU324,Data!DW324,Data!DY324,Data!EA324,Data!EC324,Data!EE324,Data!EG324,Data!EI324,Data!EK324,Data!EM324,Data!EO324,Data!EQ324,Data!ES324)</f>
        <v>0</v>
      </c>
      <c r="G323" s="11">
        <f>F323-E323</f>
        <v>0</v>
      </c>
      <c r="H323">
        <f>IF(E323=0,IF(F323&gt;0,"New",0),(F323-E323)/E323)</f>
        <v>0</v>
      </c>
      <c r="I323" s="12">
        <f>SUM(Data!J324,Data!L324,Data!N324,Data!P324,Data!R324,Data!T324,Data!V324,Data!X324,Data!Z324,Data!AB324,Data!AD324,Data!AF324,Data!AH324,Data!AJ324,Data!AL324,Data!AN324,Data!AP324,Data!AR324,Data!AT324)</f>
        <v>0</v>
      </c>
      <c r="J323" s="12">
        <f>SUM(Data!DJ324,Data!DL324,Data!DN324,Data!DP324,Data!DR324,Data!DT324,Data!DV324,Data!DX324,Data!DZ324,Data!EB324,Data!ED324,Data!EF324,Data!EH324,Data!EJ324,Data!EL324,Data!EN324,Data!EP324,Data!ER324,Data!ET324)</f>
        <v>0</v>
      </c>
      <c r="K323" s="12">
        <f>J323-I323</f>
        <v>0</v>
      </c>
      <c r="L323">
        <f>IF(I323=0,IF(J323&gt;0,"New",0),(J323-I323)/I323)</f>
        <v>0</v>
      </c>
      <c r="M323" t="str">
        <f>IF(F323=0,"No 2026 Sales",IF(E323=0,"New Product",IF(AND(ISNUMBER(H323),H323&gt;0.1),"↑ Strong Growth",IF(AND(ISNUMBER(H323),H323&gt;0),"↗ Growth",IF(AND(ISNUMBER(H323),H323&lt;-0.1),"↓ Strong Decline",IF(AND(ISNUMBER(H323),H323&lt;0),"↘ Decline","→ Stable"))))))</f>
        <v>No 2026 Sales</v>
      </c>
    </row>
    <row r="324" spans="1:13" hidden="1" x14ac:dyDescent="0.35">
      <c r="A324">
        <f>Data!A325</f>
        <v>210</v>
      </c>
      <c r="B324" t="str">
        <f>Data!B325</f>
        <v>INGREDIENTS</v>
      </c>
      <c r="C324" s="9">
        <f>Data!C325</f>
        <v>42957</v>
      </c>
      <c r="D324" s="10" t="s">
        <v>1105</v>
      </c>
      <c r="E324" s="11">
        <f>SUM(Data!I325,Data!K325,Data!M325,Data!O325,Data!Q325,Data!S325,Data!U325,Data!W325,Data!Y325,Data!AA325,Data!AC325,Data!AE325,Data!AG325,Data!AI325,Data!AK325,Data!AM325,Data!AO325,Data!AQ325,Data!AS325)</f>
        <v>0</v>
      </c>
      <c r="F324" s="11">
        <f>SUM(Data!DI325,Data!DK325,Data!DM325,Data!DO325,Data!DQ325,Data!DS325,Data!DU325,Data!DW325,Data!DY325,Data!EA325,Data!EC325,Data!EE325,Data!EG325,Data!EI325,Data!EK325,Data!EM325,Data!EO325,Data!EQ325,Data!ES325)</f>
        <v>0</v>
      </c>
      <c r="G324" s="11">
        <f>F324-E324</f>
        <v>0</v>
      </c>
      <c r="H324">
        <f>IF(E324=0,IF(F324&gt;0,"New",0),(F324-E324)/E324)</f>
        <v>0</v>
      </c>
      <c r="I324" s="12">
        <f>SUM(Data!J325,Data!L325,Data!N325,Data!P325,Data!R325,Data!T325,Data!V325,Data!X325,Data!Z325,Data!AB325,Data!AD325,Data!AF325,Data!AH325,Data!AJ325,Data!AL325,Data!AN325,Data!AP325,Data!AR325,Data!AT325)</f>
        <v>0</v>
      </c>
      <c r="J324" s="12">
        <f>SUM(Data!DJ325,Data!DL325,Data!DN325,Data!DP325,Data!DR325,Data!DT325,Data!DV325,Data!DX325,Data!DZ325,Data!EB325,Data!ED325,Data!EF325,Data!EH325,Data!EJ325,Data!EL325,Data!EN325,Data!EP325,Data!ER325,Data!ET325)</f>
        <v>0</v>
      </c>
      <c r="K324" s="12">
        <f>J324-I324</f>
        <v>0</v>
      </c>
      <c r="L324">
        <f>IF(I324=0,IF(J324&gt;0,"New",0),(J324-I324)/I324)</f>
        <v>0</v>
      </c>
      <c r="M324" t="str">
        <f>IF(F324=0,"No 2026 Sales",IF(E324=0,"New Product",IF(AND(ISNUMBER(H324),H324&gt;0.1),"↑ Strong Growth",IF(AND(ISNUMBER(H324),H324&gt;0),"↗ Growth",IF(AND(ISNUMBER(H324),H324&lt;-0.1),"↓ Strong Decline",IF(AND(ISNUMBER(H324),H324&lt;0),"↘ Decline","→ Stable"))))))</f>
        <v>No 2026 Sales</v>
      </c>
    </row>
    <row r="325" spans="1:13" hidden="1" x14ac:dyDescent="0.35">
      <c r="A325">
        <f>Data!A326</f>
        <v>210</v>
      </c>
      <c r="B325" t="str">
        <f>Data!B326</f>
        <v>INGREDIENTS</v>
      </c>
      <c r="C325" s="9">
        <f>Data!C326</f>
        <v>42958</v>
      </c>
      <c r="D325" s="10" t="s">
        <v>1106</v>
      </c>
      <c r="E325" s="11">
        <f>SUM(Data!I326,Data!K326,Data!M326,Data!O326,Data!Q326,Data!S326,Data!U326,Data!W326,Data!Y326,Data!AA326,Data!AC326,Data!AE326,Data!AG326,Data!AI326,Data!AK326,Data!AM326,Data!AO326,Data!AQ326,Data!AS326)</f>
        <v>0</v>
      </c>
      <c r="F325" s="11">
        <f>SUM(Data!DI326,Data!DK326,Data!DM326,Data!DO326,Data!DQ326,Data!DS326,Data!DU326,Data!DW326,Data!DY326,Data!EA326,Data!EC326,Data!EE326,Data!EG326,Data!EI326,Data!EK326,Data!EM326,Data!EO326,Data!EQ326,Data!ES326)</f>
        <v>0</v>
      </c>
      <c r="G325" s="11">
        <f>F325-E325</f>
        <v>0</v>
      </c>
      <c r="H325">
        <f>IF(E325=0,IF(F325&gt;0,"New",0),(F325-E325)/E325)</f>
        <v>0</v>
      </c>
      <c r="I325" s="12">
        <f>SUM(Data!J326,Data!L326,Data!N326,Data!P326,Data!R326,Data!T326,Data!V326,Data!X326,Data!Z326,Data!AB326,Data!AD326,Data!AF326,Data!AH326,Data!AJ326,Data!AL326,Data!AN326,Data!AP326,Data!AR326,Data!AT326)</f>
        <v>0</v>
      </c>
      <c r="J325" s="12">
        <f>SUM(Data!DJ326,Data!DL326,Data!DN326,Data!DP326,Data!DR326,Data!DT326,Data!DV326,Data!DX326,Data!DZ326,Data!EB326,Data!ED326,Data!EF326,Data!EH326,Data!EJ326,Data!EL326,Data!EN326,Data!EP326,Data!ER326,Data!ET326)</f>
        <v>0</v>
      </c>
      <c r="K325" s="12">
        <f>J325-I325</f>
        <v>0</v>
      </c>
      <c r="L325">
        <f>IF(I325=0,IF(J325&gt;0,"New",0),(J325-I325)/I325)</f>
        <v>0</v>
      </c>
      <c r="M325" t="str">
        <f>IF(F325=0,"No 2026 Sales",IF(E325=0,"New Product",IF(AND(ISNUMBER(H325),H325&gt;0.1),"↑ Strong Growth",IF(AND(ISNUMBER(H325),H325&gt;0),"↗ Growth",IF(AND(ISNUMBER(H325),H325&lt;-0.1),"↓ Strong Decline",IF(AND(ISNUMBER(H325),H325&lt;0),"↘ Decline","→ Stable"))))))</f>
        <v>No 2026 Sales</v>
      </c>
    </row>
    <row r="326" spans="1:13" hidden="1" x14ac:dyDescent="0.35">
      <c r="A326">
        <f>Data!A327</f>
        <v>210</v>
      </c>
      <c r="B326" t="str">
        <f>Data!B327</f>
        <v>INGREDIENTS</v>
      </c>
      <c r="C326" s="9">
        <f>Data!C327</f>
        <v>43042</v>
      </c>
      <c r="D326" s="10" t="s">
        <v>1107</v>
      </c>
      <c r="E326" s="11">
        <f>SUM(Data!I327,Data!K327,Data!M327,Data!O327,Data!Q327,Data!S327,Data!U327,Data!W327,Data!Y327,Data!AA327,Data!AC327,Data!AE327,Data!AG327,Data!AI327,Data!AK327,Data!AM327,Data!AO327,Data!AQ327,Data!AS327)</f>
        <v>0</v>
      </c>
      <c r="F326" s="11">
        <f>SUM(Data!DI327,Data!DK327,Data!DM327,Data!DO327,Data!DQ327,Data!DS327,Data!DU327,Data!DW327,Data!DY327,Data!EA327,Data!EC327,Data!EE327,Data!EG327,Data!EI327,Data!EK327,Data!EM327,Data!EO327,Data!EQ327,Data!ES327)</f>
        <v>0</v>
      </c>
      <c r="G326" s="11">
        <f>F326-E326</f>
        <v>0</v>
      </c>
      <c r="H326">
        <f>IF(E326=0,IF(F326&gt;0,"New",0),(F326-E326)/E326)</f>
        <v>0</v>
      </c>
      <c r="I326" s="12">
        <f>SUM(Data!J327,Data!L327,Data!N327,Data!P327,Data!R327,Data!T327,Data!V327,Data!X327,Data!Z327,Data!AB327,Data!AD327,Data!AF327,Data!AH327,Data!AJ327,Data!AL327,Data!AN327,Data!AP327,Data!AR327,Data!AT327)</f>
        <v>0</v>
      </c>
      <c r="J326" s="12">
        <f>SUM(Data!DJ327,Data!DL327,Data!DN327,Data!DP327,Data!DR327,Data!DT327,Data!DV327,Data!DX327,Data!DZ327,Data!EB327,Data!ED327,Data!EF327,Data!EH327,Data!EJ327,Data!EL327,Data!EN327,Data!EP327,Data!ER327,Data!ET327)</f>
        <v>0</v>
      </c>
      <c r="K326" s="12">
        <f>J326-I326</f>
        <v>0</v>
      </c>
      <c r="L326">
        <f>IF(I326=0,IF(J326&gt;0,"New",0),(J326-I326)/I326)</f>
        <v>0</v>
      </c>
      <c r="M326" t="str">
        <f>IF(F326=0,"No 2026 Sales",IF(E326=0,"New Product",IF(AND(ISNUMBER(H326),H326&gt;0.1),"↑ Strong Growth",IF(AND(ISNUMBER(H326),H326&gt;0),"↗ Growth",IF(AND(ISNUMBER(H326),H326&lt;-0.1),"↓ Strong Decline",IF(AND(ISNUMBER(H326),H326&lt;0),"↘ Decline","→ Stable"))))))</f>
        <v>No 2026 Sales</v>
      </c>
    </row>
    <row r="327" spans="1:13" hidden="1" x14ac:dyDescent="0.35">
      <c r="A327">
        <f>Data!A328</f>
        <v>210</v>
      </c>
      <c r="B327" t="str">
        <f>Data!B328</f>
        <v>INGREDIENTS</v>
      </c>
      <c r="C327" s="9">
        <f>Data!C328</f>
        <v>43043</v>
      </c>
      <c r="D327" s="10" t="s">
        <v>1108</v>
      </c>
      <c r="E327" s="11">
        <f>SUM(Data!I328,Data!K328,Data!M328,Data!O328,Data!Q328,Data!S328,Data!U328,Data!W328,Data!Y328,Data!AA328,Data!AC328,Data!AE328,Data!AG328,Data!AI328,Data!AK328,Data!AM328,Data!AO328,Data!AQ328,Data!AS328)</f>
        <v>0</v>
      </c>
      <c r="F327" s="11">
        <f>SUM(Data!DI328,Data!DK328,Data!DM328,Data!DO328,Data!DQ328,Data!DS328,Data!DU328,Data!DW328,Data!DY328,Data!EA328,Data!EC328,Data!EE328,Data!EG328,Data!EI328,Data!EK328,Data!EM328,Data!EO328,Data!EQ328,Data!ES328)</f>
        <v>0</v>
      </c>
      <c r="G327" s="11">
        <f>F327-E327</f>
        <v>0</v>
      </c>
      <c r="H327">
        <f>IF(E327=0,IF(F327&gt;0,"New",0),(F327-E327)/E327)</f>
        <v>0</v>
      </c>
      <c r="I327" s="12">
        <f>SUM(Data!J328,Data!L328,Data!N328,Data!P328,Data!R328,Data!T328,Data!V328,Data!X328,Data!Z328,Data!AB328,Data!AD328,Data!AF328,Data!AH328,Data!AJ328,Data!AL328,Data!AN328,Data!AP328,Data!AR328,Data!AT328)</f>
        <v>0</v>
      </c>
      <c r="J327" s="12">
        <f>SUM(Data!DJ328,Data!DL328,Data!DN328,Data!DP328,Data!DR328,Data!DT328,Data!DV328,Data!DX328,Data!DZ328,Data!EB328,Data!ED328,Data!EF328,Data!EH328,Data!EJ328,Data!EL328,Data!EN328,Data!EP328,Data!ER328,Data!ET328)</f>
        <v>0</v>
      </c>
      <c r="K327" s="12">
        <f>J327-I327</f>
        <v>0</v>
      </c>
      <c r="L327">
        <f>IF(I327=0,IF(J327&gt;0,"New",0),(J327-I327)/I327)</f>
        <v>0</v>
      </c>
      <c r="M327" t="str">
        <f>IF(F327=0,"No 2026 Sales",IF(E327=0,"New Product",IF(AND(ISNUMBER(H327),H327&gt;0.1),"↑ Strong Growth",IF(AND(ISNUMBER(H327),H327&gt;0),"↗ Growth",IF(AND(ISNUMBER(H327),H327&lt;-0.1),"↓ Strong Decline",IF(AND(ISNUMBER(H327),H327&lt;0),"↘ Decline","→ Stable"))))))</f>
        <v>No 2026 Sales</v>
      </c>
    </row>
    <row r="328" spans="1:13" hidden="1" x14ac:dyDescent="0.35">
      <c r="A328">
        <f>Data!A329</f>
        <v>210</v>
      </c>
      <c r="B328" t="str">
        <f>Data!B329</f>
        <v>INGREDIENTS</v>
      </c>
      <c r="C328" s="9">
        <f>Data!C329</f>
        <v>43044</v>
      </c>
      <c r="D328" s="10" t="s">
        <v>1109</v>
      </c>
      <c r="E328" s="11">
        <f>SUM(Data!I329,Data!K329,Data!M329,Data!O329,Data!Q329,Data!S329,Data!U329,Data!W329,Data!Y329,Data!AA329,Data!AC329,Data!AE329,Data!AG329,Data!AI329,Data!AK329,Data!AM329,Data!AO329,Data!AQ329,Data!AS329)</f>
        <v>0</v>
      </c>
      <c r="F328" s="11">
        <f>SUM(Data!DI329,Data!DK329,Data!DM329,Data!DO329,Data!DQ329,Data!DS329,Data!DU329,Data!DW329,Data!DY329,Data!EA329,Data!EC329,Data!EE329,Data!EG329,Data!EI329,Data!EK329,Data!EM329,Data!EO329,Data!EQ329,Data!ES329)</f>
        <v>0</v>
      </c>
      <c r="G328" s="11">
        <f>F328-E328</f>
        <v>0</v>
      </c>
      <c r="H328">
        <f>IF(E328=0,IF(F328&gt;0,"New",0),(F328-E328)/E328)</f>
        <v>0</v>
      </c>
      <c r="I328" s="12">
        <f>SUM(Data!J329,Data!L329,Data!N329,Data!P329,Data!R329,Data!T329,Data!V329,Data!X329,Data!Z329,Data!AB329,Data!AD329,Data!AF329,Data!AH329,Data!AJ329,Data!AL329,Data!AN329,Data!AP329,Data!AR329,Data!AT329)</f>
        <v>0</v>
      </c>
      <c r="J328" s="12">
        <f>SUM(Data!DJ329,Data!DL329,Data!DN329,Data!DP329,Data!DR329,Data!DT329,Data!DV329,Data!DX329,Data!DZ329,Data!EB329,Data!ED329,Data!EF329,Data!EH329,Data!EJ329,Data!EL329,Data!EN329,Data!EP329,Data!ER329,Data!ET329)</f>
        <v>0</v>
      </c>
      <c r="K328" s="12">
        <f>J328-I328</f>
        <v>0</v>
      </c>
      <c r="L328">
        <f>IF(I328=0,IF(J328&gt;0,"New",0),(J328-I328)/I328)</f>
        <v>0</v>
      </c>
      <c r="M328" t="str">
        <f>IF(F328=0,"No 2026 Sales",IF(E328=0,"New Product",IF(AND(ISNUMBER(H328),H328&gt;0.1),"↑ Strong Growth",IF(AND(ISNUMBER(H328),H328&gt;0),"↗ Growth",IF(AND(ISNUMBER(H328),H328&lt;-0.1),"↓ Strong Decline",IF(AND(ISNUMBER(H328),H328&lt;0),"↘ Decline","→ Stable"))))))</f>
        <v>No 2026 Sales</v>
      </c>
    </row>
    <row r="329" spans="1:13" hidden="1" x14ac:dyDescent="0.35">
      <c r="A329">
        <f>Data!A330</f>
        <v>210</v>
      </c>
      <c r="B329" t="str">
        <f>Data!B330</f>
        <v>INGREDIENTS</v>
      </c>
      <c r="C329" s="9">
        <f>Data!C330</f>
        <v>43620</v>
      </c>
      <c r="D329" s="10" t="s">
        <v>1110</v>
      </c>
      <c r="E329" s="11">
        <f>SUM(Data!I330,Data!K330,Data!M330,Data!O330,Data!Q330,Data!S330,Data!U330,Data!W330,Data!Y330,Data!AA330,Data!AC330,Data!AE330,Data!AG330,Data!AI330,Data!AK330,Data!AM330,Data!AO330,Data!AQ330,Data!AS330)</f>
        <v>0</v>
      </c>
      <c r="F329" s="11">
        <f>SUM(Data!DI330,Data!DK330,Data!DM330,Data!DO330,Data!DQ330,Data!DS330,Data!DU330,Data!DW330,Data!DY330,Data!EA330,Data!EC330,Data!EE330,Data!EG330,Data!EI330,Data!EK330,Data!EM330,Data!EO330,Data!EQ330,Data!ES330)</f>
        <v>0</v>
      </c>
      <c r="G329" s="11">
        <f>F329-E329</f>
        <v>0</v>
      </c>
      <c r="H329">
        <f>IF(E329=0,IF(F329&gt;0,"New",0),(F329-E329)/E329)</f>
        <v>0</v>
      </c>
      <c r="I329" s="12">
        <f>SUM(Data!J330,Data!L330,Data!N330,Data!P330,Data!R330,Data!T330,Data!V330,Data!X330,Data!Z330,Data!AB330,Data!AD330,Data!AF330,Data!AH330,Data!AJ330,Data!AL330,Data!AN330,Data!AP330,Data!AR330,Data!AT330)</f>
        <v>0</v>
      </c>
      <c r="J329" s="12">
        <f>SUM(Data!DJ330,Data!DL330,Data!DN330,Data!DP330,Data!DR330,Data!DT330,Data!DV330,Data!DX330,Data!DZ330,Data!EB330,Data!ED330,Data!EF330,Data!EH330,Data!EJ330,Data!EL330,Data!EN330,Data!EP330,Data!ER330,Data!ET330)</f>
        <v>0</v>
      </c>
      <c r="K329" s="12">
        <f>J329-I329</f>
        <v>0</v>
      </c>
      <c r="L329">
        <f>IF(I329=0,IF(J329&gt;0,"New",0),(J329-I329)/I329)</f>
        <v>0</v>
      </c>
      <c r="M329" t="str">
        <f>IF(F329=0,"No 2026 Sales",IF(E329=0,"New Product",IF(AND(ISNUMBER(H329),H329&gt;0.1),"↑ Strong Growth",IF(AND(ISNUMBER(H329),H329&gt;0),"↗ Growth",IF(AND(ISNUMBER(H329),H329&lt;-0.1),"↓ Strong Decline",IF(AND(ISNUMBER(H329),H329&lt;0),"↘ Decline","→ Stable"))))))</f>
        <v>No 2026 Sales</v>
      </c>
    </row>
    <row r="330" spans="1:13" hidden="1" x14ac:dyDescent="0.35">
      <c r="A330">
        <f>Data!A331</f>
        <v>210</v>
      </c>
      <c r="B330" t="str">
        <f>Data!B331</f>
        <v>INGREDIENTS</v>
      </c>
      <c r="C330" s="9">
        <f>Data!C331</f>
        <v>43752</v>
      </c>
      <c r="D330" s="10" t="s">
        <v>1111</v>
      </c>
      <c r="E330" s="11">
        <f>SUM(Data!I331,Data!K331,Data!M331,Data!O331,Data!Q331,Data!S331,Data!U331,Data!W331,Data!Y331,Data!AA331,Data!AC331,Data!AE331,Data!AG331,Data!AI331,Data!AK331,Data!AM331,Data!AO331,Data!AQ331,Data!AS331)</f>
        <v>0</v>
      </c>
      <c r="F330" s="11">
        <f>SUM(Data!DI331,Data!DK331,Data!DM331,Data!DO331,Data!DQ331,Data!DS331,Data!DU331,Data!DW331,Data!DY331,Data!EA331,Data!EC331,Data!EE331,Data!EG331,Data!EI331,Data!EK331,Data!EM331,Data!EO331,Data!EQ331,Data!ES331)</f>
        <v>0</v>
      </c>
      <c r="G330" s="11">
        <f>F330-E330</f>
        <v>0</v>
      </c>
      <c r="H330">
        <f>IF(E330=0,IF(F330&gt;0,"New",0),(F330-E330)/E330)</f>
        <v>0</v>
      </c>
      <c r="I330" s="12">
        <f>SUM(Data!J331,Data!L331,Data!N331,Data!P331,Data!R331,Data!T331,Data!V331,Data!X331,Data!Z331,Data!AB331,Data!AD331,Data!AF331,Data!AH331,Data!AJ331,Data!AL331,Data!AN331,Data!AP331,Data!AR331,Data!AT331)</f>
        <v>0</v>
      </c>
      <c r="J330" s="12">
        <f>SUM(Data!DJ331,Data!DL331,Data!DN331,Data!DP331,Data!DR331,Data!DT331,Data!DV331,Data!DX331,Data!DZ331,Data!EB331,Data!ED331,Data!EF331,Data!EH331,Data!EJ331,Data!EL331,Data!EN331,Data!EP331,Data!ER331,Data!ET331)</f>
        <v>0</v>
      </c>
      <c r="K330" s="12">
        <f>J330-I330</f>
        <v>0</v>
      </c>
      <c r="L330">
        <f>IF(I330=0,IF(J330&gt;0,"New",0),(J330-I330)/I330)</f>
        <v>0</v>
      </c>
      <c r="M330" t="str">
        <f>IF(F330=0,"No 2026 Sales",IF(E330=0,"New Product",IF(AND(ISNUMBER(H330),H330&gt;0.1),"↑ Strong Growth",IF(AND(ISNUMBER(H330),H330&gt;0),"↗ Growth",IF(AND(ISNUMBER(H330),H330&lt;-0.1),"↓ Strong Decline",IF(AND(ISNUMBER(H330),H330&lt;0),"↘ Decline","→ Stable"))))))</f>
        <v>No 2026 Sales</v>
      </c>
    </row>
    <row r="331" spans="1:13" hidden="1" x14ac:dyDescent="0.35">
      <c r="A331">
        <f>Data!A332</f>
        <v>210</v>
      </c>
      <c r="B331" t="str">
        <f>Data!B332</f>
        <v>INGREDIENTS</v>
      </c>
      <c r="C331" s="9">
        <f>Data!C332</f>
        <v>45158</v>
      </c>
      <c r="D331" s="10" t="s">
        <v>1112</v>
      </c>
      <c r="E331" s="11">
        <f>SUM(Data!I332,Data!K332,Data!M332,Data!O332,Data!Q332,Data!S332,Data!U332,Data!W332,Data!Y332,Data!AA332,Data!AC332,Data!AE332,Data!AG332,Data!AI332,Data!AK332,Data!AM332,Data!AO332,Data!AQ332,Data!AS332)</f>
        <v>0</v>
      </c>
      <c r="F331" s="11">
        <f>SUM(Data!DI332,Data!DK332,Data!DM332,Data!DO332,Data!DQ332,Data!DS332,Data!DU332,Data!DW332,Data!DY332,Data!EA332,Data!EC332,Data!EE332,Data!EG332,Data!EI332,Data!EK332,Data!EM332,Data!EO332,Data!EQ332,Data!ES332)</f>
        <v>0</v>
      </c>
      <c r="G331" s="11">
        <f>F331-E331</f>
        <v>0</v>
      </c>
      <c r="H331">
        <f>IF(E331=0,IF(F331&gt;0,"New",0),(F331-E331)/E331)</f>
        <v>0</v>
      </c>
      <c r="I331" s="12">
        <f>SUM(Data!J332,Data!L332,Data!N332,Data!P332,Data!R332,Data!T332,Data!V332,Data!X332,Data!Z332,Data!AB332,Data!AD332,Data!AF332,Data!AH332,Data!AJ332,Data!AL332,Data!AN332,Data!AP332,Data!AR332,Data!AT332)</f>
        <v>0</v>
      </c>
      <c r="J331" s="12">
        <f>SUM(Data!DJ332,Data!DL332,Data!DN332,Data!DP332,Data!DR332,Data!DT332,Data!DV332,Data!DX332,Data!DZ332,Data!EB332,Data!ED332,Data!EF332,Data!EH332,Data!EJ332,Data!EL332,Data!EN332,Data!EP332,Data!ER332,Data!ET332)</f>
        <v>0</v>
      </c>
      <c r="K331" s="12">
        <f>J331-I331</f>
        <v>0</v>
      </c>
      <c r="L331">
        <f>IF(I331=0,IF(J331&gt;0,"New",0),(J331-I331)/I331)</f>
        <v>0</v>
      </c>
      <c r="M331" t="str">
        <f>IF(F331=0,"No 2026 Sales",IF(E331=0,"New Product",IF(AND(ISNUMBER(H331),H331&gt;0.1),"↑ Strong Growth",IF(AND(ISNUMBER(H331),H331&gt;0),"↗ Growth",IF(AND(ISNUMBER(H331),H331&lt;-0.1),"↓ Strong Decline",IF(AND(ISNUMBER(H331),H331&lt;0),"↘ Decline","→ Stable"))))))</f>
        <v>No 2026 Sales</v>
      </c>
    </row>
    <row r="332" spans="1:13" hidden="1" x14ac:dyDescent="0.35">
      <c r="A332">
        <f>Data!A333</f>
        <v>210</v>
      </c>
      <c r="B332" t="str">
        <f>Data!B333</f>
        <v>INGREDIENTS</v>
      </c>
      <c r="C332" s="9">
        <f>Data!C333</f>
        <v>45168</v>
      </c>
      <c r="D332" s="10" t="s">
        <v>1113</v>
      </c>
      <c r="E332" s="11">
        <f>SUM(Data!I333,Data!K333,Data!M333,Data!O333,Data!Q333,Data!S333,Data!U333,Data!W333,Data!Y333,Data!AA333,Data!AC333,Data!AE333,Data!AG333,Data!AI333,Data!AK333,Data!AM333,Data!AO333,Data!AQ333,Data!AS333)</f>
        <v>0</v>
      </c>
      <c r="F332" s="11">
        <f>SUM(Data!DI333,Data!DK333,Data!DM333,Data!DO333,Data!DQ333,Data!DS333,Data!DU333,Data!DW333,Data!DY333,Data!EA333,Data!EC333,Data!EE333,Data!EG333,Data!EI333,Data!EK333,Data!EM333,Data!EO333,Data!EQ333,Data!ES333)</f>
        <v>0</v>
      </c>
      <c r="G332" s="11">
        <f>F332-E332</f>
        <v>0</v>
      </c>
      <c r="H332">
        <f>IF(E332=0,IF(F332&gt;0,"New",0),(F332-E332)/E332)</f>
        <v>0</v>
      </c>
      <c r="I332" s="12">
        <f>SUM(Data!J333,Data!L333,Data!N333,Data!P333,Data!R333,Data!T333,Data!V333,Data!X333,Data!Z333,Data!AB333,Data!AD333,Data!AF333,Data!AH333,Data!AJ333,Data!AL333,Data!AN333,Data!AP333,Data!AR333,Data!AT333)</f>
        <v>0</v>
      </c>
      <c r="J332" s="12">
        <f>SUM(Data!DJ333,Data!DL333,Data!DN333,Data!DP333,Data!DR333,Data!DT333,Data!DV333,Data!DX333,Data!DZ333,Data!EB333,Data!ED333,Data!EF333,Data!EH333,Data!EJ333,Data!EL333,Data!EN333,Data!EP333,Data!ER333,Data!ET333)</f>
        <v>0</v>
      </c>
      <c r="K332" s="12">
        <f>J332-I332</f>
        <v>0</v>
      </c>
      <c r="L332">
        <f>IF(I332=0,IF(J332&gt;0,"New",0),(J332-I332)/I332)</f>
        <v>0</v>
      </c>
      <c r="M332" t="str">
        <f>IF(F332=0,"No 2026 Sales",IF(E332=0,"New Product",IF(AND(ISNUMBER(H332),H332&gt;0.1),"↑ Strong Growth",IF(AND(ISNUMBER(H332),H332&gt;0),"↗ Growth",IF(AND(ISNUMBER(H332),H332&lt;-0.1),"↓ Strong Decline",IF(AND(ISNUMBER(H332),H332&lt;0),"↘ Decline","→ Stable"))))))</f>
        <v>No 2026 Sales</v>
      </c>
    </row>
    <row r="333" spans="1:13" hidden="1" x14ac:dyDescent="0.35">
      <c r="A333">
        <f>Data!A334</f>
        <v>210</v>
      </c>
      <c r="B333" t="str">
        <f>Data!B334</f>
        <v>INGREDIENTS</v>
      </c>
      <c r="C333" s="9">
        <f>Data!C334</f>
        <v>45223</v>
      </c>
      <c r="D333" s="10" t="s">
        <v>1114</v>
      </c>
      <c r="E333" s="11">
        <f>SUM(Data!I334,Data!K334,Data!M334,Data!O334,Data!Q334,Data!S334,Data!U334,Data!W334,Data!Y334,Data!AA334,Data!AC334,Data!AE334,Data!AG334,Data!AI334,Data!AK334,Data!AM334,Data!AO334,Data!AQ334,Data!AS334)</f>
        <v>0</v>
      </c>
      <c r="F333" s="11">
        <f>SUM(Data!DI334,Data!DK334,Data!DM334,Data!DO334,Data!DQ334,Data!DS334,Data!DU334,Data!DW334,Data!DY334,Data!EA334,Data!EC334,Data!EE334,Data!EG334,Data!EI334,Data!EK334,Data!EM334,Data!EO334,Data!EQ334,Data!ES334)</f>
        <v>0</v>
      </c>
      <c r="G333" s="11">
        <f>F333-E333</f>
        <v>0</v>
      </c>
      <c r="H333">
        <f>IF(E333=0,IF(F333&gt;0,"New",0),(F333-E333)/E333)</f>
        <v>0</v>
      </c>
      <c r="I333" s="12">
        <f>SUM(Data!J334,Data!L334,Data!N334,Data!P334,Data!R334,Data!T334,Data!V334,Data!X334,Data!Z334,Data!AB334,Data!AD334,Data!AF334,Data!AH334,Data!AJ334,Data!AL334,Data!AN334,Data!AP334,Data!AR334,Data!AT334)</f>
        <v>0</v>
      </c>
      <c r="J333" s="12">
        <f>SUM(Data!DJ334,Data!DL334,Data!DN334,Data!DP334,Data!DR334,Data!DT334,Data!DV334,Data!DX334,Data!DZ334,Data!EB334,Data!ED334,Data!EF334,Data!EH334,Data!EJ334,Data!EL334,Data!EN334,Data!EP334,Data!ER334,Data!ET334)</f>
        <v>0</v>
      </c>
      <c r="K333" s="12">
        <f>J333-I333</f>
        <v>0</v>
      </c>
      <c r="L333">
        <f>IF(I333=0,IF(J333&gt;0,"New",0),(J333-I333)/I333)</f>
        <v>0</v>
      </c>
      <c r="M333" t="str">
        <f>IF(F333=0,"No 2026 Sales",IF(E333=0,"New Product",IF(AND(ISNUMBER(H333),H333&gt;0.1),"↑ Strong Growth",IF(AND(ISNUMBER(H333),H333&gt;0),"↗ Growth",IF(AND(ISNUMBER(H333),H333&lt;-0.1),"↓ Strong Decline",IF(AND(ISNUMBER(H333),H333&lt;0),"↘ Decline","→ Stable"))))))</f>
        <v>No 2026 Sales</v>
      </c>
    </row>
    <row r="334" spans="1:13" hidden="1" x14ac:dyDescent="0.35">
      <c r="A334">
        <f>Data!A335</f>
        <v>210</v>
      </c>
      <c r="B334" t="str">
        <f>Data!B335</f>
        <v>INGREDIENTS</v>
      </c>
      <c r="C334" s="9">
        <f>Data!C335</f>
        <v>45386</v>
      </c>
      <c r="D334" s="10" t="s">
        <v>1115</v>
      </c>
      <c r="E334" s="11">
        <f>SUM(Data!I335,Data!K335,Data!M335,Data!O335,Data!Q335,Data!S335,Data!U335,Data!W335,Data!Y335,Data!AA335,Data!AC335,Data!AE335,Data!AG335,Data!AI335,Data!AK335,Data!AM335,Data!AO335,Data!AQ335,Data!AS335)</f>
        <v>0</v>
      </c>
      <c r="F334" s="11">
        <f>SUM(Data!DI335,Data!DK335,Data!DM335,Data!DO335,Data!DQ335,Data!DS335,Data!DU335,Data!DW335,Data!DY335,Data!EA335,Data!EC335,Data!EE335,Data!EG335,Data!EI335,Data!EK335,Data!EM335,Data!EO335,Data!EQ335,Data!ES335)</f>
        <v>0</v>
      </c>
      <c r="G334" s="11">
        <f>F334-E334</f>
        <v>0</v>
      </c>
      <c r="H334">
        <f>IF(E334=0,IF(F334&gt;0,"New",0),(F334-E334)/E334)</f>
        <v>0</v>
      </c>
      <c r="I334" s="12">
        <f>SUM(Data!J335,Data!L335,Data!N335,Data!P335,Data!R335,Data!T335,Data!V335,Data!X335,Data!Z335,Data!AB335,Data!AD335,Data!AF335,Data!AH335,Data!AJ335,Data!AL335,Data!AN335,Data!AP335,Data!AR335,Data!AT335)</f>
        <v>0</v>
      </c>
      <c r="J334" s="12">
        <f>SUM(Data!DJ335,Data!DL335,Data!DN335,Data!DP335,Data!DR335,Data!DT335,Data!DV335,Data!DX335,Data!DZ335,Data!EB335,Data!ED335,Data!EF335,Data!EH335,Data!EJ335,Data!EL335,Data!EN335,Data!EP335,Data!ER335,Data!ET335)</f>
        <v>0</v>
      </c>
      <c r="K334" s="12">
        <f>J334-I334</f>
        <v>0</v>
      </c>
      <c r="L334">
        <f>IF(I334=0,IF(J334&gt;0,"New",0),(J334-I334)/I334)</f>
        <v>0</v>
      </c>
      <c r="M334" t="str">
        <f>IF(F334=0,"No 2026 Sales",IF(E334=0,"New Product",IF(AND(ISNUMBER(H334),H334&gt;0.1),"↑ Strong Growth",IF(AND(ISNUMBER(H334),H334&gt;0),"↗ Growth",IF(AND(ISNUMBER(H334),H334&lt;-0.1),"↓ Strong Decline",IF(AND(ISNUMBER(H334),H334&lt;0),"↘ Decline","→ Stable"))))))</f>
        <v>No 2026 Sales</v>
      </c>
    </row>
    <row r="335" spans="1:13" hidden="1" x14ac:dyDescent="0.35">
      <c r="A335">
        <f>Data!A336</f>
        <v>210</v>
      </c>
      <c r="B335" t="str">
        <f>Data!B336</f>
        <v>INGREDIENTS</v>
      </c>
      <c r="C335" s="9">
        <f>Data!C336</f>
        <v>45422</v>
      </c>
      <c r="D335" s="10" t="s">
        <v>1116</v>
      </c>
      <c r="E335" s="11">
        <f>SUM(Data!I336,Data!K336,Data!M336,Data!O336,Data!Q336,Data!S336,Data!U336,Data!W336,Data!Y336,Data!AA336,Data!AC336,Data!AE336,Data!AG336,Data!AI336,Data!AK336,Data!AM336,Data!AO336,Data!AQ336,Data!AS336)</f>
        <v>0</v>
      </c>
      <c r="F335" s="11">
        <f>SUM(Data!DI336,Data!DK336,Data!DM336,Data!DO336,Data!DQ336,Data!DS336,Data!DU336,Data!DW336,Data!DY336,Data!EA336,Data!EC336,Data!EE336,Data!EG336,Data!EI336,Data!EK336,Data!EM336,Data!EO336,Data!EQ336,Data!ES336)</f>
        <v>0</v>
      </c>
      <c r="G335" s="11">
        <f>F335-E335</f>
        <v>0</v>
      </c>
      <c r="H335">
        <f>IF(E335=0,IF(F335&gt;0,"New",0),(F335-E335)/E335)</f>
        <v>0</v>
      </c>
      <c r="I335" s="12">
        <f>SUM(Data!J336,Data!L336,Data!N336,Data!P336,Data!R336,Data!T336,Data!V336,Data!X336,Data!Z336,Data!AB336,Data!AD336,Data!AF336,Data!AH336,Data!AJ336,Data!AL336,Data!AN336,Data!AP336,Data!AR336,Data!AT336)</f>
        <v>0</v>
      </c>
      <c r="J335" s="12">
        <f>SUM(Data!DJ336,Data!DL336,Data!DN336,Data!DP336,Data!DR336,Data!DT336,Data!DV336,Data!DX336,Data!DZ336,Data!EB336,Data!ED336,Data!EF336,Data!EH336,Data!EJ336,Data!EL336,Data!EN336,Data!EP336,Data!ER336,Data!ET336)</f>
        <v>0</v>
      </c>
      <c r="K335" s="12">
        <f>J335-I335</f>
        <v>0</v>
      </c>
      <c r="L335">
        <f>IF(I335=0,IF(J335&gt;0,"New",0),(J335-I335)/I335)</f>
        <v>0</v>
      </c>
      <c r="M335" t="str">
        <f>IF(F335=0,"No 2026 Sales",IF(E335=0,"New Product",IF(AND(ISNUMBER(H335),H335&gt;0.1),"↑ Strong Growth",IF(AND(ISNUMBER(H335),H335&gt;0),"↗ Growth",IF(AND(ISNUMBER(H335),H335&lt;-0.1),"↓ Strong Decline",IF(AND(ISNUMBER(H335),H335&lt;0),"↘ Decline","→ Stable"))))))</f>
        <v>No 2026 Sales</v>
      </c>
    </row>
    <row r="336" spans="1:13" hidden="1" x14ac:dyDescent="0.35">
      <c r="A336">
        <f>Data!A337</f>
        <v>210</v>
      </c>
      <c r="B336" t="str">
        <f>Data!B337</f>
        <v>INGREDIENTS</v>
      </c>
      <c r="C336" s="9">
        <f>Data!C337</f>
        <v>45428</v>
      </c>
      <c r="D336" s="10" t="s">
        <v>1117</v>
      </c>
      <c r="E336" s="11">
        <f>SUM(Data!I337,Data!K337,Data!M337,Data!O337,Data!Q337,Data!S337,Data!U337,Data!W337,Data!Y337,Data!AA337,Data!AC337,Data!AE337,Data!AG337,Data!AI337,Data!AK337,Data!AM337,Data!AO337,Data!AQ337,Data!AS337)</f>
        <v>0</v>
      </c>
      <c r="F336" s="11">
        <f>SUM(Data!DI337,Data!DK337,Data!DM337,Data!DO337,Data!DQ337,Data!DS337,Data!DU337,Data!DW337,Data!DY337,Data!EA337,Data!EC337,Data!EE337,Data!EG337,Data!EI337,Data!EK337,Data!EM337,Data!EO337,Data!EQ337,Data!ES337)</f>
        <v>0</v>
      </c>
      <c r="G336" s="11">
        <f>F336-E336</f>
        <v>0</v>
      </c>
      <c r="H336">
        <f>IF(E336=0,IF(F336&gt;0,"New",0),(F336-E336)/E336)</f>
        <v>0</v>
      </c>
      <c r="I336" s="12">
        <f>SUM(Data!J337,Data!L337,Data!N337,Data!P337,Data!R337,Data!T337,Data!V337,Data!X337,Data!Z337,Data!AB337,Data!AD337,Data!AF337,Data!AH337,Data!AJ337,Data!AL337,Data!AN337,Data!AP337,Data!AR337,Data!AT337)</f>
        <v>0</v>
      </c>
      <c r="J336" s="12">
        <f>SUM(Data!DJ337,Data!DL337,Data!DN337,Data!DP337,Data!DR337,Data!DT337,Data!DV337,Data!DX337,Data!DZ337,Data!EB337,Data!ED337,Data!EF337,Data!EH337,Data!EJ337,Data!EL337,Data!EN337,Data!EP337,Data!ER337,Data!ET337)</f>
        <v>0</v>
      </c>
      <c r="K336" s="12">
        <f>J336-I336</f>
        <v>0</v>
      </c>
      <c r="L336">
        <f>IF(I336=0,IF(J336&gt;0,"New",0),(J336-I336)/I336)</f>
        <v>0</v>
      </c>
      <c r="M336" t="str">
        <f>IF(F336=0,"No 2026 Sales",IF(E336=0,"New Product",IF(AND(ISNUMBER(H336),H336&gt;0.1),"↑ Strong Growth",IF(AND(ISNUMBER(H336),H336&gt;0),"↗ Growth",IF(AND(ISNUMBER(H336),H336&lt;-0.1),"↓ Strong Decline",IF(AND(ISNUMBER(H336),H336&lt;0),"↘ Decline","→ Stable"))))))</f>
        <v>No 2026 Sales</v>
      </c>
    </row>
    <row r="337" spans="1:13" hidden="1" x14ac:dyDescent="0.35">
      <c r="A337">
        <f>Data!A338</f>
        <v>210</v>
      </c>
      <c r="B337" t="str">
        <f>Data!B338</f>
        <v>INGREDIENTS</v>
      </c>
      <c r="C337" s="9">
        <f>Data!C338</f>
        <v>45429</v>
      </c>
      <c r="D337" s="10" t="s">
        <v>1118</v>
      </c>
      <c r="E337" s="11">
        <f>SUM(Data!I338,Data!K338,Data!M338,Data!O338,Data!Q338,Data!S338,Data!U338,Data!W338,Data!Y338,Data!AA338,Data!AC338,Data!AE338,Data!AG338,Data!AI338,Data!AK338,Data!AM338,Data!AO338,Data!AQ338,Data!AS338)</f>
        <v>0</v>
      </c>
      <c r="F337" s="11">
        <f>SUM(Data!DI338,Data!DK338,Data!DM338,Data!DO338,Data!DQ338,Data!DS338,Data!DU338,Data!DW338,Data!DY338,Data!EA338,Data!EC338,Data!EE338,Data!EG338,Data!EI338,Data!EK338,Data!EM338,Data!EO338,Data!EQ338,Data!ES338)</f>
        <v>0</v>
      </c>
      <c r="G337" s="11">
        <f>F337-E337</f>
        <v>0</v>
      </c>
      <c r="H337">
        <f>IF(E337=0,IF(F337&gt;0,"New",0),(F337-E337)/E337)</f>
        <v>0</v>
      </c>
      <c r="I337" s="12">
        <f>SUM(Data!J338,Data!L338,Data!N338,Data!P338,Data!R338,Data!T338,Data!V338,Data!X338,Data!Z338,Data!AB338,Data!AD338,Data!AF338,Data!AH338,Data!AJ338,Data!AL338,Data!AN338,Data!AP338,Data!AR338,Data!AT338)</f>
        <v>0</v>
      </c>
      <c r="J337" s="12">
        <f>SUM(Data!DJ338,Data!DL338,Data!DN338,Data!DP338,Data!DR338,Data!DT338,Data!DV338,Data!DX338,Data!DZ338,Data!EB338,Data!ED338,Data!EF338,Data!EH338,Data!EJ338,Data!EL338,Data!EN338,Data!EP338,Data!ER338,Data!ET338)</f>
        <v>0</v>
      </c>
      <c r="K337" s="12">
        <f>J337-I337</f>
        <v>0</v>
      </c>
      <c r="L337">
        <f>IF(I337=0,IF(J337&gt;0,"New",0),(J337-I337)/I337)</f>
        <v>0</v>
      </c>
      <c r="M337" t="str">
        <f>IF(F337=0,"No 2026 Sales",IF(E337=0,"New Product",IF(AND(ISNUMBER(H337),H337&gt;0.1),"↑ Strong Growth",IF(AND(ISNUMBER(H337),H337&gt;0),"↗ Growth",IF(AND(ISNUMBER(H337),H337&lt;-0.1),"↓ Strong Decline",IF(AND(ISNUMBER(H337),H337&lt;0),"↘ Decline","→ Stable"))))))</f>
        <v>No 2026 Sales</v>
      </c>
    </row>
    <row r="338" spans="1:13" hidden="1" x14ac:dyDescent="0.35">
      <c r="A338">
        <f>Data!A339</f>
        <v>210</v>
      </c>
      <c r="B338" t="str">
        <f>Data!B339</f>
        <v>INGREDIENTS</v>
      </c>
      <c r="C338" s="9">
        <f>Data!C339</f>
        <v>45505</v>
      </c>
      <c r="D338" s="10" t="s">
        <v>1119</v>
      </c>
      <c r="E338" s="11">
        <f>SUM(Data!I339,Data!K339,Data!M339,Data!O339,Data!Q339,Data!S339,Data!U339,Data!W339,Data!Y339,Data!AA339,Data!AC339,Data!AE339,Data!AG339,Data!AI339,Data!AK339,Data!AM339,Data!AO339,Data!AQ339,Data!AS339)</f>
        <v>0</v>
      </c>
      <c r="F338" s="11">
        <f>SUM(Data!DI339,Data!DK339,Data!DM339,Data!DO339,Data!DQ339,Data!DS339,Data!DU339,Data!DW339,Data!DY339,Data!EA339,Data!EC339,Data!EE339,Data!EG339,Data!EI339,Data!EK339,Data!EM339,Data!EO339,Data!EQ339,Data!ES339)</f>
        <v>0</v>
      </c>
      <c r="G338" s="11">
        <f>F338-E338</f>
        <v>0</v>
      </c>
      <c r="H338">
        <f>IF(E338=0,IF(F338&gt;0,"New",0),(F338-E338)/E338)</f>
        <v>0</v>
      </c>
      <c r="I338" s="12">
        <f>SUM(Data!J339,Data!L339,Data!N339,Data!P339,Data!R339,Data!T339,Data!V339,Data!X339,Data!Z339,Data!AB339,Data!AD339,Data!AF339,Data!AH339,Data!AJ339,Data!AL339,Data!AN339,Data!AP339,Data!AR339,Data!AT339)</f>
        <v>0</v>
      </c>
      <c r="J338" s="12">
        <f>SUM(Data!DJ339,Data!DL339,Data!DN339,Data!DP339,Data!DR339,Data!DT339,Data!DV339,Data!DX339,Data!DZ339,Data!EB339,Data!ED339,Data!EF339,Data!EH339,Data!EJ339,Data!EL339,Data!EN339,Data!EP339,Data!ER339,Data!ET339)</f>
        <v>0</v>
      </c>
      <c r="K338" s="12">
        <f>J338-I338</f>
        <v>0</v>
      </c>
      <c r="L338">
        <f>IF(I338=0,IF(J338&gt;0,"New",0),(J338-I338)/I338)</f>
        <v>0</v>
      </c>
      <c r="M338" t="str">
        <f>IF(F338=0,"No 2026 Sales",IF(E338=0,"New Product",IF(AND(ISNUMBER(H338),H338&gt;0.1),"↑ Strong Growth",IF(AND(ISNUMBER(H338),H338&gt;0),"↗ Growth",IF(AND(ISNUMBER(H338),H338&lt;-0.1),"↓ Strong Decline",IF(AND(ISNUMBER(H338),H338&lt;0),"↘ Decline","→ Stable"))))))</f>
        <v>No 2026 Sales</v>
      </c>
    </row>
    <row r="339" spans="1:13" hidden="1" x14ac:dyDescent="0.35">
      <c r="A339">
        <f>Data!A340</f>
        <v>210</v>
      </c>
      <c r="B339" t="str">
        <f>Data!B340</f>
        <v>INGREDIENTS</v>
      </c>
      <c r="C339" s="9">
        <f>Data!C340</f>
        <v>45638</v>
      </c>
      <c r="D339" s="10" t="s">
        <v>1120</v>
      </c>
      <c r="E339" s="11">
        <f>SUM(Data!I340,Data!K340,Data!M340,Data!O340,Data!Q340,Data!S340,Data!U340,Data!W340,Data!Y340,Data!AA340,Data!AC340,Data!AE340,Data!AG340,Data!AI340,Data!AK340,Data!AM340,Data!AO340,Data!AQ340,Data!AS340)</f>
        <v>0</v>
      </c>
      <c r="F339" s="11">
        <f>SUM(Data!DI340,Data!DK340,Data!DM340,Data!DO340,Data!DQ340,Data!DS340,Data!DU340,Data!DW340,Data!DY340,Data!EA340,Data!EC340,Data!EE340,Data!EG340,Data!EI340,Data!EK340,Data!EM340,Data!EO340,Data!EQ340,Data!ES340)</f>
        <v>0</v>
      </c>
      <c r="G339" s="11">
        <f>F339-E339</f>
        <v>0</v>
      </c>
      <c r="H339">
        <f>IF(E339=0,IF(F339&gt;0,"New",0),(F339-E339)/E339)</f>
        <v>0</v>
      </c>
      <c r="I339" s="12">
        <f>SUM(Data!J340,Data!L340,Data!N340,Data!P340,Data!R340,Data!T340,Data!V340,Data!X340,Data!Z340,Data!AB340,Data!AD340,Data!AF340,Data!AH340,Data!AJ340,Data!AL340,Data!AN340,Data!AP340,Data!AR340,Data!AT340)</f>
        <v>0</v>
      </c>
      <c r="J339" s="12">
        <f>SUM(Data!DJ340,Data!DL340,Data!DN340,Data!DP340,Data!DR340,Data!DT340,Data!DV340,Data!DX340,Data!DZ340,Data!EB340,Data!ED340,Data!EF340,Data!EH340,Data!EJ340,Data!EL340,Data!EN340,Data!EP340,Data!ER340,Data!ET340)</f>
        <v>0</v>
      </c>
      <c r="K339" s="12">
        <f>J339-I339</f>
        <v>0</v>
      </c>
      <c r="L339">
        <f>IF(I339=0,IF(J339&gt;0,"New",0),(J339-I339)/I339)</f>
        <v>0</v>
      </c>
      <c r="M339" t="str">
        <f>IF(F339=0,"No 2026 Sales",IF(E339=0,"New Product",IF(AND(ISNUMBER(H339),H339&gt;0.1),"↑ Strong Growth",IF(AND(ISNUMBER(H339),H339&gt;0),"↗ Growth",IF(AND(ISNUMBER(H339),H339&lt;-0.1),"↓ Strong Decline",IF(AND(ISNUMBER(H339),H339&lt;0),"↘ Decline","→ Stable"))))))</f>
        <v>No 2026 Sales</v>
      </c>
    </row>
    <row r="340" spans="1:13" hidden="1" x14ac:dyDescent="0.35">
      <c r="A340">
        <f>Data!A341</f>
        <v>210</v>
      </c>
      <c r="B340" t="str">
        <f>Data!B341</f>
        <v>INGREDIENTS</v>
      </c>
      <c r="C340" s="9">
        <f>Data!C341</f>
        <v>46276</v>
      </c>
      <c r="D340" s="10" t="s">
        <v>1121</v>
      </c>
      <c r="E340" s="11">
        <f>SUM(Data!I341,Data!K341,Data!M341,Data!O341,Data!Q341,Data!S341,Data!U341,Data!W341,Data!Y341,Data!AA341,Data!AC341,Data!AE341,Data!AG341,Data!AI341,Data!AK341,Data!AM341,Data!AO341,Data!AQ341,Data!AS341)</f>
        <v>0</v>
      </c>
      <c r="F340" s="11">
        <f>SUM(Data!DI341,Data!DK341,Data!DM341,Data!DO341,Data!DQ341,Data!DS341,Data!DU341,Data!DW341,Data!DY341,Data!EA341,Data!EC341,Data!EE341,Data!EG341,Data!EI341,Data!EK341,Data!EM341,Data!EO341,Data!EQ341,Data!ES341)</f>
        <v>0</v>
      </c>
      <c r="G340" s="11">
        <f>F340-E340</f>
        <v>0</v>
      </c>
      <c r="H340">
        <f>IF(E340=0,IF(F340&gt;0,"New",0),(F340-E340)/E340)</f>
        <v>0</v>
      </c>
      <c r="I340" s="12">
        <f>SUM(Data!J341,Data!L341,Data!N341,Data!P341,Data!R341,Data!T341,Data!V341,Data!X341,Data!Z341,Data!AB341,Data!AD341,Data!AF341,Data!AH341,Data!AJ341,Data!AL341,Data!AN341,Data!AP341,Data!AR341,Data!AT341)</f>
        <v>0</v>
      </c>
      <c r="J340" s="12">
        <f>SUM(Data!DJ341,Data!DL341,Data!DN341,Data!DP341,Data!DR341,Data!DT341,Data!DV341,Data!DX341,Data!DZ341,Data!EB341,Data!ED341,Data!EF341,Data!EH341,Data!EJ341,Data!EL341,Data!EN341,Data!EP341,Data!ER341,Data!ET341)</f>
        <v>0</v>
      </c>
      <c r="K340" s="12">
        <f>J340-I340</f>
        <v>0</v>
      </c>
      <c r="L340">
        <f>IF(I340=0,IF(J340&gt;0,"New",0),(J340-I340)/I340)</f>
        <v>0</v>
      </c>
      <c r="M340" t="str">
        <f>IF(F340=0,"No 2026 Sales",IF(E340=0,"New Product",IF(AND(ISNUMBER(H340),H340&gt;0.1),"↑ Strong Growth",IF(AND(ISNUMBER(H340),H340&gt;0),"↗ Growth",IF(AND(ISNUMBER(H340),H340&lt;-0.1),"↓ Strong Decline",IF(AND(ISNUMBER(H340),H340&lt;0),"↘ Decline","→ Stable"))))))</f>
        <v>No 2026 Sales</v>
      </c>
    </row>
    <row r="341" spans="1:13" hidden="1" x14ac:dyDescent="0.35">
      <c r="A341">
        <f>Data!A342</f>
        <v>210</v>
      </c>
      <c r="B341" t="str">
        <f>Data!B342</f>
        <v>INGREDIENTS</v>
      </c>
      <c r="C341" s="9">
        <f>Data!C342</f>
        <v>46277</v>
      </c>
      <c r="D341" s="10" t="s">
        <v>1122</v>
      </c>
      <c r="E341" s="11">
        <f>SUM(Data!I342,Data!K342,Data!M342,Data!O342,Data!Q342,Data!S342,Data!U342,Data!W342,Data!Y342,Data!AA342,Data!AC342,Data!AE342,Data!AG342,Data!AI342,Data!AK342,Data!AM342,Data!AO342,Data!AQ342,Data!AS342)</f>
        <v>0</v>
      </c>
      <c r="F341" s="11">
        <f>SUM(Data!DI342,Data!DK342,Data!DM342,Data!DO342,Data!DQ342,Data!DS342,Data!DU342,Data!DW342,Data!DY342,Data!EA342,Data!EC342,Data!EE342,Data!EG342,Data!EI342,Data!EK342,Data!EM342,Data!EO342,Data!EQ342,Data!ES342)</f>
        <v>0</v>
      </c>
      <c r="G341" s="11">
        <f>F341-E341</f>
        <v>0</v>
      </c>
      <c r="H341">
        <f>IF(E341=0,IF(F341&gt;0,"New",0),(F341-E341)/E341)</f>
        <v>0</v>
      </c>
      <c r="I341" s="12">
        <f>SUM(Data!J342,Data!L342,Data!N342,Data!P342,Data!R342,Data!T342,Data!V342,Data!X342,Data!Z342,Data!AB342,Data!AD342,Data!AF342,Data!AH342,Data!AJ342,Data!AL342,Data!AN342,Data!AP342,Data!AR342,Data!AT342)</f>
        <v>0</v>
      </c>
      <c r="J341" s="12">
        <f>SUM(Data!DJ342,Data!DL342,Data!DN342,Data!DP342,Data!DR342,Data!DT342,Data!DV342,Data!DX342,Data!DZ342,Data!EB342,Data!ED342,Data!EF342,Data!EH342,Data!EJ342,Data!EL342,Data!EN342,Data!EP342,Data!ER342,Data!ET342)</f>
        <v>0</v>
      </c>
      <c r="K341" s="12">
        <f>J341-I341</f>
        <v>0</v>
      </c>
      <c r="L341">
        <f>IF(I341=0,IF(J341&gt;0,"New",0),(J341-I341)/I341)</f>
        <v>0</v>
      </c>
      <c r="M341" t="str">
        <f>IF(F341=0,"No 2026 Sales",IF(E341=0,"New Product",IF(AND(ISNUMBER(H341),H341&gt;0.1),"↑ Strong Growth",IF(AND(ISNUMBER(H341),H341&gt;0),"↗ Growth",IF(AND(ISNUMBER(H341),H341&lt;-0.1),"↓ Strong Decline",IF(AND(ISNUMBER(H341),H341&lt;0),"↘ Decline","→ Stable"))))))</f>
        <v>No 2026 Sales</v>
      </c>
    </row>
    <row r="342" spans="1:13" hidden="1" x14ac:dyDescent="0.35">
      <c r="A342">
        <f>Data!A343</f>
        <v>210</v>
      </c>
      <c r="B342" t="str">
        <f>Data!B343</f>
        <v>INGREDIENTS</v>
      </c>
      <c r="C342" s="9">
        <f>Data!C343</f>
        <v>46278</v>
      </c>
      <c r="D342" s="10" t="s">
        <v>1123</v>
      </c>
      <c r="E342" s="11">
        <f>SUM(Data!I343,Data!K343,Data!M343,Data!O343,Data!Q343,Data!S343,Data!U343,Data!W343,Data!Y343,Data!AA343,Data!AC343,Data!AE343,Data!AG343,Data!AI343,Data!AK343,Data!AM343,Data!AO343,Data!AQ343,Data!AS343)</f>
        <v>0</v>
      </c>
      <c r="F342" s="11">
        <f>SUM(Data!DI343,Data!DK343,Data!DM343,Data!DO343,Data!DQ343,Data!DS343,Data!DU343,Data!DW343,Data!DY343,Data!EA343,Data!EC343,Data!EE343,Data!EG343,Data!EI343,Data!EK343,Data!EM343,Data!EO343,Data!EQ343,Data!ES343)</f>
        <v>0</v>
      </c>
      <c r="G342" s="11">
        <f>F342-E342</f>
        <v>0</v>
      </c>
      <c r="H342">
        <f>IF(E342=0,IF(F342&gt;0,"New",0),(F342-E342)/E342)</f>
        <v>0</v>
      </c>
      <c r="I342" s="12">
        <f>SUM(Data!J343,Data!L343,Data!N343,Data!P343,Data!R343,Data!T343,Data!V343,Data!X343,Data!Z343,Data!AB343,Data!AD343,Data!AF343,Data!AH343,Data!AJ343,Data!AL343,Data!AN343,Data!AP343,Data!AR343,Data!AT343)</f>
        <v>0</v>
      </c>
      <c r="J342" s="12">
        <f>SUM(Data!DJ343,Data!DL343,Data!DN343,Data!DP343,Data!DR343,Data!DT343,Data!DV343,Data!DX343,Data!DZ343,Data!EB343,Data!ED343,Data!EF343,Data!EH343,Data!EJ343,Data!EL343,Data!EN343,Data!EP343,Data!ER343,Data!ET343)</f>
        <v>0</v>
      </c>
      <c r="K342" s="12">
        <f>J342-I342</f>
        <v>0</v>
      </c>
      <c r="L342">
        <f>IF(I342=0,IF(J342&gt;0,"New",0),(J342-I342)/I342)</f>
        <v>0</v>
      </c>
      <c r="M342" t="str">
        <f>IF(F342=0,"No 2026 Sales",IF(E342=0,"New Product",IF(AND(ISNUMBER(H342),H342&gt;0.1),"↑ Strong Growth",IF(AND(ISNUMBER(H342),H342&gt;0),"↗ Growth",IF(AND(ISNUMBER(H342),H342&lt;-0.1),"↓ Strong Decline",IF(AND(ISNUMBER(H342),H342&lt;0),"↘ Decline","→ Stable"))))))</f>
        <v>No 2026 Sales</v>
      </c>
    </row>
    <row r="343" spans="1:13" hidden="1" x14ac:dyDescent="0.35">
      <c r="A343">
        <f>Data!A344</f>
        <v>210</v>
      </c>
      <c r="B343" t="str">
        <f>Data!B344</f>
        <v>INGREDIENTS</v>
      </c>
      <c r="C343" s="9">
        <f>Data!C344</f>
        <v>48384</v>
      </c>
      <c r="D343" s="10" t="s">
        <v>1124</v>
      </c>
      <c r="E343" s="11">
        <f>SUM(Data!I344,Data!K344,Data!M344,Data!O344,Data!Q344,Data!S344,Data!U344,Data!W344,Data!Y344,Data!AA344,Data!AC344,Data!AE344,Data!AG344,Data!AI344,Data!AK344,Data!AM344,Data!AO344,Data!AQ344,Data!AS344)</f>
        <v>0</v>
      </c>
      <c r="F343" s="11">
        <f>SUM(Data!DI344,Data!DK344,Data!DM344,Data!DO344,Data!DQ344,Data!DS344,Data!DU344,Data!DW344,Data!DY344,Data!EA344,Data!EC344,Data!EE344,Data!EG344,Data!EI344,Data!EK344,Data!EM344,Data!EO344,Data!EQ344,Data!ES344)</f>
        <v>0</v>
      </c>
      <c r="G343" s="11">
        <f>F343-E343</f>
        <v>0</v>
      </c>
      <c r="H343">
        <f>IF(E343=0,IF(F343&gt;0,"New",0),(F343-E343)/E343)</f>
        <v>0</v>
      </c>
      <c r="I343" s="12">
        <f>SUM(Data!J344,Data!L344,Data!N344,Data!P344,Data!R344,Data!T344,Data!V344,Data!X344,Data!Z344,Data!AB344,Data!AD344,Data!AF344,Data!AH344,Data!AJ344,Data!AL344,Data!AN344,Data!AP344,Data!AR344,Data!AT344)</f>
        <v>0</v>
      </c>
      <c r="J343" s="12">
        <f>SUM(Data!DJ344,Data!DL344,Data!DN344,Data!DP344,Data!DR344,Data!DT344,Data!DV344,Data!DX344,Data!DZ344,Data!EB344,Data!ED344,Data!EF344,Data!EH344,Data!EJ344,Data!EL344,Data!EN344,Data!EP344,Data!ER344,Data!ET344)</f>
        <v>0</v>
      </c>
      <c r="K343" s="12">
        <f>J343-I343</f>
        <v>0</v>
      </c>
      <c r="L343">
        <f>IF(I343=0,IF(J343&gt;0,"New",0),(J343-I343)/I343)</f>
        <v>0</v>
      </c>
      <c r="M343" t="str">
        <f>IF(F343=0,"No 2026 Sales",IF(E343=0,"New Product",IF(AND(ISNUMBER(H343),H343&gt;0.1),"↑ Strong Growth",IF(AND(ISNUMBER(H343),H343&gt;0),"↗ Growth",IF(AND(ISNUMBER(H343),H343&lt;-0.1),"↓ Strong Decline",IF(AND(ISNUMBER(H343),H343&lt;0),"↘ Decline","→ Stable"))))))</f>
        <v>No 2026 Sales</v>
      </c>
    </row>
    <row r="344" spans="1:13" hidden="1" x14ac:dyDescent="0.35">
      <c r="A344">
        <f>Data!A345</f>
        <v>210</v>
      </c>
      <c r="B344" t="str">
        <f>Data!B345</f>
        <v>INGREDIENTS</v>
      </c>
      <c r="C344" s="9">
        <f>Data!C345</f>
        <v>48428</v>
      </c>
      <c r="D344" s="10" t="s">
        <v>1125</v>
      </c>
      <c r="E344" s="11">
        <f>SUM(Data!I345,Data!K345,Data!M345,Data!O345,Data!Q345,Data!S345,Data!U345,Data!W345,Data!Y345,Data!AA345,Data!AC345,Data!AE345,Data!AG345,Data!AI345,Data!AK345,Data!AM345,Data!AO345,Data!AQ345,Data!AS345)</f>
        <v>0</v>
      </c>
      <c r="F344" s="11">
        <f>SUM(Data!DI345,Data!DK345,Data!DM345,Data!DO345,Data!DQ345,Data!DS345,Data!DU345,Data!DW345,Data!DY345,Data!EA345,Data!EC345,Data!EE345,Data!EG345,Data!EI345,Data!EK345,Data!EM345,Data!EO345,Data!EQ345,Data!ES345)</f>
        <v>0</v>
      </c>
      <c r="G344" s="11">
        <f>F344-E344</f>
        <v>0</v>
      </c>
      <c r="H344">
        <f>IF(E344=0,IF(F344&gt;0,"New",0),(F344-E344)/E344)</f>
        <v>0</v>
      </c>
      <c r="I344" s="12">
        <f>SUM(Data!J345,Data!L345,Data!N345,Data!P345,Data!R345,Data!T345,Data!V345,Data!X345,Data!Z345,Data!AB345,Data!AD345,Data!AF345,Data!AH345,Data!AJ345,Data!AL345,Data!AN345,Data!AP345,Data!AR345,Data!AT345)</f>
        <v>0</v>
      </c>
      <c r="J344" s="12">
        <f>SUM(Data!DJ345,Data!DL345,Data!DN345,Data!DP345,Data!DR345,Data!DT345,Data!DV345,Data!DX345,Data!DZ345,Data!EB345,Data!ED345,Data!EF345,Data!EH345,Data!EJ345,Data!EL345,Data!EN345,Data!EP345,Data!ER345,Data!ET345)</f>
        <v>0</v>
      </c>
      <c r="K344" s="12">
        <f>J344-I344</f>
        <v>0</v>
      </c>
      <c r="L344">
        <f>IF(I344=0,IF(J344&gt;0,"New",0),(J344-I344)/I344)</f>
        <v>0</v>
      </c>
      <c r="M344" t="str">
        <f>IF(F344=0,"No 2026 Sales",IF(E344=0,"New Product",IF(AND(ISNUMBER(H344),H344&gt;0.1),"↑ Strong Growth",IF(AND(ISNUMBER(H344),H344&gt;0),"↗ Growth",IF(AND(ISNUMBER(H344),H344&lt;-0.1),"↓ Strong Decline",IF(AND(ISNUMBER(H344),H344&lt;0),"↘ Decline","→ Stable"))))))</f>
        <v>No 2026 Sales</v>
      </c>
    </row>
    <row r="345" spans="1:13" hidden="1" x14ac:dyDescent="0.35">
      <c r="A345">
        <f>Data!A346</f>
        <v>210</v>
      </c>
      <c r="B345" t="str">
        <f>Data!B346</f>
        <v>INGREDIENTS</v>
      </c>
      <c r="C345" s="9">
        <f>Data!C346</f>
        <v>50298</v>
      </c>
      <c r="D345" s="10" t="s">
        <v>1126</v>
      </c>
      <c r="E345" s="11">
        <f>SUM(Data!I346,Data!K346,Data!M346,Data!O346,Data!Q346,Data!S346,Data!U346,Data!W346,Data!Y346,Data!AA346,Data!AC346,Data!AE346,Data!AG346,Data!AI346,Data!AK346,Data!AM346,Data!AO346,Data!AQ346,Data!AS346)</f>
        <v>0</v>
      </c>
      <c r="F345" s="11">
        <f>SUM(Data!DI346,Data!DK346,Data!DM346,Data!DO346,Data!DQ346,Data!DS346,Data!DU346,Data!DW346,Data!DY346,Data!EA346,Data!EC346,Data!EE346,Data!EG346,Data!EI346,Data!EK346,Data!EM346,Data!EO346,Data!EQ346,Data!ES346)</f>
        <v>0</v>
      </c>
      <c r="G345" s="11">
        <f>F345-E345</f>
        <v>0</v>
      </c>
      <c r="H345">
        <f>IF(E345=0,IF(F345&gt;0,"New",0),(F345-E345)/E345)</f>
        <v>0</v>
      </c>
      <c r="I345" s="12">
        <f>SUM(Data!J346,Data!L346,Data!N346,Data!P346,Data!R346,Data!T346,Data!V346,Data!X346,Data!Z346,Data!AB346,Data!AD346,Data!AF346,Data!AH346,Data!AJ346,Data!AL346,Data!AN346,Data!AP346,Data!AR346,Data!AT346)</f>
        <v>0</v>
      </c>
      <c r="J345" s="12">
        <f>SUM(Data!DJ346,Data!DL346,Data!DN346,Data!DP346,Data!DR346,Data!DT346,Data!DV346,Data!DX346,Data!DZ346,Data!EB346,Data!ED346,Data!EF346,Data!EH346,Data!EJ346,Data!EL346,Data!EN346,Data!EP346,Data!ER346,Data!ET346)</f>
        <v>0</v>
      </c>
      <c r="K345" s="12">
        <f>J345-I345</f>
        <v>0</v>
      </c>
      <c r="L345">
        <f>IF(I345=0,IF(J345&gt;0,"New",0),(J345-I345)/I345)</f>
        <v>0</v>
      </c>
      <c r="M345" t="str">
        <f>IF(F345=0,"No 2026 Sales",IF(E345=0,"New Product",IF(AND(ISNUMBER(H345),H345&gt;0.1),"↑ Strong Growth",IF(AND(ISNUMBER(H345),H345&gt;0),"↗ Growth",IF(AND(ISNUMBER(H345),H345&lt;-0.1),"↓ Strong Decline",IF(AND(ISNUMBER(H345),H345&lt;0),"↘ Decline","→ Stable"))))))</f>
        <v>No 2026 Sales</v>
      </c>
    </row>
    <row r="346" spans="1:13" hidden="1" x14ac:dyDescent="0.35">
      <c r="A346">
        <f>Data!A347</f>
        <v>210</v>
      </c>
      <c r="B346" t="str">
        <f>Data!B347</f>
        <v>INGREDIENTS</v>
      </c>
      <c r="C346" s="9">
        <f>Data!C347</f>
        <v>50321</v>
      </c>
      <c r="D346" s="10" t="s">
        <v>1127</v>
      </c>
      <c r="E346" s="11">
        <f>SUM(Data!I347,Data!K347,Data!M347,Data!O347,Data!Q347,Data!S347,Data!U347,Data!W347,Data!Y347,Data!AA347,Data!AC347,Data!AE347,Data!AG347,Data!AI347,Data!AK347,Data!AM347,Data!AO347,Data!AQ347,Data!AS347)</f>
        <v>0</v>
      </c>
      <c r="F346" s="11">
        <f>SUM(Data!DI347,Data!DK347,Data!DM347,Data!DO347,Data!DQ347,Data!DS347,Data!DU347,Data!DW347,Data!DY347,Data!EA347,Data!EC347,Data!EE347,Data!EG347,Data!EI347,Data!EK347,Data!EM347,Data!EO347,Data!EQ347,Data!ES347)</f>
        <v>0</v>
      </c>
      <c r="G346" s="11">
        <f>F346-E346</f>
        <v>0</v>
      </c>
      <c r="H346">
        <f>IF(E346=0,IF(F346&gt;0,"New",0),(F346-E346)/E346)</f>
        <v>0</v>
      </c>
      <c r="I346" s="12">
        <f>SUM(Data!J347,Data!L347,Data!N347,Data!P347,Data!R347,Data!T347,Data!V347,Data!X347,Data!Z347,Data!AB347,Data!AD347,Data!AF347,Data!AH347,Data!AJ347,Data!AL347,Data!AN347,Data!AP347,Data!AR347,Data!AT347)</f>
        <v>0</v>
      </c>
      <c r="J346" s="12">
        <f>SUM(Data!DJ347,Data!DL347,Data!DN347,Data!DP347,Data!DR347,Data!DT347,Data!DV347,Data!DX347,Data!DZ347,Data!EB347,Data!ED347,Data!EF347,Data!EH347,Data!EJ347,Data!EL347,Data!EN347,Data!EP347,Data!ER347,Data!ET347)</f>
        <v>0</v>
      </c>
      <c r="K346" s="12">
        <f>J346-I346</f>
        <v>0</v>
      </c>
      <c r="L346">
        <f>IF(I346=0,IF(J346&gt;0,"New",0),(J346-I346)/I346)</f>
        <v>0</v>
      </c>
      <c r="M346" t="str">
        <f>IF(F346=0,"No 2026 Sales",IF(E346=0,"New Product",IF(AND(ISNUMBER(H346),H346&gt;0.1),"↑ Strong Growth",IF(AND(ISNUMBER(H346),H346&gt;0),"↗ Growth",IF(AND(ISNUMBER(H346),H346&lt;-0.1),"↓ Strong Decline",IF(AND(ISNUMBER(H346),H346&lt;0),"↘ Decline","→ Stable"))))))</f>
        <v>No 2026 Sales</v>
      </c>
    </row>
    <row r="347" spans="1:13" hidden="1" x14ac:dyDescent="0.35">
      <c r="A347">
        <f>Data!A348</f>
        <v>210</v>
      </c>
      <c r="B347" t="str">
        <f>Data!B348</f>
        <v>INGREDIENTS</v>
      </c>
      <c r="C347" s="9">
        <f>Data!C348</f>
        <v>50772</v>
      </c>
      <c r="D347" s="10" t="s">
        <v>1128</v>
      </c>
      <c r="E347" s="11">
        <f>SUM(Data!I348,Data!K348,Data!M348,Data!O348,Data!Q348,Data!S348,Data!U348,Data!W348,Data!Y348,Data!AA348,Data!AC348,Data!AE348,Data!AG348,Data!AI348,Data!AK348,Data!AM348,Data!AO348,Data!AQ348,Data!AS348)</f>
        <v>0</v>
      </c>
      <c r="F347" s="11">
        <f>SUM(Data!DI348,Data!DK348,Data!DM348,Data!DO348,Data!DQ348,Data!DS348,Data!DU348,Data!DW348,Data!DY348,Data!EA348,Data!EC348,Data!EE348,Data!EG348,Data!EI348,Data!EK348,Data!EM348,Data!EO348,Data!EQ348,Data!ES348)</f>
        <v>0</v>
      </c>
      <c r="G347" s="11">
        <f>F347-E347</f>
        <v>0</v>
      </c>
      <c r="H347">
        <f>IF(E347=0,IF(F347&gt;0,"New",0),(F347-E347)/E347)</f>
        <v>0</v>
      </c>
      <c r="I347" s="12">
        <f>SUM(Data!J348,Data!L348,Data!N348,Data!P348,Data!R348,Data!T348,Data!V348,Data!X348,Data!Z348,Data!AB348,Data!AD348,Data!AF348,Data!AH348,Data!AJ348,Data!AL348,Data!AN348,Data!AP348,Data!AR348,Data!AT348)</f>
        <v>0</v>
      </c>
      <c r="J347" s="12">
        <f>SUM(Data!DJ348,Data!DL348,Data!DN348,Data!DP348,Data!DR348,Data!DT348,Data!DV348,Data!DX348,Data!DZ348,Data!EB348,Data!ED348,Data!EF348,Data!EH348,Data!EJ348,Data!EL348,Data!EN348,Data!EP348,Data!ER348,Data!ET348)</f>
        <v>0</v>
      </c>
      <c r="K347" s="12">
        <f>J347-I347</f>
        <v>0</v>
      </c>
      <c r="L347">
        <f>IF(I347=0,IF(J347&gt;0,"New",0),(J347-I347)/I347)</f>
        <v>0</v>
      </c>
      <c r="M347" t="str">
        <f>IF(F347=0,"No 2026 Sales",IF(E347=0,"New Product",IF(AND(ISNUMBER(H347),H347&gt;0.1),"↑ Strong Growth",IF(AND(ISNUMBER(H347),H347&gt;0),"↗ Growth",IF(AND(ISNUMBER(H347),H347&lt;-0.1),"↓ Strong Decline",IF(AND(ISNUMBER(H347),H347&lt;0),"↘ Decline","→ Stable"))))))</f>
        <v>No 2026 Sales</v>
      </c>
    </row>
    <row r="348" spans="1:13" hidden="1" x14ac:dyDescent="0.35">
      <c r="A348">
        <f>Data!A349</f>
        <v>210</v>
      </c>
      <c r="B348" t="str">
        <f>Data!B349</f>
        <v>INGREDIENTS</v>
      </c>
      <c r="C348" s="9">
        <f>Data!C349</f>
        <v>51657</v>
      </c>
      <c r="D348" s="10" t="s">
        <v>1129</v>
      </c>
      <c r="E348" s="11">
        <f>SUM(Data!I349,Data!K349,Data!M349,Data!O349,Data!Q349,Data!S349,Data!U349,Data!W349,Data!Y349,Data!AA349,Data!AC349,Data!AE349,Data!AG349,Data!AI349,Data!AK349,Data!AM349,Data!AO349,Data!AQ349,Data!AS349)</f>
        <v>0</v>
      </c>
      <c r="F348" s="11">
        <f>SUM(Data!DI349,Data!DK349,Data!DM349,Data!DO349,Data!DQ349,Data!DS349,Data!DU349,Data!DW349,Data!DY349,Data!EA349,Data!EC349,Data!EE349,Data!EG349,Data!EI349,Data!EK349,Data!EM349,Data!EO349,Data!EQ349,Data!ES349)</f>
        <v>0</v>
      </c>
      <c r="G348" s="11">
        <f>F348-E348</f>
        <v>0</v>
      </c>
      <c r="H348">
        <f>IF(E348=0,IF(F348&gt;0,"New",0),(F348-E348)/E348)</f>
        <v>0</v>
      </c>
      <c r="I348" s="12">
        <f>SUM(Data!J349,Data!L349,Data!N349,Data!P349,Data!R349,Data!T349,Data!V349,Data!X349,Data!Z349,Data!AB349,Data!AD349,Data!AF349,Data!AH349,Data!AJ349,Data!AL349,Data!AN349,Data!AP349,Data!AR349,Data!AT349)</f>
        <v>0</v>
      </c>
      <c r="J348" s="12">
        <f>SUM(Data!DJ349,Data!DL349,Data!DN349,Data!DP349,Data!DR349,Data!DT349,Data!DV349,Data!DX349,Data!DZ349,Data!EB349,Data!ED349,Data!EF349,Data!EH349,Data!EJ349,Data!EL349,Data!EN349,Data!EP349,Data!ER349,Data!ET349)</f>
        <v>0</v>
      </c>
      <c r="K348" s="12">
        <f>J348-I348</f>
        <v>0</v>
      </c>
      <c r="L348">
        <f>IF(I348=0,IF(J348&gt;0,"New",0),(J348-I348)/I348)</f>
        <v>0</v>
      </c>
      <c r="M348" t="str">
        <f>IF(F348=0,"No 2026 Sales",IF(E348=0,"New Product",IF(AND(ISNUMBER(H348),H348&gt;0.1),"↑ Strong Growth",IF(AND(ISNUMBER(H348),H348&gt;0),"↗ Growth",IF(AND(ISNUMBER(H348),H348&lt;-0.1),"↓ Strong Decline",IF(AND(ISNUMBER(H348),H348&lt;0),"↘ Decline","→ Stable"))))))</f>
        <v>No 2026 Sales</v>
      </c>
    </row>
    <row r="349" spans="1:13" hidden="1" x14ac:dyDescent="0.35">
      <c r="A349">
        <f>Data!A350</f>
        <v>210</v>
      </c>
      <c r="B349" t="str">
        <f>Data!B350</f>
        <v>INGREDIENTS</v>
      </c>
      <c r="C349" s="9">
        <f>Data!C350</f>
        <v>51713</v>
      </c>
      <c r="D349" s="10" t="s">
        <v>1130</v>
      </c>
      <c r="E349" s="11">
        <f>SUM(Data!I350,Data!K350,Data!M350,Data!O350,Data!Q350,Data!S350,Data!U350,Data!W350,Data!Y350,Data!AA350,Data!AC350,Data!AE350,Data!AG350,Data!AI350,Data!AK350,Data!AM350,Data!AO350,Data!AQ350,Data!AS350)</f>
        <v>0</v>
      </c>
      <c r="F349" s="11">
        <f>SUM(Data!DI350,Data!DK350,Data!DM350,Data!DO350,Data!DQ350,Data!DS350,Data!DU350,Data!DW350,Data!DY350,Data!EA350,Data!EC350,Data!EE350,Data!EG350,Data!EI350,Data!EK350,Data!EM350,Data!EO350,Data!EQ350,Data!ES350)</f>
        <v>0</v>
      </c>
      <c r="G349" s="11">
        <f>F349-E349</f>
        <v>0</v>
      </c>
      <c r="H349">
        <f>IF(E349=0,IF(F349&gt;0,"New",0),(F349-E349)/E349)</f>
        <v>0</v>
      </c>
      <c r="I349" s="12">
        <f>SUM(Data!J350,Data!L350,Data!N350,Data!P350,Data!R350,Data!T350,Data!V350,Data!X350,Data!Z350,Data!AB350,Data!AD350,Data!AF350,Data!AH350,Data!AJ350,Data!AL350,Data!AN350,Data!AP350,Data!AR350,Data!AT350)</f>
        <v>0</v>
      </c>
      <c r="J349" s="12">
        <f>SUM(Data!DJ350,Data!DL350,Data!DN350,Data!DP350,Data!DR350,Data!DT350,Data!DV350,Data!DX350,Data!DZ350,Data!EB350,Data!ED350,Data!EF350,Data!EH350,Data!EJ350,Data!EL350,Data!EN350,Data!EP350,Data!ER350,Data!ET350)</f>
        <v>0</v>
      </c>
      <c r="K349" s="12">
        <f>J349-I349</f>
        <v>0</v>
      </c>
      <c r="L349">
        <f>IF(I349=0,IF(J349&gt;0,"New",0),(J349-I349)/I349)</f>
        <v>0</v>
      </c>
      <c r="M349" t="str">
        <f>IF(F349=0,"No 2026 Sales",IF(E349=0,"New Product",IF(AND(ISNUMBER(H349),H349&gt;0.1),"↑ Strong Growth",IF(AND(ISNUMBER(H349),H349&gt;0),"↗ Growth",IF(AND(ISNUMBER(H349),H349&lt;-0.1),"↓ Strong Decline",IF(AND(ISNUMBER(H349),H349&lt;0),"↘ Decline","→ Stable"))))))</f>
        <v>No 2026 Sales</v>
      </c>
    </row>
    <row r="350" spans="1:13" hidden="1" x14ac:dyDescent="0.35">
      <c r="A350">
        <f>Data!A351</f>
        <v>210</v>
      </c>
      <c r="B350" t="str">
        <f>Data!B351</f>
        <v>INGREDIENTS</v>
      </c>
      <c r="C350" s="9">
        <f>Data!C351</f>
        <v>51803</v>
      </c>
      <c r="D350" s="10" t="s">
        <v>1131</v>
      </c>
      <c r="E350" s="11">
        <f>SUM(Data!I351,Data!K351,Data!M351,Data!O351,Data!Q351,Data!S351,Data!U351,Data!W351,Data!Y351,Data!AA351,Data!AC351,Data!AE351,Data!AG351,Data!AI351,Data!AK351,Data!AM351,Data!AO351,Data!AQ351,Data!AS351)</f>
        <v>0</v>
      </c>
      <c r="F350" s="11">
        <f>SUM(Data!DI351,Data!DK351,Data!DM351,Data!DO351,Data!DQ351,Data!DS351,Data!DU351,Data!DW351,Data!DY351,Data!EA351,Data!EC351,Data!EE351,Data!EG351,Data!EI351,Data!EK351,Data!EM351,Data!EO351,Data!EQ351,Data!ES351)</f>
        <v>0</v>
      </c>
      <c r="G350" s="11">
        <f>F350-E350</f>
        <v>0</v>
      </c>
      <c r="H350">
        <f>IF(E350=0,IF(F350&gt;0,"New",0),(F350-E350)/E350)</f>
        <v>0</v>
      </c>
      <c r="I350" s="12">
        <f>SUM(Data!J351,Data!L351,Data!N351,Data!P351,Data!R351,Data!T351,Data!V351,Data!X351,Data!Z351,Data!AB351,Data!AD351,Data!AF351,Data!AH351,Data!AJ351,Data!AL351,Data!AN351,Data!AP351,Data!AR351,Data!AT351)</f>
        <v>0</v>
      </c>
      <c r="J350" s="12">
        <f>SUM(Data!DJ351,Data!DL351,Data!DN351,Data!DP351,Data!DR351,Data!DT351,Data!DV351,Data!DX351,Data!DZ351,Data!EB351,Data!ED351,Data!EF351,Data!EH351,Data!EJ351,Data!EL351,Data!EN351,Data!EP351,Data!ER351,Data!ET351)</f>
        <v>0</v>
      </c>
      <c r="K350" s="12">
        <f>J350-I350</f>
        <v>0</v>
      </c>
      <c r="L350">
        <f>IF(I350=0,IF(J350&gt;0,"New",0),(J350-I350)/I350)</f>
        <v>0</v>
      </c>
      <c r="M350" t="str">
        <f>IF(F350=0,"No 2026 Sales",IF(E350=0,"New Product",IF(AND(ISNUMBER(H350),H350&gt;0.1),"↑ Strong Growth",IF(AND(ISNUMBER(H350),H350&gt;0),"↗ Growth",IF(AND(ISNUMBER(H350),H350&lt;-0.1),"↓ Strong Decline",IF(AND(ISNUMBER(H350),H350&lt;0),"↘ Decline","→ Stable"))))))</f>
        <v>No 2026 Sales</v>
      </c>
    </row>
    <row r="351" spans="1:13" hidden="1" x14ac:dyDescent="0.35">
      <c r="A351">
        <f>Data!A352</f>
        <v>210</v>
      </c>
      <c r="B351" t="str">
        <f>Data!B352</f>
        <v>INGREDIENTS</v>
      </c>
      <c r="C351" s="9">
        <f>Data!C352</f>
        <v>51804</v>
      </c>
      <c r="D351" s="10" t="s">
        <v>1132</v>
      </c>
      <c r="E351" s="11">
        <f>SUM(Data!I352,Data!K352,Data!M352,Data!O352,Data!Q352,Data!S352,Data!U352,Data!W352,Data!Y352,Data!AA352,Data!AC352,Data!AE352,Data!AG352,Data!AI352,Data!AK352,Data!AM352,Data!AO352,Data!AQ352,Data!AS352)</f>
        <v>0</v>
      </c>
      <c r="F351" s="11">
        <f>SUM(Data!DI352,Data!DK352,Data!DM352,Data!DO352,Data!DQ352,Data!DS352,Data!DU352,Data!DW352,Data!DY352,Data!EA352,Data!EC352,Data!EE352,Data!EG352,Data!EI352,Data!EK352,Data!EM352,Data!EO352,Data!EQ352,Data!ES352)</f>
        <v>0</v>
      </c>
      <c r="G351" s="11">
        <f>F351-E351</f>
        <v>0</v>
      </c>
      <c r="H351">
        <f>IF(E351=0,IF(F351&gt;0,"New",0),(F351-E351)/E351)</f>
        <v>0</v>
      </c>
      <c r="I351" s="12">
        <f>SUM(Data!J352,Data!L352,Data!N352,Data!P352,Data!R352,Data!T352,Data!V352,Data!X352,Data!Z352,Data!AB352,Data!AD352,Data!AF352,Data!AH352,Data!AJ352,Data!AL352,Data!AN352,Data!AP352,Data!AR352,Data!AT352)</f>
        <v>0</v>
      </c>
      <c r="J351" s="12">
        <f>SUM(Data!DJ352,Data!DL352,Data!DN352,Data!DP352,Data!DR352,Data!DT352,Data!DV352,Data!DX352,Data!DZ352,Data!EB352,Data!ED352,Data!EF352,Data!EH352,Data!EJ352,Data!EL352,Data!EN352,Data!EP352,Data!ER352,Data!ET352)</f>
        <v>0</v>
      </c>
      <c r="K351" s="12">
        <f>J351-I351</f>
        <v>0</v>
      </c>
      <c r="L351">
        <f>IF(I351=0,IF(J351&gt;0,"New",0),(J351-I351)/I351)</f>
        <v>0</v>
      </c>
      <c r="M351" t="str">
        <f>IF(F351=0,"No 2026 Sales",IF(E351=0,"New Product",IF(AND(ISNUMBER(H351),H351&gt;0.1),"↑ Strong Growth",IF(AND(ISNUMBER(H351),H351&gt;0),"↗ Growth",IF(AND(ISNUMBER(H351),H351&lt;-0.1),"↓ Strong Decline",IF(AND(ISNUMBER(H351),H351&lt;0),"↘ Decline","→ Stable"))))))</f>
        <v>No 2026 Sales</v>
      </c>
    </row>
    <row r="352" spans="1:13" hidden="1" x14ac:dyDescent="0.35">
      <c r="A352">
        <f>Data!A353</f>
        <v>210</v>
      </c>
      <c r="B352" t="str">
        <f>Data!B353</f>
        <v>INGREDIENTS</v>
      </c>
      <c r="C352" s="9">
        <f>Data!C353</f>
        <v>52219</v>
      </c>
      <c r="D352" s="10" t="s">
        <v>1133</v>
      </c>
      <c r="E352" s="11">
        <f>SUM(Data!I353,Data!K353,Data!M353,Data!O353,Data!Q353,Data!S353,Data!U353,Data!W353,Data!Y353,Data!AA353,Data!AC353,Data!AE353,Data!AG353,Data!AI353,Data!AK353,Data!AM353,Data!AO353,Data!AQ353,Data!AS353)</f>
        <v>0</v>
      </c>
      <c r="F352" s="11">
        <f>SUM(Data!DI353,Data!DK353,Data!DM353,Data!DO353,Data!DQ353,Data!DS353,Data!DU353,Data!DW353,Data!DY353,Data!EA353,Data!EC353,Data!EE353,Data!EG353,Data!EI353,Data!EK353,Data!EM353,Data!EO353,Data!EQ353,Data!ES353)</f>
        <v>0</v>
      </c>
      <c r="G352" s="11">
        <f>F352-E352</f>
        <v>0</v>
      </c>
      <c r="H352">
        <f>IF(E352=0,IF(F352&gt;0,"New",0),(F352-E352)/E352)</f>
        <v>0</v>
      </c>
      <c r="I352" s="12">
        <f>SUM(Data!J353,Data!L353,Data!N353,Data!P353,Data!R353,Data!T353,Data!V353,Data!X353,Data!Z353,Data!AB353,Data!AD353,Data!AF353,Data!AH353,Data!AJ353,Data!AL353,Data!AN353,Data!AP353,Data!AR353,Data!AT353)</f>
        <v>0</v>
      </c>
      <c r="J352" s="12">
        <f>SUM(Data!DJ353,Data!DL353,Data!DN353,Data!DP353,Data!DR353,Data!DT353,Data!DV353,Data!DX353,Data!DZ353,Data!EB353,Data!ED353,Data!EF353,Data!EH353,Data!EJ353,Data!EL353,Data!EN353,Data!EP353,Data!ER353,Data!ET353)</f>
        <v>0</v>
      </c>
      <c r="K352" s="12">
        <f>J352-I352</f>
        <v>0</v>
      </c>
      <c r="L352">
        <f>IF(I352=0,IF(J352&gt;0,"New",0),(J352-I352)/I352)</f>
        <v>0</v>
      </c>
      <c r="M352" t="str">
        <f>IF(F352=0,"No 2026 Sales",IF(E352=0,"New Product",IF(AND(ISNUMBER(H352),H352&gt;0.1),"↑ Strong Growth",IF(AND(ISNUMBER(H352),H352&gt;0),"↗ Growth",IF(AND(ISNUMBER(H352),H352&lt;-0.1),"↓ Strong Decline",IF(AND(ISNUMBER(H352),H352&lt;0),"↘ Decline","→ Stable"))))))</f>
        <v>No 2026 Sales</v>
      </c>
    </row>
    <row r="353" spans="1:13" hidden="1" x14ac:dyDescent="0.35">
      <c r="A353">
        <f>Data!A354</f>
        <v>210</v>
      </c>
      <c r="B353" t="str">
        <f>Data!B354</f>
        <v>INGREDIENTS</v>
      </c>
      <c r="C353" s="9">
        <f>Data!C354</f>
        <v>53701</v>
      </c>
      <c r="D353" s="10" t="s">
        <v>1134</v>
      </c>
      <c r="E353" s="11">
        <f>SUM(Data!I354,Data!K354,Data!M354,Data!O354,Data!Q354,Data!S354,Data!U354,Data!W354,Data!Y354,Data!AA354,Data!AC354,Data!AE354,Data!AG354,Data!AI354,Data!AK354,Data!AM354,Data!AO354,Data!AQ354,Data!AS354)</f>
        <v>0</v>
      </c>
      <c r="F353" s="11">
        <f>SUM(Data!DI354,Data!DK354,Data!DM354,Data!DO354,Data!DQ354,Data!DS354,Data!DU354,Data!DW354,Data!DY354,Data!EA354,Data!EC354,Data!EE354,Data!EG354,Data!EI354,Data!EK354,Data!EM354,Data!EO354,Data!EQ354,Data!ES354)</f>
        <v>0</v>
      </c>
      <c r="G353" s="11">
        <f>F353-E353</f>
        <v>0</v>
      </c>
      <c r="H353">
        <f>IF(E353=0,IF(F353&gt;0,"New",0),(F353-E353)/E353)</f>
        <v>0</v>
      </c>
      <c r="I353" s="12">
        <f>SUM(Data!J354,Data!L354,Data!N354,Data!P354,Data!R354,Data!T354,Data!V354,Data!X354,Data!Z354,Data!AB354,Data!AD354,Data!AF354,Data!AH354,Data!AJ354,Data!AL354,Data!AN354,Data!AP354,Data!AR354,Data!AT354)</f>
        <v>0</v>
      </c>
      <c r="J353" s="12">
        <f>SUM(Data!DJ354,Data!DL354,Data!DN354,Data!DP354,Data!DR354,Data!DT354,Data!DV354,Data!DX354,Data!DZ354,Data!EB354,Data!ED354,Data!EF354,Data!EH354,Data!EJ354,Data!EL354,Data!EN354,Data!EP354,Data!ER354,Data!ET354)</f>
        <v>0</v>
      </c>
      <c r="K353" s="12">
        <f>J353-I353</f>
        <v>0</v>
      </c>
      <c r="L353">
        <f>IF(I353=0,IF(J353&gt;0,"New",0),(J353-I353)/I353)</f>
        <v>0</v>
      </c>
      <c r="M353" t="str">
        <f>IF(F353=0,"No 2026 Sales",IF(E353=0,"New Product",IF(AND(ISNUMBER(H353),H353&gt;0.1),"↑ Strong Growth",IF(AND(ISNUMBER(H353),H353&gt;0),"↗ Growth",IF(AND(ISNUMBER(H353),H353&lt;-0.1),"↓ Strong Decline",IF(AND(ISNUMBER(H353),H353&lt;0),"↘ Decline","→ Stable"))))))</f>
        <v>No 2026 Sales</v>
      </c>
    </row>
    <row r="354" spans="1:13" hidden="1" x14ac:dyDescent="0.35">
      <c r="A354">
        <f>Data!A355</f>
        <v>210</v>
      </c>
      <c r="B354" t="str">
        <f>Data!B355</f>
        <v>INGREDIENTS</v>
      </c>
      <c r="C354" s="9">
        <f>Data!C355</f>
        <v>53805</v>
      </c>
      <c r="D354" s="10" t="s">
        <v>1135</v>
      </c>
      <c r="E354" s="11">
        <f>SUM(Data!I355,Data!K355,Data!M355,Data!O355,Data!Q355,Data!S355,Data!U355,Data!W355,Data!Y355,Data!AA355,Data!AC355,Data!AE355,Data!AG355,Data!AI355,Data!AK355,Data!AM355,Data!AO355,Data!AQ355,Data!AS355)</f>
        <v>0</v>
      </c>
      <c r="F354" s="11">
        <f>SUM(Data!DI355,Data!DK355,Data!DM355,Data!DO355,Data!DQ355,Data!DS355,Data!DU355,Data!DW355,Data!DY355,Data!EA355,Data!EC355,Data!EE355,Data!EG355,Data!EI355,Data!EK355,Data!EM355,Data!EO355,Data!EQ355,Data!ES355)</f>
        <v>0</v>
      </c>
      <c r="G354" s="11">
        <f>F354-E354</f>
        <v>0</v>
      </c>
      <c r="H354">
        <f>IF(E354=0,IF(F354&gt;0,"New",0),(F354-E354)/E354)</f>
        <v>0</v>
      </c>
      <c r="I354" s="12">
        <f>SUM(Data!J355,Data!L355,Data!N355,Data!P355,Data!R355,Data!T355,Data!V355,Data!X355,Data!Z355,Data!AB355,Data!AD355,Data!AF355,Data!AH355,Data!AJ355,Data!AL355,Data!AN355,Data!AP355,Data!AR355,Data!AT355)</f>
        <v>0</v>
      </c>
      <c r="J354" s="12">
        <f>SUM(Data!DJ355,Data!DL355,Data!DN355,Data!DP355,Data!DR355,Data!DT355,Data!DV355,Data!DX355,Data!DZ355,Data!EB355,Data!ED355,Data!EF355,Data!EH355,Data!EJ355,Data!EL355,Data!EN355,Data!EP355,Data!ER355,Data!ET355)</f>
        <v>0</v>
      </c>
      <c r="K354" s="12">
        <f>J354-I354</f>
        <v>0</v>
      </c>
      <c r="L354">
        <f>IF(I354=0,IF(J354&gt;0,"New",0),(J354-I354)/I354)</f>
        <v>0</v>
      </c>
      <c r="M354" t="str">
        <f>IF(F354=0,"No 2026 Sales",IF(E354=0,"New Product",IF(AND(ISNUMBER(H354),H354&gt;0.1),"↑ Strong Growth",IF(AND(ISNUMBER(H354),H354&gt;0),"↗ Growth",IF(AND(ISNUMBER(H354),H354&lt;-0.1),"↓ Strong Decline",IF(AND(ISNUMBER(H354),H354&lt;0),"↘ Decline","→ Stable"))))))</f>
        <v>No 2026 Sales</v>
      </c>
    </row>
    <row r="355" spans="1:13" hidden="1" x14ac:dyDescent="0.35">
      <c r="A355">
        <f>Data!A356</f>
        <v>210</v>
      </c>
      <c r="B355" t="str">
        <f>Data!B356</f>
        <v>INGREDIENTS</v>
      </c>
      <c r="C355" s="9">
        <f>Data!C356</f>
        <v>55892</v>
      </c>
      <c r="D355" s="10" t="s">
        <v>1136</v>
      </c>
      <c r="E355" s="11">
        <f>SUM(Data!I356,Data!K356,Data!M356,Data!O356,Data!Q356,Data!S356,Data!U356,Data!W356,Data!Y356,Data!AA356,Data!AC356,Data!AE356,Data!AG356,Data!AI356,Data!AK356,Data!AM356,Data!AO356,Data!AQ356,Data!AS356)</f>
        <v>0</v>
      </c>
      <c r="F355" s="11">
        <f>SUM(Data!DI356,Data!DK356,Data!DM356,Data!DO356,Data!DQ356,Data!DS356,Data!DU356,Data!DW356,Data!DY356,Data!EA356,Data!EC356,Data!EE356,Data!EG356,Data!EI356,Data!EK356,Data!EM356,Data!EO356,Data!EQ356,Data!ES356)</f>
        <v>0</v>
      </c>
      <c r="G355" s="11">
        <f>F355-E355</f>
        <v>0</v>
      </c>
      <c r="H355">
        <f>IF(E355=0,IF(F355&gt;0,"New",0),(F355-E355)/E355)</f>
        <v>0</v>
      </c>
      <c r="I355" s="12">
        <f>SUM(Data!J356,Data!L356,Data!N356,Data!P356,Data!R356,Data!T356,Data!V356,Data!X356,Data!Z356,Data!AB356,Data!AD356,Data!AF356,Data!AH356,Data!AJ356,Data!AL356,Data!AN356,Data!AP356,Data!AR356,Data!AT356)</f>
        <v>0</v>
      </c>
      <c r="J355" s="12">
        <f>SUM(Data!DJ356,Data!DL356,Data!DN356,Data!DP356,Data!DR356,Data!DT356,Data!DV356,Data!DX356,Data!DZ356,Data!EB356,Data!ED356,Data!EF356,Data!EH356,Data!EJ356,Data!EL356,Data!EN356,Data!EP356,Data!ER356,Data!ET356)</f>
        <v>0</v>
      </c>
      <c r="K355" s="12">
        <f>J355-I355</f>
        <v>0</v>
      </c>
      <c r="L355">
        <f>IF(I355=0,IF(J355&gt;0,"New",0),(J355-I355)/I355)</f>
        <v>0</v>
      </c>
      <c r="M355" t="str">
        <f>IF(F355=0,"No 2026 Sales",IF(E355=0,"New Product",IF(AND(ISNUMBER(H355),H355&gt;0.1),"↑ Strong Growth",IF(AND(ISNUMBER(H355),H355&gt;0),"↗ Growth",IF(AND(ISNUMBER(H355),H355&lt;-0.1),"↓ Strong Decline",IF(AND(ISNUMBER(H355),H355&lt;0),"↘ Decline","→ Stable"))))))</f>
        <v>No 2026 Sales</v>
      </c>
    </row>
    <row r="356" spans="1:13" hidden="1" x14ac:dyDescent="0.35">
      <c r="A356">
        <f>Data!A357</f>
        <v>210</v>
      </c>
      <c r="B356" t="str">
        <f>Data!B357</f>
        <v>INGREDIENTS</v>
      </c>
      <c r="C356" s="9">
        <f>Data!C357</f>
        <v>62429</v>
      </c>
      <c r="D356" s="10" t="s">
        <v>1137</v>
      </c>
      <c r="E356" s="11">
        <f>SUM(Data!I357,Data!K357,Data!M357,Data!O357,Data!Q357,Data!S357,Data!U357,Data!W357,Data!Y357,Data!AA357,Data!AC357,Data!AE357,Data!AG357,Data!AI357,Data!AK357,Data!AM357,Data!AO357,Data!AQ357,Data!AS357)</f>
        <v>0</v>
      </c>
      <c r="F356" s="11">
        <f>SUM(Data!DI357,Data!DK357,Data!DM357,Data!DO357,Data!DQ357,Data!DS357,Data!DU357,Data!DW357,Data!DY357,Data!EA357,Data!EC357,Data!EE357,Data!EG357,Data!EI357,Data!EK357,Data!EM357,Data!EO357,Data!EQ357,Data!ES357)</f>
        <v>0</v>
      </c>
      <c r="G356" s="11">
        <f>F356-E356</f>
        <v>0</v>
      </c>
      <c r="H356">
        <f>IF(E356=0,IF(F356&gt;0,"New",0),(F356-E356)/E356)</f>
        <v>0</v>
      </c>
      <c r="I356" s="12">
        <f>SUM(Data!J357,Data!L357,Data!N357,Data!P357,Data!R357,Data!T357,Data!V357,Data!X357,Data!Z357,Data!AB357,Data!AD357,Data!AF357,Data!AH357,Data!AJ357,Data!AL357,Data!AN357,Data!AP357,Data!AR357,Data!AT357)</f>
        <v>0</v>
      </c>
      <c r="J356" s="12">
        <f>SUM(Data!DJ357,Data!DL357,Data!DN357,Data!DP357,Data!DR357,Data!DT357,Data!DV357,Data!DX357,Data!DZ357,Data!EB357,Data!ED357,Data!EF357,Data!EH357,Data!EJ357,Data!EL357,Data!EN357,Data!EP357,Data!ER357,Data!ET357)</f>
        <v>0</v>
      </c>
      <c r="K356" s="12">
        <f>J356-I356</f>
        <v>0</v>
      </c>
      <c r="L356">
        <f>IF(I356=0,IF(J356&gt;0,"New",0),(J356-I356)/I356)</f>
        <v>0</v>
      </c>
      <c r="M356" t="str">
        <f>IF(F356=0,"No 2026 Sales",IF(E356=0,"New Product",IF(AND(ISNUMBER(H356),H356&gt;0.1),"↑ Strong Growth",IF(AND(ISNUMBER(H356),H356&gt;0),"↗ Growth",IF(AND(ISNUMBER(H356),H356&lt;-0.1),"↓ Strong Decline",IF(AND(ISNUMBER(H356),H356&lt;0),"↘ Decline","→ Stable"))))))</f>
        <v>No 2026 Sales</v>
      </c>
    </row>
    <row r="357" spans="1:13" hidden="1" x14ac:dyDescent="0.35">
      <c r="A357">
        <f>Data!A358</f>
        <v>210</v>
      </c>
      <c r="B357" t="str">
        <f>Data!B358</f>
        <v>INGREDIENTS</v>
      </c>
      <c r="C357" s="9">
        <f>Data!C358</f>
        <v>63272</v>
      </c>
      <c r="D357" s="10" t="s">
        <v>1138</v>
      </c>
      <c r="E357" s="11">
        <f>SUM(Data!I358,Data!K358,Data!M358,Data!O358,Data!Q358,Data!S358,Data!U358,Data!W358,Data!Y358,Data!AA358,Data!AC358,Data!AE358,Data!AG358,Data!AI358,Data!AK358,Data!AM358,Data!AO358,Data!AQ358,Data!AS358)</f>
        <v>0</v>
      </c>
      <c r="F357" s="11">
        <f>SUM(Data!DI358,Data!DK358,Data!DM358,Data!DO358,Data!DQ358,Data!DS358,Data!DU358,Data!DW358,Data!DY358,Data!EA358,Data!EC358,Data!EE358,Data!EG358,Data!EI358,Data!EK358,Data!EM358,Data!EO358,Data!EQ358,Data!ES358)</f>
        <v>0</v>
      </c>
      <c r="G357" s="11">
        <f>F357-E357</f>
        <v>0</v>
      </c>
      <c r="H357">
        <f>IF(E357=0,IF(F357&gt;0,"New",0),(F357-E357)/E357)</f>
        <v>0</v>
      </c>
      <c r="I357" s="12">
        <f>SUM(Data!J358,Data!L358,Data!N358,Data!P358,Data!R358,Data!T358,Data!V358,Data!X358,Data!Z358,Data!AB358,Data!AD358,Data!AF358,Data!AH358,Data!AJ358,Data!AL358,Data!AN358,Data!AP358,Data!AR358,Data!AT358)</f>
        <v>0</v>
      </c>
      <c r="J357" s="12">
        <f>SUM(Data!DJ358,Data!DL358,Data!DN358,Data!DP358,Data!DR358,Data!DT358,Data!DV358,Data!DX358,Data!DZ358,Data!EB358,Data!ED358,Data!EF358,Data!EH358,Data!EJ358,Data!EL358,Data!EN358,Data!EP358,Data!ER358,Data!ET358)</f>
        <v>0</v>
      </c>
      <c r="K357" s="12">
        <f>J357-I357</f>
        <v>0</v>
      </c>
      <c r="L357">
        <f>IF(I357=0,IF(J357&gt;0,"New",0),(J357-I357)/I357)</f>
        <v>0</v>
      </c>
      <c r="M357" t="str">
        <f>IF(F357=0,"No 2026 Sales",IF(E357=0,"New Product",IF(AND(ISNUMBER(H357),H357&gt;0.1),"↑ Strong Growth",IF(AND(ISNUMBER(H357),H357&gt;0),"↗ Growth",IF(AND(ISNUMBER(H357),H357&lt;-0.1),"↓ Strong Decline",IF(AND(ISNUMBER(H357),H357&lt;0),"↘ Decline","→ Stable"))))))</f>
        <v>No 2026 Sales</v>
      </c>
    </row>
    <row r="358" spans="1:13" hidden="1" x14ac:dyDescent="0.35">
      <c r="A358">
        <f>Data!A359</f>
        <v>210</v>
      </c>
      <c r="B358" t="str">
        <f>Data!B359</f>
        <v>INGREDIENTS</v>
      </c>
      <c r="C358" s="9">
        <f>Data!C359</f>
        <v>63273</v>
      </c>
      <c r="D358" s="10" t="s">
        <v>1139</v>
      </c>
      <c r="E358" s="11">
        <f>SUM(Data!I359,Data!K359,Data!M359,Data!O359,Data!Q359,Data!S359,Data!U359,Data!W359,Data!Y359,Data!AA359,Data!AC359,Data!AE359,Data!AG359,Data!AI359,Data!AK359,Data!AM359,Data!AO359,Data!AQ359,Data!AS359)</f>
        <v>0</v>
      </c>
      <c r="F358" s="11">
        <f>SUM(Data!DI359,Data!DK359,Data!DM359,Data!DO359,Data!DQ359,Data!DS359,Data!DU359,Data!DW359,Data!DY359,Data!EA359,Data!EC359,Data!EE359,Data!EG359,Data!EI359,Data!EK359,Data!EM359,Data!EO359,Data!EQ359,Data!ES359)</f>
        <v>0</v>
      </c>
      <c r="G358" s="11">
        <f>F358-E358</f>
        <v>0</v>
      </c>
      <c r="H358">
        <f>IF(E358=0,IF(F358&gt;0,"New",0),(F358-E358)/E358)</f>
        <v>0</v>
      </c>
      <c r="I358" s="12">
        <f>SUM(Data!J359,Data!L359,Data!N359,Data!P359,Data!R359,Data!T359,Data!V359,Data!X359,Data!Z359,Data!AB359,Data!AD359,Data!AF359,Data!AH359,Data!AJ359,Data!AL359,Data!AN359,Data!AP359,Data!AR359,Data!AT359)</f>
        <v>0</v>
      </c>
      <c r="J358" s="12">
        <f>SUM(Data!DJ359,Data!DL359,Data!DN359,Data!DP359,Data!DR359,Data!DT359,Data!DV359,Data!DX359,Data!DZ359,Data!EB359,Data!ED359,Data!EF359,Data!EH359,Data!EJ359,Data!EL359,Data!EN359,Data!EP359,Data!ER359,Data!ET359)</f>
        <v>0</v>
      </c>
      <c r="K358" s="12">
        <f>J358-I358</f>
        <v>0</v>
      </c>
      <c r="L358">
        <f>IF(I358=0,IF(J358&gt;0,"New",0),(J358-I358)/I358)</f>
        <v>0</v>
      </c>
      <c r="M358" t="str">
        <f>IF(F358=0,"No 2026 Sales",IF(E358=0,"New Product",IF(AND(ISNUMBER(H358),H358&gt;0.1),"↑ Strong Growth",IF(AND(ISNUMBER(H358),H358&gt;0),"↗ Growth",IF(AND(ISNUMBER(H358),H358&lt;-0.1),"↓ Strong Decline",IF(AND(ISNUMBER(H358),H358&lt;0),"↘ Decline","→ Stable"))))))</f>
        <v>No 2026 Sales</v>
      </c>
    </row>
    <row r="359" spans="1:13" hidden="1" x14ac:dyDescent="0.35">
      <c r="A359">
        <f>Data!A360</f>
        <v>210</v>
      </c>
      <c r="B359" t="str">
        <f>Data!B360</f>
        <v>INGREDIENTS</v>
      </c>
      <c r="C359" s="9">
        <f>Data!C360</f>
        <v>63274</v>
      </c>
      <c r="D359" s="10" t="s">
        <v>1140</v>
      </c>
      <c r="E359" s="11">
        <f>SUM(Data!I360,Data!K360,Data!M360,Data!O360,Data!Q360,Data!S360,Data!U360,Data!W360,Data!Y360,Data!AA360,Data!AC360,Data!AE360,Data!AG360,Data!AI360,Data!AK360,Data!AM360,Data!AO360,Data!AQ360,Data!AS360)</f>
        <v>0</v>
      </c>
      <c r="F359" s="11">
        <f>SUM(Data!DI360,Data!DK360,Data!DM360,Data!DO360,Data!DQ360,Data!DS360,Data!DU360,Data!DW360,Data!DY360,Data!EA360,Data!EC360,Data!EE360,Data!EG360,Data!EI360,Data!EK360,Data!EM360,Data!EO360,Data!EQ360,Data!ES360)</f>
        <v>0</v>
      </c>
      <c r="G359" s="11">
        <f>F359-E359</f>
        <v>0</v>
      </c>
      <c r="H359">
        <f>IF(E359=0,IF(F359&gt;0,"New",0),(F359-E359)/E359)</f>
        <v>0</v>
      </c>
      <c r="I359" s="12">
        <f>SUM(Data!J360,Data!L360,Data!N360,Data!P360,Data!R360,Data!T360,Data!V360,Data!X360,Data!Z360,Data!AB360,Data!AD360,Data!AF360,Data!AH360,Data!AJ360,Data!AL360,Data!AN360,Data!AP360,Data!AR360,Data!AT360)</f>
        <v>0</v>
      </c>
      <c r="J359" s="12">
        <f>SUM(Data!DJ360,Data!DL360,Data!DN360,Data!DP360,Data!DR360,Data!DT360,Data!DV360,Data!DX360,Data!DZ360,Data!EB360,Data!ED360,Data!EF360,Data!EH360,Data!EJ360,Data!EL360,Data!EN360,Data!EP360,Data!ER360,Data!ET360)</f>
        <v>0</v>
      </c>
      <c r="K359" s="12">
        <f>J359-I359</f>
        <v>0</v>
      </c>
      <c r="L359">
        <f>IF(I359=0,IF(J359&gt;0,"New",0),(J359-I359)/I359)</f>
        <v>0</v>
      </c>
      <c r="M359" t="str">
        <f>IF(F359=0,"No 2026 Sales",IF(E359=0,"New Product",IF(AND(ISNUMBER(H359),H359&gt;0.1),"↑ Strong Growth",IF(AND(ISNUMBER(H359),H359&gt;0),"↗ Growth",IF(AND(ISNUMBER(H359),H359&lt;-0.1),"↓ Strong Decline",IF(AND(ISNUMBER(H359),H359&lt;0),"↘ Decline","→ Stable"))))))</f>
        <v>No 2026 Sales</v>
      </c>
    </row>
    <row r="360" spans="1:13" hidden="1" x14ac:dyDescent="0.35">
      <c r="A360">
        <f>Data!A361</f>
        <v>210</v>
      </c>
      <c r="B360" t="str">
        <f>Data!B361</f>
        <v>INGREDIENTS</v>
      </c>
      <c r="C360" s="9">
        <f>Data!C361</f>
        <v>63361</v>
      </c>
      <c r="D360" s="10" t="s">
        <v>1141</v>
      </c>
      <c r="E360" s="11">
        <f>SUM(Data!I361,Data!K361,Data!M361,Data!O361,Data!Q361,Data!S361,Data!U361,Data!W361,Data!Y361,Data!AA361,Data!AC361,Data!AE361,Data!AG361,Data!AI361,Data!AK361,Data!AM361,Data!AO361,Data!AQ361,Data!AS361)</f>
        <v>0</v>
      </c>
      <c r="F360" s="11">
        <f>SUM(Data!DI361,Data!DK361,Data!DM361,Data!DO361,Data!DQ361,Data!DS361,Data!DU361,Data!DW361,Data!DY361,Data!EA361,Data!EC361,Data!EE361,Data!EG361,Data!EI361,Data!EK361,Data!EM361,Data!EO361,Data!EQ361,Data!ES361)</f>
        <v>0</v>
      </c>
      <c r="G360" s="11">
        <f>F360-E360</f>
        <v>0</v>
      </c>
      <c r="H360">
        <f>IF(E360=0,IF(F360&gt;0,"New",0),(F360-E360)/E360)</f>
        <v>0</v>
      </c>
      <c r="I360" s="12">
        <f>SUM(Data!J361,Data!L361,Data!N361,Data!P361,Data!R361,Data!T361,Data!V361,Data!X361,Data!Z361,Data!AB361,Data!AD361,Data!AF361,Data!AH361,Data!AJ361,Data!AL361,Data!AN361,Data!AP361,Data!AR361,Data!AT361)</f>
        <v>0</v>
      </c>
      <c r="J360" s="12">
        <f>SUM(Data!DJ361,Data!DL361,Data!DN361,Data!DP361,Data!DR361,Data!DT361,Data!DV361,Data!DX361,Data!DZ361,Data!EB361,Data!ED361,Data!EF361,Data!EH361,Data!EJ361,Data!EL361,Data!EN361,Data!EP361,Data!ER361,Data!ET361)</f>
        <v>0</v>
      </c>
      <c r="K360" s="12">
        <f>J360-I360</f>
        <v>0</v>
      </c>
      <c r="L360">
        <f>IF(I360=0,IF(J360&gt;0,"New",0),(J360-I360)/I360)</f>
        <v>0</v>
      </c>
      <c r="M360" t="str">
        <f>IF(F360=0,"No 2026 Sales",IF(E360=0,"New Product",IF(AND(ISNUMBER(H360),H360&gt;0.1),"↑ Strong Growth",IF(AND(ISNUMBER(H360),H360&gt;0),"↗ Growth",IF(AND(ISNUMBER(H360),H360&lt;-0.1),"↓ Strong Decline",IF(AND(ISNUMBER(H360),H360&lt;0),"↘ Decline","→ Stable"))))))</f>
        <v>No 2026 Sales</v>
      </c>
    </row>
    <row r="361" spans="1:13" hidden="1" x14ac:dyDescent="0.35">
      <c r="A361">
        <f>Data!A362</f>
        <v>210</v>
      </c>
      <c r="B361" t="str">
        <f>Data!B362</f>
        <v>INGREDIENTS</v>
      </c>
      <c r="C361" s="9">
        <f>Data!C362</f>
        <v>63362</v>
      </c>
      <c r="D361" s="10" t="s">
        <v>1142</v>
      </c>
      <c r="E361" s="11">
        <f>SUM(Data!I362,Data!K362,Data!M362,Data!O362,Data!Q362,Data!S362,Data!U362,Data!W362,Data!Y362,Data!AA362,Data!AC362,Data!AE362,Data!AG362,Data!AI362,Data!AK362,Data!AM362,Data!AO362,Data!AQ362,Data!AS362)</f>
        <v>0</v>
      </c>
      <c r="F361" s="11">
        <f>SUM(Data!DI362,Data!DK362,Data!DM362,Data!DO362,Data!DQ362,Data!DS362,Data!DU362,Data!DW362,Data!DY362,Data!EA362,Data!EC362,Data!EE362,Data!EG362,Data!EI362,Data!EK362,Data!EM362,Data!EO362,Data!EQ362,Data!ES362)</f>
        <v>0</v>
      </c>
      <c r="G361" s="11">
        <f>F361-E361</f>
        <v>0</v>
      </c>
      <c r="H361">
        <f>IF(E361=0,IF(F361&gt;0,"New",0),(F361-E361)/E361)</f>
        <v>0</v>
      </c>
      <c r="I361" s="12">
        <f>SUM(Data!J362,Data!L362,Data!N362,Data!P362,Data!R362,Data!T362,Data!V362,Data!X362,Data!Z362,Data!AB362,Data!AD362,Data!AF362,Data!AH362,Data!AJ362,Data!AL362,Data!AN362,Data!AP362,Data!AR362,Data!AT362)</f>
        <v>0</v>
      </c>
      <c r="J361" s="12">
        <f>SUM(Data!DJ362,Data!DL362,Data!DN362,Data!DP362,Data!DR362,Data!DT362,Data!DV362,Data!DX362,Data!DZ362,Data!EB362,Data!ED362,Data!EF362,Data!EH362,Data!EJ362,Data!EL362,Data!EN362,Data!EP362,Data!ER362,Data!ET362)</f>
        <v>0</v>
      </c>
      <c r="K361" s="12">
        <f>J361-I361</f>
        <v>0</v>
      </c>
      <c r="L361">
        <f>IF(I361=0,IF(J361&gt;0,"New",0),(J361-I361)/I361)</f>
        <v>0</v>
      </c>
      <c r="M361" t="str">
        <f>IF(F361=0,"No 2026 Sales",IF(E361=0,"New Product",IF(AND(ISNUMBER(H361),H361&gt;0.1),"↑ Strong Growth",IF(AND(ISNUMBER(H361),H361&gt;0),"↗ Growth",IF(AND(ISNUMBER(H361),H361&lt;-0.1),"↓ Strong Decline",IF(AND(ISNUMBER(H361),H361&lt;0),"↘ Decline","→ Stable"))))))</f>
        <v>No 2026 Sales</v>
      </c>
    </row>
    <row r="362" spans="1:13" hidden="1" x14ac:dyDescent="0.35">
      <c r="A362">
        <f>Data!A363</f>
        <v>210</v>
      </c>
      <c r="B362" t="str">
        <f>Data!B363</f>
        <v>INGREDIENTS</v>
      </c>
      <c r="C362" s="9">
        <f>Data!C363</f>
        <v>63397</v>
      </c>
      <c r="D362" s="10" t="s">
        <v>1143</v>
      </c>
      <c r="E362" s="11">
        <f>SUM(Data!I363,Data!K363,Data!M363,Data!O363,Data!Q363,Data!S363,Data!U363,Data!W363,Data!Y363,Data!AA363,Data!AC363,Data!AE363,Data!AG363,Data!AI363,Data!AK363,Data!AM363,Data!AO363,Data!AQ363,Data!AS363)</f>
        <v>0</v>
      </c>
      <c r="F362" s="11">
        <f>SUM(Data!DI363,Data!DK363,Data!DM363,Data!DO363,Data!DQ363,Data!DS363,Data!DU363,Data!DW363,Data!DY363,Data!EA363,Data!EC363,Data!EE363,Data!EG363,Data!EI363,Data!EK363,Data!EM363,Data!EO363,Data!EQ363,Data!ES363)</f>
        <v>0</v>
      </c>
      <c r="G362" s="11">
        <f>F362-E362</f>
        <v>0</v>
      </c>
      <c r="H362">
        <f>IF(E362=0,IF(F362&gt;0,"New",0),(F362-E362)/E362)</f>
        <v>0</v>
      </c>
      <c r="I362" s="12">
        <f>SUM(Data!J363,Data!L363,Data!N363,Data!P363,Data!R363,Data!T363,Data!V363,Data!X363,Data!Z363,Data!AB363,Data!AD363,Data!AF363,Data!AH363,Data!AJ363,Data!AL363,Data!AN363,Data!AP363,Data!AR363,Data!AT363)</f>
        <v>0</v>
      </c>
      <c r="J362" s="12">
        <f>SUM(Data!DJ363,Data!DL363,Data!DN363,Data!DP363,Data!DR363,Data!DT363,Data!DV363,Data!DX363,Data!DZ363,Data!EB363,Data!ED363,Data!EF363,Data!EH363,Data!EJ363,Data!EL363,Data!EN363,Data!EP363,Data!ER363,Data!ET363)</f>
        <v>0</v>
      </c>
      <c r="K362" s="12">
        <f>J362-I362</f>
        <v>0</v>
      </c>
      <c r="L362">
        <f>IF(I362=0,IF(J362&gt;0,"New",0),(J362-I362)/I362)</f>
        <v>0</v>
      </c>
      <c r="M362" t="str">
        <f>IF(F362=0,"No 2026 Sales",IF(E362=0,"New Product",IF(AND(ISNUMBER(H362),H362&gt;0.1),"↑ Strong Growth",IF(AND(ISNUMBER(H362),H362&gt;0),"↗ Growth",IF(AND(ISNUMBER(H362),H362&lt;-0.1),"↓ Strong Decline",IF(AND(ISNUMBER(H362),H362&lt;0),"↘ Decline","→ Stable"))))))</f>
        <v>No 2026 Sales</v>
      </c>
    </row>
    <row r="363" spans="1:13" hidden="1" x14ac:dyDescent="0.35">
      <c r="A363">
        <f>Data!A364</f>
        <v>210</v>
      </c>
      <c r="B363" t="str">
        <f>Data!B364</f>
        <v>INGREDIENTS</v>
      </c>
      <c r="C363" s="9">
        <f>Data!C364</f>
        <v>63465</v>
      </c>
      <c r="D363" s="10" t="s">
        <v>1144</v>
      </c>
      <c r="E363" s="11">
        <f>SUM(Data!I364,Data!K364,Data!M364,Data!O364,Data!Q364,Data!S364,Data!U364,Data!W364,Data!Y364,Data!AA364,Data!AC364,Data!AE364,Data!AG364,Data!AI364,Data!AK364,Data!AM364,Data!AO364,Data!AQ364,Data!AS364)</f>
        <v>0</v>
      </c>
      <c r="F363" s="11">
        <f>SUM(Data!DI364,Data!DK364,Data!DM364,Data!DO364,Data!DQ364,Data!DS364,Data!DU364,Data!DW364,Data!DY364,Data!EA364,Data!EC364,Data!EE364,Data!EG364,Data!EI364,Data!EK364,Data!EM364,Data!EO364,Data!EQ364,Data!ES364)</f>
        <v>0</v>
      </c>
      <c r="G363" s="11">
        <f>F363-E363</f>
        <v>0</v>
      </c>
      <c r="H363">
        <f>IF(E363=0,IF(F363&gt;0,"New",0),(F363-E363)/E363)</f>
        <v>0</v>
      </c>
      <c r="I363" s="12">
        <f>SUM(Data!J364,Data!L364,Data!N364,Data!P364,Data!R364,Data!T364,Data!V364,Data!X364,Data!Z364,Data!AB364,Data!AD364,Data!AF364,Data!AH364,Data!AJ364,Data!AL364,Data!AN364,Data!AP364,Data!AR364,Data!AT364)</f>
        <v>0</v>
      </c>
      <c r="J363" s="12">
        <f>SUM(Data!DJ364,Data!DL364,Data!DN364,Data!DP364,Data!DR364,Data!DT364,Data!DV364,Data!DX364,Data!DZ364,Data!EB364,Data!ED364,Data!EF364,Data!EH364,Data!EJ364,Data!EL364,Data!EN364,Data!EP364,Data!ER364,Data!ET364)</f>
        <v>0</v>
      </c>
      <c r="K363" s="12">
        <f>J363-I363</f>
        <v>0</v>
      </c>
      <c r="L363">
        <f>IF(I363=0,IF(J363&gt;0,"New",0),(J363-I363)/I363)</f>
        <v>0</v>
      </c>
      <c r="M363" t="str">
        <f>IF(F363=0,"No 2026 Sales",IF(E363=0,"New Product",IF(AND(ISNUMBER(H363),H363&gt;0.1),"↑ Strong Growth",IF(AND(ISNUMBER(H363),H363&gt;0),"↗ Growth",IF(AND(ISNUMBER(H363),H363&lt;-0.1),"↓ Strong Decline",IF(AND(ISNUMBER(H363),H363&lt;0),"↘ Decline","→ Stable"))))))</f>
        <v>No 2026 Sales</v>
      </c>
    </row>
    <row r="364" spans="1:13" x14ac:dyDescent="0.35">
      <c r="A364">
        <f>Data!A365</f>
        <v>210</v>
      </c>
      <c r="B364" t="str">
        <f>Data!B365</f>
        <v>INGREDIENTS</v>
      </c>
      <c r="C364" s="9">
        <f>Data!C365</f>
        <v>63498</v>
      </c>
      <c r="D364" s="10" t="s">
        <v>1145</v>
      </c>
      <c r="E364" s="11">
        <f>SUM(Data!I365,Data!K365,Data!M365,Data!O365,Data!Q365,Data!S365,Data!U365,Data!W365,Data!Y365,Data!AA365,Data!AC365,Data!AE365,Data!AG365,Data!AI365,Data!AK365,Data!AM365,Data!AO365,Data!AQ365,Data!AS365)</f>
        <v>0</v>
      </c>
      <c r="F364" s="11">
        <f>SUM(Data!DI365,Data!DK365,Data!DM365,Data!DO365,Data!DQ365,Data!DS365,Data!DU365,Data!DW365,Data!DY365,Data!EA365,Data!EC365,Data!EE365,Data!EG365,Data!EI365,Data!EK365,Data!EM365,Data!EO365,Data!EQ365,Data!ES365)</f>
        <v>17990.07826086957</v>
      </c>
      <c r="G364" s="11">
        <f>F364-E364</f>
        <v>17990.07826086957</v>
      </c>
      <c r="H364" s="13" t="str">
        <f>IF(E364=0,IF(F364&gt;0,"New",0),(F364-E364)/E364)</f>
        <v>New</v>
      </c>
      <c r="I364" s="12">
        <f>SUM(Data!J365,Data!L365,Data!N365,Data!P365,Data!R365,Data!T365,Data!V365,Data!X365,Data!Z365,Data!AB365,Data!AD365,Data!AF365,Data!AH365,Data!AJ365,Data!AL365,Data!AN365,Data!AP365,Data!AR365,Data!AT365)</f>
        <v>0</v>
      </c>
      <c r="J364" s="12">
        <f>SUM(Data!DJ365,Data!DL365,Data!DN365,Data!DP365,Data!DR365,Data!DT365,Data!DV365,Data!DX365,Data!DZ365,Data!EB365,Data!ED365,Data!EF365,Data!EH365,Data!EJ365,Data!EL365,Data!EN365,Data!EP365,Data!ER365,Data!ET365)</f>
        <v>159.48599999999999</v>
      </c>
      <c r="K364" s="12">
        <f>J364-I364</f>
        <v>159.48599999999999</v>
      </c>
      <c r="L364" s="13" t="str">
        <f>IF(I364=0,IF(J364&gt;0,"New",0),(J364-I364)/I364)</f>
        <v>New</v>
      </c>
      <c r="M364" t="str">
        <f>IF(F364=0,"No 2026 Sales",IF(E364=0,"New Product",IF(AND(ISNUMBER(H364),H364&gt;0.1),"↑ Strong Growth",IF(AND(ISNUMBER(H364),H364&gt;0),"↗ Growth",IF(AND(ISNUMBER(H364),H364&lt;-0.1),"↓ Strong Decline",IF(AND(ISNUMBER(H364),H364&lt;0),"↘ Decline","→ Stable"))))))</f>
        <v>New Product</v>
      </c>
    </row>
    <row r="365" spans="1:13" hidden="1" x14ac:dyDescent="0.35">
      <c r="A365">
        <f>Data!A366</f>
        <v>210</v>
      </c>
      <c r="B365" t="str">
        <f>Data!B366</f>
        <v>INGREDIENTS</v>
      </c>
      <c r="C365" s="9">
        <f>Data!C366</f>
        <v>63722</v>
      </c>
      <c r="D365" s="10" t="s">
        <v>1146</v>
      </c>
      <c r="E365" s="11">
        <f>SUM(Data!I366,Data!K366,Data!M366,Data!O366,Data!Q366,Data!S366,Data!U366,Data!W366,Data!Y366,Data!AA366,Data!AC366,Data!AE366,Data!AG366,Data!AI366,Data!AK366,Data!AM366,Data!AO366,Data!AQ366,Data!AS366)</f>
        <v>0</v>
      </c>
      <c r="F365" s="11">
        <f>SUM(Data!DI366,Data!DK366,Data!DM366,Data!DO366,Data!DQ366,Data!DS366,Data!DU366,Data!DW366,Data!DY366,Data!EA366,Data!EC366,Data!EE366,Data!EG366,Data!EI366,Data!EK366,Data!EM366,Data!EO366,Data!EQ366,Data!ES366)</f>
        <v>0</v>
      </c>
      <c r="G365" s="11">
        <f>F365-E365</f>
        <v>0</v>
      </c>
      <c r="H365">
        <f>IF(E365=0,IF(F365&gt;0,"New",0),(F365-E365)/E365)</f>
        <v>0</v>
      </c>
      <c r="I365" s="12">
        <f>SUM(Data!J366,Data!L366,Data!N366,Data!P366,Data!R366,Data!T366,Data!V366,Data!X366,Data!Z366,Data!AB366,Data!AD366,Data!AF366,Data!AH366,Data!AJ366,Data!AL366,Data!AN366,Data!AP366,Data!AR366,Data!AT366)</f>
        <v>0</v>
      </c>
      <c r="J365" s="12">
        <f>SUM(Data!DJ366,Data!DL366,Data!DN366,Data!DP366,Data!DR366,Data!DT366,Data!DV366,Data!DX366,Data!DZ366,Data!EB366,Data!ED366,Data!EF366,Data!EH366,Data!EJ366,Data!EL366,Data!EN366,Data!EP366,Data!ER366,Data!ET366)</f>
        <v>0</v>
      </c>
      <c r="K365" s="12">
        <f>J365-I365</f>
        <v>0</v>
      </c>
      <c r="L365">
        <f>IF(I365=0,IF(J365&gt;0,"New",0),(J365-I365)/I365)</f>
        <v>0</v>
      </c>
      <c r="M365" t="str">
        <f>IF(F365=0,"No 2026 Sales",IF(E365=0,"New Product",IF(AND(ISNUMBER(H365),H365&gt;0.1),"↑ Strong Growth",IF(AND(ISNUMBER(H365),H365&gt;0),"↗ Growth",IF(AND(ISNUMBER(H365),H365&lt;-0.1),"↓ Strong Decline",IF(AND(ISNUMBER(H365),H365&lt;0),"↘ Decline","→ Stable"))))))</f>
        <v>No 2026 Sales</v>
      </c>
    </row>
    <row r="366" spans="1:13" hidden="1" x14ac:dyDescent="0.35">
      <c r="A366">
        <f>Data!A367</f>
        <v>210</v>
      </c>
      <c r="B366" t="str">
        <f>Data!B367</f>
        <v>INGREDIENTS</v>
      </c>
      <c r="C366" s="9">
        <f>Data!C367</f>
        <v>63723</v>
      </c>
      <c r="D366" s="10" t="s">
        <v>1147</v>
      </c>
      <c r="E366" s="11">
        <f>SUM(Data!I367,Data!K367,Data!M367,Data!O367,Data!Q367,Data!S367,Data!U367,Data!W367,Data!Y367,Data!AA367,Data!AC367,Data!AE367,Data!AG367,Data!AI367,Data!AK367,Data!AM367,Data!AO367,Data!AQ367,Data!AS367)</f>
        <v>0</v>
      </c>
      <c r="F366" s="11">
        <f>SUM(Data!DI367,Data!DK367,Data!DM367,Data!DO367,Data!DQ367,Data!DS367,Data!DU367,Data!DW367,Data!DY367,Data!EA367,Data!EC367,Data!EE367,Data!EG367,Data!EI367,Data!EK367,Data!EM367,Data!EO367,Data!EQ367,Data!ES367)</f>
        <v>0</v>
      </c>
      <c r="G366" s="11">
        <f>F366-E366</f>
        <v>0</v>
      </c>
      <c r="H366">
        <f>IF(E366=0,IF(F366&gt;0,"New",0),(F366-E366)/E366)</f>
        <v>0</v>
      </c>
      <c r="I366" s="12">
        <f>SUM(Data!J367,Data!L367,Data!N367,Data!P367,Data!R367,Data!T367,Data!V367,Data!X367,Data!Z367,Data!AB367,Data!AD367,Data!AF367,Data!AH367,Data!AJ367,Data!AL367,Data!AN367,Data!AP367,Data!AR367,Data!AT367)</f>
        <v>0</v>
      </c>
      <c r="J366" s="12">
        <f>SUM(Data!DJ367,Data!DL367,Data!DN367,Data!DP367,Data!DR367,Data!DT367,Data!DV367,Data!DX367,Data!DZ367,Data!EB367,Data!ED367,Data!EF367,Data!EH367,Data!EJ367,Data!EL367,Data!EN367,Data!EP367,Data!ER367,Data!ET367)</f>
        <v>0</v>
      </c>
      <c r="K366" s="12">
        <f>J366-I366</f>
        <v>0</v>
      </c>
      <c r="L366">
        <f>IF(I366=0,IF(J366&gt;0,"New",0),(J366-I366)/I366)</f>
        <v>0</v>
      </c>
      <c r="M366" t="str">
        <f>IF(F366=0,"No 2026 Sales",IF(E366=0,"New Product",IF(AND(ISNUMBER(H366),H366&gt;0.1),"↑ Strong Growth",IF(AND(ISNUMBER(H366),H366&gt;0),"↗ Growth",IF(AND(ISNUMBER(H366),H366&lt;-0.1),"↓ Strong Decline",IF(AND(ISNUMBER(H366),H366&lt;0),"↘ Decline","→ Stable"))))))</f>
        <v>No 2026 Sales</v>
      </c>
    </row>
    <row r="367" spans="1:13" hidden="1" x14ac:dyDescent="0.35">
      <c r="A367">
        <f>Data!A368</f>
        <v>210</v>
      </c>
      <c r="B367" t="str">
        <f>Data!B368</f>
        <v>INGREDIENTS</v>
      </c>
      <c r="C367" s="9">
        <f>Data!C368</f>
        <v>65437</v>
      </c>
      <c r="D367" s="10" t="s">
        <v>1148</v>
      </c>
      <c r="E367" s="11">
        <f>SUM(Data!I368,Data!K368,Data!M368,Data!O368,Data!Q368,Data!S368,Data!U368,Data!W368,Data!Y368,Data!AA368,Data!AC368,Data!AE368,Data!AG368,Data!AI368,Data!AK368,Data!AM368,Data!AO368,Data!AQ368,Data!AS368)</f>
        <v>0</v>
      </c>
      <c r="F367" s="11">
        <f>SUM(Data!DI368,Data!DK368,Data!DM368,Data!DO368,Data!DQ368,Data!DS368,Data!DU368,Data!DW368,Data!DY368,Data!EA368,Data!EC368,Data!EE368,Data!EG368,Data!EI368,Data!EK368,Data!EM368,Data!EO368,Data!EQ368,Data!ES368)</f>
        <v>0</v>
      </c>
      <c r="G367" s="11">
        <f>F367-E367</f>
        <v>0</v>
      </c>
      <c r="H367">
        <f>IF(E367=0,IF(F367&gt;0,"New",0),(F367-E367)/E367)</f>
        <v>0</v>
      </c>
      <c r="I367" s="12">
        <f>SUM(Data!J368,Data!L368,Data!N368,Data!P368,Data!R368,Data!T368,Data!V368,Data!X368,Data!Z368,Data!AB368,Data!AD368,Data!AF368,Data!AH368,Data!AJ368,Data!AL368,Data!AN368,Data!AP368,Data!AR368,Data!AT368)</f>
        <v>0</v>
      </c>
      <c r="J367" s="12">
        <f>SUM(Data!DJ368,Data!DL368,Data!DN368,Data!DP368,Data!DR368,Data!DT368,Data!DV368,Data!DX368,Data!DZ368,Data!EB368,Data!ED368,Data!EF368,Data!EH368,Data!EJ368,Data!EL368,Data!EN368,Data!EP368,Data!ER368,Data!ET368)</f>
        <v>0</v>
      </c>
      <c r="K367" s="12">
        <f>J367-I367</f>
        <v>0</v>
      </c>
      <c r="L367">
        <f>IF(I367=0,IF(J367&gt;0,"New",0),(J367-I367)/I367)</f>
        <v>0</v>
      </c>
      <c r="M367" t="str">
        <f>IF(F367=0,"No 2026 Sales",IF(E367=0,"New Product",IF(AND(ISNUMBER(H367),H367&gt;0.1),"↑ Strong Growth",IF(AND(ISNUMBER(H367),H367&gt;0),"↗ Growth",IF(AND(ISNUMBER(H367),H367&lt;-0.1),"↓ Strong Decline",IF(AND(ISNUMBER(H367),H367&lt;0),"↘ Decline","→ Stable"))))))</f>
        <v>No 2026 Sales</v>
      </c>
    </row>
    <row r="368" spans="1:13" hidden="1" x14ac:dyDescent="0.35">
      <c r="A368">
        <f>Data!A369</f>
        <v>210</v>
      </c>
      <c r="B368" t="str">
        <f>Data!B369</f>
        <v>INGREDIENTS</v>
      </c>
      <c r="C368" s="9">
        <f>Data!C369</f>
        <v>66557</v>
      </c>
      <c r="D368" s="10" t="s">
        <v>1149</v>
      </c>
      <c r="E368" s="11">
        <f>SUM(Data!I369,Data!K369,Data!M369,Data!O369,Data!Q369,Data!S369,Data!U369,Data!W369,Data!Y369,Data!AA369,Data!AC369,Data!AE369,Data!AG369,Data!AI369,Data!AK369,Data!AM369,Data!AO369,Data!AQ369,Data!AS369)</f>
        <v>0</v>
      </c>
      <c r="F368" s="11">
        <f>SUM(Data!DI369,Data!DK369,Data!DM369,Data!DO369,Data!DQ369,Data!DS369,Data!DU369,Data!DW369,Data!DY369,Data!EA369,Data!EC369,Data!EE369,Data!EG369,Data!EI369,Data!EK369,Data!EM369,Data!EO369,Data!EQ369,Data!ES369)</f>
        <v>0</v>
      </c>
      <c r="G368" s="11">
        <f>F368-E368</f>
        <v>0</v>
      </c>
      <c r="H368">
        <f>IF(E368=0,IF(F368&gt;0,"New",0),(F368-E368)/E368)</f>
        <v>0</v>
      </c>
      <c r="I368" s="12">
        <f>SUM(Data!J369,Data!L369,Data!N369,Data!P369,Data!R369,Data!T369,Data!V369,Data!X369,Data!Z369,Data!AB369,Data!AD369,Data!AF369,Data!AH369,Data!AJ369,Data!AL369,Data!AN369,Data!AP369,Data!AR369,Data!AT369)</f>
        <v>0</v>
      </c>
      <c r="J368" s="12">
        <f>SUM(Data!DJ369,Data!DL369,Data!DN369,Data!DP369,Data!DR369,Data!DT369,Data!DV369,Data!DX369,Data!DZ369,Data!EB369,Data!ED369,Data!EF369,Data!EH369,Data!EJ369,Data!EL369,Data!EN369,Data!EP369,Data!ER369,Data!ET369)</f>
        <v>0</v>
      </c>
      <c r="K368" s="12">
        <f>J368-I368</f>
        <v>0</v>
      </c>
      <c r="L368">
        <f>IF(I368=0,IF(J368&gt;0,"New",0),(J368-I368)/I368)</f>
        <v>0</v>
      </c>
      <c r="M368" t="str">
        <f>IF(F368=0,"No 2026 Sales",IF(E368=0,"New Product",IF(AND(ISNUMBER(H368),H368&gt;0.1),"↑ Strong Growth",IF(AND(ISNUMBER(H368),H368&gt;0),"↗ Growth",IF(AND(ISNUMBER(H368),H368&lt;-0.1),"↓ Strong Decline",IF(AND(ISNUMBER(H368),H368&lt;0),"↘ Decline","→ Stable"))))))</f>
        <v>No 2026 Sales</v>
      </c>
    </row>
    <row r="369" spans="1:13" hidden="1" x14ac:dyDescent="0.35">
      <c r="A369">
        <f>Data!A370</f>
        <v>210</v>
      </c>
      <c r="B369" t="str">
        <f>Data!B370</f>
        <v>INGREDIENTS</v>
      </c>
      <c r="C369" s="9">
        <f>Data!C370</f>
        <v>66708</v>
      </c>
      <c r="D369" s="10" t="s">
        <v>1150</v>
      </c>
      <c r="E369" s="11">
        <f>SUM(Data!I370,Data!K370,Data!M370,Data!O370,Data!Q370,Data!S370,Data!U370,Data!W370,Data!Y370,Data!AA370,Data!AC370,Data!AE370,Data!AG370,Data!AI370,Data!AK370,Data!AM370,Data!AO370,Data!AQ370,Data!AS370)</f>
        <v>0</v>
      </c>
      <c r="F369" s="11">
        <f>SUM(Data!DI370,Data!DK370,Data!DM370,Data!DO370,Data!DQ370,Data!DS370,Data!DU370,Data!DW370,Data!DY370,Data!EA370,Data!EC370,Data!EE370,Data!EG370,Data!EI370,Data!EK370,Data!EM370,Data!EO370,Data!EQ370,Data!ES370)</f>
        <v>0</v>
      </c>
      <c r="G369" s="11">
        <f>F369-E369</f>
        <v>0</v>
      </c>
      <c r="H369">
        <f>IF(E369=0,IF(F369&gt;0,"New",0),(F369-E369)/E369)</f>
        <v>0</v>
      </c>
      <c r="I369" s="12">
        <f>SUM(Data!J370,Data!L370,Data!N370,Data!P370,Data!R370,Data!T370,Data!V370,Data!X370,Data!Z370,Data!AB370,Data!AD370,Data!AF370,Data!AH370,Data!AJ370,Data!AL370,Data!AN370,Data!AP370,Data!AR370,Data!AT370)</f>
        <v>0</v>
      </c>
      <c r="J369" s="12">
        <f>SUM(Data!DJ370,Data!DL370,Data!DN370,Data!DP370,Data!DR370,Data!DT370,Data!DV370,Data!DX370,Data!DZ370,Data!EB370,Data!ED370,Data!EF370,Data!EH370,Data!EJ370,Data!EL370,Data!EN370,Data!EP370,Data!ER370,Data!ET370)</f>
        <v>0</v>
      </c>
      <c r="K369" s="12">
        <f>J369-I369</f>
        <v>0</v>
      </c>
      <c r="L369">
        <f>IF(I369=0,IF(J369&gt;0,"New",0),(J369-I369)/I369)</f>
        <v>0</v>
      </c>
      <c r="M369" t="str">
        <f>IF(F369=0,"No 2026 Sales",IF(E369=0,"New Product",IF(AND(ISNUMBER(H369),H369&gt;0.1),"↑ Strong Growth",IF(AND(ISNUMBER(H369),H369&gt;0),"↗ Growth",IF(AND(ISNUMBER(H369),H369&lt;-0.1),"↓ Strong Decline",IF(AND(ISNUMBER(H369),H369&lt;0),"↘ Decline","→ Stable"))))))</f>
        <v>No 2026 Sales</v>
      </c>
    </row>
    <row r="370" spans="1:13" hidden="1" x14ac:dyDescent="0.35">
      <c r="A370">
        <f>Data!A371</f>
        <v>210</v>
      </c>
      <c r="B370" t="str">
        <f>Data!B371</f>
        <v>INGREDIENTS</v>
      </c>
      <c r="C370" s="9">
        <f>Data!C371</f>
        <v>66802</v>
      </c>
      <c r="D370" s="10" t="s">
        <v>1151</v>
      </c>
      <c r="E370" s="11">
        <f>SUM(Data!I371,Data!K371,Data!M371,Data!O371,Data!Q371,Data!S371,Data!U371,Data!W371,Data!Y371,Data!AA371,Data!AC371,Data!AE371,Data!AG371,Data!AI371,Data!AK371,Data!AM371,Data!AO371,Data!AQ371,Data!AS371)</f>
        <v>0</v>
      </c>
      <c r="F370" s="11">
        <f>SUM(Data!DI371,Data!DK371,Data!DM371,Data!DO371,Data!DQ371,Data!DS371,Data!DU371,Data!DW371,Data!DY371,Data!EA371,Data!EC371,Data!EE371,Data!EG371,Data!EI371,Data!EK371,Data!EM371,Data!EO371,Data!EQ371,Data!ES371)</f>
        <v>0</v>
      </c>
      <c r="G370" s="11">
        <f>F370-E370</f>
        <v>0</v>
      </c>
      <c r="H370">
        <f>IF(E370=0,IF(F370&gt;0,"New",0),(F370-E370)/E370)</f>
        <v>0</v>
      </c>
      <c r="I370" s="12">
        <f>SUM(Data!J371,Data!L371,Data!N371,Data!P371,Data!R371,Data!T371,Data!V371,Data!X371,Data!Z371,Data!AB371,Data!AD371,Data!AF371,Data!AH371,Data!AJ371,Data!AL371,Data!AN371,Data!AP371,Data!AR371,Data!AT371)</f>
        <v>0</v>
      </c>
      <c r="J370" s="12">
        <f>SUM(Data!DJ371,Data!DL371,Data!DN371,Data!DP371,Data!DR371,Data!DT371,Data!DV371,Data!DX371,Data!DZ371,Data!EB371,Data!ED371,Data!EF371,Data!EH371,Data!EJ371,Data!EL371,Data!EN371,Data!EP371,Data!ER371,Data!ET371)</f>
        <v>0</v>
      </c>
      <c r="K370" s="12">
        <f>J370-I370</f>
        <v>0</v>
      </c>
      <c r="L370">
        <f>IF(I370=0,IF(J370&gt;0,"New",0),(J370-I370)/I370)</f>
        <v>0</v>
      </c>
      <c r="M370" t="str">
        <f>IF(F370=0,"No 2026 Sales",IF(E370=0,"New Product",IF(AND(ISNUMBER(H370),H370&gt;0.1),"↑ Strong Growth",IF(AND(ISNUMBER(H370),H370&gt;0),"↗ Growth",IF(AND(ISNUMBER(H370),H370&lt;-0.1),"↓ Strong Decline",IF(AND(ISNUMBER(H370),H370&lt;0),"↘ Decline","→ Stable"))))))</f>
        <v>No 2026 Sales</v>
      </c>
    </row>
    <row r="371" spans="1:13" hidden="1" x14ac:dyDescent="0.35">
      <c r="A371">
        <f>Data!A372</f>
        <v>210</v>
      </c>
      <c r="B371" t="str">
        <f>Data!B372</f>
        <v>INGREDIENTS</v>
      </c>
      <c r="C371" s="9">
        <f>Data!C372</f>
        <v>99990210</v>
      </c>
      <c r="D371" s="10" t="s">
        <v>1152</v>
      </c>
      <c r="E371" s="11">
        <f>SUM(Data!I372,Data!K372,Data!M372,Data!O372,Data!Q372,Data!S372,Data!U372,Data!W372,Data!Y372,Data!AA372,Data!AC372,Data!AE372,Data!AG372,Data!AI372,Data!AK372,Data!AM372,Data!AO372,Data!AQ372,Data!AS372)</f>
        <v>0</v>
      </c>
      <c r="F371" s="11">
        <f>SUM(Data!DI372,Data!DK372,Data!DM372,Data!DO372,Data!DQ372,Data!DS372,Data!DU372,Data!DW372,Data!DY372,Data!EA372,Data!EC372,Data!EE372,Data!EG372,Data!EI372,Data!EK372,Data!EM372,Data!EO372,Data!EQ372,Data!ES372)</f>
        <v>0</v>
      </c>
      <c r="G371" s="11">
        <f>F371-E371</f>
        <v>0</v>
      </c>
      <c r="H371">
        <f>IF(E371=0,IF(F371&gt;0,"New",0),(F371-E371)/E371)</f>
        <v>0</v>
      </c>
      <c r="I371" s="12">
        <f>SUM(Data!J372,Data!L372,Data!N372,Data!P372,Data!R372,Data!T372,Data!V372,Data!X372,Data!Z372,Data!AB372,Data!AD372,Data!AF372,Data!AH372,Data!AJ372,Data!AL372,Data!AN372,Data!AP372,Data!AR372,Data!AT372)</f>
        <v>0</v>
      </c>
      <c r="J371" s="12">
        <f>SUM(Data!DJ372,Data!DL372,Data!DN372,Data!DP372,Data!DR372,Data!DT372,Data!DV372,Data!DX372,Data!DZ372,Data!EB372,Data!ED372,Data!EF372,Data!EH372,Data!EJ372,Data!EL372,Data!EN372,Data!EP372,Data!ER372,Data!ET372)</f>
        <v>0</v>
      </c>
      <c r="K371" s="12">
        <f>J371-I371</f>
        <v>0</v>
      </c>
      <c r="L371">
        <f>IF(I371=0,IF(J371&gt;0,"New",0),(J371-I371)/I371)</f>
        <v>0</v>
      </c>
      <c r="M371" t="str">
        <f>IF(F371=0,"No 2026 Sales",IF(E371=0,"New Product",IF(AND(ISNUMBER(H371),H371&gt;0.1),"↑ Strong Growth",IF(AND(ISNUMBER(H371),H371&gt;0),"↗ Growth",IF(AND(ISNUMBER(H371),H371&lt;-0.1),"↓ Strong Decline",IF(AND(ISNUMBER(H371),H371&lt;0),"↘ Decline","→ Stable"))))))</f>
        <v>No 2026 Sales</v>
      </c>
    </row>
    <row r="372" spans="1:13" hidden="1" x14ac:dyDescent="0.35">
      <c r="A372">
        <f>Data!A373</f>
        <v>212</v>
      </c>
      <c r="B372" t="str">
        <f>Data!B373</f>
        <v>SMOKED CHICKEN</v>
      </c>
      <c r="C372" s="9">
        <f>Data!C373</f>
        <v>53700</v>
      </c>
      <c r="D372" s="10" t="s">
        <v>1153</v>
      </c>
      <c r="E372" s="11">
        <f>SUM(Data!I373,Data!K373,Data!M373,Data!O373,Data!Q373,Data!S373,Data!U373,Data!W373,Data!Y373,Data!AA373,Data!AC373,Data!AE373,Data!AG373,Data!AI373,Data!AK373,Data!AM373,Data!AO373,Data!AQ373,Data!AS373)</f>
        <v>0</v>
      </c>
      <c r="F372" s="11">
        <f>SUM(Data!DI373,Data!DK373,Data!DM373,Data!DO373,Data!DQ373,Data!DS373,Data!DU373,Data!DW373,Data!DY373,Data!EA373,Data!EC373,Data!EE373,Data!EG373,Data!EI373,Data!EK373,Data!EM373,Data!EO373,Data!EQ373,Data!ES373)</f>
        <v>0</v>
      </c>
      <c r="G372" s="11">
        <f>F372-E372</f>
        <v>0</v>
      </c>
      <c r="H372">
        <f>IF(E372=0,IF(F372&gt;0,"New",0),(F372-E372)/E372)</f>
        <v>0</v>
      </c>
      <c r="I372" s="12">
        <f>SUM(Data!J373,Data!L373,Data!N373,Data!P373,Data!R373,Data!T373,Data!V373,Data!X373,Data!Z373,Data!AB373,Data!AD373,Data!AF373,Data!AH373,Data!AJ373,Data!AL373,Data!AN373,Data!AP373,Data!AR373,Data!AT373)</f>
        <v>0</v>
      </c>
      <c r="J372" s="12">
        <f>SUM(Data!DJ373,Data!DL373,Data!DN373,Data!DP373,Data!DR373,Data!DT373,Data!DV373,Data!DX373,Data!DZ373,Data!EB373,Data!ED373,Data!EF373,Data!EH373,Data!EJ373,Data!EL373,Data!EN373,Data!EP373,Data!ER373,Data!ET373)</f>
        <v>0</v>
      </c>
      <c r="K372" s="12">
        <f>J372-I372</f>
        <v>0</v>
      </c>
      <c r="L372">
        <f>IF(I372=0,IF(J372&gt;0,"New",0),(J372-I372)/I372)</f>
        <v>0</v>
      </c>
      <c r="M372" t="str">
        <f>IF(F372=0,"No 2026 Sales",IF(E372=0,"New Product",IF(AND(ISNUMBER(H372),H372&gt;0.1),"↑ Strong Growth",IF(AND(ISNUMBER(H372),H372&gt;0),"↗ Growth",IF(AND(ISNUMBER(H372),H372&lt;-0.1),"↓ Strong Decline",IF(AND(ISNUMBER(H372),H372&lt;0),"↘ Decline","→ Stable"))))))</f>
        <v>No 2026 Sales</v>
      </c>
    </row>
    <row r="373" spans="1:13" hidden="1" x14ac:dyDescent="0.35">
      <c r="A373">
        <f>Data!A374</f>
        <v>213</v>
      </c>
      <c r="B373" t="str">
        <f>Data!B374</f>
        <v>BILT&amp;DROEWORS OWN</v>
      </c>
      <c r="C373" s="9">
        <f>Data!C374</f>
        <v>32045</v>
      </c>
      <c r="D373" s="10" t="s">
        <v>1154</v>
      </c>
      <c r="E373" s="11">
        <f>SUM(Data!I374,Data!K374,Data!M374,Data!O374,Data!Q374,Data!S374,Data!U374,Data!W374,Data!Y374,Data!AA374,Data!AC374,Data!AE374,Data!AG374,Data!AI374,Data!AK374,Data!AM374,Data!AO374,Data!AQ374,Data!AS374)</f>
        <v>0</v>
      </c>
      <c r="F373" s="11">
        <f>SUM(Data!DI374,Data!DK374,Data!DM374,Data!DO374,Data!DQ374,Data!DS374,Data!DU374,Data!DW374,Data!DY374,Data!EA374,Data!EC374,Data!EE374,Data!EG374,Data!EI374,Data!EK374,Data!EM374,Data!EO374,Data!EQ374,Data!ES374)</f>
        <v>0</v>
      </c>
      <c r="G373" s="11">
        <f>F373-E373</f>
        <v>0</v>
      </c>
      <c r="H373">
        <f>IF(E373=0,IF(F373&gt;0,"New",0),(F373-E373)/E373)</f>
        <v>0</v>
      </c>
      <c r="I373" s="12">
        <f>SUM(Data!J374,Data!L374,Data!N374,Data!P374,Data!R374,Data!T374,Data!V374,Data!X374,Data!Z374,Data!AB374,Data!AD374,Data!AF374,Data!AH374,Data!AJ374,Data!AL374,Data!AN374,Data!AP374,Data!AR374,Data!AT374)</f>
        <v>0</v>
      </c>
      <c r="J373" s="12">
        <f>SUM(Data!DJ374,Data!DL374,Data!DN374,Data!DP374,Data!DR374,Data!DT374,Data!DV374,Data!DX374,Data!DZ374,Data!EB374,Data!ED374,Data!EF374,Data!EH374,Data!EJ374,Data!EL374,Data!EN374,Data!EP374,Data!ER374,Data!ET374)</f>
        <v>0</v>
      </c>
      <c r="K373" s="12">
        <f>J373-I373</f>
        <v>0</v>
      </c>
      <c r="L373">
        <f>IF(I373=0,IF(J373&gt;0,"New",0),(J373-I373)/I373)</f>
        <v>0</v>
      </c>
      <c r="M373" t="str">
        <f>IF(F373=0,"No 2026 Sales",IF(E373=0,"New Product",IF(AND(ISNUMBER(H373),H373&gt;0.1),"↑ Strong Growth",IF(AND(ISNUMBER(H373),H373&gt;0),"↗ Growth",IF(AND(ISNUMBER(H373),H373&lt;-0.1),"↓ Strong Decline",IF(AND(ISNUMBER(H373),H373&lt;0),"↘ Decline","→ Stable"))))))</f>
        <v>No 2026 Sales</v>
      </c>
    </row>
    <row r="374" spans="1:13" x14ac:dyDescent="0.35">
      <c r="A374">
        <f>Data!A375</f>
        <v>213</v>
      </c>
      <c r="B374" t="str">
        <f>Data!B375</f>
        <v>BILT&amp;DROEWORS OWN</v>
      </c>
      <c r="C374" s="9">
        <f>Data!C375</f>
        <v>32049</v>
      </c>
      <c r="D374" s="10" t="s">
        <v>1155</v>
      </c>
      <c r="E374" s="11">
        <f>SUM(Data!I375,Data!K375,Data!M375,Data!O375,Data!Q375,Data!S375,Data!U375,Data!W375,Data!Y375,Data!AA375,Data!AC375,Data!AE375,Data!AG375,Data!AI375,Data!AK375,Data!AM375,Data!AO375,Data!AQ375,Data!AS375)</f>
        <v>2671.2347826086948</v>
      </c>
      <c r="F374" s="11">
        <f>SUM(Data!DI375,Data!DK375,Data!DM375,Data!DO375,Data!DQ375,Data!DS375,Data!DU375,Data!DW375,Data!DY375,Data!EA375,Data!EC375,Data!EE375,Data!EG375,Data!EI375,Data!EK375,Data!EM375,Data!EO375,Data!EQ375,Data!ES375)</f>
        <v>62.817391304347801</v>
      </c>
      <c r="G374" s="11">
        <f>F374-E374</f>
        <v>-2608.4173913043469</v>
      </c>
      <c r="H374" s="13">
        <f>IF(E374=0,IF(F374&gt;0,"New",0),(F374-E374)/E374)</f>
        <v>-0.97648376259798431</v>
      </c>
      <c r="I374" s="12">
        <f>SUM(Data!J375,Data!L375,Data!N375,Data!P375,Data!R375,Data!T375,Data!V375,Data!X375,Data!Z375,Data!AB375,Data!AD375,Data!AF375,Data!AH375,Data!AJ375,Data!AL375,Data!AN375,Data!AP375,Data!AR375,Data!AT375)</f>
        <v>7.1439999999999992</v>
      </c>
      <c r="J374" s="12">
        <f>SUM(Data!DJ375,Data!DL375,Data!DN375,Data!DP375,Data!DR375,Data!DT375,Data!DV375,Data!DX375,Data!DZ375,Data!EB375,Data!ED375,Data!EF375,Data!EH375,Data!EJ375,Data!EL375,Data!EN375,Data!EP375,Data!ER375,Data!ET375)</f>
        <v>0.14399999999999999</v>
      </c>
      <c r="K374" s="12">
        <f>J374-I374</f>
        <v>-6.9999999999999991</v>
      </c>
      <c r="L374" s="13">
        <f>IF(I374=0,IF(J374&gt;0,"New",0),(J374-I374)/I374)</f>
        <v>-0.97984322508398658</v>
      </c>
      <c r="M374" t="str">
        <f>IF(F374=0,"No 2026 Sales",IF(E374=0,"New Product",IF(AND(ISNUMBER(H374),H374&gt;0.1),"↑ Strong Growth",IF(AND(ISNUMBER(H374),H374&gt;0),"↗ Growth",IF(AND(ISNUMBER(H374),H374&lt;-0.1),"↓ Strong Decline",IF(AND(ISNUMBER(H374),H374&lt;0),"↘ Decline","→ Stable"))))))</f>
        <v>↓ Strong Decline</v>
      </c>
    </row>
    <row r="375" spans="1:13" hidden="1" x14ac:dyDescent="0.35">
      <c r="A375">
        <f>Data!A376</f>
        <v>213</v>
      </c>
      <c r="B375" t="str">
        <f>Data!B376</f>
        <v>BILT&amp;DROEWORS OWN</v>
      </c>
      <c r="C375" s="9">
        <f>Data!C376</f>
        <v>34188</v>
      </c>
      <c r="D375" s="10" t="s">
        <v>1156</v>
      </c>
      <c r="E375" s="11">
        <f>SUM(Data!I376,Data!K376,Data!M376,Data!O376,Data!Q376,Data!S376,Data!U376,Data!W376,Data!Y376,Data!AA376,Data!AC376,Data!AE376,Data!AG376,Data!AI376,Data!AK376,Data!AM376,Data!AO376,Data!AQ376,Data!AS376)</f>
        <v>0</v>
      </c>
      <c r="F375" s="11">
        <f>SUM(Data!DI376,Data!DK376,Data!DM376,Data!DO376,Data!DQ376,Data!DS376,Data!DU376,Data!DW376,Data!DY376,Data!EA376,Data!EC376,Data!EE376,Data!EG376,Data!EI376,Data!EK376,Data!EM376,Data!EO376,Data!EQ376,Data!ES376)</f>
        <v>0</v>
      </c>
      <c r="G375" s="11">
        <f>F375-E375</f>
        <v>0</v>
      </c>
      <c r="H375">
        <f>IF(E375=0,IF(F375&gt;0,"New",0),(F375-E375)/E375)</f>
        <v>0</v>
      </c>
      <c r="I375" s="12">
        <f>SUM(Data!J376,Data!L376,Data!N376,Data!P376,Data!R376,Data!T376,Data!V376,Data!X376,Data!Z376,Data!AB376,Data!AD376,Data!AF376,Data!AH376,Data!AJ376,Data!AL376,Data!AN376,Data!AP376,Data!AR376,Data!AT376)</f>
        <v>0</v>
      </c>
      <c r="J375" s="12">
        <f>SUM(Data!DJ376,Data!DL376,Data!DN376,Data!DP376,Data!DR376,Data!DT376,Data!DV376,Data!DX376,Data!DZ376,Data!EB376,Data!ED376,Data!EF376,Data!EH376,Data!EJ376,Data!EL376,Data!EN376,Data!EP376,Data!ER376,Data!ET376)</f>
        <v>0</v>
      </c>
      <c r="K375" s="12">
        <f>J375-I375</f>
        <v>0</v>
      </c>
      <c r="L375">
        <f>IF(I375=0,IF(J375&gt;0,"New",0),(J375-I375)/I375)</f>
        <v>0</v>
      </c>
      <c r="M375" t="str">
        <f>IF(F375=0,"No 2026 Sales",IF(E375=0,"New Product",IF(AND(ISNUMBER(H375),H375&gt;0.1),"↑ Strong Growth",IF(AND(ISNUMBER(H375),H375&gt;0),"↗ Growth",IF(AND(ISNUMBER(H375),H375&lt;-0.1),"↓ Strong Decline",IF(AND(ISNUMBER(H375),H375&lt;0),"↘ Decline","→ Stable"))))))</f>
        <v>No 2026 Sales</v>
      </c>
    </row>
    <row r="376" spans="1:13" hidden="1" x14ac:dyDescent="0.35">
      <c r="A376">
        <f>Data!A377</f>
        <v>213</v>
      </c>
      <c r="B376" t="str">
        <f>Data!B377</f>
        <v>BILT&amp;DROEWORS OWN</v>
      </c>
      <c r="C376" s="9">
        <f>Data!C377</f>
        <v>53986</v>
      </c>
      <c r="D376" s="10" t="s">
        <v>1157</v>
      </c>
      <c r="E376" s="11">
        <f>SUM(Data!I377,Data!K377,Data!M377,Data!O377,Data!Q377,Data!S377,Data!U377,Data!W377,Data!Y377,Data!AA377,Data!AC377,Data!AE377,Data!AG377,Data!AI377,Data!AK377,Data!AM377,Data!AO377,Data!AQ377,Data!AS377)</f>
        <v>0</v>
      </c>
      <c r="F376" s="11">
        <f>SUM(Data!DI377,Data!DK377,Data!DM377,Data!DO377,Data!DQ377,Data!DS377,Data!DU377,Data!DW377,Data!DY377,Data!EA377,Data!EC377,Data!EE377,Data!EG377,Data!EI377,Data!EK377,Data!EM377,Data!EO377,Data!EQ377,Data!ES377)</f>
        <v>0</v>
      </c>
      <c r="G376" s="11">
        <f>F376-E376</f>
        <v>0</v>
      </c>
      <c r="H376">
        <f>IF(E376=0,IF(F376&gt;0,"New",0),(F376-E376)/E376)</f>
        <v>0</v>
      </c>
      <c r="I376" s="12">
        <f>SUM(Data!J377,Data!L377,Data!N377,Data!P377,Data!R377,Data!T377,Data!V377,Data!X377,Data!Z377,Data!AB377,Data!AD377,Data!AF377,Data!AH377,Data!AJ377,Data!AL377,Data!AN377,Data!AP377,Data!AR377,Data!AT377)</f>
        <v>0</v>
      </c>
      <c r="J376" s="12">
        <f>SUM(Data!DJ377,Data!DL377,Data!DN377,Data!DP377,Data!DR377,Data!DT377,Data!DV377,Data!DX377,Data!DZ377,Data!EB377,Data!ED377,Data!EF377,Data!EH377,Data!EJ377,Data!EL377,Data!EN377,Data!EP377,Data!ER377,Data!ET377)</f>
        <v>0</v>
      </c>
      <c r="K376" s="12">
        <f>J376-I376</f>
        <v>0</v>
      </c>
      <c r="L376">
        <f>IF(I376=0,IF(J376&gt;0,"New",0),(J376-I376)/I376)</f>
        <v>0</v>
      </c>
      <c r="M376" t="str">
        <f>IF(F376=0,"No 2026 Sales",IF(E376=0,"New Product",IF(AND(ISNUMBER(H376),H376&gt;0.1),"↑ Strong Growth",IF(AND(ISNUMBER(H376),H376&gt;0),"↗ Growth",IF(AND(ISNUMBER(H376),H376&lt;-0.1),"↓ Strong Decline",IF(AND(ISNUMBER(H376),H376&lt;0),"↘ Decline","→ Stable"))))))</f>
        <v>No 2026 Sales</v>
      </c>
    </row>
    <row r="377" spans="1:13" hidden="1" x14ac:dyDescent="0.35">
      <c r="A377">
        <f>Data!A378</f>
        <v>214</v>
      </c>
      <c r="B377" t="str">
        <f>Data!B378</f>
        <v>BUTCHERY OSTRICH</v>
      </c>
      <c r="C377" s="9">
        <f>Data!C378</f>
        <v>11617</v>
      </c>
      <c r="D377" s="10" t="s">
        <v>1158</v>
      </c>
      <c r="E377" s="11">
        <f>SUM(Data!I378,Data!K378,Data!M378,Data!O378,Data!Q378,Data!S378,Data!U378,Data!W378,Data!Y378,Data!AA378,Data!AC378,Data!AE378,Data!AG378,Data!AI378,Data!AK378,Data!AM378,Data!AO378,Data!AQ378,Data!AS378)</f>
        <v>0</v>
      </c>
      <c r="F377" s="11">
        <f>SUM(Data!DI378,Data!DK378,Data!DM378,Data!DO378,Data!DQ378,Data!DS378,Data!DU378,Data!DW378,Data!DY378,Data!EA378,Data!EC378,Data!EE378,Data!EG378,Data!EI378,Data!EK378,Data!EM378,Data!EO378,Data!EQ378,Data!ES378)</f>
        <v>0</v>
      </c>
      <c r="G377" s="11">
        <f>F377-E377</f>
        <v>0</v>
      </c>
      <c r="H377">
        <f>IF(E377=0,IF(F377&gt;0,"New",0),(F377-E377)/E377)</f>
        <v>0</v>
      </c>
      <c r="I377" s="12">
        <f>SUM(Data!J378,Data!L378,Data!N378,Data!P378,Data!R378,Data!T378,Data!V378,Data!X378,Data!Z378,Data!AB378,Data!AD378,Data!AF378,Data!AH378,Data!AJ378,Data!AL378,Data!AN378,Data!AP378,Data!AR378,Data!AT378)</f>
        <v>0</v>
      </c>
      <c r="J377" s="12">
        <f>SUM(Data!DJ378,Data!DL378,Data!DN378,Data!DP378,Data!DR378,Data!DT378,Data!DV378,Data!DX378,Data!DZ378,Data!EB378,Data!ED378,Data!EF378,Data!EH378,Data!EJ378,Data!EL378,Data!EN378,Data!EP378,Data!ER378,Data!ET378)</f>
        <v>0</v>
      </c>
      <c r="K377" s="12">
        <f>J377-I377</f>
        <v>0</v>
      </c>
      <c r="L377">
        <f>IF(I377=0,IF(J377&gt;0,"New",0),(J377-I377)/I377)</f>
        <v>0</v>
      </c>
      <c r="M377" t="str">
        <f>IF(F377=0,"No 2026 Sales",IF(E377=0,"New Product",IF(AND(ISNUMBER(H377),H377&gt;0.1),"↑ Strong Growth",IF(AND(ISNUMBER(H377),H377&gt;0),"↗ Growth",IF(AND(ISNUMBER(H377),H377&lt;-0.1),"↓ Strong Decline",IF(AND(ISNUMBER(H377),H377&lt;0),"↘ Decline","→ Stable"))))))</f>
        <v>No 2026 Sales</v>
      </c>
    </row>
    <row r="378" spans="1:13" x14ac:dyDescent="0.35">
      <c r="A378">
        <f>Data!A379</f>
        <v>214</v>
      </c>
      <c r="B378" t="str">
        <f>Data!B379</f>
        <v>BUTCHERY OSTRICH</v>
      </c>
      <c r="C378" s="9">
        <f>Data!C379</f>
        <v>44216</v>
      </c>
      <c r="D378" s="10" t="s">
        <v>1159</v>
      </c>
      <c r="E378" s="11">
        <f>SUM(Data!I379,Data!K379,Data!M379,Data!O379,Data!Q379,Data!S379,Data!U379,Data!W379,Data!Y379,Data!AA379,Data!AC379,Data!AE379,Data!AG379,Data!AI379,Data!AK379,Data!AM379,Data!AO379,Data!AQ379,Data!AS379)</f>
        <v>0</v>
      </c>
      <c r="F378" s="11">
        <f>SUM(Data!DI379,Data!DK379,Data!DM379,Data!DO379,Data!DQ379,Data!DS379,Data!DU379,Data!DW379,Data!DY379,Data!EA379,Data!EC379,Data!EE379,Data!EG379,Data!EI379,Data!EK379,Data!EM379,Data!EO379,Data!EQ379,Data!ES379)</f>
        <v>5182.9565217391319</v>
      </c>
      <c r="G378" s="11">
        <f>F378-E378</f>
        <v>5182.9565217391319</v>
      </c>
      <c r="H378" s="13" t="str">
        <f>IF(E378=0,IF(F378&gt;0,"New",0),(F378-E378)/E378)</f>
        <v>New</v>
      </c>
      <c r="I378" s="12">
        <f>SUM(Data!J379,Data!L379,Data!N379,Data!P379,Data!R379,Data!T379,Data!V379,Data!X379,Data!Z379,Data!AB379,Data!AD379,Data!AF379,Data!AH379,Data!AJ379,Data!AL379,Data!AN379,Data!AP379,Data!AR379,Data!AT379)</f>
        <v>0</v>
      </c>
      <c r="J378" s="12">
        <f>SUM(Data!DJ379,Data!DL379,Data!DN379,Data!DP379,Data!DR379,Data!DT379,Data!DV379,Data!DX379,Data!DZ379,Data!EB379,Data!ED379,Data!EF379,Data!EH379,Data!EJ379,Data!EL379,Data!EN379,Data!EP379,Data!ER379,Data!ET379)</f>
        <v>60</v>
      </c>
      <c r="K378" s="12">
        <f>J378-I378</f>
        <v>60</v>
      </c>
      <c r="L378" s="13" t="str">
        <f>IF(I378=0,IF(J378&gt;0,"New",0),(J378-I378)/I378)</f>
        <v>New</v>
      </c>
      <c r="M378" t="str">
        <f>IF(F378=0,"No 2026 Sales",IF(E378=0,"New Product",IF(AND(ISNUMBER(H378),H378&gt;0.1),"↑ Strong Growth",IF(AND(ISNUMBER(H378),H378&gt;0),"↗ Growth",IF(AND(ISNUMBER(H378),H378&lt;-0.1),"↓ Strong Decline",IF(AND(ISNUMBER(H378),H378&lt;0),"↘ Decline","→ Stable"))))))</f>
        <v>New Product</v>
      </c>
    </row>
    <row r="379" spans="1:13" hidden="1" x14ac:dyDescent="0.35">
      <c r="A379">
        <f>Data!A380</f>
        <v>214</v>
      </c>
      <c r="B379" t="str">
        <f>Data!B380</f>
        <v>BUTCHERY OSTRICH</v>
      </c>
      <c r="C379" s="9">
        <f>Data!C380</f>
        <v>44217</v>
      </c>
      <c r="D379" s="10" t="s">
        <v>1160</v>
      </c>
      <c r="E379" s="11">
        <f>SUM(Data!I380,Data!K380,Data!M380,Data!O380,Data!Q380,Data!S380,Data!U380,Data!W380,Data!Y380,Data!AA380,Data!AC380,Data!AE380,Data!AG380,Data!AI380,Data!AK380,Data!AM380,Data!AO380,Data!AQ380,Data!AS380)</f>
        <v>0</v>
      </c>
      <c r="F379" s="11">
        <f>SUM(Data!DI380,Data!DK380,Data!DM380,Data!DO380,Data!DQ380,Data!DS380,Data!DU380,Data!DW380,Data!DY380,Data!EA380,Data!EC380,Data!EE380,Data!EG380,Data!EI380,Data!EK380,Data!EM380,Data!EO380,Data!EQ380,Data!ES380)</f>
        <v>0</v>
      </c>
      <c r="G379" s="11">
        <f>F379-E379</f>
        <v>0</v>
      </c>
      <c r="H379">
        <f>IF(E379=0,IF(F379&gt;0,"New",0),(F379-E379)/E379)</f>
        <v>0</v>
      </c>
      <c r="I379" s="12">
        <f>SUM(Data!J380,Data!L380,Data!N380,Data!P380,Data!R380,Data!T380,Data!V380,Data!X380,Data!Z380,Data!AB380,Data!AD380,Data!AF380,Data!AH380,Data!AJ380,Data!AL380,Data!AN380,Data!AP380,Data!AR380,Data!AT380)</f>
        <v>0</v>
      </c>
      <c r="J379" s="12">
        <f>SUM(Data!DJ380,Data!DL380,Data!DN380,Data!DP380,Data!DR380,Data!DT380,Data!DV380,Data!DX380,Data!DZ380,Data!EB380,Data!ED380,Data!EF380,Data!EH380,Data!EJ380,Data!EL380,Data!EN380,Data!EP380,Data!ER380,Data!ET380)</f>
        <v>0</v>
      </c>
      <c r="K379" s="12">
        <f>J379-I379</f>
        <v>0</v>
      </c>
      <c r="L379">
        <f>IF(I379=0,IF(J379&gt;0,"New",0),(J379-I379)/I379)</f>
        <v>0</v>
      </c>
      <c r="M379" t="str">
        <f>IF(F379=0,"No 2026 Sales",IF(E379=0,"New Product",IF(AND(ISNUMBER(H379),H379&gt;0.1),"↑ Strong Growth",IF(AND(ISNUMBER(H379),H379&gt;0),"↗ Growth",IF(AND(ISNUMBER(H379),H379&lt;-0.1),"↓ Strong Decline",IF(AND(ISNUMBER(H379),H379&lt;0),"↘ Decline","→ Stable"))))))</f>
        <v>No 2026 Sales</v>
      </c>
    </row>
    <row r="380" spans="1:13" hidden="1" x14ac:dyDescent="0.35">
      <c r="A380">
        <f>Data!A381</f>
        <v>214</v>
      </c>
      <c r="B380" t="str">
        <f>Data!B381</f>
        <v>BUTCHERY OSTRICH</v>
      </c>
      <c r="C380" s="9">
        <f>Data!C381</f>
        <v>44221</v>
      </c>
      <c r="D380" s="10" t="s">
        <v>1161</v>
      </c>
      <c r="E380" s="11">
        <f>SUM(Data!I381,Data!K381,Data!M381,Data!O381,Data!Q381,Data!S381,Data!U381,Data!W381,Data!Y381,Data!AA381,Data!AC381,Data!AE381,Data!AG381,Data!AI381,Data!AK381,Data!AM381,Data!AO381,Data!AQ381,Data!AS381)</f>
        <v>0</v>
      </c>
      <c r="F380" s="11">
        <f>SUM(Data!DI381,Data!DK381,Data!DM381,Data!DO381,Data!DQ381,Data!DS381,Data!DU381,Data!DW381,Data!DY381,Data!EA381,Data!EC381,Data!EE381,Data!EG381,Data!EI381,Data!EK381,Data!EM381,Data!EO381,Data!EQ381,Data!ES381)</f>
        <v>0</v>
      </c>
      <c r="G380" s="11">
        <f>F380-E380</f>
        <v>0</v>
      </c>
      <c r="H380">
        <f>IF(E380=0,IF(F380&gt;0,"New",0),(F380-E380)/E380)</f>
        <v>0</v>
      </c>
      <c r="I380" s="12">
        <f>SUM(Data!J381,Data!L381,Data!N381,Data!P381,Data!R381,Data!T381,Data!V381,Data!X381,Data!Z381,Data!AB381,Data!AD381,Data!AF381,Data!AH381,Data!AJ381,Data!AL381,Data!AN381,Data!AP381,Data!AR381,Data!AT381)</f>
        <v>0</v>
      </c>
      <c r="J380" s="12">
        <f>SUM(Data!DJ381,Data!DL381,Data!DN381,Data!DP381,Data!DR381,Data!DT381,Data!DV381,Data!DX381,Data!DZ381,Data!EB381,Data!ED381,Data!EF381,Data!EH381,Data!EJ381,Data!EL381,Data!EN381,Data!EP381,Data!ER381,Data!ET381)</f>
        <v>0</v>
      </c>
      <c r="K380" s="12">
        <f>J380-I380</f>
        <v>0</v>
      </c>
      <c r="L380">
        <f>IF(I380=0,IF(J380&gt;0,"New",0),(J380-I380)/I380)</f>
        <v>0</v>
      </c>
      <c r="M380" t="str">
        <f>IF(F380=0,"No 2026 Sales",IF(E380=0,"New Product",IF(AND(ISNUMBER(H380),H380&gt;0.1),"↑ Strong Growth",IF(AND(ISNUMBER(H380),H380&gt;0),"↗ Growth",IF(AND(ISNUMBER(H380),H380&lt;-0.1),"↓ Strong Decline",IF(AND(ISNUMBER(H380),H380&lt;0),"↘ Decline","→ Stable"))))))</f>
        <v>No 2026 Sales</v>
      </c>
    </row>
    <row r="381" spans="1:13" hidden="1" x14ac:dyDescent="0.35">
      <c r="A381">
        <f>Data!A382</f>
        <v>215</v>
      </c>
      <c r="B381" t="str">
        <f>Data!B382</f>
        <v>BUTCHERY SNOEK</v>
      </c>
      <c r="C381" s="9">
        <f>Data!C382</f>
        <v>43008</v>
      </c>
      <c r="D381" s="10" t="s">
        <v>1162</v>
      </c>
      <c r="E381" s="11">
        <f>SUM(Data!I382,Data!K382,Data!M382,Data!O382,Data!Q382,Data!S382,Data!U382,Data!W382,Data!Y382,Data!AA382,Data!AC382,Data!AE382,Data!AG382,Data!AI382,Data!AK382,Data!AM382,Data!AO382,Data!AQ382,Data!AS382)</f>
        <v>0</v>
      </c>
      <c r="F381" s="11">
        <f>SUM(Data!DI382,Data!DK382,Data!DM382,Data!DO382,Data!DQ382,Data!DS382,Data!DU382,Data!DW382,Data!DY382,Data!EA382,Data!EC382,Data!EE382,Data!EG382,Data!EI382,Data!EK382,Data!EM382,Data!EO382,Data!EQ382,Data!ES382)</f>
        <v>0</v>
      </c>
      <c r="G381" s="11">
        <f>F381-E381</f>
        <v>0</v>
      </c>
      <c r="H381">
        <f>IF(E381=0,IF(F381&gt;0,"New",0),(F381-E381)/E381)</f>
        <v>0</v>
      </c>
      <c r="I381" s="12">
        <f>SUM(Data!J382,Data!L382,Data!N382,Data!P382,Data!R382,Data!T382,Data!V382,Data!X382,Data!Z382,Data!AB382,Data!AD382,Data!AF382,Data!AH382,Data!AJ382,Data!AL382,Data!AN382,Data!AP382,Data!AR382,Data!AT382)</f>
        <v>0</v>
      </c>
      <c r="J381" s="12">
        <f>SUM(Data!DJ382,Data!DL382,Data!DN382,Data!DP382,Data!DR382,Data!DT382,Data!DV382,Data!DX382,Data!DZ382,Data!EB382,Data!ED382,Data!EF382,Data!EH382,Data!EJ382,Data!EL382,Data!EN382,Data!EP382,Data!ER382,Data!ET382)</f>
        <v>0</v>
      </c>
      <c r="K381" s="12">
        <f>J381-I381</f>
        <v>0</v>
      </c>
      <c r="L381">
        <f>IF(I381=0,IF(J381&gt;0,"New",0),(J381-I381)/I381)</f>
        <v>0</v>
      </c>
      <c r="M381" t="str">
        <f>IF(F381=0,"No 2026 Sales",IF(E381=0,"New Product",IF(AND(ISNUMBER(H381),H381&gt;0.1),"↑ Strong Growth",IF(AND(ISNUMBER(H381),H381&gt;0),"↗ Growth",IF(AND(ISNUMBER(H381),H381&lt;-0.1),"↓ Strong Decline",IF(AND(ISNUMBER(H381),H381&lt;0),"↘ Decline","→ Stable"))))))</f>
        <v>No 2026 Sales</v>
      </c>
    </row>
    <row r="382" spans="1:13" x14ac:dyDescent="0.35">
      <c r="A382">
        <f>Data!A383</f>
        <v>215</v>
      </c>
      <c r="B382" t="str">
        <f>Data!B383</f>
        <v>BUTCHERY SNOEK</v>
      </c>
      <c r="C382" s="9">
        <f>Data!C383</f>
        <v>43941</v>
      </c>
      <c r="D382" s="10" t="s">
        <v>1163</v>
      </c>
      <c r="E382" s="11">
        <f>SUM(Data!I383,Data!K383,Data!M383,Data!O383,Data!Q383,Data!S383,Data!U383,Data!W383,Data!Y383,Data!AA383,Data!AC383,Data!AE383,Data!AG383,Data!AI383,Data!AK383,Data!AM383,Data!AO383,Data!AQ383,Data!AS383)</f>
        <v>11880.939130434768</v>
      </c>
      <c r="F382" s="11">
        <f>SUM(Data!DI383,Data!DK383,Data!DM383,Data!DO383,Data!DQ383,Data!DS383,Data!DU383,Data!DW383,Data!DY383,Data!EA383,Data!EC383,Data!EE383,Data!EG383,Data!EI383,Data!EK383,Data!EM383,Data!EO383,Data!EQ383,Data!ES383)</f>
        <v>13683.017391304355</v>
      </c>
      <c r="G382" s="11">
        <f>F382-E382</f>
        <v>1802.0782608695863</v>
      </c>
      <c r="H382" s="13">
        <f>IF(E382=0,IF(F382&gt;0,"New",0),(F382-E382)/E382)</f>
        <v>0.15167809893523471</v>
      </c>
      <c r="I382" s="12">
        <f>SUM(Data!J383,Data!L383,Data!N383,Data!P383,Data!R383,Data!T383,Data!V383,Data!X383,Data!Z383,Data!AB383,Data!AD383,Data!AF383,Data!AH383,Data!AJ383,Data!AL383,Data!AN383,Data!AP383,Data!AR383,Data!AT383)</f>
        <v>118.47</v>
      </c>
      <c r="J382" s="12">
        <f>SUM(Data!DJ383,Data!DL383,Data!DN383,Data!DP383,Data!DR383,Data!DT383,Data!DV383,Data!DX383,Data!DZ383,Data!EB383,Data!ED383,Data!EF383,Data!EH383,Data!EJ383,Data!EL383,Data!EN383,Data!EP383,Data!ER383,Data!ET383)</f>
        <v>170.78000000000003</v>
      </c>
      <c r="K382" s="12">
        <f>J382-I382</f>
        <v>52.310000000000031</v>
      </c>
      <c r="L382" s="13">
        <f>IF(I382=0,IF(J382&gt;0,"New",0),(J382-I382)/I382)</f>
        <v>0.4415463830505616</v>
      </c>
      <c r="M382" t="str">
        <f>IF(F382=0,"No 2026 Sales",IF(E382=0,"New Product",IF(AND(ISNUMBER(H382),H382&gt;0.1),"↑ Strong Growth",IF(AND(ISNUMBER(H382),H382&gt;0),"↗ Growth",IF(AND(ISNUMBER(H382),H382&lt;-0.1),"↓ Strong Decline",IF(AND(ISNUMBER(H382),H382&lt;0),"↘ Decline","→ Stable"))))))</f>
        <v>↑ Strong Growth</v>
      </c>
    </row>
    <row r="383" spans="1:13" hidden="1" x14ac:dyDescent="0.35">
      <c r="A383">
        <f>Data!A384</f>
        <v>215</v>
      </c>
      <c r="B383" t="str">
        <f>Data!B384</f>
        <v>BUTCHERY SNOEK</v>
      </c>
      <c r="C383" s="9">
        <f>Data!C384</f>
        <v>51065</v>
      </c>
      <c r="D383" s="10" t="s">
        <v>1164</v>
      </c>
      <c r="E383" s="11">
        <f>SUM(Data!I384,Data!K384,Data!M384,Data!O384,Data!Q384,Data!S384,Data!U384,Data!W384,Data!Y384,Data!AA384,Data!AC384,Data!AE384,Data!AG384,Data!AI384,Data!AK384,Data!AM384,Data!AO384,Data!AQ384,Data!AS384)</f>
        <v>0</v>
      </c>
      <c r="F383" s="11">
        <f>SUM(Data!DI384,Data!DK384,Data!DM384,Data!DO384,Data!DQ384,Data!DS384,Data!DU384,Data!DW384,Data!DY384,Data!EA384,Data!EC384,Data!EE384,Data!EG384,Data!EI384,Data!EK384,Data!EM384,Data!EO384,Data!EQ384,Data!ES384)</f>
        <v>0</v>
      </c>
      <c r="G383" s="11">
        <f>F383-E383</f>
        <v>0</v>
      </c>
      <c r="H383">
        <f>IF(E383=0,IF(F383&gt;0,"New",0),(F383-E383)/E383)</f>
        <v>0</v>
      </c>
      <c r="I383" s="12">
        <f>SUM(Data!J384,Data!L384,Data!N384,Data!P384,Data!R384,Data!T384,Data!V384,Data!X384,Data!Z384,Data!AB384,Data!AD384,Data!AF384,Data!AH384,Data!AJ384,Data!AL384,Data!AN384,Data!AP384,Data!AR384,Data!AT384)</f>
        <v>0</v>
      </c>
      <c r="J383" s="12">
        <f>SUM(Data!DJ384,Data!DL384,Data!DN384,Data!DP384,Data!DR384,Data!DT384,Data!DV384,Data!DX384,Data!DZ384,Data!EB384,Data!ED384,Data!EF384,Data!EH384,Data!EJ384,Data!EL384,Data!EN384,Data!EP384,Data!ER384,Data!ET384)</f>
        <v>0</v>
      </c>
      <c r="K383" s="12">
        <f>J383-I383</f>
        <v>0</v>
      </c>
      <c r="L383">
        <f>IF(I383=0,IF(J383&gt;0,"New",0),(J383-I383)/I383)</f>
        <v>0</v>
      </c>
      <c r="M383" t="str">
        <f>IF(F383=0,"No 2026 Sales",IF(E383=0,"New Product",IF(AND(ISNUMBER(H383),H383&gt;0.1),"↑ Strong Growth",IF(AND(ISNUMBER(H383),H383&gt;0),"↗ Growth",IF(AND(ISNUMBER(H383),H383&lt;-0.1),"↓ Strong Decline",IF(AND(ISNUMBER(H383),H383&lt;0),"↘ Decline","→ Stable"))))))</f>
        <v>No 2026 Sales</v>
      </c>
    </row>
    <row r="384" spans="1:13" hidden="1" x14ac:dyDescent="0.35">
      <c r="A384">
        <f>Data!A385</f>
        <v>215</v>
      </c>
      <c r="B384" t="str">
        <f>Data!B385</f>
        <v>BUTCHERY SNOEK</v>
      </c>
      <c r="C384" s="9">
        <f>Data!C385</f>
        <v>55375</v>
      </c>
      <c r="D384" s="10" t="s">
        <v>1165</v>
      </c>
      <c r="E384" s="11">
        <f>SUM(Data!I385,Data!K385,Data!M385,Data!O385,Data!Q385,Data!S385,Data!U385,Data!W385,Data!Y385,Data!AA385,Data!AC385,Data!AE385,Data!AG385,Data!AI385,Data!AK385,Data!AM385,Data!AO385,Data!AQ385,Data!AS385)</f>
        <v>425.93913043478301</v>
      </c>
      <c r="F384" s="11">
        <f>SUM(Data!DI385,Data!DK385,Data!DM385,Data!DO385,Data!DQ385,Data!DS385,Data!DU385,Data!DW385,Data!DY385,Data!EA385,Data!EC385,Data!EE385,Data!EG385,Data!EI385,Data!EK385,Data!EM385,Data!EO385,Data!EQ385,Data!ES385)</f>
        <v>0</v>
      </c>
      <c r="G384" s="11">
        <f>F384-E384</f>
        <v>-425.93913043478301</v>
      </c>
      <c r="H384">
        <f>IF(E384=0,IF(F384&gt;0,"New",0),(F384-E384)/E384)</f>
        <v>-1</v>
      </c>
      <c r="I384" s="12">
        <f>SUM(Data!J385,Data!L385,Data!N385,Data!P385,Data!R385,Data!T385,Data!V385,Data!X385,Data!Z385,Data!AB385,Data!AD385,Data!AF385,Data!AH385,Data!AJ385,Data!AL385,Data!AN385,Data!AP385,Data!AR385,Data!AT385)</f>
        <v>3.6019999999999999</v>
      </c>
      <c r="J384" s="12">
        <f>SUM(Data!DJ385,Data!DL385,Data!DN385,Data!DP385,Data!DR385,Data!DT385,Data!DV385,Data!DX385,Data!DZ385,Data!EB385,Data!ED385,Data!EF385,Data!EH385,Data!EJ385,Data!EL385,Data!EN385,Data!EP385,Data!ER385,Data!ET385)</f>
        <v>0</v>
      </c>
      <c r="K384" s="12">
        <f>J384-I384</f>
        <v>-3.6019999999999999</v>
      </c>
      <c r="L384">
        <f>IF(I384=0,IF(J384&gt;0,"New",0),(J384-I384)/I384)</f>
        <v>-1</v>
      </c>
      <c r="M384" t="str">
        <f>IF(F384=0,"No 2026 Sales",IF(E384=0,"New Product",IF(AND(ISNUMBER(H384),H384&gt;0.1),"↑ Strong Growth",IF(AND(ISNUMBER(H384),H384&gt;0),"↗ Growth",IF(AND(ISNUMBER(H384),H384&lt;-0.1),"↓ Strong Decline",IF(AND(ISNUMBER(H384),H384&lt;0),"↘ Decline","→ Stable"))))))</f>
        <v>No 2026 Sales</v>
      </c>
    </row>
    <row r="385" spans="1:13" hidden="1" x14ac:dyDescent="0.35">
      <c r="A385">
        <f>Data!A386</f>
        <v>216</v>
      </c>
      <c r="B385" t="str">
        <f>Data!B386</f>
        <v>BUTCH  WORS/MINCE/PAT</v>
      </c>
      <c r="C385" s="9">
        <f>Data!C386</f>
        <v>2728</v>
      </c>
      <c r="D385" s="10" t="s">
        <v>1166</v>
      </c>
      <c r="E385" s="11">
        <f>SUM(Data!I386,Data!K386,Data!M386,Data!O386,Data!Q386,Data!S386,Data!U386,Data!W386,Data!Y386,Data!AA386,Data!AC386,Data!AE386,Data!AG386,Data!AI386,Data!AK386,Data!AM386,Data!AO386,Data!AQ386,Data!AS386)</f>
        <v>0</v>
      </c>
      <c r="F385" s="11">
        <f>SUM(Data!DI386,Data!DK386,Data!DM386,Data!DO386,Data!DQ386,Data!DS386,Data!DU386,Data!DW386,Data!DY386,Data!EA386,Data!EC386,Data!EE386,Data!EG386,Data!EI386,Data!EK386,Data!EM386,Data!EO386,Data!EQ386,Data!ES386)</f>
        <v>0</v>
      </c>
      <c r="G385" s="11">
        <f>F385-E385</f>
        <v>0</v>
      </c>
      <c r="H385">
        <f>IF(E385=0,IF(F385&gt;0,"New",0),(F385-E385)/E385)</f>
        <v>0</v>
      </c>
      <c r="I385" s="12">
        <f>SUM(Data!J386,Data!L386,Data!N386,Data!P386,Data!R386,Data!T386,Data!V386,Data!X386,Data!Z386,Data!AB386,Data!AD386,Data!AF386,Data!AH386,Data!AJ386,Data!AL386,Data!AN386,Data!AP386,Data!AR386,Data!AT386)</f>
        <v>0</v>
      </c>
      <c r="J385" s="12">
        <f>SUM(Data!DJ386,Data!DL386,Data!DN386,Data!DP386,Data!DR386,Data!DT386,Data!DV386,Data!DX386,Data!DZ386,Data!EB386,Data!ED386,Data!EF386,Data!EH386,Data!EJ386,Data!EL386,Data!EN386,Data!EP386,Data!ER386,Data!ET386)</f>
        <v>0</v>
      </c>
      <c r="K385" s="12">
        <f>J385-I385</f>
        <v>0</v>
      </c>
      <c r="L385">
        <f>IF(I385=0,IF(J385&gt;0,"New",0),(J385-I385)/I385)</f>
        <v>0</v>
      </c>
      <c r="M385" t="str">
        <f>IF(F385=0,"No 2026 Sales",IF(E385=0,"New Product",IF(AND(ISNUMBER(H385),H385&gt;0.1),"↑ Strong Growth",IF(AND(ISNUMBER(H385),H385&gt;0),"↗ Growth",IF(AND(ISNUMBER(H385),H385&lt;-0.1),"↓ Strong Decline",IF(AND(ISNUMBER(H385),H385&lt;0),"↘ Decline","→ Stable"))))))</f>
        <v>No 2026 Sales</v>
      </c>
    </row>
    <row r="386" spans="1:13" hidden="1" x14ac:dyDescent="0.35">
      <c r="A386">
        <f>Data!A387</f>
        <v>216</v>
      </c>
      <c r="B386" t="str">
        <f>Data!B387</f>
        <v>BUTCH  WORS/MINCE/PAT</v>
      </c>
      <c r="C386" s="9">
        <f>Data!C387</f>
        <v>2741</v>
      </c>
      <c r="D386" s="10" t="s">
        <v>1167</v>
      </c>
      <c r="E386" s="11">
        <f>SUM(Data!I387,Data!K387,Data!M387,Data!O387,Data!Q387,Data!S387,Data!U387,Data!W387,Data!Y387,Data!AA387,Data!AC387,Data!AE387,Data!AG387,Data!AI387,Data!AK387,Data!AM387,Data!AO387,Data!AQ387,Data!AS387)</f>
        <v>0</v>
      </c>
      <c r="F386" s="11">
        <f>SUM(Data!DI387,Data!DK387,Data!DM387,Data!DO387,Data!DQ387,Data!DS387,Data!DU387,Data!DW387,Data!DY387,Data!EA387,Data!EC387,Data!EE387,Data!EG387,Data!EI387,Data!EK387,Data!EM387,Data!EO387,Data!EQ387,Data!ES387)</f>
        <v>0</v>
      </c>
      <c r="G386" s="11">
        <f>F386-E386</f>
        <v>0</v>
      </c>
      <c r="H386">
        <f>IF(E386=0,IF(F386&gt;0,"New",0),(F386-E386)/E386)</f>
        <v>0</v>
      </c>
      <c r="I386" s="12">
        <f>SUM(Data!J387,Data!L387,Data!N387,Data!P387,Data!R387,Data!T387,Data!V387,Data!X387,Data!Z387,Data!AB387,Data!AD387,Data!AF387,Data!AH387,Data!AJ387,Data!AL387,Data!AN387,Data!AP387,Data!AR387,Data!AT387)</f>
        <v>0</v>
      </c>
      <c r="J386" s="12">
        <f>SUM(Data!DJ387,Data!DL387,Data!DN387,Data!DP387,Data!DR387,Data!DT387,Data!DV387,Data!DX387,Data!DZ387,Data!EB387,Data!ED387,Data!EF387,Data!EH387,Data!EJ387,Data!EL387,Data!EN387,Data!EP387,Data!ER387,Data!ET387)</f>
        <v>0</v>
      </c>
      <c r="K386" s="12">
        <f>J386-I386</f>
        <v>0</v>
      </c>
      <c r="L386">
        <f>IF(I386=0,IF(J386&gt;0,"New",0),(J386-I386)/I386)</f>
        <v>0</v>
      </c>
      <c r="M386" t="str">
        <f>IF(F386=0,"No 2026 Sales",IF(E386=0,"New Product",IF(AND(ISNUMBER(H386),H386&gt;0.1),"↑ Strong Growth",IF(AND(ISNUMBER(H386),H386&gt;0),"↗ Growth",IF(AND(ISNUMBER(H386),H386&lt;-0.1),"↓ Strong Decline",IF(AND(ISNUMBER(H386),H386&lt;0),"↘ Decline","→ Stable"))))))</f>
        <v>No 2026 Sales</v>
      </c>
    </row>
    <row r="387" spans="1:13" hidden="1" x14ac:dyDescent="0.35">
      <c r="A387">
        <f>Data!A388</f>
        <v>216</v>
      </c>
      <c r="B387" t="str">
        <f>Data!B388</f>
        <v>BUTCH  WORS/MINCE/PAT</v>
      </c>
      <c r="C387" s="9">
        <f>Data!C388</f>
        <v>2743</v>
      </c>
      <c r="D387" s="10" t="s">
        <v>1168</v>
      </c>
      <c r="E387" s="11">
        <f>SUM(Data!I388,Data!K388,Data!M388,Data!O388,Data!Q388,Data!S388,Data!U388,Data!W388,Data!Y388,Data!AA388,Data!AC388,Data!AE388,Data!AG388,Data!AI388,Data!AK388,Data!AM388,Data!AO388,Data!AQ388,Data!AS388)</f>
        <v>0</v>
      </c>
      <c r="F387" s="11">
        <f>SUM(Data!DI388,Data!DK388,Data!DM388,Data!DO388,Data!DQ388,Data!DS388,Data!DU388,Data!DW388,Data!DY388,Data!EA388,Data!EC388,Data!EE388,Data!EG388,Data!EI388,Data!EK388,Data!EM388,Data!EO388,Data!EQ388,Data!ES388)</f>
        <v>0</v>
      </c>
      <c r="G387" s="11">
        <f>F387-E387</f>
        <v>0</v>
      </c>
      <c r="H387">
        <f>IF(E387=0,IF(F387&gt;0,"New",0),(F387-E387)/E387)</f>
        <v>0</v>
      </c>
      <c r="I387" s="12">
        <f>SUM(Data!J388,Data!L388,Data!N388,Data!P388,Data!R388,Data!T388,Data!V388,Data!X388,Data!Z388,Data!AB388,Data!AD388,Data!AF388,Data!AH388,Data!AJ388,Data!AL388,Data!AN388,Data!AP388,Data!AR388,Data!AT388)</f>
        <v>0</v>
      </c>
      <c r="J387" s="12">
        <f>SUM(Data!DJ388,Data!DL388,Data!DN388,Data!DP388,Data!DR388,Data!DT388,Data!DV388,Data!DX388,Data!DZ388,Data!EB388,Data!ED388,Data!EF388,Data!EH388,Data!EJ388,Data!EL388,Data!EN388,Data!EP388,Data!ER388,Data!ET388)</f>
        <v>0</v>
      </c>
      <c r="K387" s="12">
        <f>J387-I387</f>
        <v>0</v>
      </c>
      <c r="L387">
        <f>IF(I387=0,IF(J387&gt;0,"New",0),(J387-I387)/I387)</f>
        <v>0</v>
      </c>
      <c r="M387" t="str">
        <f>IF(F387=0,"No 2026 Sales",IF(E387=0,"New Product",IF(AND(ISNUMBER(H387),H387&gt;0.1),"↑ Strong Growth",IF(AND(ISNUMBER(H387),H387&gt;0),"↗ Growth",IF(AND(ISNUMBER(H387),H387&lt;-0.1),"↓ Strong Decline",IF(AND(ISNUMBER(H387),H387&lt;0),"↘ Decline","→ Stable"))))))</f>
        <v>No 2026 Sales</v>
      </c>
    </row>
    <row r="388" spans="1:13" hidden="1" x14ac:dyDescent="0.35">
      <c r="A388">
        <f>Data!A389</f>
        <v>216</v>
      </c>
      <c r="B388" t="str">
        <f>Data!B389</f>
        <v>BUTCH  WORS/MINCE/PAT</v>
      </c>
      <c r="C388" s="9">
        <f>Data!C389</f>
        <v>2745</v>
      </c>
      <c r="D388" s="10" t="s">
        <v>1169</v>
      </c>
      <c r="E388" s="11">
        <f>SUM(Data!I389,Data!K389,Data!M389,Data!O389,Data!Q389,Data!S389,Data!U389,Data!W389,Data!Y389,Data!AA389,Data!AC389,Data!AE389,Data!AG389,Data!AI389,Data!AK389,Data!AM389,Data!AO389,Data!AQ389,Data!AS389)</f>
        <v>0</v>
      </c>
      <c r="F388" s="11">
        <f>SUM(Data!DI389,Data!DK389,Data!DM389,Data!DO389,Data!DQ389,Data!DS389,Data!DU389,Data!DW389,Data!DY389,Data!EA389,Data!EC389,Data!EE389,Data!EG389,Data!EI389,Data!EK389,Data!EM389,Data!EO389,Data!EQ389,Data!ES389)</f>
        <v>0</v>
      </c>
      <c r="G388" s="11">
        <f>F388-E388</f>
        <v>0</v>
      </c>
      <c r="H388">
        <f>IF(E388=0,IF(F388&gt;0,"New",0),(F388-E388)/E388)</f>
        <v>0</v>
      </c>
      <c r="I388" s="12">
        <f>SUM(Data!J389,Data!L389,Data!N389,Data!P389,Data!R389,Data!T389,Data!V389,Data!X389,Data!Z389,Data!AB389,Data!AD389,Data!AF389,Data!AH389,Data!AJ389,Data!AL389,Data!AN389,Data!AP389,Data!AR389,Data!AT389)</f>
        <v>0</v>
      </c>
      <c r="J388" s="12">
        <f>SUM(Data!DJ389,Data!DL389,Data!DN389,Data!DP389,Data!DR389,Data!DT389,Data!DV389,Data!DX389,Data!DZ389,Data!EB389,Data!ED389,Data!EF389,Data!EH389,Data!EJ389,Data!EL389,Data!EN389,Data!EP389,Data!ER389,Data!ET389)</f>
        <v>0</v>
      </c>
      <c r="K388" s="12">
        <f>J388-I388</f>
        <v>0</v>
      </c>
      <c r="L388">
        <f>IF(I388=0,IF(J388&gt;0,"New",0),(J388-I388)/I388)</f>
        <v>0</v>
      </c>
      <c r="M388" t="str">
        <f>IF(F388=0,"No 2026 Sales",IF(E388=0,"New Product",IF(AND(ISNUMBER(H388),H388&gt;0.1),"↑ Strong Growth",IF(AND(ISNUMBER(H388),H388&gt;0),"↗ Growth",IF(AND(ISNUMBER(H388),H388&lt;-0.1),"↓ Strong Decline",IF(AND(ISNUMBER(H388),H388&lt;0),"↘ Decline","→ Stable"))))))</f>
        <v>No 2026 Sales</v>
      </c>
    </row>
    <row r="389" spans="1:13" x14ac:dyDescent="0.35">
      <c r="A389">
        <f>Data!A390</f>
        <v>216</v>
      </c>
      <c r="B389" t="str">
        <f>Data!B390</f>
        <v>BUTCH  WORS/MINCE/PAT</v>
      </c>
      <c r="C389" s="9">
        <f>Data!C390</f>
        <v>11147</v>
      </c>
      <c r="D389" s="10" t="s">
        <v>1170</v>
      </c>
      <c r="E389" s="11">
        <f>SUM(Data!I390,Data!K390,Data!M390,Data!O390,Data!Q390,Data!S390,Data!U390,Data!W390,Data!Y390,Data!AA390,Data!AC390,Data!AE390,Data!AG390,Data!AI390,Data!AK390,Data!AM390,Data!AO390,Data!AQ390,Data!AS390)</f>
        <v>0</v>
      </c>
      <c r="F389" s="11">
        <f>SUM(Data!DI390,Data!DK390,Data!DM390,Data!DO390,Data!DQ390,Data!DS390,Data!DU390,Data!DW390,Data!DY390,Data!EA390,Data!EC390,Data!EE390,Data!EG390,Data!EI390,Data!EK390,Data!EM390,Data!EO390,Data!EQ390,Data!ES390)</f>
        <v>24920.382608695647</v>
      </c>
      <c r="G389" s="11">
        <f>F389-E389</f>
        <v>24920.382608695647</v>
      </c>
      <c r="H389" s="13" t="str">
        <f>IF(E389=0,IF(F389&gt;0,"New",0),(F389-E389)/E389)</f>
        <v>New</v>
      </c>
      <c r="I389" s="12">
        <f>SUM(Data!J390,Data!L390,Data!N390,Data!P390,Data!R390,Data!T390,Data!V390,Data!X390,Data!Z390,Data!AB390,Data!AD390,Data!AF390,Data!AH390,Data!AJ390,Data!AL390,Data!AN390,Data!AP390,Data!AR390,Data!AT390)</f>
        <v>0</v>
      </c>
      <c r="J389" s="12">
        <f>SUM(Data!DJ390,Data!DL390,Data!DN390,Data!DP390,Data!DR390,Data!DT390,Data!DV390,Data!DX390,Data!DZ390,Data!EB390,Data!ED390,Data!EF390,Data!EH390,Data!EJ390,Data!EL390,Data!EN390,Data!EP390,Data!ER390,Data!ET390)</f>
        <v>286.88099999999997</v>
      </c>
      <c r="K389" s="12">
        <f>J389-I389</f>
        <v>286.88099999999997</v>
      </c>
      <c r="L389" s="13" t="str">
        <f>IF(I389=0,IF(J389&gt;0,"New",0),(J389-I389)/I389)</f>
        <v>New</v>
      </c>
      <c r="M389" t="str">
        <f>IF(F389=0,"No 2026 Sales",IF(E389=0,"New Product",IF(AND(ISNUMBER(H389),H389&gt;0.1),"↑ Strong Growth",IF(AND(ISNUMBER(H389),H389&gt;0),"↗ Growth",IF(AND(ISNUMBER(H389),H389&lt;-0.1),"↓ Strong Decline",IF(AND(ISNUMBER(H389),H389&lt;0),"↘ Decline","→ Stable"))))))</f>
        <v>New Product</v>
      </c>
    </row>
    <row r="390" spans="1:13" hidden="1" x14ac:dyDescent="0.35">
      <c r="A390">
        <f>Data!A391</f>
        <v>216</v>
      </c>
      <c r="B390" t="str">
        <f>Data!B391</f>
        <v>BUTCH  WORS/MINCE/PAT</v>
      </c>
      <c r="C390" s="9">
        <f>Data!C391</f>
        <v>12131</v>
      </c>
      <c r="D390" s="10" t="s">
        <v>1171</v>
      </c>
      <c r="E390" s="11">
        <f>SUM(Data!I391,Data!K391,Data!M391,Data!O391,Data!Q391,Data!S391,Data!U391,Data!W391,Data!Y391,Data!AA391,Data!AC391,Data!AE391,Data!AG391,Data!AI391,Data!AK391,Data!AM391,Data!AO391,Data!AQ391,Data!AS391)</f>
        <v>0</v>
      </c>
      <c r="F390" s="11">
        <f>SUM(Data!DI391,Data!DK391,Data!DM391,Data!DO391,Data!DQ391,Data!DS391,Data!DU391,Data!DW391,Data!DY391,Data!EA391,Data!EC391,Data!EE391,Data!EG391,Data!EI391,Data!EK391,Data!EM391,Data!EO391,Data!EQ391,Data!ES391)</f>
        <v>0</v>
      </c>
      <c r="G390" s="11">
        <f>F390-E390</f>
        <v>0</v>
      </c>
      <c r="H390">
        <f>IF(E390=0,IF(F390&gt;0,"New",0),(F390-E390)/E390)</f>
        <v>0</v>
      </c>
      <c r="I390" s="12">
        <f>SUM(Data!J391,Data!L391,Data!N391,Data!P391,Data!R391,Data!T391,Data!V391,Data!X391,Data!Z391,Data!AB391,Data!AD391,Data!AF391,Data!AH391,Data!AJ391,Data!AL391,Data!AN391,Data!AP391,Data!AR391,Data!AT391)</f>
        <v>0</v>
      </c>
      <c r="J390" s="12">
        <f>SUM(Data!DJ391,Data!DL391,Data!DN391,Data!DP391,Data!DR391,Data!DT391,Data!DV391,Data!DX391,Data!DZ391,Data!EB391,Data!ED391,Data!EF391,Data!EH391,Data!EJ391,Data!EL391,Data!EN391,Data!EP391,Data!ER391,Data!ET391)</f>
        <v>0</v>
      </c>
      <c r="K390" s="12">
        <f>J390-I390</f>
        <v>0</v>
      </c>
      <c r="L390">
        <f>IF(I390=0,IF(J390&gt;0,"New",0),(J390-I390)/I390)</f>
        <v>0</v>
      </c>
      <c r="M390" t="str">
        <f>IF(F390=0,"No 2026 Sales",IF(E390=0,"New Product",IF(AND(ISNUMBER(H390),H390&gt;0.1),"↑ Strong Growth",IF(AND(ISNUMBER(H390),H390&gt;0),"↗ Growth",IF(AND(ISNUMBER(H390),H390&lt;-0.1),"↓ Strong Decline",IF(AND(ISNUMBER(H390),H390&lt;0),"↘ Decline","→ Stable"))))))</f>
        <v>No 2026 Sales</v>
      </c>
    </row>
    <row r="391" spans="1:13" hidden="1" x14ac:dyDescent="0.35">
      <c r="A391">
        <f>Data!A392</f>
        <v>216</v>
      </c>
      <c r="B391" t="str">
        <f>Data!B392</f>
        <v>BUTCH  WORS/MINCE/PAT</v>
      </c>
      <c r="C391" s="9">
        <f>Data!C392</f>
        <v>12140</v>
      </c>
      <c r="D391" s="10" t="s">
        <v>1172</v>
      </c>
      <c r="E391" s="11">
        <f>SUM(Data!I392,Data!K392,Data!M392,Data!O392,Data!Q392,Data!S392,Data!U392,Data!W392,Data!Y392,Data!AA392,Data!AC392,Data!AE392,Data!AG392,Data!AI392,Data!AK392,Data!AM392,Data!AO392,Data!AQ392,Data!AS392)</f>
        <v>0</v>
      </c>
      <c r="F391" s="11">
        <f>SUM(Data!DI392,Data!DK392,Data!DM392,Data!DO392,Data!DQ392,Data!DS392,Data!DU392,Data!DW392,Data!DY392,Data!EA392,Data!EC392,Data!EE392,Data!EG392,Data!EI392,Data!EK392,Data!EM392,Data!EO392,Data!EQ392,Data!ES392)</f>
        <v>0</v>
      </c>
      <c r="G391" s="11">
        <f>F391-E391</f>
        <v>0</v>
      </c>
      <c r="H391">
        <f>IF(E391=0,IF(F391&gt;0,"New",0),(F391-E391)/E391)</f>
        <v>0</v>
      </c>
      <c r="I391" s="12">
        <f>SUM(Data!J392,Data!L392,Data!N392,Data!P392,Data!R392,Data!T392,Data!V392,Data!X392,Data!Z392,Data!AB392,Data!AD392,Data!AF392,Data!AH392,Data!AJ392,Data!AL392,Data!AN392,Data!AP392,Data!AR392,Data!AT392)</f>
        <v>0</v>
      </c>
      <c r="J391" s="12">
        <f>SUM(Data!DJ392,Data!DL392,Data!DN392,Data!DP392,Data!DR392,Data!DT392,Data!DV392,Data!DX392,Data!DZ392,Data!EB392,Data!ED392,Data!EF392,Data!EH392,Data!EJ392,Data!EL392,Data!EN392,Data!EP392,Data!ER392,Data!ET392)</f>
        <v>0</v>
      </c>
      <c r="K391" s="12">
        <f>J391-I391</f>
        <v>0</v>
      </c>
      <c r="L391">
        <f>IF(I391=0,IF(J391&gt;0,"New",0),(J391-I391)/I391)</f>
        <v>0</v>
      </c>
      <c r="M391" t="str">
        <f>IF(F391=0,"No 2026 Sales",IF(E391=0,"New Product",IF(AND(ISNUMBER(H391),H391&gt;0.1),"↑ Strong Growth",IF(AND(ISNUMBER(H391),H391&gt;0),"↗ Growth",IF(AND(ISNUMBER(H391),H391&lt;-0.1),"↓ Strong Decline",IF(AND(ISNUMBER(H391),H391&lt;0),"↘ Decline","→ Stable"))))))</f>
        <v>No 2026 Sales</v>
      </c>
    </row>
    <row r="392" spans="1:13" x14ac:dyDescent="0.35">
      <c r="A392">
        <f>Data!A393</f>
        <v>216</v>
      </c>
      <c r="B392" t="str">
        <f>Data!B393</f>
        <v>BUTCH  WORS/MINCE/PAT</v>
      </c>
      <c r="C392" s="9">
        <f>Data!C393</f>
        <v>16182</v>
      </c>
      <c r="D392" s="10" t="s">
        <v>1173</v>
      </c>
      <c r="E392" s="11">
        <f>SUM(Data!I393,Data!K393,Data!M393,Data!O393,Data!Q393,Data!S393,Data!U393,Data!W393,Data!Y393,Data!AA393,Data!AC393,Data!AE393,Data!AG393,Data!AI393,Data!AK393,Data!AM393,Data!AO393,Data!AQ393,Data!AS393)</f>
        <v>4831.0956521739099</v>
      </c>
      <c r="F392" s="11">
        <f>SUM(Data!DI393,Data!DK393,Data!DM393,Data!DO393,Data!DQ393,Data!DS393,Data!DU393,Data!DW393,Data!DY393,Data!EA393,Data!EC393,Data!EE393,Data!EG393,Data!EI393,Data!EK393,Data!EM393,Data!EO393,Data!EQ393,Data!ES393)</f>
        <v>26588.695652173916</v>
      </c>
      <c r="G392" s="11">
        <f>F392-E392</f>
        <v>21757.600000000006</v>
      </c>
      <c r="H392" s="13">
        <f>IF(E392=0,IF(F392&gt;0,"New",0),(F392-E392)/E392)</f>
        <v>4.5036574654052774</v>
      </c>
      <c r="I392" s="12">
        <f>SUM(Data!J393,Data!L393,Data!N393,Data!P393,Data!R393,Data!T393,Data!V393,Data!X393,Data!Z393,Data!AB393,Data!AD393,Data!AF393,Data!AH393,Data!AJ393,Data!AL393,Data!AN393,Data!AP393,Data!AR393,Data!AT393)</f>
        <v>50.510000000000005</v>
      </c>
      <c r="J392" s="12">
        <f>SUM(Data!DJ393,Data!DL393,Data!DN393,Data!DP393,Data!DR393,Data!DT393,Data!DV393,Data!DX393,Data!DZ393,Data!EB393,Data!ED393,Data!EF393,Data!EH393,Data!EJ393,Data!EL393,Data!EN393,Data!EP393,Data!ER393,Data!ET393)</f>
        <v>274.31200000000001</v>
      </c>
      <c r="K392" s="12">
        <f>J392-I392</f>
        <v>223.80200000000002</v>
      </c>
      <c r="L392" s="13">
        <f>IF(I392=0,IF(J392&gt;0,"New",0),(J392-I392)/I392)</f>
        <v>4.4308453771530392</v>
      </c>
      <c r="M392" t="str">
        <f>IF(F392=0,"No 2026 Sales",IF(E392=0,"New Product",IF(AND(ISNUMBER(H392),H392&gt;0.1),"↑ Strong Growth",IF(AND(ISNUMBER(H392),H392&gt;0),"↗ Growth",IF(AND(ISNUMBER(H392),H392&lt;-0.1),"↓ Strong Decline",IF(AND(ISNUMBER(H392),H392&lt;0),"↘ Decline","→ Stable"))))))</f>
        <v>↑ Strong Growth</v>
      </c>
    </row>
    <row r="393" spans="1:13" x14ac:dyDescent="0.35">
      <c r="A393">
        <f>Data!A394</f>
        <v>216</v>
      </c>
      <c r="B393" t="str">
        <f>Data!B394</f>
        <v>BUTCH  WORS/MINCE/PAT</v>
      </c>
      <c r="C393" s="9">
        <f>Data!C394</f>
        <v>32043</v>
      </c>
      <c r="D393" s="10" t="s">
        <v>1174</v>
      </c>
      <c r="E393" s="11">
        <f>SUM(Data!I394,Data!K394,Data!M394,Data!O394,Data!Q394,Data!S394,Data!U394,Data!W394,Data!Y394,Data!AA394,Data!AC394,Data!AE394,Data!AG394,Data!AI394,Data!AK394,Data!AM394,Data!AO394,Data!AQ394,Data!AS394)</f>
        <v>2901.47826086957</v>
      </c>
      <c r="F393" s="11">
        <f>SUM(Data!DI394,Data!DK394,Data!DM394,Data!DO394,Data!DQ394,Data!DS394,Data!DU394,Data!DW394,Data!DY394,Data!EA394,Data!EC394,Data!EE394,Data!EG394,Data!EI394,Data!EK394,Data!EM394,Data!EO394,Data!EQ394,Data!ES394)</f>
        <v>19053.799999999992</v>
      </c>
      <c r="G393" s="11">
        <f>F393-E393</f>
        <v>16152.321739130422</v>
      </c>
      <c r="H393" s="13">
        <f>IF(E393=0,IF(F393&gt;0,"New",0),(F393-E393)/E393)</f>
        <v>5.5669284023136498</v>
      </c>
      <c r="I393" s="12">
        <f>SUM(Data!J394,Data!L394,Data!N394,Data!P394,Data!R394,Data!T394,Data!V394,Data!X394,Data!Z394,Data!AB394,Data!AD394,Data!AF394,Data!AH394,Data!AJ394,Data!AL394,Data!AN394,Data!AP394,Data!AR394,Data!AT394)</f>
        <v>30.611999999999998</v>
      </c>
      <c r="J393" s="12">
        <f>SUM(Data!DJ394,Data!DL394,Data!DN394,Data!DP394,Data!DR394,Data!DT394,Data!DV394,Data!DX394,Data!DZ394,Data!EB394,Data!ED394,Data!EF394,Data!EH394,Data!EJ394,Data!EL394,Data!EN394,Data!EP394,Data!ER394,Data!ET394)</f>
        <v>164.97700000000003</v>
      </c>
      <c r="K393" s="12">
        <f>J393-I393</f>
        <v>134.36500000000004</v>
      </c>
      <c r="L393" s="13">
        <f>IF(I393=0,IF(J393&gt;0,"New",0),(J393-I393)/I393)</f>
        <v>4.3892917810009164</v>
      </c>
      <c r="M393" t="str">
        <f>IF(F393=0,"No 2026 Sales",IF(E393=0,"New Product",IF(AND(ISNUMBER(H393),H393&gt;0.1),"↑ Strong Growth",IF(AND(ISNUMBER(H393),H393&gt;0),"↗ Growth",IF(AND(ISNUMBER(H393),H393&lt;-0.1),"↓ Strong Decline",IF(AND(ISNUMBER(H393),H393&lt;0),"↘ Decline","→ Stable"))))))</f>
        <v>↑ Strong Growth</v>
      </c>
    </row>
    <row r="394" spans="1:13" x14ac:dyDescent="0.35">
      <c r="A394">
        <f>Data!A395</f>
        <v>216</v>
      </c>
      <c r="B394" t="str">
        <f>Data!B395</f>
        <v>BUTCH  WORS/MINCE/PAT</v>
      </c>
      <c r="C394" s="9">
        <f>Data!C395</f>
        <v>32044</v>
      </c>
      <c r="D394" s="10" t="s">
        <v>1175</v>
      </c>
      <c r="E394" s="11">
        <f>SUM(Data!I395,Data!K395,Data!M395,Data!O395,Data!Q395,Data!S395,Data!U395,Data!W395,Data!Y395,Data!AA395,Data!AC395,Data!AE395,Data!AG395,Data!AI395,Data!AK395,Data!AM395,Data!AO395,Data!AQ395,Data!AS395)</f>
        <v>14861.156521739127</v>
      </c>
      <c r="F394" s="11">
        <f>SUM(Data!DI395,Data!DK395,Data!DM395,Data!DO395,Data!DQ395,Data!DS395,Data!DU395,Data!DW395,Data!DY395,Data!EA395,Data!EC395,Data!EE395,Data!EG395,Data!EI395,Data!EK395,Data!EM395,Data!EO395,Data!EQ395,Data!ES395)</f>
        <v>4023.2173913043462</v>
      </c>
      <c r="G394" s="11">
        <f>F394-E394</f>
        <v>-10837.939130434781</v>
      </c>
      <c r="H394" s="13">
        <f>IF(E394=0,IF(F394&gt;0,"New",0),(F394-E394)/E394)</f>
        <v>-0.72927965697561137</v>
      </c>
      <c r="I394" s="12">
        <f>SUM(Data!J395,Data!L395,Data!N395,Data!P395,Data!R395,Data!T395,Data!V395,Data!X395,Data!Z395,Data!AB395,Data!AD395,Data!AF395,Data!AH395,Data!AJ395,Data!AL395,Data!AN395,Data!AP395,Data!AR395,Data!AT395)</f>
        <v>169.86499999999998</v>
      </c>
      <c r="J394" s="12">
        <f>SUM(Data!DJ395,Data!DL395,Data!DN395,Data!DP395,Data!DR395,Data!DT395,Data!DV395,Data!DX395,Data!DZ395,Data!EB395,Data!ED395,Data!EF395,Data!EH395,Data!EJ395,Data!EL395,Data!EN395,Data!EP395,Data!ER395,Data!ET395)</f>
        <v>36.389000000000003</v>
      </c>
      <c r="K394" s="12">
        <f>J394-I394</f>
        <v>-133.47599999999997</v>
      </c>
      <c r="L394" s="13">
        <f>IF(I394=0,IF(J394&gt;0,"New",0),(J394-I394)/I394)</f>
        <v>-0.78577694051158264</v>
      </c>
      <c r="M394" t="str">
        <f>IF(F394=0,"No 2026 Sales",IF(E394=0,"New Product",IF(AND(ISNUMBER(H394),H394&gt;0.1),"↑ Strong Growth",IF(AND(ISNUMBER(H394),H394&gt;0),"↗ Growth",IF(AND(ISNUMBER(H394),H394&lt;-0.1),"↓ Strong Decline",IF(AND(ISNUMBER(H394),H394&lt;0),"↘ Decline","→ Stable"))))))</f>
        <v>↓ Strong Decline</v>
      </c>
    </row>
    <row r="395" spans="1:13" x14ac:dyDescent="0.35">
      <c r="A395">
        <f>Data!A396</f>
        <v>216</v>
      </c>
      <c r="B395" t="str">
        <f>Data!B396</f>
        <v>BUTCH  WORS/MINCE/PAT</v>
      </c>
      <c r="C395" s="9">
        <f>Data!C396</f>
        <v>34160</v>
      </c>
      <c r="D395" s="10" t="s">
        <v>1176</v>
      </c>
      <c r="E395" s="11">
        <f>SUM(Data!I396,Data!K396,Data!M396,Data!O396,Data!Q396,Data!S396,Data!U396,Data!W396,Data!Y396,Data!AA396,Data!AC396,Data!AE396,Data!AG396,Data!AI396,Data!AK396,Data!AM396,Data!AO396,Data!AQ396,Data!AS396)</f>
        <v>57428.913043478256</v>
      </c>
      <c r="F395" s="11">
        <f>SUM(Data!DI396,Data!DK396,Data!DM396,Data!DO396,Data!DQ396,Data!DS396,Data!DU396,Data!DW396,Data!DY396,Data!EA396,Data!EC396,Data!EE396,Data!EG396,Data!EI396,Data!EK396,Data!EM396,Data!EO396,Data!EQ396,Data!ES396)</f>
        <v>63873.495652173915</v>
      </c>
      <c r="G395" s="11">
        <f>F395-E395</f>
        <v>6444.5826086956586</v>
      </c>
      <c r="H395" s="13">
        <f>IF(E395=0,IF(F395&gt;0,"New",0),(F395-E395)/E395)</f>
        <v>0.11221843261801938</v>
      </c>
      <c r="I395" s="12">
        <f>SUM(Data!J396,Data!L396,Data!N396,Data!P396,Data!R396,Data!T396,Data!V396,Data!X396,Data!Z396,Data!AB396,Data!AD396,Data!AF396,Data!AH396,Data!AJ396,Data!AL396,Data!AN396,Data!AP396,Data!AR396,Data!AT396)</f>
        <v>627.70600000000013</v>
      </c>
      <c r="J395" s="12">
        <f>SUM(Data!DJ396,Data!DL396,Data!DN396,Data!DP396,Data!DR396,Data!DT396,Data!DV396,Data!DX396,Data!DZ396,Data!EB396,Data!ED396,Data!EF396,Data!EH396,Data!EJ396,Data!EL396,Data!EN396,Data!EP396,Data!ER396,Data!ET396)</f>
        <v>670.46900000000005</v>
      </c>
      <c r="K395" s="12">
        <f>J395-I395</f>
        <v>42.76299999999992</v>
      </c>
      <c r="L395" s="13">
        <f>IF(I395=0,IF(J395&gt;0,"New",0),(J395-I395)/I395)</f>
        <v>6.8125842352948537E-2</v>
      </c>
      <c r="M395" t="str">
        <f>IF(F395=0,"No 2026 Sales",IF(E395=0,"New Product",IF(AND(ISNUMBER(H395),H395&gt;0.1),"↑ Strong Growth",IF(AND(ISNUMBER(H395),H395&gt;0),"↗ Growth",IF(AND(ISNUMBER(H395),H395&lt;-0.1),"↓ Strong Decline",IF(AND(ISNUMBER(H395),H395&lt;0),"↘ Decline","→ Stable"))))))</f>
        <v>↑ Strong Growth</v>
      </c>
    </row>
    <row r="396" spans="1:13" x14ac:dyDescent="0.35">
      <c r="A396">
        <f>Data!A397</f>
        <v>216</v>
      </c>
      <c r="B396" t="str">
        <f>Data!B397</f>
        <v>BUTCH  WORS/MINCE/PAT</v>
      </c>
      <c r="C396" s="9">
        <f>Data!C397</f>
        <v>34189</v>
      </c>
      <c r="D396" s="10" t="s">
        <v>1177</v>
      </c>
      <c r="E396" s="11">
        <f>SUM(Data!I397,Data!K397,Data!M397,Data!O397,Data!Q397,Data!S397,Data!U397,Data!W397,Data!Y397,Data!AA397,Data!AC397,Data!AE397,Data!AG397,Data!AI397,Data!AK397,Data!AM397,Data!AO397,Data!AQ397,Data!AS397)</f>
        <v>39887.713043478245</v>
      </c>
      <c r="F396" s="11">
        <f>SUM(Data!DI397,Data!DK397,Data!DM397,Data!DO397,Data!DQ397,Data!DS397,Data!DU397,Data!DW397,Data!DY397,Data!EA397,Data!EC397,Data!EE397,Data!EG397,Data!EI397,Data!EK397,Data!EM397,Data!EO397,Data!EQ397,Data!ES397)</f>
        <v>43339.669565217388</v>
      </c>
      <c r="G396" s="11">
        <f>F396-E396</f>
        <v>3451.9565217391428</v>
      </c>
      <c r="H396" s="13">
        <f>IF(E396=0,IF(F396&gt;0,"New",0),(F396-E396)/E396)</f>
        <v>8.654185107018933E-2</v>
      </c>
      <c r="I396" s="12">
        <f>SUM(Data!J397,Data!L397,Data!N397,Data!P397,Data!R397,Data!T397,Data!V397,Data!X397,Data!Z397,Data!AB397,Data!AD397,Data!AF397,Data!AH397,Data!AJ397,Data!AL397,Data!AN397,Data!AP397,Data!AR397,Data!AT397)</f>
        <v>396.87599999999992</v>
      </c>
      <c r="J396" s="12">
        <f>SUM(Data!DJ397,Data!DL397,Data!DN397,Data!DP397,Data!DR397,Data!DT397,Data!DV397,Data!DX397,Data!DZ397,Data!EB397,Data!ED397,Data!EF397,Data!EH397,Data!EJ397,Data!EL397,Data!EN397,Data!EP397,Data!ER397,Data!ET397)</f>
        <v>372.93200000000007</v>
      </c>
      <c r="K396" s="12">
        <f>J396-I396</f>
        <v>-23.943999999999846</v>
      </c>
      <c r="L396" s="13">
        <f>IF(I396=0,IF(J396&gt;0,"New",0),(J396-I396)/I396)</f>
        <v>-6.0331186567088586E-2</v>
      </c>
      <c r="M396" t="str">
        <f>IF(F396=0,"No 2026 Sales",IF(E396=0,"New Product",IF(AND(ISNUMBER(H396),H396&gt;0.1),"↑ Strong Growth",IF(AND(ISNUMBER(H396),H396&gt;0),"↗ Growth",IF(AND(ISNUMBER(H396),H396&lt;-0.1),"↓ Strong Decline",IF(AND(ISNUMBER(H396),H396&lt;0),"↘ Decline","→ Stable"))))))</f>
        <v>↗ Growth</v>
      </c>
    </row>
    <row r="397" spans="1:13" hidden="1" x14ac:dyDescent="0.35">
      <c r="A397">
        <f>Data!A398</f>
        <v>216</v>
      </c>
      <c r="B397" t="str">
        <f>Data!B398</f>
        <v>BUTCH  WORS/MINCE/PAT</v>
      </c>
      <c r="C397" s="9">
        <f>Data!C398</f>
        <v>34194</v>
      </c>
      <c r="D397" s="10" t="s">
        <v>1178</v>
      </c>
      <c r="E397" s="11">
        <f>SUM(Data!I398,Data!K398,Data!M398,Data!O398,Data!Q398,Data!S398,Data!U398,Data!W398,Data!Y398,Data!AA398,Data!AC398,Data!AE398,Data!AG398,Data!AI398,Data!AK398,Data!AM398,Data!AO398,Data!AQ398,Data!AS398)</f>
        <v>0</v>
      </c>
      <c r="F397" s="11">
        <f>SUM(Data!DI398,Data!DK398,Data!DM398,Data!DO398,Data!DQ398,Data!DS398,Data!DU398,Data!DW398,Data!DY398,Data!EA398,Data!EC398,Data!EE398,Data!EG398,Data!EI398,Data!EK398,Data!EM398,Data!EO398,Data!EQ398,Data!ES398)</f>
        <v>0</v>
      </c>
      <c r="G397" s="11">
        <f>F397-E397</f>
        <v>0</v>
      </c>
      <c r="H397">
        <f>IF(E397=0,IF(F397&gt;0,"New",0),(F397-E397)/E397)</f>
        <v>0</v>
      </c>
      <c r="I397" s="12">
        <f>SUM(Data!J398,Data!L398,Data!N398,Data!P398,Data!R398,Data!T398,Data!V398,Data!X398,Data!Z398,Data!AB398,Data!AD398,Data!AF398,Data!AH398,Data!AJ398,Data!AL398,Data!AN398,Data!AP398,Data!AR398,Data!AT398)</f>
        <v>0</v>
      </c>
      <c r="J397" s="12">
        <f>SUM(Data!DJ398,Data!DL398,Data!DN398,Data!DP398,Data!DR398,Data!DT398,Data!DV398,Data!DX398,Data!DZ398,Data!EB398,Data!ED398,Data!EF398,Data!EH398,Data!EJ398,Data!EL398,Data!EN398,Data!EP398,Data!ER398,Data!ET398)</f>
        <v>0</v>
      </c>
      <c r="K397" s="12">
        <f>J397-I397</f>
        <v>0</v>
      </c>
      <c r="L397">
        <f>IF(I397=0,IF(J397&gt;0,"New",0),(J397-I397)/I397)</f>
        <v>0</v>
      </c>
      <c r="M397" t="str">
        <f>IF(F397=0,"No 2026 Sales",IF(E397=0,"New Product",IF(AND(ISNUMBER(H397),H397&gt;0.1),"↑ Strong Growth",IF(AND(ISNUMBER(H397),H397&gt;0),"↗ Growth",IF(AND(ISNUMBER(H397),H397&lt;-0.1),"↓ Strong Decline",IF(AND(ISNUMBER(H397),H397&lt;0),"↘ Decline","→ Stable"))))))</f>
        <v>No 2026 Sales</v>
      </c>
    </row>
    <row r="398" spans="1:13" x14ac:dyDescent="0.35">
      <c r="A398">
        <f>Data!A399</f>
        <v>216</v>
      </c>
      <c r="B398" t="str">
        <f>Data!B399</f>
        <v>BUTCH  WORS/MINCE/PAT</v>
      </c>
      <c r="C398" s="9">
        <f>Data!C399</f>
        <v>34196</v>
      </c>
      <c r="D398" s="10" t="s">
        <v>1179</v>
      </c>
      <c r="E398" s="11">
        <f>SUM(Data!I399,Data!K399,Data!M399,Data!O399,Data!Q399,Data!S399,Data!U399,Data!W399,Data!Y399,Data!AA399,Data!AC399,Data!AE399,Data!AG399,Data!AI399,Data!AK399,Data!AM399,Data!AO399,Data!AQ399,Data!AS399)</f>
        <v>16333.895652173907</v>
      </c>
      <c r="F398" s="11">
        <f>SUM(Data!DI399,Data!DK399,Data!DM399,Data!DO399,Data!DQ399,Data!DS399,Data!DU399,Data!DW399,Data!DY399,Data!EA399,Data!EC399,Data!EE399,Data!EG399,Data!EI399,Data!EK399,Data!EM399,Data!EO399,Data!EQ399,Data!ES399)</f>
        <v>4108.878260869571</v>
      </c>
      <c r="G398" s="11">
        <f>F398-E398</f>
        <v>-12225.017391304336</v>
      </c>
      <c r="H398" s="13">
        <f>IF(E398=0,IF(F398&gt;0,"New",0),(F398-E398)/E398)</f>
        <v>-0.74844468531163211</v>
      </c>
      <c r="I398" s="12">
        <f>SUM(Data!J399,Data!L399,Data!N399,Data!P399,Data!R399,Data!T399,Data!V399,Data!X399,Data!Z399,Data!AB399,Data!AD399,Data!AF399,Data!AH399,Data!AJ399,Data!AL399,Data!AN399,Data!AP399,Data!AR399,Data!AT399)</f>
        <v>186.94600000000003</v>
      </c>
      <c r="J398" s="12">
        <f>SUM(Data!DJ399,Data!DL399,Data!DN399,Data!DP399,Data!DR399,Data!DT399,Data!DV399,Data!DX399,Data!DZ399,Data!EB399,Data!ED399,Data!EF399,Data!EH399,Data!EJ399,Data!EL399,Data!EN399,Data!EP399,Data!ER399,Data!ET399)</f>
        <v>39.381</v>
      </c>
      <c r="K398" s="12">
        <f>J398-I398</f>
        <v>-147.56500000000003</v>
      </c>
      <c r="L398" s="13">
        <f>IF(I398=0,IF(J398&gt;0,"New",0),(J398-I398)/I398)</f>
        <v>-0.78934558642602681</v>
      </c>
      <c r="M398" t="str">
        <f>IF(F398=0,"No 2026 Sales",IF(E398=0,"New Product",IF(AND(ISNUMBER(H398),H398&gt;0.1),"↑ Strong Growth",IF(AND(ISNUMBER(H398),H398&gt;0),"↗ Growth",IF(AND(ISNUMBER(H398),H398&lt;-0.1),"↓ Strong Decline",IF(AND(ISNUMBER(H398),H398&lt;0),"↘ Decline","→ Stable"))))))</f>
        <v>↓ Strong Decline</v>
      </c>
    </row>
    <row r="399" spans="1:13" x14ac:dyDescent="0.35">
      <c r="A399">
        <f>Data!A400</f>
        <v>216</v>
      </c>
      <c r="B399" t="str">
        <f>Data!B400</f>
        <v>BUTCH  WORS/MINCE/PAT</v>
      </c>
      <c r="C399" s="9">
        <f>Data!C400</f>
        <v>34197</v>
      </c>
      <c r="D399" s="10" t="s">
        <v>1180</v>
      </c>
      <c r="E399" s="11">
        <f>SUM(Data!I400,Data!K400,Data!M400,Data!O400,Data!Q400,Data!S400,Data!U400,Data!W400,Data!Y400,Data!AA400,Data!AC400,Data!AE400,Data!AG400,Data!AI400,Data!AK400,Data!AM400,Data!AO400,Data!AQ400,Data!AS400)</f>
        <v>2953.1043478260899</v>
      </c>
      <c r="F399" s="11">
        <f>SUM(Data!DI400,Data!DK400,Data!DM400,Data!DO400,Data!DQ400,Data!DS400,Data!DU400,Data!DW400,Data!DY400,Data!EA400,Data!EC400,Data!EE400,Data!EG400,Data!EI400,Data!EK400,Data!EM400,Data!EO400,Data!EQ400,Data!ES400)</f>
        <v>22461.747826086958</v>
      </c>
      <c r="G399" s="11">
        <f>F399-E399</f>
        <v>19508.643478260867</v>
      </c>
      <c r="H399" s="13">
        <f>IF(E399=0,IF(F399&gt;0,"New",0),(F399-E399)/E399)</f>
        <v>6.6061476942465776</v>
      </c>
      <c r="I399" s="12">
        <f>SUM(Data!J400,Data!L400,Data!N400,Data!P400,Data!R400,Data!T400,Data!V400,Data!X400,Data!Z400,Data!AB400,Data!AD400,Data!AF400,Data!AH400,Data!AJ400,Data!AL400,Data!AN400,Data!AP400,Data!AR400,Data!AT400)</f>
        <v>34.304000000000002</v>
      </c>
      <c r="J399" s="12">
        <f>SUM(Data!DJ400,Data!DL400,Data!DN400,Data!DP400,Data!DR400,Data!DT400,Data!DV400,Data!DX400,Data!DZ400,Data!EB400,Data!ED400,Data!EF400,Data!EH400,Data!EJ400,Data!EL400,Data!EN400,Data!EP400,Data!ER400,Data!ET400)</f>
        <v>209.03100000000001</v>
      </c>
      <c r="K399" s="12">
        <f>J399-I399</f>
        <v>174.727</v>
      </c>
      <c r="L399" s="13">
        <f>IF(I399=0,IF(J399&gt;0,"New",0),(J399-I399)/I399)</f>
        <v>5.0934876399253728</v>
      </c>
      <c r="M399" t="str">
        <f>IF(F399=0,"No 2026 Sales",IF(E399=0,"New Product",IF(AND(ISNUMBER(H399),H399&gt;0.1),"↑ Strong Growth",IF(AND(ISNUMBER(H399),H399&gt;0),"↗ Growth",IF(AND(ISNUMBER(H399),H399&lt;-0.1),"↓ Strong Decline",IF(AND(ISNUMBER(H399),H399&lt;0),"↘ Decline","→ Stable"))))))</f>
        <v>↑ Strong Growth</v>
      </c>
    </row>
    <row r="400" spans="1:13" x14ac:dyDescent="0.35">
      <c r="A400">
        <f>Data!A401</f>
        <v>216</v>
      </c>
      <c r="B400" t="str">
        <f>Data!B401</f>
        <v>BUTCH  WORS/MINCE/PAT</v>
      </c>
      <c r="C400" s="9">
        <f>Data!C401</f>
        <v>34198</v>
      </c>
      <c r="D400" s="10" t="s">
        <v>1181</v>
      </c>
      <c r="E400" s="11">
        <f>SUM(Data!I401,Data!K401,Data!M401,Data!O401,Data!Q401,Data!S401,Data!U401,Data!W401,Data!Y401,Data!AA401,Data!AC401,Data!AE401,Data!AG401,Data!AI401,Data!AK401,Data!AM401,Data!AO401,Data!AQ401,Data!AS401)</f>
        <v>13949.382608695647</v>
      </c>
      <c r="F400" s="11">
        <f>SUM(Data!DI401,Data!DK401,Data!DM401,Data!DO401,Data!DQ401,Data!DS401,Data!DU401,Data!DW401,Data!DY401,Data!EA401,Data!EC401,Data!EE401,Data!EG401,Data!EI401,Data!EK401,Data!EM401,Data!EO401,Data!EQ401,Data!ES401)</f>
        <v>29775.043478260883</v>
      </c>
      <c r="G400" s="11">
        <f>F400-E400</f>
        <v>15825.660869565236</v>
      </c>
      <c r="H400" s="13">
        <f>IF(E400=0,IF(F400&gt;0,"New",0),(F400-E400)/E400)</f>
        <v>1.1345061866537356</v>
      </c>
      <c r="I400" s="12">
        <f>SUM(Data!J401,Data!L401,Data!N401,Data!P401,Data!R401,Data!T401,Data!V401,Data!X401,Data!Z401,Data!AB401,Data!AD401,Data!AF401,Data!AH401,Data!AJ401,Data!AL401,Data!AN401,Data!AP401,Data!AR401,Data!AT401)</f>
        <v>151.352</v>
      </c>
      <c r="J400" s="12">
        <f>SUM(Data!DJ401,Data!DL401,Data!DN401,Data!DP401,Data!DR401,Data!DT401,Data!DV401,Data!DX401,Data!DZ401,Data!EB401,Data!ED401,Data!EF401,Data!EH401,Data!EJ401,Data!EL401,Data!EN401,Data!EP401,Data!ER401,Data!ET401)</f>
        <v>274.17899999999997</v>
      </c>
      <c r="K400" s="12">
        <f>J400-I400</f>
        <v>122.82699999999997</v>
      </c>
      <c r="L400" s="13">
        <f>IF(I400=0,IF(J400&gt;0,"New",0),(J400-I400)/I400)</f>
        <v>0.81153205771975245</v>
      </c>
      <c r="M400" t="str">
        <f>IF(F400=0,"No 2026 Sales",IF(E400=0,"New Product",IF(AND(ISNUMBER(H400),H400&gt;0.1),"↑ Strong Growth",IF(AND(ISNUMBER(H400),H400&gt;0),"↗ Growth",IF(AND(ISNUMBER(H400),H400&lt;-0.1),"↓ Strong Decline",IF(AND(ISNUMBER(H400),H400&lt;0),"↘ Decline","→ Stable"))))))</f>
        <v>↑ Strong Growth</v>
      </c>
    </row>
    <row r="401" spans="1:13" x14ac:dyDescent="0.35">
      <c r="A401">
        <f>Data!A402</f>
        <v>216</v>
      </c>
      <c r="B401" t="str">
        <f>Data!B402</f>
        <v>BUTCH  WORS/MINCE/PAT</v>
      </c>
      <c r="C401" s="9">
        <f>Data!C402</f>
        <v>34199</v>
      </c>
      <c r="D401" s="10" t="s">
        <v>1182</v>
      </c>
      <c r="E401" s="11">
        <f>SUM(Data!I402,Data!K402,Data!M402,Data!O402,Data!Q402,Data!S402,Data!U402,Data!W402,Data!Y402,Data!AA402,Data!AC402,Data!AE402,Data!AG402,Data!AI402,Data!AK402,Data!AM402,Data!AO402,Data!AQ402,Data!AS402)</f>
        <v>103362.15652173915</v>
      </c>
      <c r="F401" s="11">
        <f>SUM(Data!DI402,Data!DK402,Data!DM402,Data!DO402,Data!DQ402,Data!DS402,Data!DU402,Data!DW402,Data!DY402,Data!EA402,Data!EC402,Data!EE402,Data!EG402,Data!EI402,Data!EK402,Data!EM402,Data!EO402,Data!EQ402,Data!ES402)</f>
        <v>102220.20000000001</v>
      </c>
      <c r="G401" s="11">
        <f>F401-E401</f>
        <v>-1141.9565217391355</v>
      </c>
      <c r="H401" s="13">
        <f>IF(E401=0,IF(F401&gt;0,"New",0),(F401-E401)/E401)</f>
        <v>-1.1048110451323246E-2</v>
      </c>
      <c r="I401" s="12">
        <f>SUM(Data!J402,Data!L402,Data!N402,Data!P402,Data!R402,Data!T402,Data!V402,Data!X402,Data!Z402,Data!AB402,Data!AD402,Data!AF402,Data!AH402,Data!AJ402,Data!AL402,Data!AN402,Data!AP402,Data!AR402,Data!AT402)</f>
        <v>1273.9169999999997</v>
      </c>
      <c r="J401" s="12">
        <f>SUM(Data!DJ402,Data!DL402,Data!DN402,Data!DP402,Data!DR402,Data!DT402,Data!DV402,Data!DX402,Data!DZ402,Data!EB402,Data!ED402,Data!EF402,Data!EH402,Data!EJ402,Data!EL402,Data!EN402,Data!EP402,Data!ER402,Data!ET402)</f>
        <v>1123.7049999999999</v>
      </c>
      <c r="K401" s="12">
        <f>J401-I401</f>
        <v>-150.21199999999976</v>
      </c>
      <c r="L401" s="13">
        <f>IF(I401=0,IF(J401&gt;0,"New",0),(J401-I401)/I401)</f>
        <v>-0.11791349043932987</v>
      </c>
      <c r="M401" t="str">
        <f>IF(F401=0,"No 2026 Sales",IF(E401=0,"New Product",IF(AND(ISNUMBER(H401),H401&gt;0.1),"↑ Strong Growth",IF(AND(ISNUMBER(H401),H401&gt;0),"↗ Growth",IF(AND(ISNUMBER(H401),H401&lt;-0.1),"↓ Strong Decline",IF(AND(ISNUMBER(H401),H401&lt;0),"↘ Decline","→ Stable"))))))</f>
        <v>↘ Decline</v>
      </c>
    </row>
    <row r="402" spans="1:13" x14ac:dyDescent="0.35">
      <c r="A402">
        <f>Data!A403</f>
        <v>216</v>
      </c>
      <c r="B402" t="str">
        <f>Data!B403</f>
        <v>BUTCH  WORS/MINCE/PAT</v>
      </c>
      <c r="C402" s="9">
        <f>Data!C403</f>
        <v>34200</v>
      </c>
      <c r="D402" s="10" t="s">
        <v>1183</v>
      </c>
      <c r="E402" s="11">
        <f>SUM(Data!I403,Data!K403,Data!M403,Data!O403,Data!Q403,Data!S403,Data!U403,Data!W403,Data!Y403,Data!AA403,Data!AC403,Data!AE403,Data!AG403,Data!AI403,Data!AK403,Data!AM403,Data!AO403,Data!AQ403,Data!AS403)</f>
        <v>41439.460869565228</v>
      </c>
      <c r="F402" s="11">
        <f>SUM(Data!DI403,Data!DK403,Data!DM403,Data!DO403,Data!DQ403,Data!DS403,Data!DU403,Data!DW403,Data!DY403,Data!EA403,Data!EC403,Data!EE403,Data!EG403,Data!EI403,Data!EK403,Data!EM403,Data!EO403,Data!EQ403,Data!ES403)</f>
        <v>41055.495652173908</v>
      </c>
      <c r="G402" s="11">
        <f>F402-E402</f>
        <v>-383.96521739132004</v>
      </c>
      <c r="H402" s="13">
        <f>IF(E402=0,IF(F402&gt;0,"New",0),(F402-E402)/E402)</f>
        <v>-9.2656904634905429E-3</v>
      </c>
      <c r="I402" s="12">
        <f>SUM(Data!J403,Data!L403,Data!N403,Data!P403,Data!R403,Data!T403,Data!V403,Data!X403,Data!Z403,Data!AB403,Data!AD403,Data!AF403,Data!AH403,Data!AJ403,Data!AL403,Data!AN403,Data!AP403,Data!AR403,Data!AT403)</f>
        <v>438.38200000000001</v>
      </c>
      <c r="J402" s="12">
        <f>SUM(Data!DJ403,Data!DL403,Data!DN403,Data!DP403,Data!DR403,Data!DT403,Data!DV403,Data!DX403,Data!DZ403,Data!EB403,Data!ED403,Data!EF403,Data!EH403,Data!EJ403,Data!EL403,Data!EN403,Data!EP403,Data!ER403,Data!ET403)</f>
        <v>377.91700000000003</v>
      </c>
      <c r="K402" s="12">
        <f>J402-I402</f>
        <v>-60.464999999999975</v>
      </c>
      <c r="L402" s="13">
        <f>IF(I402=0,IF(J402&gt;0,"New",0),(J402-I402)/I402)</f>
        <v>-0.13792765213900199</v>
      </c>
      <c r="M402" t="str">
        <f>IF(F402=0,"No 2026 Sales",IF(E402=0,"New Product",IF(AND(ISNUMBER(H402),H402&gt;0.1),"↑ Strong Growth",IF(AND(ISNUMBER(H402),H402&gt;0),"↗ Growth",IF(AND(ISNUMBER(H402),H402&lt;-0.1),"↓ Strong Decline",IF(AND(ISNUMBER(H402),H402&lt;0),"↘ Decline","→ Stable"))))))</f>
        <v>↘ Decline</v>
      </c>
    </row>
    <row r="403" spans="1:13" hidden="1" x14ac:dyDescent="0.35">
      <c r="A403">
        <f>Data!A404</f>
        <v>216</v>
      </c>
      <c r="B403" t="str">
        <f>Data!B404</f>
        <v>BUTCH  WORS/MINCE/PAT</v>
      </c>
      <c r="C403" s="9">
        <f>Data!C404</f>
        <v>34201</v>
      </c>
      <c r="D403" s="10" t="s">
        <v>1184</v>
      </c>
      <c r="E403" s="11">
        <f>SUM(Data!I404,Data!K404,Data!M404,Data!O404,Data!Q404,Data!S404,Data!U404,Data!W404,Data!Y404,Data!AA404,Data!AC404,Data!AE404,Data!AG404,Data!AI404,Data!AK404,Data!AM404,Data!AO404,Data!AQ404,Data!AS404)</f>
        <v>0</v>
      </c>
      <c r="F403" s="11">
        <f>SUM(Data!DI404,Data!DK404,Data!DM404,Data!DO404,Data!DQ404,Data!DS404,Data!DU404,Data!DW404,Data!DY404,Data!EA404,Data!EC404,Data!EE404,Data!EG404,Data!EI404,Data!EK404,Data!EM404,Data!EO404,Data!EQ404,Data!ES404)</f>
        <v>0</v>
      </c>
      <c r="G403" s="11">
        <f>F403-E403</f>
        <v>0</v>
      </c>
      <c r="H403">
        <f>IF(E403=0,IF(F403&gt;0,"New",0),(F403-E403)/E403)</f>
        <v>0</v>
      </c>
      <c r="I403" s="12">
        <f>SUM(Data!J404,Data!L404,Data!N404,Data!P404,Data!R404,Data!T404,Data!V404,Data!X404,Data!Z404,Data!AB404,Data!AD404,Data!AF404,Data!AH404,Data!AJ404,Data!AL404,Data!AN404,Data!AP404,Data!AR404,Data!AT404)</f>
        <v>0</v>
      </c>
      <c r="J403" s="12">
        <f>SUM(Data!DJ404,Data!DL404,Data!DN404,Data!DP404,Data!DR404,Data!DT404,Data!DV404,Data!DX404,Data!DZ404,Data!EB404,Data!ED404,Data!EF404,Data!EH404,Data!EJ404,Data!EL404,Data!EN404,Data!EP404,Data!ER404,Data!ET404)</f>
        <v>0</v>
      </c>
      <c r="K403" s="12">
        <f>J403-I403</f>
        <v>0</v>
      </c>
      <c r="L403">
        <f>IF(I403=0,IF(J403&gt;0,"New",0),(J403-I403)/I403)</f>
        <v>0</v>
      </c>
      <c r="M403" t="str">
        <f>IF(F403=0,"No 2026 Sales",IF(E403=0,"New Product",IF(AND(ISNUMBER(H403),H403&gt;0.1),"↑ Strong Growth",IF(AND(ISNUMBER(H403),H403&gt;0),"↗ Growth",IF(AND(ISNUMBER(H403),H403&lt;-0.1),"↓ Strong Decline",IF(AND(ISNUMBER(H403),H403&lt;0),"↘ Decline","→ Stable"))))))</f>
        <v>No 2026 Sales</v>
      </c>
    </row>
    <row r="404" spans="1:13" hidden="1" x14ac:dyDescent="0.35">
      <c r="A404">
        <f>Data!A405</f>
        <v>216</v>
      </c>
      <c r="B404" t="str">
        <f>Data!B405</f>
        <v>BUTCH  WORS/MINCE/PAT</v>
      </c>
      <c r="C404" s="9">
        <f>Data!C405</f>
        <v>34211</v>
      </c>
      <c r="D404" s="10" t="s">
        <v>1185</v>
      </c>
      <c r="E404" s="11">
        <f>SUM(Data!I405,Data!K405,Data!M405,Data!O405,Data!Q405,Data!S405,Data!U405,Data!W405,Data!Y405,Data!AA405,Data!AC405,Data!AE405,Data!AG405,Data!AI405,Data!AK405,Data!AM405,Data!AO405,Data!AQ405,Data!AS405)</f>
        <v>17380.643478260867</v>
      </c>
      <c r="F404" s="11">
        <f>SUM(Data!DI405,Data!DK405,Data!DM405,Data!DO405,Data!DQ405,Data!DS405,Data!DU405,Data!DW405,Data!DY405,Data!EA405,Data!EC405,Data!EE405,Data!EG405,Data!EI405,Data!EK405,Data!EM405,Data!EO405,Data!EQ405,Data!ES405)</f>
        <v>0</v>
      </c>
      <c r="G404" s="11">
        <f>F404-E404</f>
        <v>-17380.643478260867</v>
      </c>
      <c r="H404">
        <f>IF(E404=0,IF(F404&gt;0,"New",0),(F404-E404)/E404)</f>
        <v>-1</v>
      </c>
      <c r="I404" s="12">
        <f>SUM(Data!J405,Data!L405,Data!N405,Data!P405,Data!R405,Data!T405,Data!V405,Data!X405,Data!Z405,Data!AB405,Data!AD405,Data!AF405,Data!AH405,Data!AJ405,Data!AL405,Data!AN405,Data!AP405,Data!AR405,Data!AT405)</f>
        <v>187.916</v>
      </c>
      <c r="J404" s="12">
        <f>SUM(Data!DJ405,Data!DL405,Data!DN405,Data!DP405,Data!DR405,Data!DT405,Data!DV405,Data!DX405,Data!DZ405,Data!EB405,Data!ED405,Data!EF405,Data!EH405,Data!EJ405,Data!EL405,Data!EN405,Data!EP405,Data!ER405,Data!ET405)</f>
        <v>0</v>
      </c>
      <c r="K404" s="12">
        <f>J404-I404</f>
        <v>-187.916</v>
      </c>
      <c r="L404">
        <f>IF(I404=0,IF(J404&gt;0,"New",0),(J404-I404)/I404)</f>
        <v>-1</v>
      </c>
      <c r="M404" t="str">
        <f>IF(F404=0,"No 2026 Sales",IF(E404=0,"New Product",IF(AND(ISNUMBER(H404),H404&gt;0.1),"↑ Strong Growth",IF(AND(ISNUMBER(H404),H404&gt;0),"↗ Growth",IF(AND(ISNUMBER(H404),H404&lt;-0.1),"↓ Strong Decline",IF(AND(ISNUMBER(H404),H404&lt;0),"↘ Decline","→ Stable"))))))</f>
        <v>No 2026 Sales</v>
      </c>
    </row>
    <row r="405" spans="1:13" hidden="1" x14ac:dyDescent="0.35">
      <c r="A405">
        <f>Data!A406</f>
        <v>216</v>
      </c>
      <c r="B405" t="str">
        <f>Data!B406</f>
        <v>BUTCH  WORS/MINCE/PAT</v>
      </c>
      <c r="C405" s="9">
        <f>Data!C406</f>
        <v>34212</v>
      </c>
      <c r="D405" s="10" t="s">
        <v>1186</v>
      </c>
      <c r="E405" s="11">
        <f>SUM(Data!I406,Data!K406,Data!M406,Data!O406,Data!Q406,Data!S406,Data!U406,Data!W406,Data!Y406,Data!AA406,Data!AC406,Data!AE406,Data!AG406,Data!AI406,Data!AK406,Data!AM406,Data!AO406,Data!AQ406,Data!AS406)</f>
        <v>0</v>
      </c>
      <c r="F405" s="11">
        <f>SUM(Data!DI406,Data!DK406,Data!DM406,Data!DO406,Data!DQ406,Data!DS406,Data!DU406,Data!DW406,Data!DY406,Data!EA406,Data!EC406,Data!EE406,Data!EG406,Data!EI406,Data!EK406,Data!EM406,Data!EO406,Data!EQ406,Data!ES406)</f>
        <v>0</v>
      </c>
      <c r="G405" s="11">
        <f>F405-E405</f>
        <v>0</v>
      </c>
      <c r="H405">
        <f>IF(E405=0,IF(F405&gt;0,"New",0),(F405-E405)/E405)</f>
        <v>0</v>
      </c>
      <c r="I405" s="12">
        <f>SUM(Data!J406,Data!L406,Data!N406,Data!P406,Data!R406,Data!T406,Data!V406,Data!X406,Data!Z406,Data!AB406,Data!AD406,Data!AF406,Data!AH406,Data!AJ406,Data!AL406,Data!AN406,Data!AP406,Data!AR406,Data!AT406)</f>
        <v>0</v>
      </c>
      <c r="J405" s="12">
        <f>SUM(Data!DJ406,Data!DL406,Data!DN406,Data!DP406,Data!DR406,Data!DT406,Data!DV406,Data!DX406,Data!DZ406,Data!EB406,Data!ED406,Data!EF406,Data!EH406,Data!EJ406,Data!EL406,Data!EN406,Data!EP406,Data!ER406,Data!ET406)</f>
        <v>0</v>
      </c>
      <c r="K405" s="12">
        <f>J405-I405</f>
        <v>0</v>
      </c>
      <c r="L405">
        <f>IF(I405=0,IF(J405&gt;0,"New",0),(J405-I405)/I405)</f>
        <v>0</v>
      </c>
      <c r="M405" t="str">
        <f>IF(F405=0,"No 2026 Sales",IF(E405=0,"New Product",IF(AND(ISNUMBER(H405),H405&gt;0.1),"↑ Strong Growth",IF(AND(ISNUMBER(H405),H405&gt;0),"↗ Growth",IF(AND(ISNUMBER(H405),H405&lt;-0.1),"↓ Strong Decline",IF(AND(ISNUMBER(H405),H405&lt;0),"↘ Decline","→ Stable"))))))</f>
        <v>No 2026 Sales</v>
      </c>
    </row>
    <row r="406" spans="1:13" x14ac:dyDescent="0.35">
      <c r="A406">
        <f>Data!A407</f>
        <v>216</v>
      </c>
      <c r="B406" t="str">
        <f>Data!B407</f>
        <v>BUTCH  WORS/MINCE/PAT</v>
      </c>
      <c r="C406" s="9">
        <f>Data!C407</f>
        <v>34235</v>
      </c>
      <c r="D406" s="10" t="s">
        <v>1187</v>
      </c>
      <c r="E406" s="11">
        <f>SUM(Data!I407,Data!K407,Data!M407,Data!O407,Data!Q407,Data!S407,Data!U407,Data!W407,Data!Y407,Data!AA407,Data!AC407,Data!AE407,Data!AG407,Data!AI407,Data!AK407,Data!AM407,Data!AO407,Data!AQ407,Data!AS407)</f>
        <v>23229.617391304357</v>
      </c>
      <c r="F406" s="11">
        <f>SUM(Data!DI407,Data!DK407,Data!DM407,Data!DO407,Data!DQ407,Data!DS407,Data!DU407,Data!DW407,Data!DY407,Data!EA407,Data!EC407,Data!EE407,Data!EG407,Data!EI407,Data!EK407,Data!EM407,Data!EO407,Data!EQ407,Data!ES407)</f>
        <v>24198.286956521733</v>
      </c>
      <c r="G406" s="11">
        <f>F406-E406</f>
        <v>968.66956521737666</v>
      </c>
      <c r="H406" s="13">
        <f>IF(E406=0,IF(F406&gt;0,"New",0),(F406-E406)/E406)</f>
        <v>4.1699764094262827E-2</v>
      </c>
      <c r="I406" s="12">
        <f>SUM(Data!J407,Data!L407,Data!N407,Data!P407,Data!R407,Data!T407,Data!V407,Data!X407,Data!Z407,Data!AB407,Data!AD407,Data!AF407,Data!AH407,Data!AJ407,Data!AL407,Data!AN407,Data!AP407,Data!AR407,Data!AT407)</f>
        <v>316.04500000000002</v>
      </c>
      <c r="J406" s="12">
        <f>SUM(Data!DJ407,Data!DL407,Data!DN407,Data!DP407,Data!DR407,Data!DT407,Data!DV407,Data!DX407,Data!DZ407,Data!EB407,Data!ED407,Data!EF407,Data!EH407,Data!EJ407,Data!EL407,Data!EN407,Data!EP407,Data!ER407,Data!ET407)</f>
        <v>268.10699999999997</v>
      </c>
      <c r="K406" s="12">
        <f>J406-I406</f>
        <v>-47.938000000000045</v>
      </c>
      <c r="L406" s="13">
        <f>IF(I406=0,IF(J406&gt;0,"New",0),(J406-I406)/I406)</f>
        <v>-0.15168093151291759</v>
      </c>
      <c r="M406" t="str">
        <f>IF(F406=0,"No 2026 Sales",IF(E406=0,"New Product",IF(AND(ISNUMBER(H406),H406&gt;0.1),"↑ Strong Growth",IF(AND(ISNUMBER(H406),H406&gt;0),"↗ Growth",IF(AND(ISNUMBER(H406),H406&lt;-0.1),"↓ Strong Decline",IF(AND(ISNUMBER(H406),H406&lt;0),"↘ Decline","→ Stable"))))))</f>
        <v>↗ Growth</v>
      </c>
    </row>
    <row r="407" spans="1:13" hidden="1" x14ac:dyDescent="0.35">
      <c r="A407">
        <f>Data!A408</f>
        <v>216</v>
      </c>
      <c r="B407" t="str">
        <f>Data!B408</f>
        <v>BUTCH  WORS/MINCE/PAT</v>
      </c>
      <c r="C407" s="9">
        <f>Data!C408</f>
        <v>34237</v>
      </c>
      <c r="D407" s="10" t="s">
        <v>1188</v>
      </c>
      <c r="E407" s="11">
        <f>SUM(Data!I408,Data!K408,Data!M408,Data!O408,Data!Q408,Data!S408,Data!U408,Data!W408,Data!Y408,Data!AA408,Data!AC408,Data!AE408,Data!AG408,Data!AI408,Data!AK408,Data!AM408,Data!AO408,Data!AQ408,Data!AS408)</f>
        <v>0</v>
      </c>
      <c r="F407" s="11">
        <f>SUM(Data!DI408,Data!DK408,Data!DM408,Data!DO408,Data!DQ408,Data!DS408,Data!DU408,Data!DW408,Data!DY408,Data!EA408,Data!EC408,Data!EE408,Data!EG408,Data!EI408,Data!EK408,Data!EM408,Data!EO408,Data!EQ408,Data!ES408)</f>
        <v>0</v>
      </c>
      <c r="G407" s="11">
        <f>F407-E407</f>
        <v>0</v>
      </c>
      <c r="H407">
        <f>IF(E407=0,IF(F407&gt;0,"New",0),(F407-E407)/E407)</f>
        <v>0</v>
      </c>
      <c r="I407" s="12">
        <f>SUM(Data!J408,Data!L408,Data!N408,Data!P408,Data!R408,Data!T408,Data!V408,Data!X408,Data!Z408,Data!AB408,Data!AD408,Data!AF408,Data!AH408,Data!AJ408,Data!AL408,Data!AN408,Data!AP408,Data!AR408,Data!AT408)</f>
        <v>0</v>
      </c>
      <c r="J407" s="12">
        <f>SUM(Data!DJ408,Data!DL408,Data!DN408,Data!DP408,Data!DR408,Data!DT408,Data!DV408,Data!DX408,Data!DZ408,Data!EB408,Data!ED408,Data!EF408,Data!EH408,Data!EJ408,Data!EL408,Data!EN408,Data!EP408,Data!ER408,Data!ET408)</f>
        <v>0</v>
      </c>
      <c r="K407" s="12">
        <f>J407-I407</f>
        <v>0</v>
      </c>
      <c r="L407">
        <f>IF(I407=0,IF(J407&gt;0,"New",0),(J407-I407)/I407)</f>
        <v>0</v>
      </c>
      <c r="M407" t="str">
        <f>IF(F407=0,"No 2026 Sales",IF(E407=0,"New Product",IF(AND(ISNUMBER(H407),H407&gt;0.1),"↑ Strong Growth",IF(AND(ISNUMBER(H407),H407&gt;0),"↗ Growth",IF(AND(ISNUMBER(H407),H407&lt;-0.1),"↓ Strong Decline",IF(AND(ISNUMBER(H407),H407&lt;0),"↘ Decline","→ Stable"))))))</f>
        <v>No 2026 Sales</v>
      </c>
    </row>
    <row r="408" spans="1:13" hidden="1" x14ac:dyDescent="0.35">
      <c r="A408">
        <f>Data!A409</f>
        <v>216</v>
      </c>
      <c r="B408" t="str">
        <f>Data!B409</f>
        <v>BUTCH  WORS/MINCE/PAT</v>
      </c>
      <c r="C408" s="9">
        <f>Data!C409</f>
        <v>34269</v>
      </c>
      <c r="D408" s="10" t="s">
        <v>1189</v>
      </c>
      <c r="E408" s="11">
        <f>SUM(Data!I409,Data!K409,Data!M409,Data!O409,Data!Q409,Data!S409,Data!U409,Data!W409,Data!Y409,Data!AA409,Data!AC409,Data!AE409,Data!AG409,Data!AI409,Data!AK409,Data!AM409,Data!AO409,Data!AQ409,Data!AS409)</f>
        <v>0</v>
      </c>
      <c r="F408" s="11">
        <f>SUM(Data!DI409,Data!DK409,Data!DM409,Data!DO409,Data!DQ409,Data!DS409,Data!DU409,Data!DW409,Data!DY409,Data!EA409,Data!EC409,Data!EE409,Data!EG409,Data!EI409,Data!EK409,Data!EM409,Data!EO409,Data!EQ409,Data!ES409)</f>
        <v>0</v>
      </c>
      <c r="G408" s="11">
        <f>F408-E408</f>
        <v>0</v>
      </c>
      <c r="H408">
        <f>IF(E408=0,IF(F408&gt;0,"New",0),(F408-E408)/E408)</f>
        <v>0</v>
      </c>
      <c r="I408" s="12">
        <f>SUM(Data!J409,Data!L409,Data!N409,Data!P409,Data!R409,Data!T409,Data!V409,Data!X409,Data!Z409,Data!AB409,Data!AD409,Data!AF409,Data!AH409,Data!AJ409,Data!AL409,Data!AN409,Data!AP409,Data!AR409,Data!AT409)</f>
        <v>0</v>
      </c>
      <c r="J408" s="12">
        <f>SUM(Data!DJ409,Data!DL409,Data!DN409,Data!DP409,Data!DR409,Data!DT409,Data!DV409,Data!DX409,Data!DZ409,Data!EB409,Data!ED409,Data!EF409,Data!EH409,Data!EJ409,Data!EL409,Data!EN409,Data!EP409,Data!ER409,Data!ET409)</f>
        <v>0</v>
      </c>
      <c r="K408" s="12">
        <f>J408-I408</f>
        <v>0</v>
      </c>
      <c r="L408">
        <f>IF(I408=0,IF(J408&gt;0,"New",0),(J408-I408)/I408)</f>
        <v>0</v>
      </c>
      <c r="M408" t="str">
        <f>IF(F408=0,"No 2026 Sales",IF(E408=0,"New Product",IF(AND(ISNUMBER(H408),H408&gt;0.1),"↑ Strong Growth",IF(AND(ISNUMBER(H408),H408&gt;0),"↗ Growth",IF(AND(ISNUMBER(H408),H408&lt;-0.1),"↓ Strong Decline",IF(AND(ISNUMBER(H408),H408&lt;0),"↘ Decline","→ Stable"))))))</f>
        <v>No 2026 Sales</v>
      </c>
    </row>
    <row r="409" spans="1:13" hidden="1" x14ac:dyDescent="0.35">
      <c r="A409">
        <f>Data!A410</f>
        <v>216</v>
      </c>
      <c r="B409" t="str">
        <f>Data!B410</f>
        <v>BUTCH  WORS/MINCE/PAT</v>
      </c>
      <c r="C409" s="9">
        <f>Data!C410</f>
        <v>34279</v>
      </c>
      <c r="D409" s="10" t="s">
        <v>1190</v>
      </c>
      <c r="E409" s="11">
        <f>SUM(Data!I410,Data!K410,Data!M410,Data!O410,Data!Q410,Data!S410,Data!U410,Data!W410,Data!Y410,Data!AA410,Data!AC410,Data!AE410,Data!AG410,Data!AI410,Data!AK410,Data!AM410,Data!AO410,Data!AQ410,Data!AS410)</f>
        <v>0</v>
      </c>
      <c r="F409" s="11">
        <f>SUM(Data!DI410,Data!DK410,Data!DM410,Data!DO410,Data!DQ410,Data!DS410,Data!DU410,Data!DW410,Data!DY410,Data!EA410,Data!EC410,Data!EE410,Data!EG410,Data!EI410,Data!EK410,Data!EM410,Data!EO410,Data!EQ410,Data!ES410)</f>
        <v>0</v>
      </c>
      <c r="G409" s="11">
        <f>F409-E409</f>
        <v>0</v>
      </c>
      <c r="H409">
        <f>IF(E409=0,IF(F409&gt;0,"New",0),(F409-E409)/E409)</f>
        <v>0</v>
      </c>
      <c r="I409" s="12">
        <f>SUM(Data!J410,Data!L410,Data!N410,Data!P410,Data!R410,Data!T410,Data!V410,Data!X410,Data!Z410,Data!AB410,Data!AD410,Data!AF410,Data!AH410,Data!AJ410,Data!AL410,Data!AN410,Data!AP410,Data!AR410,Data!AT410)</f>
        <v>0</v>
      </c>
      <c r="J409" s="12">
        <f>SUM(Data!DJ410,Data!DL410,Data!DN410,Data!DP410,Data!DR410,Data!DT410,Data!DV410,Data!DX410,Data!DZ410,Data!EB410,Data!ED410,Data!EF410,Data!EH410,Data!EJ410,Data!EL410,Data!EN410,Data!EP410,Data!ER410,Data!ET410)</f>
        <v>0</v>
      </c>
      <c r="K409" s="12">
        <f>J409-I409</f>
        <v>0</v>
      </c>
      <c r="L409">
        <f>IF(I409=0,IF(J409&gt;0,"New",0),(J409-I409)/I409)</f>
        <v>0</v>
      </c>
      <c r="M409" t="str">
        <f>IF(F409=0,"No 2026 Sales",IF(E409=0,"New Product",IF(AND(ISNUMBER(H409),H409&gt;0.1),"↑ Strong Growth",IF(AND(ISNUMBER(H409),H409&gt;0),"↗ Growth",IF(AND(ISNUMBER(H409),H409&lt;-0.1),"↓ Strong Decline",IF(AND(ISNUMBER(H409),H409&lt;0),"↘ Decline","→ Stable"))))))</f>
        <v>No 2026 Sales</v>
      </c>
    </row>
    <row r="410" spans="1:13" x14ac:dyDescent="0.35">
      <c r="A410">
        <f>Data!A411</f>
        <v>216</v>
      </c>
      <c r="B410" t="str">
        <f>Data!B411</f>
        <v>BUTCH  WORS/MINCE/PAT</v>
      </c>
      <c r="C410" s="9">
        <f>Data!C411</f>
        <v>34949</v>
      </c>
      <c r="D410" s="10" t="s">
        <v>1191</v>
      </c>
      <c r="E410" s="11">
        <f>SUM(Data!I411,Data!K411,Data!M411,Data!O411,Data!Q411,Data!S411,Data!U411,Data!W411,Data!Y411,Data!AA411,Data!AC411,Data!AE411,Data!AG411,Data!AI411,Data!AK411,Data!AM411,Data!AO411,Data!AQ411,Data!AS411)</f>
        <v>14260.321739130424</v>
      </c>
      <c r="F410" s="11">
        <f>SUM(Data!DI411,Data!DK411,Data!DM411,Data!DO411,Data!DQ411,Data!DS411,Data!DU411,Data!DW411,Data!DY411,Data!EA411,Data!EC411,Data!EE411,Data!EG411,Data!EI411,Data!EK411,Data!EM411,Data!EO411,Data!EQ411,Data!ES411)</f>
        <v>24655.791304347826</v>
      </c>
      <c r="G410" s="11">
        <f>F410-E410</f>
        <v>10395.469565217401</v>
      </c>
      <c r="H410" s="13">
        <f>IF(E410=0,IF(F410&gt;0,"New",0),(F410-E410)/E410)</f>
        <v>0.72897861320282553</v>
      </c>
      <c r="I410" s="12">
        <f>SUM(Data!J411,Data!L411,Data!N411,Data!P411,Data!R411,Data!T411,Data!V411,Data!X411,Data!Z411,Data!AB411,Data!AD411,Data!AF411,Data!AH411,Data!AJ411,Data!AL411,Data!AN411,Data!AP411,Data!AR411,Data!AT411)</f>
        <v>141.386</v>
      </c>
      <c r="J410" s="12">
        <f>SUM(Data!DJ411,Data!DL411,Data!DN411,Data!DP411,Data!DR411,Data!DT411,Data!DV411,Data!DX411,Data!DZ411,Data!EB411,Data!ED411,Data!EF411,Data!EH411,Data!EJ411,Data!EL411,Data!EN411,Data!EP411,Data!ER411,Data!ET411)</f>
        <v>211.072</v>
      </c>
      <c r="K410" s="12">
        <f>J410-I410</f>
        <v>69.686000000000007</v>
      </c>
      <c r="L410" s="13">
        <f>IF(I410=0,IF(J410&gt;0,"New",0),(J410-I410)/I410)</f>
        <v>0.49287765408173378</v>
      </c>
      <c r="M410" t="str">
        <f>IF(F410=0,"No 2026 Sales",IF(E410=0,"New Product",IF(AND(ISNUMBER(H410),H410&gt;0.1),"↑ Strong Growth",IF(AND(ISNUMBER(H410),H410&gt;0),"↗ Growth",IF(AND(ISNUMBER(H410),H410&lt;-0.1),"↓ Strong Decline",IF(AND(ISNUMBER(H410),H410&lt;0),"↘ Decline","→ Stable"))))))</f>
        <v>↑ Strong Growth</v>
      </c>
    </row>
    <row r="411" spans="1:13" x14ac:dyDescent="0.35">
      <c r="A411">
        <f>Data!A412</f>
        <v>216</v>
      </c>
      <c r="B411" t="str">
        <f>Data!B412</f>
        <v>BUTCH  WORS/MINCE/PAT</v>
      </c>
      <c r="C411" s="9">
        <f>Data!C412</f>
        <v>35003</v>
      </c>
      <c r="D411" s="10" t="s">
        <v>1192</v>
      </c>
      <c r="E411" s="11">
        <f>SUM(Data!I412,Data!K412,Data!M412,Data!O412,Data!Q412,Data!S412,Data!U412,Data!W412,Data!Y412,Data!AA412,Data!AC412,Data!AE412,Data!AG412,Data!AI412,Data!AK412,Data!AM412,Data!AO412,Data!AQ412,Data!AS412)</f>
        <v>7389.826086956522</v>
      </c>
      <c r="F411" s="11">
        <f>SUM(Data!DI412,Data!DK412,Data!DM412,Data!DO412,Data!DQ412,Data!DS412,Data!DU412,Data!DW412,Data!DY412,Data!EA412,Data!EC412,Data!EE412,Data!EG412,Data!EI412,Data!EK412,Data!EM412,Data!EO412,Data!EQ412,Data!ES412)</f>
        <v>8433.0956521739135</v>
      </c>
      <c r="G411" s="11">
        <f>F411-E411</f>
        <v>1043.2695652173916</v>
      </c>
      <c r="H411" s="13">
        <f>IF(E411=0,IF(F411&gt;0,"New",0),(F411-E411)/E411)</f>
        <v>0.14117647058823532</v>
      </c>
      <c r="I411" s="12">
        <f>SUM(Data!J412,Data!L412,Data!N412,Data!P412,Data!R412,Data!T412,Data!V412,Data!X412,Data!Z412,Data!AB412,Data!AD412,Data!AF412,Data!AH412,Data!AJ412,Data!AL412,Data!AN412,Data!AP412,Data!AR412,Data!AT412)</f>
        <v>170</v>
      </c>
      <c r="J411" s="12">
        <f>SUM(Data!DJ412,Data!DL412,Data!DN412,Data!DP412,Data!DR412,Data!DT412,Data!DV412,Data!DX412,Data!DZ412,Data!EB412,Data!ED412,Data!EF412,Data!EH412,Data!EJ412,Data!EL412,Data!EN412,Data!EP412,Data!ER412,Data!ET412)</f>
        <v>194</v>
      </c>
      <c r="K411" s="12">
        <f>J411-I411</f>
        <v>24</v>
      </c>
      <c r="L411" s="13">
        <f>IF(I411=0,IF(J411&gt;0,"New",0),(J411-I411)/I411)</f>
        <v>0.14117647058823529</v>
      </c>
      <c r="M411" t="str">
        <f>IF(F411=0,"No 2026 Sales",IF(E411=0,"New Product",IF(AND(ISNUMBER(H411),H411&gt;0.1),"↑ Strong Growth",IF(AND(ISNUMBER(H411),H411&gt;0),"↗ Growth",IF(AND(ISNUMBER(H411),H411&lt;-0.1),"↓ Strong Decline",IF(AND(ISNUMBER(H411),H411&lt;0),"↘ Decline","→ Stable"))))))</f>
        <v>↑ Strong Growth</v>
      </c>
    </row>
    <row r="412" spans="1:13" x14ac:dyDescent="0.35">
      <c r="A412">
        <f>Data!A413</f>
        <v>216</v>
      </c>
      <c r="B412" t="str">
        <f>Data!B413</f>
        <v>BUTCH  WORS/MINCE/PAT</v>
      </c>
      <c r="C412" s="9">
        <f>Data!C413</f>
        <v>35005</v>
      </c>
      <c r="D412" s="10" t="s">
        <v>1193</v>
      </c>
      <c r="E412" s="11">
        <f>SUM(Data!I413,Data!K413,Data!M413,Data!O413,Data!Q413,Data!S413,Data!U413,Data!W413,Data!Y413,Data!AA413,Data!AC413,Data!AE413,Data!AG413,Data!AI413,Data!AK413,Data!AM413,Data!AO413,Data!AQ413,Data!AS413)</f>
        <v>8955.6260869565267</v>
      </c>
      <c r="F412" s="11">
        <f>SUM(Data!DI413,Data!DK413,Data!DM413,Data!DO413,Data!DQ413,Data!DS413,Data!DU413,Data!DW413,Data!DY413,Data!EA413,Data!EC413,Data!EE413,Data!EG413,Data!EI413,Data!EK413,Data!EM413,Data!EO413,Data!EQ413,Data!ES413)</f>
        <v>1721.5478260869554</v>
      </c>
      <c r="G412" s="11">
        <f>F412-E412</f>
        <v>-7234.0782608695717</v>
      </c>
      <c r="H412" s="13">
        <f>IF(E412=0,IF(F412&gt;0,"New",0),(F412-E412)/E412)</f>
        <v>-0.80776912642720611</v>
      </c>
      <c r="I412" s="12">
        <f>SUM(Data!J413,Data!L413,Data!N413,Data!P413,Data!R413,Data!T413,Data!V413,Data!X413,Data!Z413,Data!AB413,Data!AD413,Data!AF413,Data!AH413,Data!AJ413,Data!AL413,Data!AN413,Data!AP413,Data!AR413,Data!AT413)</f>
        <v>103</v>
      </c>
      <c r="J412" s="12">
        <f>SUM(Data!DJ413,Data!DL413,Data!DN413,Data!DP413,Data!DR413,Data!DT413,Data!DV413,Data!DX413,Data!DZ413,Data!EB413,Data!ED413,Data!EF413,Data!EH413,Data!EJ413,Data!EL413,Data!EN413,Data!EP413,Data!ER413,Data!ET413)</f>
        <v>22</v>
      </c>
      <c r="K412" s="12">
        <f>J412-I412</f>
        <v>-81</v>
      </c>
      <c r="L412" s="13">
        <f>IF(I412=0,IF(J412&gt;0,"New",0),(J412-I412)/I412)</f>
        <v>-0.78640776699029125</v>
      </c>
      <c r="M412" t="str">
        <f>IF(F412=0,"No 2026 Sales",IF(E412=0,"New Product",IF(AND(ISNUMBER(H412),H412&gt;0.1),"↑ Strong Growth",IF(AND(ISNUMBER(H412),H412&gt;0),"↗ Growth",IF(AND(ISNUMBER(H412),H412&lt;-0.1),"↓ Strong Decline",IF(AND(ISNUMBER(H412),H412&lt;0),"↘ Decline","→ Stable"))))))</f>
        <v>↓ Strong Decline</v>
      </c>
    </row>
    <row r="413" spans="1:13" x14ac:dyDescent="0.35">
      <c r="A413">
        <f>Data!A414</f>
        <v>216</v>
      </c>
      <c r="B413" t="str">
        <f>Data!B414</f>
        <v>BUTCH  WORS/MINCE/PAT</v>
      </c>
      <c r="C413" s="9">
        <f>Data!C414</f>
        <v>39216</v>
      </c>
      <c r="D413" s="10" t="s">
        <v>1194</v>
      </c>
      <c r="E413" s="11">
        <f>SUM(Data!I414,Data!K414,Data!M414,Data!O414,Data!Q414,Data!S414,Data!U414,Data!W414,Data!Y414,Data!AA414,Data!AC414,Data!AE414,Data!AG414,Data!AI414,Data!AK414,Data!AM414,Data!AO414,Data!AQ414,Data!AS414)</f>
        <v>9665.4086956521751</v>
      </c>
      <c r="F413" s="11">
        <f>SUM(Data!DI414,Data!DK414,Data!DM414,Data!DO414,Data!DQ414,Data!DS414,Data!DU414,Data!DW414,Data!DY414,Data!EA414,Data!EC414,Data!EE414,Data!EG414,Data!EI414,Data!EK414,Data!EM414,Data!EO414,Data!EQ414,Data!ES414)</f>
        <v>18782.573913043467</v>
      </c>
      <c r="G413" s="11">
        <f>F413-E413</f>
        <v>9117.1652173912917</v>
      </c>
      <c r="H413" s="13">
        <f>IF(E413=0,IF(F413&gt;0,"New",0),(F413-E413)/E413)</f>
        <v>0.94327777587847872</v>
      </c>
      <c r="I413" s="12">
        <f>SUM(Data!J414,Data!L414,Data!N414,Data!P414,Data!R414,Data!T414,Data!V414,Data!X414,Data!Z414,Data!AB414,Data!AD414,Data!AF414,Data!AH414,Data!AJ414,Data!AL414,Data!AN414,Data!AP414,Data!AR414,Data!AT414)</f>
        <v>111.16199999999998</v>
      </c>
      <c r="J413" s="12">
        <f>SUM(Data!DJ414,Data!DL414,Data!DN414,Data!DP414,Data!DR414,Data!DT414,Data!DV414,Data!DX414,Data!DZ414,Data!EB414,Data!ED414,Data!EF414,Data!EH414,Data!EJ414,Data!EL414,Data!EN414,Data!EP414,Data!ER414,Data!ET414)</f>
        <v>201.72899999999998</v>
      </c>
      <c r="K413" s="12">
        <f>J413-I413</f>
        <v>90.567000000000007</v>
      </c>
      <c r="L413" s="13">
        <f>IF(I413=0,IF(J413&gt;0,"New",0),(J413-I413)/I413)</f>
        <v>0.81472985372699325</v>
      </c>
      <c r="M413" t="str">
        <f>IF(F413=0,"No 2026 Sales",IF(E413=0,"New Product",IF(AND(ISNUMBER(H413),H413&gt;0.1),"↑ Strong Growth",IF(AND(ISNUMBER(H413),H413&gt;0),"↗ Growth",IF(AND(ISNUMBER(H413),H413&lt;-0.1),"↓ Strong Decline",IF(AND(ISNUMBER(H413),H413&lt;0),"↘ Decline","→ Stable"))))))</f>
        <v>↑ Strong Growth</v>
      </c>
    </row>
    <row r="414" spans="1:13" hidden="1" x14ac:dyDescent="0.35">
      <c r="A414">
        <f>Data!A415</f>
        <v>216</v>
      </c>
      <c r="B414" t="str">
        <f>Data!B415</f>
        <v>BUTCH  WORS/MINCE/PAT</v>
      </c>
      <c r="C414" s="9">
        <f>Data!C415</f>
        <v>39413</v>
      </c>
      <c r="D414" s="10" t="s">
        <v>1195</v>
      </c>
      <c r="E414" s="11">
        <f>SUM(Data!I415,Data!K415,Data!M415,Data!O415,Data!Q415,Data!S415,Data!U415,Data!W415,Data!Y415,Data!AA415,Data!AC415,Data!AE415,Data!AG415,Data!AI415,Data!AK415,Data!AM415,Data!AO415,Data!AQ415,Data!AS415)</f>
        <v>0</v>
      </c>
      <c r="F414" s="11">
        <f>SUM(Data!DI415,Data!DK415,Data!DM415,Data!DO415,Data!DQ415,Data!DS415,Data!DU415,Data!DW415,Data!DY415,Data!EA415,Data!EC415,Data!EE415,Data!EG415,Data!EI415,Data!EK415,Data!EM415,Data!EO415,Data!EQ415,Data!ES415)</f>
        <v>0</v>
      </c>
      <c r="G414" s="11">
        <f>F414-E414</f>
        <v>0</v>
      </c>
      <c r="H414">
        <f>IF(E414=0,IF(F414&gt;0,"New",0),(F414-E414)/E414)</f>
        <v>0</v>
      </c>
      <c r="I414" s="12">
        <f>SUM(Data!J415,Data!L415,Data!N415,Data!P415,Data!R415,Data!T415,Data!V415,Data!X415,Data!Z415,Data!AB415,Data!AD415,Data!AF415,Data!AH415,Data!AJ415,Data!AL415,Data!AN415,Data!AP415,Data!AR415,Data!AT415)</f>
        <v>0</v>
      </c>
      <c r="J414" s="12">
        <f>SUM(Data!DJ415,Data!DL415,Data!DN415,Data!DP415,Data!DR415,Data!DT415,Data!DV415,Data!DX415,Data!DZ415,Data!EB415,Data!ED415,Data!EF415,Data!EH415,Data!EJ415,Data!EL415,Data!EN415,Data!EP415,Data!ER415,Data!ET415)</f>
        <v>0</v>
      </c>
      <c r="K414" s="12">
        <f>J414-I414</f>
        <v>0</v>
      </c>
      <c r="L414">
        <f>IF(I414=0,IF(J414&gt;0,"New",0),(J414-I414)/I414)</f>
        <v>0</v>
      </c>
      <c r="M414" t="str">
        <f>IF(F414=0,"No 2026 Sales",IF(E414=0,"New Product",IF(AND(ISNUMBER(H414),H414&gt;0.1),"↑ Strong Growth",IF(AND(ISNUMBER(H414),H414&gt;0),"↗ Growth",IF(AND(ISNUMBER(H414),H414&lt;-0.1),"↓ Strong Decline",IF(AND(ISNUMBER(H414),H414&lt;0),"↘ Decline","→ Stable"))))))</f>
        <v>No 2026 Sales</v>
      </c>
    </row>
    <row r="415" spans="1:13" hidden="1" x14ac:dyDescent="0.35">
      <c r="A415">
        <f>Data!A416</f>
        <v>216</v>
      </c>
      <c r="B415" t="str">
        <f>Data!B416</f>
        <v>BUTCH  WORS/MINCE/PAT</v>
      </c>
      <c r="C415" s="9">
        <f>Data!C416</f>
        <v>39416</v>
      </c>
      <c r="D415" s="10" t="s">
        <v>1196</v>
      </c>
      <c r="E415" s="11">
        <f>SUM(Data!I416,Data!K416,Data!M416,Data!O416,Data!Q416,Data!S416,Data!U416,Data!W416,Data!Y416,Data!AA416,Data!AC416,Data!AE416,Data!AG416,Data!AI416,Data!AK416,Data!AM416,Data!AO416,Data!AQ416,Data!AS416)</f>
        <v>0</v>
      </c>
      <c r="F415" s="11">
        <f>SUM(Data!DI416,Data!DK416,Data!DM416,Data!DO416,Data!DQ416,Data!DS416,Data!DU416,Data!DW416,Data!DY416,Data!EA416,Data!EC416,Data!EE416,Data!EG416,Data!EI416,Data!EK416,Data!EM416,Data!EO416,Data!EQ416,Data!ES416)</f>
        <v>0</v>
      </c>
      <c r="G415" s="11">
        <f>F415-E415</f>
        <v>0</v>
      </c>
      <c r="H415">
        <f>IF(E415=0,IF(F415&gt;0,"New",0),(F415-E415)/E415)</f>
        <v>0</v>
      </c>
      <c r="I415" s="12">
        <f>SUM(Data!J416,Data!L416,Data!N416,Data!P416,Data!R416,Data!T416,Data!V416,Data!X416,Data!Z416,Data!AB416,Data!AD416,Data!AF416,Data!AH416,Data!AJ416,Data!AL416,Data!AN416,Data!AP416,Data!AR416,Data!AT416)</f>
        <v>0</v>
      </c>
      <c r="J415" s="12">
        <f>SUM(Data!DJ416,Data!DL416,Data!DN416,Data!DP416,Data!DR416,Data!DT416,Data!DV416,Data!DX416,Data!DZ416,Data!EB416,Data!ED416,Data!EF416,Data!EH416,Data!EJ416,Data!EL416,Data!EN416,Data!EP416,Data!ER416,Data!ET416)</f>
        <v>0</v>
      </c>
      <c r="K415" s="12">
        <f>J415-I415</f>
        <v>0</v>
      </c>
      <c r="L415">
        <f>IF(I415=0,IF(J415&gt;0,"New",0),(J415-I415)/I415)</f>
        <v>0</v>
      </c>
      <c r="M415" t="str">
        <f>IF(F415=0,"No 2026 Sales",IF(E415=0,"New Product",IF(AND(ISNUMBER(H415),H415&gt;0.1),"↑ Strong Growth",IF(AND(ISNUMBER(H415),H415&gt;0),"↗ Growth",IF(AND(ISNUMBER(H415),H415&lt;-0.1),"↓ Strong Decline",IF(AND(ISNUMBER(H415),H415&lt;0),"↘ Decline","→ Stable"))))))</f>
        <v>No 2026 Sales</v>
      </c>
    </row>
    <row r="416" spans="1:13" hidden="1" x14ac:dyDescent="0.35">
      <c r="A416">
        <f>Data!A417</f>
        <v>216</v>
      </c>
      <c r="B416" t="str">
        <f>Data!B417</f>
        <v>BUTCH  WORS/MINCE/PAT</v>
      </c>
      <c r="C416" s="9">
        <f>Data!C417</f>
        <v>39418</v>
      </c>
      <c r="D416" s="10" t="s">
        <v>1197</v>
      </c>
      <c r="E416" s="11">
        <f>SUM(Data!I417,Data!K417,Data!M417,Data!O417,Data!Q417,Data!S417,Data!U417,Data!W417,Data!Y417,Data!AA417,Data!AC417,Data!AE417,Data!AG417,Data!AI417,Data!AK417,Data!AM417,Data!AO417,Data!AQ417,Data!AS417)</f>
        <v>0</v>
      </c>
      <c r="F416" s="11">
        <f>SUM(Data!DI417,Data!DK417,Data!DM417,Data!DO417,Data!DQ417,Data!DS417,Data!DU417,Data!DW417,Data!DY417,Data!EA417,Data!EC417,Data!EE417,Data!EG417,Data!EI417,Data!EK417,Data!EM417,Data!EO417,Data!EQ417,Data!ES417)</f>
        <v>0</v>
      </c>
      <c r="G416" s="11">
        <f>F416-E416</f>
        <v>0</v>
      </c>
      <c r="H416">
        <f>IF(E416=0,IF(F416&gt;0,"New",0),(F416-E416)/E416)</f>
        <v>0</v>
      </c>
      <c r="I416" s="12">
        <f>SUM(Data!J417,Data!L417,Data!N417,Data!P417,Data!R417,Data!T417,Data!V417,Data!X417,Data!Z417,Data!AB417,Data!AD417,Data!AF417,Data!AH417,Data!AJ417,Data!AL417,Data!AN417,Data!AP417,Data!AR417,Data!AT417)</f>
        <v>0</v>
      </c>
      <c r="J416" s="12">
        <f>SUM(Data!DJ417,Data!DL417,Data!DN417,Data!DP417,Data!DR417,Data!DT417,Data!DV417,Data!DX417,Data!DZ417,Data!EB417,Data!ED417,Data!EF417,Data!EH417,Data!EJ417,Data!EL417,Data!EN417,Data!EP417,Data!ER417,Data!ET417)</f>
        <v>0</v>
      </c>
      <c r="K416" s="12">
        <f>J416-I416</f>
        <v>0</v>
      </c>
      <c r="L416">
        <f>IF(I416=0,IF(J416&gt;0,"New",0),(J416-I416)/I416)</f>
        <v>0</v>
      </c>
      <c r="M416" t="str">
        <f>IF(F416=0,"No 2026 Sales",IF(E416=0,"New Product",IF(AND(ISNUMBER(H416),H416&gt;0.1),"↑ Strong Growth",IF(AND(ISNUMBER(H416),H416&gt;0),"↗ Growth",IF(AND(ISNUMBER(H416),H416&lt;-0.1),"↓ Strong Decline",IF(AND(ISNUMBER(H416),H416&lt;0),"↘ Decline","→ Stable"))))))</f>
        <v>No 2026 Sales</v>
      </c>
    </row>
    <row r="417" spans="1:13" hidden="1" x14ac:dyDescent="0.35">
      <c r="A417">
        <f>Data!A418</f>
        <v>216</v>
      </c>
      <c r="B417" t="str">
        <f>Data!B418</f>
        <v>BUTCH  WORS/MINCE/PAT</v>
      </c>
      <c r="C417" s="9">
        <f>Data!C418</f>
        <v>39494</v>
      </c>
      <c r="D417" s="10" t="s">
        <v>1198</v>
      </c>
      <c r="E417" s="11">
        <f>SUM(Data!I418,Data!K418,Data!M418,Data!O418,Data!Q418,Data!S418,Data!U418,Data!W418,Data!Y418,Data!AA418,Data!AC418,Data!AE418,Data!AG418,Data!AI418,Data!AK418,Data!AM418,Data!AO418,Data!AQ418,Data!AS418)</f>
        <v>0</v>
      </c>
      <c r="F417" s="11">
        <f>SUM(Data!DI418,Data!DK418,Data!DM418,Data!DO418,Data!DQ418,Data!DS418,Data!DU418,Data!DW418,Data!DY418,Data!EA418,Data!EC418,Data!EE418,Data!EG418,Data!EI418,Data!EK418,Data!EM418,Data!EO418,Data!EQ418,Data!ES418)</f>
        <v>0</v>
      </c>
      <c r="G417" s="11">
        <f>F417-E417</f>
        <v>0</v>
      </c>
      <c r="H417">
        <f>IF(E417=0,IF(F417&gt;0,"New",0),(F417-E417)/E417)</f>
        <v>0</v>
      </c>
      <c r="I417" s="12">
        <f>SUM(Data!J418,Data!L418,Data!N418,Data!P418,Data!R418,Data!T418,Data!V418,Data!X418,Data!Z418,Data!AB418,Data!AD418,Data!AF418,Data!AH418,Data!AJ418,Data!AL418,Data!AN418,Data!AP418,Data!AR418,Data!AT418)</f>
        <v>0</v>
      </c>
      <c r="J417" s="12">
        <f>SUM(Data!DJ418,Data!DL418,Data!DN418,Data!DP418,Data!DR418,Data!DT418,Data!DV418,Data!DX418,Data!DZ418,Data!EB418,Data!ED418,Data!EF418,Data!EH418,Data!EJ418,Data!EL418,Data!EN418,Data!EP418,Data!ER418,Data!ET418)</f>
        <v>0</v>
      </c>
      <c r="K417" s="12">
        <f>J417-I417</f>
        <v>0</v>
      </c>
      <c r="L417">
        <f>IF(I417=0,IF(J417&gt;0,"New",0),(J417-I417)/I417)</f>
        <v>0</v>
      </c>
      <c r="M417" t="str">
        <f>IF(F417=0,"No 2026 Sales",IF(E417=0,"New Product",IF(AND(ISNUMBER(H417),H417&gt;0.1),"↑ Strong Growth",IF(AND(ISNUMBER(H417),H417&gt;0),"↗ Growth",IF(AND(ISNUMBER(H417),H417&lt;-0.1),"↓ Strong Decline",IF(AND(ISNUMBER(H417),H417&lt;0),"↘ Decline","→ Stable"))))))</f>
        <v>No 2026 Sales</v>
      </c>
    </row>
    <row r="418" spans="1:13" hidden="1" x14ac:dyDescent="0.35">
      <c r="A418">
        <f>Data!A419</f>
        <v>216</v>
      </c>
      <c r="B418" t="str">
        <f>Data!B419</f>
        <v>BUTCH  WORS/MINCE/PAT</v>
      </c>
      <c r="C418" s="9">
        <f>Data!C419</f>
        <v>39499</v>
      </c>
      <c r="D418" s="10" t="s">
        <v>1199</v>
      </c>
      <c r="E418" s="11">
        <f>SUM(Data!I419,Data!K419,Data!M419,Data!O419,Data!Q419,Data!S419,Data!U419,Data!W419,Data!Y419,Data!AA419,Data!AC419,Data!AE419,Data!AG419,Data!AI419,Data!AK419,Data!AM419,Data!AO419,Data!AQ419,Data!AS419)</f>
        <v>0</v>
      </c>
      <c r="F418" s="11">
        <f>SUM(Data!DI419,Data!DK419,Data!DM419,Data!DO419,Data!DQ419,Data!DS419,Data!DU419,Data!DW419,Data!DY419,Data!EA419,Data!EC419,Data!EE419,Data!EG419,Data!EI419,Data!EK419,Data!EM419,Data!EO419,Data!EQ419,Data!ES419)</f>
        <v>0</v>
      </c>
      <c r="G418" s="11">
        <f>F418-E418</f>
        <v>0</v>
      </c>
      <c r="H418">
        <f>IF(E418=0,IF(F418&gt;0,"New",0),(F418-E418)/E418)</f>
        <v>0</v>
      </c>
      <c r="I418" s="12">
        <f>SUM(Data!J419,Data!L419,Data!N419,Data!P419,Data!R419,Data!T419,Data!V419,Data!X419,Data!Z419,Data!AB419,Data!AD419,Data!AF419,Data!AH419,Data!AJ419,Data!AL419,Data!AN419,Data!AP419,Data!AR419,Data!AT419)</f>
        <v>0</v>
      </c>
      <c r="J418" s="12">
        <f>SUM(Data!DJ419,Data!DL419,Data!DN419,Data!DP419,Data!DR419,Data!DT419,Data!DV419,Data!DX419,Data!DZ419,Data!EB419,Data!ED419,Data!EF419,Data!EH419,Data!EJ419,Data!EL419,Data!EN419,Data!EP419,Data!ER419,Data!ET419)</f>
        <v>0</v>
      </c>
      <c r="K418" s="12">
        <f>J418-I418</f>
        <v>0</v>
      </c>
      <c r="L418">
        <f>IF(I418=0,IF(J418&gt;0,"New",0),(J418-I418)/I418)</f>
        <v>0</v>
      </c>
      <c r="M418" t="str">
        <f>IF(F418=0,"No 2026 Sales",IF(E418=0,"New Product",IF(AND(ISNUMBER(H418),H418&gt;0.1),"↑ Strong Growth",IF(AND(ISNUMBER(H418),H418&gt;0),"↗ Growth",IF(AND(ISNUMBER(H418),H418&lt;-0.1),"↓ Strong Decline",IF(AND(ISNUMBER(H418),H418&lt;0),"↘ Decline","→ Stable"))))))</f>
        <v>No 2026 Sales</v>
      </c>
    </row>
    <row r="419" spans="1:13" hidden="1" x14ac:dyDescent="0.35">
      <c r="A419">
        <f>Data!A420</f>
        <v>216</v>
      </c>
      <c r="B419" t="str">
        <f>Data!B420</f>
        <v>BUTCH  WORS/MINCE/PAT</v>
      </c>
      <c r="C419" s="9">
        <f>Data!C420</f>
        <v>40207</v>
      </c>
      <c r="D419" s="10" t="s">
        <v>1200</v>
      </c>
      <c r="E419" s="11">
        <f>SUM(Data!I420,Data!K420,Data!M420,Data!O420,Data!Q420,Data!S420,Data!U420,Data!W420,Data!Y420,Data!AA420,Data!AC420,Data!AE420,Data!AG420,Data!AI420,Data!AK420,Data!AM420,Data!AO420,Data!AQ420,Data!AS420)</f>
        <v>0</v>
      </c>
      <c r="F419" s="11">
        <f>SUM(Data!DI420,Data!DK420,Data!DM420,Data!DO420,Data!DQ420,Data!DS420,Data!DU420,Data!DW420,Data!DY420,Data!EA420,Data!EC420,Data!EE420,Data!EG420,Data!EI420,Data!EK420,Data!EM420,Data!EO420,Data!EQ420,Data!ES420)</f>
        <v>0</v>
      </c>
      <c r="G419" s="11">
        <f>F419-E419</f>
        <v>0</v>
      </c>
      <c r="H419">
        <f>IF(E419=0,IF(F419&gt;0,"New",0),(F419-E419)/E419)</f>
        <v>0</v>
      </c>
      <c r="I419" s="12">
        <f>SUM(Data!J420,Data!L420,Data!N420,Data!P420,Data!R420,Data!T420,Data!V420,Data!X420,Data!Z420,Data!AB420,Data!AD420,Data!AF420,Data!AH420,Data!AJ420,Data!AL420,Data!AN420,Data!AP420,Data!AR420,Data!AT420)</f>
        <v>0</v>
      </c>
      <c r="J419" s="12">
        <f>SUM(Data!DJ420,Data!DL420,Data!DN420,Data!DP420,Data!DR420,Data!DT420,Data!DV420,Data!DX420,Data!DZ420,Data!EB420,Data!ED420,Data!EF420,Data!EH420,Data!EJ420,Data!EL420,Data!EN420,Data!EP420,Data!ER420,Data!ET420)</f>
        <v>0</v>
      </c>
      <c r="K419" s="12">
        <f>J419-I419</f>
        <v>0</v>
      </c>
      <c r="L419">
        <f>IF(I419=0,IF(J419&gt;0,"New",0),(J419-I419)/I419)</f>
        <v>0</v>
      </c>
      <c r="M419" t="str">
        <f>IF(F419=0,"No 2026 Sales",IF(E419=0,"New Product",IF(AND(ISNUMBER(H419),H419&gt;0.1),"↑ Strong Growth",IF(AND(ISNUMBER(H419),H419&gt;0),"↗ Growth",IF(AND(ISNUMBER(H419),H419&lt;-0.1),"↓ Strong Decline",IF(AND(ISNUMBER(H419),H419&lt;0),"↘ Decline","→ Stable"))))))</f>
        <v>No 2026 Sales</v>
      </c>
    </row>
    <row r="420" spans="1:13" hidden="1" x14ac:dyDescent="0.35">
      <c r="A420">
        <f>Data!A421</f>
        <v>216</v>
      </c>
      <c r="B420" t="str">
        <f>Data!B421</f>
        <v>BUTCH  WORS/MINCE/PAT</v>
      </c>
      <c r="C420" s="9">
        <f>Data!C421</f>
        <v>40360</v>
      </c>
      <c r="D420" s="10" t="s">
        <v>1201</v>
      </c>
      <c r="E420" s="11">
        <f>SUM(Data!I421,Data!K421,Data!M421,Data!O421,Data!Q421,Data!S421,Data!U421,Data!W421,Data!Y421,Data!AA421,Data!AC421,Data!AE421,Data!AG421,Data!AI421,Data!AK421,Data!AM421,Data!AO421,Data!AQ421,Data!AS421)</f>
        <v>0</v>
      </c>
      <c r="F420" s="11">
        <f>SUM(Data!DI421,Data!DK421,Data!DM421,Data!DO421,Data!DQ421,Data!DS421,Data!DU421,Data!DW421,Data!DY421,Data!EA421,Data!EC421,Data!EE421,Data!EG421,Data!EI421,Data!EK421,Data!EM421,Data!EO421,Data!EQ421,Data!ES421)</f>
        <v>0</v>
      </c>
      <c r="G420" s="11">
        <f>F420-E420</f>
        <v>0</v>
      </c>
      <c r="H420">
        <f>IF(E420=0,IF(F420&gt;0,"New",0),(F420-E420)/E420)</f>
        <v>0</v>
      </c>
      <c r="I420" s="12">
        <f>SUM(Data!J421,Data!L421,Data!N421,Data!P421,Data!R421,Data!T421,Data!V421,Data!X421,Data!Z421,Data!AB421,Data!AD421,Data!AF421,Data!AH421,Data!AJ421,Data!AL421,Data!AN421,Data!AP421,Data!AR421,Data!AT421)</f>
        <v>0</v>
      </c>
      <c r="J420" s="12">
        <f>SUM(Data!DJ421,Data!DL421,Data!DN421,Data!DP421,Data!DR421,Data!DT421,Data!DV421,Data!DX421,Data!DZ421,Data!EB421,Data!ED421,Data!EF421,Data!EH421,Data!EJ421,Data!EL421,Data!EN421,Data!EP421,Data!ER421,Data!ET421)</f>
        <v>0</v>
      </c>
      <c r="K420" s="12">
        <f>J420-I420</f>
        <v>0</v>
      </c>
      <c r="L420">
        <f>IF(I420=0,IF(J420&gt;0,"New",0),(J420-I420)/I420)</f>
        <v>0</v>
      </c>
      <c r="M420" t="str">
        <f>IF(F420=0,"No 2026 Sales",IF(E420=0,"New Product",IF(AND(ISNUMBER(H420),H420&gt;0.1),"↑ Strong Growth",IF(AND(ISNUMBER(H420),H420&gt;0),"↗ Growth",IF(AND(ISNUMBER(H420),H420&lt;-0.1),"↓ Strong Decline",IF(AND(ISNUMBER(H420),H420&lt;0),"↘ Decline","→ Stable"))))))</f>
        <v>No 2026 Sales</v>
      </c>
    </row>
    <row r="421" spans="1:13" hidden="1" x14ac:dyDescent="0.35">
      <c r="A421">
        <f>Data!A422</f>
        <v>216</v>
      </c>
      <c r="B421" t="str">
        <f>Data!B422</f>
        <v>BUTCH  WORS/MINCE/PAT</v>
      </c>
      <c r="C421" s="9">
        <f>Data!C422</f>
        <v>41066</v>
      </c>
      <c r="D421" s="10" t="s">
        <v>1202</v>
      </c>
      <c r="E421" s="11">
        <f>SUM(Data!I422,Data!K422,Data!M422,Data!O422,Data!Q422,Data!S422,Data!U422,Data!W422,Data!Y422,Data!AA422,Data!AC422,Data!AE422,Data!AG422,Data!AI422,Data!AK422,Data!AM422,Data!AO422,Data!AQ422,Data!AS422)</f>
        <v>0</v>
      </c>
      <c r="F421" s="11">
        <f>SUM(Data!DI422,Data!DK422,Data!DM422,Data!DO422,Data!DQ422,Data!DS422,Data!DU422,Data!DW422,Data!DY422,Data!EA422,Data!EC422,Data!EE422,Data!EG422,Data!EI422,Data!EK422,Data!EM422,Data!EO422,Data!EQ422,Data!ES422)</f>
        <v>0</v>
      </c>
      <c r="G421" s="11">
        <f>F421-E421</f>
        <v>0</v>
      </c>
      <c r="H421">
        <f>IF(E421=0,IF(F421&gt;0,"New",0),(F421-E421)/E421)</f>
        <v>0</v>
      </c>
      <c r="I421" s="12">
        <f>SUM(Data!J422,Data!L422,Data!N422,Data!P422,Data!R422,Data!T422,Data!V422,Data!X422,Data!Z422,Data!AB422,Data!AD422,Data!AF422,Data!AH422,Data!AJ422,Data!AL422,Data!AN422,Data!AP422,Data!AR422,Data!AT422)</f>
        <v>0</v>
      </c>
      <c r="J421" s="12">
        <f>SUM(Data!DJ422,Data!DL422,Data!DN422,Data!DP422,Data!DR422,Data!DT422,Data!DV422,Data!DX422,Data!DZ422,Data!EB422,Data!ED422,Data!EF422,Data!EH422,Data!EJ422,Data!EL422,Data!EN422,Data!EP422,Data!ER422,Data!ET422)</f>
        <v>0</v>
      </c>
      <c r="K421" s="12">
        <f>J421-I421</f>
        <v>0</v>
      </c>
      <c r="L421">
        <f>IF(I421=0,IF(J421&gt;0,"New",0),(J421-I421)/I421)</f>
        <v>0</v>
      </c>
      <c r="M421" t="str">
        <f>IF(F421=0,"No 2026 Sales",IF(E421=0,"New Product",IF(AND(ISNUMBER(H421),H421&gt;0.1),"↑ Strong Growth",IF(AND(ISNUMBER(H421),H421&gt;0),"↗ Growth",IF(AND(ISNUMBER(H421),H421&lt;-0.1),"↓ Strong Decline",IF(AND(ISNUMBER(H421),H421&lt;0),"↘ Decline","→ Stable"))))))</f>
        <v>No 2026 Sales</v>
      </c>
    </row>
    <row r="422" spans="1:13" hidden="1" x14ac:dyDescent="0.35">
      <c r="A422">
        <f>Data!A423</f>
        <v>216</v>
      </c>
      <c r="B422" t="str">
        <f>Data!B423</f>
        <v>BUTCH  WORS/MINCE/PAT</v>
      </c>
      <c r="C422" s="9">
        <f>Data!C423</f>
        <v>42959</v>
      </c>
      <c r="D422" s="10" t="s">
        <v>1203</v>
      </c>
      <c r="E422" s="11">
        <f>SUM(Data!I423,Data!K423,Data!M423,Data!O423,Data!Q423,Data!S423,Data!U423,Data!W423,Data!Y423,Data!AA423,Data!AC423,Data!AE423,Data!AG423,Data!AI423,Data!AK423,Data!AM423,Data!AO423,Data!AQ423,Data!AS423)</f>
        <v>0</v>
      </c>
      <c r="F422" s="11">
        <f>SUM(Data!DI423,Data!DK423,Data!DM423,Data!DO423,Data!DQ423,Data!DS423,Data!DU423,Data!DW423,Data!DY423,Data!EA423,Data!EC423,Data!EE423,Data!EG423,Data!EI423,Data!EK423,Data!EM423,Data!EO423,Data!EQ423,Data!ES423)</f>
        <v>0</v>
      </c>
      <c r="G422" s="11">
        <f>F422-E422</f>
        <v>0</v>
      </c>
      <c r="H422">
        <f>IF(E422=0,IF(F422&gt;0,"New",0),(F422-E422)/E422)</f>
        <v>0</v>
      </c>
      <c r="I422" s="12">
        <f>SUM(Data!J423,Data!L423,Data!N423,Data!P423,Data!R423,Data!T423,Data!V423,Data!X423,Data!Z423,Data!AB423,Data!AD423,Data!AF423,Data!AH423,Data!AJ423,Data!AL423,Data!AN423,Data!AP423,Data!AR423,Data!AT423)</f>
        <v>0</v>
      </c>
      <c r="J422" s="12">
        <f>SUM(Data!DJ423,Data!DL423,Data!DN423,Data!DP423,Data!DR423,Data!DT423,Data!DV423,Data!DX423,Data!DZ423,Data!EB423,Data!ED423,Data!EF423,Data!EH423,Data!EJ423,Data!EL423,Data!EN423,Data!EP423,Data!ER423,Data!ET423)</f>
        <v>0</v>
      </c>
      <c r="K422" s="12">
        <f>J422-I422</f>
        <v>0</v>
      </c>
      <c r="L422">
        <f>IF(I422=0,IF(J422&gt;0,"New",0),(J422-I422)/I422)</f>
        <v>0</v>
      </c>
      <c r="M422" t="str">
        <f>IF(F422=0,"No 2026 Sales",IF(E422=0,"New Product",IF(AND(ISNUMBER(H422),H422&gt;0.1),"↑ Strong Growth",IF(AND(ISNUMBER(H422),H422&gt;0),"↗ Growth",IF(AND(ISNUMBER(H422),H422&lt;-0.1),"↓ Strong Decline",IF(AND(ISNUMBER(H422),H422&lt;0),"↘ Decline","→ Stable"))))))</f>
        <v>No 2026 Sales</v>
      </c>
    </row>
    <row r="423" spans="1:13" hidden="1" x14ac:dyDescent="0.35">
      <c r="A423">
        <f>Data!A424</f>
        <v>216</v>
      </c>
      <c r="B423" t="str">
        <f>Data!B424</f>
        <v>BUTCH  WORS/MINCE/PAT</v>
      </c>
      <c r="C423" s="9">
        <f>Data!C424</f>
        <v>43246</v>
      </c>
      <c r="D423" s="10" t="s">
        <v>1204</v>
      </c>
      <c r="E423" s="11">
        <f>SUM(Data!I424,Data!K424,Data!M424,Data!O424,Data!Q424,Data!S424,Data!U424,Data!W424,Data!Y424,Data!AA424,Data!AC424,Data!AE424,Data!AG424,Data!AI424,Data!AK424,Data!AM424,Data!AO424,Data!AQ424,Data!AS424)</f>
        <v>0</v>
      </c>
      <c r="F423" s="11">
        <f>SUM(Data!DI424,Data!DK424,Data!DM424,Data!DO424,Data!DQ424,Data!DS424,Data!DU424,Data!DW424,Data!DY424,Data!EA424,Data!EC424,Data!EE424,Data!EG424,Data!EI424,Data!EK424,Data!EM424,Data!EO424,Data!EQ424,Data!ES424)</f>
        <v>0</v>
      </c>
      <c r="G423" s="11">
        <f>F423-E423</f>
        <v>0</v>
      </c>
      <c r="H423">
        <f>IF(E423=0,IF(F423&gt;0,"New",0),(F423-E423)/E423)</f>
        <v>0</v>
      </c>
      <c r="I423" s="12">
        <f>SUM(Data!J424,Data!L424,Data!N424,Data!P424,Data!R424,Data!T424,Data!V424,Data!X424,Data!Z424,Data!AB424,Data!AD424,Data!AF424,Data!AH424,Data!AJ424,Data!AL424,Data!AN424,Data!AP424,Data!AR424,Data!AT424)</f>
        <v>0</v>
      </c>
      <c r="J423" s="12">
        <f>SUM(Data!DJ424,Data!DL424,Data!DN424,Data!DP424,Data!DR424,Data!DT424,Data!DV424,Data!DX424,Data!DZ424,Data!EB424,Data!ED424,Data!EF424,Data!EH424,Data!EJ424,Data!EL424,Data!EN424,Data!EP424,Data!ER424,Data!ET424)</f>
        <v>0</v>
      </c>
      <c r="K423" s="12">
        <f>J423-I423</f>
        <v>0</v>
      </c>
      <c r="L423">
        <f>IF(I423=0,IF(J423&gt;0,"New",0),(J423-I423)/I423)</f>
        <v>0</v>
      </c>
      <c r="M423" t="str">
        <f>IF(F423=0,"No 2026 Sales",IF(E423=0,"New Product",IF(AND(ISNUMBER(H423),H423&gt;0.1),"↑ Strong Growth",IF(AND(ISNUMBER(H423),H423&gt;0),"↗ Growth",IF(AND(ISNUMBER(H423),H423&lt;-0.1),"↓ Strong Decline",IF(AND(ISNUMBER(H423),H423&lt;0),"↘ Decline","→ Stable"))))))</f>
        <v>No 2026 Sales</v>
      </c>
    </row>
    <row r="424" spans="1:13" hidden="1" x14ac:dyDescent="0.35">
      <c r="A424">
        <f>Data!A425</f>
        <v>216</v>
      </c>
      <c r="B424" t="str">
        <f>Data!B425</f>
        <v>BUTCH  WORS/MINCE/PAT</v>
      </c>
      <c r="C424" s="9">
        <f>Data!C425</f>
        <v>43331</v>
      </c>
      <c r="D424" s="10" t="s">
        <v>1205</v>
      </c>
      <c r="E424" s="11">
        <f>SUM(Data!I425,Data!K425,Data!M425,Data!O425,Data!Q425,Data!S425,Data!U425,Data!W425,Data!Y425,Data!AA425,Data!AC425,Data!AE425,Data!AG425,Data!AI425,Data!AK425,Data!AM425,Data!AO425,Data!AQ425,Data!AS425)</f>
        <v>0</v>
      </c>
      <c r="F424" s="11">
        <f>SUM(Data!DI425,Data!DK425,Data!DM425,Data!DO425,Data!DQ425,Data!DS425,Data!DU425,Data!DW425,Data!DY425,Data!EA425,Data!EC425,Data!EE425,Data!EG425,Data!EI425,Data!EK425,Data!EM425,Data!EO425,Data!EQ425,Data!ES425)</f>
        <v>0</v>
      </c>
      <c r="G424" s="11">
        <f>F424-E424</f>
        <v>0</v>
      </c>
      <c r="H424">
        <f>IF(E424=0,IF(F424&gt;0,"New",0),(F424-E424)/E424)</f>
        <v>0</v>
      </c>
      <c r="I424" s="12">
        <f>SUM(Data!J425,Data!L425,Data!N425,Data!P425,Data!R425,Data!T425,Data!V425,Data!X425,Data!Z425,Data!AB425,Data!AD425,Data!AF425,Data!AH425,Data!AJ425,Data!AL425,Data!AN425,Data!AP425,Data!AR425,Data!AT425)</f>
        <v>0</v>
      </c>
      <c r="J424" s="12">
        <f>SUM(Data!DJ425,Data!DL425,Data!DN425,Data!DP425,Data!DR425,Data!DT425,Data!DV425,Data!DX425,Data!DZ425,Data!EB425,Data!ED425,Data!EF425,Data!EH425,Data!EJ425,Data!EL425,Data!EN425,Data!EP425,Data!ER425,Data!ET425)</f>
        <v>0</v>
      </c>
      <c r="K424" s="12">
        <f>J424-I424</f>
        <v>0</v>
      </c>
      <c r="L424">
        <f>IF(I424=0,IF(J424&gt;0,"New",0),(J424-I424)/I424)</f>
        <v>0</v>
      </c>
      <c r="M424" t="str">
        <f>IF(F424=0,"No 2026 Sales",IF(E424=0,"New Product",IF(AND(ISNUMBER(H424),H424&gt;0.1),"↑ Strong Growth",IF(AND(ISNUMBER(H424),H424&gt;0),"↗ Growth",IF(AND(ISNUMBER(H424),H424&lt;-0.1),"↓ Strong Decline",IF(AND(ISNUMBER(H424),H424&lt;0),"↘ Decline","→ Stable"))))))</f>
        <v>No 2026 Sales</v>
      </c>
    </row>
    <row r="425" spans="1:13" hidden="1" x14ac:dyDescent="0.35">
      <c r="A425">
        <f>Data!A426</f>
        <v>216</v>
      </c>
      <c r="B425" t="str">
        <f>Data!B426</f>
        <v>BUTCH  WORS/MINCE/PAT</v>
      </c>
      <c r="C425" s="9">
        <f>Data!C426</f>
        <v>44007</v>
      </c>
      <c r="D425" s="10" t="s">
        <v>1206</v>
      </c>
      <c r="E425" s="11">
        <f>SUM(Data!I426,Data!K426,Data!M426,Data!O426,Data!Q426,Data!S426,Data!U426,Data!W426,Data!Y426,Data!AA426,Data!AC426,Data!AE426,Data!AG426,Data!AI426,Data!AK426,Data!AM426,Data!AO426,Data!AQ426,Data!AS426)</f>
        <v>0</v>
      </c>
      <c r="F425" s="11">
        <f>SUM(Data!DI426,Data!DK426,Data!DM426,Data!DO426,Data!DQ426,Data!DS426,Data!DU426,Data!DW426,Data!DY426,Data!EA426,Data!EC426,Data!EE426,Data!EG426,Data!EI426,Data!EK426,Data!EM426,Data!EO426,Data!EQ426,Data!ES426)</f>
        <v>0</v>
      </c>
      <c r="G425" s="11">
        <f>F425-E425</f>
        <v>0</v>
      </c>
      <c r="H425">
        <f>IF(E425=0,IF(F425&gt;0,"New",0),(F425-E425)/E425)</f>
        <v>0</v>
      </c>
      <c r="I425" s="12">
        <f>SUM(Data!J426,Data!L426,Data!N426,Data!P426,Data!R426,Data!T426,Data!V426,Data!X426,Data!Z426,Data!AB426,Data!AD426,Data!AF426,Data!AH426,Data!AJ426,Data!AL426,Data!AN426,Data!AP426,Data!AR426,Data!AT426)</f>
        <v>0</v>
      </c>
      <c r="J425" s="12">
        <f>SUM(Data!DJ426,Data!DL426,Data!DN426,Data!DP426,Data!DR426,Data!DT426,Data!DV426,Data!DX426,Data!DZ426,Data!EB426,Data!ED426,Data!EF426,Data!EH426,Data!EJ426,Data!EL426,Data!EN426,Data!EP426,Data!ER426,Data!ET426)</f>
        <v>0</v>
      </c>
      <c r="K425" s="12">
        <f>J425-I425</f>
        <v>0</v>
      </c>
      <c r="L425">
        <f>IF(I425=0,IF(J425&gt;0,"New",0),(J425-I425)/I425)</f>
        <v>0</v>
      </c>
      <c r="M425" t="str">
        <f>IF(F425=0,"No 2026 Sales",IF(E425=0,"New Product",IF(AND(ISNUMBER(H425),H425&gt;0.1),"↑ Strong Growth",IF(AND(ISNUMBER(H425),H425&gt;0),"↗ Growth",IF(AND(ISNUMBER(H425),H425&lt;-0.1),"↓ Strong Decline",IF(AND(ISNUMBER(H425),H425&lt;0),"↘ Decline","→ Stable"))))))</f>
        <v>No 2026 Sales</v>
      </c>
    </row>
    <row r="426" spans="1:13" x14ac:dyDescent="0.35">
      <c r="A426">
        <f>Data!A427</f>
        <v>216</v>
      </c>
      <c r="B426" t="str">
        <f>Data!B427</f>
        <v>BUTCH  WORS/MINCE/PAT</v>
      </c>
      <c r="C426" s="9">
        <f>Data!C427</f>
        <v>44450</v>
      </c>
      <c r="D426" s="10" t="s">
        <v>1207</v>
      </c>
      <c r="E426" s="11">
        <f>SUM(Data!I427,Data!K427,Data!M427,Data!O427,Data!Q427,Data!S427,Data!U427,Data!W427,Data!Y427,Data!AA427,Data!AC427,Data!AE427,Data!AG427,Data!AI427,Data!AK427,Data!AM427,Data!AO427,Data!AQ427,Data!AS427)</f>
        <v>29505.295652173903</v>
      </c>
      <c r="F426" s="11">
        <f>SUM(Data!DI427,Data!DK427,Data!DM427,Data!DO427,Data!DQ427,Data!DS427,Data!DU427,Data!DW427,Data!DY427,Data!EA427,Data!EC427,Data!EE427,Data!EG427,Data!EI427,Data!EK427,Data!EM427,Data!EO427,Data!EQ427,Data!ES427)</f>
        <v>25006.608695652176</v>
      </c>
      <c r="G426" s="11">
        <f>F426-E426</f>
        <v>-4498.6869565217276</v>
      </c>
      <c r="H426" s="13">
        <f>IF(E426=0,IF(F426&gt;0,"New",0),(F426-E426)/E426)</f>
        <v>-0.15247049240092164</v>
      </c>
      <c r="I426" s="12">
        <f>SUM(Data!J427,Data!L427,Data!N427,Data!P427,Data!R427,Data!T427,Data!V427,Data!X427,Data!Z427,Data!AB427,Data!AD427,Data!AF427,Data!AH427,Data!AJ427,Data!AL427,Data!AN427,Data!AP427,Data!AR427,Data!AT427)</f>
        <v>565.62699999999995</v>
      </c>
      <c r="J426" s="12">
        <f>SUM(Data!DJ427,Data!DL427,Data!DN427,Data!DP427,Data!DR427,Data!DT427,Data!DV427,Data!DX427,Data!DZ427,Data!EB427,Data!ED427,Data!EF427,Data!EH427,Data!EJ427,Data!EL427,Data!EN427,Data!EP427,Data!ER427,Data!ET427)</f>
        <v>314.71799999999996</v>
      </c>
      <c r="K426" s="12">
        <f>J426-I426</f>
        <v>-250.90899999999999</v>
      </c>
      <c r="L426" s="13">
        <f>IF(I426=0,IF(J426&gt;0,"New",0),(J426-I426)/I426)</f>
        <v>-0.44359445358867244</v>
      </c>
      <c r="M426" t="str">
        <f>IF(F426=0,"No 2026 Sales",IF(E426=0,"New Product",IF(AND(ISNUMBER(H426),H426&gt;0.1),"↑ Strong Growth",IF(AND(ISNUMBER(H426),H426&gt;0),"↗ Growth",IF(AND(ISNUMBER(H426),H426&lt;-0.1),"↓ Strong Decline",IF(AND(ISNUMBER(H426),H426&lt;0),"↘ Decline","→ Stable"))))))</f>
        <v>↓ Strong Decline</v>
      </c>
    </row>
    <row r="427" spans="1:13" hidden="1" x14ac:dyDescent="0.35">
      <c r="A427">
        <f>Data!A428</f>
        <v>216</v>
      </c>
      <c r="B427" t="str">
        <f>Data!B428</f>
        <v>BUTCH  WORS/MINCE/PAT</v>
      </c>
      <c r="C427" s="9">
        <f>Data!C428</f>
        <v>44670</v>
      </c>
      <c r="D427" s="10" t="s">
        <v>1208</v>
      </c>
      <c r="E427" s="11">
        <f>SUM(Data!I428,Data!K428,Data!M428,Data!O428,Data!Q428,Data!S428,Data!U428,Data!W428,Data!Y428,Data!AA428,Data!AC428,Data!AE428,Data!AG428,Data!AI428,Data!AK428,Data!AM428,Data!AO428,Data!AQ428,Data!AS428)</f>
        <v>11349.913043478258</v>
      </c>
      <c r="F427" s="11">
        <f>SUM(Data!DI428,Data!DK428,Data!DM428,Data!DO428,Data!DQ428,Data!DS428,Data!DU428,Data!DW428,Data!DY428,Data!EA428,Data!EC428,Data!EE428,Data!EG428,Data!EI428,Data!EK428,Data!EM428,Data!EO428,Data!EQ428,Data!ES428)</f>
        <v>0</v>
      </c>
      <c r="G427" s="11">
        <f>F427-E427</f>
        <v>-11349.913043478258</v>
      </c>
      <c r="H427">
        <f>IF(E427=0,IF(F427&gt;0,"New",0),(F427-E427)/E427)</f>
        <v>-1</v>
      </c>
      <c r="I427" s="12">
        <f>SUM(Data!J428,Data!L428,Data!N428,Data!P428,Data!R428,Data!T428,Data!V428,Data!X428,Data!Z428,Data!AB428,Data!AD428,Data!AF428,Data!AH428,Data!AJ428,Data!AL428,Data!AN428,Data!AP428,Data!AR428,Data!AT428)</f>
        <v>235.91</v>
      </c>
      <c r="J427" s="12">
        <f>SUM(Data!DJ428,Data!DL428,Data!DN428,Data!DP428,Data!DR428,Data!DT428,Data!DV428,Data!DX428,Data!DZ428,Data!EB428,Data!ED428,Data!EF428,Data!EH428,Data!EJ428,Data!EL428,Data!EN428,Data!EP428,Data!ER428,Data!ET428)</f>
        <v>0</v>
      </c>
      <c r="K427" s="12">
        <f>J427-I427</f>
        <v>-235.91</v>
      </c>
      <c r="L427">
        <f>IF(I427=0,IF(J427&gt;0,"New",0),(J427-I427)/I427)</f>
        <v>-1</v>
      </c>
      <c r="M427" t="str">
        <f>IF(F427=0,"No 2026 Sales",IF(E427=0,"New Product",IF(AND(ISNUMBER(H427),H427&gt;0.1),"↑ Strong Growth",IF(AND(ISNUMBER(H427),H427&gt;0),"↗ Growth",IF(AND(ISNUMBER(H427),H427&lt;-0.1),"↓ Strong Decline",IF(AND(ISNUMBER(H427),H427&lt;0),"↘ Decline","→ Stable"))))))</f>
        <v>No 2026 Sales</v>
      </c>
    </row>
    <row r="428" spans="1:13" hidden="1" x14ac:dyDescent="0.35">
      <c r="A428">
        <f>Data!A429</f>
        <v>216</v>
      </c>
      <c r="B428" t="str">
        <f>Data!B429</f>
        <v>BUTCH  WORS/MINCE/PAT</v>
      </c>
      <c r="C428" s="9">
        <f>Data!C429</f>
        <v>44671</v>
      </c>
      <c r="D428" s="10" t="s">
        <v>1209</v>
      </c>
      <c r="E428" s="11">
        <f>SUM(Data!I429,Data!K429,Data!M429,Data!O429,Data!Q429,Data!S429,Data!U429,Data!W429,Data!Y429,Data!AA429,Data!AC429,Data!AE429,Data!AG429,Data!AI429,Data!AK429,Data!AM429,Data!AO429,Data!AQ429,Data!AS429)</f>
        <v>10705.686956521742</v>
      </c>
      <c r="F428" s="11">
        <f>SUM(Data!DI429,Data!DK429,Data!DM429,Data!DO429,Data!DQ429,Data!DS429,Data!DU429,Data!DW429,Data!DY429,Data!EA429,Data!EC429,Data!EE429,Data!EG429,Data!EI429,Data!EK429,Data!EM429,Data!EO429,Data!EQ429,Data!ES429)</f>
        <v>0</v>
      </c>
      <c r="G428" s="11">
        <f>F428-E428</f>
        <v>-10705.686956521742</v>
      </c>
      <c r="H428">
        <f>IF(E428=0,IF(F428&gt;0,"New",0),(F428-E428)/E428)</f>
        <v>-1</v>
      </c>
      <c r="I428" s="12">
        <f>SUM(Data!J429,Data!L429,Data!N429,Data!P429,Data!R429,Data!T429,Data!V429,Data!X429,Data!Z429,Data!AB429,Data!AD429,Data!AF429,Data!AH429,Data!AJ429,Data!AL429,Data!AN429,Data!AP429,Data!AR429,Data!AT429)</f>
        <v>201.71599999999998</v>
      </c>
      <c r="J428" s="12">
        <f>SUM(Data!DJ429,Data!DL429,Data!DN429,Data!DP429,Data!DR429,Data!DT429,Data!DV429,Data!DX429,Data!DZ429,Data!EB429,Data!ED429,Data!EF429,Data!EH429,Data!EJ429,Data!EL429,Data!EN429,Data!EP429,Data!ER429,Data!ET429)</f>
        <v>0</v>
      </c>
      <c r="K428" s="12">
        <f>J428-I428</f>
        <v>-201.71599999999998</v>
      </c>
      <c r="L428">
        <f>IF(I428=0,IF(J428&gt;0,"New",0),(J428-I428)/I428)</f>
        <v>-1</v>
      </c>
      <c r="M428" t="str">
        <f>IF(F428=0,"No 2026 Sales",IF(E428=0,"New Product",IF(AND(ISNUMBER(H428),H428&gt;0.1),"↑ Strong Growth",IF(AND(ISNUMBER(H428),H428&gt;0),"↗ Growth",IF(AND(ISNUMBER(H428),H428&lt;-0.1),"↓ Strong Decline",IF(AND(ISNUMBER(H428),H428&lt;0),"↘ Decline","→ Stable"))))))</f>
        <v>No 2026 Sales</v>
      </c>
    </row>
    <row r="429" spans="1:13" hidden="1" x14ac:dyDescent="0.35">
      <c r="A429">
        <f>Data!A430</f>
        <v>216</v>
      </c>
      <c r="B429" t="str">
        <f>Data!B430</f>
        <v>BUTCH  WORS/MINCE/PAT</v>
      </c>
      <c r="C429" s="9">
        <f>Data!C430</f>
        <v>45224</v>
      </c>
      <c r="D429" s="10" t="s">
        <v>1210</v>
      </c>
      <c r="E429" s="11">
        <f>SUM(Data!I430,Data!K430,Data!M430,Data!O430,Data!Q430,Data!S430,Data!U430,Data!W430,Data!Y430,Data!AA430,Data!AC430,Data!AE430,Data!AG430,Data!AI430,Data!AK430,Data!AM430,Data!AO430,Data!AQ430,Data!AS430)</f>
        <v>0</v>
      </c>
      <c r="F429" s="11">
        <f>SUM(Data!DI430,Data!DK430,Data!DM430,Data!DO430,Data!DQ430,Data!DS430,Data!DU430,Data!DW430,Data!DY430,Data!EA430,Data!EC430,Data!EE430,Data!EG430,Data!EI430,Data!EK430,Data!EM430,Data!EO430,Data!EQ430,Data!ES430)</f>
        <v>0</v>
      </c>
      <c r="G429" s="11">
        <f>F429-E429</f>
        <v>0</v>
      </c>
      <c r="H429">
        <f>IF(E429=0,IF(F429&gt;0,"New",0),(F429-E429)/E429)</f>
        <v>0</v>
      </c>
      <c r="I429" s="12">
        <f>SUM(Data!J430,Data!L430,Data!N430,Data!P430,Data!R430,Data!T430,Data!V430,Data!X430,Data!Z430,Data!AB430,Data!AD430,Data!AF430,Data!AH430,Data!AJ430,Data!AL430,Data!AN430,Data!AP430,Data!AR430,Data!AT430)</f>
        <v>0</v>
      </c>
      <c r="J429" s="12">
        <f>SUM(Data!DJ430,Data!DL430,Data!DN430,Data!DP430,Data!DR430,Data!DT430,Data!DV430,Data!DX430,Data!DZ430,Data!EB430,Data!ED430,Data!EF430,Data!EH430,Data!EJ430,Data!EL430,Data!EN430,Data!EP430,Data!ER430,Data!ET430)</f>
        <v>0</v>
      </c>
      <c r="K429" s="12">
        <f>J429-I429</f>
        <v>0</v>
      </c>
      <c r="L429">
        <f>IF(I429=0,IF(J429&gt;0,"New",0),(J429-I429)/I429)</f>
        <v>0</v>
      </c>
      <c r="M429" t="str">
        <f>IF(F429=0,"No 2026 Sales",IF(E429=0,"New Product",IF(AND(ISNUMBER(H429),H429&gt;0.1),"↑ Strong Growth",IF(AND(ISNUMBER(H429),H429&gt;0),"↗ Growth",IF(AND(ISNUMBER(H429),H429&lt;-0.1),"↓ Strong Decline",IF(AND(ISNUMBER(H429),H429&lt;0),"↘ Decline","→ Stable"))))))</f>
        <v>No 2026 Sales</v>
      </c>
    </row>
    <row r="430" spans="1:13" x14ac:dyDescent="0.35">
      <c r="A430">
        <f>Data!A431</f>
        <v>216</v>
      </c>
      <c r="B430" t="str">
        <f>Data!B431</f>
        <v>BUTCH  WORS/MINCE/PAT</v>
      </c>
      <c r="C430" s="9">
        <f>Data!C431</f>
        <v>45416</v>
      </c>
      <c r="D430" s="10" t="s">
        <v>1211</v>
      </c>
      <c r="E430" s="11">
        <f>SUM(Data!I431,Data!K431,Data!M431,Data!O431,Data!Q431,Data!S431,Data!U431,Data!W431,Data!Y431,Data!AA431,Data!AC431,Data!AE431,Data!AG431,Data!AI431,Data!AK431,Data!AM431,Data!AO431,Data!AQ431,Data!AS431)</f>
        <v>18978.504347826078</v>
      </c>
      <c r="F430" s="11">
        <f>SUM(Data!DI431,Data!DK431,Data!DM431,Data!DO431,Data!DQ431,Data!DS431,Data!DU431,Data!DW431,Data!DY431,Data!EA431,Data!EC431,Data!EE431,Data!EG431,Data!EI431,Data!EK431,Data!EM431,Data!EO431,Data!EQ431,Data!ES431)</f>
        <v>16054.313043478262</v>
      </c>
      <c r="G430" s="11">
        <f>F430-E430</f>
        <v>-2924.1913043478162</v>
      </c>
      <c r="H430" s="13">
        <f>IF(E430=0,IF(F430&gt;0,"New",0),(F430-E430)/E430)</f>
        <v>-0.15407912292534118</v>
      </c>
      <c r="I430" s="12">
        <f>SUM(Data!J431,Data!L431,Data!N431,Data!P431,Data!R431,Data!T431,Data!V431,Data!X431,Data!Z431,Data!AB431,Data!AD431,Data!AF431,Data!AH431,Data!AJ431,Data!AL431,Data!AN431,Data!AP431,Data!AR431,Data!AT431)</f>
        <v>208.27</v>
      </c>
      <c r="J430" s="12">
        <f>SUM(Data!DJ431,Data!DL431,Data!DN431,Data!DP431,Data!DR431,Data!DT431,Data!DV431,Data!DX431,Data!DZ431,Data!EB431,Data!ED431,Data!EF431,Data!EH431,Data!EJ431,Data!EL431,Data!EN431,Data!EP431,Data!ER431,Data!ET431)</f>
        <v>159.70099999999999</v>
      </c>
      <c r="K430" s="12">
        <f>J430-I430</f>
        <v>-48.569000000000017</v>
      </c>
      <c r="L430" s="13">
        <f>IF(I430=0,IF(J430&gt;0,"New",0),(J430-I430)/I430)</f>
        <v>-0.23320209343640474</v>
      </c>
      <c r="M430" t="str">
        <f>IF(F430=0,"No 2026 Sales",IF(E430=0,"New Product",IF(AND(ISNUMBER(H430),H430&gt;0.1),"↑ Strong Growth",IF(AND(ISNUMBER(H430),H430&gt;0),"↗ Growth",IF(AND(ISNUMBER(H430),H430&lt;-0.1),"↓ Strong Decline",IF(AND(ISNUMBER(H430),H430&lt;0),"↘ Decline","→ Stable"))))))</f>
        <v>↓ Strong Decline</v>
      </c>
    </row>
    <row r="431" spans="1:13" x14ac:dyDescent="0.35">
      <c r="A431">
        <f>Data!A432</f>
        <v>216</v>
      </c>
      <c r="B431" t="str">
        <f>Data!B432</f>
        <v>BUTCH  WORS/MINCE/PAT</v>
      </c>
      <c r="C431" s="9">
        <f>Data!C432</f>
        <v>45832</v>
      </c>
      <c r="D431" s="10" t="s">
        <v>1212</v>
      </c>
      <c r="E431" s="11">
        <f>SUM(Data!I432,Data!K432,Data!M432,Data!O432,Data!Q432,Data!S432,Data!U432,Data!W432,Data!Y432,Data!AA432,Data!AC432,Data!AE432,Data!AG432,Data!AI432,Data!AK432,Data!AM432,Data!AO432,Data!AQ432,Data!AS432)</f>
        <v>22889.373913043481</v>
      </c>
      <c r="F431" s="11">
        <f>SUM(Data!DI432,Data!DK432,Data!DM432,Data!DO432,Data!DQ432,Data!DS432,Data!DU432,Data!DW432,Data!DY432,Data!EA432,Data!EC432,Data!EE432,Data!EG432,Data!EI432,Data!EK432,Data!EM432,Data!EO432,Data!EQ432,Data!ES432)</f>
        <v>5562.5999999999985</v>
      </c>
      <c r="G431" s="11">
        <f>F431-E431</f>
        <v>-17326.773913043482</v>
      </c>
      <c r="H431" s="13">
        <f>IF(E431=0,IF(F431&gt;0,"New",0),(F431-E431)/E431)</f>
        <v>-0.75697893611541034</v>
      </c>
      <c r="I431" s="12">
        <f>SUM(Data!J432,Data!L432,Data!N432,Data!P432,Data!R432,Data!T432,Data!V432,Data!X432,Data!Z432,Data!AB432,Data!AD432,Data!AF432,Data!AH432,Data!AJ432,Data!AL432,Data!AN432,Data!AP432,Data!AR432,Data!AT432)</f>
        <v>264.74900000000002</v>
      </c>
      <c r="J431" s="12">
        <f>SUM(Data!DJ432,Data!DL432,Data!DN432,Data!DP432,Data!DR432,Data!DT432,Data!DV432,Data!DX432,Data!DZ432,Data!EB432,Data!ED432,Data!EF432,Data!EH432,Data!EJ432,Data!EL432,Data!EN432,Data!EP432,Data!ER432,Data!ET432)</f>
        <v>51.753999999999998</v>
      </c>
      <c r="K431" s="12">
        <f>J431-I431</f>
        <v>-212.99500000000003</v>
      </c>
      <c r="L431" s="13">
        <f>IF(I431=0,IF(J431&gt;0,"New",0),(J431-I431)/I431)</f>
        <v>-0.80451673094138232</v>
      </c>
      <c r="M431" t="str">
        <f>IF(F431=0,"No 2026 Sales",IF(E431=0,"New Product",IF(AND(ISNUMBER(H431),H431&gt;0.1),"↑ Strong Growth",IF(AND(ISNUMBER(H431),H431&gt;0),"↗ Growth",IF(AND(ISNUMBER(H431),H431&lt;-0.1),"↓ Strong Decline",IF(AND(ISNUMBER(H431),H431&lt;0),"↘ Decline","→ Stable"))))))</f>
        <v>↓ Strong Decline</v>
      </c>
    </row>
    <row r="432" spans="1:13" hidden="1" x14ac:dyDescent="0.35">
      <c r="A432">
        <f>Data!A433</f>
        <v>216</v>
      </c>
      <c r="B432" t="str">
        <f>Data!B433</f>
        <v>BUTCH  WORS/MINCE/PAT</v>
      </c>
      <c r="C432" s="9">
        <f>Data!C433</f>
        <v>46004</v>
      </c>
      <c r="D432" s="10" t="s">
        <v>1213</v>
      </c>
      <c r="E432" s="11">
        <f>SUM(Data!I433,Data!K433,Data!M433,Data!O433,Data!Q433,Data!S433,Data!U433,Data!W433,Data!Y433,Data!AA433,Data!AC433,Data!AE433,Data!AG433,Data!AI433,Data!AK433,Data!AM433,Data!AO433,Data!AQ433,Data!AS433)</f>
        <v>0</v>
      </c>
      <c r="F432" s="11">
        <f>SUM(Data!DI433,Data!DK433,Data!DM433,Data!DO433,Data!DQ433,Data!DS433,Data!DU433,Data!DW433,Data!DY433,Data!EA433,Data!EC433,Data!EE433,Data!EG433,Data!EI433,Data!EK433,Data!EM433,Data!EO433,Data!EQ433,Data!ES433)</f>
        <v>0</v>
      </c>
      <c r="G432" s="11">
        <f>F432-E432</f>
        <v>0</v>
      </c>
      <c r="H432">
        <f>IF(E432=0,IF(F432&gt;0,"New",0),(F432-E432)/E432)</f>
        <v>0</v>
      </c>
      <c r="I432" s="12">
        <f>SUM(Data!J433,Data!L433,Data!N433,Data!P433,Data!R433,Data!T433,Data!V433,Data!X433,Data!Z433,Data!AB433,Data!AD433,Data!AF433,Data!AH433,Data!AJ433,Data!AL433,Data!AN433,Data!AP433,Data!AR433,Data!AT433)</f>
        <v>0</v>
      </c>
      <c r="J432" s="12">
        <f>SUM(Data!DJ433,Data!DL433,Data!DN433,Data!DP433,Data!DR433,Data!DT433,Data!DV433,Data!DX433,Data!DZ433,Data!EB433,Data!ED433,Data!EF433,Data!EH433,Data!EJ433,Data!EL433,Data!EN433,Data!EP433,Data!ER433,Data!ET433)</f>
        <v>0</v>
      </c>
      <c r="K432" s="12">
        <f>J432-I432</f>
        <v>0</v>
      </c>
      <c r="L432">
        <f>IF(I432=0,IF(J432&gt;0,"New",0),(J432-I432)/I432)</f>
        <v>0</v>
      </c>
      <c r="M432" t="str">
        <f>IF(F432=0,"No 2026 Sales",IF(E432=0,"New Product",IF(AND(ISNUMBER(H432),H432&gt;0.1),"↑ Strong Growth",IF(AND(ISNUMBER(H432),H432&gt;0),"↗ Growth",IF(AND(ISNUMBER(H432),H432&lt;-0.1),"↓ Strong Decline",IF(AND(ISNUMBER(H432),H432&lt;0),"↘ Decline","→ Stable"))))))</f>
        <v>No 2026 Sales</v>
      </c>
    </row>
    <row r="433" spans="1:13" hidden="1" x14ac:dyDescent="0.35">
      <c r="A433">
        <f>Data!A434</f>
        <v>216</v>
      </c>
      <c r="B433" t="str">
        <f>Data!B434</f>
        <v>BUTCH  WORS/MINCE/PAT</v>
      </c>
      <c r="C433" s="9">
        <f>Data!C434</f>
        <v>46061</v>
      </c>
      <c r="D433" s="10" t="s">
        <v>1214</v>
      </c>
      <c r="E433" s="11">
        <f>SUM(Data!I434,Data!K434,Data!M434,Data!O434,Data!Q434,Data!S434,Data!U434,Data!W434,Data!Y434,Data!AA434,Data!AC434,Data!AE434,Data!AG434,Data!AI434,Data!AK434,Data!AM434,Data!AO434,Data!AQ434,Data!AS434)</f>
        <v>21810.330434782612</v>
      </c>
      <c r="F433" s="11">
        <f>SUM(Data!DI434,Data!DK434,Data!DM434,Data!DO434,Data!DQ434,Data!DS434,Data!DU434,Data!DW434,Data!DY434,Data!EA434,Data!EC434,Data!EE434,Data!EG434,Data!EI434,Data!EK434,Data!EM434,Data!EO434,Data!EQ434,Data!ES434)</f>
        <v>0</v>
      </c>
      <c r="G433" s="11">
        <f>F433-E433</f>
        <v>-21810.330434782612</v>
      </c>
      <c r="H433">
        <f>IF(E433=0,IF(F433&gt;0,"New",0),(F433-E433)/E433)</f>
        <v>-1</v>
      </c>
      <c r="I433" s="12">
        <f>SUM(Data!J434,Data!L434,Data!N434,Data!P434,Data!R434,Data!T434,Data!V434,Data!X434,Data!Z434,Data!AB434,Data!AD434,Data!AF434,Data!AH434,Data!AJ434,Data!AL434,Data!AN434,Data!AP434,Data!AR434,Data!AT434)</f>
        <v>250.852</v>
      </c>
      <c r="J433" s="12">
        <f>SUM(Data!DJ434,Data!DL434,Data!DN434,Data!DP434,Data!DR434,Data!DT434,Data!DV434,Data!DX434,Data!DZ434,Data!EB434,Data!ED434,Data!EF434,Data!EH434,Data!EJ434,Data!EL434,Data!EN434,Data!EP434,Data!ER434,Data!ET434)</f>
        <v>0</v>
      </c>
      <c r="K433" s="12">
        <f>J433-I433</f>
        <v>-250.852</v>
      </c>
      <c r="L433">
        <f>IF(I433=0,IF(J433&gt;0,"New",0),(J433-I433)/I433)</f>
        <v>-1</v>
      </c>
      <c r="M433" t="str">
        <f>IF(F433=0,"No 2026 Sales",IF(E433=0,"New Product",IF(AND(ISNUMBER(H433),H433&gt;0.1),"↑ Strong Growth",IF(AND(ISNUMBER(H433),H433&gt;0),"↗ Growth",IF(AND(ISNUMBER(H433),H433&lt;-0.1),"↓ Strong Decline",IF(AND(ISNUMBER(H433),H433&lt;0),"↘ Decline","→ Stable"))))))</f>
        <v>No 2026 Sales</v>
      </c>
    </row>
    <row r="434" spans="1:13" x14ac:dyDescent="0.35">
      <c r="A434">
        <f>Data!A435</f>
        <v>216</v>
      </c>
      <c r="B434" t="str">
        <f>Data!B435</f>
        <v>BUTCH  WORS/MINCE/PAT</v>
      </c>
      <c r="C434" s="9">
        <f>Data!C435</f>
        <v>46386</v>
      </c>
      <c r="D434" s="10" t="s">
        <v>1215</v>
      </c>
      <c r="E434" s="11">
        <f>SUM(Data!I435,Data!K435,Data!M435,Data!O435,Data!Q435,Data!S435,Data!U435,Data!W435,Data!Y435,Data!AA435,Data!AC435,Data!AE435,Data!AG435,Data!AI435,Data!AK435,Data!AM435,Data!AO435,Data!AQ435,Data!AS435)</f>
        <v>12542.617391304337</v>
      </c>
      <c r="F434" s="11">
        <f>SUM(Data!DI435,Data!DK435,Data!DM435,Data!DO435,Data!DQ435,Data!DS435,Data!DU435,Data!DW435,Data!DY435,Data!EA435,Data!EC435,Data!EE435,Data!EG435,Data!EI435,Data!EK435,Data!EM435,Data!EO435,Data!EQ435,Data!ES435)</f>
        <v>11892.739130434789</v>
      </c>
      <c r="G434" s="11">
        <f>F434-E434</f>
        <v>-649.87826086954738</v>
      </c>
      <c r="H434" s="13">
        <f>IF(E434=0,IF(F434&gt;0,"New",0),(F434-E434)/E434)</f>
        <v>-5.1813608004984753E-2</v>
      </c>
      <c r="I434" s="12">
        <f>SUM(Data!J435,Data!L435,Data!N435,Data!P435,Data!R435,Data!T435,Data!V435,Data!X435,Data!Z435,Data!AB435,Data!AD435,Data!AF435,Data!AH435,Data!AJ435,Data!AL435,Data!AN435,Data!AP435,Data!AR435,Data!AT435)</f>
        <v>144.261</v>
      </c>
      <c r="J434" s="12">
        <f>SUM(Data!DJ435,Data!DL435,Data!DN435,Data!DP435,Data!DR435,Data!DT435,Data!DV435,Data!DX435,Data!DZ435,Data!EB435,Data!ED435,Data!EF435,Data!EH435,Data!EJ435,Data!EL435,Data!EN435,Data!EP435,Data!ER435,Data!ET435)</f>
        <v>105.212</v>
      </c>
      <c r="K434" s="12">
        <f>J434-I434</f>
        <v>-39.048999999999992</v>
      </c>
      <c r="L434" s="13">
        <f>IF(I434=0,IF(J434&gt;0,"New",0),(J434-I434)/I434)</f>
        <v>-0.27068299817691543</v>
      </c>
      <c r="M434" t="str">
        <f>IF(F434=0,"No 2026 Sales",IF(E434=0,"New Product",IF(AND(ISNUMBER(H434),H434&gt;0.1),"↑ Strong Growth",IF(AND(ISNUMBER(H434),H434&gt;0),"↗ Growth",IF(AND(ISNUMBER(H434),H434&lt;-0.1),"↓ Strong Decline",IF(AND(ISNUMBER(H434),H434&lt;0),"↘ Decline","→ Stable"))))))</f>
        <v>↘ Decline</v>
      </c>
    </row>
    <row r="435" spans="1:13" hidden="1" x14ac:dyDescent="0.35">
      <c r="A435">
        <f>Data!A436</f>
        <v>216</v>
      </c>
      <c r="B435" t="str">
        <f>Data!B436</f>
        <v>BUTCH  WORS/MINCE/PAT</v>
      </c>
      <c r="C435" s="9">
        <f>Data!C436</f>
        <v>46387</v>
      </c>
      <c r="D435" s="10" t="s">
        <v>1216</v>
      </c>
      <c r="E435" s="11">
        <f>SUM(Data!I436,Data!K436,Data!M436,Data!O436,Data!Q436,Data!S436,Data!U436,Data!W436,Data!Y436,Data!AA436,Data!AC436,Data!AE436,Data!AG436,Data!AI436,Data!AK436,Data!AM436,Data!AO436,Data!AQ436,Data!AS436)</f>
        <v>0</v>
      </c>
      <c r="F435" s="11">
        <f>SUM(Data!DI436,Data!DK436,Data!DM436,Data!DO436,Data!DQ436,Data!DS436,Data!DU436,Data!DW436,Data!DY436,Data!EA436,Data!EC436,Data!EE436,Data!EG436,Data!EI436,Data!EK436,Data!EM436,Data!EO436,Data!EQ436,Data!ES436)</f>
        <v>0</v>
      </c>
      <c r="G435" s="11">
        <f>F435-E435</f>
        <v>0</v>
      </c>
      <c r="H435">
        <f>IF(E435=0,IF(F435&gt;0,"New",0),(F435-E435)/E435)</f>
        <v>0</v>
      </c>
      <c r="I435" s="12">
        <f>SUM(Data!J436,Data!L436,Data!N436,Data!P436,Data!R436,Data!T436,Data!V436,Data!X436,Data!Z436,Data!AB436,Data!AD436,Data!AF436,Data!AH436,Data!AJ436,Data!AL436,Data!AN436,Data!AP436,Data!AR436,Data!AT436)</f>
        <v>0</v>
      </c>
      <c r="J435" s="12">
        <f>SUM(Data!DJ436,Data!DL436,Data!DN436,Data!DP436,Data!DR436,Data!DT436,Data!DV436,Data!DX436,Data!DZ436,Data!EB436,Data!ED436,Data!EF436,Data!EH436,Data!EJ436,Data!EL436,Data!EN436,Data!EP436,Data!ER436,Data!ET436)</f>
        <v>0</v>
      </c>
      <c r="K435" s="12">
        <f>J435-I435</f>
        <v>0</v>
      </c>
      <c r="L435">
        <f>IF(I435=0,IF(J435&gt;0,"New",0),(J435-I435)/I435)</f>
        <v>0</v>
      </c>
      <c r="M435" t="str">
        <f>IF(F435=0,"No 2026 Sales",IF(E435=0,"New Product",IF(AND(ISNUMBER(H435),H435&gt;0.1),"↑ Strong Growth",IF(AND(ISNUMBER(H435),H435&gt;0),"↗ Growth",IF(AND(ISNUMBER(H435),H435&lt;-0.1),"↓ Strong Decline",IF(AND(ISNUMBER(H435),H435&lt;0),"↘ Decline","→ Stable"))))))</f>
        <v>No 2026 Sales</v>
      </c>
    </row>
    <row r="436" spans="1:13" x14ac:dyDescent="0.35">
      <c r="A436">
        <f>Data!A437</f>
        <v>216</v>
      </c>
      <c r="B436" t="str">
        <f>Data!B437</f>
        <v>BUTCH  WORS/MINCE/PAT</v>
      </c>
      <c r="C436" s="9">
        <f>Data!C437</f>
        <v>47251</v>
      </c>
      <c r="D436" s="10" t="s">
        <v>1217</v>
      </c>
      <c r="E436" s="11">
        <f>SUM(Data!I437,Data!K437,Data!M437,Data!O437,Data!Q437,Data!S437,Data!U437,Data!W437,Data!Y437,Data!AA437,Data!AC437,Data!AE437,Data!AG437,Data!AI437,Data!AK437,Data!AM437,Data!AO437,Data!AQ437,Data!AS437)</f>
        <v>17101.399999999998</v>
      </c>
      <c r="F436" s="11">
        <f>SUM(Data!DI437,Data!DK437,Data!DM437,Data!DO437,Data!DQ437,Data!DS437,Data!DU437,Data!DW437,Data!DY437,Data!EA437,Data!EC437,Data!EE437,Data!EG437,Data!EI437,Data!EK437,Data!EM437,Data!EO437,Data!EQ437,Data!ES437)</f>
        <v>13993.721739130426</v>
      </c>
      <c r="G436" s="11">
        <f>F436-E436</f>
        <v>-3107.6782608695721</v>
      </c>
      <c r="H436" s="13">
        <f>IF(E436=0,IF(F436&gt;0,"New",0),(F436-E436)/E436)</f>
        <v>-0.1817206930935229</v>
      </c>
      <c r="I436" s="12">
        <f>SUM(Data!J437,Data!L437,Data!N437,Data!P437,Data!R437,Data!T437,Data!V437,Data!X437,Data!Z437,Data!AB437,Data!AD437,Data!AF437,Data!AH437,Data!AJ437,Data!AL437,Data!AN437,Data!AP437,Data!AR437,Data!AT437)</f>
        <v>205.41400000000002</v>
      </c>
      <c r="J436" s="12">
        <f>SUM(Data!DJ437,Data!DL437,Data!DN437,Data!DP437,Data!DR437,Data!DT437,Data!DV437,Data!DX437,Data!DZ437,Data!EB437,Data!ED437,Data!EF437,Data!EH437,Data!EJ437,Data!EL437,Data!EN437,Data!EP437,Data!ER437,Data!ET437)</f>
        <v>149.67400000000001</v>
      </c>
      <c r="K436" s="12">
        <f>J436-I436</f>
        <v>-55.740000000000009</v>
      </c>
      <c r="L436" s="13">
        <f>IF(I436=0,IF(J436&gt;0,"New",0),(J436-I436)/I436)</f>
        <v>-0.27135443543283322</v>
      </c>
      <c r="M436" t="str">
        <f>IF(F436=0,"No 2026 Sales",IF(E436=0,"New Product",IF(AND(ISNUMBER(H436),H436&gt;0.1),"↑ Strong Growth",IF(AND(ISNUMBER(H436),H436&gt;0),"↗ Growth",IF(AND(ISNUMBER(H436),H436&lt;-0.1),"↓ Strong Decline",IF(AND(ISNUMBER(H436),H436&lt;0),"↘ Decline","→ Stable"))))))</f>
        <v>↓ Strong Decline</v>
      </c>
    </row>
    <row r="437" spans="1:13" x14ac:dyDescent="0.35">
      <c r="A437">
        <f>Data!A438</f>
        <v>216</v>
      </c>
      <c r="B437" t="str">
        <f>Data!B438</f>
        <v>BUTCH  WORS/MINCE/PAT</v>
      </c>
      <c r="C437" s="9">
        <f>Data!C438</f>
        <v>47669</v>
      </c>
      <c r="D437" s="10" t="s">
        <v>1218</v>
      </c>
      <c r="E437" s="11">
        <f>SUM(Data!I438,Data!K438,Data!M438,Data!O438,Data!Q438,Data!S438,Data!U438,Data!W438,Data!Y438,Data!AA438,Data!AC438,Data!AE438,Data!AG438,Data!AI438,Data!AK438,Data!AM438,Data!AO438,Data!AQ438,Data!AS438)</f>
        <v>0</v>
      </c>
      <c r="F437" s="11">
        <f>SUM(Data!DI438,Data!DK438,Data!DM438,Data!DO438,Data!DQ438,Data!DS438,Data!DU438,Data!DW438,Data!DY438,Data!EA438,Data!EC438,Data!EE438,Data!EG438,Data!EI438,Data!EK438,Data!EM438,Data!EO438,Data!EQ438,Data!ES438)</f>
        <v>6638.2956521739106</v>
      </c>
      <c r="G437" s="11">
        <f>F437-E437</f>
        <v>6638.2956521739106</v>
      </c>
      <c r="H437" s="13" t="str">
        <f>IF(E437=0,IF(F437&gt;0,"New",0),(F437-E437)/E437)</f>
        <v>New</v>
      </c>
      <c r="I437" s="12">
        <f>SUM(Data!J438,Data!L438,Data!N438,Data!P438,Data!R438,Data!T438,Data!V438,Data!X438,Data!Z438,Data!AB438,Data!AD438,Data!AF438,Data!AH438,Data!AJ438,Data!AL438,Data!AN438,Data!AP438,Data!AR438,Data!AT438)</f>
        <v>0</v>
      </c>
      <c r="J437" s="12">
        <f>SUM(Data!DJ438,Data!DL438,Data!DN438,Data!DP438,Data!DR438,Data!DT438,Data!DV438,Data!DX438,Data!DZ438,Data!EB438,Data!ED438,Data!EF438,Data!EH438,Data!EJ438,Data!EL438,Data!EN438,Data!EP438,Data!ER438,Data!ET438)</f>
        <v>130.358</v>
      </c>
      <c r="K437" s="12">
        <f>J437-I437</f>
        <v>130.358</v>
      </c>
      <c r="L437" s="13" t="str">
        <f>IF(I437=0,IF(J437&gt;0,"New",0),(J437-I437)/I437)</f>
        <v>New</v>
      </c>
      <c r="M437" t="str">
        <f>IF(F437=0,"No 2026 Sales",IF(E437=0,"New Product",IF(AND(ISNUMBER(H437),H437&gt;0.1),"↑ Strong Growth",IF(AND(ISNUMBER(H437),H437&gt;0),"↗ Growth",IF(AND(ISNUMBER(H437),H437&lt;-0.1),"↓ Strong Decline",IF(AND(ISNUMBER(H437),H437&lt;0),"↘ Decline","→ Stable"))))))</f>
        <v>New Product</v>
      </c>
    </row>
    <row r="438" spans="1:13" x14ac:dyDescent="0.35">
      <c r="A438">
        <f>Data!A439</f>
        <v>216</v>
      </c>
      <c r="B438" t="str">
        <f>Data!B439</f>
        <v>BUTCH  WORS/MINCE/PAT</v>
      </c>
      <c r="C438" s="9">
        <f>Data!C439</f>
        <v>47745</v>
      </c>
      <c r="D438" s="10" t="s">
        <v>1219</v>
      </c>
      <c r="E438" s="11">
        <f>SUM(Data!I439,Data!K439,Data!M439,Data!O439,Data!Q439,Data!S439,Data!U439,Data!W439,Data!Y439,Data!AA439,Data!AC439,Data!AE439,Data!AG439,Data!AI439,Data!AK439,Data!AM439,Data!AO439,Data!AQ439,Data!AS439)</f>
        <v>0</v>
      </c>
      <c r="F438" s="11">
        <f>SUM(Data!DI439,Data!DK439,Data!DM439,Data!DO439,Data!DQ439,Data!DS439,Data!DU439,Data!DW439,Data!DY439,Data!EA439,Data!EC439,Data!EE439,Data!EG439,Data!EI439,Data!EK439,Data!EM439,Data!EO439,Data!EQ439,Data!ES439)</f>
        <v>7601.2434782608707</v>
      </c>
      <c r="G438" s="11">
        <f>F438-E438</f>
        <v>7601.2434782608707</v>
      </c>
      <c r="H438" s="13" t="str">
        <f>IF(E438=0,IF(F438&gt;0,"New",0),(F438-E438)/E438)</f>
        <v>New</v>
      </c>
      <c r="I438" s="12">
        <f>SUM(Data!J439,Data!L439,Data!N439,Data!P439,Data!R439,Data!T439,Data!V439,Data!X439,Data!Z439,Data!AB439,Data!AD439,Data!AF439,Data!AH439,Data!AJ439,Data!AL439,Data!AN439,Data!AP439,Data!AR439,Data!AT439)</f>
        <v>0</v>
      </c>
      <c r="J438" s="12">
        <f>SUM(Data!DJ439,Data!DL439,Data!DN439,Data!DP439,Data!DR439,Data!DT439,Data!DV439,Data!DX439,Data!DZ439,Data!EB439,Data!ED439,Data!EF439,Data!EH439,Data!EJ439,Data!EL439,Data!EN439,Data!EP439,Data!ER439,Data!ET439)</f>
        <v>172.35400000000001</v>
      </c>
      <c r="K438" s="12">
        <f>J438-I438</f>
        <v>172.35400000000001</v>
      </c>
      <c r="L438" s="13" t="str">
        <f>IF(I438=0,IF(J438&gt;0,"New",0),(J438-I438)/I438)</f>
        <v>New</v>
      </c>
      <c r="M438" t="str">
        <f>IF(F438=0,"No 2026 Sales",IF(E438=0,"New Product",IF(AND(ISNUMBER(H438),H438&gt;0.1),"↑ Strong Growth",IF(AND(ISNUMBER(H438),H438&gt;0),"↗ Growth",IF(AND(ISNUMBER(H438),H438&lt;-0.1),"↓ Strong Decline",IF(AND(ISNUMBER(H438),H438&lt;0),"↘ Decline","→ Stable"))))))</f>
        <v>New Product</v>
      </c>
    </row>
    <row r="439" spans="1:13" hidden="1" x14ac:dyDescent="0.35">
      <c r="A439">
        <f>Data!A440</f>
        <v>216</v>
      </c>
      <c r="B439" t="str">
        <f>Data!B440</f>
        <v>BUTCH  WORS/MINCE/PAT</v>
      </c>
      <c r="C439" s="9">
        <f>Data!C440</f>
        <v>50302</v>
      </c>
      <c r="D439" s="10" t="s">
        <v>1220</v>
      </c>
      <c r="E439" s="11">
        <f>SUM(Data!I440,Data!K440,Data!M440,Data!O440,Data!Q440,Data!S440,Data!U440,Data!W440,Data!Y440,Data!AA440,Data!AC440,Data!AE440,Data!AG440,Data!AI440,Data!AK440,Data!AM440,Data!AO440,Data!AQ440,Data!AS440)</f>
        <v>0</v>
      </c>
      <c r="F439" s="11">
        <f>SUM(Data!DI440,Data!DK440,Data!DM440,Data!DO440,Data!DQ440,Data!DS440,Data!DU440,Data!DW440,Data!DY440,Data!EA440,Data!EC440,Data!EE440,Data!EG440,Data!EI440,Data!EK440,Data!EM440,Data!EO440,Data!EQ440,Data!ES440)</f>
        <v>0</v>
      </c>
      <c r="G439" s="11">
        <f>F439-E439</f>
        <v>0</v>
      </c>
      <c r="H439">
        <f>IF(E439=0,IF(F439&gt;0,"New",0),(F439-E439)/E439)</f>
        <v>0</v>
      </c>
      <c r="I439" s="12">
        <f>SUM(Data!J440,Data!L440,Data!N440,Data!P440,Data!R440,Data!T440,Data!V440,Data!X440,Data!Z440,Data!AB440,Data!AD440,Data!AF440,Data!AH440,Data!AJ440,Data!AL440,Data!AN440,Data!AP440,Data!AR440,Data!AT440)</f>
        <v>0</v>
      </c>
      <c r="J439" s="12">
        <f>SUM(Data!DJ440,Data!DL440,Data!DN440,Data!DP440,Data!DR440,Data!DT440,Data!DV440,Data!DX440,Data!DZ440,Data!EB440,Data!ED440,Data!EF440,Data!EH440,Data!EJ440,Data!EL440,Data!EN440,Data!EP440,Data!ER440,Data!ET440)</f>
        <v>0</v>
      </c>
      <c r="K439" s="12">
        <f>J439-I439</f>
        <v>0</v>
      </c>
      <c r="L439">
        <f>IF(I439=0,IF(J439&gt;0,"New",0),(J439-I439)/I439)</f>
        <v>0</v>
      </c>
      <c r="M439" t="str">
        <f>IF(F439=0,"No 2026 Sales",IF(E439=0,"New Product",IF(AND(ISNUMBER(H439),H439&gt;0.1),"↑ Strong Growth",IF(AND(ISNUMBER(H439),H439&gt;0),"↗ Growth",IF(AND(ISNUMBER(H439),H439&lt;-0.1),"↓ Strong Decline",IF(AND(ISNUMBER(H439),H439&lt;0),"↘ Decline","→ Stable"))))))</f>
        <v>No 2026 Sales</v>
      </c>
    </row>
    <row r="440" spans="1:13" x14ac:dyDescent="0.35">
      <c r="A440">
        <f>Data!A441</f>
        <v>216</v>
      </c>
      <c r="B440" t="str">
        <f>Data!B441</f>
        <v>BUTCH  WORS/MINCE/PAT</v>
      </c>
      <c r="C440" s="9">
        <f>Data!C441</f>
        <v>51078</v>
      </c>
      <c r="D440" s="10" t="s">
        <v>1221</v>
      </c>
      <c r="E440" s="11">
        <f>SUM(Data!I441,Data!K441,Data!M441,Data!O441,Data!Q441,Data!S441,Data!U441,Data!W441,Data!Y441,Data!AA441,Data!AC441,Data!AE441,Data!AG441,Data!AI441,Data!AK441,Data!AM441,Data!AO441,Data!AQ441,Data!AS441)</f>
        <v>4723.0434782608745</v>
      </c>
      <c r="F440" s="11">
        <f>SUM(Data!DI441,Data!DK441,Data!DM441,Data!DO441,Data!DQ441,Data!DS441,Data!DU441,Data!DW441,Data!DY441,Data!EA441,Data!EC441,Data!EE441,Data!EG441,Data!EI441,Data!EK441,Data!EM441,Data!EO441,Data!EQ441,Data!ES441)</f>
        <v>21505.347826086963</v>
      </c>
      <c r="G440" s="11">
        <f>F440-E440</f>
        <v>16782.304347826088</v>
      </c>
      <c r="H440" s="13">
        <f>IF(E440=0,IF(F440&gt;0,"New",0),(F440-E440)/E440)</f>
        <v>3.5532817821964433</v>
      </c>
      <c r="I440" s="12">
        <f>SUM(Data!J441,Data!L441,Data!N441,Data!P441,Data!R441,Data!T441,Data!V441,Data!X441,Data!Z441,Data!AB441,Data!AD441,Data!AF441,Data!AH441,Data!AJ441,Data!AL441,Data!AN441,Data!AP441,Data!AR441,Data!AT441)</f>
        <v>49.384</v>
      </c>
      <c r="J440" s="12">
        <f>SUM(Data!DJ441,Data!DL441,Data!DN441,Data!DP441,Data!DR441,Data!DT441,Data!DV441,Data!DX441,Data!DZ441,Data!EB441,Data!ED441,Data!EF441,Data!EH441,Data!EJ441,Data!EL441,Data!EN441,Data!EP441,Data!ER441,Data!ET441)</f>
        <v>221.17000000000002</v>
      </c>
      <c r="K440" s="12">
        <f>J440-I440</f>
        <v>171.786</v>
      </c>
      <c r="L440" s="13">
        <f>IF(I440=0,IF(J440&gt;0,"New",0),(J440-I440)/I440)</f>
        <v>3.4785760570225173</v>
      </c>
      <c r="M440" t="str">
        <f>IF(F440=0,"No 2026 Sales",IF(E440=0,"New Product",IF(AND(ISNUMBER(H440),H440&gt;0.1),"↑ Strong Growth",IF(AND(ISNUMBER(H440),H440&gt;0),"↗ Growth",IF(AND(ISNUMBER(H440),H440&lt;-0.1),"↓ Strong Decline",IF(AND(ISNUMBER(H440),H440&lt;0),"↘ Decline","→ Stable"))))))</f>
        <v>↑ Strong Growth</v>
      </c>
    </row>
    <row r="441" spans="1:13" x14ac:dyDescent="0.35">
      <c r="A441">
        <f>Data!A442</f>
        <v>216</v>
      </c>
      <c r="B441" t="str">
        <f>Data!B442</f>
        <v>BUTCH  WORS/MINCE/PAT</v>
      </c>
      <c r="C441" s="9">
        <f>Data!C442</f>
        <v>52186</v>
      </c>
      <c r="D441" s="10" t="s">
        <v>1222</v>
      </c>
      <c r="E441" s="11">
        <f>SUM(Data!I442,Data!K442,Data!M442,Data!O442,Data!Q442,Data!S442,Data!U442,Data!W442,Data!Y442,Data!AA442,Data!AC442,Data!AE442,Data!AG442,Data!AI442,Data!AK442,Data!AM442,Data!AO442,Data!AQ442,Data!AS442)</f>
        <v>32558.591304347825</v>
      </c>
      <c r="F441" s="11">
        <f>SUM(Data!DI442,Data!DK442,Data!DM442,Data!DO442,Data!DQ442,Data!DS442,Data!DU442,Data!DW442,Data!DY442,Data!EA442,Data!EC442,Data!EE442,Data!EG442,Data!EI442,Data!EK442,Data!EM442,Data!EO442,Data!EQ442,Data!ES442)</f>
        <v>31840.034782608716</v>
      </c>
      <c r="G441" s="11">
        <f>F441-E441</f>
        <v>-718.55652173910858</v>
      </c>
      <c r="H441" s="13">
        <f>IF(E441=0,IF(F441&gt;0,"New",0),(F441-E441)/E441)</f>
        <v>-2.2069644077111948E-2</v>
      </c>
      <c r="I441" s="12">
        <f>SUM(Data!J442,Data!L442,Data!N442,Data!P442,Data!R442,Data!T442,Data!V442,Data!X442,Data!Z442,Data!AB442,Data!AD442,Data!AF442,Data!AH442,Data!AJ442,Data!AL442,Data!AN442,Data!AP442,Data!AR442,Data!AT442)</f>
        <v>470.63600000000002</v>
      </c>
      <c r="J441" s="12">
        <f>SUM(Data!DJ442,Data!DL442,Data!DN442,Data!DP442,Data!DR442,Data!DT442,Data!DV442,Data!DX442,Data!DZ442,Data!EB442,Data!ED442,Data!EF442,Data!EH442,Data!EJ442,Data!EL442,Data!EN442,Data!EP442,Data!ER442,Data!ET442)</f>
        <v>390.31699999999995</v>
      </c>
      <c r="K441" s="12">
        <f>J441-I441</f>
        <v>-80.319000000000074</v>
      </c>
      <c r="L441" s="13">
        <f>IF(I441=0,IF(J441&gt;0,"New",0),(J441-I441)/I441)</f>
        <v>-0.17066055295387533</v>
      </c>
      <c r="M441" t="str">
        <f>IF(F441=0,"No 2026 Sales",IF(E441=0,"New Product",IF(AND(ISNUMBER(H441),H441&gt;0.1),"↑ Strong Growth",IF(AND(ISNUMBER(H441),H441&gt;0),"↗ Growth",IF(AND(ISNUMBER(H441),H441&lt;-0.1),"↓ Strong Decline",IF(AND(ISNUMBER(H441),H441&lt;0),"↘ Decline","→ Stable"))))))</f>
        <v>↘ Decline</v>
      </c>
    </row>
    <row r="442" spans="1:13" hidden="1" x14ac:dyDescent="0.35">
      <c r="A442">
        <f>Data!A443</f>
        <v>216</v>
      </c>
      <c r="B442" t="str">
        <f>Data!B443</f>
        <v>BUTCH  WORS/MINCE/PAT</v>
      </c>
      <c r="C442" s="9">
        <f>Data!C443</f>
        <v>52388</v>
      </c>
      <c r="D442" s="10" t="s">
        <v>1223</v>
      </c>
      <c r="E442" s="11">
        <f>SUM(Data!I443,Data!K443,Data!M443,Data!O443,Data!Q443,Data!S443,Data!U443,Data!W443,Data!Y443,Data!AA443,Data!AC443,Data!AE443,Data!AG443,Data!AI443,Data!AK443,Data!AM443,Data!AO443,Data!AQ443,Data!AS443)</f>
        <v>0</v>
      </c>
      <c r="F442" s="11">
        <f>SUM(Data!DI443,Data!DK443,Data!DM443,Data!DO443,Data!DQ443,Data!DS443,Data!DU443,Data!DW443,Data!DY443,Data!EA443,Data!EC443,Data!EE443,Data!EG443,Data!EI443,Data!EK443,Data!EM443,Data!EO443,Data!EQ443,Data!ES443)</f>
        <v>0</v>
      </c>
      <c r="G442" s="11">
        <f>F442-E442</f>
        <v>0</v>
      </c>
      <c r="H442">
        <f>IF(E442=0,IF(F442&gt;0,"New",0),(F442-E442)/E442)</f>
        <v>0</v>
      </c>
      <c r="I442" s="12">
        <f>SUM(Data!J443,Data!L443,Data!N443,Data!P443,Data!R443,Data!T443,Data!V443,Data!X443,Data!Z443,Data!AB443,Data!AD443,Data!AF443,Data!AH443,Data!AJ443,Data!AL443,Data!AN443,Data!AP443,Data!AR443,Data!AT443)</f>
        <v>0</v>
      </c>
      <c r="J442" s="12">
        <f>SUM(Data!DJ443,Data!DL443,Data!DN443,Data!DP443,Data!DR443,Data!DT443,Data!DV443,Data!DX443,Data!DZ443,Data!EB443,Data!ED443,Data!EF443,Data!EH443,Data!EJ443,Data!EL443,Data!EN443,Data!EP443,Data!ER443,Data!ET443)</f>
        <v>0</v>
      </c>
      <c r="K442" s="12">
        <f>J442-I442</f>
        <v>0</v>
      </c>
      <c r="L442">
        <f>IF(I442=0,IF(J442&gt;0,"New",0),(J442-I442)/I442)</f>
        <v>0</v>
      </c>
      <c r="M442" t="str">
        <f>IF(F442=0,"No 2026 Sales",IF(E442=0,"New Product",IF(AND(ISNUMBER(H442),H442&gt;0.1),"↑ Strong Growth",IF(AND(ISNUMBER(H442),H442&gt;0),"↗ Growth",IF(AND(ISNUMBER(H442),H442&lt;-0.1),"↓ Strong Decline",IF(AND(ISNUMBER(H442),H442&lt;0),"↘ Decline","→ Stable"))))))</f>
        <v>No 2026 Sales</v>
      </c>
    </row>
    <row r="443" spans="1:13" hidden="1" x14ac:dyDescent="0.35">
      <c r="A443">
        <f>Data!A444</f>
        <v>216</v>
      </c>
      <c r="B443" t="str">
        <f>Data!B444</f>
        <v>BUTCH  WORS/MINCE/PAT</v>
      </c>
      <c r="C443" s="9">
        <f>Data!C444</f>
        <v>52461</v>
      </c>
      <c r="D443" s="10" t="s">
        <v>1224</v>
      </c>
      <c r="E443" s="11">
        <f>SUM(Data!I444,Data!K444,Data!M444,Data!O444,Data!Q444,Data!S444,Data!U444,Data!W444,Data!Y444,Data!AA444,Data!AC444,Data!AE444,Data!AG444,Data!AI444,Data!AK444,Data!AM444,Data!AO444,Data!AQ444,Data!AS444)</f>
        <v>0</v>
      </c>
      <c r="F443" s="11">
        <f>SUM(Data!DI444,Data!DK444,Data!DM444,Data!DO444,Data!DQ444,Data!DS444,Data!DU444,Data!DW444,Data!DY444,Data!EA444,Data!EC444,Data!EE444,Data!EG444,Data!EI444,Data!EK444,Data!EM444,Data!EO444,Data!EQ444,Data!ES444)</f>
        <v>0</v>
      </c>
      <c r="G443" s="11">
        <f>F443-E443</f>
        <v>0</v>
      </c>
      <c r="H443">
        <f>IF(E443=0,IF(F443&gt;0,"New",0),(F443-E443)/E443)</f>
        <v>0</v>
      </c>
      <c r="I443" s="12">
        <f>SUM(Data!J444,Data!L444,Data!N444,Data!P444,Data!R444,Data!T444,Data!V444,Data!X444,Data!Z444,Data!AB444,Data!AD444,Data!AF444,Data!AH444,Data!AJ444,Data!AL444,Data!AN444,Data!AP444,Data!AR444,Data!AT444)</f>
        <v>0</v>
      </c>
      <c r="J443" s="12">
        <f>SUM(Data!DJ444,Data!DL444,Data!DN444,Data!DP444,Data!DR444,Data!DT444,Data!DV444,Data!DX444,Data!DZ444,Data!EB444,Data!ED444,Data!EF444,Data!EH444,Data!EJ444,Data!EL444,Data!EN444,Data!EP444,Data!ER444,Data!ET444)</f>
        <v>0</v>
      </c>
      <c r="K443" s="12">
        <f>J443-I443</f>
        <v>0</v>
      </c>
      <c r="L443">
        <f>IF(I443=0,IF(J443&gt;0,"New",0),(J443-I443)/I443)</f>
        <v>0</v>
      </c>
      <c r="M443" t="str">
        <f>IF(F443=0,"No 2026 Sales",IF(E443=0,"New Product",IF(AND(ISNUMBER(H443),H443&gt;0.1),"↑ Strong Growth",IF(AND(ISNUMBER(H443),H443&gt;0),"↗ Growth",IF(AND(ISNUMBER(H443),H443&lt;-0.1),"↓ Strong Decline",IF(AND(ISNUMBER(H443),H443&lt;0),"↘ Decline","→ Stable"))))))</f>
        <v>No 2026 Sales</v>
      </c>
    </row>
    <row r="444" spans="1:13" hidden="1" x14ac:dyDescent="0.35">
      <c r="A444">
        <f>Data!A445</f>
        <v>216</v>
      </c>
      <c r="B444" t="str">
        <f>Data!B445</f>
        <v>BUTCH  WORS/MINCE/PAT</v>
      </c>
      <c r="C444" s="9">
        <f>Data!C445</f>
        <v>52975</v>
      </c>
      <c r="D444" s="10" t="s">
        <v>1225</v>
      </c>
      <c r="E444" s="11">
        <f>SUM(Data!I445,Data!K445,Data!M445,Data!O445,Data!Q445,Data!S445,Data!U445,Data!W445,Data!Y445,Data!AA445,Data!AC445,Data!AE445,Data!AG445,Data!AI445,Data!AK445,Data!AM445,Data!AO445,Data!AQ445,Data!AS445)</f>
        <v>0</v>
      </c>
      <c r="F444" s="11">
        <f>SUM(Data!DI445,Data!DK445,Data!DM445,Data!DO445,Data!DQ445,Data!DS445,Data!DU445,Data!DW445,Data!DY445,Data!EA445,Data!EC445,Data!EE445,Data!EG445,Data!EI445,Data!EK445,Data!EM445,Data!EO445,Data!EQ445,Data!ES445)</f>
        <v>0</v>
      </c>
      <c r="G444" s="11">
        <f>F444-E444</f>
        <v>0</v>
      </c>
      <c r="H444">
        <f>IF(E444=0,IF(F444&gt;0,"New",0),(F444-E444)/E444)</f>
        <v>0</v>
      </c>
      <c r="I444" s="12">
        <f>SUM(Data!J445,Data!L445,Data!N445,Data!P445,Data!R445,Data!T445,Data!V445,Data!X445,Data!Z445,Data!AB445,Data!AD445,Data!AF445,Data!AH445,Data!AJ445,Data!AL445,Data!AN445,Data!AP445,Data!AR445,Data!AT445)</f>
        <v>0</v>
      </c>
      <c r="J444" s="12">
        <f>SUM(Data!DJ445,Data!DL445,Data!DN445,Data!DP445,Data!DR445,Data!DT445,Data!DV445,Data!DX445,Data!DZ445,Data!EB445,Data!ED445,Data!EF445,Data!EH445,Data!EJ445,Data!EL445,Data!EN445,Data!EP445,Data!ER445,Data!ET445)</f>
        <v>0</v>
      </c>
      <c r="K444" s="12">
        <f>J444-I444</f>
        <v>0</v>
      </c>
      <c r="L444">
        <f>IF(I444=0,IF(J444&gt;0,"New",0),(J444-I444)/I444)</f>
        <v>0</v>
      </c>
      <c r="M444" t="str">
        <f>IF(F444=0,"No 2026 Sales",IF(E444=0,"New Product",IF(AND(ISNUMBER(H444),H444&gt;0.1),"↑ Strong Growth",IF(AND(ISNUMBER(H444),H444&gt;0),"↗ Growth",IF(AND(ISNUMBER(H444),H444&lt;-0.1),"↓ Strong Decline",IF(AND(ISNUMBER(H444),H444&lt;0),"↘ Decline","→ Stable"))))))</f>
        <v>No 2026 Sales</v>
      </c>
    </row>
    <row r="445" spans="1:13" hidden="1" x14ac:dyDescent="0.35">
      <c r="A445">
        <f>Data!A446</f>
        <v>216</v>
      </c>
      <c r="B445" t="str">
        <f>Data!B446</f>
        <v>BUTCH  WORS/MINCE/PAT</v>
      </c>
      <c r="C445" s="9">
        <f>Data!C446</f>
        <v>53069</v>
      </c>
      <c r="D445" s="10" t="s">
        <v>1226</v>
      </c>
      <c r="E445" s="11">
        <f>SUM(Data!I446,Data!K446,Data!M446,Data!O446,Data!Q446,Data!S446,Data!U446,Data!W446,Data!Y446,Data!AA446,Data!AC446,Data!AE446,Data!AG446,Data!AI446,Data!AK446,Data!AM446,Data!AO446,Data!AQ446,Data!AS446)</f>
        <v>0</v>
      </c>
      <c r="F445" s="11">
        <f>SUM(Data!DI446,Data!DK446,Data!DM446,Data!DO446,Data!DQ446,Data!DS446,Data!DU446,Data!DW446,Data!DY446,Data!EA446,Data!EC446,Data!EE446,Data!EG446,Data!EI446,Data!EK446,Data!EM446,Data!EO446,Data!EQ446,Data!ES446)</f>
        <v>0</v>
      </c>
      <c r="G445" s="11">
        <f>F445-E445</f>
        <v>0</v>
      </c>
      <c r="H445">
        <f>IF(E445=0,IF(F445&gt;0,"New",0),(F445-E445)/E445)</f>
        <v>0</v>
      </c>
      <c r="I445" s="12">
        <f>SUM(Data!J446,Data!L446,Data!N446,Data!P446,Data!R446,Data!T446,Data!V446,Data!X446,Data!Z446,Data!AB446,Data!AD446,Data!AF446,Data!AH446,Data!AJ446,Data!AL446,Data!AN446,Data!AP446,Data!AR446,Data!AT446)</f>
        <v>0</v>
      </c>
      <c r="J445" s="12">
        <f>SUM(Data!DJ446,Data!DL446,Data!DN446,Data!DP446,Data!DR446,Data!DT446,Data!DV446,Data!DX446,Data!DZ446,Data!EB446,Data!ED446,Data!EF446,Data!EH446,Data!EJ446,Data!EL446,Data!EN446,Data!EP446,Data!ER446,Data!ET446)</f>
        <v>0</v>
      </c>
      <c r="K445" s="12">
        <f>J445-I445</f>
        <v>0</v>
      </c>
      <c r="L445">
        <f>IF(I445=0,IF(J445&gt;0,"New",0),(J445-I445)/I445)</f>
        <v>0</v>
      </c>
      <c r="M445" t="str">
        <f>IF(F445=0,"No 2026 Sales",IF(E445=0,"New Product",IF(AND(ISNUMBER(H445),H445&gt;0.1),"↑ Strong Growth",IF(AND(ISNUMBER(H445),H445&gt;0),"↗ Growth",IF(AND(ISNUMBER(H445),H445&lt;-0.1),"↓ Strong Decline",IF(AND(ISNUMBER(H445),H445&lt;0),"↘ Decline","→ Stable"))))))</f>
        <v>No 2026 Sales</v>
      </c>
    </row>
    <row r="446" spans="1:13" hidden="1" x14ac:dyDescent="0.35">
      <c r="A446">
        <f>Data!A447</f>
        <v>216</v>
      </c>
      <c r="B446" t="str">
        <f>Data!B447</f>
        <v>BUTCH  WORS/MINCE/PAT</v>
      </c>
      <c r="C446" s="9">
        <f>Data!C447</f>
        <v>54108</v>
      </c>
      <c r="D446" s="10" t="s">
        <v>1227</v>
      </c>
      <c r="E446" s="11">
        <f>SUM(Data!I447,Data!K447,Data!M447,Data!O447,Data!Q447,Data!S447,Data!U447,Data!W447,Data!Y447,Data!AA447,Data!AC447,Data!AE447,Data!AG447,Data!AI447,Data!AK447,Data!AM447,Data!AO447,Data!AQ447,Data!AS447)</f>
        <v>0</v>
      </c>
      <c r="F446" s="11">
        <f>SUM(Data!DI447,Data!DK447,Data!DM447,Data!DO447,Data!DQ447,Data!DS447,Data!DU447,Data!DW447,Data!DY447,Data!EA447,Data!EC447,Data!EE447,Data!EG447,Data!EI447,Data!EK447,Data!EM447,Data!EO447,Data!EQ447,Data!ES447)</f>
        <v>0</v>
      </c>
      <c r="G446" s="11">
        <f>F446-E446</f>
        <v>0</v>
      </c>
      <c r="H446">
        <f>IF(E446=0,IF(F446&gt;0,"New",0),(F446-E446)/E446)</f>
        <v>0</v>
      </c>
      <c r="I446" s="12">
        <f>SUM(Data!J447,Data!L447,Data!N447,Data!P447,Data!R447,Data!T447,Data!V447,Data!X447,Data!Z447,Data!AB447,Data!AD447,Data!AF447,Data!AH447,Data!AJ447,Data!AL447,Data!AN447,Data!AP447,Data!AR447,Data!AT447)</f>
        <v>0</v>
      </c>
      <c r="J446" s="12">
        <f>SUM(Data!DJ447,Data!DL447,Data!DN447,Data!DP447,Data!DR447,Data!DT447,Data!DV447,Data!DX447,Data!DZ447,Data!EB447,Data!ED447,Data!EF447,Data!EH447,Data!EJ447,Data!EL447,Data!EN447,Data!EP447,Data!ER447,Data!ET447)</f>
        <v>0</v>
      </c>
      <c r="K446" s="12">
        <f>J446-I446</f>
        <v>0</v>
      </c>
      <c r="L446">
        <f>IF(I446=0,IF(J446&gt;0,"New",0),(J446-I446)/I446)</f>
        <v>0</v>
      </c>
      <c r="M446" t="str">
        <f>IF(F446=0,"No 2026 Sales",IF(E446=0,"New Product",IF(AND(ISNUMBER(H446),H446&gt;0.1),"↑ Strong Growth",IF(AND(ISNUMBER(H446),H446&gt;0),"↗ Growth",IF(AND(ISNUMBER(H446),H446&lt;-0.1),"↓ Strong Decline",IF(AND(ISNUMBER(H446),H446&lt;0),"↘ Decline","→ Stable"))))))</f>
        <v>No 2026 Sales</v>
      </c>
    </row>
    <row r="447" spans="1:13" hidden="1" x14ac:dyDescent="0.35">
      <c r="A447">
        <f>Data!A448</f>
        <v>216</v>
      </c>
      <c r="B447" t="str">
        <f>Data!B448</f>
        <v>BUTCH  WORS/MINCE/PAT</v>
      </c>
      <c r="C447" s="9">
        <f>Data!C448</f>
        <v>54432</v>
      </c>
      <c r="D447" s="10" t="s">
        <v>1228</v>
      </c>
      <c r="E447" s="11">
        <f>SUM(Data!I448,Data!K448,Data!M448,Data!O448,Data!Q448,Data!S448,Data!U448,Data!W448,Data!Y448,Data!AA448,Data!AC448,Data!AE448,Data!AG448,Data!AI448,Data!AK448,Data!AM448,Data!AO448,Data!AQ448,Data!AS448)</f>
        <v>0</v>
      </c>
      <c r="F447" s="11">
        <f>SUM(Data!DI448,Data!DK448,Data!DM448,Data!DO448,Data!DQ448,Data!DS448,Data!DU448,Data!DW448,Data!DY448,Data!EA448,Data!EC448,Data!EE448,Data!EG448,Data!EI448,Data!EK448,Data!EM448,Data!EO448,Data!EQ448,Data!ES448)</f>
        <v>0</v>
      </c>
      <c r="G447" s="11">
        <f>F447-E447</f>
        <v>0</v>
      </c>
      <c r="H447">
        <f>IF(E447=0,IF(F447&gt;0,"New",0),(F447-E447)/E447)</f>
        <v>0</v>
      </c>
      <c r="I447" s="12">
        <f>SUM(Data!J448,Data!L448,Data!N448,Data!P448,Data!R448,Data!T448,Data!V448,Data!X448,Data!Z448,Data!AB448,Data!AD448,Data!AF448,Data!AH448,Data!AJ448,Data!AL448,Data!AN448,Data!AP448,Data!AR448,Data!AT448)</f>
        <v>0</v>
      </c>
      <c r="J447" s="12">
        <f>SUM(Data!DJ448,Data!DL448,Data!DN448,Data!DP448,Data!DR448,Data!DT448,Data!DV448,Data!DX448,Data!DZ448,Data!EB448,Data!ED448,Data!EF448,Data!EH448,Data!EJ448,Data!EL448,Data!EN448,Data!EP448,Data!ER448,Data!ET448)</f>
        <v>0</v>
      </c>
      <c r="K447" s="12">
        <f>J447-I447</f>
        <v>0</v>
      </c>
      <c r="L447">
        <f>IF(I447=0,IF(J447&gt;0,"New",0),(J447-I447)/I447)</f>
        <v>0</v>
      </c>
      <c r="M447" t="str">
        <f>IF(F447=0,"No 2026 Sales",IF(E447=0,"New Product",IF(AND(ISNUMBER(H447),H447&gt;0.1),"↑ Strong Growth",IF(AND(ISNUMBER(H447),H447&gt;0),"↗ Growth",IF(AND(ISNUMBER(H447),H447&lt;-0.1),"↓ Strong Decline",IF(AND(ISNUMBER(H447),H447&lt;0),"↘ Decline","→ Stable"))))))</f>
        <v>No 2026 Sales</v>
      </c>
    </row>
    <row r="448" spans="1:13" hidden="1" x14ac:dyDescent="0.35">
      <c r="A448">
        <f>Data!A449</f>
        <v>216</v>
      </c>
      <c r="B448" t="str">
        <f>Data!B449</f>
        <v>BUTCH  WORS/MINCE/PAT</v>
      </c>
      <c r="C448" s="9">
        <f>Data!C449</f>
        <v>55336</v>
      </c>
      <c r="D448" s="10" t="s">
        <v>1229</v>
      </c>
      <c r="E448" s="11">
        <f>SUM(Data!I449,Data!K449,Data!M449,Data!O449,Data!Q449,Data!S449,Data!U449,Data!W449,Data!Y449,Data!AA449,Data!AC449,Data!AE449,Data!AG449,Data!AI449,Data!AK449,Data!AM449,Data!AO449,Data!AQ449,Data!AS449)</f>
        <v>0</v>
      </c>
      <c r="F448" s="11">
        <f>SUM(Data!DI449,Data!DK449,Data!DM449,Data!DO449,Data!DQ449,Data!DS449,Data!DU449,Data!DW449,Data!DY449,Data!EA449,Data!EC449,Data!EE449,Data!EG449,Data!EI449,Data!EK449,Data!EM449,Data!EO449,Data!EQ449,Data!ES449)</f>
        <v>0</v>
      </c>
      <c r="G448" s="11">
        <f>F448-E448</f>
        <v>0</v>
      </c>
      <c r="H448">
        <f>IF(E448=0,IF(F448&gt;0,"New",0),(F448-E448)/E448)</f>
        <v>0</v>
      </c>
      <c r="I448" s="12">
        <f>SUM(Data!J449,Data!L449,Data!N449,Data!P449,Data!R449,Data!T449,Data!V449,Data!X449,Data!Z449,Data!AB449,Data!AD449,Data!AF449,Data!AH449,Data!AJ449,Data!AL449,Data!AN449,Data!AP449,Data!AR449,Data!AT449)</f>
        <v>0</v>
      </c>
      <c r="J448" s="12">
        <f>SUM(Data!DJ449,Data!DL449,Data!DN449,Data!DP449,Data!DR449,Data!DT449,Data!DV449,Data!DX449,Data!DZ449,Data!EB449,Data!ED449,Data!EF449,Data!EH449,Data!EJ449,Data!EL449,Data!EN449,Data!EP449,Data!ER449,Data!ET449)</f>
        <v>0</v>
      </c>
      <c r="K448" s="12">
        <f>J448-I448</f>
        <v>0</v>
      </c>
      <c r="L448">
        <f>IF(I448=0,IF(J448&gt;0,"New",0),(J448-I448)/I448)</f>
        <v>0</v>
      </c>
      <c r="M448" t="str">
        <f>IF(F448=0,"No 2026 Sales",IF(E448=0,"New Product",IF(AND(ISNUMBER(H448),H448&gt;0.1),"↑ Strong Growth",IF(AND(ISNUMBER(H448),H448&gt;0),"↗ Growth",IF(AND(ISNUMBER(H448),H448&lt;-0.1),"↓ Strong Decline",IF(AND(ISNUMBER(H448),H448&lt;0),"↘ Decline","→ Stable"))))))</f>
        <v>No 2026 Sales</v>
      </c>
    </row>
    <row r="449" spans="1:13" hidden="1" x14ac:dyDescent="0.35">
      <c r="A449">
        <f>Data!A450</f>
        <v>216</v>
      </c>
      <c r="B449" t="str">
        <f>Data!B450</f>
        <v>BUTCH  WORS/MINCE/PAT</v>
      </c>
      <c r="C449" s="9">
        <f>Data!C450</f>
        <v>56164</v>
      </c>
      <c r="D449" s="10" t="s">
        <v>1230</v>
      </c>
      <c r="E449" s="11">
        <f>SUM(Data!I450,Data!K450,Data!M450,Data!O450,Data!Q450,Data!S450,Data!U450,Data!W450,Data!Y450,Data!AA450,Data!AC450,Data!AE450,Data!AG450,Data!AI450,Data!AK450,Data!AM450,Data!AO450,Data!AQ450,Data!AS450)</f>
        <v>0</v>
      </c>
      <c r="F449" s="11">
        <f>SUM(Data!DI450,Data!DK450,Data!DM450,Data!DO450,Data!DQ450,Data!DS450,Data!DU450,Data!DW450,Data!DY450,Data!EA450,Data!EC450,Data!EE450,Data!EG450,Data!EI450,Data!EK450,Data!EM450,Data!EO450,Data!EQ450,Data!ES450)</f>
        <v>0</v>
      </c>
      <c r="G449" s="11">
        <f>F449-E449</f>
        <v>0</v>
      </c>
      <c r="H449">
        <f>IF(E449=0,IF(F449&gt;0,"New",0),(F449-E449)/E449)</f>
        <v>0</v>
      </c>
      <c r="I449" s="12">
        <f>SUM(Data!J450,Data!L450,Data!N450,Data!P450,Data!R450,Data!T450,Data!V450,Data!X450,Data!Z450,Data!AB450,Data!AD450,Data!AF450,Data!AH450,Data!AJ450,Data!AL450,Data!AN450,Data!AP450,Data!AR450,Data!AT450)</f>
        <v>0</v>
      </c>
      <c r="J449" s="12">
        <f>SUM(Data!DJ450,Data!DL450,Data!DN450,Data!DP450,Data!DR450,Data!DT450,Data!DV450,Data!DX450,Data!DZ450,Data!EB450,Data!ED450,Data!EF450,Data!EH450,Data!EJ450,Data!EL450,Data!EN450,Data!EP450,Data!ER450,Data!ET450)</f>
        <v>0</v>
      </c>
      <c r="K449" s="12">
        <f>J449-I449</f>
        <v>0</v>
      </c>
      <c r="L449">
        <f>IF(I449=0,IF(J449&gt;0,"New",0),(J449-I449)/I449)</f>
        <v>0</v>
      </c>
      <c r="M449" t="str">
        <f>IF(F449=0,"No 2026 Sales",IF(E449=0,"New Product",IF(AND(ISNUMBER(H449),H449&gt;0.1),"↑ Strong Growth",IF(AND(ISNUMBER(H449),H449&gt;0),"↗ Growth",IF(AND(ISNUMBER(H449),H449&lt;-0.1),"↓ Strong Decline",IF(AND(ISNUMBER(H449),H449&lt;0),"↘ Decline","→ Stable"))))))</f>
        <v>No 2026 Sales</v>
      </c>
    </row>
    <row r="450" spans="1:13" hidden="1" x14ac:dyDescent="0.35">
      <c r="A450">
        <f>Data!A451</f>
        <v>216</v>
      </c>
      <c r="B450" t="str">
        <f>Data!B451</f>
        <v>BUTCH  WORS/MINCE/PAT</v>
      </c>
      <c r="C450" s="9">
        <f>Data!C451</f>
        <v>57067</v>
      </c>
      <c r="D450" s="10" t="s">
        <v>1231</v>
      </c>
      <c r="E450" s="11">
        <f>SUM(Data!I451,Data!K451,Data!M451,Data!O451,Data!Q451,Data!S451,Data!U451,Data!W451,Data!Y451,Data!AA451,Data!AC451,Data!AE451,Data!AG451,Data!AI451,Data!AK451,Data!AM451,Data!AO451,Data!AQ451,Data!AS451)</f>
        <v>0</v>
      </c>
      <c r="F450" s="11">
        <f>SUM(Data!DI451,Data!DK451,Data!DM451,Data!DO451,Data!DQ451,Data!DS451,Data!DU451,Data!DW451,Data!DY451,Data!EA451,Data!EC451,Data!EE451,Data!EG451,Data!EI451,Data!EK451,Data!EM451,Data!EO451,Data!EQ451,Data!ES451)</f>
        <v>0</v>
      </c>
      <c r="G450" s="11">
        <f>F450-E450</f>
        <v>0</v>
      </c>
      <c r="H450">
        <f>IF(E450=0,IF(F450&gt;0,"New",0),(F450-E450)/E450)</f>
        <v>0</v>
      </c>
      <c r="I450" s="12">
        <f>SUM(Data!J451,Data!L451,Data!N451,Data!P451,Data!R451,Data!T451,Data!V451,Data!X451,Data!Z451,Data!AB451,Data!AD451,Data!AF451,Data!AH451,Data!AJ451,Data!AL451,Data!AN451,Data!AP451,Data!AR451,Data!AT451)</f>
        <v>0</v>
      </c>
      <c r="J450" s="12">
        <f>SUM(Data!DJ451,Data!DL451,Data!DN451,Data!DP451,Data!DR451,Data!DT451,Data!DV451,Data!DX451,Data!DZ451,Data!EB451,Data!ED451,Data!EF451,Data!EH451,Data!EJ451,Data!EL451,Data!EN451,Data!EP451,Data!ER451,Data!ET451)</f>
        <v>0</v>
      </c>
      <c r="K450" s="12">
        <f>J450-I450</f>
        <v>0</v>
      </c>
      <c r="L450">
        <f>IF(I450=0,IF(J450&gt;0,"New",0),(J450-I450)/I450)</f>
        <v>0</v>
      </c>
      <c r="M450" t="str">
        <f>IF(F450=0,"No 2026 Sales",IF(E450=0,"New Product",IF(AND(ISNUMBER(H450),H450&gt;0.1),"↑ Strong Growth",IF(AND(ISNUMBER(H450),H450&gt;0),"↗ Growth",IF(AND(ISNUMBER(H450),H450&lt;-0.1),"↓ Strong Decline",IF(AND(ISNUMBER(H450),H450&lt;0),"↘ Decline","→ Stable"))))))</f>
        <v>No 2026 Sales</v>
      </c>
    </row>
    <row r="451" spans="1:13" hidden="1" x14ac:dyDescent="0.35">
      <c r="A451">
        <f>Data!A452</f>
        <v>216</v>
      </c>
      <c r="B451" t="str">
        <f>Data!B452</f>
        <v>BUTCH  WORS/MINCE/PAT</v>
      </c>
      <c r="C451" s="9">
        <f>Data!C452</f>
        <v>57930</v>
      </c>
      <c r="D451" s="10" t="s">
        <v>1232</v>
      </c>
      <c r="E451" s="11">
        <f>SUM(Data!I452,Data!K452,Data!M452,Data!O452,Data!Q452,Data!S452,Data!U452,Data!W452,Data!Y452,Data!AA452,Data!AC452,Data!AE452,Data!AG452,Data!AI452,Data!AK452,Data!AM452,Data!AO452,Data!AQ452,Data!AS452)</f>
        <v>0</v>
      </c>
      <c r="F451" s="11">
        <f>SUM(Data!DI452,Data!DK452,Data!DM452,Data!DO452,Data!DQ452,Data!DS452,Data!DU452,Data!DW452,Data!DY452,Data!EA452,Data!EC452,Data!EE452,Data!EG452,Data!EI452,Data!EK452,Data!EM452,Data!EO452,Data!EQ452,Data!ES452)</f>
        <v>0</v>
      </c>
      <c r="G451" s="11">
        <f>F451-E451</f>
        <v>0</v>
      </c>
      <c r="H451">
        <f>IF(E451=0,IF(F451&gt;0,"New",0),(F451-E451)/E451)</f>
        <v>0</v>
      </c>
      <c r="I451" s="12">
        <f>SUM(Data!J452,Data!L452,Data!N452,Data!P452,Data!R452,Data!T452,Data!V452,Data!X452,Data!Z452,Data!AB452,Data!AD452,Data!AF452,Data!AH452,Data!AJ452,Data!AL452,Data!AN452,Data!AP452,Data!AR452,Data!AT452)</f>
        <v>0</v>
      </c>
      <c r="J451" s="12">
        <f>SUM(Data!DJ452,Data!DL452,Data!DN452,Data!DP452,Data!DR452,Data!DT452,Data!DV452,Data!DX452,Data!DZ452,Data!EB452,Data!ED452,Data!EF452,Data!EH452,Data!EJ452,Data!EL452,Data!EN452,Data!EP452,Data!ER452,Data!ET452)</f>
        <v>0</v>
      </c>
      <c r="K451" s="12">
        <f>J451-I451</f>
        <v>0</v>
      </c>
      <c r="L451">
        <f>IF(I451=0,IF(J451&gt;0,"New",0),(J451-I451)/I451)</f>
        <v>0</v>
      </c>
      <c r="M451" t="str">
        <f>IF(F451=0,"No 2026 Sales",IF(E451=0,"New Product",IF(AND(ISNUMBER(H451),H451&gt;0.1),"↑ Strong Growth",IF(AND(ISNUMBER(H451),H451&gt;0),"↗ Growth",IF(AND(ISNUMBER(H451),H451&lt;-0.1),"↓ Strong Decline",IF(AND(ISNUMBER(H451),H451&lt;0),"↘ Decline","→ Stable"))))))</f>
        <v>No 2026 Sales</v>
      </c>
    </row>
    <row r="452" spans="1:13" hidden="1" x14ac:dyDescent="0.35">
      <c r="A452">
        <f>Data!A453</f>
        <v>216</v>
      </c>
      <c r="B452" t="str">
        <f>Data!B453</f>
        <v>BUTCH  WORS/MINCE/PAT</v>
      </c>
      <c r="C452" s="9">
        <f>Data!C453</f>
        <v>58148</v>
      </c>
      <c r="D452" s="10" t="s">
        <v>1233</v>
      </c>
      <c r="E452" s="11">
        <f>SUM(Data!I453,Data!K453,Data!M453,Data!O453,Data!Q453,Data!S453,Data!U453,Data!W453,Data!Y453,Data!AA453,Data!AC453,Data!AE453,Data!AG453,Data!AI453,Data!AK453,Data!AM453,Data!AO453,Data!AQ453,Data!AS453)</f>
        <v>0</v>
      </c>
      <c r="F452" s="11">
        <f>SUM(Data!DI453,Data!DK453,Data!DM453,Data!DO453,Data!DQ453,Data!DS453,Data!DU453,Data!DW453,Data!DY453,Data!EA453,Data!EC453,Data!EE453,Data!EG453,Data!EI453,Data!EK453,Data!EM453,Data!EO453,Data!EQ453,Data!ES453)</f>
        <v>0</v>
      </c>
      <c r="G452" s="11">
        <f>F452-E452</f>
        <v>0</v>
      </c>
      <c r="H452">
        <f>IF(E452=0,IF(F452&gt;0,"New",0),(F452-E452)/E452)</f>
        <v>0</v>
      </c>
      <c r="I452" s="12">
        <f>SUM(Data!J453,Data!L453,Data!N453,Data!P453,Data!R453,Data!T453,Data!V453,Data!X453,Data!Z453,Data!AB453,Data!AD453,Data!AF453,Data!AH453,Data!AJ453,Data!AL453,Data!AN453,Data!AP453,Data!AR453,Data!AT453)</f>
        <v>0</v>
      </c>
      <c r="J452" s="12">
        <f>SUM(Data!DJ453,Data!DL453,Data!DN453,Data!DP453,Data!DR453,Data!DT453,Data!DV453,Data!DX453,Data!DZ453,Data!EB453,Data!ED453,Data!EF453,Data!EH453,Data!EJ453,Data!EL453,Data!EN453,Data!EP453,Data!ER453,Data!ET453)</f>
        <v>0</v>
      </c>
      <c r="K452" s="12">
        <f>J452-I452</f>
        <v>0</v>
      </c>
      <c r="L452">
        <f>IF(I452=0,IF(J452&gt;0,"New",0),(J452-I452)/I452)</f>
        <v>0</v>
      </c>
      <c r="M452" t="str">
        <f>IF(F452=0,"No 2026 Sales",IF(E452=0,"New Product",IF(AND(ISNUMBER(H452),H452&gt;0.1),"↑ Strong Growth",IF(AND(ISNUMBER(H452),H452&gt;0),"↗ Growth",IF(AND(ISNUMBER(H452),H452&lt;-0.1),"↓ Strong Decline",IF(AND(ISNUMBER(H452),H452&lt;0),"↘ Decline","→ Stable"))))))</f>
        <v>No 2026 Sales</v>
      </c>
    </row>
    <row r="453" spans="1:13" hidden="1" x14ac:dyDescent="0.35">
      <c r="A453">
        <f>Data!A454</f>
        <v>216</v>
      </c>
      <c r="B453" t="str">
        <f>Data!B454</f>
        <v>BUTCH  WORS/MINCE/PAT</v>
      </c>
      <c r="C453" s="9">
        <f>Data!C454</f>
        <v>58157</v>
      </c>
      <c r="D453" s="10" t="s">
        <v>1234</v>
      </c>
      <c r="E453" s="11">
        <f>SUM(Data!I454,Data!K454,Data!M454,Data!O454,Data!Q454,Data!S454,Data!U454,Data!W454,Data!Y454,Data!AA454,Data!AC454,Data!AE454,Data!AG454,Data!AI454,Data!AK454,Data!AM454,Data!AO454,Data!AQ454,Data!AS454)</f>
        <v>0</v>
      </c>
      <c r="F453" s="11">
        <f>SUM(Data!DI454,Data!DK454,Data!DM454,Data!DO454,Data!DQ454,Data!DS454,Data!DU454,Data!DW454,Data!DY454,Data!EA454,Data!EC454,Data!EE454,Data!EG454,Data!EI454,Data!EK454,Data!EM454,Data!EO454,Data!EQ454,Data!ES454)</f>
        <v>0</v>
      </c>
      <c r="G453" s="11">
        <f>F453-E453</f>
        <v>0</v>
      </c>
      <c r="H453">
        <f>IF(E453=0,IF(F453&gt;0,"New",0),(F453-E453)/E453)</f>
        <v>0</v>
      </c>
      <c r="I453" s="12">
        <f>SUM(Data!J454,Data!L454,Data!N454,Data!P454,Data!R454,Data!T454,Data!V454,Data!X454,Data!Z454,Data!AB454,Data!AD454,Data!AF454,Data!AH454,Data!AJ454,Data!AL454,Data!AN454,Data!AP454,Data!AR454,Data!AT454)</f>
        <v>0</v>
      </c>
      <c r="J453" s="12">
        <f>SUM(Data!DJ454,Data!DL454,Data!DN454,Data!DP454,Data!DR454,Data!DT454,Data!DV454,Data!DX454,Data!DZ454,Data!EB454,Data!ED454,Data!EF454,Data!EH454,Data!EJ454,Data!EL454,Data!EN454,Data!EP454,Data!ER454,Data!ET454)</f>
        <v>0</v>
      </c>
      <c r="K453" s="12">
        <f>J453-I453</f>
        <v>0</v>
      </c>
      <c r="L453">
        <f>IF(I453=0,IF(J453&gt;0,"New",0),(J453-I453)/I453)</f>
        <v>0</v>
      </c>
      <c r="M453" t="str">
        <f>IF(F453=0,"No 2026 Sales",IF(E453=0,"New Product",IF(AND(ISNUMBER(H453),H453&gt;0.1),"↑ Strong Growth",IF(AND(ISNUMBER(H453),H453&gt;0),"↗ Growth",IF(AND(ISNUMBER(H453),H453&lt;-0.1),"↓ Strong Decline",IF(AND(ISNUMBER(H453),H453&lt;0),"↘ Decline","→ Stable"))))))</f>
        <v>No 2026 Sales</v>
      </c>
    </row>
    <row r="454" spans="1:13" hidden="1" x14ac:dyDescent="0.35">
      <c r="A454">
        <f>Data!A455</f>
        <v>216</v>
      </c>
      <c r="B454" t="str">
        <f>Data!B455</f>
        <v>BUTCH  WORS/MINCE/PAT</v>
      </c>
      <c r="C454" s="9">
        <f>Data!C455</f>
        <v>58766</v>
      </c>
      <c r="D454" s="10" t="s">
        <v>1235</v>
      </c>
      <c r="E454" s="11">
        <f>SUM(Data!I455,Data!K455,Data!M455,Data!O455,Data!Q455,Data!S455,Data!U455,Data!W455,Data!Y455,Data!AA455,Data!AC455,Data!AE455,Data!AG455,Data!AI455,Data!AK455,Data!AM455,Data!AO455,Data!AQ455,Data!AS455)</f>
        <v>0</v>
      </c>
      <c r="F454" s="11">
        <f>SUM(Data!DI455,Data!DK455,Data!DM455,Data!DO455,Data!DQ455,Data!DS455,Data!DU455,Data!DW455,Data!DY455,Data!EA455,Data!EC455,Data!EE455,Data!EG455,Data!EI455,Data!EK455,Data!EM455,Data!EO455,Data!EQ455,Data!ES455)</f>
        <v>0</v>
      </c>
      <c r="G454" s="11">
        <f>F454-E454</f>
        <v>0</v>
      </c>
      <c r="H454">
        <f>IF(E454=0,IF(F454&gt;0,"New",0),(F454-E454)/E454)</f>
        <v>0</v>
      </c>
      <c r="I454" s="12">
        <f>SUM(Data!J455,Data!L455,Data!N455,Data!P455,Data!R455,Data!T455,Data!V455,Data!X455,Data!Z455,Data!AB455,Data!AD455,Data!AF455,Data!AH455,Data!AJ455,Data!AL455,Data!AN455,Data!AP455,Data!AR455,Data!AT455)</f>
        <v>0</v>
      </c>
      <c r="J454" s="12">
        <f>SUM(Data!DJ455,Data!DL455,Data!DN455,Data!DP455,Data!DR455,Data!DT455,Data!DV455,Data!DX455,Data!DZ455,Data!EB455,Data!ED455,Data!EF455,Data!EH455,Data!EJ455,Data!EL455,Data!EN455,Data!EP455,Data!ER455,Data!ET455)</f>
        <v>0</v>
      </c>
      <c r="K454" s="12">
        <f>J454-I454</f>
        <v>0</v>
      </c>
      <c r="L454">
        <f>IF(I454=0,IF(J454&gt;0,"New",0),(J454-I454)/I454)</f>
        <v>0</v>
      </c>
      <c r="M454" t="str">
        <f>IF(F454=0,"No 2026 Sales",IF(E454=0,"New Product",IF(AND(ISNUMBER(H454),H454&gt;0.1),"↑ Strong Growth",IF(AND(ISNUMBER(H454),H454&gt;0),"↗ Growth",IF(AND(ISNUMBER(H454),H454&lt;-0.1),"↓ Strong Decline",IF(AND(ISNUMBER(H454),H454&lt;0),"↘ Decline","→ Stable"))))))</f>
        <v>No 2026 Sales</v>
      </c>
    </row>
    <row r="455" spans="1:13" hidden="1" x14ac:dyDescent="0.35">
      <c r="A455">
        <f>Data!A456</f>
        <v>216</v>
      </c>
      <c r="B455" t="str">
        <f>Data!B456</f>
        <v>BUTCH  WORS/MINCE/PAT</v>
      </c>
      <c r="C455" s="9">
        <f>Data!C456</f>
        <v>59027</v>
      </c>
      <c r="D455" s="10" t="s">
        <v>1236</v>
      </c>
      <c r="E455" s="11">
        <f>SUM(Data!I456,Data!K456,Data!M456,Data!O456,Data!Q456,Data!S456,Data!U456,Data!W456,Data!Y456,Data!AA456,Data!AC456,Data!AE456,Data!AG456,Data!AI456,Data!AK456,Data!AM456,Data!AO456,Data!AQ456,Data!AS456)</f>
        <v>0</v>
      </c>
      <c r="F455" s="11">
        <f>SUM(Data!DI456,Data!DK456,Data!DM456,Data!DO456,Data!DQ456,Data!DS456,Data!DU456,Data!DW456,Data!DY456,Data!EA456,Data!EC456,Data!EE456,Data!EG456,Data!EI456,Data!EK456,Data!EM456,Data!EO456,Data!EQ456,Data!ES456)</f>
        <v>0</v>
      </c>
      <c r="G455" s="11">
        <f>F455-E455</f>
        <v>0</v>
      </c>
      <c r="H455">
        <f>IF(E455=0,IF(F455&gt;0,"New",0),(F455-E455)/E455)</f>
        <v>0</v>
      </c>
      <c r="I455" s="12">
        <f>SUM(Data!J456,Data!L456,Data!N456,Data!P456,Data!R456,Data!T456,Data!V456,Data!X456,Data!Z456,Data!AB456,Data!AD456,Data!AF456,Data!AH456,Data!AJ456,Data!AL456,Data!AN456,Data!AP456,Data!AR456,Data!AT456)</f>
        <v>0</v>
      </c>
      <c r="J455" s="12">
        <f>SUM(Data!DJ456,Data!DL456,Data!DN456,Data!DP456,Data!DR456,Data!DT456,Data!DV456,Data!DX456,Data!DZ456,Data!EB456,Data!ED456,Data!EF456,Data!EH456,Data!EJ456,Data!EL456,Data!EN456,Data!EP456,Data!ER456,Data!ET456)</f>
        <v>0</v>
      </c>
      <c r="K455" s="12">
        <f>J455-I455</f>
        <v>0</v>
      </c>
      <c r="L455">
        <f>IF(I455=0,IF(J455&gt;0,"New",0),(J455-I455)/I455)</f>
        <v>0</v>
      </c>
      <c r="M455" t="str">
        <f>IF(F455=0,"No 2026 Sales",IF(E455=0,"New Product",IF(AND(ISNUMBER(H455),H455&gt;0.1),"↑ Strong Growth",IF(AND(ISNUMBER(H455),H455&gt;0),"↗ Growth",IF(AND(ISNUMBER(H455),H455&lt;-0.1),"↓ Strong Decline",IF(AND(ISNUMBER(H455),H455&lt;0),"↘ Decline","→ Stable"))))))</f>
        <v>No 2026 Sales</v>
      </c>
    </row>
    <row r="456" spans="1:13" hidden="1" x14ac:dyDescent="0.35">
      <c r="A456">
        <f>Data!A457</f>
        <v>216</v>
      </c>
      <c r="B456" t="str">
        <f>Data!B457</f>
        <v>BUTCH  WORS/MINCE/PAT</v>
      </c>
      <c r="C456" s="9">
        <f>Data!C457</f>
        <v>59480</v>
      </c>
      <c r="D456" s="10" t="s">
        <v>1237</v>
      </c>
      <c r="E456" s="11">
        <f>SUM(Data!I457,Data!K457,Data!M457,Data!O457,Data!Q457,Data!S457,Data!U457,Data!W457,Data!Y457,Data!AA457,Data!AC457,Data!AE457,Data!AG457,Data!AI457,Data!AK457,Data!AM457,Data!AO457,Data!AQ457,Data!AS457)</f>
        <v>0</v>
      </c>
      <c r="F456" s="11">
        <f>SUM(Data!DI457,Data!DK457,Data!DM457,Data!DO457,Data!DQ457,Data!DS457,Data!DU457,Data!DW457,Data!DY457,Data!EA457,Data!EC457,Data!EE457,Data!EG457,Data!EI457,Data!EK457,Data!EM457,Data!EO457,Data!EQ457,Data!ES457)</f>
        <v>0</v>
      </c>
      <c r="G456" s="11">
        <f>F456-E456</f>
        <v>0</v>
      </c>
      <c r="H456">
        <f>IF(E456=0,IF(F456&gt;0,"New",0),(F456-E456)/E456)</f>
        <v>0</v>
      </c>
      <c r="I456" s="12">
        <f>SUM(Data!J457,Data!L457,Data!N457,Data!P457,Data!R457,Data!T457,Data!V457,Data!X457,Data!Z457,Data!AB457,Data!AD457,Data!AF457,Data!AH457,Data!AJ457,Data!AL457,Data!AN457,Data!AP457,Data!AR457,Data!AT457)</f>
        <v>0</v>
      </c>
      <c r="J456" s="12">
        <f>SUM(Data!DJ457,Data!DL457,Data!DN457,Data!DP457,Data!DR457,Data!DT457,Data!DV457,Data!DX457,Data!DZ457,Data!EB457,Data!ED457,Data!EF457,Data!EH457,Data!EJ457,Data!EL457,Data!EN457,Data!EP457,Data!ER457,Data!ET457)</f>
        <v>0</v>
      </c>
      <c r="K456" s="12">
        <f>J456-I456</f>
        <v>0</v>
      </c>
      <c r="L456">
        <f>IF(I456=0,IF(J456&gt;0,"New",0),(J456-I456)/I456)</f>
        <v>0</v>
      </c>
      <c r="M456" t="str">
        <f>IF(F456=0,"No 2026 Sales",IF(E456=0,"New Product",IF(AND(ISNUMBER(H456),H456&gt;0.1),"↑ Strong Growth",IF(AND(ISNUMBER(H456),H456&gt;0),"↗ Growth",IF(AND(ISNUMBER(H456),H456&lt;-0.1),"↓ Strong Decline",IF(AND(ISNUMBER(H456),H456&lt;0),"↘ Decline","→ Stable"))))))</f>
        <v>No 2026 Sales</v>
      </c>
    </row>
    <row r="457" spans="1:13" hidden="1" x14ac:dyDescent="0.35">
      <c r="A457">
        <f>Data!A458</f>
        <v>216</v>
      </c>
      <c r="B457" t="str">
        <f>Data!B458</f>
        <v>BUTCH  WORS/MINCE/PAT</v>
      </c>
      <c r="C457" s="9">
        <f>Data!C458</f>
        <v>59677</v>
      </c>
      <c r="D457" s="10" t="s">
        <v>1238</v>
      </c>
      <c r="E457" s="11">
        <f>SUM(Data!I458,Data!K458,Data!M458,Data!O458,Data!Q458,Data!S458,Data!U458,Data!W458,Data!Y458,Data!AA458,Data!AC458,Data!AE458,Data!AG458,Data!AI458,Data!AK458,Data!AM458,Data!AO458,Data!AQ458,Data!AS458)</f>
        <v>0</v>
      </c>
      <c r="F457" s="11">
        <f>SUM(Data!DI458,Data!DK458,Data!DM458,Data!DO458,Data!DQ458,Data!DS458,Data!DU458,Data!DW458,Data!DY458,Data!EA458,Data!EC458,Data!EE458,Data!EG458,Data!EI458,Data!EK458,Data!EM458,Data!EO458,Data!EQ458,Data!ES458)</f>
        <v>0</v>
      </c>
      <c r="G457" s="11">
        <f>F457-E457</f>
        <v>0</v>
      </c>
      <c r="H457">
        <f>IF(E457=0,IF(F457&gt;0,"New",0),(F457-E457)/E457)</f>
        <v>0</v>
      </c>
      <c r="I457" s="12">
        <f>SUM(Data!J458,Data!L458,Data!N458,Data!P458,Data!R458,Data!T458,Data!V458,Data!X458,Data!Z458,Data!AB458,Data!AD458,Data!AF458,Data!AH458,Data!AJ458,Data!AL458,Data!AN458,Data!AP458,Data!AR458,Data!AT458)</f>
        <v>0</v>
      </c>
      <c r="J457" s="12">
        <f>SUM(Data!DJ458,Data!DL458,Data!DN458,Data!DP458,Data!DR458,Data!DT458,Data!DV458,Data!DX458,Data!DZ458,Data!EB458,Data!ED458,Data!EF458,Data!EH458,Data!EJ458,Data!EL458,Data!EN458,Data!EP458,Data!ER458,Data!ET458)</f>
        <v>0</v>
      </c>
      <c r="K457" s="12">
        <f>J457-I457</f>
        <v>0</v>
      </c>
      <c r="L457">
        <f>IF(I457=0,IF(J457&gt;0,"New",0),(J457-I457)/I457)</f>
        <v>0</v>
      </c>
      <c r="M457" t="str">
        <f>IF(F457=0,"No 2026 Sales",IF(E457=0,"New Product",IF(AND(ISNUMBER(H457),H457&gt;0.1),"↑ Strong Growth",IF(AND(ISNUMBER(H457),H457&gt;0),"↗ Growth",IF(AND(ISNUMBER(H457),H457&lt;-0.1),"↓ Strong Decline",IF(AND(ISNUMBER(H457),H457&lt;0),"↘ Decline","→ Stable"))))))</f>
        <v>No 2026 Sales</v>
      </c>
    </row>
    <row r="458" spans="1:13" hidden="1" x14ac:dyDescent="0.35">
      <c r="A458">
        <f>Data!A459</f>
        <v>216</v>
      </c>
      <c r="B458" t="str">
        <f>Data!B459</f>
        <v>BUTCH  WORS/MINCE/PAT</v>
      </c>
      <c r="C458" s="9">
        <f>Data!C459</f>
        <v>59678</v>
      </c>
      <c r="D458" s="10" t="s">
        <v>1239</v>
      </c>
      <c r="E458" s="11">
        <f>SUM(Data!I459,Data!K459,Data!M459,Data!O459,Data!Q459,Data!S459,Data!U459,Data!W459,Data!Y459,Data!AA459,Data!AC459,Data!AE459,Data!AG459,Data!AI459,Data!AK459,Data!AM459,Data!AO459,Data!AQ459,Data!AS459)</f>
        <v>0</v>
      </c>
      <c r="F458" s="11">
        <f>SUM(Data!DI459,Data!DK459,Data!DM459,Data!DO459,Data!DQ459,Data!DS459,Data!DU459,Data!DW459,Data!DY459,Data!EA459,Data!EC459,Data!EE459,Data!EG459,Data!EI459,Data!EK459,Data!EM459,Data!EO459,Data!EQ459,Data!ES459)</f>
        <v>0</v>
      </c>
      <c r="G458" s="11">
        <f>F458-E458</f>
        <v>0</v>
      </c>
      <c r="H458">
        <f>IF(E458=0,IF(F458&gt;0,"New",0),(F458-E458)/E458)</f>
        <v>0</v>
      </c>
      <c r="I458" s="12">
        <f>SUM(Data!J459,Data!L459,Data!N459,Data!P459,Data!R459,Data!T459,Data!V459,Data!X459,Data!Z459,Data!AB459,Data!AD459,Data!AF459,Data!AH459,Data!AJ459,Data!AL459,Data!AN459,Data!AP459,Data!AR459,Data!AT459)</f>
        <v>0</v>
      </c>
      <c r="J458" s="12">
        <f>SUM(Data!DJ459,Data!DL459,Data!DN459,Data!DP459,Data!DR459,Data!DT459,Data!DV459,Data!DX459,Data!DZ459,Data!EB459,Data!ED459,Data!EF459,Data!EH459,Data!EJ459,Data!EL459,Data!EN459,Data!EP459,Data!ER459,Data!ET459)</f>
        <v>0</v>
      </c>
      <c r="K458" s="12">
        <f>J458-I458</f>
        <v>0</v>
      </c>
      <c r="L458">
        <f>IF(I458=0,IF(J458&gt;0,"New",0),(J458-I458)/I458)</f>
        <v>0</v>
      </c>
      <c r="M458" t="str">
        <f>IF(F458=0,"No 2026 Sales",IF(E458=0,"New Product",IF(AND(ISNUMBER(H458),H458&gt;0.1),"↑ Strong Growth",IF(AND(ISNUMBER(H458),H458&gt;0),"↗ Growth",IF(AND(ISNUMBER(H458),H458&lt;-0.1),"↓ Strong Decline",IF(AND(ISNUMBER(H458),H458&lt;0),"↘ Decline","→ Stable"))))))</f>
        <v>No 2026 Sales</v>
      </c>
    </row>
    <row r="459" spans="1:13" hidden="1" x14ac:dyDescent="0.35">
      <c r="A459">
        <f>Data!A460</f>
        <v>216</v>
      </c>
      <c r="B459" t="str">
        <f>Data!B460</f>
        <v>BUTCH  WORS/MINCE/PAT</v>
      </c>
      <c r="C459" s="9">
        <f>Data!C460</f>
        <v>59688</v>
      </c>
      <c r="D459" s="10" t="s">
        <v>1240</v>
      </c>
      <c r="E459" s="11">
        <f>SUM(Data!I460,Data!K460,Data!M460,Data!O460,Data!Q460,Data!S460,Data!U460,Data!W460,Data!Y460,Data!AA460,Data!AC460,Data!AE460,Data!AG460,Data!AI460,Data!AK460,Data!AM460,Data!AO460,Data!AQ460,Data!AS460)</f>
        <v>0</v>
      </c>
      <c r="F459" s="11">
        <f>SUM(Data!DI460,Data!DK460,Data!DM460,Data!DO460,Data!DQ460,Data!DS460,Data!DU460,Data!DW460,Data!DY460,Data!EA460,Data!EC460,Data!EE460,Data!EG460,Data!EI460,Data!EK460,Data!EM460,Data!EO460,Data!EQ460,Data!ES460)</f>
        <v>0</v>
      </c>
      <c r="G459" s="11">
        <f>F459-E459</f>
        <v>0</v>
      </c>
      <c r="H459">
        <f>IF(E459=0,IF(F459&gt;0,"New",0),(F459-E459)/E459)</f>
        <v>0</v>
      </c>
      <c r="I459" s="12">
        <f>SUM(Data!J460,Data!L460,Data!N460,Data!P460,Data!R460,Data!T460,Data!V460,Data!X460,Data!Z460,Data!AB460,Data!AD460,Data!AF460,Data!AH460,Data!AJ460,Data!AL460,Data!AN460,Data!AP460,Data!AR460,Data!AT460)</f>
        <v>0</v>
      </c>
      <c r="J459" s="12">
        <f>SUM(Data!DJ460,Data!DL460,Data!DN460,Data!DP460,Data!DR460,Data!DT460,Data!DV460,Data!DX460,Data!DZ460,Data!EB460,Data!ED460,Data!EF460,Data!EH460,Data!EJ460,Data!EL460,Data!EN460,Data!EP460,Data!ER460,Data!ET460)</f>
        <v>0</v>
      </c>
      <c r="K459" s="12">
        <f>J459-I459</f>
        <v>0</v>
      </c>
      <c r="L459">
        <f>IF(I459=0,IF(J459&gt;0,"New",0),(J459-I459)/I459)</f>
        <v>0</v>
      </c>
      <c r="M459" t="str">
        <f>IF(F459=0,"No 2026 Sales",IF(E459=0,"New Product",IF(AND(ISNUMBER(H459),H459&gt;0.1),"↑ Strong Growth",IF(AND(ISNUMBER(H459),H459&gt;0),"↗ Growth",IF(AND(ISNUMBER(H459),H459&lt;-0.1),"↓ Strong Decline",IF(AND(ISNUMBER(H459),H459&lt;0),"↘ Decline","→ Stable"))))))</f>
        <v>No 2026 Sales</v>
      </c>
    </row>
    <row r="460" spans="1:13" hidden="1" x14ac:dyDescent="0.35">
      <c r="A460">
        <f>Data!A461</f>
        <v>216</v>
      </c>
      <c r="B460" t="str">
        <f>Data!B461</f>
        <v>BUTCH  WORS/MINCE/PAT</v>
      </c>
      <c r="C460" s="9">
        <f>Data!C461</f>
        <v>59689</v>
      </c>
      <c r="D460" s="10" t="s">
        <v>1241</v>
      </c>
      <c r="E460" s="11">
        <f>SUM(Data!I461,Data!K461,Data!M461,Data!O461,Data!Q461,Data!S461,Data!U461,Data!W461,Data!Y461,Data!AA461,Data!AC461,Data!AE461,Data!AG461,Data!AI461,Data!AK461,Data!AM461,Data!AO461,Data!AQ461,Data!AS461)</f>
        <v>0</v>
      </c>
      <c r="F460" s="11">
        <f>SUM(Data!DI461,Data!DK461,Data!DM461,Data!DO461,Data!DQ461,Data!DS461,Data!DU461,Data!DW461,Data!DY461,Data!EA461,Data!EC461,Data!EE461,Data!EG461,Data!EI461,Data!EK461,Data!EM461,Data!EO461,Data!EQ461,Data!ES461)</f>
        <v>0</v>
      </c>
      <c r="G460" s="11">
        <f>F460-E460</f>
        <v>0</v>
      </c>
      <c r="H460">
        <f>IF(E460=0,IF(F460&gt;0,"New",0),(F460-E460)/E460)</f>
        <v>0</v>
      </c>
      <c r="I460" s="12">
        <f>SUM(Data!J461,Data!L461,Data!N461,Data!P461,Data!R461,Data!T461,Data!V461,Data!X461,Data!Z461,Data!AB461,Data!AD461,Data!AF461,Data!AH461,Data!AJ461,Data!AL461,Data!AN461,Data!AP461,Data!AR461,Data!AT461)</f>
        <v>0</v>
      </c>
      <c r="J460" s="12">
        <f>SUM(Data!DJ461,Data!DL461,Data!DN461,Data!DP461,Data!DR461,Data!DT461,Data!DV461,Data!DX461,Data!DZ461,Data!EB461,Data!ED461,Data!EF461,Data!EH461,Data!EJ461,Data!EL461,Data!EN461,Data!EP461,Data!ER461,Data!ET461)</f>
        <v>0</v>
      </c>
      <c r="K460" s="12">
        <f>J460-I460</f>
        <v>0</v>
      </c>
      <c r="L460">
        <f>IF(I460=0,IF(J460&gt;0,"New",0),(J460-I460)/I460)</f>
        <v>0</v>
      </c>
      <c r="M460" t="str">
        <f>IF(F460=0,"No 2026 Sales",IF(E460=0,"New Product",IF(AND(ISNUMBER(H460),H460&gt;0.1),"↑ Strong Growth",IF(AND(ISNUMBER(H460),H460&gt;0),"↗ Growth",IF(AND(ISNUMBER(H460),H460&lt;-0.1),"↓ Strong Decline",IF(AND(ISNUMBER(H460),H460&lt;0),"↘ Decline","→ Stable"))))))</f>
        <v>No 2026 Sales</v>
      </c>
    </row>
    <row r="461" spans="1:13" hidden="1" x14ac:dyDescent="0.35">
      <c r="A461">
        <f>Data!A462</f>
        <v>216</v>
      </c>
      <c r="B461" t="str">
        <f>Data!B462</f>
        <v>BUTCH  WORS/MINCE/PAT</v>
      </c>
      <c r="C461" s="9">
        <f>Data!C462</f>
        <v>60439</v>
      </c>
      <c r="D461" s="10" t="s">
        <v>1242</v>
      </c>
      <c r="E461" s="11">
        <f>SUM(Data!I462,Data!K462,Data!M462,Data!O462,Data!Q462,Data!S462,Data!U462,Data!W462,Data!Y462,Data!AA462,Data!AC462,Data!AE462,Data!AG462,Data!AI462,Data!AK462,Data!AM462,Data!AO462,Data!AQ462,Data!AS462)</f>
        <v>0</v>
      </c>
      <c r="F461" s="11">
        <f>SUM(Data!DI462,Data!DK462,Data!DM462,Data!DO462,Data!DQ462,Data!DS462,Data!DU462,Data!DW462,Data!DY462,Data!EA462,Data!EC462,Data!EE462,Data!EG462,Data!EI462,Data!EK462,Data!EM462,Data!EO462,Data!EQ462,Data!ES462)</f>
        <v>0</v>
      </c>
      <c r="G461" s="11">
        <f>F461-E461</f>
        <v>0</v>
      </c>
      <c r="H461">
        <f>IF(E461=0,IF(F461&gt;0,"New",0),(F461-E461)/E461)</f>
        <v>0</v>
      </c>
      <c r="I461" s="12">
        <f>SUM(Data!J462,Data!L462,Data!N462,Data!P462,Data!R462,Data!T462,Data!V462,Data!X462,Data!Z462,Data!AB462,Data!AD462,Data!AF462,Data!AH462,Data!AJ462,Data!AL462,Data!AN462,Data!AP462,Data!AR462,Data!AT462)</f>
        <v>0</v>
      </c>
      <c r="J461" s="12">
        <f>SUM(Data!DJ462,Data!DL462,Data!DN462,Data!DP462,Data!DR462,Data!DT462,Data!DV462,Data!DX462,Data!DZ462,Data!EB462,Data!ED462,Data!EF462,Data!EH462,Data!EJ462,Data!EL462,Data!EN462,Data!EP462,Data!ER462,Data!ET462)</f>
        <v>0</v>
      </c>
      <c r="K461" s="12">
        <f>J461-I461</f>
        <v>0</v>
      </c>
      <c r="L461">
        <f>IF(I461=0,IF(J461&gt;0,"New",0),(J461-I461)/I461)</f>
        <v>0</v>
      </c>
      <c r="M461" t="str">
        <f>IF(F461=0,"No 2026 Sales",IF(E461=0,"New Product",IF(AND(ISNUMBER(H461),H461&gt;0.1),"↑ Strong Growth",IF(AND(ISNUMBER(H461),H461&gt;0),"↗ Growth",IF(AND(ISNUMBER(H461),H461&lt;-0.1),"↓ Strong Decline",IF(AND(ISNUMBER(H461),H461&lt;0),"↘ Decline","→ Stable"))))))</f>
        <v>No 2026 Sales</v>
      </c>
    </row>
    <row r="462" spans="1:13" hidden="1" x14ac:dyDescent="0.35">
      <c r="A462">
        <f>Data!A463</f>
        <v>216</v>
      </c>
      <c r="B462" t="str">
        <f>Data!B463</f>
        <v>BUTCH  WORS/MINCE/PAT</v>
      </c>
      <c r="C462" s="9">
        <f>Data!C463</f>
        <v>60866</v>
      </c>
      <c r="D462" s="10" t="s">
        <v>1243</v>
      </c>
      <c r="E462" s="11">
        <f>SUM(Data!I463,Data!K463,Data!M463,Data!O463,Data!Q463,Data!S463,Data!U463,Data!W463,Data!Y463,Data!AA463,Data!AC463,Data!AE463,Data!AG463,Data!AI463,Data!AK463,Data!AM463,Data!AO463,Data!AQ463,Data!AS463)</f>
        <v>0</v>
      </c>
      <c r="F462" s="11">
        <f>SUM(Data!DI463,Data!DK463,Data!DM463,Data!DO463,Data!DQ463,Data!DS463,Data!DU463,Data!DW463,Data!DY463,Data!EA463,Data!EC463,Data!EE463,Data!EG463,Data!EI463,Data!EK463,Data!EM463,Data!EO463,Data!EQ463,Data!ES463)</f>
        <v>0</v>
      </c>
      <c r="G462" s="11">
        <f>F462-E462</f>
        <v>0</v>
      </c>
      <c r="H462">
        <f>IF(E462=0,IF(F462&gt;0,"New",0),(F462-E462)/E462)</f>
        <v>0</v>
      </c>
      <c r="I462" s="12">
        <f>SUM(Data!J463,Data!L463,Data!N463,Data!P463,Data!R463,Data!T463,Data!V463,Data!X463,Data!Z463,Data!AB463,Data!AD463,Data!AF463,Data!AH463,Data!AJ463,Data!AL463,Data!AN463,Data!AP463,Data!AR463,Data!AT463)</f>
        <v>0</v>
      </c>
      <c r="J462" s="12">
        <f>SUM(Data!DJ463,Data!DL463,Data!DN463,Data!DP463,Data!DR463,Data!DT463,Data!DV463,Data!DX463,Data!DZ463,Data!EB463,Data!ED463,Data!EF463,Data!EH463,Data!EJ463,Data!EL463,Data!EN463,Data!EP463,Data!ER463,Data!ET463)</f>
        <v>0</v>
      </c>
      <c r="K462" s="12">
        <f>J462-I462</f>
        <v>0</v>
      </c>
      <c r="L462">
        <f>IF(I462=0,IF(J462&gt;0,"New",0),(J462-I462)/I462)</f>
        <v>0</v>
      </c>
      <c r="M462" t="str">
        <f>IF(F462=0,"No 2026 Sales",IF(E462=0,"New Product",IF(AND(ISNUMBER(H462),H462&gt;0.1),"↑ Strong Growth",IF(AND(ISNUMBER(H462),H462&gt;0),"↗ Growth",IF(AND(ISNUMBER(H462),H462&lt;-0.1),"↓ Strong Decline",IF(AND(ISNUMBER(H462),H462&lt;0),"↘ Decline","→ Stable"))))))</f>
        <v>No 2026 Sales</v>
      </c>
    </row>
    <row r="463" spans="1:13" x14ac:dyDescent="0.35">
      <c r="A463">
        <f>Data!A464</f>
        <v>216</v>
      </c>
      <c r="B463" t="str">
        <f>Data!B464</f>
        <v>BUTCH  WORS/MINCE/PAT</v>
      </c>
      <c r="C463" s="9">
        <f>Data!C464</f>
        <v>60886</v>
      </c>
      <c r="D463" s="10" t="s">
        <v>1244</v>
      </c>
      <c r="E463" s="11">
        <f>SUM(Data!I464,Data!K464,Data!M464,Data!O464,Data!Q464,Data!S464,Data!U464,Data!W464,Data!Y464,Data!AA464,Data!AC464,Data!AE464,Data!AG464,Data!AI464,Data!AK464,Data!AM464,Data!AO464,Data!AQ464,Data!AS464)</f>
        <v>29486.269565217401</v>
      </c>
      <c r="F463" s="11">
        <f>SUM(Data!DI464,Data!DK464,Data!DM464,Data!DO464,Data!DQ464,Data!DS464,Data!DU464,Data!DW464,Data!DY464,Data!EA464,Data!EC464,Data!EE464,Data!EG464,Data!EI464,Data!EK464,Data!EM464,Data!EO464,Data!EQ464,Data!ES464)</f>
        <v>31482.886956521746</v>
      </c>
      <c r="G463" s="11">
        <f>F463-E463</f>
        <v>1996.6173913043458</v>
      </c>
      <c r="H463" s="13">
        <f>IF(E463=0,IF(F463&gt;0,"New",0),(F463-E463)/E463)</f>
        <v>6.7713461917868242E-2</v>
      </c>
      <c r="I463" s="12">
        <f>SUM(Data!J464,Data!L464,Data!N464,Data!P464,Data!R464,Data!T464,Data!V464,Data!X464,Data!Z464,Data!AB464,Data!AD464,Data!AF464,Data!AH464,Data!AJ464,Data!AL464,Data!AN464,Data!AP464,Data!AR464,Data!AT464)</f>
        <v>292.34599999999995</v>
      </c>
      <c r="J463" s="12">
        <f>SUM(Data!DJ464,Data!DL464,Data!DN464,Data!DP464,Data!DR464,Data!DT464,Data!DV464,Data!DX464,Data!DZ464,Data!EB464,Data!ED464,Data!EF464,Data!EH464,Data!EJ464,Data!EL464,Data!EN464,Data!EP464,Data!ER464,Data!ET464)</f>
        <v>270.459</v>
      </c>
      <c r="K463" s="12">
        <f>J463-I463</f>
        <v>-21.886999999999944</v>
      </c>
      <c r="L463" s="13">
        <f>IF(I463=0,IF(J463&gt;0,"New",0),(J463-I463)/I463)</f>
        <v>-7.4866767460474742E-2</v>
      </c>
      <c r="M463" t="str">
        <f>IF(F463=0,"No 2026 Sales",IF(E463=0,"New Product",IF(AND(ISNUMBER(H463),H463&gt;0.1),"↑ Strong Growth",IF(AND(ISNUMBER(H463),H463&gt;0),"↗ Growth",IF(AND(ISNUMBER(H463),H463&lt;-0.1),"↓ Strong Decline",IF(AND(ISNUMBER(H463),H463&lt;0),"↘ Decline","→ Stable"))))))</f>
        <v>↗ Growth</v>
      </c>
    </row>
    <row r="464" spans="1:13" x14ac:dyDescent="0.35">
      <c r="A464">
        <f>Data!A465</f>
        <v>216</v>
      </c>
      <c r="B464" t="str">
        <f>Data!B465</f>
        <v>BUTCH  WORS/MINCE/PAT</v>
      </c>
      <c r="C464" s="9">
        <f>Data!C465</f>
        <v>60887</v>
      </c>
      <c r="D464" s="10" t="s">
        <v>1245</v>
      </c>
      <c r="E464" s="11">
        <f>SUM(Data!I465,Data!K465,Data!M465,Data!O465,Data!Q465,Data!S465,Data!U465,Data!W465,Data!Y465,Data!AA465,Data!AC465,Data!AE465,Data!AG465,Data!AI465,Data!AK465,Data!AM465,Data!AO465,Data!AQ465,Data!AS465)</f>
        <v>33640.269565217393</v>
      </c>
      <c r="F464" s="11">
        <f>SUM(Data!DI465,Data!DK465,Data!DM465,Data!DO465,Data!DQ465,Data!DS465,Data!DU465,Data!DW465,Data!DY465,Data!EA465,Data!EC465,Data!EE465,Data!EG465,Data!EI465,Data!EK465,Data!EM465,Data!EO465,Data!EQ465,Data!ES465)</f>
        <v>35092.217391304337</v>
      </c>
      <c r="G464" s="11">
        <f>F464-E464</f>
        <v>1451.9478260869437</v>
      </c>
      <c r="H464" s="13">
        <f>IF(E464=0,IF(F464&gt;0,"New",0),(F464-E464)/E464)</f>
        <v>4.3161004500041102E-2</v>
      </c>
      <c r="I464" s="12">
        <f>SUM(Data!J465,Data!L465,Data!N465,Data!P465,Data!R465,Data!T465,Data!V465,Data!X465,Data!Z465,Data!AB465,Data!AD465,Data!AF465,Data!AH465,Data!AJ465,Data!AL465,Data!AN465,Data!AP465,Data!AR465,Data!AT465)</f>
        <v>365</v>
      </c>
      <c r="J464" s="12">
        <f>SUM(Data!DJ465,Data!DL465,Data!DN465,Data!DP465,Data!DR465,Data!DT465,Data!DV465,Data!DX465,Data!DZ465,Data!EB465,Data!ED465,Data!EF465,Data!EH465,Data!EJ465,Data!EL465,Data!EN465,Data!EP465,Data!ER465,Data!ET465)</f>
        <v>324.53800000000001</v>
      </c>
      <c r="K464" s="12">
        <f>J464-I464</f>
        <v>-40.461999999999989</v>
      </c>
      <c r="L464" s="13">
        <f>IF(I464=0,IF(J464&gt;0,"New",0),(J464-I464)/I464)</f>
        <v>-0.11085479452054792</v>
      </c>
      <c r="M464" t="str">
        <f>IF(F464=0,"No 2026 Sales",IF(E464=0,"New Product",IF(AND(ISNUMBER(H464),H464&gt;0.1),"↑ Strong Growth",IF(AND(ISNUMBER(H464),H464&gt;0),"↗ Growth",IF(AND(ISNUMBER(H464),H464&lt;-0.1),"↓ Strong Decline",IF(AND(ISNUMBER(H464),H464&lt;0),"↘ Decline","→ Stable"))))))</f>
        <v>↗ Growth</v>
      </c>
    </row>
    <row r="465" spans="1:13" x14ac:dyDescent="0.35">
      <c r="A465">
        <f>Data!A466</f>
        <v>216</v>
      </c>
      <c r="B465" t="str">
        <f>Data!B466</f>
        <v>BUTCH  WORS/MINCE/PAT</v>
      </c>
      <c r="C465" s="9">
        <f>Data!C466</f>
        <v>62009</v>
      </c>
      <c r="D465" s="10" t="s">
        <v>1246</v>
      </c>
      <c r="E465" s="11">
        <f>SUM(Data!I466,Data!K466,Data!M466,Data!O466,Data!Q466,Data!S466,Data!U466,Data!W466,Data!Y466,Data!AA466,Data!AC466,Data!AE466,Data!AG466,Data!AI466,Data!AK466,Data!AM466,Data!AO466,Data!AQ466,Data!AS466)</f>
        <v>7587.8260869565247</v>
      </c>
      <c r="F465" s="11">
        <f>SUM(Data!DI466,Data!DK466,Data!DM466,Data!DO466,Data!DQ466,Data!DS466,Data!DU466,Data!DW466,Data!DY466,Data!EA466,Data!EC466,Data!EE466,Data!EG466,Data!EI466,Data!EK466,Data!EM466,Data!EO466,Data!EQ466,Data!ES466)</f>
        <v>4659.8173913043456</v>
      </c>
      <c r="G465" s="11">
        <f>F465-E465</f>
        <v>-2928.0086956521791</v>
      </c>
      <c r="H465" s="13">
        <f>IF(E465=0,IF(F465&gt;0,"New",0),(F465-E465)/E465)</f>
        <v>-0.38588242035296866</v>
      </c>
      <c r="I465" s="12">
        <f>SUM(Data!J466,Data!L466,Data!N466,Data!P466,Data!R466,Data!T466,Data!V466,Data!X466,Data!Z466,Data!AB466,Data!AD466,Data!AF466,Data!AH466,Data!AJ466,Data!AL466,Data!AN466,Data!AP466,Data!AR466,Data!AT466)</f>
        <v>85.248000000000005</v>
      </c>
      <c r="J465" s="12">
        <f>SUM(Data!DJ466,Data!DL466,Data!DN466,Data!DP466,Data!DR466,Data!DT466,Data!DV466,Data!DX466,Data!DZ466,Data!EB466,Data!ED466,Data!EF466,Data!EH466,Data!EJ466,Data!EL466,Data!EN466,Data!EP466,Data!ER466,Data!ET466)</f>
        <v>38.172000000000004</v>
      </c>
      <c r="K465" s="12">
        <f>J465-I465</f>
        <v>-47.076000000000001</v>
      </c>
      <c r="L465" s="13">
        <f>IF(I465=0,IF(J465&gt;0,"New",0),(J465-I465)/I465)</f>
        <v>-0.55222409909909909</v>
      </c>
      <c r="M465" t="str">
        <f>IF(F465=0,"No 2026 Sales",IF(E465=0,"New Product",IF(AND(ISNUMBER(H465),H465&gt;0.1),"↑ Strong Growth",IF(AND(ISNUMBER(H465),H465&gt;0),"↗ Growth",IF(AND(ISNUMBER(H465),H465&lt;-0.1),"↓ Strong Decline",IF(AND(ISNUMBER(H465),H465&lt;0),"↘ Decline","→ Stable"))))))</f>
        <v>↓ Strong Decline</v>
      </c>
    </row>
    <row r="466" spans="1:13" x14ac:dyDescent="0.35">
      <c r="A466">
        <f>Data!A467</f>
        <v>216</v>
      </c>
      <c r="B466" t="str">
        <f>Data!B467</f>
        <v>BUTCH  WORS/MINCE/PAT</v>
      </c>
      <c r="C466" s="9">
        <f>Data!C467</f>
        <v>62010</v>
      </c>
      <c r="D466" s="10" t="s">
        <v>1247</v>
      </c>
      <c r="E466" s="11">
        <f>SUM(Data!I467,Data!K467,Data!M467,Data!O467,Data!Q467,Data!S467,Data!U467,Data!W467,Data!Y467,Data!AA467,Data!AC467,Data!AE467,Data!AG467,Data!AI467,Data!AK467,Data!AM467,Data!AO467,Data!AQ467,Data!AS467)</f>
        <v>4993.9565217391319</v>
      </c>
      <c r="F466" s="11">
        <f>SUM(Data!DI467,Data!DK467,Data!DM467,Data!DO467,Data!DQ467,Data!DS467,Data!DU467,Data!DW467,Data!DY467,Data!EA467,Data!EC467,Data!EE467,Data!EG467,Data!EI467,Data!EK467,Data!EM467,Data!EO467,Data!EQ467,Data!ES467)</f>
        <v>3605.5043478260877</v>
      </c>
      <c r="G466" s="11">
        <f>F466-E466</f>
        <v>-1388.4521739130441</v>
      </c>
      <c r="H466" s="13">
        <f>IF(E466=0,IF(F466&gt;0,"New",0),(F466-E466)/E466)</f>
        <v>-0.27802648418523263</v>
      </c>
      <c r="I466" s="12">
        <f>SUM(Data!J467,Data!L467,Data!N467,Data!P467,Data!R467,Data!T467,Data!V467,Data!X467,Data!Z467,Data!AB467,Data!AD467,Data!AF467,Data!AH467,Data!AJ467,Data!AL467,Data!AN467,Data!AP467,Data!AR467,Data!AT467)</f>
        <v>56.398000000000003</v>
      </c>
      <c r="J466" s="12">
        <f>SUM(Data!DJ467,Data!DL467,Data!DN467,Data!DP467,Data!DR467,Data!DT467,Data!DV467,Data!DX467,Data!DZ467,Data!EB467,Data!ED467,Data!EF467,Data!EH467,Data!EJ467,Data!EL467,Data!EN467,Data!EP467,Data!ER467,Data!ET467)</f>
        <v>31.753999999999998</v>
      </c>
      <c r="K466" s="12">
        <f>J466-I466</f>
        <v>-24.644000000000005</v>
      </c>
      <c r="L466" s="13">
        <f>IF(I466=0,IF(J466&gt;0,"New",0),(J466-I466)/I466)</f>
        <v>-0.43696584985283171</v>
      </c>
      <c r="M466" t="str">
        <f>IF(F466=0,"No 2026 Sales",IF(E466=0,"New Product",IF(AND(ISNUMBER(H466),H466&gt;0.1),"↑ Strong Growth",IF(AND(ISNUMBER(H466),H466&gt;0),"↗ Growth",IF(AND(ISNUMBER(H466),H466&lt;-0.1),"↓ Strong Decline",IF(AND(ISNUMBER(H466),H466&lt;0),"↘ Decline","→ Stable"))))))</f>
        <v>↓ Strong Decline</v>
      </c>
    </row>
    <row r="467" spans="1:13" hidden="1" x14ac:dyDescent="0.35">
      <c r="A467">
        <f>Data!A468</f>
        <v>216</v>
      </c>
      <c r="B467" t="str">
        <f>Data!B468</f>
        <v>BUTCH  WORS/MINCE/PAT</v>
      </c>
      <c r="C467" s="9">
        <f>Data!C468</f>
        <v>62041</v>
      </c>
      <c r="D467" s="10" t="s">
        <v>1248</v>
      </c>
      <c r="E467" s="11">
        <f>SUM(Data!I468,Data!K468,Data!M468,Data!O468,Data!Q468,Data!S468,Data!U468,Data!W468,Data!Y468,Data!AA468,Data!AC468,Data!AE468,Data!AG468,Data!AI468,Data!AK468,Data!AM468,Data!AO468,Data!AQ468,Data!AS468)</f>
        <v>0</v>
      </c>
      <c r="F467" s="11">
        <f>SUM(Data!DI468,Data!DK468,Data!DM468,Data!DO468,Data!DQ468,Data!DS468,Data!DU468,Data!DW468,Data!DY468,Data!EA468,Data!EC468,Data!EE468,Data!EG468,Data!EI468,Data!EK468,Data!EM468,Data!EO468,Data!EQ468,Data!ES468)</f>
        <v>0</v>
      </c>
      <c r="G467" s="11">
        <f>F467-E467</f>
        <v>0</v>
      </c>
      <c r="H467">
        <f>IF(E467=0,IF(F467&gt;0,"New",0),(F467-E467)/E467)</f>
        <v>0</v>
      </c>
      <c r="I467" s="12">
        <f>SUM(Data!J468,Data!L468,Data!N468,Data!P468,Data!R468,Data!T468,Data!V468,Data!X468,Data!Z468,Data!AB468,Data!AD468,Data!AF468,Data!AH468,Data!AJ468,Data!AL468,Data!AN468,Data!AP468,Data!AR468,Data!AT468)</f>
        <v>0</v>
      </c>
      <c r="J467" s="12">
        <f>SUM(Data!DJ468,Data!DL468,Data!DN468,Data!DP468,Data!DR468,Data!DT468,Data!DV468,Data!DX468,Data!DZ468,Data!EB468,Data!ED468,Data!EF468,Data!EH468,Data!EJ468,Data!EL468,Data!EN468,Data!EP468,Data!ER468,Data!ET468)</f>
        <v>0</v>
      </c>
      <c r="K467" s="12">
        <f>J467-I467</f>
        <v>0</v>
      </c>
      <c r="L467">
        <f>IF(I467=0,IF(J467&gt;0,"New",0),(J467-I467)/I467)</f>
        <v>0</v>
      </c>
      <c r="M467" t="str">
        <f>IF(F467=0,"No 2026 Sales",IF(E467=0,"New Product",IF(AND(ISNUMBER(H467),H467&gt;0.1),"↑ Strong Growth",IF(AND(ISNUMBER(H467),H467&gt;0),"↗ Growth",IF(AND(ISNUMBER(H467),H467&lt;-0.1),"↓ Strong Decline",IF(AND(ISNUMBER(H467),H467&lt;0),"↘ Decline","→ Stable"))))))</f>
        <v>No 2026 Sales</v>
      </c>
    </row>
    <row r="468" spans="1:13" hidden="1" x14ac:dyDescent="0.35">
      <c r="A468">
        <f>Data!A469</f>
        <v>216</v>
      </c>
      <c r="B468" t="str">
        <f>Data!B469</f>
        <v>BUTCH  WORS/MINCE/PAT</v>
      </c>
      <c r="C468" s="9">
        <f>Data!C469</f>
        <v>62046</v>
      </c>
      <c r="D468" s="10" t="s">
        <v>1249</v>
      </c>
      <c r="E468" s="11">
        <f>SUM(Data!I469,Data!K469,Data!M469,Data!O469,Data!Q469,Data!S469,Data!U469,Data!W469,Data!Y469,Data!AA469,Data!AC469,Data!AE469,Data!AG469,Data!AI469,Data!AK469,Data!AM469,Data!AO469,Data!AQ469,Data!AS469)</f>
        <v>2829.069565217394</v>
      </c>
      <c r="F468" s="11">
        <f>SUM(Data!DI469,Data!DK469,Data!DM469,Data!DO469,Data!DQ469,Data!DS469,Data!DU469,Data!DW469,Data!DY469,Data!EA469,Data!EC469,Data!EE469,Data!EG469,Data!EI469,Data!EK469,Data!EM469,Data!EO469,Data!EQ469,Data!ES469)</f>
        <v>0</v>
      </c>
      <c r="G468" s="11">
        <f>F468-E468</f>
        <v>-2829.069565217394</v>
      </c>
      <c r="H468">
        <f>IF(E468=0,IF(F468&gt;0,"New",0),(F468-E468)/E468)</f>
        <v>-1</v>
      </c>
      <c r="I468" s="12">
        <f>SUM(Data!J469,Data!L469,Data!N469,Data!P469,Data!R469,Data!T469,Data!V469,Data!X469,Data!Z469,Data!AB469,Data!AD469,Data!AF469,Data!AH469,Data!AJ469,Data!AL469,Data!AN469,Data!AP469,Data!AR469,Data!AT469)</f>
        <v>36.150999999999996</v>
      </c>
      <c r="J468" s="12">
        <f>SUM(Data!DJ469,Data!DL469,Data!DN469,Data!DP469,Data!DR469,Data!DT469,Data!DV469,Data!DX469,Data!DZ469,Data!EB469,Data!ED469,Data!EF469,Data!EH469,Data!EJ469,Data!EL469,Data!EN469,Data!EP469,Data!ER469,Data!ET469)</f>
        <v>0</v>
      </c>
      <c r="K468" s="12">
        <f>J468-I468</f>
        <v>-36.150999999999996</v>
      </c>
      <c r="L468">
        <f>IF(I468=0,IF(J468&gt;0,"New",0),(J468-I468)/I468)</f>
        <v>-1</v>
      </c>
      <c r="M468" t="str">
        <f>IF(F468=0,"No 2026 Sales",IF(E468=0,"New Product",IF(AND(ISNUMBER(H468),H468&gt;0.1),"↑ Strong Growth",IF(AND(ISNUMBER(H468),H468&gt;0),"↗ Growth",IF(AND(ISNUMBER(H468),H468&lt;-0.1),"↓ Strong Decline",IF(AND(ISNUMBER(H468),H468&lt;0),"↘ Decline","→ Stable"))))))</f>
        <v>No 2026 Sales</v>
      </c>
    </row>
    <row r="469" spans="1:13" hidden="1" x14ac:dyDescent="0.35">
      <c r="A469">
        <f>Data!A470</f>
        <v>216</v>
      </c>
      <c r="B469" t="str">
        <f>Data!B470</f>
        <v>BUTCH  WORS/MINCE/PAT</v>
      </c>
      <c r="C469" s="9">
        <f>Data!C470</f>
        <v>62047</v>
      </c>
      <c r="D469" s="10" t="s">
        <v>1250</v>
      </c>
      <c r="E469" s="11">
        <f>SUM(Data!I470,Data!K470,Data!M470,Data!O470,Data!Q470,Data!S470,Data!U470,Data!W470,Data!Y470,Data!AA470,Data!AC470,Data!AE470,Data!AG470,Data!AI470,Data!AK470,Data!AM470,Data!AO470,Data!AQ470,Data!AS470)</f>
        <v>3300.0000000000018</v>
      </c>
      <c r="F469" s="11">
        <f>SUM(Data!DI470,Data!DK470,Data!DM470,Data!DO470,Data!DQ470,Data!DS470,Data!DU470,Data!DW470,Data!DY470,Data!EA470,Data!EC470,Data!EE470,Data!EG470,Data!EI470,Data!EK470,Data!EM470,Data!EO470,Data!EQ470,Data!ES470)</f>
        <v>0</v>
      </c>
      <c r="G469" s="11">
        <f>F469-E469</f>
        <v>-3300.0000000000018</v>
      </c>
      <c r="H469">
        <f>IF(E469=0,IF(F469&gt;0,"New",0),(F469-E469)/E469)</f>
        <v>-1</v>
      </c>
      <c r="I469" s="12">
        <f>SUM(Data!J470,Data!L470,Data!N470,Data!P470,Data!R470,Data!T470,Data!V470,Data!X470,Data!Z470,Data!AB470,Data!AD470,Data!AF470,Data!AH470,Data!AJ470,Data!AL470,Data!AN470,Data!AP470,Data!AR470,Data!AT470)</f>
        <v>47.445999999999998</v>
      </c>
      <c r="J469" s="12">
        <f>SUM(Data!DJ470,Data!DL470,Data!DN470,Data!DP470,Data!DR470,Data!DT470,Data!DV470,Data!DX470,Data!DZ470,Data!EB470,Data!ED470,Data!EF470,Data!EH470,Data!EJ470,Data!EL470,Data!EN470,Data!EP470,Data!ER470,Data!ET470)</f>
        <v>0</v>
      </c>
      <c r="K469" s="12">
        <f>J469-I469</f>
        <v>-47.445999999999998</v>
      </c>
      <c r="L469">
        <f>IF(I469=0,IF(J469&gt;0,"New",0),(J469-I469)/I469)</f>
        <v>-1</v>
      </c>
      <c r="M469" t="str">
        <f>IF(F469=0,"No 2026 Sales",IF(E469=0,"New Product",IF(AND(ISNUMBER(H469),H469&gt;0.1),"↑ Strong Growth",IF(AND(ISNUMBER(H469),H469&gt;0),"↗ Growth",IF(AND(ISNUMBER(H469),H469&lt;-0.1),"↓ Strong Decline",IF(AND(ISNUMBER(H469),H469&lt;0),"↘ Decline","→ Stable"))))))</f>
        <v>No 2026 Sales</v>
      </c>
    </row>
    <row r="470" spans="1:13" hidden="1" x14ac:dyDescent="0.35">
      <c r="A470">
        <f>Data!A471</f>
        <v>216</v>
      </c>
      <c r="B470" t="str">
        <f>Data!B471</f>
        <v>BUTCH  WORS/MINCE/PAT</v>
      </c>
      <c r="C470" s="9">
        <f>Data!C471</f>
        <v>62225</v>
      </c>
      <c r="D470" s="10" t="s">
        <v>1251</v>
      </c>
      <c r="E470" s="11">
        <f>SUM(Data!I471,Data!K471,Data!M471,Data!O471,Data!Q471,Data!S471,Data!U471,Data!W471,Data!Y471,Data!AA471,Data!AC471,Data!AE471,Data!AG471,Data!AI471,Data!AK471,Data!AM471,Data!AO471,Data!AQ471,Data!AS471)</f>
        <v>0</v>
      </c>
      <c r="F470" s="11">
        <f>SUM(Data!DI471,Data!DK471,Data!DM471,Data!DO471,Data!DQ471,Data!DS471,Data!DU471,Data!DW471,Data!DY471,Data!EA471,Data!EC471,Data!EE471,Data!EG471,Data!EI471,Data!EK471,Data!EM471,Data!EO471,Data!EQ471,Data!ES471)</f>
        <v>0</v>
      </c>
      <c r="G470" s="11">
        <f>F470-E470</f>
        <v>0</v>
      </c>
      <c r="H470">
        <f>IF(E470=0,IF(F470&gt;0,"New",0),(F470-E470)/E470)</f>
        <v>0</v>
      </c>
      <c r="I470" s="12">
        <f>SUM(Data!J471,Data!L471,Data!N471,Data!P471,Data!R471,Data!T471,Data!V471,Data!X471,Data!Z471,Data!AB471,Data!AD471,Data!AF471,Data!AH471,Data!AJ471,Data!AL471,Data!AN471,Data!AP471,Data!AR471,Data!AT471)</f>
        <v>0</v>
      </c>
      <c r="J470" s="12">
        <f>SUM(Data!DJ471,Data!DL471,Data!DN471,Data!DP471,Data!DR471,Data!DT471,Data!DV471,Data!DX471,Data!DZ471,Data!EB471,Data!ED471,Data!EF471,Data!EH471,Data!EJ471,Data!EL471,Data!EN471,Data!EP471,Data!ER471,Data!ET471)</f>
        <v>0</v>
      </c>
      <c r="K470" s="12">
        <f>J470-I470</f>
        <v>0</v>
      </c>
      <c r="L470">
        <f>IF(I470=0,IF(J470&gt;0,"New",0),(J470-I470)/I470)</f>
        <v>0</v>
      </c>
      <c r="M470" t="str">
        <f>IF(F470=0,"No 2026 Sales",IF(E470=0,"New Product",IF(AND(ISNUMBER(H470),H470&gt;0.1),"↑ Strong Growth",IF(AND(ISNUMBER(H470),H470&gt;0),"↗ Growth",IF(AND(ISNUMBER(H470),H470&lt;-0.1),"↓ Strong Decline",IF(AND(ISNUMBER(H470),H470&lt;0),"↘ Decline","→ Stable"))))))</f>
        <v>No 2026 Sales</v>
      </c>
    </row>
    <row r="471" spans="1:13" hidden="1" x14ac:dyDescent="0.35">
      <c r="A471">
        <f>Data!A472</f>
        <v>216</v>
      </c>
      <c r="B471" t="str">
        <f>Data!B472</f>
        <v>BUTCH  WORS/MINCE/PAT</v>
      </c>
      <c r="C471" s="9">
        <f>Data!C472</f>
        <v>62234</v>
      </c>
      <c r="D471" s="10" t="s">
        <v>1252</v>
      </c>
      <c r="E471" s="11">
        <f>SUM(Data!I472,Data!K472,Data!M472,Data!O472,Data!Q472,Data!S472,Data!U472,Data!W472,Data!Y472,Data!AA472,Data!AC472,Data!AE472,Data!AG472,Data!AI472,Data!AK472,Data!AM472,Data!AO472,Data!AQ472,Data!AS472)</f>
        <v>0</v>
      </c>
      <c r="F471" s="11">
        <f>SUM(Data!DI472,Data!DK472,Data!DM472,Data!DO472,Data!DQ472,Data!DS472,Data!DU472,Data!DW472,Data!DY472,Data!EA472,Data!EC472,Data!EE472,Data!EG472,Data!EI472,Data!EK472,Data!EM472,Data!EO472,Data!EQ472,Data!ES472)</f>
        <v>0</v>
      </c>
      <c r="G471" s="11">
        <f>F471-E471</f>
        <v>0</v>
      </c>
      <c r="H471">
        <f>IF(E471=0,IF(F471&gt;0,"New",0),(F471-E471)/E471)</f>
        <v>0</v>
      </c>
      <c r="I471" s="12">
        <f>SUM(Data!J472,Data!L472,Data!N472,Data!P472,Data!R472,Data!T472,Data!V472,Data!X472,Data!Z472,Data!AB472,Data!AD472,Data!AF472,Data!AH472,Data!AJ472,Data!AL472,Data!AN472,Data!AP472,Data!AR472,Data!AT472)</f>
        <v>0</v>
      </c>
      <c r="J471" s="12">
        <f>SUM(Data!DJ472,Data!DL472,Data!DN472,Data!DP472,Data!DR472,Data!DT472,Data!DV472,Data!DX472,Data!DZ472,Data!EB472,Data!ED472,Data!EF472,Data!EH472,Data!EJ472,Data!EL472,Data!EN472,Data!EP472,Data!ER472,Data!ET472)</f>
        <v>0</v>
      </c>
      <c r="K471" s="12">
        <f>J471-I471</f>
        <v>0</v>
      </c>
      <c r="L471">
        <f>IF(I471=0,IF(J471&gt;0,"New",0),(J471-I471)/I471)</f>
        <v>0</v>
      </c>
      <c r="M471" t="str">
        <f>IF(F471=0,"No 2026 Sales",IF(E471=0,"New Product",IF(AND(ISNUMBER(H471),H471&gt;0.1),"↑ Strong Growth",IF(AND(ISNUMBER(H471),H471&gt;0),"↗ Growth",IF(AND(ISNUMBER(H471),H471&lt;-0.1),"↓ Strong Decline",IF(AND(ISNUMBER(H471),H471&lt;0),"↘ Decline","→ Stable"))))))</f>
        <v>No 2026 Sales</v>
      </c>
    </row>
    <row r="472" spans="1:13" x14ac:dyDescent="0.35">
      <c r="A472">
        <f>Data!A473</f>
        <v>216</v>
      </c>
      <c r="B472" t="str">
        <f>Data!B473</f>
        <v>BUTCH  WORS/MINCE/PAT</v>
      </c>
      <c r="C472" s="9">
        <f>Data!C473</f>
        <v>62607</v>
      </c>
      <c r="D472" s="10" t="s">
        <v>1253</v>
      </c>
      <c r="E472" s="11">
        <f>SUM(Data!I473,Data!K473,Data!M473,Data!O473,Data!Q473,Data!S473,Data!U473,Data!W473,Data!Y473,Data!AA473,Data!AC473,Data!AE473,Data!AG473,Data!AI473,Data!AK473,Data!AM473,Data!AO473,Data!AQ473,Data!AS473)</f>
        <v>0</v>
      </c>
      <c r="F472" s="11">
        <f>SUM(Data!DI473,Data!DK473,Data!DM473,Data!DO473,Data!DQ473,Data!DS473,Data!DU473,Data!DW473,Data!DY473,Data!EA473,Data!EC473,Data!EE473,Data!EG473,Data!EI473,Data!EK473,Data!EM473,Data!EO473,Data!EQ473,Data!ES473)</f>
        <v>4380.3304347826097</v>
      </c>
      <c r="G472" s="11">
        <f>F472-E472</f>
        <v>4380.3304347826097</v>
      </c>
      <c r="H472" s="13" t="str">
        <f>IF(E472=0,IF(F472&gt;0,"New",0),(F472-E472)/E472)</f>
        <v>New</v>
      </c>
      <c r="I472" s="12">
        <f>SUM(Data!J473,Data!L473,Data!N473,Data!P473,Data!R473,Data!T473,Data!V473,Data!X473,Data!Z473,Data!AB473,Data!AD473,Data!AF473,Data!AH473,Data!AJ473,Data!AL473,Data!AN473,Data!AP473,Data!AR473,Data!AT473)</f>
        <v>0</v>
      </c>
      <c r="J472" s="12">
        <f>SUM(Data!DJ473,Data!DL473,Data!DN473,Data!DP473,Data!DR473,Data!DT473,Data!DV473,Data!DX473,Data!DZ473,Data!EB473,Data!ED473,Data!EF473,Data!EH473,Data!EJ473,Data!EL473,Data!EN473,Data!EP473,Data!ER473,Data!ET473)</f>
        <v>62</v>
      </c>
      <c r="K472" s="12">
        <f>J472-I472</f>
        <v>62</v>
      </c>
      <c r="L472" s="13" t="str">
        <f>IF(I472=0,IF(J472&gt;0,"New",0),(J472-I472)/I472)</f>
        <v>New</v>
      </c>
      <c r="M472" t="str">
        <f>IF(F472=0,"No 2026 Sales",IF(E472=0,"New Product",IF(AND(ISNUMBER(H472),H472&gt;0.1),"↑ Strong Growth",IF(AND(ISNUMBER(H472),H472&gt;0),"↗ Growth",IF(AND(ISNUMBER(H472),H472&lt;-0.1),"↓ Strong Decline",IF(AND(ISNUMBER(H472),H472&lt;0),"↘ Decline","→ Stable"))))))</f>
        <v>New Product</v>
      </c>
    </row>
    <row r="473" spans="1:13" hidden="1" x14ac:dyDescent="0.35">
      <c r="A473">
        <f>Data!A474</f>
        <v>216</v>
      </c>
      <c r="B473" t="str">
        <f>Data!B474</f>
        <v>BUTCH  WORS/MINCE/PAT</v>
      </c>
      <c r="C473" s="9">
        <f>Data!C474</f>
        <v>62925</v>
      </c>
      <c r="D473" s="10" t="s">
        <v>1254</v>
      </c>
      <c r="E473" s="11">
        <f>SUM(Data!I474,Data!K474,Data!M474,Data!O474,Data!Q474,Data!S474,Data!U474,Data!W474,Data!Y474,Data!AA474,Data!AC474,Data!AE474,Data!AG474,Data!AI474,Data!AK474,Data!AM474,Data!AO474,Data!AQ474,Data!AS474)</f>
        <v>0</v>
      </c>
      <c r="F473" s="11">
        <f>SUM(Data!DI474,Data!DK474,Data!DM474,Data!DO474,Data!DQ474,Data!DS474,Data!DU474,Data!DW474,Data!DY474,Data!EA474,Data!EC474,Data!EE474,Data!EG474,Data!EI474,Data!EK474,Data!EM474,Data!EO474,Data!EQ474,Data!ES474)</f>
        <v>0</v>
      </c>
      <c r="G473" s="11">
        <f>F473-E473</f>
        <v>0</v>
      </c>
      <c r="H473">
        <f>IF(E473=0,IF(F473&gt;0,"New",0),(F473-E473)/E473)</f>
        <v>0</v>
      </c>
      <c r="I473" s="12">
        <f>SUM(Data!J474,Data!L474,Data!N474,Data!P474,Data!R474,Data!T474,Data!V474,Data!X474,Data!Z474,Data!AB474,Data!AD474,Data!AF474,Data!AH474,Data!AJ474,Data!AL474,Data!AN474,Data!AP474,Data!AR474,Data!AT474)</f>
        <v>0</v>
      </c>
      <c r="J473" s="12">
        <f>SUM(Data!DJ474,Data!DL474,Data!DN474,Data!DP474,Data!DR474,Data!DT474,Data!DV474,Data!DX474,Data!DZ474,Data!EB474,Data!ED474,Data!EF474,Data!EH474,Data!EJ474,Data!EL474,Data!EN474,Data!EP474,Data!ER474,Data!ET474)</f>
        <v>0</v>
      </c>
      <c r="K473" s="12">
        <f>J473-I473</f>
        <v>0</v>
      </c>
      <c r="L473">
        <f>IF(I473=0,IF(J473&gt;0,"New",0),(J473-I473)/I473)</f>
        <v>0</v>
      </c>
      <c r="M473" t="str">
        <f>IF(F473=0,"No 2026 Sales",IF(E473=0,"New Product",IF(AND(ISNUMBER(H473),H473&gt;0.1),"↑ Strong Growth",IF(AND(ISNUMBER(H473),H473&gt;0),"↗ Growth",IF(AND(ISNUMBER(H473),H473&lt;-0.1),"↓ Strong Decline",IF(AND(ISNUMBER(H473),H473&lt;0),"↘ Decline","→ Stable"))))))</f>
        <v>No 2026 Sales</v>
      </c>
    </row>
    <row r="474" spans="1:13" hidden="1" x14ac:dyDescent="0.35">
      <c r="A474">
        <f>Data!A475</f>
        <v>216</v>
      </c>
      <c r="B474" t="str">
        <f>Data!B475</f>
        <v>BUTCH  WORS/MINCE/PAT</v>
      </c>
      <c r="C474" s="9">
        <f>Data!C475</f>
        <v>63038</v>
      </c>
      <c r="D474" s="10" t="s">
        <v>1255</v>
      </c>
      <c r="E474" s="11">
        <f>SUM(Data!I475,Data!K475,Data!M475,Data!O475,Data!Q475,Data!S475,Data!U475,Data!W475,Data!Y475,Data!AA475,Data!AC475,Data!AE475,Data!AG475,Data!AI475,Data!AK475,Data!AM475,Data!AO475,Data!AQ475,Data!AS475)</f>
        <v>0</v>
      </c>
      <c r="F474" s="11">
        <f>SUM(Data!DI475,Data!DK475,Data!DM475,Data!DO475,Data!DQ475,Data!DS475,Data!DU475,Data!DW475,Data!DY475,Data!EA475,Data!EC475,Data!EE475,Data!EG475,Data!EI475,Data!EK475,Data!EM475,Data!EO475,Data!EQ475,Data!ES475)</f>
        <v>0</v>
      </c>
      <c r="G474" s="11">
        <f>F474-E474</f>
        <v>0</v>
      </c>
      <c r="H474">
        <f>IF(E474=0,IF(F474&gt;0,"New",0),(F474-E474)/E474)</f>
        <v>0</v>
      </c>
      <c r="I474" s="12">
        <f>SUM(Data!J475,Data!L475,Data!N475,Data!P475,Data!R475,Data!T475,Data!V475,Data!X475,Data!Z475,Data!AB475,Data!AD475,Data!AF475,Data!AH475,Data!AJ475,Data!AL475,Data!AN475,Data!AP475,Data!AR475,Data!AT475)</f>
        <v>0</v>
      </c>
      <c r="J474" s="12">
        <f>SUM(Data!DJ475,Data!DL475,Data!DN475,Data!DP475,Data!DR475,Data!DT475,Data!DV475,Data!DX475,Data!DZ475,Data!EB475,Data!ED475,Data!EF475,Data!EH475,Data!EJ475,Data!EL475,Data!EN475,Data!EP475,Data!ER475,Data!ET475)</f>
        <v>0</v>
      </c>
      <c r="K474" s="12">
        <f>J474-I474</f>
        <v>0</v>
      </c>
      <c r="L474">
        <f>IF(I474=0,IF(J474&gt;0,"New",0),(J474-I474)/I474)</f>
        <v>0</v>
      </c>
      <c r="M474" t="str">
        <f>IF(F474=0,"No 2026 Sales",IF(E474=0,"New Product",IF(AND(ISNUMBER(H474),H474&gt;0.1),"↑ Strong Growth",IF(AND(ISNUMBER(H474),H474&gt;0),"↗ Growth",IF(AND(ISNUMBER(H474),H474&lt;-0.1),"↓ Strong Decline",IF(AND(ISNUMBER(H474),H474&lt;0),"↘ Decline","→ Stable"))))))</f>
        <v>No 2026 Sales</v>
      </c>
    </row>
    <row r="475" spans="1:13" hidden="1" x14ac:dyDescent="0.35">
      <c r="A475">
        <f>Data!A476</f>
        <v>216</v>
      </c>
      <c r="B475" t="str">
        <f>Data!B476</f>
        <v>BUTCH  WORS/MINCE/PAT</v>
      </c>
      <c r="C475" s="9">
        <f>Data!C476</f>
        <v>63101</v>
      </c>
      <c r="D475" s="10" t="s">
        <v>1256</v>
      </c>
      <c r="E475" s="11">
        <f>SUM(Data!I476,Data!K476,Data!M476,Data!O476,Data!Q476,Data!S476,Data!U476,Data!W476,Data!Y476,Data!AA476,Data!AC476,Data!AE476,Data!AG476,Data!AI476,Data!AK476,Data!AM476,Data!AO476,Data!AQ476,Data!AS476)</f>
        <v>0</v>
      </c>
      <c r="F475" s="11">
        <f>SUM(Data!DI476,Data!DK476,Data!DM476,Data!DO476,Data!DQ476,Data!DS476,Data!DU476,Data!DW476,Data!DY476,Data!EA476,Data!EC476,Data!EE476,Data!EG476,Data!EI476,Data!EK476,Data!EM476,Data!EO476,Data!EQ476,Data!ES476)</f>
        <v>0</v>
      </c>
      <c r="G475" s="11">
        <f>F475-E475</f>
        <v>0</v>
      </c>
      <c r="H475">
        <f>IF(E475=0,IF(F475&gt;0,"New",0),(F475-E475)/E475)</f>
        <v>0</v>
      </c>
      <c r="I475" s="12">
        <f>SUM(Data!J476,Data!L476,Data!N476,Data!P476,Data!R476,Data!T476,Data!V476,Data!X476,Data!Z476,Data!AB476,Data!AD476,Data!AF476,Data!AH476,Data!AJ476,Data!AL476,Data!AN476,Data!AP476,Data!AR476,Data!AT476)</f>
        <v>0</v>
      </c>
      <c r="J475" s="12">
        <f>SUM(Data!DJ476,Data!DL476,Data!DN476,Data!DP476,Data!DR476,Data!DT476,Data!DV476,Data!DX476,Data!DZ476,Data!EB476,Data!ED476,Data!EF476,Data!EH476,Data!EJ476,Data!EL476,Data!EN476,Data!EP476,Data!ER476,Data!ET476)</f>
        <v>0</v>
      </c>
      <c r="K475" s="12">
        <f>J475-I475</f>
        <v>0</v>
      </c>
      <c r="L475">
        <f>IF(I475=0,IF(J475&gt;0,"New",0),(J475-I475)/I475)</f>
        <v>0</v>
      </c>
      <c r="M475" t="str">
        <f>IF(F475=0,"No 2026 Sales",IF(E475=0,"New Product",IF(AND(ISNUMBER(H475),H475&gt;0.1),"↑ Strong Growth",IF(AND(ISNUMBER(H475),H475&gt;0),"↗ Growth",IF(AND(ISNUMBER(H475),H475&lt;-0.1),"↓ Strong Decline",IF(AND(ISNUMBER(H475),H475&lt;0),"↘ Decline","→ Stable"))))))</f>
        <v>No 2026 Sales</v>
      </c>
    </row>
    <row r="476" spans="1:13" hidden="1" x14ac:dyDescent="0.35">
      <c r="A476">
        <f>Data!A477</f>
        <v>216</v>
      </c>
      <c r="B476" t="str">
        <f>Data!B477</f>
        <v>BUTCH  WORS/MINCE/PAT</v>
      </c>
      <c r="C476" s="9">
        <f>Data!C477</f>
        <v>63222</v>
      </c>
      <c r="D476" s="10" t="s">
        <v>1257</v>
      </c>
      <c r="E476" s="11">
        <f>SUM(Data!I477,Data!K477,Data!M477,Data!O477,Data!Q477,Data!S477,Data!U477,Data!W477,Data!Y477,Data!AA477,Data!AC477,Data!AE477,Data!AG477,Data!AI477,Data!AK477,Data!AM477,Data!AO477,Data!AQ477,Data!AS477)</f>
        <v>0</v>
      </c>
      <c r="F476" s="11">
        <f>SUM(Data!DI477,Data!DK477,Data!DM477,Data!DO477,Data!DQ477,Data!DS477,Data!DU477,Data!DW477,Data!DY477,Data!EA477,Data!EC477,Data!EE477,Data!EG477,Data!EI477,Data!EK477,Data!EM477,Data!EO477,Data!EQ477,Data!ES477)</f>
        <v>0</v>
      </c>
      <c r="G476" s="11">
        <f>F476-E476</f>
        <v>0</v>
      </c>
      <c r="H476">
        <f>IF(E476=0,IF(F476&gt;0,"New",0),(F476-E476)/E476)</f>
        <v>0</v>
      </c>
      <c r="I476" s="12">
        <f>SUM(Data!J477,Data!L477,Data!N477,Data!P477,Data!R477,Data!T477,Data!V477,Data!X477,Data!Z477,Data!AB477,Data!AD477,Data!AF477,Data!AH477,Data!AJ477,Data!AL477,Data!AN477,Data!AP477,Data!AR477,Data!AT477)</f>
        <v>0</v>
      </c>
      <c r="J476" s="12">
        <f>SUM(Data!DJ477,Data!DL477,Data!DN477,Data!DP477,Data!DR477,Data!DT477,Data!DV477,Data!DX477,Data!DZ477,Data!EB477,Data!ED477,Data!EF477,Data!EH477,Data!EJ477,Data!EL477,Data!EN477,Data!EP477,Data!ER477,Data!ET477)</f>
        <v>0</v>
      </c>
      <c r="K476" s="12">
        <f>J476-I476</f>
        <v>0</v>
      </c>
      <c r="L476">
        <f>IF(I476=0,IF(J476&gt;0,"New",0),(J476-I476)/I476)</f>
        <v>0</v>
      </c>
      <c r="M476" t="str">
        <f>IF(F476=0,"No 2026 Sales",IF(E476=0,"New Product",IF(AND(ISNUMBER(H476),H476&gt;0.1),"↑ Strong Growth",IF(AND(ISNUMBER(H476),H476&gt;0),"↗ Growth",IF(AND(ISNUMBER(H476),H476&lt;-0.1),"↓ Strong Decline",IF(AND(ISNUMBER(H476),H476&lt;0),"↘ Decline","→ Stable"))))))</f>
        <v>No 2026 Sales</v>
      </c>
    </row>
    <row r="477" spans="1:13" hidden="1" x14ac:dyDescent="0.35">
      <c r="A477">
        <f>Data!A478</f>
        <v>216</v>
      </c>
      <c r="B477" t="str">
        <f>Data!B478</f>
        <v>BUTCH  WORS/MINCE/PAT</v>
      </c>
      <c r="C477" s="9">
        <f>Data!C478</f>
        <v>63415</v>
      </c>
      <c r="D477" s="10" t="s">
        <v>1258</v>
      </c>
      <c r="E477" s="11">
        <f>SUM(Data!I478,Data!K478,Data!M478,Data!O478,Data!Q478,Data!S478,Data!U478,Data!W478,Data!Y478,Data!AA478,Data!AC478,Data!AE478,Data!AG478,Data!AI478,Data!AK478,Data!AM478,Data!AO478,Data!AQ478,Data!AS478)</f>
        <v>0</v>
      </c>
      <c r="F477" s="11">
        <f>SUM(Data!DI478,Data!DK478,Data!DM478,Data!DO478,Data!DQ478,Data!DS478,Data!DU478,Data!DW478,Data!DY478,Data!EA478,Data!EC478,Data!EE478,Data!EG478,Data!EI478,Data!EK478,Data!EM478,Data!EO478,Data!EQ478,Data!ES478)</f>
        <v>0</v>
      </c>
      <c r="G477" s="11">
        <f>F477-E477</f>
        <v>0</v>
      </c>
      <c r="H477">
        <f>IF(E477=0,IF(F477&gt;0,"New",0),(F477-E477)/E477)</f>
        <v>0</v>
      </c>
      <c r="I477" s="12">
        <f>SUM(Data!J478,Data!L478,Data!N478,Data!P478,Data!R478,Data!T478,Data!V478,Data!X478,Data!Z478,Data!AB478,Data!AD478,Data!AF478,Data!AH478,Data!AJ478,Data!AL478,Data!AN478,Data!AP478,Data!AR478,Data!AT478)</f>
        <v>0</v>
      </c>
      <c r="J477" s="12">
        <f>SUM(Data!DJ478,Data!DL478,Data!DN478,Data!DP478,Data!DR478,Data!DT478,Data!DV478,Data!DX478,Data!DZ478,Data!EB478,Data!ED478,Data!EF478,Data!EH478,Data!EJ478,Data!EL478,Data!EN478,Data!EP478,Data!ER478,Data!ET478)</f>
        <v>0</v>
      </c>
      <c r="K477" s="12">
        <f>J477-I477</f>
        <v>0</v>
      </c>
      <c r="L477">
        <f>IF(I477=0,IF(J477&gt;0,"New",0),(J477-I477)/I477)</f>
        <v>0</v>
      </c>
      <c r="M477" t="str">
        <f>IF(F477=0,"No 2026 Sales",IF(E477=0,"New Product",IF(AND(ISNUMBER(H477),H477&gt;0.1),"↑ Strong Growth",IF(AND(ISNUMBER(H477),H477&gt;0),"↗ Growth",IF(AND(ISNUMBER(H477),H477&lt;-0.1),"↓ Strong Decline",IF(AND(ISNUMBER(H477),H477&lt;0),"↘ Decline","→ Stable"))))))</f>
        <v>No 2026 Sales</v>
      </c>
    </row>
    <row r="478" spans="1:13" hidden="1" x14ac:dyDescent="0.35">
      <c r="A478">
        <f>Data!A479</f>
        <v>216</v>
      </c>
      <c r="B478" t="str">
        <f>Data!B479</f>
        <v>BUTCH  WORS/MINCE/PAT</v>
      </c>
      <c r="C478" s="9">
        <f>Data!C479</f>
        <v>63469</v>
      </c>
      <c r="D478" s="10" t="s">
        <v>1259</v>
      </c>
      <c r="E478" s="11">
        <f>SUM(Data!I479,Data!K479,Data!M479,Data!O479,Data!Q479,Data!S479,Data!U479,Data!W479,Data!Y479,Data!AA479,Data!AC479,Data!AE479,Data!AG479,Data!AI479,Data!AK479,Data!AM479,Data!AO479,Data!AQ479,Data!AS479)</f>
        <v>0</v>
      </c>
      <c r="F478" s="11">
        <f>SUM(Data!DI479,Data!DK479,Data!DM479,Data!DO479,Data!DQ479,Data!DS479,Data!DU479,Data!DW479,Data!DY479,Data!EA479,Data!EC479,Data!EE479,Data!EG479,Data!EI479,Data!EK479,Data!EM479,Data!EO479,Data!EQ479,Data!ES479)</f>
        <v>0</v>
      </c>
      <c r="G478" s="11">
        <f>F478-E478</f>
        <v>0</v>
      </c>
      <c r="H478">
        <f>IF(E478=0,IF(F478&gt;0,"New",0),(F478-E478)/E478)</f>
        <v>0</v>
      </c>
      <c r="I478" s="12">
        <f>SUM(Data!J479,Data!L479,Data!N479,Data!P479,Data!R479,Data!T479,Data!V479,Data!X479,Data!Z479,Data!AB479,Data!AD479,Data!AF479,Data!AH479,Data!AJ479,Data!AL479,Data!AN479,Data!AP479,Data!AR479,Data!AT479)</f>
        <v>0</v>
      </c>
      <c r="J478" s="12">
        <f>SUM(Data!DJ479,Data!DL479,Data!DN479,Data!DP479,Data!DR479,Data!DT479,Data!DV479,Data!DX479,Data!DZ479,Data!EB479,Data!ED479,Data!EF479,Data!EH479,Data!EJ479,Data!EL479,Data!EN479,Data!EP479,Data!ER479,Data!ET479)</f>
        <v>0</v>
      </c>
      <c r="K478" s="12">
        <f>J478-I478</f>
        <v>0</v>
      </c>
      <c r="L478">
        <f>IF(I478=0,IF(J478&gt;0,"New",0),(J478-I478)/I478)</f>
        <v>0</v>
      </c>
      <c r="M478" t="str">
        <f>IF(F478=0,"No 2026 Sales",IF(E478=0,"New Product",IF(AND(ISNUMBER(H478),H478&gt;0.1),"↑ Strong Growth",IF(AND(ISNUMBER(H478),H478&gt;0),"↗ Growth",IF(AND(ISNUMBER(H478),H478&lt;-0.1),"↓ Strong Decline",IF(AND(ISNUMBER(H478),H478&lt;0),"↘ Decline","→ Stable"))))))</f>
        <v>No 2026 Sales</v>
      </c>
    </row>
    <row r="479" spans="1:13" x14ac:dyDescent="0.35">
      <c r="A479">
        <f>Data!A480</f>
        <v>216</v>
      </c>
      <c r="B479" t="str">
        <f>Data!B480</f>
        <v>BUTCH  WORS/MINCE/PAT</v>
      </c>
      <c r="C479" s="9">
        <f>Data!C480</f>
        <v>63735</v>
      </c>
      <c r="D479" s="10" t="s">
        <v>1260</v>
      </c>
      <c r="E479" s="11">
        <f>SUM(Data!I480,Data!K480,Data!M480,Data!O480,Data!Q480,Data!S480,Data!U480,Data!W480,Data!Y480,Data!AA480,Data!AC480,Data!AE480,Data!AG480,Data!AI480,Data!AK480,Data!AM480,Data!AO480,Data!AQ480,Data!AS480)</f>
        <v>0</v>
      </c>
      <c r="F479" s="11">
        <f>SUM(Data!DI480,Data!DK480,Data!DM480,Data!DO480,Data!DQ480,Data!DS480,Data!DU480,Data!DW480,Data!DY480,Data!EA480,Data!EC480,Data!EE480,Data!EG480,Data!EI480,Data!EK480,Data!EM480,Data!EO480,Data!EQ480,Data!ES480)</f>
        <v>10443.4695652174</v>
      </c>
      <c r="G479" s="11">
        <f>F479-E479</f>
        <v>10443.4695652174</v>
      </c>
      <c r="H479" s="13" t="str">
        <f>IF(E479=0,IF(F479&gt;0,"New",0),(F479-E479)/E479)</f>
        <v>New</v>
      </c>
      <c r="I479" s="12">
        <f>SUM(Data!J480,Data!L480,Data!N480,Data!P480,Data!R480,Data!T480,Data!V480,Data!X480,Data!Z480,Data!AB480,Data!AD480,Data!AF480,Data!AH480,Data!AJ480,Data!AL480,Data!AN480,Data!AP480,Data!AR480,Data!AT480)</f>
        <v>0</v>
      </c>
      <c r="J479" s="12">
        <f>SUM(Data!DJ480,Data!DL480,Data!DN480,Data!DP480,Data!DR480,Data!DT480,Data!DV480,Data!DX480,Data!DZ480,Data!EB480,Data!ED480,Data!EF480,Data!EH480,Data!EJ480,Data!EL480,Data!EN480,Data!EP480,Data!ER480,Data!ET480)</f>
        <v>85.796000000000006</v>
      </c>
      <c r="K479" s="12">
        <f>J479-I479</f>
        <v>85.796000000000006</v>
      </c>
      <c r="L479" s="13" t="str">
        <f>IF(I479=0,IF(J479&gt;0,"New",0),(J479-I479)/I479)</f>
        <v>New</v>
      </c>
      <c r="M479" t="str">
        <f>IF(F479=0,"No 2026 Sales",IF(E479=0,"New Product",IF(AND(ISNUMBER(H479),H479&gt;0.1),"↑ Strong Growth",IF(AND(ISNUMBER(H479),H479&gt;0),"↗ Growth",IF(AND(ISNUMBER(H479),H479&lt;-0.1),"↓ Strong Decline",IF(AND(ISNUMBER(H479),H479&lt;0),"↘ Decline","→ Stable"))))))</f>
        <v>New Product</v>
      </c>
    </row>
    <row r="480" spans="1:13" x14ac:dyDescent="0.35">
      <c r="A480">
        <f>Data!A481</f>
        <v>216</v>
      </c>
      <c r="B480" t="str">
        <f>Data!B481</f>
        <v>BUTCH  WORS/MINCE/PAT</v>
      </c>
      <c r="C480" s="9">
        <f>Data!C481</f>
        <v>65747</v>
      </c>
      <c r="D480" s="10" t="s">
        <v>1261</v>
      </c>
      <c r="E480" s="11">
        <f>SUM(Data!I481,Data!K481,Data!M481,Data!O481,Data!Q481,Data!S481,Data!U481,Data!W481,Data!Y481,Data!AA481,Data!AC481,Data!AE481,Data!AG481,Data!AI481,Data!AK481,Data!AM481,Data!AO481,Data!AQ481,Data!AS481)</f>
        <v>0</v>
      </c>
      <c r="F480" s="11">
        <f>SUM(Data!DI481,Data!DK481,Data!DM481,Data!DO481,Data!DQ481,Data!DS481,Data!DU481,Data!DW481,Data!DY481,Data!EA481,Data!EC481,Data!EE481,Data!EG481,Data!EI481,Data!EK481,Data!EM481,Data!EO481,Data!EQ481,Data!ES481)</f>
        <v>3763.7217391304403</v>
      </c>
      <c r="G480" s="11">
        <f>F480-E480</f>
        <v>3763.7217391304403</v>
      </c>
      <c r="H480" s="13" t="str">
        <f>IF(E480=0,IF(F480&gt;0,"New",0),(F480-E480)/E480)</f>
        <v>New</v>
      </c>
      <c r="I480" s="12">
        <f>SUM(Data!J481,Data!L481,Data!N481,Data!P481,Data!R481,Data!T481,Data!V481,Data!X481,Data!Z481,Data!AB481,Data!AD481,Data!AF481,Data!AH481,Data!AJ481,Data!AL481,Data!AN481,Data!AP481,Data!AR481,Data!AT481)</f>
        <v>0</v>
      </c>
      <c r="J480" s="12">
        <f>SUM(Data!DJ481,Data!DL481,Data!DN481,Data!DP481,Data!DR481,Data!DT481,Data!DV481,Data!DX481,Data!DZ481,Data!EB481,Data!ED481,Data!EF481,Data!EH481,Data!EJ481,Data!EL481,Data!EN481,Data!EP481,Data!ER481,Data!ET481)</f>
        <v>39.348999999999997</v>
      </c>
      <c r="K480" s="12">
        <f>J480-I480</f>
        <v>39.348999999999997</v>
      </c>
      <c r="L480" s="13" t="str">
        <f>IF(I480=0,IF(J480&gt;0,"New",0),(J480-I480)/I480)</f>
        <v>New</v>
      </c>
      <c r="M480" t="str">
        <f>IF(F480=0,"No 2026 Sales",IF(E480=0,"New Product",IF(AND(ISNUMBER(H480),H480&gt;0.1),"↑ Strong Growth",IF(AND(ISNUMBER(H480),H480&gt;0),"↗ Growth",IF(AND(ISNUMBER(H480),H480&lt;-0.1),"↓ Strong Decline",IF(AND(ISNUMBER(H480),H480&lt;0),"↘ Decline","→ Stable"))))))</f>
        <v>New Product</v>
      </c>
    </row>
    <row r="481" spans="1:13" x14ac:dyDescent="0.35">
      <c r="A481">
        <f>Data!A482</f>
        <v>216</v>
      </c>
      <c r="B481" t="str">
        <f>Data!B482</f>
        <v>BUTCH  WORS/MINCE/PAT</v>
      </c>
      <c r="C481" s="9">
        <f>Data!C482</f>
        <v>65748</v>
      </c>
      <c r="D481" s="10" t="s">
        <v>1262</v>
      </c>
      <c r="E481" s="11">
        <f>SUM(Data!I482,Data!K482,Data!M482,Data!O482,Data!Q482,Data!S482,Data!U482,Data!W482,Data!Y482,Data!AA482,Data!AC482,Data!AE482,Data!AG482,Data!AI482,Data!AK482,Data!AM482,Data!AO482,Data!AQ482,Data!AS482)</f>
        <v>0</v>
      </c>
      <c r="F481" s="11">
        <f>SUM(Data!DI482,Data!DK482,Data!DM482,Data!DO482,Data!DQ482,Data!DS482,Data!DU482,Data!DW482,Data!DY482,Data!EA482,Data!EC482,Data!EE482,Data!EG482,Data!EI482,Data!EK482,Data!EM482,Data!EO482,Data!EQ482,Data!ES482)</f>
        <v>3829.5652173912968</v>
      </c>
      <c r="G481" s="11">
        <f>F481-E481</f>
        <v>3829.5652173912968</v>
      </c>
      <c r="H481" s="13" t="str">
        <f>IF(E481=0,IF(F481&gt;0,"New",0),(F481-E481)/E481)</f>
        <v>New</v>
      </c>
      <c r="I481" s="12">
        <f>SUM(Data!J482,Data!L482,Data!N482,Data!P482,Data!R482,Data!T482,Data!V482,Data!X482,Data!Z482,Data!AB482,Data!AD482,Data!AF482,Data!AH482,Data!AJ482,Data!AL482,Data!AN482,Data!AP482,Data!AR482,Data!AT482)</f>
        <v>0</v>
      </c>
      <c r="J481" s="12">
        <f>SUM(Data!DJ482,Data!DL482,Data!DN482,Data!DP482,Data!DR482,Data!DT482,Data!DV482,Data!DX482,Data!DZ482,Data!EB482,Data!ED482,Data!EF482,Data!EH482,Data!EJ482,Data!EL482,Data!EN482,Data!EP482,Data!ER482,Data!ET482)</f>
        <v>40.042000000000002</v>
      </c>
      <c r="K481" s="12">
        <f>J481-I481</f>
        <v>40.042000000000002</v>
      </c>
      <c r="L481" s="13" t="str">
        <f>IF(I481=0,IF(J481&gt;0,"New",0),(J481-I481)/I481)</f>
        <v>New</v>
      </c>
      <c r="M481" t="str">
        <f>IF(F481=0,"No 2026 Sales",IF(E481=0,"New Product",IF(AND(ISNUMBER(H481),H481&gt;0.1),"↑ Strong Growth",IF(AND(ISNUMBER(H481),H481&gt;0),"↗ Growth",IF(AND(ISNUMBER(H481),H481&lt;-0.1),"↓ Strong Decline",IF(AND(ISNUMBER(H481),H481&lt;0),"↘ Decline","→ Stable"))))))</f>
        <v>New Product</v>
      </c>
    </row>
    <row r="482" spans="1:13" x14ac:dyDescent="0.35">
      <c r="A482">
        <f>Data!A483</f>
        <v>216</v>
      </c>
      <c r="B482" t="str">
        <f>Data!B483</f>
        <v>BUTCH  WORS/MINCE/PAT</v>
      </c>
      <c r="C482" s="9">
        <f>Data!C483</f>
        <v>66805</v>
      </c>
      <c r="D482" s="10" t="s">
        <v>1263</v>
      </c>
      <c r="E482" s="11">
        <f>SUM(Data!I483,Data!K483,Data!M483,Data!O483,Data!Q483,Data!S483,Data!U483,Data!W483,Data!Y483,Data!AA483,Data!AC483,Data!AE483,Data!AG483,Data!AI483,Data!AK483,Data!AM483,Data!AO483,Data!AQ483,Data!AS483)</f>
        <v>0</v>
      </c>
      <c r="F482" s="11">
        <f>SUM(Data!DI483,Data!DK483,Data!DM483,Data!DO483,Data!DQ483,Data!DS483,Data!DU483,Data!DW483,Data!DY483,Data!EA483,Data!EC483,Data!EE483,Data!EG483,Data!EI483,Data!EK483,Data!EM483,Data!EO483,Data!EQ483,Data!ES483)</f>
        <v>494.730434782609</v>
      </c>
      <c r="G482" s="11">
        <f>F482-E482</f>
        <v>494.730434782609</v>
      </c>
      <c r="H482" s="13" t="str">
        <f>IF(E482=0,IF(F482&gt;0,"New",0),(F482-E482)/E482)</f>
        <v>New</v>
      </c>
      <c r="I482" s="12">
        <f>SUM(Data!J483,Data!L483,Data!N483,Data!P483,Data!R483,Data!T483,Data!V483,Data!X483,Data!Z483,Data!AB483,Data!AD483,Data!AF483,Data!AH483,Data!AJ483,Data!AL483,Data!AN483,Data!AP483,Data!AR483,Data!AT483)</f>
        <v>0</v>
      </c>
      <c r="J482" s="12">
        <f>SUM(Data!DJ483,Data!DL483,Data!DN483,Data!DP483,Data!DR483,Data!DT483,Data!DV483,Data!DX483,Data!DZ483,Data!EB483,Data!ED483,Data!EF483,Data!EH483,Data!EJ483,Data!EL483,Data!EN483,Data!EP483,Data!ER483,Data!ET483)</f>
        <v>6.3220000000000001</v>
      </c>
      <c r="K482" s="12">
        <f>J482-I482</f>
        <v>6.3220000000000001</v>
      </c>
      <c r="L482" s="13" t="str">
        <f>IF(I482=0,IF(J482&gt;0,"New",0),(J482-I482)/I482)</f>
        <v>New</v>
      </c>
      <c r="M482" t="str">
        <f>IF(F482=0,"No 2026 Sales",IF(E482=0,"New Product",IF(AND(ISNUMBER(H482),H482&gt;0.1),"↑ Strong Growth",IF(AND(ISNUMBER(H482),H482&gt;0),"↗ Growth",IF(AND(ISNUMBER(H482),H482&lt;-0.1),"↓ Strong Decline",IF(AND(ISNUMBER(H482),H482&lt;0),"↘ Decline","→ Stable"))))))</f>
        <v>New Product</v>
      </c>
    </row>
    <row r="483" spans="1:13" hidden="1" x14ac:dyDescent="0.35">
      <c r="A483">
        <f>Data!A484</f>
        <v>216</v>
      </c>
      <c r="B483" t="str">
        <f>Data!B484</f>
        <v>BUTCH  WORS/MINCE/PAT</v>
      </c>
      <c r="C483" s="9">
        <f>Data!C484</f>
        <v>99990216</v>
      </c>
      <c r="D483" s="10" t="s">
        <v>1264</v>
      </c>
      <c r="E483" s="11">
        <f>SUM(Data!I484,Data!K484,Data!M484,Data!O484,Data!Q484,Data!S484,Data!U484,Data!W484,Data!Y484,Data!AA484,Data!AC484,Data!AE484,Data!AG484,Data!AI484,Data!AK484,Data!AM484,Data!AO484,Data!AQ484,Data!AS484)</f>
        <v>0</v>
      </c>
      <c r="F483" s="11">
        <f>SUM(Data!DI484,Data!DK484,Data!DM484,Data!DO484,Data!DQ484,Data!DS484,Data!DU484,Data!DW484,Data!DY484,Data!EA484,Data!EC484,Data!EE484,Data!EG484,Data!EI484,Data!EK484,Data!EM484,Data!EO484,Data!EQ484,Data!ES484)</f>
        <v>0</v>
      </c>
      <c r="G483" s="11">
        <f>F483-E483</f>
        <v>0</v>
      </c>
      <c r="H483">
        <f>IF(E483=0,IF(F483&gt;0,"New",0),(F483-E483)/E483)</f>
        <v>0</v>
      </c>
      <c r="I483" s="12">
        <f>SUM(Data!J484,Data!L484,Data!N484,Data!P484,Data!R484,Data!T484,Data!V484,Data!X484,Data!Z484,Data!AB484,Data!AD484,Data!AF484,Data!AH484,Data!AJ484,Data!AL484,Data!AN484,Data!AP484,Data!AR484,Data!AT484)</f>
        <v>0</v>
      </c>
      <c r="J483" s="12">
        <f>SUM(Data!DJ484,Data!DL484,Data!DN484,Data!DP484,Data!DR484,Data!DT484,Data!DV484,Data!DX484,Data!DZ484,Data!EB484,Data!ED484,Data!EF484,Data!EH484,Data!EJ484,Data!EL484,Data!EN484,Data!EP484,Data!ER484,Data!ET484)</f>
        <v>0</v>
      </c>
      <c r="K483" s="12">
        <f>J483-I483</f>
        <v>0</v>
      </c>
      <c r="L483">
        <f>IF(I483=0,IF(J483&gt;0,"New",0),(J483-I483)/I483)</f>
        <v>0</v>
      </c>
      <c r="M483" t="str">
        <f>IF(F483=0,"No 2026 Sales",IF(E483=0,"New Product",IF(AND(ISNUMBER(H483),H483&gt;0.1),"↑ Strong Growth",IF(AND(ISNUMBER(H483),H483&gt;0),"↗ Growth",IF(AND(ISNUMBER(H483),H483&lt;-0.1),"↓ Strong Decline",IF(AND(ISNUMBER(H483),H483&lt;0),"↘ Decline","→ Stable"))))))</f>
        <v>No 2026 Sales</v>
      </c>
    </row>
    <row r="484" spans="1:13" x14ac:dyDescent="0.35">
      <c r="A484">
        <f>Data!A485</f>
        <v>218</v>
      </c>
      <c r="B484" t="str">
        <f>Data!B485</f>
        <v>BUTCHERY SPICE</v>
      </c>
      <c r="C484" s="9">
        <f>Data!C485</f>
        <v>34383</v>
      </c>
      <c r="D484" s="10" t="s">
        <v>1265</v>
      </c>
      <c r="E484" s="11">
        <f>SUM(Data!I485,Data!K485,Data!M485,Data!O485,Data!Q485,Data!S485,Data!U485,Data!W485,Data!Y485,Data!AA485,Data!AC485,Data!AE485,Data!AG485,Data!AI485,Data!AK485,Data!AM485,Data!AO485,Data!AQ485,Data!AS485)</f>
        <v>3882.1391304347808</v>
      </c>
      <c r="F484" s="11">
        <f>SUM(Data!DI485,Data!DK485,Data!DM485,Data!DO485,Data!DQ485,Data!DS485,Data!DU485,Data!DW485,Data!DY485,Data!EA485,Data!EC485,Data!EE485,Data!EG485,Data!EI485,Data!EK485,Data!EM485,Data!EO485,Data!EQ485,Data!ES485)</f>
        <v>4953.1130434782608</v>
      </c>
      <c r="G484" s="11">
        <f>F484-E484</f>
        <v>1070.97391304348</v>
      </c>
      <c r="H484" s="13">
        <f>IF(E484=0,IF(F484&gt;0,"New",0),(F484-E484)/E484)</f>
        <v>0.27587210995282802</v>
      </c>
      <c r="I484" s="12">
        <f>SUM(Data!J485,Data!L485,Data!N485,Data!P485,Data!R485,Data!T485,Data!V485,Data!X485,Data!Z485,Data!AB485,Data!AD485,Data!AF485,Data!AH485,Data!AJ485,Data!AL485,Data!AN485,Data!AP485,Data!AR485,Data!AT485)</f>
        <v>154</v>
      </c>
      <c r="J484" s="12">
        <f>SUM(Data!DJ485,Data!DL485,Data!DN485,Data!DP485,Data!DR485,Data!DT485,Data!DV485,Data!DX485,Data!DZ485,Data!EB485,Data!ED485,Data!EF485,Data!EH485,Data!EJ485,Data!EL485,Data!EN485,Data!EP485,Data!ER485,Data!ET485)</f>
        <v>192</v>
      </c>
      <c r="K484" s="12">
        <f>J484-I484</f>
        <v>38</v>
      </c>
      <c r="L484" s="13">
        <f>IF(I484=0,IF(J484&gt;0,"New",0),(J484-I484)/I484)</f>
        <v>0.24675324675324675</v>
      </c>
      <c r="M484" t="str">
        <f>IF(F484=0,"No 2026 Sales",IF(E484=0,"New Product",IF(AND(ISNUMBER(H484),H484&gt;0.1),"↑ Strong Growth",IF(AND(ISNUMBER(H484),H484&gt;0),"↗ Growth",IF(AND(ISNUMBER(H484),H484&lt;-0.1),"↓ Strong Decline",IF(AND(ISNUMBER(H484),H484&lt;0),"↘ Decline","→ Stable"))))))</f>
        <v>↑ Strong Growth</v>
      </c>
    </row>
    <row r="485" spans="1:13" x14ac:dyDescent="0.35">
      <c r="A485">
        <f>Data!A486</f>
        <v>218</v>
      </c>
      <c r="B485" t="str">
        <f>Data!B486</f>
        <v>BUTCHERY SPICE</v>
      </c>
      <c r="C485" s="9">
        <f>Data!C486</f>
        <v>34385</v>
      </c>
      <c r="D485" s="10" t="s">
        <v>1266</v>
      </c>
      <c r="E485" s="11">
        <f>SUM(Data!I486,Data!K486,Data!M486,Data!O486,Data!Q486,Data!S486,Data!U486,Data!W486,Data!Y486,Data!AA486,Data!AC486,Data!AE486,Data!AG486,Data!AI486,Data!AK486,Data!AM486,Data!AO486,Data!AQ486,Data!AS486)</f>
        <v>458.9913043478266</v>
      </c>
      <c r="F485" s="11">
        <f>SUM(Data!DI486,Data!DK486,Data!DM486,Data!DO486,Data!DQ486,Data!DS486,Data!DU486,Data!DW486,Data!DY486,Data!EA486,Data!EC486,Data!EE486,Data!EG486,Data!EI486,Data!EK486,Data!EM486,Data!EO486,Data!EQ486,Data!ES486)</f>
        <v>744.08695652173901</v>
      </c>
      <c r="G485" s="11">
        <f>F485-E485</f>
        <v>285.09565217391241</v>
      </c>
      <c r="H485" s="13">
        <f>IF(E485=0,IF(F485&gt;0,"New",0),(F485-E485)/E485)</f>
        <v>0.62113519248256843</v>
      </c>
      <c r="I485" s="12">
        <f>SUM(Data!J486,Data!L486,Data!N486,Data!P486,Data!R486,Data!T486,Data!V486,Data!X486,Data!Z486,Data!AB486,Data!AD486,Data!AF486,Data!AH486,Data!AJ486,Data!AL486,Data!AN486,Data!AP486,Data!AR486,Data!AT486)</f>
        <v>16</v>
      </c>
      <c r="J485" s="12">
        <f>SUM(Data!DJ486,Data!DL486,Data!DN486,Data!DP486,Data!DR486,Data!DT486,Data!DV486,Data!DX486,Data!DZ486,Data!EB486,Data!ED486,Data!EF486,Data!EH486,Data!EJ486,Data!EL486,Data!EN486,Data!EP486,Data!ER486,Data!ET486)</f>
        <v>30</v>
      </c>
      <c r="K485" s="12">
        <f>J485-I485</f>
        <v>14</v>
      </c>
      <c r="L485" s="13">
        <f>IF(I485=0,IF(J485&gt;0,"New",0),(J485-I485)/I485)</f>
        <v>0.875</v>
      </c>
      <c r="M485" t="str">
        <f>IF(F485=0,"No 2026 Sales",IF(E485=0,"New Product",IF(AND(ISNUMBER(H485),H485&gt;0.1),"↑ Strong Growth",IF(AND(ISNUMBER(H485),H485&gt;0),"↗ Growth",IF(AND(ISNUMBER(H485),H485&lt;-0.1),"↓ Strong Decline",IF(AND(ISNUMBER(H485),H485&lt;0),"↘ Decline","→ Stable"))))))</f>
        <v>↑ Strong Growth</v>
      </c>
    </row>
    <row r="486" spans="1:13" hidden="1" x14ac:dyDescent="0.35">
      <c r="A486">
        <f>Data!A487</f>
        <v>218</v>
      </c>
      <c r="B486" t="str">
        <f>Data!B487</f>
        <v>BUTCHERY SPICE</v>
      </c>
      <c r="C486" s="9">
        <f>Data!C487</f>
        <v>41524</v>
      </c>
      <c r="D486" s="10" t="s">
        <v>1267</v>
      </c>
      <c r="E486" s="11">
        <f>SUM(Data!I487,Data!K487,Data!M487,Data!O487,Data!Q487,Data!S487,Data!U487,Data!W487,Data!Y487,Data!AA487,Data!AC487,Data!AE487,Data!AG487,Data!AI487,Data!AK487,Data!AM487,Data!AO487,Data!AQ487,Data!AS487)</f>
        <v>0</v>
      </c>
      <c r="F486" s="11">
        <f>SUM(Data!DI487,Data!DK487,Data!DM487,Data!DO487,Data!DQ487,Data!DS487,Data!DU487,Data!DW487,Data!DY487,Data!EA487,Data!EC487,Data!EE487,Data!EG487,Data!EI487,Data!EK487,Data!EM487,Data!EO487,Data!EQ487,Data!ES487)</f>
        <v>0</v>
      </c>
      <c r="G486" s="11">
        <f>F486-E486</f>
        <v>0</v>
      </c>
      <c r="H486">
        <f>IF(E486=0,IF(F486&gt;0,"New",0),(F486-E486)/E486)</f>
        <v>0</v>
      </c>
      <c r="I486" s="12">
        <f>SUM(Data!J487,Data!L487,Data!N487,Data!P487,Data!R487,Data!T487,Data!V487,Data!X487,Data!Z487,Data!AB487,Data!AD487,Data!AF487,Data!AH487,Data!AJ487,Data!AL487,Data!AN487,Data!AP487,Data!AR487,Data!AT487)</f>
        <v>0</v>
      </c>
      <c r="J486" s="12">
        <f>SUM(Data!DJ487,Data!DL487,Data!DN487,Data!DP487,Data!DR487,Data!DT487,Data!DV487,Data!DX487,Data!DZ487,Data!EB487,Data!ED487,Data!EF487,Data!EH487,Data!EJ487,Data!EL487,Data!EN487,Data!EP487,Data!ER487,Data!ET487)</f>
        <v>0</v>
      </c>
      <c r="K486" s="12">
        <f>J486-I486</f>
        <v>0</v>
      </c>
      <c r="L486">
        <f>IF(I486=0,IF(J486&gt;0,"New",0),(J486-I486)/I486)</f>
        <v>0</v>
      </c>
      <c r="M486" t="str">
        <f>IF(F486=0,"No 2026 Sales",IF(E486=0,"New Product",IF(AND(ISNUMBER(H486),H486&gt;0.1),"↑ Strong Growth",IF(AND(ISNUMBER(H486),H486&gt;0),"↗ Growth",IF(AND(ISNUMBER(H486),H486&lt;-0.1),"↓ Strong Decline",IF(AND(ISNUMBER(H486),H486&lt;0),"↘ Decline","→ Stable"))))))</f>
        <v>No 2026 Sales</v>
      </c>
    </row>
    <row r="487" spans="1:13" hidden="1" x14ac:dyDescent="0.35">
      <c r="A487">
        <f>Data!A488</f>
        <v>218</v>
      </c>
      <c r="B487" t="str">
        <f>Data!B488</f>
        <v>BUTCHERY SPICE</v>
      </c>
      <c r="C487" s="9">
        <f>Data!C488</f>
        <v>42417</v>
      </c>
      <c r="D487" s="10" t="s">
        <v>1268</v>
      </c>
      <c r="E487" s="11">
        <f>SUM(Data!I488,Data!K488,Data!M488,Data!O488,Data!Q488,Data!S488,Data!U488,Data!W488,Data!Y488,Data!AA488,Data!AC488,Data!AE488,Data!AG488,Data!AI488,Data!AK488,Data!AM488,Data!AO488,Data!AQ488,Data!AS488)</f>
        <v>0</v>
      </c>
      <c r="F487" s="11">
        <f>SUM(Data!DI488,Data!DK488,Data!DM488,Data!DO488,Data!DQ488,Data!DS488,Data!DU488,Data!DW488,Data!DY488,Data!EA488,Data!EC488,Data!EE488,Data!EG488,Data!EI488,Data!EK488,Data!EM488,Data!EO488,Data!EQ488,Data!ES488)</f>
        <v>0</v>
      </c>
      <c r="G487" s="11">
        <f>F487-E487</f>
        <v>0</v>
      </c>
      <c r="H487">
        <f>IF(E487=0,IF(F487&gt;0,"New",0),(F487-E487)/E487)</f>
        <v>0</v>
      </c>
      <c r="I487" s="12">
        <f>SUM(Data!J488,Data!L488,Data!N488,Data!P488,Data!R488,Data!T488,Data!V488,Data!X488,Data!Z488,Data!AB488,Data!AD488,Data!AF488,Data!AH488,Data!AJ488,Data!AL488,Data!AN488,Data!AP488,Data!AR488,Data!AT488)</f>
        <v>0</v>
      </c>
      <c r="J487" s="12">
        <f>SUM(Data!DJ488,Data!DL488,Data!DN488,Data!DP488,Data!DR488,Data!DT488,Data!DV488,Data!DX488,Data!DZ488,Data!EB488,Data!ED488,Data!EF488,Data!EH488,Data!EJ488,Data!EL488,Data!EN488,Data!EP488,Data!ER488,Data!ET488)</f>
        <v>0</v>
      </c>
      <c r="K487" s="12">
        <f>J487-I487</f>
        <v>0</v>
      </c>
      <c r="L487">
        <f>IF(I487=0,IF(J487&gt;0,"New",0),(J487-I487)/I487)</f>
        <v>0</v>
      </c>
      <c r="M487" t="str">
        <f>IF(F487=0,"No 2026 Sales",IF(E487=0,"New Product",IF(AND(ISNUMBER(H487),H487&gt;0.1),"↑ Strong Growth",IF(AND(ISNUMBER(H487),H487&gt;0),"↗ Growth",IF(AND(ISNUMBER(H487),H487&lt;-0.1),"↓ Strong Decline",IF(AND(ISNUMBER(H487),H487&lt;0),"↘ Decline","→ Stable"))))))</f>
        <v>No 2026 Sales</v>
      </c>
    </row>
    <row r="488" spans="1:13" hidden="1" x14ac:dyDescent="0.35">
      <c r="A488">
        <f>Data!A489</f>
        <v>218</v>
      </c>
      <c r="B488" t="str">
        <f>Data!B489</f>
        <v>BUTCHERY SPICE</v>
      </c>
      <c r="C488" s="9">
        <f>Data!C489</f>
        <v>44616</v>
      </c>
      <c r="D488" s="10" t="s">
        <v>1269</v>
      </c>
      <c r="E488" s="11">
        <f>SUM(Data!I489,Data!K489,Data!M489,Data!O489,Data!Q489,Data!S489,Data!U489,Data!W489,Data!Y489,Data!AA489,Data!AC489,Data!AE489,Data!AG489,Data!AI489,Data!AK489,Data!AM489,Data!AO489,Data!AQ489,Data!AS489)</f>
        <v>0</v>
      </c>
      <c r="F488" s="11">
        <f>SUM(Data!DI489,Data!DK489,Data!DM489,Data!DO489,Data!DQ489,Data!DS489,Data!DU489,Data!DW489,Data!DY489,Data!EA489,Data!EC489,Data!EE489,Data!EG489,Data!EI489,Data!EK489,Data!EM489,Data!EO489,Data!EQ489,Data!ES489)</f>
        <v>0</v>
      </c>
      <c r="G488" s="11">
        <f>F488-E488</f>
        <v>0</v>
      </c>
      <c r="H488">
        <f>IF(E488=0,IF(F488&gt;0,"New",0),(F488-E488)/E488)</f>
        <v>0</v>
      </c>
      <c r="I488" s="12">
        <f>SUM(Data!J489,Data!L489,Data!N489,Data!P489,Data!R489,Data!T489,Data!V489,Data!X489,Data!Z489,Data!AB489,Data!AD489,Data!AF489,Data!AH489,Data!AJ489,Data!AL489,Data!AN489,Data!AP489,Data!AR489,Data!AT489)</f>
        <v>0</v>
      </c>
      <c r="J488" s="12">
        <f>SUM(Data!DJ489,Data!DL489,Data!DN489,Data!DP489,Data!DR489,Data!DT489,Data!DV489,Data!DX489,Data!DZ489,Data!EB489,Data!ED489,Data!EF489,Data!EH489,Data!EJ489,Data!EL489,Data!EN489,Data!EP489,Data!ER489,Data!ET489)</f>
        <v>0</v>
      </c>
      <c r="K488" s="12">
        <f>J488-I488</f>
        <v>0</v>
      </c>
      <c r="L488">
        <f>IF(I488=0,IF(J488&gt;0,"New",0),(J488-I488)/I488)</f>
        <v>0</v>
      </c>
      <c r="M488" t="str">
        <f>IF(F488=0,"No 2026 Sales",IF(E488=0,"New Product",IF(AND(ISNUMBER(H488),H488&gt;0.1),"↑ Strong Growth",IF(AND(ISNUMBER(H488),H488&gt;0),"↗ Growth",IF(AND(ISNUMBER(H488),H488&lt;-0.1),"↓ Strong Decline",IF(AND(ISNUMBER(H488),H488&lt;0),"↘ Decline","→ Stable"))))))</f>
        <v>No 2026 Sales</v>
      </c>
    </row>
    <row r="489" spans="1:13" hidden="1" x14ac:dyDescent="0.35">
      <c r="A489">
        <f>Data!A490</f>
        <v>218</v>
      </c>
      <c r="B489" t="str">
        <f>Data!B490</f>
        <v>BUTCHERY SPICE</v>
      </c>
      <c r="C489" s="9">
        <f>Data!C490</f>
        <v>48247</v>
      </c>
      <c r="D489" s="10" t="s">
        <v>1270</v>
      </c>
      <c r="E489" s="11">
        <f>SUM(Data!I490,Data!K490,Data!M490,Data!O490,Data!Q490,Data!S490,Data!U490,Data!W490,Data!Y490,Data!AA490,Data!AC490,Data!AE490,Data!AG490,Data!AI490,Data!AK490,Data!AM490,Data!AO490,Data!AQ490,Data!AS490)</f>
        <v>0</v>
      </c>
      <c r="F489" s="11">
        <f>SUM(Data!DI490,Data!DK490,Data!DM490,Data!DO490,Data!DQ490,Data!DS490,Data!DU490,Data!DW490,Data!DY490,Data!EA490,Data!EC490,Data!EE490,Data!EG490,Data!EI490,Data!EK490,Data!EM490,Data!EO490,Data!EQ490,Data!ES490)</f>
        <v>0</v>
      </c>
      <c r="G489" s="11">
        <f>F489-E489</f>
        <v>0</v>
      </c>
      <c r="H489">
        <f>IF(E489=0,IF(F489&gt;0,"New",0),(F489-E489)/E489)</f>
        <v>0</v>
      </c>
      <c r="I489" s="12">
        <f>SUM(Data!J490,Data!L490,Data!N490,Data!P490,Data!R490,Data!T490,Data!V490,Data!X490,Data!Z490,Data!AB490,Data!AD490,Data!AF490,Data!AH490,Data!AJ490,Data!AL490,Data!AN490,Data!AP490,Data!AR490,Data!AT490)</f>
        <v>0</v>
      </c>
      <c r="J489" s="12">
        <f>SUM(Data!DJ490,Data!DL490,Data!DN490,Data!DP490,Data!DR490,Data!DT490,Data!DV490,Data!DX490,Data!DZ490,Data!EB490,Data!ED490,Data!EF490,Data!EH490,Data!EJ490,Data!EL490,Data!EN490,Data!EP490,Data!ER490,Data!ET490)</f>
        <v>0</v>
      </c>
      <c r="K489" s="12">
        <f>J489-I489</f>
        <v>0</v>
      </c>
      <c r="L489">
        <f>IF(I489=0,IF(J489&gt;0,"New",0),(J489-I489)/I489)</f>
        <v>0</v>
      </c>
      <c r="M489" t="str">
        <f>IF(F489=0,"No 2026 Sales",IF(E489=0,"New Product",IF(AND(ISNUMBER(H489),H489&gt;0.1),"↑ Strong Growth",IF(AND(ISNUMBER(H489),H489&gt;0),"↗ Growth",IF(AND(ISNUMBER(H489),H489&lt;-0.1),"↓ Strong Decline",IF(AND(ISNUMBER(H489),H489&lt;0),"↘ Decline","→ Stable"))))))</f>
        <v>No 2026 Sales</v>
      </c>
    </row>
    <row r="490" spans="1:13" hidden="1" x14ac:dyDescent="0.35">
      <c r="A490">
        <f>Data!A491</f>
        <v>218</v>
      </c>
      <c r="B490" t="str">
        <f>Data!B491</f>
        <v>BUTCHERY SPICE</v>
      </c>
      <c r="C490" s="9">
        <f>Data!C491</f>
        <v>48250</v>
      </c>
      <c r="D490" s="10" t="s">
        <v>1271</v>
      </c>
      <c r="E490" s="11">
        <f>SUM(Data!I491,Data!K491,Data!M491,Data!O491,Data!Q491,Data!S491,Data!U491,Data!W491,Data!Y491,Data!AA491,Data!AC491,Data!AE491,Data!AG491,Data!AI491,Data!AK491,Data!AM491,Data!AO491,Data!AQ491,Data!AS491)</f>
        <v>0</v>
      </c>
      <c r="F490" s="11">
        <f>SUM(Data!DI491,Data!DK491,Data!DM491,Data!DO491,Data!DQ491,Data!DS491,Data!DU491,Data!DW491,Data!DY491,Data!EA491,Data!EC491,Data!EE491,Data!EG491,Data!EI491,Data!EK491,Data!EM491,Data!EO491,Data!EQ491,Data!ES491)</f>
        <v>0</v>
      </c>
      <c r="G490" s="11">
        <f>F490-E490</f>
        <v>0</v>
      </c>
      <c r="H490">
        <f>IF(E490=0,IF(F490&gt;0,"New",0),(F490-E490)/E490)</f>
        <v>0</v>
      </c>
      <c r="I490" s="12">
        <f>SUM(Data!J491,Data!L491,Data!N491,Data!P491,Data!R491,Data!T491,Data!V491,Data!X491,Data!Z491,Data!AB491,Data!AD491,Data!AF491,Data!AH491,Data!AJ491,Data!AL491,Data!AN491,Data!AP491,Data!AR491,Data!AT491)</f>
        <v>0</v>
      </c>
      <c r="J490" s="12">
        <f>SUM(Data!DJ491,Data!DL491,Data!DN491,Data!DP491,Data!DR491,Data!DT491,Data!DV491,Data!DX491,Data!DZ491,Data!EB491,Data!ED491,Data!EF491,Data!EH491,Data!EJ491,Data!EL491,Data!EN491,Data!EP491,Data!ER491,Data!ET491)</f>
        <v>0</v>
      </c>
      <c r="K490" s="12">
        <f>J490-I490</f>
        <v>0</v>
      </c>
      <c r="L490">
        <f>IF(I490=0,IF(J490&gt;0,"New",0),(J490-I490)/I490)</f>
        <v>0</v>
      </c>
      <c r="M490" t="str">
        <f>IF(F490=0,"No 2026 Sales",IF(E490=0,"New Product",IF(AND(ISNUMBER(H490),H490&gt;0.1),"↑ Strong Growth",IF(AND(ISNUMBER(H490),H490&gt;0),"↗ Growth",IF(AND(ISNUMBER(H490),H490&lt;-0.1),"↓ Strong Decline",IF(AND(ISNUMBER(H490),H490&lt;0),"↘ Decline","→ Stable"))))))</f>
        <v>No 2026 Sales</v>
      </c>
    </row>
    <row r="491" spans="1:13" hidden="1" x14ac:dyDescent="0.35">
      <c r="A491">
        <f>Data!A492</f>
        <v>218</v>
      </c>
      <c r="B491" t="str">
        <f>Data!B492</f>
        <v>BUTCHERY SPICE</v>
      </c>
      <c r="C491" s="9">
        <f>Data!C492</f>
        <v>49111</v>
      </c>
      <c r="D491" s="10" t="s">
        <v>1272</v>
      </c>
      <c r="E491" s="11">
        <f>SUM(Data!I492,Data!K492,Data!M492,Data!O492,Data!Q492,Data!S492,Data!U492,Data!W492,Data!Y492,Data!AA492,Data!AC492,Data!AE492,Data!AG492,Data!AI492,Data!AK492,Data!AM492,Data!AO492,Data!AQ492,Data!AS492)</f>
        <v>0</v>
      </c>
      <c r="F491" s="11">
        <f>SUM(Data!DI492,Data!DK492,Data!DM492,Data!DO492,Data!DQ492,Data!DS492,Data!DU492,Data!DW492,Data!DY492,Data!EA492,Data!EC492,Data!EE492,Data!EG492,Data!EI492,Data!EK492,Data!EM492,Data!EO492,Data!EQ492,Data!ES492)</f>
        <v>0</v>
      </c>
      <c r="G491" s="11">
        <f>F491-E491</f>
        <v>0</v>
      </c>
      <c r="H491">
        <f>IF(E491=0,IF(F491&gt;0,"New",0),(F491-E491)/E491)</f>
        <v>0</v>
      </c>
      <c r="I491" s="12">
        <f>SUM(Data!J492,Data!L492,Data!N492,Data!P492,Data!R492,Data!T492,Data!V492,Data!X492,Data!Z492,Data!AB492,Data!AD492,Data!AF492,Data!AH492,Data!AJ492,Data!AL492,Data!AN492,Data!AP492,Data!AR492,Data!AT492)</f>
        <v>0</v>
      </c>
      <c r="J491" s="12">
        <f>SUM(Data!DJ492,Data!DL492,Data!DN492,Data!DP492,Data!DR492,Data!DT492,Data!DV492,Data!DX492,Data!DZ492,Data!EB492,Data!ED492,Data!EF492,Data!EH492,Data!EJ492,Data!EL492,Data!EN492,Data!EP492,Data!ER492,Data!ET492)</f>
        <v>0</v>
      </c>
      <c r="K491" s="12">
        <f>J491-I491</f>
        <v>0</v>
      </c>
      <c r="L491">
        <f>IF(I491=0,IF(J491&gt;0,"New",0),(J491-I491)/I491)</f>
        <v>0</v>
      </c>
      <c r="M491" t="str">
        <f>IF(F491=0,"No 2026 Sales",IF(E491=0,"New Product",IF(AND(ISNUMBER(H491),H491&gt;0.1),"↑ Strong Growth",IF(AND(ISNUMBER(H491),H491&gt;0),"↗ Growth",IF(AND(ISNUMBER(H491),H491&lt;-0.1),"↓ Strong Decline",IF(AND(ISNUMBER(H491),H491&lt;0),"↘ Decline","→ Stable"))))))</f>
        <v>No 2026 Sales</v>
      </c>
    </row>
    <row r="492" spans="1:13" x14ac:dyDescent="0.35">
      <c r="A492">
        <f>Data!A493</f>
        <v>218</v>
      </c>
      <c r="B492" t="str">
        <f>Data!B493</f>
        <v>BUTCHERY SPICE</v>
      </c>
      <c r="C492" s="9">
        <f>Data!C493</f>
        <v>54428</v>
      </c>
      <c r="D492" s="10" t="s">
        <v>1273</v>
      </c>
      <c r="E492" s="11">
        <f>SUM(Data!I493,Data!K493,Data!M493,Data!O493,Data!Q493,Data!S493,Data!U493,Data!W493,Data!Y493,Data!AA493,Data!AC493,Data!AE493,Data!AG493,Data!AI493,Data!AK493,Data!AM493,Data!AO493,Data!AQ493,Data!AS493)</f>
        <v>3368.6956521739107</v>
      </c>
      <c r="F492" s="11">
        <f>SUM(Data!DI493,Data!DK493,Data!DM493,Data!DO493,Data!DQ493,Data!DS493,Data!DU493,Data!DW493,Data!DY493,Data!EA493,Data!EC493,Data!EE493,Data!EG493,Data!EI493,Data!EK493,Data!EM493,Data!EO493,Data!EQ493,Data!ES493)</f>
        <v>2532.173913043478</v>
      </c>
      <c r="G492" s="11">
        <f>F492-E492</f>
        <v>-836.52173913043271</v>
      </c>
      <c r="H492" s="13">
        <f>IF(E492=0,IF(F492&gt;0,"New",0),(F492-E492)/E492)</f>
        <v>-0.24832214765100627</v>
      </c>
      <c r="I492" s="12">
        <f>SUM(Data!J493,Data!L493,Data!N493,Data!P493,Data!R493,Data!T493,Data!V493,Data!X493,Data!Z493,Data!AB493,Data!AD493,Data!AF493,Data!AH493,Data!AJ493,Data!AL493,Data!AN493,Data!AP493,Data!AR493,Data!AT493)</f>
        <v>298</v>
      </c>
      <c r="J492" s="12">
        <f>SUM(Data!DJ493,Data!DL493,Data!DN493,Data!DP493,Data!DR493,Data!DT493,Data!DV493,Data!DX493,Data!DZ493,Data!EB493,Data!ED493,Data!EF493,Data!EH493,Data!EJ493,Data!EL493,Data!EN493,Data!EP493,Data!ER493,Data!ET493)</f>
        <v>224</v>
      </c>
      <c r="K492" s="12">
        <f>J492-I492</f>
        <v>-74</v>
      </c>
      <c r="L492" s="13">
        <f>IF(I492=0,IF(J492&gt;0,"New",0),(J492-I492)/I492)</f>
        <v>-0.24832214765100671</v>
      </c>
      <c r="M492" t="str">
        <f>IF(F492=0,"No 2026 Sales",IF(E492=0,"New Product",IF(AND(ISNUMBER(H492),H492&gt;0.1),"↑ Strong Growth",IF(AND(ISNUMBER(H492),H492&gt;0),"↗ Growth",IF(AND(ISNUMBER(H492),H492&lt;-0.1),"↓ Strong Decline",IF(AND(ISNUMBER(H492),H492&lt;0),"↘ Decline","→ Stable"))))))</f>
        <v>↓ Strong Decline</v>
      </c>
    </row>
    <row r="493" spans="1:13" hidden="1" x14ac:dyDescent="0.35">
      <c r="A493">
        <f>Data!A494</f>
        <v>218</v>
      </c>
      <c r="B493" t="str">
        <f>Data!B494</f>
        <v>BUTCHERY SPICE</v>
      </c>
      <c r="C493" s="9">
        <f>Data!C494</f>
        <v>56666</v>
      </c>
      <c r="D493" s="10" t="s">
        <v>1274</v>
      </c>
      <c r="E493" s="11">
        <f>SUM(Data!I494,Data!K494,Data!M494,Data!O494,Data!Q494,Data!S494,Data!U494,Data!W494,Data!Y494,Data!AA494,Data!AC494,Data!AE494,Data!AG494,Data!AI494,Data!AK494,Data!AM494,Data!AO494,Data!AQ494,Data!AS494)</f>
        <v>0</v>
      </c>
      <c r="F493" s="11">
        <f>SUM(Data!DI494,Data!DK494,Data!DM494,Data!DO494,Data!DQ494,Data!DS494,Data!DU494,Data!DW494,Data!DY494,Data!EA494,Data!EC494,Data!EE494,Data!EG494,Data!EI494,Data!EK494,Data!EM494,Data!EO494,Data!EQ494,Data!ES494)</f>
        <v>0</v>
      </c>
      <c r="G493" s="11">
        <f>F493-E493</f>
        <v>0</v>
      </c>
      <c r="H493">
        <f>IF(E493=0,IF(F493&gt;0,"New",0),(F493-E493)/E493)</f>
        <v>0</v>
      </c>
      <c r="I493" s="12">
        <f>SUM(Data!J494,Data!L494,Data!N494,Data!P494,Data!R494,Data!T494,Data!V494,Data!X494,Data!Z494,Data!AB494,Data!AD494,Data!AF494,Data!AH494,Data!AJ494,Data!AL494,Data!AN494,Data!AP494,Data!AR494,Data!AT494)</f>
        <v>0</v>
      </c>
      <c r="J493" s="12">
        <f>SUM(Data!DJ494,Data!DL494,Data!DN494,Data!DP494,Data!DR494,Data!DT494,Data!DV494,Data!DX494,Data!DZ494,Data!EB494,Data!ED494,Data!EF494,Data!EH494,Data!EJ494,Data!EL494,Data!EN494,Data!EP494,Data!ER494,Data!ET494)</f>
        <v>0</v>
      </c>
      <c r="K493" s="12">
        <f>J493-I493</f>
        <v>0</v>
      </c>
      <c r="L493">
        <f>IF(I493=0,IF(J493&gt;0,"New",0),(J493-I493)/I493)</f>
        <v>0</v>
      </c>
      <c r="M493" t="str">
        <f>IF(F493=0,"No 2026 Sales",IF(E493=0,"New Product",IF(AND(ISNUMBER(H493),H493&gt;0.1),"↑ Strong Growth",IF(AND(ISNUMBER(H493),H493&gt;0),"↗ Growth",IF(AND(ISNUMBER(H493),H493&lt;-0.1),"↓ Strong Decline",IF(AND(ISNUMBER(H493),H493&lt;0),"↘ Decline","→ Stable"))))))</f>
        <v>No 2026 Sales</v>
      </c>
    </row>
    <row r="494" spans="1:13" hidden="1" x14ac:dyDescent="0.35">
      <c r="A494">
        <f>Data!A495</f>
        <v>218</v>
      </c>
      <c r="B494" t="str">
        <f>Data!B495</f>
        <v>BUTCHERY SPICE</v>
      </c>
      <c r="C494" s="9">
        <f>Data!C495</f>
        <v>56795</v>
      </c>
      <c r="D494" s="10" t="s">
        <v>1275</v>
      </c>
      <c r="E494" s="11">
        <f>SUM(Data!I495,Data!K495,Data!M495,Data!O495,Data!Q495,Data!S495,Data!U495,Data!W495,Data!Y495,Data!AA495,Data!AC495,Data!AE495,Data!AG495,Data!AI495,Data!AK495,Data!AM495,Data!AO495,Data!AQ495,Data!AS495)</f>
        <v>0</v>
      </c>
      <c r="F494" s="11">
        <f>SUM(Data!DI495,Data!DK495,Data!DM495,Data!DO495,Data!DQ495,Data!DS495,Data!DU495,Data!DW495,Data!DY495,Data!EA495,Data!EC495,Data!EE495,Data!EG495,Data!EI495,Data!EK495,Data!EM495,Data!EO495,Data!EQ495,Data!ES495)</f>
        <v>0</v>
      </c>
      <c r="G494" s="11">
        <f>F494-E494</f>
        <v>0</v>
      </c>
      <c r="H494">
        <f>IF(E494=0,IF(F494&gt;0,"New",0),(F494-E494)/E494)</f>
        <v>0</v>
      </c>
      <c r="I494" s="12">
        <f>SUM(Data!J495,Data!L495,Data!N495,Data!P495,Data!R495,Data!T495,Data!V495,Data!X495,Data!Z495,Data!AB495,Data!AD495,Data!AF495,Data!AH495,Data!AJ495,Data!AL495,Data!AN495,Data!AP495,Data!AR495,Data!AT495)</f>
        <v>0</v>
      </c>
      <c r="J494" s="12">
        <f>SUM(Data!DJ495,Data!DL495,Data!DN495,Data!DP495,Data!DR495,Data!DT495,Data!DV495,Data!DX495,Data!DZ495,Data!EB495,Data!ED495,Data!EF495,Data!EH495,Data!EJ495,Data!EL495,Data!EN495,Data!EP495,Data!ER495,Data!ET495)</f>
        <v>0</v>
      </c>
      <c r="K494" s="12">
        <f>J494-I494</f>
        <v>0</v>
      </c>
      <c r="L494">
        <f>IF(I494=0,IF(J494&gt;0,"New",0),(J494-I494)/I494)</f>
        <v>0</v>
      </c>
      <c r="M494" t="str">
        <f>IF(F494=0,"No 2026 Sales",IF(E494=0,"New Product",IF(AND(ISNUMBER(H494),H494&gt;0.1),"↑ Strong Growth",IF(AND(ISNUMBER(H494),H494&gt;0),"↗ Growth",IF(AND(ISNUMBER(H494),H494&lt;-0.1),"↓ Strong Decline",IF(AND(ISNUMBER(H494),H494&lt;0),"↘ Decline","→ Stable"))))))</f>
        <v>No 2026 Sales</v>
      </c>
    </row>
    <row r="495" spans="1:13" x14ac:dyDescent="0.35">
      <c r="A495">
        <f>Data!A496</f>
        <v>218</v>
      </c>
      <c r="B495" t="str">
        <f>Data!B496</f>
        <v>BUTCHERY SPICE</v>
      </c>
      <c r="C495" s="9">
        <f>Data!C496</f>
        <v>58339</v>
      </c>
      <c r="D495" s="10" t="s">
        <v>1276</v>
      </c>
      <c r="E495" s="11">
        <f>SUM(Data!I496,Data!K496,Data!M496,Data!O496,Data!Q496,Data!S496,Data!U496,Data!W496,Data!Y496,Data!AA496,Data!AC496,Data!AE496,Data!AG496,Data!AI496,Data!AK496,Data!AM496,Data!AO496,Data!AQ496,Data!AS496)</f>
        <v>4334.7913043478256</v>
      </c>
      <c r="F495" s="11">
        <f>SUM(Data!DI496,Data!DK496,Data!DM496,Data!DO496,Data!DQ496,Data!DS496,Data!DU496,Data!DW496,Data!DY496,Data!EA496,Data!EC496,Data!EE496,Data!EG496,Data!EI496,Data!EK496,Data!EM496,Data!EO496,Data!EQ496,Data!ES496)</f>
        <v>8113.6173913043494</v>
      </c>
      <c r="G495" s="11">
        <f>F495-E495</f>
        <v>3778.8260869565238</v>
      </c>
      <c r="H495" s="13">
        <f>IF(E495=0,IF(F495&gt;0,"New",0),(F495-E495)/E495)</f>
        <v>0.87174348697394843</v>
      </c>
      <c r="I495" s="12">
        <f>SUM(Data!J496,Data!L496,Data!N496,Data!P496,Data!R496,Data!T496,Data!V496,Data!X496,Data!Z496,Data!AB496,Data!AD496,Data!AF496,Data!AH496,Data!AJ496,Data!AL496,Data!AN496,Data!AP496,Data!AR496,Data!AT496)</f>
        <v>499</v>
      </c>
      <c r="J495" s="12">
        <f>SUM(Data!DJ496,Data!DL496,Data!DN496,Data!DP496,Data!DR496,Data!DT496,Data!DV496,Data!DX496,Data!DZ496,Data!EB496,Data!ED496,Data!EF496,Data!EH496,Data!EJ496,Data!EL496,Data!EN496,Data!EP496,Data!ER496,Data!ET496)</f>
        <v>934</v>
      </c>
      <c r="K495" s="12">
        <f>J495-I495</f>
        <v>435</v>
      </c>
      <c r="L495" s="13">
        <f>IF(I495=0,IF(J495&gt;0,"New",0),(J495-I495)/I495)</f>
        <v>0.87174348697394788</v>
      </c>
      <c r="M495" t="str">
        <f>IF(F495=0,"No 2026 Sales",IF(E495=0,"New Product",IF(AND(ISNUMBER(H495),H495&gt;0.1),"↑ Strong Growth",IF(AND(ISNUMBER(H495),H495&gt;0),"↗ Growth",IF(AND(ISNUMBER(H495),H495&lt;-0.1),"↓ Strong Decline",IF(AND(ISNUMBER(H495),H495&lt;0),"↘ Decline","→ Stable"))))))</f>
        <v>↑ Strong Growth</v>
      </c>
    </row>
    <row r="496" spans="1:13" x14ac:dyDescent="0.35">
      <c r="A496">
        <f>Data!A497</f>
        <v>218</v>
      </c>
      <c r="B496" t="str">
        <f>Data!B497</f>
        <v>BUTCHERY SPICE</v>
      </c>
      <c r="C496" s="9">
        <f>Data!C497</f>
        <v>58340</v>
      </c>
      <c r="D496" s="10" t="s">
        <v>1277</v>
      </c>
      <c r="E496" s="11">
        <f>SUM(Data!I497,Data!K497,Data!M497,Data!O497,Data!Q497,Data!S497,Data!U497,Data!W497,Data!Y497,Data!AA497,Data!AC497,Data!AE497,Data!AG497,Data!AI497,Data!AK497,Data!AM497,Data!AO497,Data!AQ497,Data!AS497)</f>
        <v>3309.7304347826089</v>
      </c>
      <c r="F496" s="11">
        <f>SUM(Data!DI497,Data!DK497,Data!DM497,Data!DO497,Data!DQ497,Data!DS497,Data!DU497,Data!DW497,Data!DY497,Data!EA497,Data!EC497,Data!EE497,Data!EG497,Data!EI497,Data!EK497,Data!EM497,Data!EO497,Data!EQ497,Data!ES497)</f>
        <v>4673.5826086956513</v>
      </c>
      <c r="G496" s="11">
        <f>F496-E496</f>
        <v>1363.8521739130424</v>
      </c>
      <c r="H496" s="13">
        <f>IF(E496=0,IF(F496&gt;0,"New",0),(F496-E496)/E496)</f>
        <v>0.41207349081364797</v>
      </c>
      <c r="I496" s="12">
        <f>SUM(Data!J497,Data!L497,Data!N497,Data!P497,Data!R497,Data!T497,Data!V497,Data!X497,Data!Z497,Data!AB497,Data!AD497,Data!AF497,Data!AH497,Data!AJ497,Data!AL497,Data!AN497,Data!AP497,Data!AR497,Data!AT497)</f>
        <v>381</v>
      </c>
      <c r="J496" s="12">
        <f>SUM(Data!DJ497,Data!DL497,Data!DN497,Data!DP497,Data!DR497,Data!DT497,Data!DV497,Data!DX497,Data!DZ497,Data!EB497,Data!ED497,Data!EF497,Data!EH497,Data!EJ497,Data!EL497,Data!EN497,Data!EP497,Data!ER497,Data!ET497)</f>
        <v>538</v>
      </c>
      <c r="K496" s="12">
        <f>J496-I496</f>
        <v>157</v>
      </c>
      <c r="L496" s="13">
        <f>IF(I496=0,IF(J496&gt;0,"New",0),(J496-I496)/I496)</f>
        <v>0.4120734908136483</v>
      </c>
      <c r="M496" t="str">
        <f>IF(F496=0,"No 2026 Sales",IF(E496=0,"New Product",IF(AND(ISNUMBER(H496),H496&gt;0.1),"↑ Strong Growth",IF(AND(ISNUMBER(H496),H496&gt;0),"↗ Growth",IF(AND(ISNUMBER(H496),H496&lt;-0.1),"↓ Strong Decline",IF(AND(ISNUMBER(H496),H496&lt;0),"↘ Decline","→ Stable"))))))</f>
        <v>↑ Strong Growth</v>
      </c>
    </row>
    <row r="497" spans="1:13" hidden="1" x14ac:dyDescent="0.35">
      <c r="A497">
        <f>Data!A498</f>
        <v>218</v>
      </c>
      <c r="B497" t="str">
        <f>Data!B498</f>
        <v>BUTCHERY SPICE</v>
      </c>
      <c r="C497" s="9">
        <f>Data!C498</f>
        <v>60147</v>
      </c>
      <c r="D497" s="10" t="s">
        <v>1278</v>
      </c>
      <c r="E497" s="11">
        <f>SUM(Data!I498,Data!K498,Data!M498,Data!O498,Data!Q498,Data!S498,Data!U498,Data!W498,Data!Y498,Data!AA498,Data!AC498,Data!AE498,Data!AG498,Data!AI498,Data!AK498,Data!AM498,Data!AO498,Data!AQ498,Data!AS498)</f>
        <v>827.33913043478253</v>
      </c>
      <c r="F497" s="11">
        <f>SUM(Data!DI498,Data!DK498,Data!DM498,Data!DO498,Data!DQ498,Data!DS498,Data!DU498,Data!DW498,Data!DY498,Data!EA498,Data!EC498,Data!EE498,Data!EG498,Data!EI498,Data!EK498,Data!EM498,Data!EO498,Data!EQ498,Data!ES498)</f>
        <v>0</v>
      </c>
      <c r="G497" s="11">
        <f>F497-E497</f>
        <v>-827.33913043478253</v>
      </c>
      <c r="H497">
        <f>IF(E497=0,IF(F497&gt;0,"New",0),(F497-E497)/E497)</f>
        <v>-1</v>
      </c>
      <c r="I497" s="12">
        <f>SUM(Data!J498,Data!L498,Data!N498,Data!P498,Data!R498,Data!T498,Data!V498,Data!X498,Data!Z498,Data!AB498,Data!AD498,Data!AF498,Data!AH498,Data!AJ498,Data!AL498,Data!AN498,Data!AP498,Data!AR498,Data!AT498)</f>
        <v>56</v>
      </c>
      <c r="J497" s="12">
        <f>SUM(Data!DJ498,Data!DL498,Data!DN498,Data!DP498,Data!DR498,Data!DT498,Data!DV498,Data!DX498,Data!DZ498,Data!EB498,Data!ED498,Data!EF498,Data!EH498,Data!EJ498,Data!EL498,Data!EN498,Data!EP498,Data!ER498,Data!ET498)</f>
        <v>0</v>
      </c>
      <c r="K497" s="12">
        <f>J497-I497</f>
        <v>-56</v>
      </c>
      <c r="L497">
        <f>IF(I497=0,IF(J497&gt;0,"New",0),(J497-I497)/I497)</f>
        <v>-1</v>
      </c>
      <c r="M497" t="str">
        <f>IF(F497=0,"No 2026 Sales",IF(E497=0,"New Product",IF(AND(ISNUMBER(H497),H497&gt;0.1),"↑ Strong Growth",IF(AND(ISNUMBER(H497),H497&gt;0),"↗ Growth",IF(AND(ISNUMBER(H497),H497&lt;-0.1),"↓ Strong Decline",IF(AND(ISNUMBER(H497),H497&lt;0),"↘ Decline","→ Stable"))))))</f>
        <v>No 2026 Sales</v>
      </c>
    </row>
    <row r="498" spans="1:13" hidden="1" x14ac:dyDescent="0.35">
      <c r="A498">
        <f>Data!A499</f>
        <v>218</v>
      </c>
      <c r="B498" t="str">
        <f>Data!B499</f>
        <v>BUTCHERY SPICE</v>
      </c>
      <c r="C498" s="9">
        <f>Data!C499</f>
        <v>60213</v>
      </c>
      <c r="D498" s="10" t="s">
        <v>1279</v>
      </c>
      <c r="E498" s="11">
        <f>SUM(Data!I499,Data!K499,Data!M499,Data!O499,Data!Q499,Data!S499,Data!U499,Data!W499,Data!Y499,Data!AA499,Data!AC499,Data!AE499,Data!AG499,Data!AI499,Data!AK499,Data!AM499,Data!AO499,Data!AQ499,Data!AS499)</f>
        <v>176.46086956521731</v>
      </c>
      <c r="F498" s="11">
        <f>SUM(Data!DI499,Data!DK499,Data!DM499,Data!DO499,Data!DQ499,Data!DS499,Data!DU499,Data!DW499,Data!DY499,Data!EA499,Data!EC499,Data!EE499,Data!EG499,Data!EI499,Data!EK499,Data!EM499,Data!EO499,Data!EQ499,Data!ES499)</f>
        <v>0</v>
      </c>
      <c r="G498" s="11">
        <f>F498-E498</f>
        <v>-176.46086956521731</v>
      </c>
      <c r="H498">
        <f>IF(E498=0,IF(F498&gt;0,"New",0),(F498-E498)/E498)</f>
        <v>-1</v>
      </c>
      <c r="I498" s="12">
        <f>SUM(Data!J499,Data!L499,Data!N499,Data!P499,Data!R499,Data!T499,Data!V499,Data!X499,Data!Z499,Data!AB499,Data!AD499,Data!AF499,Data!AH499,Data!AJ499,Data!AL499,Data!AN499,Data!AP499,Data!AR499,Data!AT499)</f>
        <v>7</v>
      </c>
      <c r="J498" s="12">
        <f>SUM(Data!DJ499,Data!DL499,Data!DN499,Data!DP499,Data!DR499,Data!DT499,Data!DV499,Data!DX499,Data!DZ499,Data!EB499,Data!ED499,Data!EF499,Data!EH499,Data!EJ499,Data!EL499,Data!EN499,Data!EP499,Data!ER499,Data!ET499)</f>
        <v>0</v>
      </c>
      <c r="K498" s="12">
        <f>J498-I498</f>
        <v>-7</v>
      </c>
      <c r="L498">
        <f>IF(I498=0,IF(J498&gt;0,"New",0),(J498-I498)/I498)</f>
        <v>-1</v>
      </c>
      <c r="M498" t="str">
        <f>IF(F498=0,"No 2026 Sales",IF(E498=0,"New Product",IF(AND(ISNUMBER(H498),H498&gt;0.1),"↑ Strong Growth",IF(AND(ISNUMBER(H498),H498&gt;0),"↗ Growth",IF(AND(ISNUMBER(H498),H498&lt;-0.1),"↓ Strong Decline",IF(AND(ISNUMBER(H498),H498&lt;0),"↘ Decline","→ Stable"))))))</f>
        <v>No 2026 Sales</v>
      </c>
    </row>
    <row r="499" spans="1:13" hidden="1" x14ac:dyDescent="0.35">
      <c r="A499">
        <f>Data!A500</f>
        <v>218</v>
      </c>
      <c r="B499" t="str">
        <f>Data!B500</f>
        <v>BUTCHERY SPICE</v>
      </c>
      <c r="C499" s="9">
        <f>Data!C500</f>
        <v>60952</v>
      </c>
      <c r="D499" s="10" t="s">
        <v>1280</v>
      </c>
      <c r="E499" s="11">
        <f>SUM(Data!I500,Data!K500,Data!M500,Data!O500,Data!Q500,Data!S500,Data!U500,Data!W500,Data!Y500,Data!AA500,Data!AC500,Data!AE500,Data!AG500,Data!AI500,Data!AK500,Data!AM500,Data!AO500,Data!AQ500,Data!AS500)</f>
        <v>0</v>
      </c>
      <c r="F499" s="11">
        <f>SUM(Data!DI500,Data!DK500,Data!DM500,Data!DO500,Data!DQ500,Data!DS500,Data!DU500,Data!DW500,Data!DY500,Data!EA500,Data!EC500,Data!EE500,Data!EG500,Data!EI500,Data!EK500,Data!EM500,Data!EO500,Data!EQ500,Data!ES500)</f>
        <v>0</v>
      </c>
      <c r="G499" s="11">
        <f>F499-E499</f>
        <v>0</v>
      </c>
      <c r="H499">
        <f>IF(E499=0,IF(F499&gt;0,"New",0),(F499-E499)/E499)</f>
        <v>0</v>
      </c>
      <c r="I499" s="12">
        <f>SUM(Data!J500,Data!L500,Data!N500,Data!P500,Data!R500,Data!T500,Data!V500,Data!X500,Data!Z500,Data!AB500,Data!AD500,Data!AF500,Data!AH500,Data!AJ500,Data!AL500,Data!AN500,Data!AP500,Data!AR500,Data!AT500)</f>
        <v>0</v>
      </c>
      <c r="J499" s="12">
        <f>SUM(Data!DJ500,Data!DL500,Data!DN500,Data!DP500,Data!DR500,Data!DT500,Data!DV500,Data!DX500,Data!DZ500,Data!EB500,Data!ED500,Data!EF500,Data!EH500,Data!EJ500,Data!EL500,Data!EN500,Data!EP500,Data!ER500,Data!ET500)</f>
        <v>0</v>
      </c>
      <c r="K499" s="12">
        <f>J499-I499</f>
        <v>0</v>
      </c>
      <c r="L499">
        <f>IF(I499=0,IF(J499&gt;0,"New",0),(J499-I499)/I499)</f>
        <v>0</v>
      </c>
      <c r="M499" t="str">
        <f>IF(F499=0,"No 2026 Sales",IF(E499=0,"New Product",IF(AND(ISNUMBER(H499),H499&gt;0.1),"↑ Strong Growth",IF(AND(ISNUMBER(H499),H499&gt;0),"↗ Growth",IF(AND(ISNUMBER(H499),H499&lt;-0.1),"↓ Strong Decline",IF(AND(ISNUMBER(H499),H499&lt;0),"↘ Decline","→ Stable"))))))</f>
        <v>No 2026 Sales</v>
      </c>
    </row>
    <row r="500" spans="1:13" hidden="1" x14ac:dyDescent="0.35">
      <c r="A500">
        <f>Data!A501</f>
        <v>218</v>
      </c>
      <c r="B500" t="str">
        <f>Data!B501</f>
        <v>BUTCHERY SPICE</v>
      </c>
      <c r="C500" s="9">
        <f>Data!C501</f>
        <v>60953</v>
      </c>
      <c r="D500" s="10" t="s">
        <v>1281</v>
      </c>
      <c r="E500" s="11">
        <f>SUM(Data!I501,Data!K501,Data!M501,Data!O501,Data!Q501,Data!S501,Data!U501,Data!W501,Data!Y501,Data!AA501,Data!AC501,Data!AE501,Data!AG501,Data!AI501,Data!AK501,Data!AM501,Data!AO501,Data!AQ501,Data!AS501)</f>
        <v>0</v>
      </c>
      <c r="F500" s="11">
        <f>SUM(Data!DI501,Data!DK501,Data!DM501,Data!DO501,Data!DQ501,Data!DS501,Data!DU501,Data!DW501,Data!DY501,Data!EA501,Data!EC501,Data!EE501,Data!EG501,Data!EI501,Data!EK501,Data!EM501,Data!EO501,Data!EQ501,Data!ES501)</f>
        <v>0</v>
      </c>
      <c r="G500" s="11">
        <f>F500-E500</f>
        <v>0</v>
      </c>
      <c r="H500">
        <f>IF(E500=0,IF(F500&gt;0,"New",0),(F500-E500)/E500)</f>
        <v>0</v>
      </c>
      <c r="I500" s="12">
        <f>SUM(Data!J501,Data!L501,Data!N501,Data!P501,Data!R501,Data!T501,Data!V501,Data!X501,Data!Z501,Data!AB501,Data!AD501,Data!AF501,Data!AH501,Data!AJ501,Data!AL501,Data!AN501,Data!AP501,Data!AR501,Data!AT501)</f>
        <v>0</v>
      </c>
      <c r="J500" s="12">
        <f>SUM(Data!DJ501,Data!DL501,Data!DN501,Data!DP501,Data!DR501,Data!DT501,Data!DV501,Data!DX501,Data!DZ501,Data!EB501,Data!ED501,Data!EF501,Data!EH501,Data!EJ501,Data!EL501,Data!EN501,Data!EP501,Data!ER501,Data!ET501)</f>
        <v>0</v>
      </c>
      <c r="K500" s="12">
        <f>J500-I500</f>
        <v>0</v>
      </c>
      <c r="L500">
        <f>IF(I500=0,IF(J500&gt;0,"New",0),(J500-I500)/I500)</f>
        <v>0</v>
      </c>
      <c r="M500" t="str">
        <f>IF(F500=0,"No 2026 Sales",IF(E500=0,"New Product",IF(AND(ISNUMBER(H500),H500&gt;0.1),"↑ Strong Growth",IF(AND(ISNUMBER(H500),H500&gt;0),"↗ Growth",IF(AND(ISNUMBER(H500),H500&lt;-0.1),"↓ Strong Decline",IF(AND(ISNUMBER(H500),H500&lt;0),"↘ Decline","→ Stable"))))))</f>
        <v>No 2026 Sales</v>
      </c>
    </row>
    <row r="501" spans="1:13" hidden="1" x14ac:dyDescent="0.35">
      <c r="A501">
        <f>Data!A502</f>
        <v>218</v>
      </c>
      <c r="B501" t="str">
        <f>Data!B502</f>
        <v>BUTCHERY SPICE</v>
      </c>
      <c r="C501" s="9">
        <f>Data!C502</f>
        <v>61010</v>
      </c>
      <c r="D501" s="10" t="s">
        <v>1282</v>
      </c>
      <c r="E501" s="11">
        <f>SUM(Data!I502,Data!K502,Data!M502,Data!O502,Data!Q502,Data!S502,Data!U502,Data!W502,Data!Y502,Data!AA502,Data!AC502,Data!AE502,Data!AG502,Data!AI502,Data!AK502,Data!AM502,Data!AO502,Data!AQ502,Data!AS502)</f>
        <v>1085.8695652173922</v>
      </c>
      <c r="F501" s="11">
        <f>SUM(Data!DI502,Data!DK502,Data!DM502,Data!DO502,Data!DQ502,Data!DS502,Data!DU502,Data!DW502,Data!DY502,Data!EA502,Data!EC502,Data!EE502,Data!EG502,Data!EI502,Data!EK502,Data!EM502,Data!EO502,Data!EQ502,Data!ES502)</f>
        <v>0</v>
      </c>
      <c r="G501" s="11">
        <f>F501-E501</f>
        <v>-1085.8695652173922</v>
      </c>
      <c r="H501">
        <f>IF(E501=0,IF(F501&gt;0,"New",0),(F501-E501)/E501)</f>
        <v>-1</v>
      </c>
      <c r="I501" s="12">
        <f>SUM(Data!J502,Data!L502,Data!N502,Data!P502,Data!R502,Data!T502,Data!V502,Data!X502,Data!Z502,Data!AB502,Data!AD502,Data!AF502,Data!AH502,Data!AJ502,Data!AL502,Data!AN502,Data!AP502,Data!AR502,Data!AT502)</f>
        <v>125</v>
      </c>
      <c r="J501" s="12">
        <f>SUM(Data!DJ502,Data!DL502,Data!DN502,Data!DP502,Data!DR502,Data!DT502,Data!DV502,Data!DX502,Data!DZ502,Data!EB502,Data!ED502,Data!EF502,Data!EH502,Data!EJ502,Data!EL502,Data!EN502,Data!EP502,Data!ER502,Data!ET502)</f>
        <v>0</v>
      </c>
      <c r="K501" s="12">
        <f>J501-I501</f>
        <v>-125</v>
      </c>
      <c r="L501">
        <f>IF(I501=0,IF(J501&gt;0,"New",0),(J501-I501)/I501)</f>
        <v>-1</v>
      </c>
      <c r="M501" t="str">
        <f>IF(F501=0,"No 2026 Sales",IF(E501=0,"New Product",IF(AND(ISNUMBER(H501),H501&gt;0.1),"↑ Strong Growth",IF(AND(ISNUMBER(H501),H501&gt;0),"↗ Growth",IF(AND(ISNUMBER(H501),H501&lt;-0.1),"↓ Strong Decline",IF(AND(ISNUMBER(H501),H501&lt;0),"↘ Decline","→ Stable"))))))</f>
        <v>No 2026 Sales</v>
      </c>
    </row>
    <row r="502" spans="1:13" x14ac:dyDescent="0.35">
      <c r="A502">
        <f>Data!A503</f>
        <v>218</v>
      </c>
      <c r="B502" t="str">
        <f>Data!B503</f>
        <v>BUTCHERY SPICE</v>
      </c>
      <c r="C502" s="9">
        <f>Data!C503</f>
        <v>61011</v>
      </c>
      <c r="D502" s="10" t="s">
        <v>1283</v>
      </c>
      <c r="E502" s="11">
        <f>SUM(Data!I503,Data!K503,Data!M503,Data!O503,Data!Q503,Data!S503,Data!U503,Data!W503,Data!Y503,Data!AA503,Data!AC503,Data!AE503,Data!AG503,Data!AI503,Data!AK503,Data!AM503,Data!AO503,Data!AQ503,Data!AS503)</f>
        <v>373.82608695652232</v>
      </c>
      <c r="F502" s="11">
        <f>SUM(Data!DI503,Data!DK503,Data!DM503,Data!DO503,Data!DQ503,Data!DS503,Data!DU503,Data!DW503,Data!DY503,Data!EA503,Data!EC503,Data!EE503,Data!EG503,Data!EI503,Data!EK503,Data!EM503,Data!EO503,Data!EQ503,Data!ES503)</f>
        <v>130.39130434782609</v>
      </c>
      <c r="G502" s="11">
        <f>F502-E502</f>
        <v>-243.43478260869622</v>
      </c>
      <c r="H502" s="13">
        <f>IF(E502=0,IF(F502&gt;0,"New",0),(F502-E502)/E502)</f>
        <v>-0.65119795301232897</v>
      </c>
      <c r="I502" s="12">
        <f>SUM(Data!J503,Data!L503,Data!N503,Data!P503,Data!R503,Data!T503,Data!V503,Data!X503,Data!Z503,Data!AB503,Data!AD503,Data!AF503,Data!AH503,Data!AJ503,Data!AL503,Data!AN503,Data!AP503,Data!AR503,Data!AT503)</f>
        <v>10</v>
      </c>
      <c r="J502" s="12">
        <f>SUM(Data!DJ503,Data!DL503,Data!DN503,Data!DP503,Data!DR503,Data!DT503,Data!DV503,Data!DX503,Data!DZ503,Data!EB503,Data!ED503,Data!EF503,Data!EH503,Data!EJ503,Data!EL503,Data!EN503,Data!EP503,Data!ER503,Data!ET503)</f>
        <v>5</v>
      </c>
      <c r="K502" s="12">
        <f>J502-I502</f>
        <v>-5</v>
      </c>
      <c r="L502" s="13">
        <f>IF(I502=0,IF(J502&gt;0,"New",0),(J502-I502)/I502)</f>
        <v>-0.5</v>
      </c>
      <c r="M502" t="str">
        <f>IF(F502=0,"No 2026 Sales",IF(E502=0,"New Product",IF(AND(ISNUMBER(H502),H502&gt;0.1),"↑ Strong Growth",IF(AND(ISNUMBER(H502),H502&gt;0),"↗ Growth",IF(AND(ISNUMBER(H502),H502&lt;-0.1),"↓ Strong Decline",IF(AND(ISNUMBER(H502),H502&lt;0),"↘ Decline","→ Stable"))))))</f>
        <v>↓ Strong Decline</v>
      </c>
    </row>
    <row r="503" spans="1:13" hidden="1" x14ac:dyDescent="0.35">
      <c r="A503">
        <f>Data!A504</f>
        <v>218</v>
      </c>
      <c r="B503" t="str">
        <f>Data!B504</f>
        <v>BUTCHERY SPICE</v>
      </c>
      <c r="C503" s="9">
        <f>Data!C504</f>
        <v>62144</v>
      </c>
      <c r="D503" s="10" t="s">
        <v>1284</v>
      </c>
      <c r="E503" s="11">
        <f>SUM(Data!I504,Data!K504,Data!M504,Data!O504,Data!Q504,Data!S504,Data!U504,Data!W504,Data!Y504,Data!AA504,Data!AC504,Data!AE504,Data!AG504,Data!AI504,Data!AK504,Data!AM504,Data!AO504,Data!AQ504,Data!AS504)</f>
        <v>0</v>
      </c>
      <c r="F503" s="11">
        <f>SUM(Data!DI504,Data!DK504,Data!DM504,Data!DO504,Data!DQ504,Data!DS504,Data!DU504,Data!DW504,Data!DY504,Data!EA504,Data!EC504,Data!EE504,Data!EG504,Data!EI504,Data!EK504,Data!EM504,Data!EO504,Data!EQ504,Data!ES504)</f>
        <v>0</v>
      </c>
      <c r="G503" s="11">
        <f>F503-E503</f>
        <v>0</v>
      </c>
      <c r="H503">
        <f>IF(E503=0,IF(F503&gt;0,"New",0),(F503-E503)/E503)</f>
        <v>0</v>
      </c>
      <c r="I503" s="12">
        <f>SUM(Data!J504,Data!L504,Data!N504,Data!P504,Data!R504,Data!T504,Data!V504,Data!X504,Data!Z504,Data!AB504,Data!AD504,Data!AF504,Data!AH504,Data!AJ504,Data!AL504,Data!AN504,Data!AP504,Data!AR504,Data!AT504)</f>
        <v>0</v>
      </c>
      <c r="J503" s="12">
        <f>SUM(Data!DJ504,Data!DL504,Data!DN504,Data!DP504,Data!DR504,Data!DT504,Data!DV504,Data!DX504,Data!DZ504,Data!EB504,Data!ED504,Data!EF504,Data!EH504,Data!EJ504,Data!EL504,Data!EN504,Data!EP504,Data!ER504,Data!ET504)</f>
        <v>0</v>
      </c>
      <c r="K503" s="12">
        <f>J503-I503</f>
        <v>0</v>
      </c>
      <c r="L503">
        <f>IF(I503=0,IF(J503&gt;0,"New",0),(J503-I503)/I503)</f>
        <v>0</v>
      </c>
      <c r="M503" t="str">
        <f>IF(F503=0,"No 2026 Sales",IF(E503=0,"New Product",IF(AND(ISNUMBER(H503),H503&gt;0.1),"↑ Strong Growth",IF(AND(ISNUMBER(H503),H503&gt;0),"↗ Growth",IF(AND(ISNUMBER(H503),H503&lt;-0.1),"↓ Strong Decline",IF(AND(ISNUMBER(H503),H503&lt;0),"↘ Decline","→ Stable"))))))</f>
        <v>No 2026 Sales</v>
      </c>
    </row>
    <row r="504" spans="1:13" hidden="1" x14ac:dyDescent="0.35">
      <c r="A504">
        <f>Data!A505</f>
        <v>218</v>
      </c>
      <c r="B504" t="str">
        <f>Data!B505</f>
        <v>BUTCHERY SPICE</v>
      </c>
      <c r="C504" s="9">
        <f>Data!C505</f>
        <v>62862</v>
      </c>
      <c r="D504" s="10" t="s">
        <v>1285</v>
      </c>
      <c r="E504" s="11">
        <f>SUM(Data!I505,Data!K505,Data!M505,Data!O505,Data!Q505,Data!S505,Data!U505,Data!W505,Data!Y505,Data!AA505,Data!AC505,Data!AE505,Data!AG505,Data!AI505,Data!AK505,Data!AM505,Data!AO505,Data!AQ505,Data!AS505)</f>
        <v>0</v>
      </c>
      <c r="F504" s="11">
        <f>SUM(Data!DI505,Data!DK505,Data!DM505,Data!DO505,Data!DQ505,Data!DS505,Data!DU505,Data!DW505,Data!DY505,Data!EA505,Data!EC505,Data!EE505,Data!EG505,Data!EI505,Data!EK505,Data!EM505,Data!EO505,Data!EQ505,Data!ES505)</f>
        <v>0</v>
      </c>
      <c r="G504" s="11">
        <f>F504-E504</f>
        <v>0</v>
      </c>
      <c r="H504">
        <f>IF(E504=0,IF(F504&gt;0,"New",0),(F504-E504)/E504)</f>
        <v>0</v>
      </c>
      <c r="I504" s="12">
        <f>SUM(Data!J505,Data!L505,Data!N505,Data!P505,Data!R505,Data!T505,Data!V505,Data!X505,Data!Z505,Data!AB505,Data!AD505,Data!AF505,Data!AH505,Data!AJ505,Data!AL505,Data!AN505,Data!AP505,Data!AR505,Data!AT505)</f>
        <v>0</v>
      </c>
      <c r="J504" s="12">
        <f>SUM(Data!DJ505,Data!DL505,Data!DN505,Data!DP505,Data!DR505,Data!DT505,Data!DV505,Data!DX505,Data!DZ505,Data!EB505,Data!ED505,Data!EF505,Data!EH505,Data!EJ505,Data!EL505,Data!EN505,Data!EP505,Data!ER505,Data!ET505)</f>
        <v>0</v>
      </c>
      <c r="K504" s="12">
        <f>J504-I504</f>
        <v>0</v>
      </c>
      <c r="L504">
        <f>IF(I504=0,IF(J504&gt;0,"New",0),(J504-I504)/I504)</f>
        <v>0</v>
      </c>
      <c r="M504" t="str">
        <f>IF(F504=0,"No 2026 Sales",IF(E504=0,"New Product",IF(AND(ISNUMBER(H504),H504&gt;0.1),"↑ Strong Growth",IF(AND(ISNUMBER(H504),H504&gt;0),"↗ Growth",IF(AND(ISNUMBER(H504),H504&lt;-0.1),"↓ Strong Decline",IF(AND(ISNUMBER(H504),H504&lt;0),"↘ Decline","→ Stable"))))))</f>
        <v>No 2026 Sales</v>
      </c>
    </row>
    <row r="505" spans="1:13" hidden="1" x14ac:dyDescent="0.35">
      <c r="A505">
        <f>Data!A506</f>
        <v>218</v>
      </c>
      <c r="B505" t="str">
        <f>Data!B506</f>
        <v>BUTCHERY SPICE</v>
      </c>
      <c r="C505" s="9">
        <f>Data!C506</f>
        <v>62863</v>
      </c>
      <c r="D505" s="10" t="s">
        <v>1286</v>
      </c>
      <c r="E505" s="11">
        <f>SUM(Data!I506,Data!K506,Data!M506,Data!O506,Data!Q506,Data!S506,Data!U506,Data!W506,Data!Y506,Data!AA506,Data!AC506,Data!AE506,Data!AG506,Data!AI506,Data!AK506,Data!AM506,Data!AO506,Data!AQ506,Data!AS506)</f>
        <v>0</v>
      </c>
      <c r="F505" s="11">
        <f>SUM(Data!DI506,Data!DK506,Data!DM506,Data!DO506,Data!DQ506,Data!DS506,Data!DU506,Data!DW506,Data!DY506,Data!EA506,Data!EC506,Data!EE506,Data!EG506,Data!EI506,Data!EK506,Data!EM506,Data!EO506,Data!EQ506,Data!ES506)</f>
        <v>0</v>
      </c>
      <c r="G505" s="11">
        <f>F505-E505</f>
        <v>0</v>
      </c>
      <c r="H505">
        <f>IF(E505=0,IF(F505&gt;0,"New",0),(F505-E505)/E505)</f>
        <v>0</v>
      </c>
      <c r="I505" s="12">
        <f>SUM(Data!J506,Data!L506,Data!N506,Data!P506,Data!R506,Data!T506,Data!V506,Data!X506,Data!Z506,Data!AB506,Data!AD506,Data!AF506,Data!AH506,Data!AJ506,Data!AL506,Data!AN506,Data!AP506,Data!AR506,Data!AT506)</f>
        <v>0</v>
      </c>
      <c r="J505" s="12">
        <f>SUM(Data!DJ506,Data!DL506,Data!DN506,Data!DP506,Data!DR506,Data!DT506,Data!DV506,Data!DX506,Data!DZ506,Data!EB506,Data!ED506,Data!EF506,Data!EH506,Data!EJ506,Data!EL506,Data!EN506,Data!EP506,Data!ER506,Data!ET506)</f>
        <v>0</v>
      </c>
      <c r="K505" s="12">
        <f>J505-I505</f>
        <v>0</v>
      </c>
      <c r="L505">
        <f>IF(I505=0,IF(J505&gt;0,"New",0),(J505-I505)/I505)</f>
        <v>0</v>
      </c>
      <c r="M505" t="str">
        <f>IF(F505=0,"No 2026 Sales",IF(E505=0,"New Product",IF(AND(ISNUMBER(H505),H505&gt;0.1),"↑ Strong Growth",IF(AND(ISNUMBER(H505),H505&gt;0),"↗ Growth",IF(AND(ISNUMBER(H505),H505&lt;-0.1),"↓ Strong Decline",IF(AND(ISNUMBER(H505),H505&lt;0),"↘ Decline","→ Stable"))))))</f>
        <v>No 2026 Sales</v>
      </c>
    </row>
    <row r="506" spans="1:13" hidden="1" x14ac:dyDescent="0.35">
      <c r="A506">
        <f>Data!A507</f>
        <v>218</v>
      </c>
      <c r="B506" t="str">
        <f>Data!B507</f>
        <v>BUTCHERY SPICE</v>
      </c>
      <c r="C506" s="9">
        <f>Data!C507</f>
        <v>64013</v>
      </c>
      <c r="D506" s="10" t="s">
        <v>1287</v>
      </c>
      <c r="E506" s="11">
        <f>SUM(Data!I507,Data!K507,Data!M507,Data!O507,Data!Q507,Data!S507,Data!U507,Data!W507,Data!Y507,Data!AA507,Data!AC507,Data!AE507,Data!AG507,Data!AI507,Data!AK507,Data!AM507,Data!AO507,Data!AQ507,Data!AS507)</f>
        <v>0</v>
      </c>
      <c r="F506" s="11">
        <f>SUM(Data!DI507,Data!DK507,Data!DM507,Data!DO507,Data!DQ507,Data!DS507,Data!DU507,Data!DW507,Data!DY507,Data!EA507,Data!EC507,Data!EE507,Data!EG507,Data!EI507,Data!EK507,Data!EM507,Data!EO507,Data!EQ507,Data!ES507)</f>
        <v>0</v>
      </c>
      <c r="G506" s="11">
        <f>F506-E506</f>
        <v>0</v>
      </c>
      <c r="H506">
        <f>IF(E506=0,IF(F506&gt;0,"New",0),(F506-E506)/E506)</f>
        <v>0</v>
      </c>
      <c r="I506" s="12">
        <f>SUM(Data!J507,Data!L507,Data!N507,Data!P507,Data!R507,Data!T507,Data!V507,Data!X507,Data!Z507,Data!AB507,Data!AD507,Data!AF507,Data!AH507,Data!AJ507,Data!AL507,Data!AN507,Data!AP507,Data!AR507,Data!AT507)</f>
        <v>0</v>
      </c>
      <c r="J506" s="12">
        <f>SUM(Data!DJ507,Data!DL507,Data!DN507,Data!DP507,Data!DR507,Data!DT507,Data!DV507,Data!DX507,Data!DZ507,Data!EB507,Data!ED507,Data!EF507,Data!EH507,Data!EJ507,Data!EL507,Data!EN507,Data!EP507,Data!ER507,Data!ET507)</f>
        <v>0</v>
      </c>
      <c r="K506" s="12">
        <f>J506-I506</f>
        <v>0</v>
      </c>
      <c r="L506">
        <f>IF(I506=0,IF(J506&gt;0,"New",0),(J506-I506)/I506)</f>
        <v>0</v>
      </c>
      <c r="M506" t="str">
        <f>IF(F506=0,"No 2026 Sales",IF(E506=0,"New Product",IF(AND(ISNUMBER(H506),H506&gt;0.1),"↑ Strong Growth",IF(AND(ISNUMBER(H506),H506&gt;0),"↗ Growth",IF(AND(ISNUMBER(H506),H506&lt;-0.1),"↓ Strong Decline",IF(AND(ISNUMBER(H506),H506&lt;0),"↘ Decline","→ Stable"))))))</f>
        <v>No 2026 Sales</v>
      </c>
    </row>
    <row r="507" spans="1:13" hidden="1" x14ac:dyDescent="0.35">
      <c r="A507">
        <f>Data!A508</f>
        <v>218</v>
      </c>
      <c r="B507" t="str">
        <f>Data!B508</f>
        <v>BUTCHERY SPICE</v>
      </c>
      <c r="C507" s="9">
        <f>Data!C508</f>
        <v>64640</v>
      </c>
      <c r="D507" s="10" t="s">
        <v>1288</v>
      </c>
      <c r="E507" s="11">
        <f>SUM(Data!I508,Data!K508,Data!M508,Data!O508,Data!Q508,Data!S508,Data!U508,Data!W508,Data!Y508,Data!AA508,Data!AC508,Data!AE508,Data!AG508,Data!AI508,Data!AK508,Data!AM508,Data!AO508,Data!AQ508,Data!AS508)</f>
        <v>0</v>
      </c>
      <c r="F507" s="11">
        <f>SUM(Data!DI508,Data!DK508,Data!DM508,Data!DO508,Data!DQ508,Data!DS508,Data!DU508,Data!DW508,Data!DY508,Data!EA508,Data!EC508,Data!EE508,Data!EG508,Data!EI508,Data!EK508,Data!EM508,Data!EO508,Data!EQ508,Data!ES508)</f>
        <v>0</v>
      </c>
      <c r="G507" s="11">
        <f>F507-E507</f>
        <v>0</v>
      </c>
      <c r="H507">
        <f>IF(E507=0,IF(F507&gt;0,"New",0),(F507-E507)/E507)</f>
        <v>0</v>
      </c>
      <c r="I507" s="12">
        <f>SUM(Data!J508,Data!L508,Data!N508,Data!P508,Data!R508,Data!T508,Data!V508,Data!X508,Data!Z508,Data!AB508,Data!AD508,Data!AF508,Data!AH508,Data!AJ508,Data!AL508,Data!AN508,Data!AP508,Data!AR508,Data!AT508)</f>
        <v>0</v>
      </c>
      <c r="J507" s="12">
        <f>SUM(Data!DJ508,Data!DL508,Data!DN508,Data!DP508,Data!DR508,Data!DT508,Data!DV508,Data!DX508,Data!DZ508,Data!EB508,Data!ED508,Data!EF508,Data!EH508,Data!EJ508,Data!EL508,Data!EN508,Data!EP508,Data!ER508,Data!ET508)</f>
        <v>0</v>
      </c>
      <c r="K507" s="12">
        <f>J507-I507</f>
        <v>0</v>
      </c>
      <c r="L507">
        <f>IF(I507=0,IF(J507&gt;0,"New",0),(J507-I507)/I507)</f>
        <v>0</v>
      </c>
      <c r="M507" t="str">
        <f>IF(F507=0,"No 2026 Sales",IF(E507=0,"New Product",IF(AND(ISNUMBER(H507),H507&gt;0.1),"↑ Strong Growth",IF(AND(ISNUMBER(H507),H507&gt;0),"↗ Growth",IF(AND(ISNUMBER(H507),H507&lt;-0.1),"↓ Strong Decline",IF(AND(ISNUMBER(H507),H507&lt;0),"↘ Decline","→ Stable"))))))</f>
        <v>No 2026 Sales</v>
      </c>
    </row>
    <row r="508" spans="1:13" x14ac:dyDescent="0.35">
      <c r="A508">
        <f>Data!A509</f>
        <v>218</v>
      </c>
      <c r="B508" t="str">
        <f>Data!B509</f>
        <v>BUTCHERY SPICE</v>
      </c>
      <c r="C508" s="9">
        <f>Data!C509</f>
        <v>64641</v>
      </c>
      <c r="D508" s="10" t="s">
        <v>1289</v>
      </c>
      <c r="E508" s="11">
        <f>SUM(Data!I509,Data!K509,Data!M509,Data!O509,Data!Q509,Data!S509,Data!U509,Data!W509,Data!Y509,Data!AA509,Data!AC509,Data!AE509,Data!AG509,Data!AI509,Data!AK509,Data!AM509,Data!AO509,Data!AQ509,Data!AS509)</f>
        <v>0</v>
      </c>
      <c r="F508" s="11">
        <f>SUM(Data!DI509,Data!DK509,Data!DM509,Data!DO509,Data!DQ509,Data!DS509,Data!DU509,Data!DW509,Data!DY509,Data!EA509,Data!EC509,Data!EE509,Data!EG509,Data!EI509,Data!EK509,Data!EM509,Data!EO509,Data!EQ509,Data!ES509)</f>
        <v>40</v>
      </c>
      <c r="G508" s="11">
        <f>F508-E508</f>
        <v>40</v>
      </c>
      <c r="H508" s="13" t="str">
        <f>IF(E508=0,IF(F508&gt;0,"New",0),(F508-E508)/E508)</f>
        <v>New</v>
      </c>
      <c r="I508" s="12">
        <f>SUM(Data!J509,Data!L509,Data!N509,Data!P509,Data!R509,Data!T509,Data!V509,Data!X509,Data!Z509,Data!AB509,Data!AD509,Data!AF509,Data!AH509,Data!AJ509,Data!AL509,Data!AN509,Data!AP509,Data!AR509,Data!AT509)</f>
        <v>0</v>
      </c>
      <c r="J508" s="12">
        <f>SUM(Data!DJ509,Data!DL509,Data!DN509,Data!DP509,Data!DR509,Data!DT509,Data!DV509,Data!DX509,Data!DZ509,Data!EB509,Data!ED509,Data!EF509,Data!EH509,Data!EJ509,Data!EL509,Data!EN509,Data!EP509,Data!ER509,Data!ET509)</f>
        <v>0.23</v>
      </c>
      <c r="K508" s="12">
        <f>J508-I508</f>
        <v>0.23</v>
      </c>
      <c r="L508" s="13" t="str">
        <f>IF(I508=0,IF(J508&gt;0,"New",0),(J508-I508)/I508)</f>
        <v>New</v>
      </c>
      <c r="M508" t="str">
        <f>IF(F508=0,"No 2026 Sales",IF(E508=0,"New Product",IF(AND(ISNUMBER(H508),H508&gt;0.1),"↑ Strong Growth",IF(AND(ISNUMBER(H508),H508&gt;0),"↗ Growth",IF(AND(ISNUMBER(H508),H508&lt;-0.1),"↓ Strong Decline",IF(AND(ISNUMBER(H508),H508&lt;0),"↘ Decline","→ Stable"))))))</f>
        <v>New Product</v>
      </c>
    </row>
    <row r="509" spans="1:13" hidden="1" x14ac:dyDescent="0.35">
      <c r="A509">
        <f>Data!A510</f>
        <v>218</v>
      </c>
      <c r="B509" t="str">
        <f>Data!B510</f>
        <v>BUTCHERY SPICE</v>
      </c>
      <c r="C509" s="9">
        <f>Data!C510</f>
        <v>64642</v>
      </c>
      <c r="D509" s="10" t="s">
        <v>1290</v>
      </c>
      <c r="E509" s="11">
        <f>SUM(Data!I510,Data!K510,Data!M510,Data!O510,Data!Q510,Data!S510,Data!U510,Data!W510,Data!Y510,Data!AA510,Data!AC510,Data!AE510,Data!AG510,Data!AI510,Data!AK510,Data!AM510,Data!AO510,Data!AQ510,Data!AS510)</f>
        <v>0</v>
      </c>
      <c r="F509" s="11">
        <f>SUM(Data!DI510,Data!DK510,Data!DM510,Data!DO510,Data!DQ510,Data!DS510,Data!DU510,Data!DW510,Data!DY510,Data!EA510,Data!EC510,Data!EE510,Data!EG510,Data!EI510,Data!EK510,Data!EM510,Data!EO510,Data!EQ510,Data!ES510)</f>
        <v>0</v>
      </c>
      <c r="G509" s="11">
        <f>F509-E509</f>
        <v>0</v>
      </c>
      <c r="H509">
        <f>IF(E509=0,IF(F509&gt;0,"New",0),(F509-E509)/E509)</f>
        <v>0</v>
      </c>
      <c r="I509" s="12">
        <f>SUM(Data!J510,Data!L510,Data!N510,Data!P510,Data!R510,Data!T510,Data!V510,Data!X510,Data!Z510,Data!AB510,Data!AD510,Data!AF510,Data!AH510,Data!AJ510,Data!AL510,Data!AN510,Data!AP510,Data!AR510,Data!AT510)</f>
        <v>0</v>
      </c>
      <c r="J509" s="12">
        <f>SUM(Data!DJ510,Data!DL510,Data!DN510,Data!DP510,Data!DR510,Data!DT510,Data!DV510,Data!DX510,Data!DZ510,Data!EB510,Data!ED510,Data!EF510,Data!EH510,Data!EJ510,Data!EL510,Data!EN510,Data!EP510,Data!ER510,Data!ET510)</f>
        <v>0</v>
      </c>
      <c r="K509" s="12">
        <f>J509-I509</f>
        <v>0</v>
      </c>
      <c r="L509">
        <f>IF(I509=0,IF(J509&gt;0,"New",0),(J509-I509)/I509)</f>
        <v>0</v>
      </c>
      <c r="M509" t="str">
        <f>IF(F509=0,"No 2026 Sales",IF(E509=0,"New Product",IF(AND(ISNUMBER(H509),H509&gt;0.1),"↑ Strong Growth",IF(AND(ISNUMBER(H509),H509&gt;0),"↗ Growth",IF(AND(ISNUMBER(H509),H509&lt;-0.1),"↓ Strong Decline",IF(AND(ISNUMBER(H509),H509&lt;0),"↘ Decline","→ Stable"))))))</f>
        <v>No 2026 Sales</v>
      </c>
    </row>
    <row r="510" spans="1:13" x14ac:dyDescent="0.35">
      <c r="A510">
        <f>Data!A511</f>
        <v>218</v>
      </c>
      <c r="B510" t="str">
        <f>Data!B511</f>
        <v>BUTCHERY SPICE</v>
      </c>
      <c r="C510" s="9">
        <f>Data!C511</f>
        <v>65605</v>
      </c>
      <c r="D510" s="10" t="s">
        <v>1291</v>
      </c>
      <c r="E510" s="11">
        <f>SUM(Data!I511,Data!K511,Data!M511,Data!O511,Data!Q511,Data!S511,Data!U511,Data!W511,Data!Y511,Data!AA511,Data!AC511,Data!AE511,Data!AG511,Data!AI511,Data!AK511,Data!AM511,Data!AO511,Data!AQ511,Data!AS511)</f>
        <v>0</v>
      </c>
      <c r="F510" s="11">
        <f>SUM(Data!DI511,Data!DK511,Data!DM511,Data!DO511,Data!DQ511,Data!DS511,Data!DU511,Data!DW511,Data!DY511,Data!EA511,Data!EC511,Data!EE511,Data!EG511,Data!EI511,Data!EK511,Data!EM511,Data!EO511,Data!EQ511,Data!ES511)</f>
        <v>106.226086956522</v>
      </c>
      <c r="G510" s="11">
        <f>F510-E510</f>
        <v>106.226086956522</v>
      </c>
      <c r="H510" s="13" t="str">
        <f>IF(E510=0,IF(F510&gt;0,"New",0),(F510-E510)/E510)</f>
        <v>New</v>
      </c>
      <c r="I510" s="12">
        <f>SUM(Data!J511,Data!L511,Data!N511,Data!P511,Data!R511,Data!T511,Data!V511,Data!X511,Data!Z511,Data!AB511,Data!AD511,Data!AF511,Data!AH511,Data!AJ511,Data!AL511,Data!AN511,Data!AP511,Data!AR511,Data!AT511)</f>
        <v>0</v>
      </c>
      <c r="J510" s="12">
        <f>SUM(Data!DJ511,Data!DL511,Data!DN511,Data!DP511,Data!DR511,Data!DT511,Data!DV511,Data!DX511,Data!DZ511,Data!EB511,Data!ED511,Data!EF511,Data!EH511,Data!EJ511,Data!EL511,Data!EN511,Data!EP511,Data!ER511,Data!ET511)</f>
        <v>1.018</v>
      </c>
      <c r="K510" s="12">
        <f>J510-I510</f>
        <v>1.018</v>
      </c>
      <c r="L510" s="13" t="str">
        <f>IF(I510=0,IF(J510&gt;0,"New",0),(J510-I510)/I510)</f>
        <v>New</v>
      </c>
      <c r="M510" t="str">
        <f>IF(F510=0,"No 2026 Sales",IF(E510=0,"New Product",IF(AND(ISNUMBER(H510),H510&gt;0.1),"↑ Strong Growth",IF(AND(ISNUMBER(H510),H510&gt;0),"↗ Growth",IF(AND(ISNUMBER(H510),H510&lt;-0.1),"↓ Strong Decline",IF(AND(ISNUMBER(H510),H510&lt;0),"↘ Decline","→ Stable"))))))</f>
        <v>New Product</v>
      </c>
    </row>
    <row r="511" spans="1:13" hidden="1" x14ac:dyDescent="0.35">
      <c r="A511">
        <f>Data!A512</f>
        <v>218</v>
      </c>
      <c r="B511" t="str">
        <f>Data!B512</f>
        <v>BUTCHERY SPICE</v>
      </c>
      <c r="C511" s="9">
        <f>Data!C512</f>
        <v>99990218</v>
      </c>
      <c r="D511" s="10" t="s">
        <v>1292</v>
      </c>
      <c r="E511" s="11">
        <f>SUM(Data!I512,Data!K512,Data!M512,Data!O512,Data!Q512,Data!S512,Data!U512,Data!W512,Data!Y512,Data!AA512,Data!AC512,Data!AE512,Data!AG512,Data!AI512,Data!AK512,Data!AM512,Data!AO512,Data!AQ512,Data!AS512)</f>
        <v>0</v>
      </c>
      <c r="F511" s="11">
        <f>SUM(Data!DI512,Data!DK512,Data!DM512,Data!DO512,Data!DQ512,Data!DS512,Data!DU512,Data!DW512,Data!DY512,Data!EA512,Data!EC512,Data!EE512,Data!EG512,Data!EI512,Data!EK512,Data!EM512,Data!EO512,Data!EQ512,Data!ES512)</f>
        <v>0</v>
      </c>
      <c r="G511" s="11">
        <f>F511-E511</f>
        <v>0</v>
      </c>
      <c r="H511">
        <f>IF(E511=0,IF(F511&gt;0,"New",0),(F511-E511)/E511)</f>
        <v>0</v>
      </c>
      <c r="I511" s="12">
        <f>SUM(Data!J512,Data!L512,Data!N512,Data!P512,Data!R512,Data!T512,Data!V512,Data!X512,Data!Z512,Data!AB512,Data!AD512,Data!AF512,Data!AH512,Data!AJ512,Data!AL512,Data!AN512,Data!AP512,Data!AR512,Data!AT512)</f>
        <v>0</v>
      </c>
      <c r="J511" s="12">
        <f>SUM(Data!DJ512,Data!DL512,Data!DN512,Data!DP512,Data!DR512,Data!DT512,Data!DV512,Data!DX512,Data!DZ512,Data!EB512,Data!ED512,Data!EF512,Data!EH512,Data!EJ512,Data!EL512,Data!EN512,Data!EP512,Data!ER512,Data!ET512)</f>
        <v>0</v>
      </c>
      <c r="K511" s="12">
        <f>J511-I511</f>
        <v>0</v>
      </c>
      <c r="L511">
        <f>IF(I511=0,IF(J511&gt;0,"New",0),(J511-I511)/I511)</f>
        <v>0</v>
      </c>
      <c r="M511" t="str">
        <f>IF(F511=0,"No 2026 Sales",IF(E511=0,"New Product",IF(AND(ISNUMBER(H511),H511&gt;0.1),"↑ Strong Growth",IF(AND(ISNUMBER(H511),H511&gt;0),"↗ Growth",IF(AND(ISNUMBER(H511),H511&lt;-0.1),"↓ Strong Decline",IF(AND(ISNUMBER(H511),H511&lt;0),"↘ Decline","→ Stable"))))))</f>
        <v>No 2026 Sales</v>
      </c>
    </row>
    <row r="512" spans="1:13" hidden="1" x14ac:dyDescent="0.35">
      <c r="A512">
        <f>Data!A513</f>
        <v>219</v>
      </c>
      <c r="B512" t="str">
        <f>Data!B513</f>
        <v>BULK BRAAI PACK HAMPERS</v>
      </c>
      <c r="C512" s="9">
        <f>Data!C513</f>
        <v>54124</v>
      </c>
      <c r="D512" s="10" t="s">
        <v>1293</v>
      </c>
      <c r="E512" s="11">
        <f>SUM(Data!I513,Data!K513,Data!M513,Data!O513,Data!Q513,Data!S513,Data!U513,Data!W513,Data!Y513,Data!AA513,Data!AC513,Data!AE513,Data!AG513,Data!AI513,Data!AK513,Data!AM513,Data!AO513,Data!AQ513,Data!AS513)</f>
        <v>0</v>
      </c>
      <c r="F512" s="11">
        <f>SUM(Data!DI513,Data!DK513,Data!DM513,Data!DO513,Data!DQ513,Data!DS513,Data!DU513,Data!DW513,Data!DY513,Data!EA513,Data!EC513,Data!EE513,Data!EG513,Data!EI513,Data!EK513,Data!EM513,Data!EO513,Data!EQ513,Data!ES513)</f>
        <v>0</v>
      </c>
      <c r="G512" s="11">
        <f>F512-E512</f>
        <v>0</v>
      </c>
      <c r="H512">
        <f>IF(E512=0,IF(F512&gt;0,"New",0),(F512-E512)/E512)</f>
        <v>0</v>
      </c>
      <c r="I512" s="12">
        <f>SUM(Data!J513,Data!L513,Data!N513,Data!P513,Data!R513,Data!T513,Data!V513,Data!X513,Data!Z513,Data!AB513,Data!AD513,Data!AF513,Data!AH513,Data!AJ513,Data!AL513,Data!AN513,Data!AP513,Data!AR513,Data!AT513)</f>
        <v>0</v>
      </c>
      <c r="J512" s="12">
        <f>SUM(Data!DJ513,Data!DL513,Data!DN513,Data!DP513,Data!DR513,Data!DT513,Data!DV513,Data!DX513,Data!DZ513,Data!EB513,Data!ED513,Data!EF513,Data!EH513,Data!EJ513,Data!EL513,Data!EN513,Data!EP513,Data!ER513,Data!ET513)</f>
        <v>0</v>
      </c>
      <c r="K512" s="12">
        <f>J512-I512</f>
        <v>0</v>
      </c>
      <c r="L512">
        <f>IF(I512=0,IF(J512&gt;0,"New",0),(J512-I512)/I512)</f>
        <v>0</v>
      </c>
      <c r="M512" t="str">
        <f>IF(F512=0,"No 2026 Sales",IF(E512=0,"New Product",IF(AND(ISNUMBER(H512),H512&gt;0.1),"↑ Strong Growth",IF(AND(ISNUMBER(H512),H512&gt;0),"↗ Growth",IF(AND(ISNUMBER(H512),H512&lt;-0.1),"↓ Strong Decline",IF(AND(ISNUMBER(H512),H512&lt;0),"↘ Decline","→ Stable"))))))</f>
        <v>No 2026 Sales</v>
      </c>
    </row>
    <row r="513" spans="1:13" hidden="1" x14ac:dyDescent="0.35">
      <c r="A513">
        <f>Data!A514</f>
        <v>219</v>
      </c>
      <c r="B513" t="str">
        <f>Data!B514</f>
        <v>BULK BRAAI PACK HAMPERS</v>
      </c>
      <c r="C513" s="9">
        <f>Data!C514</f>
        <v>54125</v>
      </c>
      <c r="D513" s="10" t="s">
        <v>1294</v>
      </c>
      <c r="E513" s="11">
        <f>SUM(Data!I514,Data!K514,Data!M514,Data!O514,Data!Q514,Data!S514,Data!U514,Data!W514,Data!Y514,Data!AA514,Data!AC514,Data!AE514,Data!AG514,Data!AI514,Data!AK514,Data!AM514,Data!AO514,Data!AQ514,Data!AS514)</f>
        <v>0</v>
      </c>
      <c r="F513" s="11">
        <f>SUM(Data!DI514,Data!DK514,Data!DM514,Data!DO514,Data!DQ514,Data!DS514,Data!DU514,Data!DW514,Data!DY514,Data!EA514,Data!EC514,Data!EE514,Data!EG514,Data!EI514,Data!EK514,Data!EM514,Data!EO514,Data!EQ514,Data!ES514)</f>
        <v>0</v>
      </c>
      <c r="G513" s="11">
        <f>F513-E513</f>
        <v>0</v>
      </c>
      <c r="H513">
        <f>IF(E513=0,IF(F513&gt;0,"New",0),(F513-E513)/E513)</f>
        <v>0</v>
      </c>
      <c r="I513" s="12">
        <f>SUM(Data!J514,Data!L514,Data!N514,Data!P514,Data!R514,Data!T514,Data!V514,Data!X514,Data!Z514,Data!AB514,Data!AD514,Data!AF514,Data!AH514,Data!AJ514,Data!AL514,Data!AN514,Data!AP514,Data!AR514,Data!AT514)</f>
        <v>0</v>
      </c>
      <c r="J513" s="12">
        <f>SUM(Data!DJ514,Data!DL514,Data!DN514,Data!DP514,Data!DR514,Data!DT514,Data!DV514,Data!DX514,Data!DZ514,Data!EB514,Data!ED514,Data!EF514,Data!EH514,Data!EJ514,Data!EL514,Data!EN514,Data!EP514,Data!ER514,Data!ET514)</f>
        <v>0</v>
      </c>
      <c r="K513" s="12">
        <f>J513-I513</f>
        <v>0</v>
      </c>
      <c r="L513">
        <f>IF(I513=0,IF(J513&gt;0,"New",0),(J513-I513)/I513)</f>
        <v>0</v>
      </c>
      <c r="M513" t="str">
        <f>IF(F513=0,"No 2026 Sales",IF(E513=0,"New Product",IF(AND(ISNUMBER(H513),H513&gt;0.1),"↑ Strong Growth",IF(AND(ISNUMBER(H513),H513&gt;0),"↗ Growth",IF(AND(ISNUMBER(H513),H513&lt;-0.1),"↓ Strong Decline",IF(AND(ISNUMBER(H513),H513&lt;0),"↘ Decline","→ Stable"))))))</f>
        <v>No 2026 Sales</v>
      </c>
    </row>
    <row r="514" spans="1:13" hidden="1" x14ac:dyDescent="0.35">
      <c r="A514">
        <f>Data!A515</f>
        <v>219</v>
      </c>
      <c r="B514" t="str">
        <f>Data!B515</f>
        <v>BULK BRAAI PACK HAMPERS</v>
      </c>
      <c r="C514" s="9">
        <f>Data!C515</f>
        <v>54455</v>
      </c>
      <c r="D514" s="10" t="s">
        <v>1295</v>
      </c>
      <c r="E514" s="11">
        <f>SUM(Data!I515,Data!K515,Data!M515,Data!O515,Data!Q515,Data!S515,Data!U515,Data!W515,Data!Y515,Data!AA515,Data!AC515,Data!AE515,Data!AG515,Data!AI515,Data!AK515,Data!AM515,Data!AO515,Data!AQ515,Data!AS515)</f>
        <v>0</v>
      </c>
      <c r="F514" s="11">
        <f>SUM(Data!DI515,Data!DK515,Data!DM515,Data!DO515,Data!DQ515,Data!DS515,Data!DU515,Data!DW515,Data!DY515,Data!EA515,Data!EC515,Data!EE515,Data!EG515,Data!EI515,Data!EK515,Data!EM515,Data!EO515,Data!EQ515,Data!ES515)</f>
        <v>0</v>
      </c>
      <c r="G514" s="11">
        <f>F514-E514</f>
        <v>0</v>
      </c>
      <c r="H514">
        <f>IF(E514=0,IF(F514&gt;0,"New",0),(F514-E514)/E514)</f>
        <v>0</v>
      </c>
      <c r="I514" s="12">
        <f>SUM(Data!J515,Data!L515,Data!N515,Data!P515,Data!R515,Data!T515,Data!V515,Data!X515,Data!Z515,Data!AB515,Data!AD515,Data!AF515,Data!AH515,Data!AJ515,Data!AL515,Data!AN515,Data!AP515,Data!AR515,Data!AT515)</f>
        <v>0</v>
      </c>
      <c r="J514" s="12">
        <f>SUM(Data!DJ515,Data!DL515,Data!DN515,Data!DP515,Data!DR515,Data!DT515,Data!DV515,Data!DX515,Data!DZ515,Data!EB515,Data!ED515,Data!EF515,Data!EH515,Data!EJ515,Data!EL515,Data!EN515,Data!EP515,Data!ER515,Data!ET515)</f>
        <v>0</v>
      </c>
      <c r="K514" s="12">
        <f>J514-I514</f>
        <v>0</v>
      </c>
      <c r="L514">
        <f>IF(I514=0,IF(J514&gt;0,"New",0),(J514-I514)/I514)</f>
        <v>0</v>
      </c>
      <c r="M514" t="str">
        <f>IF(F514=0,"No 2026 Sales",IF(E514=0,"New Product",IF(AND(ISNUMBER(H514),H514&gt;0.1),"↑ Strong Growth",IF(AND(ISNUMBER(H514),H514&gt;0),"↗ Growth",IF(AND(ISNUMBER(H514),H514&lt;-0.1),"↓ Strong Decline",IF(AND(ISNUMBER(H514),H514&lt;0),"↘ Decline","→ Stable"))))))</f>
        <v>No 2026 Sales</v>
      </c>
    </row>
    <row r="515" spans="1:13" hidden="1" x14ac:dyDescent="0.35">
      <c r="A515">
        <f>Data!A516</f>
        <v>220</v>
      </c>
      <c r="B515" t="str">
        <f>Data!B516</f>
        <v>MINCE &amp; PATTIES</v>
      </c>
      <c r="C515" s="9">
        <f>Data!C516</f>
        <v>34209</v>
      </c>
      <c r="D515" s="10" t="s">
        <v>1296</v>
      </c>
      <c r="E515" s="11">
        <f>SUM(Data!I516,Data!K516,Data!M516,Data!O516,Data!Q516,Data!S516,Data!U516,Data!W516,Data!Y516,Data!AA516,Data!AC516,Data!AE516,Data!AG516,Data!AI516,Data!AK516,Data!AM516,Data!AO516,Data!AQ516,Data!AS516)</f>
        <v>0</v>
      </c>
      <c r="F515" s="11">
        <f>SUM(Data!DI516,Data!DK516,Data!DM516,Data!DO516,Data!DQ516,Data!DS516,Data!DU516,Data!DW516,Data!DY516,Data!EA516,Data!EC516,Data!EE516,Data!EG516,Data!EI516,Data!EK516,Data!EM516,Data!EO516,Data!EQ516,Data!ES516)</f>
        <v>0</v>
      </c>
      <c r="G515" s="11">
        <f>F515-E515</f>
        <v>0</v>
      </c>
      <c r="H515">
        <f>IF(E515=0,IF(F515&gt;0,"New",0),(F515-E515)/E515)</f>
        <v>0</v>
      </c>
      <c r="I515" s="12">
        <f>SUM(Data!J516,Data!L516,Data!N516,Data!P516,Data!R516,Data!T516,Data!V516,Data!X516,Data!Z516,Data!AB516,Data!AD516,Data!AF516,Data!AH516,Data!AJ516,Data!AL516,Data!AN516,Data!AP516,Data!AR516,Data!AT516)</f>
        <v>0</v>
      </c>
      <c r="J515" s="12">
        <f>SUM(Data!DJ516,Data!DL516,Data!DN516,Data!DP516,Data!DR516,Data!DT516,Data!DV516,Data!DX516,Data!DZ516,Data!EB516,Data!ED516,Data!EF516,Data!EH516,Data!EJ516,Data!EL516,Data!EN516,Data!EP516,Data!ER516,Data!ET516)</f>
        <v>0</v>
      </c>
      <c r="K515" s="12">
        <f>J515-I515</f>
        <v>0</v>
      </c>
      <c r="L515">
        <f>IF(I515=0,IF(J515&gt;0,"New",0),(J515-I515)/I515)</f>
        <v>0</v>
      </c>
      <c r="M515" t="str">
        <f>IF(F515=0,"No 2026 Sales",IF(E515=0,"New Product",IF(AND(ISNUMBER(H515),H515&gt;0.1),"↑ Strong Growth",IF(AND(ISNUMBER(H515),H515&gt;0),"↗ Growth",IF(AND(ISNUMBER(H515),H515&lt;-0.1),"↓ Strong Decline",IF(AND(ISNUMBER(H515),H515&lt;0),"↘ Decline","→ Stable"))))))</f>
        <v>No 2026 Sales</v>
      </c>
    </row>
    <row r="516" spans="1:13" hidden="1" x14ac:dyDescent="0.35">
      <c r="A516">
        <f>Data!A517</f>
        <v>220</v>
      </c>
      <c r="B516" t="str">
        <f>Data!B517</f>
        <v>MINCE &amp; PATTIES</v>
      </c>
      <c r="C516" s="9">
        <f>Data!C517</f>
        <v>42766</v>
      </c>
      <c r="D516" s="10" t="s">
        <v>1297</v>
      </c>
      <c r="E516" s="11">
        <f>SUM(Data!I517,Data!K517,Data!M517,Data!O517,Data!Q517,Data!S517,Data!U517,Data!W517,Data!Y517,Data!AA517,Data!AC517,Data!AE517,Data!AG517,Data!AI517,Data!AK517,Data!AM517,Data!AO517,Data!AQ517,Data!AS517)</f>
        <v>0</v>
      </c>
      <c r="F516" s="11">
        <f>SUM(Data!DI517,Data!DK517,Data!DM517,Data!DO517,Data!DQ517,Data!DS517,Data!DU517,Data!DW517,Data!DY517,Data!EA517,Data!EC517,Data!EE517,Data!EG517,Data!EI517,Data!EK517,Data!EM517,Data!EO517,Data!EQ517,Data!ES517)</f>
        <v>0</v>
      </c>
      <c r="G516" s="11">
        <f>F516-E516</f>
        <v>0</v>
      </c>
      <c r="H516">
        <f>IF(E516=0,IF(F516&gt;0,"New",0),(F516-E516)/E516)</f>
        <v>0</v>
      </c>
      <c r="I516" s="12">
        <f>SUM(Data!J517,Data!L517,Data!N517,Data!P517,Data!R517,Data!T517,Data!V517,Data!X517,Data!Z517,Data!AB517,Data!AD517,Data!AF517,Data!AH517,Data!AJ517,Data!AL517,Data!AN517,Data!AP517,Data!AR517,Data!AT517)</f>
        <v>0</v>
      </c>
      <c r="J516" s="12">
        <f>SUM(Data!DJ517,Data!DL517,Data!DN517,Data!DP517,Data!DR517,Data!DT517,Data!DV517,Data!DX517,Data!DZ517,Data!EB517,Data!ED517,Data!EF517,Data!EH517,Data!EJ517,Data!EL517,Data!EN517,Data!EP517,Data!ER517,Data!ET517)</f>
        <v>0</v>
      </c>
      <c r="K516" s="12">
        <f>J516-I516</f>
        <v>0</v>
      </c>
      <c r="L516">
        <f>IF(I516=0,IF(J516&gt;0,"New",0),(J516-I516)/I516)</f>
        <v>0</v>
      </c>
      <c r="M516" t="str">
        <f>IF(F516=0,"No 2026 Sales",IF(E516=0,"New Product",IF(AND(ISNUMBER(H516),H516&gt;0.1),"↑ Strong Growth",IF(AND(ISNUMBER(H516),H516&gt;0),"↗ Growth",IF(AND(ISNUMBER(H516),H516&lt;-0.1),"↓ Strong Decline",IF(AND(ISNUMBER(H516),H516&lt;0),"↘ Decline","→ Stable"))))))</f>
        <v>No 2026 Sales</v>
      </c>
    </row>
    <row r="517" spans="1:13" hidden="1" x14ac:dyDescent="0.35">
      <c r="A517">
        <f>Data!A518</f>
        <v>221</v>
      </c>
      <c r="B517" t="str">
        <f>Data!B518</f>
        <v>STEAK</v>
      </c>
      <c r="C517" s="9">
        <f>Data!C518</f>
        <v>34181</v>
      </c>
      <c r="D517" s="10" t="s">
        <v>1298</v>
      </c>
      <c r="E517" s="11">
        <f>SUM(Data!I518,Data!K518,Data!M518,Data!O518,Data!Q518,Data!S518,Data!U518,Data!W518,Data!Y518,Data!AA518,Data!AC518,Data!AE518,Data!AG518,Data!AI518,Data!AK518,Data!AM518,Data!AO518,Data!AQ518,Data!AS518)</f>
        <v>0</v>
      </c>
      <c r="F517" s="11">
        <f>SUM(Data!DI518,Data!DK518,Data!DM518,Data!DO518,Data!DQ518,Data!DS518,Data!DU518,Data!DW518,Data!DY518,Data!EA518,Data!EC518,Data!EE518,Data!EG518,Data!EI518,Data!EK518,Data!EM518,Data!EO518,Data!EQ518,Data!ES518)</f>
        <v>0</v>
      </c>
      <c r="G517" s="11">
        <f>F517-E517</f>
        <v>0</v>
      </c>
      <c r="H517">
        <f>IF(E517=0,IF(F517&gt;0,"New",0),(F517-E517)/E517)</f>
        <v>0</v>
      </c>
      <c r="I517" s="12">
        <f>SUM(Data!J518,Data!L518,Data!N518,Data!P518,Data!R518,Data!T518,Data!V518,Data!X518,Data!Z518,Data!AB518,Data!AD518,Data!AF518,Data!AH518,Data!AJ518,Data!AL518,Data!AN518,Data!AP518,Data!AR518,Data!AT518)</f>
        <v>0</v>
      </c>
      <c r="J517" s="12">
        <f>SUM(Data!DJ518,Data!DL518,Data!DN518,Data!DP518,Data!DR518,Data!DT518,Data!DV518,Data!DX518,Data!DZ518,Data!EB518,Data!ED518,Data!EF518,Data!EH518,Data!EJ518,Data!EL518,Data!EN518,Data!EP518,Data!ER518,Data!ET518)</f>
        <v>0</v>
      </c>
      <c r="K517" s="12">
        <f>J517-I517</f>
        <v>0</v>
      </c>
      <c r="L517">
        <f>IF(I517=0,IF(J517&gt;0,"New",0),(J517-I517)/I517)</f>
        <v>0</v>
      </c>
      <c r="M517" t="str">
        <f>IF(F517=0,"No 2026 Sales",IF(E517=0,"New Product",IF(AND(ISNUMBER(H517),H517&gt;0.1),"↑ Strong Growth",IF(AND(ISNUMBER(H517),H517&gt;0),"↗ Growth",IF(AND(ISNUMBER(H517),H517&lt;-0.1),"↓ Strong Decline",IF(AND(ISNUMBER(H517),H517&lt;0),"↘ Decline","→ Stable"))))))</f>
        <v>No 2026 Sales</v>
      </c>
    </row>
    <row r="518" spans="1:13" hidden="1" x14ac:dyDescent="0.35">
      <c r="A518">
        <f>Data!A519</f>
        <v>221</v>
      </c>
      <c r="B518" t="str">
        <f>Data!B519</f>
        <v>STEAK</v>
      </c>
      <c r="C518" s="9">
        <f>Data!C519</f>
        <v>34183</v>
      </c>
      <c r="D518" s="10" t="s">
        <v>1299</v>
      </c>
      <c r="E518" s="11">
        <f>SUM(Data!I519,Data!K519,Data!M519,Data!O519,Data!Q519,Data!S519,Data!U519,Data!W519,Data!Y519,Data!AA519,Data!AC519,Data!AE519,Data!AG519,Data!AI519,Data!AK519,Data!AM519,Data!AO519,Data!AQ519,Data!AS519)</f>
        <v>0</v>
      </c>
      <c r="F518" s="11">
        <f>SUM(Data!DI519,Data!DK519,Data!DM519,Data!DO519,Data!DQ519,Data!DS519,Data!DU519,Data!DW519,Data!DY519,Data!EA519,Data!EC519,Data!EE519,Data!EG519,Data!EI519,Data!EK519,Data!EM519,Data!EO519,Data!EQ519,Data!ES519)</f>
        <v>0</v>
      </c>
      <c r="G518" s="11">
        <f>F518-E518</f>
        <v>0</v>
      </c>
      <c r="H518">
        <f>IF(E518=0,IF(F518&gt;0,"New",0),(F518-E518)/E518)</f>
        <v>0</v>
      </c>
      <c r="I518" s="12">
        <f>SUM(Data!J519,Data!L519,Data!N519,Data!P519,Data!R519,Data!T519,Data!V519,Data!X519,Data!Z519,Data!AB519,Data!AD519,Data!AF519,Data!AH519,Data!AJ519,Data!AL519,Data!AN519,Data!AP519,Data!AR519,Data!AT519)</f>
        <v>0</v>
      </c>
      <c r="J518" s="12">
        <f>SUM(Data!DJ519,Data!DL519,Data!DN519,Data!DP519,Data!DR519,Data!DT519,Data!DV519,Data!DX519,Data!DZ519,Data!EB519,Data!ED519,Data!EF519,Data!EH519,Data!EJ519,Data!EL519,Data!EN519,Data!EP519,Data!ER519,Data!ET519)</f>
        <v>0</v>
      </c>
      <c r="K518" s="12">
        <f>J518-I518</f>
        <v>0</v>
      </c>
      <c r="L518">
        <f>IF(I518=0,IF(J518&gt;0,"New",0),(J518-I518)/I518)</f>
        <v>0</v>
      </c>
      <c r="M518" t="str">
        <f>IF(F518=0,"No 2026 Sales",IF(E518=0,"New Product",IF(AND(ISNUMBER(H518),H518&gt;0.1),"↑ Strong Growth",IF(AND(ISNUMBER(H518),H518&gt;0),"↗ Growth",IF(AND(ISNUMBER(H518),H518&lt;-0.1),"↓ Strong Decline",IF(AND(ISNUMBER(H518),H518&lt;0),"↘ Decline","→ Stable"))))))</f>
        <v>No 2026 Sales</v>
      </c>
    </row>
    <row r="519" spans="1:13" hidden="1" x14ac:dyDescent="0.35">
      <c r="A519">
        <f>Data!A520</f>
        <v>222</v>
      </c>
      <c r="B519" t="str">
        <f>Data!B520</f>
        <v>CHICKEN FROZEN</v>
      </c>
      <c r="C519" s="9">
        <f>Data!C520</f>
        <v>34307</v>
      </c>
      <c r="D519" s="10" t="s">
        <v>1300</v>
      </c>
      <c r="E519" s="11">
        <f>SUM(Data!I520,Data!K520,Data!M520,Data!O520,Data!Q520,Data!S520,Data!U520,Data!W520,Data!Y520,Data!AA520,Data!AC520,Data!AE520,Data!AG520,Data!AI520,Data!AK520,Data!AM520,Data!AO520,Data!AQ520,Data!AS520)</f>
        <v>0</v>
      </c>
      <c r="F519" s="11">
        <f>SUM(Data!DI520,Data!DK520,Data!DM520,Data!DO520,Data!DQ520,Data!DS520,Data!DU520,Data!DW520,Data!DY520,Data!EA520,Data!EC520,Data!EE520,Data!EG520,Data!EI520,Data!EK520,Data!EM520,Data!EO520,Data!EQ520,Data!ES520)</f>
        <v>0</v>
      </c>
      <c r="G519" s="11">
        <f>F519-E519</f>
        <v>0</v>
      </c>
      <c r="H519">
        <f>IF(E519=0,IF(F519&gt;0,"New",0),(F519-E519)/E519)</f>
        <v>0</v>
      </c>
      <c r="I519" s="12">
        <f>SUM(Data!J520,Data!L520,Data!N520,Data!P520,Data!R520,Data!T520,Data!V520,Data!X520,Data!Z520,Data!AB520,Data!AD520,Data!AF520,Data!AH520,Data!AJ520,Data!AL520,Data!AN520,Data!AP520,Data!AR520,Data!AT520)</f>
        <v>0</v>
      </c>
      <c r="J519" s="12">
        <f>SUM(Data!DJ520,Data!DL520,Data!DN520,Data!DP520,Data!DR520,Data!DT520,Data!DV520,Data!DX520,Data!DZ520,Data!EB520,Data!ED520,Data!EF520,Data!EH520,Data!EJ520,Data!EL520,Data!EN520,Data!EP520,Data!ER520,Data!ET520)</f>
        <v>0</v>
      </c>
      <c r="K519" s="12">
        <f>J519-I519</f>
        <v>0</v>
      </c>
      <c r="L519">
        <f>IF(I519=0,IF(J519&gt;0,"New",0),(J519-I519)/I519)</f>
        <v>0</v>
      </c>
      <c r="M519" t="str">
        <f>IF(F519=0,"No 2026 Sales",IF(E519=0,"New Product",IF(AND(ISNUMBER(H519),H519&gt;0.1),"↑ Strong Growth",IF(AND(ISNUMBER(H519),H519&gt;0),"↗ Growth",IF(AND(ISNUMBER(H519),H519&lt;-0.1),"↓ Strong Decline",IF(AND(ISNUMBER(H519),H519&lt;0),"↘ Decline","→ Stable"))))))</f>
        <v>No 2026 Sales</v>
      </c>
    </row>
    <row r="520" spans="1:13" x14ac:dyDescent="0.35">
      <c r="A520">
        <f>Data!A521</f>
        <v>224</v>
      </c>
      <c r="B520" t="str">
        <f>Data!B521</f>
        <v>BILT&amp; DROEWORS BUY IN</v>
      </c>
      <c r="C520" s="9">
        <f>Data!C521</f>
        <v>32050</v>
      </c>
      <c r="D520" s="10" t="s">
        <v>1301</v>
      </c>
      <c r="E520" s="11">
        <f>SUM(Data!I521,Data!K521,Data!M521,Data!O521,Data!Q521,Data!S521,Data!U521,Data!W521,Data!Y521,Data!AA521,Data!AC521,Data!AE521,Data!AG521,Data!AI521,Data!AK521,Data!AM521,Data!AO521,Data!AQ521,Data!AS521)</f>
        <v>0</v>
      </c>
      <c r="F520" s="11">
        <f>SUM(Data!DI521,Data!DK521,Data!DM521,Data!DO521,Data!DQ521,Data!DS521,Data!DU521,Data!DW521,Data!DY521,Data!EA521,Data!EC521,Data!EE521,Data!EG521,Data!EI521,Data!EK521,Data!EM521,Data!EO521,Data!EQ521,Data!ES521)</f>
        <v>463.79130434782581</v>
      </c>
      <c r="G520" s="11">
        <f>F520-E520</f>
        <v>463.79130434782581</v>
      </c>
      <c r="H520" s="13" t="str">
        <f>IF(E520=0,IF(F520&gt;0,"New",0),(F520-E520)/E520)</f>
        <v>New</v>
      </c>
      <c r="I520" s="12">
        <f>SUM(Data!J521,Data!L521,Data!N521,Data!P521,Data!R521,Data!T521,Data!V521,Data!X521,Data!Z521,Data!AB521,Data!AD521,Data!AF521,Data!AH521,Data!AJ521,Data!AL521,Data!AN521,Data!AP521,Data!AR521,Data!AT521)</f>
        <v>0</v>
      </c>
      <c r="J520" s="12">
        <f>SUM(Data!DJ521,Data!DL521,Data!DN521,Data!DP521,Data!DR521,Data!DT521,Data!DV521,Data!DX521,Data!DZ521,Data!EB521,Data!ED521,Data!EF521,Data!EH521,Data!EJ521,Data!EL521,Data!EN521,Data!EP521,Data!ER521,Data!ET521)</f>
        <v>0.94399999999999995</v>
      </c>
      <c r="K520" s="12">
        <f>J520-I520</f>
        <v>0.94399999999999995</v>
      </c>
      <c r="L520" s="13" t="str">
        <f>IF(I520=0,IF(J520&gt;0,"New",0),(J520-I520)/I520)</f>
        <v>New</v>
      </c>
      <c r="M520" t="str">
        <f>IF(F520=0,"No 2026 Sales",IF(E520=0,"New Product",IF(AND(ISNUMBER(H520),H520&gt;0.1),"↑ Strong Growth",IF(AND(ISNUMBER(H520),H520&gt;0),"↗ Growth",IF(AND(ISNUMBER(H520),H520&lt;-0.1),"↓ Strong Decline",IF(AND(ISNUMBER(H520),H520&lt;0),"↘ Decline","→ Stable"))))))</f>
        <v>New Product</v>
      </c>
    </row>
    <row r="521" spans="1:13" hidden="1" x14ac:dyDescent="0.35">
      <c r="A521">
        <f>Data!A522</f>
        <v>224</v>
      </c>
      <c r="B521" t="str">
        <f>Data!B522</f>
        <v>BILT&amp; DROEWORS BUY IN</v>
      </c>
      <c r="C521" s="9">
        <f>Data!C522</f>
        <v>45713</v>
      </c>
      <c r="D521" s="10" t="s">
        <v>1302</v>
      </c>
      <c r="E521" s="11">
        <f>SUM(Data!I522,Data!K522,Data!M522,Data!O522,Data!Q522,Data!S522,Data!U522,Data!W522,Data!Y522,Data!AA522,Data!AC522,Data!AE522,Data!AG522,Data!AI522,Data!AK522,Data!AM522,Data!AO522,Data!AQ522,Data!AS522)</f>
        <v>0</v>
      </c>
      <c r="F521" s="11">
        <f>SUM(Data!DI522,Data!DK522,Data!DM522,Data!DO522,Data!DQ522,Data!DS522,Data!DU522,Data!DW522,Data!DY522,Data!EA522,Data!EC522,Data!EE522,Data!EG522,Data!EI522,Data!EK522,Data!EM522,Data!EO522,Data!EQ522,Data!ES522)</f>
        <v>0</v>
      </c>
      <c r="G521" s="11">
        <f>F521-E521</f>
        <v>0</v>
      </c>
      <c r="H521">
        <f>IF(E521=0,IF(F521&gt;0,"New",0),(F521-E521)/E521)</f>
        <v>0</v>
      </c>
      <c r="I521" s="12">
        <f>SUM(Data!J522,Data!L522,Data!N522,Data!P522,Data!R522,Data!T522,Data!V522,Data!X522,Data!Z522,Data!AB522,Data!AD522,Data!AF522,Data!AH522,Data!AJ522,Data!AL522,Data!AN522,Data!AP522,Data!AR522,Data!AT522)</f>
        <v>0</v>
      </c>
      <c r="J521" s="12">
        <f>SUM(Data!DJ522,Data!DL522,Data!DN522,Data!DP522,Data!DR522,Data!DT522,Data!DV522,Data!DX522,Data!DZ522,Data!EB522,Data!ED522,Data!EF522,Data!EH522,Data!EJ522,Data!EL522,Data!EN522,Data!EP522,Data!ER522,Data!ET522)</f>
        <v>0</v>
      </c>
      <c r="K521" s="12">
        <f>J521-I521</f>
        <v>0</v>
      </c>
      <c r="L521">
        <f>IF(I521=0,IF(J521&gt;0,"New",0),(J521-I521)/I521)</f>
        <v>0</v>
      </c>
      <c r="M521" t="str">
        <f>IF(F521=0,"No 2026 Sales",IF(E521=0,"New Product",IF(AND(ISNUMBER(H521),H521&gt;0.1),"↑ Strong Growth",IF(AND(ISNUMBER(H521),H521&gt;0),"↗ Growth",IF(AND(ISNUMBER(H521),H521&lt;-0.1),"↓ Strong Decline",IF(AND(ISNUMBER(H521),H521&lt;0),"↘ Decline","→ Stable"))))))</f>
        <v>No 2026 Sales</v>
      </c>
    </row>
    <row r="522" spans="1:13" x14ac:dyDescent="0.35">
      <c r="A522">
        <f>Data!A523</f>
        <v>224</v>
      </c>
      <c r="B522" t="str">
        <f>Data!B523</f>
        <v>BILT&amp; DROEWORS BUY IN</v>
      </c>
      <c r="C522" s="9">
        <f>Data!C523</f>
        <v>50186</v>
      </c>
      <c r="D522" s="10" t="s">
        <v>1303</v>
      </c>
      <c r="E522" s="11">
        <f>SUM(Data!I523,Data!K523,Data!M523,Data!O523,Data!Q523,Data!S523,Data!U523,Data!W523,Data!Y523,Data!AA523,Data!AC523,Data!AE523,Data!AG523,Data!AI523,Data!AK523,Data!AM523,Data!AO523,Data!AQ523,Data!AS523)</f>
        <v>0</v>
      </c>
      <c r="F522" s="11">
        <f>SUM(Data!DI523,Data!DK523,Data!DM523,Data!DO523,Data!DQ523,Data!DS523,Data!DU523,Data!DW523,Data!DY523,Data!EA523,Data!EC523,Data!EE523,Data!EG523,Data!EI523,Data!EK523,Data!EM523,Data!EO523,Data!EQ523,Data!ES523)</f>
        <v>5561.2260869565189</v>
      </c>
      <c r="G522" s="11">
        <f>F522-E522</f>
        <v>5561.2260869565189</v>
      </c>
      <c r="H522" s="13" t="str">
        <f>IF(E522=0,IF(F522&gt;0,"New",0),(F522-E522)/E522)</f>
        <v>New</v>
      </c>
      <c r="I522" s="12">
        <f>SUM(Data!J523,Data!L523,Data!N523,Data!P523,Data!R523,Data!T523,Data!V523,Data!X523,Data!Z523,Data!AB523,Data!AD523,Data!AF523,Data!AH523,Data!AJ523,Data!AL523,Data!AN523,Data!AP523,Data!AR523,Data!AT523)</f>
        <v>0</v>
      </c>
      <c r="J522" s="12">
        <f>SUM(Data!DJ523,Data!DL523,Data!DN523,Data!DP523,Data!DR523,Data!DT523,Data!DV523,Data!DX523,Data!DZ523,Data!EB523,Data!ED523,Data!EF523,Data!EH523,Data!EJ523,Data!EL523,Data!EN523,Data!EP523,Data!ER523,Data!ET523)</f>
        <v>15.825000000000001</v>
      </c>
      <c r="K522" s="12">
        <f>J522-I522</f>
        <v>15.825000000000001</v>
      </c>
      <c r="L522" s="13" t="str">
        <f>IF(I522=0,IF(J522&gt;0,"New",0),(J522-I522)/I522)</f>
        <v>New</v>
      </c>
      <c r="M522" t="str">
        <f>IF(F522=0,"No 2026 Sales",IF(E522=0,"New Product",IF(AND(ISNUMBER(H522),H522&gt;0.1),"↑ Strong Growth",IF(AND(ISNUMBER(H522),H522&gt;0),"↗ Growth",IF(AND(ISNUMBER(H522),H522&lt;-0.1),"↓ Strong Decline",IF(AND(ISNUMBER(H522),H522&lt;0),"↘ Decline","→ Stable"))))))</f>
        <v>New Product</v>
      </c>
    </row>
    <row r="523" spans="1:13" x14ac:dyDescent="0.35">
      <c r="A523">
        <f>Data!A524</f>
        <v>224</v>
      </c>
      <c r="B523" t="str">
        <f>Data!B524</f>
        <v>BILT&amp; DROEWORS BUY IN</v>
      </c>
      <c r="C523" s="9">
        <f>Data!C524</f>
        <v>50617</v>
      </c>
      <c r="D523" s="10" t="s">
        <v>1304</v>
      </c>
      <c r="E523" s="11">
        <f>SUM(Data!I524,Data!K524,Data!M524,Data!O524,Data!Q524,Data!S524,Data!U524,Data!W524,Data!Y524,Data!AA524,Data!AC524,Data!AE524,Data!AG524,Data!AI524,Data!AK524,Data!AM524,Data!AO524,Data!AQ524,Data!AS524)</f>
        <v>0</v>
      </c>
      <c r="F523" s="11">
        <f>SUM(Data!DI524,Data!DK524,Data!DM524,Data!DO524,Data!DQ524,Data!DS524,Data!DU524,Data!DW524,Data!DY524,Data!EA524,Data!EC524,Data!EE524,Data!EG524,Data!EI524,Data!EK524,Data!EM524,Data!EO524,Data!EQ524,Data!ES524)</f>
        <v>566.96521739130401</v>
      </c>
      <c r="G523" s="11">
        <f>F523-E523</f>
        <v>566.96521739130401</v>
      </c>
      <c r="H523" s="13" t="str">
        <f>IF(E523=0,IF(F523&gt;0,"New",0),(F523-E523)/E523)</f>
        <v>New</v>
      </c>
      <c r="I523" s="12">
        <f>SUM(Data!J524,Data!L524,Data!N524,Data!P524,Data!R524,Data!T524,Data!V524,Data!X524,Data!Z524,Data!AB524,Data!AD524,Data!AF524,Data!AH524,Data!AJ524,Data!AL524,Data!AN524,Data!AP524,Data!AR524,Data!AT524)</f>
        <v>0</v>
      </c>
      <c r="J523" s="12">
        <f>SUM(Data!DJ524,Data!DL524,Data!DN524,Data!DP524,Data!DR524,Data!DT524,Data!DV524,Data!DX524,Data!DZ524,Data!EB524,Data!ED524,Data!EF524,Data!EH524,Data!EJ524,Data!EL524,Data!EN524,Data!EP524,Data!ER524,Data!ET524)</f>
        <v>1.1539999999999999</v>
      </c>
      <c r="K523" s="12">
        <f>J523-I523</f>
        <v>1.1539999999999999</v>
      </c>
      <c r="L523" s="13" t="str">
        <f>IF(I523=0,IF(J523&gt;0,"New",0),(J523-I523)/I523)</f>
        <v>New</v>
      </c>
      <c r="M523" t="str">
        <f>IF(F523=0,"No 2026 Sales",IF(E523=0,"New Product",IF(AND(ISNUMBER(H523),H523&gt;0.1),"↑ Strong Growth",IF(AND(ISNUMBER(H523),H523&gt;0),"↗ Growth",IF(AND(ISNUMBER(H523),H523&lt;-0.1),"↓ Strong Decline",IF(AND(ISNUMBER(H523),H523&lt;0),"↘ Decline","→ Stable"))))))</f>
        <v>New Product</v>
      </c>
    </row>
    <row r="524" spans="1:13" x14ac:dyDescent="0.35">
      <c r="A524">
        <f>Data!A525</f>
        <v>224</v>
      </c>
      <c r="B524" t="str">
        <f>Data!B525</f>
        <v>BILT&amp; DROEWORS BUY IN</v>
      </c>
      <c r="C524" s="9">
        <f>Data!C525</f>
        <v>52933</v>
      </c>
      <c r="D524" s="10" t="s">
        <v>1305</v>
      </c>
      <c r="E524" s="11">
        <f>SUM(Data!I525,Data!K525,Data!M525,Data!O525,Data!Q525,Data!S525,Data!U525,Data!W525,Data!Y525,Data!AA525,Data!AC525,Data!AE525,Data!AG525,Data!AI525,Data!AK525,Data!AM525,Data!AO525,Data!AQ525,Data!AS525)</f>
        <v>10730.086956521738</v>
      </c>
      <c r="F524" s="11">
        <f>SUM(Data!DI525,Data!DK525,Data!DM525,Data!DO525,Data!DQ525,Data!DS525,Data!DU525,Data!DW525,Data!DY525,Data!EA525,Data!EC525,Data!EE525,Data!EG525,Data!EI525,Data!EK525,Data!EM525,Data!EO525,Data!EQ525,Data!ES525)</f>
        <v>13711.286956521737</v>
      </c>
      <c r="G524" s="11">
        <f>F524-E524</f>
        <v>2981.1999999999989</v>
      </c>
      <c r="H524" s="13">
        <f>IF(E524=0,IF(F524&gt;0,"New",0),(F524-E524)/E524)</f>
        <v>0.2778355862426658</v>
      </c>
      <c r="I524" s="12">
        <f>SUM(Data!J525,Data!L525,Data!N525,Data!P525,Data!R525,Data!T525,Data!V525,Data!X525,Data!Z525,Data!AB525,Data!AD525,Data!AF525,Data!AH525,Data!AJ525,Data!AL525,Data!AN525,Data!AP525,Data!AR525,Data!AT525)</f>
        <v>34.768000000000001</v>
      </c>
      <c r="J524" s="12">
        <f>SUM(Data!DJ525,Data!DL525,Data!DN525,Data!DP525,Data!DR525,Data!DT525,Data!DV525,Data!DX525,Data!DZ525,Data!EB525,Data!ED525,Data!EF525,Data!EH525,Data!EJ525,Data!EL525,Data!EN525,Data!EP525,Data!ER525,Data!ET525)</f>
        <v>39.42</v>
      </c>
      <c r="K524" s="12">
        <f>J524-I524</f>
        <v>4.652000000000001</v>
      </c>
      <c r="L524" s="13">
        <f>IF(I524=0,IF(J524&gt;0,"New",0),(J524-I524)/I524)</f>
        <v>0.13380119650253108</v>
      </c>
      <c r="M524" t="str">
        <f>IF(F524=0,"No 2026 Sales",IF(E524=0,"New Product",IF(AND(ISNUMBER(H524),H524&gt;0.1),"↑ Strong Growth",IF(AND(ISNUMBER(H524),H524&gt;0),"↗ Growth",IF(AND(ISNUMBER(H524),H524&lt;-0.1),"↓ Strong Decline",IF(AND(ISNUMBER(H524),H524&lt;0),"↘ Decline","→ Stable"))))))</f>
        <v>↑ Strong Growth</v>
      </c>
    </row>
    <row r="525" spans="1:13" hidden="1" x14ac:dyDescent="0.35">
      <c r="A525">
        <f>Data!A526</f>
        <v>224</v>
      </c>
      <c r="B525" t="str">
        <f>Data!B526</f>
        <v>BILT&amp; DROEWORS BUY IN</v>
      </c>
      <c r="C525" s="9">
        <f>Data!C526</f>
        <v>52934</v>
      </c>
      <c r="D525" s="10" t="s">
        <v>1306</v>
      </c>
      <c r="E525" s="11">
        <f>SUM(Data!I526,Data!K526,Data!M526,Data!O526,Data!Q526,Data!S526,Data!U526,Data!W526,Data!Y526,Data!AA526,Data!AC526,Data!AE526,Data!AG526,Data!AI526,Data!AK526,Data!AM526,Data!AO526,Data!AQ526,Data!AS526)</f>
        <v>2444.5217391304345</v>
      </c>
      <c r="F525" s="11">
        <f>SUM(Data!DI526,Data!DK526,Data!DM526,Data!DO526,Data!DQ526,Data!DS526,Data!DU526,Data!DW526,Data!DY526,Data!EA526,Data!EC526,Data!EE526,Data!EG526,Data!EI526,Data!EK526,Data!EM526,Data!EO526,Data!EQ526,Data!ES526)</f>
        <v>0</v>
      </c>
      <c r="G525" s="11">
        <f>F525-E525</f>
        <v>-2444.5217391304345</v>
      </c>
      <c r="H525">
        <f>IF(E525=0,IF(F525&gt;0,"New",0),(F525-E525)/E525)</f>
        <v>-1</v>
      </c>
      <c r="I525" s="12">
        <f>SUM(Data!J526,Data!L526,Data!N526,Data!P526,Data!R526,Data!T526,Data!V526,Data!X526,Data!Z526,Data!AB526,Data!AD526,Data!AF526,Data!AH526,Data!AJ526,Data!AL526,Data!AN526,Data!AP526,Data!AR526,Data!AT526)</f>
        <v>7.0279999999999987</v>
      </c>
      <c r="J525" s="12">
        <f>SUM(Data!DJ526,Data!DL526,Data!DN526,Data!DP526,Data!DR526,Data!DT526,Data!DV526,Data!DX526,Data!DZ526,Data!EB526,Data!ED526,Data!EF526,Data!EH526,Data!EJ526,Data!EL526,Data!EN526,Data!EP526,Data!ER526,Data!ET526)</f>
        <v>0</v>
      </c>
      <c r="K525" s="12">
        <f>J525-I525</f>
        <v>-7.0279999999999987</v>
      </c>
      <c r="L525">
        <f>IF(I525=0,IF(J525&gt;0,"New",0),(J525-I525)/I525)</f>
        <v>-1</v>
      </c>
      <c r="M525" t="str">
        <f>IF(F525=0,"No 2026 Sales",IF(E525=0,"New Product",IF(AND(ISNUMBER(H525),H525&gt;0.1),"↑ Strong Growth",IF(AND(ISNUMBER(H525),H525&gt;0),"↗ Growth",IF(AND(ISNUMBER(H525),H525&lt;-0.1),"↓ Strong Decline",IF(AND(ISNUMBER(H525),H525&lt;0),"↘ Decline","→ Stable"))))))</f>
        <v>No 2026 Sales</v>
      </c>
    </row>
    <row r="526" spans="1:13" hidden="1" x14ac:dyDescent="0.35">
      <c r="A526">
        <f>Data!A527</f>
        <v>224</v>
      </c>
      <c r="B526" t="str">
        <f>Data!B527</f>
        <v>BILT&amp; DROEWORS BUY IN</v>
      </c>
      <c r="C526" s="9">
        <f>Data!C527</f>
        <v>52935</v>
      </c>
      <c r="D526" s="10" t="s">
        <v>1307</v>
      </c>
      <c r="E526" s="11">
        <f>SUM(Data!I527,Data!K527,Data!M527,Data!O527,Data!Q527,Data!S527,Data!U527,Data!W527,Data!Y527,Data!AA527,Data!AC527,Data!AE527,Data!AG527,Data!AI527,Data!AK527,Data!AM527,Data!AO527,Data!AQ527,Data!AS527)</f>
        <v>347.78260869565202</v>
      </c>
      <c r="F526" s="11">
        <f>SUM(Data!DI527,Data!DK527,Data!DM527,Data!DO527,Data!DQ527,Data!DS527,Data!DU527,Data!DW527,Data!DY527,Data!EA527,Data!EC527,Data!EE527,Data!EG527,Data!EI527,Data!EK527,Data!EM527,Data!EO527,Data!EQ527,Data!ES527)</f>
        <v>0</v>
      </c>
      <c r="G526" s="11">
        <f>F526-E526</f>
        <v>-347.78260869565202</v>
      </c>
      <c r="H526">
        <f>IF(E526=0,IF(F526&gt;0,"New",0),(F526-E526)/E526)</f>
        <v>-1</v>
      </c>
      <c r="I526" s="12">
        <f>SUM(Data!J527,Data!L527,Data!N527,Data!P527,Data!R527,Data!T527,Data!V527,Data!X527,Data!Z527,Data!AB527,Data!AD527,Data!AF527,Data!AH527,Data!AJ527,Data!AL527,Data!AN527,Data!AP527,Data!AR527,Data!AT527)</f>
        <v>5</v>
      </c>
      <c r="J526" s="12">
        <f>SUM(Data!DJ527,Data!DL527,Data!DN527,Data!DP527,Data!DR527,Data!DT527,Data!DV527,Data!DX527,Data!DZ527,Data!EB527,Data!ED527,Data!EF527,Data!EH527,Data!EJ527,Data!EL527,Data!EN527,Data!EP527,Data!ER527,Data!ET527)</f>
        <v>0</v>
      </c>
      <c r="K526" s="12">
        <f>J526-I526</f>
        <v>-5</v>
      </c>
      <c r="L526">
        <f>IF(I526=0,IF(J526&gt;0,"New",0),(J526-I526)/I526)</f>
        <v>-1</v>
      </c>
      <c r="M526" t="str">
        <f>IF(F526=0,"No 2026 Sales",IF(E526=0,"New Product",IF(AND(ISNUMBER(H526),H526&gt;0.1),"↑ Strong Growth",IF(AND(ISNUMBER(H526),H526&gt;0),"↗ Growth",IF(AND(ISNUMBER(H526),H526&lt;-0.1),"↓ Strong Decline",IF(AND(ISNUMBER(H526),H526&lt;0),"↘ Decline","→ Stable"))))))</f>
        <v>No 2026 Sales</v>
      </c>
    </row>
    <row r="527" spans="1:13" x14ac:dyDescent="0.35">
      <c r="A527">
        <f>Data!A528</f>
        <v>224</v>
      </c>
      <c r="B527" t="str">
        <f>Data!B528</f>
        <v>BILT&amp; DROEWORS BUY IN</v>
      </c>
      <c r="C527" s="9">
        <f>Data!C528</f>
        <v>52936</v>
      </c>
      <c r="D527" s="10" t="s">
        <v>1308</v>
      </c>
      <c r="E527" s="11">
        <f>SUM(Data!I528,Data!K528,Data!M528,Data!O528,Data!Q528,Data!S528,Data!U528,Data!W528,Data!Y528,Data!AA528,Data!AC528,Data!AE528,Data!AG528,Data!AI528,Data!AK528,Data!AM528,Data!AO528,Data!AQ528,Data!AS528)</f>
        <v>7802.9999999999991</v>
      </c>
      <c r="F527" s="11">
        <f>SUM(Data!DI528,Data!DK528,Data!DM528,Data!DO528,Data!DQ528,Data!DS528,Data!DU528,Data!DW528,Data!DY528,Data!EA528,Data!EC528,Data!EE528,Data!EG528,Data!EI528,Data!EK528,Data!EM528,Data!EO528,Data!EQ528,Data!ES528)</f>
        <v>1374.6695652173917</v>
      </c>
      <c r="G527" s="11">
        <f>F527-E527</f>
        <v>-6428.330434782607</v>
      </c>
      <c r="H527" s="13">
        <f>IF(E527=0,IF(F527&gt;0,"New",0),(F527-E527)/E527)</f>
        <v>-0.82382807058600638</v>
      </c>
      <c r="I527" s="12">
        <f>SUM(Data!J528,Data!L528,Data!N528,Data!P528,Data!R528,Data!T528,Data!V528,Data!X528,Data!Z528,Data!AB528,Data!AD528,Data!AF528,Data!AH528,Data!AJ528,Data!AL528,Data!AN528,Data!AP528,Data!AR528,Data!AT528)</f>
        <v>16.357000000000003</v>
      </c>
      <c r="J527" s="12">
        <f>SUM(Data!DJ528,Data!DL528,Data!DN528,Data!DP528,Data!DR528,Data!DT528,Data!DV528,Data!DX528,Data!DZ528,Data!EB528,Data!ED528,Data!EF528,Data!EH528,Data!EJ528,Data!EL528,Data!EN528,Data!EP528,Data!ER528,Data!ET528)</f>
        <v>2.4739999999999998</v>
      </c>
      <c r="K527" s="12">
        <f>J527-I527</f>
        <v>-13.883000000000003</v>
      </c>
      <c r="L527" s="13">
        <f>IF(I527=0,IF(J527&gt;0,"New",0),(J527-I527)/I527)</f>
        <v>-0.84874977074035585</v>
      </c>
      <c r="M527" t="str">
        <f>IF(F527=0,"No 2026 Sales",IF(E527=0,"New Product",IF(AND(ISNUMBER(H527),H527&gt;0.1),"↑ Strong Growth",IF(AND(ISNUMBER(H527),H527&gt;0),"↗ Growth",IF(AND(ISNUMBER(H527),H527&lt;-0.1),"↓ Strong Decline",IF(AND(ISNUMBER(H527),H527&lt;0),"↘ Decline","→ Stable"))))))</f>
        <v>↓ Strong Decline</v>
      </c>
    </row>
    <row r="528" spans="1:13" x14ac:dyDescent="0.35">
      <c r="A528">
        <f>Data!A529</f>
        <v>224</v>
      </c>
      <c r="B528" t="str">
        <f>Data!B529</f>
        <v>BILT&amp; DROEWORS BUY IN</v>
      </c>
      <c r="C528" s="9">
        <f>Data!C529</f>
        <v>52937</v>
      </c>
      <c r="D528" s="10" t="s">
        <v>1309</v>
      </c>
      <c r="E528" s="11">
        <f>SUM(Data!I529,Data!K529,Data!M529,Data!O529,Data!Q529,Data!S529,Data!U529,Data!W529,Data!Y529,Data!AA529,Data!AC529,Data!AE529,Data!AG529,Data!AI529,Data!AK529,Data!AM529,Data!AO529,Data!AQ529,Data!AS529)</f>
        <v>11701.913043478262</v>
      </c>
      <c r="F528" s="11">
        <f>SUM(Data!DI529,Data!DK529,Data!DM529,Data!DO529,Data!DQ529,Data!DS529,Data!DU529,Data!DW529,Data!DY529,Data!EA529,Data!EC529,Data!EE529,Data!EG529,Data!EI529,Data!EK529,Data!EM529,Data!EO529,Data!EQ529,Data!ES529)</f>
        <v>12753.086956521736</v>
      </c>
      <c r="G528" s="11">
        <f>F528-E528</f>
        <v>1051.1739130434744</v>
      </c>
      <c r="H528" s="13">
        <f>IF(E528=0,IF(F528&gt;0,"New",0),(F528-E528)/E528)</f>
        <v>8.9829236393900322E-2</v>
      </c>
      <c r="I528" s="12">
        <f>SUM(Data!J529,Data!L529,Data!N529,Data!P529,Data!R529,Data!T529,Data!V529,Data!X529,Data!Z529,Data!AB529,Data!AD529,Data!AF529,Data!AH529,Data!AJ529,Data!AL529,Data!AN529,Data!AP529,Data!AR529,Data!AT529)</f>
        <v>24.297000000000001</v>
      </c>
      <c r="J528" s="12">
        <f>SUM(Data!DJ529,Data!DL529,Data!DN529,Data!DP529,Data!DR529,Data!DT529,Data!DV529,Data!DX529,Data!DZ529,Data!EB529,Data!ED529,Data!EF529,Data!EH529,Data!EJ529,Data!EL529,Data!EN529,Data!EP529,Data!ER529,Data!ET529)</f>
        <v>28.364999999999998</v>
      </c>
      <c r="K528" s="12">
        <f>J528-I528</f>
        <v>4.0679999999999978</v>
      </c>
      <c r="L528" s="13">
        <f>IF(I528=0,IF(J528&gt;0,"New",0),(J528-I528)/I528)</f>
        <v>0.16742807754043701</v>
      </c>
      <c r="M528" t="str">
        <f>IF(F528=0,"No 2026 Sales",IF(E528=0,"New Product",IF(AND(ISNUMBER(H528),H528&gt;0.1),"↑ Strong Growth",IF(AND(ISNUMBER(H528),H528&gt;0),"↗ Growth",IF(AND(ISNUMBER(H528),H528&lt;-0.1),"↓ Strong Decline",IF(AND(ISNUMBER(H528),H528&lt;0),"↘ Decline","→ Stable"))))))</f>
        <v>↗ Growth</v>
      </c>
    </row>
    <row r="529" spans="1:13" x14ac:dyDescent="0.35">
      <c r="A529">
        <f>Data!A530</f>
        <v>224</v>
      </c>
      <c r="B529" t="str">
        <f>Data!B530</f>
        <v>BILT&amp; DROEWORS BUY IN</v>
      </c>
      <c r="C529" s="9">
        <f>Data!C530</f>
        <v>52938</v>
      </c>
      <c r="D529" s="10" t="s">
        <v>1310</v>
      </c>
      <c r="E529" s="11">
        <f>SUM(Data!I530,Data!K530,Data!M530,Data!O530,Data!Q530,Data!S530,Data!U530,Data!W530,Data!Y530,Data!AA530,Data!AC530,Data!AE530,Data!AG530,Data!AI530,Data!AK530,Data!AM530,Data!AO530,Data!AQ530,Data!AS530)</f>
        <v>6105.8000000000029</v>
      </c>
      <c r="F529" s="11">
        <f>SUM(Data!DI530,Data!DK530,Data!DM530,Data!DO530,Data!DQ530,Data!DS530,Data!DU530,Data!DW530,Data!DY530,Data!EA530,Data!EC530,Data!EE530,Data!EG530,Data!EI530,Data!EK530,Data!EM530,Data!EO530,Data!EQ530,Data!ES530)</f>
        <v>382.27826086956566</v>
      </c>
      <c r="G529" s="11">
        <f>F529-E529</f>
        <v>-5723.5217391304377</v>
      </c>
      <c r="H529" s="13">
        <f>IF(E529=0,IF(F529&gt;0,"New",0),(F529-E529)/E529)</f>
        <v>-0.93739096254879539</v>
      </c>
      <c r="I529" s="12">
        <f>SUM(Data!J530,Data!L530,Data!N530,Data!P530,Data!R530,Data!T530,Data!V530,Data!X530,Data!Z530,Data!AB530,Data!AD530,Data!AF530,Data!AH530,Data!AJ530,Data!AL530,Data!AN530,Data!AP530,Data!AR530,Data!AT530)</f>
        <v>12.710999999999999</v>
      </c>
      <c r="J529" s="12">
        <f>SUM(Data!DJ530,Data!DL530,Data!DN530,Data!DP530,Data!DR530,Data!DT530,Data!DV530,Data!DX530,Data!DZ530,Data!EB530,Data!ED530,Data!EF530,Data!EH530,Data!EJ530,Data!EL530,Data!EN530,Data!EP530,Data!ER530,Data!ET530)</f>
        <v>0.68799999999999994</v>
      </c>
      <c r="K529" s="12">
        <f>J529-I529</f>
        <v>-12.022999999999998</v>
      </c>
      <c r="L529" s="13">
        <f>IF(I529=0,IF(J529&gt;0,"New",0),(J529-I529)/I529)</f>
        <v>-0.94587365274171975</v>
      </c>
      <c r="M529" t="str">
        <f>IF(F529=0,"No 2026 Sales",IF(E529=0,"New Product",IF(AND(ISNUMBER(H529),H529&gt;0.1),"↑ Strong Growth",IF(AND(ISNUMBER(H529),H529&gt;0),"↗ Growth",IF(AND(ISNUMBER(H529),H529&lt;-0.1),"↓ Strong Decline",IF(AND(ISNUMBER(H529),H529&lt;0),"↘ Decline","→ Stable"))))))</f>
        <v>↓ Strong Decline</v>
      </c>
    </row>
    <row r="530" spans="1:13" hidden="1" x14ac:dyDescent="0.35">
      <c r="A530">
        <f>Data!A531</f>
        <v>224</v>
      </c>
      <c r="B530" t="str">
        <f>Data!B531</f>
        <v>BILT&amp; DROEWORS BUY IN</v>
      </c>
      <c r="C530" s="9">
        <f>Data!C531</f>
        <v>52939</v>
      </c>
      <c r="D530" s="10" t="s">
        <v>1311</v>
      </c>
      <c r="E530" s="11">
        <f>SUM(Data!I531,Data!K531,Data!M531,Data!O531,Data!Q531,Data!S531,Data!U531,Data!W531,Data!Y531,Data!AA531,Data!AC531,Data!AE531,Data!AG531,Data!AI531,Data!AK531,Data!AM531,Data!AO531,Data!AQ531,Data!AS531)</f>
        <v>1121.7391304347823</v>
      </c>
      <c r="F530" s="11">
        <f>SUM(Data!DI531,Data!DK531,Data!DM531,Data!DO531,Data!DQ531,Data!DS531,Data!DU531,Data!DW531,Data!DY531,Data!EA531,Data!EC531,Data!EE531,Data!EG531,Data!EI531,Data!EK531,Data!EM531,Data!EO531,Data!EQ531,Data!ES531)</f>
        <v>0</v>
      </c>
      <c r="G530" s="11">
        <f>F530-E530</f>
        <v>-1121.7391304347823</v>
      </c>
      <c r="H530">
        <f>IF(E530=0,IF(F530&gt;0,"New",0),(F530-E530)/E530)</f>
        <v>-1</v>
      </c>
      <c r="I530" s="12">
        <f>SUM(Data!J531,Data!L531,Data!N531,Data!P531,Data!R531,Data!T531,Data!V531,Data!X531,Data!Z531,Data!AB531,Data!AD531,Data!AF531,Data!AH531,Data!AJ531,Data!AL531,Data!AN531,Data!AP531,Data!AR531,Data!AT531)</f>
        <v>2.5799999999999996</v>
      </c>
      <c r="J530" s="12">
        <f>SUM(Data!DJ531,Data!DL531,Data!DN531,Data!DP531,Data!DR531,Data!DT531,Data!DV531,Data!DX531,Data!DZ531,Data!EB531,Data!ED531,Data!EF531,Data!EH531,Data!EJ531,Data!EL531,Data!EN531,Data!EP531,Data!ER531,Data!ET531)</f>
        <v>0</v>
      </c>
      <c r="K530" s="12">
        <f>J530-I530</f>
        <v>-2.5799999999999996</v>
      </c>
      <c r="L530">
        <f>IF(I530=0,IF(J530&gt;0,"New",0),(J530-I530)/I530)</f>
        <v>-1</v>
      </c>
      <c r="M530" t="str">
        <f>IF(F530=0,"No 2026 Sales",IF(E530=0,"New Product",IF(AND(ISNUMBER(H530),H530&gt;0.1),"↑ Strong Growth",IF(AND(ISNUMBER(H530),H530&gt;0),"↗ Growth",IF(AND(ISNUMBER(H530),H530&lt;-0.1),"↓ Strong Decline",IF(AND(ISNUMBER(H530),H530&lt;0),"↘ Decline","→ Stable"))))))</f>
        <v>No 2026 Sales</v>
      </c>
    </row>
    <row r="531" spans="1:13" hidden="1" x14ac:dyDescent="0.35">
      <c r="A531">
        <f>Data!A532</f>
        <v>224</v>
      </c>
      <c r="B531" t="str">
        <f>Data!B532</f>
        <v>BILT&amp; DROEWORS BUY IN</v>
      </c>
      <c r="C531" s="9">
        <f>Data!C532</f>
        <v>52941</v>
      </c>
      <c r="D531" s="10" t="s">
        <v>1312</v>
      </c>
      <c r="E531" s="11">
        <f>SUM(Data!I532,Data!K532,Data!M532,Data!O532,Data!Q532,Data!S532,Data!U532,Data!W532,Data!Y532,Data!AA532,Data!AC532,Data!AE532,Data!AG532,Data!AI532,Data!AK532,Data!AM532,Data!AO532,Data!AQ532,Data!AS532)</f>
        <v>692.8695652173908</v>
      </c>
      <c r="F531" s="11">
        <f>SUM(Data!DI532,Data!DK532,Data!DM532,Data!DO532,Data!DQ532,Data!DS532,Data!DU532,Data!DW532,Data!DY532,Data!EA532,Data!EC532,Data!EE532,Data!EG532,Data!EI532,Data!EK532,Data!EM532,Data!EO532,Data!EQ532,Data!ES532)</f>
        <v>0</v>
      </c>
      <c r="G531" s="11">
        <f>F531-E531</f>
        <v>-692.8695652173908</v>
      </c>
      <c r="H531">
        <f>IF(E531=0,IF(F531&gt;0,"New",0),(F531-E531)/E531)</f>
        <v>-1</v>
      </c>
      <c r="I531" s="12">
        <f>SUM(Data!J532,Data!L532,Data!N532,Data!P532,Data!R532,Data!T532,Data!V532,Data!X532,Data!Z532,Data!AB532,Data!AD532,Data!AF532,Data!AH532,Data!AJ532,Data!AL532,Data!AN532,Data!AP532,Data!AR532,Data!AT532)</f>
        <v>1.992</v>
      </c>
      <c r="J531" s="12">
        <f>SUM(Data!DJ532,Data!DL532,Data!DN532,Data!DP532,Data!DR532,Data!DT532,Data!DV532,Data!DX532,Data!DZ532,Data!EB532,Data!ED532,Data!EF532,Data!EH532,Data!EJ532,Data!EL532,Data!EN532,Data!EP532,Data!ER532,Data!ET532)</f>
        <v>0</v>
      </c>
      <c r="K531" s="12">
        <f>J531-I531</f>
        <v>-1.992</v>
      </c>
      <c r="L531">
        <f>IF(I531=0,IF(J531&gt;0,"New",0),(J531-I531)/I531)</f>
        <v>-1</v>
      </c>
      <c r="M531" t="str">
        <f>IF(F531=0,"No 2026 Sales",IF(E531=0,"New Product",IF(AND(ISNUMBER(H531),H531&gt;0.1),"↑ Strong Growth",IF(AND(ISNUMBER(H531),H531&gt;0),"↗ Growth",IF(AND(ISNUMBER(H531),H531&lt;-0.1),"↓ Strong Decline",IF(AND(ISNUMBER(H531),H531&lt;0),"↘ Decline","→ Stable"))))))</f>
        <v>No 2026 Sales</v>
      </c>
    </row>
    <row r="532" spans="1:13" x14ac:dyDescent="0.35">
      <c r="A532">
        <f>Data!A533</f>
        <v>224</v>
      </c>
      <c r="B532" t="str">
        <f>Data!B533</f>
        <v>BILT&amp; DROEWORS BUY IN</v>
      </c>
      <c r="C532" s="9">
        <f>Data!C533</f>
        <v>53854</v>
      </c>
      <c r="D532" s="10" t="s">
        <v>1313</v>
      </c>
      <c r="E532" s="11">
        <f>SUM(Data!I533,Data!K533,Data!M533,Data!O533,Data!Q533,Data!S533,Data!U533,Data!W533,Data!Y533,Data!AA533,Data!AC533,Data!AE533,Data!AG533,Data!AI533,Data!AK533,Data!AM533,Data!AO533,Data!AQ533,Data!AS533)</f>
        <v>36010.930434782611</v>
      </c>
      <c r="F532" s="11">
        <f>SUM(Data!DI533,Data!DK533,Data!DM533,Data!DO533,Data!DQ533,Data!DS533,Data!DU533,Data!DW533,Data!DY533,Data!EA533,Data!EC533,Data!EE533,Data!EG533,Data!EI533,Data!EK533,Data!EM533,Data!EO533,Data!EQ533,Data!ES533)</f>
        <v>35333.104347826084</v>
      </c>
      <c r="G532" s="11">
        <f>F532-E532</f>
        <v>-677.82608695652743</v>
      </c>
      <c r="H532" s="13">
        <f>IF(E532=0,IF(F532&gt;0,"New",0),(F532-E532)/E532)</f>
        <v>-1.8822787380739871E-2</v>
      </c>
      <c r="I532" s="12">
        <f>SUM(Data!J533,Data!L533,Data!N533,Data!P533,Data!R533,Data!T533,Data!V533,Data!X533,Data!Z533,Data!AB533,Data!AD533,Data!AF533,Data!AH533,Data!AJ533,Data!AL533,Data!AN533,Data!AP533,Data!AR533,Data!AT533)</f>
        <v>102.61099999999999</v>
      </c>
      <c r="J532" s="12">
        <f>SUM(Data!DJ533,Data!DL533,Data!DN533,Data!DP533,Data!DR533,Data!DT533,Data!DV533,Data!DX533,Data!DZ533,Data!EB533,Data!ED533,Data!EF533,Data!EH533,Data!EJ533,Data!EL533,Data!EN533,Data!EP533,Data!ER533,Data!ET533)</f>
        <v>100.61900000000001</v>
      </c>
      <c r="K532" s="12">
        <f>J532-I532</f>
        <v>-1.991999999999976</v>
      </c>
      <c r="L532" s="13">
        <f>IF(I532=0,IF(J532&gt;0,"New",0),(J532-I532)/I532)</f>
        <v>-1.9413123349348277E-2</v>
      </c>
      <c r="M532" t="str">
        <f>IF(F532=0,"No 2026 Sales",IF(E532=0,"New Product",IF(AND(ISNUMBER(H532),H532&gt;0.1),"↑ Strong Growth",IF(AND(ISNUMBER(H532),H532&gt;0),"↗ Growth",IF(AND(ISNUMBER(H532),H532&lt;-0.1),"↓ Strong Decline",IF(AND(ISNUMBER(H532),H532&lt;0),"↘ Decline","→ Stable"))))))</f>
        <v>↘ Decline</v>
      </c>
    </row>
    <row r="533" spans="1:13" x14ac:dyDescent="0.35">
      <c r="A533">
        <f>Data!A534</f>
        <v>224</v>
      </c>
      <c r="B533" t="str">
        <f>Data!B534</f>
        <v>BILT&amp; DROEWORS BUY IN</v>
      </c>
      <c r="C533" s="9">
        <f>Data!C534</f>
        <v>53985</v>
      </c>
      <c r="D533" s="10" t="s">
        <v>1314</v>
      </c>
      <c r="E533" s="11">
        <f>SUM(Data!I534,Data!K534,Data!M534,Data!O534,Data!Q534,Data!S534,Data!U534,Data!W534,Data!Y534,Data!AA534,Data!AC534,Data!AE534,Data!AG534,Data!AI534,Data!AK534,Data!AM534,Data!AO534,Data!AQ534,Data!AS534)</f>
        <v>4080.6608695652158</v>
      </c>
      <c r="F533" s="11">
        <f>SUM(Data!DI534,Data!DK534,Data!DM534,Data!DO534,Data!DQ534,Data!DS534,Data!DU534,Data!DW534,Data!DY534,Data!EA534,Data!EC534,Data!EE534,Data!EG534,Data!EI534,Data!EK534,Data!EM534,Data!EO534,Data!EQ534,Data!ES534)</f>
        <v>6861.1652173913044</v>
      </c>
      <c r="G533" s="11">
        <f>F533-E533</f>
        <v>2780.5043478260886</v>
      </c>
      <c r="H533" s="13">
        <f>IF(E533=0,IF(F533&gt;0,"New",0),(F533-E533)/E533)</f>
        <v>0.681385794287371</v>
      </c>
      <c r="I533" s="12">
        <f>SUM(Data!J534,Data!L534,Data!N534,Data!P534,Data!R534,Data!T534,Data!V534,Data!X534,Data!Z534,Data!AB534,Data!AD534,Data!AF534,Data!AH534,Data!AJ534,Data!AL534,Data!AN534,Data!AP534,Data!AR534,Data!AT534)</f>
        <v>13.225000000000001</v>
      </c>
      <c r="J533" s="12">
        <f>SUM(Data!DJ534,Data!DL534,Data!DN534,Data!DP534,Data!DR534,Data!DT534,Data!DV534,Data!DX534,Data!DZ534,Data!EB534,Data!ED534,Data!EF534,Data!EH534,Data!EJ534,Data!EL534,Data!EN534,Data!EP534,Data!ER534,Data!ET534)</f>
        <v>19.856000000000002</v>
      </c>
      <c r="K533" s="12">
        <f>J533-I533</f>
        <v>6.6310000000000002</v>
      </c>
      <c r="L533" s="13">
        <f>IF(I533=0,IF(J533&gt;0,"New",0),(J533-I533)/I533)</f>
        <v>0.50139886578449899</v>
      </c>
      <c r="M533" t="str">
        <f>IF(F533=0,"No 2026 Sales",IF(E533=0,"New Product",IF(AND(ISNUMBER(H533),H533&gt;0.1),"↑ Strong Growth",IF(AND(ISNUMBER(H533),H533&gt;0),"↗ Growth",IF(AND(ISNUMBER(H533),H533&lt;-0.1),"↓ Strong Decline",IF(AND(ISNUMBER(H533),H533&lt;0),"↘ Decline","→ Stable"))))))</f>
        <v>↑ Strong Growth</v>
      </c>
    </row>
    <row r="534" spans="1:13" hidden="1" x14ac:dyDescent="0.35">
      <c r="A534">
        <f>Data!A535</f>
        <v>224</v>
      </c>
      <c r="B534" t="str">
        <f>Data!B535</f>
        <v>BILT&amp; DROEWORS BUY IN</v>
      </c>
      <c r="C534" s="9">
        <f>Data!C535</f>
        <v>58087</v>
      </c>
      <c r="D534" s="10" t="s">
        <v>1315</v>
      </c>
      <c r="E534" s="11">
        <f>SUM(Data!I535,Data!K535,Data!M535,Data!O535,Data!Q535,Data!S535,Data!U535,Data!W535,Data!Y535,Data!AA535,Data!AC535,Data!AE535,Data!AG535,Data!AI535,Data!AK535,Data!AM535,Data!AO535,Data!AQ535,Data!AS535)</f>
        <v>0</v>
      </c>
      <c r="F534" s="11">
        <f>SUM(Data!DI535,Data!DK535,Data!DM535,Data!DO535,Data!DQ535,Data!DS535,Data!DU535,Data!DW535,Data!DY535,Data!EA535,Data!EC535,Data!EE535,Data!EG535,Data!EI535,Data!EK535,Data!EM535,Data!EO535,Data!EQ535,Data!ES535)</f>
        <v>0</v>
      </c>
      <c r="G534" s="11">
        <f>F534-E534</f>
        <v>0</v>
      </c>
      <c r="H534">
        <f>IF(E534=0,IF(F534&gt;0,"New",0),(F534-E534)/E534)</f>
        <v>0</v>
      </c>
      <c r="I534" s="12">
        <f>SUM(Data!J535,Data!L535,Data!N535,Data!P535,Data!R535,Data!T535,Data!V535,Data!X535,Data!Z535,Data!AB535,Data!AD535,Data!AF535,Data!AH535,Data!AJ535,Data!AL535,Data!AN535,Data!AP535,Data!AR535,Data!AT535)</f>
        <v>0</v>
      </c>
      <c r="J534" s="12">
        <f>SUM(Data!DJ535,Data!DL535,Data!DN535,Data!DP535,Data!DR535,Data!DT535,Data!DV535,Data!DX535,Data!DZ535,Data!EB535,Data!ED535,Data!EF535,Data!EH535,Data!EJ535,Data!EL535,Data!EN535,Data!EP535,Data!ER535,Data!ET535)</f>
        <v>0</v>
      </c>
      <c r="K534" s="12">
        <f>J534-I534</f>
        <v>0</v>
      </c>
      <c r="L534">
        <f>IF(I534=0,IF(J534&gt;0,"New",0),(J534-I534)/I534)</f>
        <v>0</v>
      </c>
      <c r="M534" t="str">
        <f>IF(F534=0,"No 2026 Sales",IF(E534=0,"New Product",IF(AND(ISNUMBER(H534),H534&gt;0.1),"↑ Strong Growth",IF(AND(ISNUMBER(H534),H534&gt;0),"↗ Growth",IF(AND(ISNUMBER(H534),H534&lt;-0.1),"↓ Strong Decline",IF(AND(ISNUMBER(H534),H534&lt;0),"↘ Decline","→ Stable"))))))</f>
        <v>No 2026 Sales</v>
      </c>
    </row>
    <row r="535" spans="1:13" hidden="1" x14ac:dyDescent="0.35">
      <c r="A535">
        <f>Data!A536</f>
        <v>224</v>
      </c>
      <c r="B535" t="str">
        <f>Data!B536</f>
        <v>BILT&amp; DROEWORS BUY IN</v>
      </c>
      <c r="C535" s="9">
        <f>Data!C536</f>
        <v>58365</v>
      </c>
      <c r="D535" s="10" t="s">
        <v>1316</v>
      </c>
      <c r="E535" s="11">
        <f>SUM(Data!I536,Data!K536,Data!M536,Data!O536,Data!Q536,Data!S536,Data!U536,Data!W536,Data!Y536,Data!AA536,Data!AC536,Data!AE536,Data!AG536,Data!AI536,Data!AK536,Data!AM536,Data!AO536,Data!AQ536,Data!AS536)</f>
        <v>2251.8521739130438</v>
      </c>
      <c r="F535" s="11">
        <f>SUM(Data!DI536,Data!DK536,Data!DM536,Data!DO536,Data!DQ536,Data!DS536,Data!DU536,Data!DW536,Data!DY536,Data!EA536,Data!EC536,Data!EE536,Data!EG536,Data!EI536,Data!EK536,Data!EM536,Data!EO536,Data!EQ536,Data!ES536)</f>
        <v>0</v>
      </c>
      <c r="G535" s="11">
        <f>F535-E535</f>
        <v>-2251.8521739130438</v>
      </c>
      <c r="H535">
        <f>IF(E535=0,IF(F535&gt;0,"New",0),(F535-E535)/E535)</f>
        <v>-1</v>
      </c>
      <c r="I535" s="12">
        <f>SUM(Data!J536,Data!L536,Data!N536,Data!P536,Data!R536,Data!T536,Data!V536,Data!X536,Data!Z536,Data!AB536,Data!AD536,Data!AF536,Data!AH536,Data!AJ536,Data!AL536,Data!AN536,Data!AP536,Data!AR536,Data!AT536)</f>
        <v>37</v>
      </c>
      <c r="J535" s="12">
        <f>SUM(Data!DJ536,Data!DL536,Data!DN536,Data!DP536,Data!DR536,Data!DT536,Data!DV536,Data!DX536,Data!DZ536,Data!EB536,Data!ED536,Data!EF536,Data!EH536,Data!EJ536,Data!EL536,Data!EN536,Data!EP536,Data!ER536,Data!ET536)</f>
        <v>0</v>
      </c>
      <c r="K535" s="12">
        <f>J535-I535</f>
        <v>-37</v>
      </c>
      <c r="L535">
        <f>IF(I535=0,IF(J535&gt;0,"New",0),(J535-I535)/I535)</f>
        <v>-1</v>
      </c>
      <c r="M535" t="str">
        <f>IF(F535=0,"No 2026 Sales",IF(E535=0,"New Product",IF(AND(ISNUMBER(H535),H535&gt;0.1),"↑ Strong Growth",IF(AND(ISNUMBER(H535),H535&gt;0),"↗ Growth",IF(AND(ISNUMBER(H535),H535&lt;-0.1),"↓ Strong Decline",IF(AND(ISNUMBER(H535),H535&lt;0),"↘ Decline","→ Stable"))))))</f>
        <v>No 2026 Sales</v>
      </c>
    </row>
    <row r="536" spans="1:13" x14ac:dyDescent="0.35">
      <c r="A536">
        <f>Data!A537</f>
        <v>224</v>
      </c>
      <c r="B536" t="str">
        <f>Data!B537</f>
        <v>BILT&amp; DROEWORS BUY IN</v>
      </c>
      <c r="C536" s="9">
        <f>Data!C537</f>
        <v>59020</v>
      </c>
      <c r="D536" s="10" t="s">
        <v>1317</v>
      </c>
      <c r="E536" s="11">
        <f>SUM(Data!I537,Data!K537,Data!M537,Data!O537,Data!Q537,Data!S537,Data!U537,Data!W537,Data!Y537,Data!AA537,Data!AC537,Data!AE537,Data!AG537,Data!AI537,Data!AK537,Data!AM537,Data!AO537,Data!AQ537,Data!AS537)</f>
        <v>3502.3913043478256</v>
      </c>
      <c r="F536" s="11">
        <f>SUM(Data!DI537,Data!DK537,Data!DM537,Data!DO537,Data!DQ537,Data!DS537,Data!DU537,Data!DW537,Data!DY537,Data!EA537,Data!EC537,Data!EE537,Data!EG537,Data!EI537,Data!EK537,Data!EM537,Data!EO537,Data!EQ537,Data!ES537)</f>
        <v>4773.5999999999967</v>
      </c>
      <c r="G536" s="11">
        <f>F536-E536</f>
        <v>1271.2086956521712</v>
      </c>
      <c r="H536" s="13">
        <f>IF(E536=0,IF(F536&gt;0,"New",0),(F536-E536)/E536)</f>
        <v>0.36295450313450367</v>
      </c>
      <c r="I536" s="12">
        <f>SUM(Data!J537,Data!L537,Data!N537,Data!P537,Data!R537,Data!T537,Data!V537,Data!X537,Data!Z537,Data!AB537,Data!AD537,Data!AF537,Data!AH537,Data!AJ537,Data!AL537,Data!AN537,Data!AP537,Data!AR537,Data!AT537)</f>
        <v>27</v>
      </c>
      <c r="J536" s="12">
        <f>SUM(Data!DJ537,Data!DL537,Data!DN537,Data!DP537,Data!DR537,Data!DT537,Data!DV537,Data!DX537,Data!DZ537,Data!EB537,Data!ED537,Data!EF537,Data!EH537,Data!EJ537,Data!EL537,Data!EN537,Data!EP537,Data!ER537,Data!ET537)</f>
        <v>36</v>
      </c>
      <c r="K536" s="12">
        <f>J536-I536</f>
        <v>9</v>
      </c>
      <c r="L536" s="13">
        <f>IF(I536=0,IF(J536&gt;0,"New",0),(J536-I536)/I536)</f>
        <v>0.33333333333333331</v>
      </c>
      <c r="M536" t="str">
        <f>IF(F536=0,"No 2026 Sales",IF(E536=0,"New Product",IF(AND(ISNUMBER(H536),H536&gt;0.1),"↑ Strong Growth",IF(AND(ISNUMBER(H536),H536&gt;0),"↗ Growth",IF(AND(ISNUMBER(H536),H536&lt;-0.1),"↓ Strong Decline",IF(AND(ISNUMBER(H536),H536&lt;0),"↘ Decline","→ Stable"))))))</f>
        <v>↑ Strong Growth</v>
      </c>
    </row>
    <row r="537" spans="1:13" x14ac:dyDescent="0.35">
      <c r="A537">
        <f>Data!A538</f>
        <v>224</v>
      </c>
      <c r="B537" t="str">
        <f>Data!B538</f>
        <v>BILT&amp; DROEWORS BUY IN</v>
      </c>
      <c r="C537" s="9">
        <f>Data!C538</f>
        <v>59021</v>
      </c>
      <c r="D537" s="10" t="s">
        <v>1318</v>
      </c>
      <c r="E537" s="11">
        <f>SUM(Data!I538,Data!K538,Data!M538,Data!O538,Data!Q538,Data!S538,Data!U538,Data!W538,Data!Y538,Data!AA538,Data!AC538,Data!AE538,Data!AG538,Data!AI538,Data!AK538,Data!AM538,Data!AO538,Data!AQ538,Data!AS538)</f>
        <v>7446.6695652173921</v>
      </c>
      <c r="F537" s="11">
        <f>SUM(Data!DI538,Data!DK538,Data!DM538,Data!DO538,Data!DQ538,Data!DS538,Data!DU538,Data!DW538,Data!DY538,Data!EA538,Data!EC538,Data!EE538,Data!EG538,Data!EI538,Data!EK538,Data!EM538,Data!EO538,Data!EQ538,Data!ES538)</f>
        <v>9031.9304347826092</v>
      </c>
      <c r="G537" s="11">
        <f>F537-E537</f>
        <v>1585.260869565217</v>
      </c>
      <c r="H537" s="13">
        <f>IF(E537=0,IF(F537&gt;0,"New",0),(F537-E537)/E537)</f>
        <v>0.21288186023048522</v>
      </c>
      <c r="I537" s="12">
        <f>SUM(Data!J538,Data!L538,Data!N538,Data!P538,Data!R538,Data!T538,Data!V538,Data!X538,Data!Z538,Data!AB538,Data!AD538,Data!AF538,Data!AH538,Data!AJ538,Data!AL538,Data!AN538,Data!AP538,Data!AR538,Data!AT538)</f>
        <v>59</v>
      </c>
      <c r="J537" s="12">
        <f>SUM(Data!DJ538,Data!DL538,Data!DN538,Data!DP538,Data!DR538,Data!DT538,Data!DV538,Data!DX538,Data!DZ538,Data!EB538,Data!ED538,Data!EF538,Data!EH538,Data!EJ538,Data!EL538,Data!EN538,Data!EP538,Data!ER538,Data!ET538)</f>
        <v>67</v>
      </c>
      <c r="K537" s="12">
        <f>J537-I537</f>
        <v>8</v>
      </c>
      <c r="L537" s="13">
        <f>IF(I537=0,IF(J537&gt;0,"New",0),(J537-I537)/I537)</f>
        <v>0.13559322033898305</v>
      </c>
      <c r="M537" t="str">
        <f>IF(F537=0,"No 2026 Sales",IF(E537=0,"New Product",IF(AND(ISNUMBER(H537),H537&gt;0.1),"↑ Strong Growth",IF(AND(ISNUMBER(H537),H537&gt;0),"↗ Growth",IF(AND(ISNUMBER(H537),H537&lt;-0.1),"↓ Strong Decline",IF(AND(ISNUMBER(H537),H537&lt;0),"↘ Decline","→ Stable"))))))</f>
        <v>↑ Strong Growth</v>
      </c>
    </row>
    <row r="538" spans="1:13" x14ac:dyDescent="0.35">
      <c r="A538">
        <f>Data!A539</f>
        <v>224</v>
      </c>
      <c r="B538" t="str">
        <f>Data!B539</f>
        <v>BILT&amp; DROEWORS BUY IN</v>
      </c>
      <c r="C538" s="9">
        <f>Data!C539</f>
        <v>60726</v>
      </c>
      <c r="D538" s="10" t="s">
        <v>1319</v>
      </c>
      <c r="E538" s="11">
        <f>SUM(Data!I539,Data!K539,Data!M539,Data!O539,Data!Q539,Data!S539,Data!U539,Data!W539,Data!Y539,Data!AA539,Data!AC539,Data!AE539,Data!AG539,Data!AI539,Data!AK539,Data!AM539,Data!AO539,Data!AQ539,Data!AS539)</f>
        <v>9772.5826086956549</v>
      </c>
      <c r="F538" s="11">
        <f>SUM(Data!DI539,Data!DK539,Data!DM539,Data!DO539,Data!DQ539,Data!DS539,Data!DU539,Data!DW539,Data!DY539,Data!EA539,Data!EC539,Data!EE539,Data!EG539,Data!EI539,Data!EK539,Data!EM539,Data!EO539,Data!EQ539,Data!ES539)</f>
        <v>11616.104347826093</v>
      </c>
      <c r="G538" s="11">
        <f>F538-E538</f>
        <v>1843.5217391304377</v>
      </c>
      <c r="H538" s="13">
        <f>IF(E538=0,IF(F538&gt;0,"New",0),(F538-E538)/E538)</f>
        <v>0.18864222621050755</v>
      </c>
      <c r="I538" s="12">
        <f>SUM(Data!J539,Data!L539,Data!N539,Data!P539,Data!R539,Data!T539,Data!V539,Data!X539,Data!Z539,Data!AB539,Data!AD539,Data!AF539,Data!AH539,Data!AJ539,Data!AL539,Data!AN539,Data!AP539,Data!AR539,Data!AT539)</f>
        <v>28.14</v>
      </c>
      <c r="J538" s="12">
        <f>SUM(Data!DJ539,Data!DL539,Data!DN539,Data!DP539,Data!DR539,Data!DT539,Data!DV539,Data!DX539,Data!DZ539,Data!EB539,Data!ED539,Data!EF539,Data!EH539,Data!EJ539,Data!EL539,Data!EN539,Data!EP539,Data!ER539,Data!ET539)</f>
        <v>33.097999999999999</v>
      </c>
      <c r="K538" s="12">
        <f>J538-I538</f>
        <v>4.9579999999999984</v>
      </c>
      <c r="L538" s="13">
        <f>IF(I538=0,IF(J538&gt;0,"New",0),(J538-I538)/I538)</f>
        <v>0.17619047619047612</v>
      </c>
      <c r="M538" t="str">
        <f>IF(F538=0,"No 2026 Sales",IF(E538=0,"New Product",IF(AND(ISNUMBER(H538),H538&gt;0.1),"↑ Strong Growth",IF(AND(ISNUMBER(H538),H538&gt;0),"↗ Growth",IF(AND(ISNUMBER(H538),H538&lt;-0.1),"↓ Strong Decline",IF(AND(ISNUMBER(H538),H538&lt;0),"↘ Decline","→ Stable"))))))</f>
        <v>↑ Strong Growth</v>
      </c>
    </row>
    <row r="539" spans="1:13" x14ac:dyDescent="0.35">
      <c r="A539">
        <f>Data!A540</f>
        <v>224</v>
      </c>
      <c r="B539" t="str">
        <f>Data!B540</f>
        <v>BILT&amp; DROEWORS BUY IN</v>
      </c>
      <c r="C539" s="9">
        <f>Data!C540</f>
        <v>61155</v>
      </c>
      <c r="D539" s="10" t="s">
        <v>1320</v>
      </c>
      <c r="E539" s="11">
        <f>SUM(Data!I540,Data!K540,Data!M540,Data!O540,Data!Q540,Data!S540,Data!U540,Data!W540,Data!Y540,Data!AA540,Data!AC540,Data!AE540,Data!AG540,Data!AI540,Data!AK540,Data!AM540,Data!AO540,Data!AQ540,Data!AS540)</f>
        <v>12794.7739130435</v>
      </c>
      <c r="F539" s="11">
        <f>SUM(Data!DI540,Data!DK540,Data!DM540,Data!DO540,Data!DQ540,Data!DS540,Data!DU540,Data!DW540,Data!DY540,Data!EA540,Data!EC540,Data!EE540,Data!EG540,Data!EI540,Data!EK540,Data!EM540,Data!EO540,Data!EQ540,Data!ES540)</f>
        <v>28512.765217391316</v>
      </c>
      <c r="G539" s="11">
        <f>F539-E539</f>
        <v>15717.991304347815</v>
      </c>
      <c r="H539" s="13">
        <f>IF(E539=0,IF(F539&gt;0,"New",0),(F539-E539)/E539)</f>
        <v>1.2284696401180073</v>
      </c>
      <c r="I539" s="12">
        <f>SUM(Data!J540,Data!L540,Data!N540,Data!P540,Data!R540,Data!T540,Data!V540,Data!X540,Data!Z540,Data!AB540,Data!AD540,Data!AF540,Data!AH540,Data!AJ540,Data!AL540,Data!AN540,Data!AP540,Data!AR540,Data!AT540)</f>
        <v>701</v>
      </c>
      <c r="J539" s="12">
        <f>SUM(Data!DJ540,Data!DL540,Data!DN540,Data!DP540,Data!DR540,Data!DT540,Data!DV540,Data!DX540,Data!DZ540,Data!EB540,Data!ED540,Data!EF540,Data!EH540,Data!EJ540,Data!EL540,Data!EN540,Data!EP540,Data!ER540,Data!ET540)</f>
        <v>1132</v>
      </c>
      <c r="K539" s="12">
        <f>J539-I539</f>
        <v>431</v>
      </c>
      <c r="L539" s="13">
        <f>IF(I539=0,IF(J539&gt;0,"New",0),(J539-I539)/I539)</f>
        <v>0.61483594864479318</v>
      </c>
      <c r="M539" t="str">
        <f>IF(F539=0,"No 2026 Sales",IF(E539=0,"New Product",IF(AND(ISNUMBER(H539),H539&gt;0.1),"↑ Strong Growth",IF(AND(ISNUMBER(H539),H539&gt;0),"↗ Growth",IF(AND(ISNUMBER(H539),H539&lt;-0.1),"↓ Strong Decline",IF(AND(ISNUMBER(H539),H539&lt;0),"↘ Decline","→ Stable"))))))</f>
        <v>↑ Strong Growth</v>
      </c>
    </row>
    <row r="540" spans="1:13" hidden="1" x14ac:dyDescent="0.35">
      <c r="A540">
        <f>Data!A541</f>
        <v>224</v>
      </c>
      <c r="B540" t="str">
        <f>Data!B541</f>
        <v>BILT&amp; DROEWORS BUY IN</v>
      </c>
      <c r="C540" s="9">
        <f>Data!C541</f>
        <v>61828</v>
      </c>
      <c r="D540" s="10" t="s">
        <v>1321</v>
      </c>
      <c r="E540" s="11">
        <f>SUM(Data!I541,Data!K541,Data!M541,Data!O541,Data!Q541,Data!S541,Data!U541,Data!W541,Data!Y541,Data!AA541,Data!AC541,Data!AE541,Data!AG541,Data!AI541,Data!AK541,Data!AM541,Data!AO541,Data!AQ541,Data!AS541)</f>
        <v>1356.5217391304359</v>
      </c>
      <c r="F540" s="11">
        <f>SUM(Data!DI541,Data!DK541,Data!DM541,Data!DO541,Data!DQ541,Data!DS541,Data!DU541,Data!DW541,Data!DY541,Data!EA541,Data!EC541,Data!EE541,Data!EG541,Data!EI541,Data!EK541,Data!EM541,Data!EO541,Data!EQ541,Data!ES541)</f>
        <v>0</v>
      </c>
      <c r="G540" s="11">
        <f>F540-E540</f>
        <v>-1356.5217391304359</v>
      </c>
      <c r="H540">
        <f>IF(E540=0,IF(F540&gt;0,"New",0),(F540-E540)/E540)</f>
        <v>-1</v>
      </c>
      <c r="I540" s="12">
        <f>SUM(Data!J541,Data!L541,Data!N541,Data!P541,Data!R541,Data!T541,Data!V541,Data!X541,Data!Z541,Data!AB541,Data!AD541,Data!AF541,Data!AH541,Data!AJ541,Data!AL541,Data!AN541,Data!AP541,Data!AR541,Data!AT541)</f>
        <v>24</v>
      </c>
      <c r="J540" s="12">
        <f>SUM(Data!DJ541,Data!DL541,Data!DN541,Data!DP541,Data!DR541,Data!DT541,Data!DV541,Data!DX541,Data!DZ541,Data!EB541,Data!ED541,Data!EF541,Data!EH541,Data!EJ541,Data!EL541,Data!EN541,Data!EP541,Data!ER541,Data!ET541)</f>
        <v>0</v>
      </c>
      <c r="K540" s="12">
        <f>J540-I540</f>
        <v>-24</v>
      </c>
      <c r="L540">
        <f>IF(I540=0,IF(J540&gt;0,"New",0),(J540-I540)/I540)</f>
        <v>-1</v>
      </c>
      <c r="M540" t="str">
        <f>IF(F540=0,"No 2026 Sales",IF(E540=0,"New Product",IF(AND(ISNUMBER(H540),H540&gt;0.1),"↑ Strong Growth",IF(AND(ISNUMBER(H540),H540&gt;0),"↗ Growth",IF(AND(ISNUMBER(H540),H540&lt;-0.1),"↓ Strong Decline",IF(AND(ISNUMBER(H540),H540&lt;0),"↘ Decline","→ Stable"))))))</f>
        <v>No 2026 Sales</v>
      </c>
    </row>
    <row r="541" spans="1:13" hidden="1" x14ac:dyDescent="0.35">
      <c r="A541">
        <f>Data!A542</f>
        <v>224</v>
      </c>
      <c r="B541" t="str">
        <f>Data!B542</f>
        <v>BILT&amp; DROEWORS BUY IN</v>
      </c>
      <c r="C541" s="9">
        <f>Data!C542</f>
        <v>62040</v>
      </c>
      <c r="D541" s="10" t="s">
        <v>1322</v>
      </c>
      <c r="E541" s="11">
        <f>SUM(Data!I542,Data!K542,Data!M542,Data!O542,Data!Q542,Data!S542,Data!U542,Data!W542,Data!Y542,Data!AA542,Data!AC542,Data!AE542,Data!AG542,Data!AI542,Data!AK542,Data!AM542,Data!AO542,Data!AQ542,Data!AS542)</f>
        <v>302.60869565217354</v>
      </c>
      <c r="F541" s="11">
        <f>SUM(Data!DI542,Data!DK542,Data!DM542,Data!DO542,Data!DQ542,Data!DS542,Data!DU542,Data!DW542,Data!DY542,Data!EA542,Data!EC542,Data!EE542,Data!EG542,Data!EI542,Data!EK542,Data!EM542,Data!EO542,Data!EQ542,Data!ES542)</f>
        <v>0</v>
      </c>
      <c r="G541" s="11">
        <f>F541-E541</f>
        <v>-302.60869565217354</v>
      </c>
      <c r="H541">
        <f>IF(E541=0,IF(F541&gt;0,"New",0),(F541-E541)/E541)</f>
        <v>-1</v>
      </c>
      <c r="I541" s="12">
        <f>SUM(Data!J542,Data!L542,Data!N542,Data!P542,Data!R542,Data!T542,Data!V542,Data!X542,Data!Z542,Data!AB542,Data!AD542,Data!AF542,Data!AH542,Data!AJ542,Data!AL542,Data!AN542,Data!AP542,Data!AR542,Data!AT542)</f>
        <v>29</v>
      </c>
      <c r="J541" s="12">
        <f>SUM(Data!DJ542,Data!DL542,Data!DN542,Data!DP542,Data!DR542,Data!DT542,Data!DV542,Data!DX542,Data!DZ542,Data!EB542,Data!ED542,Data!EF542,Data!EH542,Data!EJ542,Data!EL542,Data!EN542,Data!EP542,Data!ER542,Data!ET542)</f>
        <v>0</v>
      </c>
      <c r="K541" s="12">
        <f>J541-I541</f>
        <v>-29</v>
      </c>
      <c r="L541">
        <f>IF(I541=0,IF(J541&gt;0,"New",0),(J541-I541)/I541)</f>
        <v>-1</v>
      </c>
      <c r="M541" t="str">
        <f>IF(F541=0,"No 2026 Sales",IF(E541=0,"New Product",IF(AND(ISNUMBER(H541),H541&gt;0.1),"↑ Strong Growth",IF(AND(ISNUMBER(H541),H541&gt;0),"↗ Growth",IF(AND(ISNUMBER(H541),H541&lt;-0.1),"↓ Strong Decline",IF(AND(ISNUMBER(H541),H541&lt;0),"↘ Decline","→ Stable"))))))</f>
        <v>No 2026 Sales</v>
      </c>
    </row>
    <row r="542" spans="1:13" hidden="1" x14ac:dyDescent="0.35">
      <c r="A542">
        <f>Data!A543</f>
        <v>224</v>
      </c>
      <c r="B542" t="str">
        <f>Data!B543</f>
        <v>BILT&amp; DROEWORS BUY IN</v>
      </c>
      <c r="C542" s="9">
        <f>Data!C543</f>
        <v>62613</v>
      </c>
      <c r="D542" s="10" t="s">
        <v>1323</v>
      </c>
      <c r="E542" s="11">
        <f>SUM(Data!I543,Data!K543,Data!M543,Data!O543,Data!Q543,Data!S543,Data!U543,Data!W543,Data!Y543,Data!AA543,Data!AC543,Data!AE543,Data!AG543,Data!AI543,Data!AK543,Data!AM543,Data!AO543,Data!AQ543,Data!AS543)</f>
        <v>0</v>
      </c>
      <c r="F542" s="11">
        <f>SUM(Data!DI543,Data!DK543,Data!DM543,Data!DO543,Data!DQ543,Data!DS543,Data!DU543,Data!DW543,Data!DY543,Data!EA543,Data!EC543,Data!EE543,Data!EG543,Data!EI543,Data!EK543,Data!EM543,Data!EO543,Data!EQ543,Data!ES543)</f>
        <v>0</v>
      </c>
      <c r="G542" s="11">
        <f>F542-E542</f>
        <v>0</v>
      </c>
      <c r="H542">
        <f>IF(E542=0,IF(F542&gt;0,"New",0),(F542-E542)/E542)</f>
        <v>0</v>
      </c>
      <c r="I542" s="12">
        <f>SUM(Data!J543,Data!L543,Data!N543,Data!P543,Data!R543,Data!T543,Data!V543,Data!X543,Data!Z543,Data!AB543,Data!AD543,Data!AF543,Data!AH543,Data!AJ543,Data!AL543,Data!AN543,Data!AP543,Data!AR543,Data!AT543)</f>
        <v>0</v>
      </c>
      <c r="J542" s="12">
        <f>SUM(Data!DJ543,Data!DL543,Data!DN543,Data!DP543,Data!DR543,Data!DT543,Data!DV543,Data!DX543,Data!DZ543,Data!EB543,Data!ED543,Data!EF543,Data!EH543,Data!EJ543,Data!EL543,Data!EN543,Data!EP543,Data!ER543,Data!ET543)</f>
        <v>0</v>
      </c>
      <c r="K542" s="12">
        <f>J542-I542</f>
        <v>0</v>
      </c>
      <c r="L542">
        <f>IF(I542=0,IF(J542&gt;0,"New",0),(J542-I542)/I542)</f>
        <v>0</v>
      </c>
      <c r="M542" t="str">
        <f>IF(F542=0,"No 2026 Sales",IF(E542=0,"New Product",IF(AND(ISNUMBER(H542),H542&gt;0.1),"↑ Strong Growth",IF(AND(ISNUMBER(H542),H542&gt;0),"↗ Growth",IF(AND(ISNUMBER(H542),H542&lt;-0.1),"↓ Strong Decline",IF(AND(ISNUMBER(H542),H542&lt;0),"↘ Decline","→ Stable"))))))</f>
        <v>No 2026 Sales</v>
      </c>
    </row>
    <row r="543" spans="1:13" hidden="1" x14ac:dyDescent="0.35">
      <c r="A543">
        <f>Data!A544</f>
        <v>224</v>
      </c>
      <c r="B543" t="str">
        <f>Data!B544</f>
        <v>BILT&amp; DROEWORS BUY IN</v>
      </c>
      <c r="C543" s="9">
        <f>Data!C544</f>
        <v>64414</v>
      </c>
      <c r="D543" s="10" t="s">
        <v>1324</v>
      </c>
      <c r="E543" s="11">
        <f>SUM(Data!I544,Data!K544,Data!M544,Data!O544,Data!Q544,Data!S544,Data!U544,Data!W544,Data!Y544,Data!AA544,Data!AC544,Data!AE544,Data!AG544,Data!AI544,Data!AK544,Data!AM544,Data!AO544,Data!AQ544,Data!AS544)</f>
        <v>0</v>
      </c>
      <c r="F543" s="11">
        <f>SUM(Data!DI544,Data!DK544,Data!DM544,Data!DO544,Data!DQ544,Data!DS544,Data!DU544,Data!DW544,Data!DY544,Data!EA544,Data!EC544,Data!EE544,Data!EG544,Data!EI544,Data!EK544,Data!EM544,Data!EO544,Data!EQ544,Data!ES544)</f>
        <v>0</v>
      </c>
      <c r="G543" s="11">
        <f>F543-E543</f>
        <v>0</v>
      </c>
      <c r="H543">
        <f>IF(E543=0,IF(F543&gt;0,"New",0),(F543-E543)/E543)</f>
        <v>0</v>
      </c>
      <c r="I543" s="12">
        <f>SUM(Data!J544,Data!L544,Data!N544,Data!P544,Data!R544,Data!T544,Data!V544,Data!X544,Data!Z544,Data!AB544,Data!AD544,Data!AF544,Data!AH544,Data!AJ544,Data!AL544,Data!AN544,Data!AP544,Data!AR544,Data!AT544)</f>
        <v>0</v>
      </c>
      <c r="J543" s="12">
        <f>SUM(Data!DJ544,Data!DL544,Data!DN544,Data!DP544,Data!DR544,Data!DT544,Data!DV544,Data!DX544,Data!DZ544,Data!EB544,Data!ED544,Data!EF544,Data!EH544,Data!EJ544,Data!EL544,Data!EN544,Data!EP544,Data!ER544,Data!ET544)</f>
        <v>0</v>
      </c>
      <c r="K543" s="12">
        <f>J543-I543</f>
        <v>0</v>
      </c>
      <c r="L543">
        <f>IF(I543=0,IF(J543&gt;0,"New",0),(J543-I543)/I543)</f>
        <v>0</v>
      </c>
      <c r="M543" t="str">
        <f>IF(F543=0,"No 2026 Sales",IF(E543=0,"New Product",IF(AND(ISNUMBER(H543),H543&gt;0.1),"↑ Strong Growth",IF(AND(ISNUMBER(H543),H543&gt;0),"↗ Growth",IF(AND(ISNUMBER(H543),H543&lt;-0.1),"↓ Strong Decline",IF(AND(ISNUMBER(H543),H543&lt;0),"↘ Decline","→ Stable"))))))</f>
        <v>No 2026 Sales</v>
      </c>
    </row>
    <row r="544" spans="1:13" x14ac:dyDescent="0.35">
      <c r="A544">
        <f>Data!A545</f>
        <v>224</v>
      </c>
      <c r="B544" t="str">
        <f>Data!B545</f>
        <v>BILT&amp; DROEWORS BUY IN</v>
      </c>
      <c r="C544" s="9">
        <f>Data!C545</f>
        <v>64449</v>
      </c>
      <c r="D544" s="10" t="s">
        <v>1325</v>
      </c>
      <c r="E544" s="11">
        <f>SUM(Data!I545,Data!K545,Data!M545,Data!O545,Data!Q545,Data!S545,Data!U545,Data!W545,Data!Y545,Data!AA545,Data!AC545,Data!AE545,Data!AG545,Data!AI545,Data!AK545,Data!AM545,Data!AO545,Data!AQ545,Data!AS545)</f>
        <v>0</v>
      </c>
      <c r="F544" s="11">
        <f>SUM(Data!DI545,Data!DK545,Data!DM545,Data!DO545,Data!DQ545,Data!DS545,Data!DU545,Data!DW545,Data!DY545,Data!EA545,Data!EC545,Data!EE545,Data!EG545,Data!EI545,Data!EK545,Data!EM545,Data!EO545,Data!EQ545,Data!ES545)</f>
        <v>4691.852173913041</v>
      </c>
      <c r="G544" s="11">
        <f>F544-E544</f>
        <v>4691.852173913041</v>
      </c>
      <c r="H544" s="13" t="str">
        <f>IF(E544=0,IF(F544&gt;0,"New",0),(F544-E544)/E544)</f>
        <v>New</v>
      </c>
      <c r="I544" s="12">
        <f>SUM(Data!J545,Data!L545,Data!N545,Data!P545,Data!R545,Data!T545,Data!V545,Data!X545,Data!Z545,Data!AB545,Data!AD545,Data!AF545,Data!AH545,Data!AJ545,Data!AL545,Data!AN545,Data!AP545,Data!AR545,Data!AT545)</f>
        <v>0</v>
      </c>
      <c r="J544" s="12">
        <f>SUM(Data!DJ545,Data!DL545,Data!DN545,Data!DP545,Data!DR545,Data!DT545,Data!DV545,Data!DX545,Data!DZ545,Data!EB545,Data!ED545,Data!EF545,Data!EH545,Data!EJ545,Data!EL545,Data!EN545,Data!EP545,Data!ER545,Data!ET545)</f>
        <v>13.504</v>
      </c>
      <c r="K544" s="12">
        <f>J544-I544</f>
        <v>13.504</v>
      </c>
      <c r="L544" s="13" t="str">
        <f>IF(I544=0,IF(J544&gt;0,"New",0),(J544-I544)/I544)</f>
        <v>New</v>
      </c>
      <c r="M544" t="str">
        <f>IF(F544=0,"No 2026 Sales",IF(E544=0,"New Product",IF(AND(ISNUMBER(H544),H544&gt;0.1),"↑ Strong Growth",IF(AND(ISNUMBER(H544),H544&gt;0),"↗ Growth",IF(AND(ISNUMBER(H544),H544&lt;-0.1),"↓ Strong Decline",IF(AND(ISNUMBER(H544),H544&lt;0),"↘ Decline","→ Stable"))))))</f>
        <v>New Product</v>
      </c>
    </row>
    <row r="545" spans="1:13" x14ac:dyDescent="0.35">
      <c r="A545">
        <f>Data!A546</f>
        <v>224</v>
      </c>
      <c r="B545" t="str">
        <f>Data!B546</f>
        <v>BILT&amp; DROEWORS BUY IN</v>
      </c>
      <c r="C545" s="9">
        <f>Data!C546</f>
        <v>65480</v>
      </c>
      <c r="D545" s="10" t="s">
        <v>1326</v>
      </c>
      <c r="E545" s="11">
        <f>SUM(Data!I546,Data!K546,Data!M546,Data!O546,Data!Q546,Data!S546,Data!U546,Data!W546,Data!Y546,Data!AA546,Data!AC546,Data!AE546,Data!AG546,Data!AI546,Data!AK546,Data!AM546,Data!AO546,Data!AQ546,Data!AS546)</f>
        <v>0</v>
      </c>
      <c r="F545" s="11">
        <f>SUM(Data!DI546,Data!DK546,Data!DM546,Data!DO546,Data!DQ546,Data!DS546,Data!DU546,Data!DW546,Data!DY546,Data!EA546,Data!EC546,Data!EE546,Data!EG546,Data!EI546,Data!EK546,Data!EM546,Data!EO546,Data!EQ546,Data!ES546)</f>
        <v>3465.7391304347834</v>
      </c>
      <c r="G545" s="11">
        <f>F545-E545</f>
        <v>3465.7391304347834</v>
      </c>
      <c r="H545" s="13" t="str">
        <f>IF(E545=0,IF(F545&gt;0,"New",0),(F545-E545)/E545)</f>
        <v>New</v>
      </c>
      <c r="I545" s="12">
        <f>SUM(Data!J546,Data!L546,Data!N546,Data!P546,Data!R546,Data!T546,Data!V546,Data!X546,Data!Z546,Data!AB546,Data!AD546,Data!AF546,Data!AH546,Data!AJ546,Data!AL546,Data!AN546,Data!AP546,Data!AR546,Data!AT546)</f>
        <v>0</v>
      </c>
      <c r="J545" s="12">
        <f>SUM(Data!DJ546,Data!DL546,Data!DN546,Data!DP546,Data!DR546,Data!DT546,Data!DV546,Data!DX546,Data!DZ546,Data!EB546,Data!ED546,Data!EF546,Data!EH546,Data!EJ546,Data!EL546,Data!EN546,Data!EP546,Data!ER546,Data!ET546)</f>
        <v>9.9640000000000022</v>
      </c>
      <c r="K545" s="12">
        <f>J545-I545</f>
        <v>9.9640000000000022</v>
      </c>
      <c r="L545" s="13" t="str">
        <f>IF(I545=0,IF(J545&gt;0,"New",0),(J545-I545)/I545)</f>
        <v>New</v>
      </c>
      <c r="M545" t="str">
        <f>IF(F545=0,"No 2026 Sales",IF(E545=0,"New Product",IF(AND(ISNUMBER(H545),H545&gt;0.1),"↑ Strong Growth",IF(AND(ISNUMBER(H545),H545&gt;0),"↗ Growth",IF(AND(ISNUMBER(H545),H545&lt;-0.1),"↓ Strong Decline",IF(AND(ISNUMBER(H545),H545&lt;0),"↘ Decline","→ Stable"))))))</f>
        <v>New Product</v>
      </c>
    </row>
    <row r="546" spans="1:13" hidden="1" x14ac:dyDescent="0.35">
      <c r="A546">
        <f>Data!A547</f>
        <v>224</v>
      </c>
      <c r="B546" t="str">
        <f>Data!B547</f>
        <v>BILT&amp; DROEWORS BUY IN</v>
      </c>
      <c r="C546" s="9">
        <f>Data!C547</f>
        <v>66211</v>
      </c>
      <c r="D546" s="10" t="s">
        <v>1327</v>
      </c>
      <c r="E546" s="11">
        <f>SUM(Data!I547,Data!K547,Data!M547,Data!O547,Data!Q547,Data!S547,Data!U547,Data!W547,Data!Y547,Data!AA547,Data!AC547,Data!AE547,Data!AG547,Data!AI547,Data!AK547,Data!AM547,Data!AO547,Data!AQ547,Data!AS547)</f>
        <v>0</v>
      </c>
      <c r="F546" s="11">
        <f>SUM(Data!DI547,Data!DK547,Data!DM547,Data!DO547,Data!DQ547,Data!DS547,Data!DU547,Data!DW547,Data!DY547,Data!EA547,Data!EC547,Data!EE547,Data!EG547,Data!EI547,Data!EK547,Data!EM547,Data!EO547,Data!EQ547,Data!ES547)</f>
        <v>0</v>
      </c>
      <c r="G546" s="11">
        <f>F546-E546</f>
        <v>0</v>
      </c>
      <c r="H546">
        <f>IF(E546=0,IF(F546&gt;0,"New",0),(F546-E546)/E546)</f>
        <v>0</v>
      </c>
      <c r="I546" s="12">
        <f>SUM(Data!J547,Data!L547,Data!N547,Data!P547,Data!R547,Data!T547,Data!V547,Data!X547,Data!Z547,Data!AB547,Data!AD547,Data!AF547,Data!AH547,Data!AJ547,Data!AL547,Data!AN547,Data!AP547,Data!AR547,Data!AT547)</f>
        <v>0</v>
      </c>
      <c r="J546" s="12">
        <f>SUM(Data!DJ547,Data!DL547,Data!DN547,Data!DP547,Data!DR547,Data!DT547,Data!DV547,Data!DX547,Data!DZ547,Data!EB547,Data!ED547,Data!EF547,Data!EH547,Data!EJ547,Data!EL547,Data!EN547,Data!EP547,Data!ER547,Data!ET547)</f>
        <v>0</v>
      </c>
      <c r="K546" s="12">
        <f>J546-I546</f>
        <v>0</v>
      </c>
      <c r="L546">
        <f>IF(I546=0,IF(J546&gt;0,"New",0),(J546-I546)/I546)</f>
        <v>0</v>
      </c>
      <c r="M546" t="str">
        <f>IF(F546=0,"No 2026 Sales",IF(E546=0,"New Product",IF(AND(ISNUMBER(H546),H546&gt;0.1),"↑ Strong Growth",IF(AND(ISNUMBER(H546),H546&gt;0),"↗ Growth",IF(AND(ISNUMBER(H546),H546&lt;-0.1),"↓ Strong Decline",IF(AND(ISNUMBER(H546),H546&lt;0),"↘ Decline","→ Stable"))))))</f>
        <v>No 2026 Sales</v>
      </c>
    </row>
    <row r="547" spans="1:13" hidden="1" x14ac:dyDescent="0.35">
      <c r="A547">
        <f>Data!A548</f>
        <v>225</v>
      </c>
      <c r="B547" t="str">
        <f>Data!B548</f>
        <v>ALL OFFAL</v>
      </c>
      <c r="C547" s="9">
        <f>Data!C548</f>
        <v>12693</v>
      </c>
      <c r="D547" s="10" t="s">
        <v>1328</v>
      </c>
      <c r="E547" s="11">
        <f>SUM(Data!I548,Data!K548,Data!M548,Data!O548,Data!Q548,Data!S548,Data!U548,Data!W548,Data!Y548,Data!AA548,Data!AC548,Data!AE548,Data!AG548,Data!AI548,Data!AK548,Data!AM548,Data!AO548,Data!AQ548,Data!AS548)</f>
        <v>1478.5217391304341</v>
      </c>
      <c r="F547" s="11">
        <f>SUM(Data!DI548,Data!DK548,Data!DM548,Data!DO548,Data!DQ548,Data!DS548,Data!DU548,Data!DW548,Data!DY548,Data!EA548,Data!EC548,Data!EE548,Data!EG548,Data!EI548,Data!EK548,Data!EM548,Data!EO548,Data!EQ548,Data!ES548)</f>
        <v>0</v>
      </c>
      <c r="G547" s="11">
        <f>F547-E547</f>
        <v>-1478.5217391304341</v>
      </c>
      <c r="H547">
        <f>IF(E547=0,IF(F547&gt;0,"New",0),(F547-E547)/E547)</f>
        <v>-1</v>
      </c>
      <c r="I547" s="12">
        <f>SUM(Data!J548,Data!L548,Data!N548,Data!P548,Data!R548,Data!T548,Data!V548,Data!X548,Data!Z548,Data!AB548,Data!AD548,Data!AF548,Data!AH548,Data!AJ548,Data!AL548,Data!AN548,Data!AP548,Data!AR548,Data!AT548)</f>
        <v>12.146000000000001</v>
      </c>
      <c r="J547" s="12">
        <f>SUM(Data!DJ548,Data!DL548,Data!DN548,Data!DP548,Data!DR548,Data!DT548,Data!DV548,Data!DX548,Data!DZ548,Data!EB548,Data!ED548,Data!EF548,Data!EH548,Data!EJ548,Data!EL548,Data!EN548,Data!EP548,Data!ER548,Data!ET548)</f>
        <v>0</v>
      </c>
      <c r="K547" s="12">
        <f>J547-I547</f>
        <v>-12.146000000000001</v>
      </c>
      <c r="L547">
        <f>IF(I547=0,IF(J547&gt;0,"New",0),(J547-I547)/I547)</f>
        <v>-1</v>
      </c>
      <c r="M547" t="str">
        <f>IF(F547=0,"No 2026 Sales",IF(E547=0,"New Product",IF(AND(ISNUMBER(H547),H547&gt;0.1),"↑ Strong Growth",IF(AND(ISNUMBER(H547),H547&gt;0),"↗ Growth",IF(AND(ISNUMBER(H547),H547&lt;-0.1),"↓ Strong Decline",IF(AND(ISNUMBER(H547),H547&lt;0),"↘ Decline","→ Stable"))))))</f>
        <v>No 2026 Sales</v>
      </c>
    </row>
    <row r="548" spans="1:13" hidden="1" x14ac:dyDescent="0.35">
      <c r="A548">
        <f>Data!A549</f>
        <v>225</v>
      </c>
      <c r="B548" t="str">
        <f>Data!B549</f>
        <v>ALL OFFAL</v>
      </c>
      <c r="C548" s="9">
        <f>Data!C549</f>
        <v>51712</v>
      </c>
      <c r="D548" s="10" t="s">
        <v>1329</v>
      </c>
      <c r="E548" s="11">
        <f>SUM(Data!I549,Data!K549,Data!M549,Data!O549,Data!Q549,Data!S549,Data!U549,Data!W549,Data!Y549,Data!AA549,Data!AC549,Data!AE549,Data!AG549,Data!AI549,Data!AK549,Data!AM549,Data!AO549,Data!AQ549,Data!AS549)</f>
        <v>0</v>
      </c>
      <c r="F548" s="11">
        <f>SUM(Data!DI549,Data!DK549,Data!DM549,Data!DO549,Data!DQ549,Data!DS549,Data!DU549,Data!DW549,Data!DY549,Data!EA549,Data!EC549,Data!EE549,Data!EG549,Data!EI549,Data!EK549,Data!EM549,Data!EO549,Data!EQ549,Data!ES549)</f>
        <v>0</v>
      </c>
      <c r="G548" s="11">
        <f>F548-E548</f>
        <v>0</v>
      </c>
      <c r="H548">
        <f>IF(E548=0,IF(F548&gt;0,"New",0),(F548-E548)/E548)</f>
        <v>0</v>
      </c>
      <c r="I548" s="12">
        <f>SUM(Data!J549,Data!L549,Data!N549,Data!P549,Data!R549,Data!T549,Data!V549,Data!X549,Data!Z549,Data!AB549,Data!AD549,Data!AF549,Data!AH549,Data!AJ549,Data!AL549,Data!AN549,Data!AP549,Data!AR549,Data!AT549)</f>
        <v>0</v>
      </c>
      <c r="J548" s="12">
        <f>SUM(Data!DJ549,Data!DL549,Data!DN549,Data!DP549,Data!DR549,Data!DT549,Data!DV549,Data!DX549,Data!DZ549,Data!EB549,Data!ED549,Data!EF549,Data!EH549,Data!EJ549,Data!EL549,Data!EN549,Data!EP549,Data!ER549,Data!ET549)</f>
        <v>0</v>
      </c>
      <c r="K548" s="12">
        <f>J548-I548</f>
        <v>0</v>
      </c>
      <c r="L548">
        <f>IF(I548=0,IF(J548&gt;0,"New",0),(J548-I548)/I548)</f>
        <v>0</v>
      </c>
      <c r="M548" t="str">
        <f>IF(F548=0,"No 2026 Sales",IF(E548=0,"New Product",IF(AND(ISNUMBER(H548),H548&gt;0.1),"↑ Strong Growth",IF(AND(ISNUMBER(H548),H548&gt;0),"↗ Growth",IF(AND(ISNUMBER(H548),H548&lt;-0.1),"↓ Strong Decline",IF(AND(ISNUMBER(H548),H548&lt;0),"↘ Decline","→ Stable"))))))</f>
        <v>No 2026 Sales</v>
      </c>
    </row>
    <row r="549" spans="1:13" hidden="1" x14ac:dyDescent="0.35">
      <c r="A549">
        <f>Data!A550</f>
        <v>226</v>
      </c>
      <c r="B549" t="str">
        <f>Data!B550</f>
        <v>PORK</v>
      </c>
      <c r="C549" s="9">
        <f>Data!C550</f>
        <v>41083</v>
      </c>
      <c r="D549" s="10" t="s">
        <v>1330</v>
      </c>
      <c r="E549" s="11">
        <f>SUM(Data!I550,Data!K550,Data!M550,Data!O550,Data!Q550,Data!S550,Data!U550,Data!W550,Data!Y550,Data!AA550,Data!AC550,Data!AE550,Data!AG550,Data!AI550,Data!AK550,Data!AM550,Data!AO550,Data!AQ550,Data!AS550)</f>
        <v>0</v>
      </c>
      <c r="F549" s="11">
        <f>SUM(Data!DI550,Data!DK550,Data!DM550,Data!DO550,Data!DQ550,Data!DS550,Data!DU550,Data!DW550,Data!DY550,Data!EA550,Data!EC550,Data!EE550,Data!EG550,Data!EI550,Data!EK550,Data!EM550,Data!EO550,Data!EQ550,Data!ES550)</f>
        <v>0</v>
      </c>
      <c r="G549" s="11">
        <f>F549-E549</f>
        <v>0</v>
      </c>
      <c r="H549">
        <f>IF(E549=0,IF(F549&gt;0,"New",0),(F549-E549)/E549)</f>
        <v>0</v>
      </c>
      <c r="I549" s="12">
        <f>SUM(Data!J550,Data!L550,Data!N550,Data!P550,Data!R550,Data!T550,Data!V550,Data!X550,Data!Z550,Data!AB550,Data!AD550,Data!AF550,Data!AH550,Data!AJ550,Data!AL550,Data!AN550,Data!AP550,Data!AR550,Data!AT550)</f>
        <v>0</v>
      </c>
      <c r="J549" s="12">
        <f>SUM(Data!DJ550,Data!DL550,Data!DN550,Data!DP550,Data!DR550,Data!DT550,Data!DV550,Data!DX550,Data!DZ550,Data!EB550,Data!ED550,Data!EF550,Data!EH550,Data!EJ550,Data!EL550,Data!EN550,Data!EP550,Data!ER550,Data!ET550)</f>
        <v>0</v>
      </c>
      <c r="K549" s="12">
        <f>J549-I549</f>
        <v>0</v>
      </c>
      <c r="L549">
        <f>IF(I549=0,IF(J549&gt;0,"New",0),(J549-I549)/I549)</f>
        <v>0</v>
      </c>
      <c r="M549" t="str">
        <f>IF(F549=0,"No 2026 Sales",IF(E549=0,"New Product",IF(AND(ISNUMBER(H549),H549&gt;0.1),"↑ Strong Growth",IF(AND(ISNUMBER(H549),H549&gt;0),"↗ Growth",IF(AND(ISNUMBER(H549),H549&lt;-0.1),"↓ Strong Decline",IF(AND(ISNUMBER(H549),H549&lt;0),"↘ Decline","→ Stable"))))))</f>
        <v>No 2026 Sales</v>
      </c>
    </row>
    <row r="550" spans="1:13" hidden="1" x14ac:dyDescent="0.35">
      <c r="A550">
        <f>Data!A551</f>
        <v>229</v>
      </c>
      <c r="B550" t="str">
        <f>Data!B551</f>
        <v>INGREDIENTS</v>
      </c>
      <c r="C550" s="9">
        <f>Data!C551</f>
        <v>62559</v>
      </c>
      <c r="D550" s="10" t="s">
        <v>1331</v>
      </c>
      <c r="E550" s="11">
        <f>SUM(Data!I551,Data!K551,Data!M551,Data!O551,Data!Q551,Data!S551,Data!U551,Data!W551,Data!Y551,Data!AA551,Data!AC551,Data!AE551,Data!AG551,Data!AI551,Data!AK551,Data!AM551,Data!AO551,Data!AQ551,Data!AS551)</f>
        <v>0</v>
      </c>
      <c r="F550" s="11">
        <f>SUM(Data!DI551,Data!DK551,Data!DM551,Data!DO551,Data!DQ551,Data!DS551,Data!DU551,Data!DW551,Data!DY551,Data!EA551,Data!EC551,Data!EE551,Data!EG551,Data!EI551,Data!EK551,Data!EM551,Data!EO551,Data!EQ551,Data!ES551)</f>
        <v>0</v>
      </c>
      <c r="G550" s="11">
        <f>F550-E550</f>
        <v>0</v>
      </c>
      <c r="H550">
        <f>IF(E550=0,IF(F550&gt;0,"New",0),(F550-E550)/E550)</f>
        <v>0</v>
      </c>
      <c r="I550" s="12">
        <f>SUM(Data!J551,Data!L551,Data!N551,Data!P551,Data!R551,Data!T551,Data!V551,Data!X551,Data!Z551,Data!AB551,Data!AD551,Data!AF551,Data!AH551,Data!AJ551,Data!AL551,Data!AN551,Data!AP551,Data!AR551,Data!AT551)</f>
        <v>0</v>
      </c>
      <c r="J550" s="12">
        <f>SUM(Data!DJ551,Data!DL551,Data!DN551,Data!DP551,Data!DR551,Data!DT551,Data!DV551,Data!DX551,Data!DZ551,Data!EB551,Data!ED551,Data!EF551,Data!EH551,Data!EJ551,Data!EL551,Data!EN551,Data!EP551,Data!ER551,Data!ET551)</f>
        <v>0</v>
      </c>
      <c r="K550" s="12">
        <f>J550-I550</f>
        <v>0</v>
      </c>
      <c r="L550">
        <f>IF(I550=0,IF(J550&gt;0,"New",0),(J550-I550)/I550)</f>
        <v>0</v>
      </c>
      <c r="M550" t="str">
        <f>IF(F550=0,"No 2026 Sales",IF(E550=0,"New Product",IF(AND(ISNUMBER(H550),H550&gt;0.1),"↑ Strong Growth",IF(AND(ISNUMBER(H550),H550&gt;0),"↗ Growth",IF(AND(ISNUMBER(H550),H550&lt;-0.1),"↓ Strong Decline",IF(AND(ISNUMBER(H550),H550&lt;0),"↘ Decline","→ Stable"))))))</f>
        <v>No 2026 Sales</v>
      </c>
    </row>
    <row r="551" spans="1:13" hidden="1" x14ac:dyDescent="0.35">
      <c r="A551">
        <f>Data!A552</f>
        <v>229</v>
      </c>
      <c r="B551" t="str">
        <f>Data!B552</f>
        <v>INGREDIENTS</v>
      </c>
      <c r="C551" s="9">
        <f>Data!C552</f>
        <v>62560</v>
      </c>
      <c r="D551" s="10" t="s">
        <v>1332</v>
      </c>
      <c r="E551" s="11">
        <f>SUM(Data!I552,Data!K552,Data!M552,Data!O552,Data!Q552,Data!S552,Data!U552,Data!W552,Data!Y552,Data!AA552,Data!AC552,Data!AE552,Data!AG552,Data!AI552,Data!AK552,Data!AM552,Data!AO552,Data!AQ552,Data!AS552)</f>
        <v>0</v>
      </c>
      <c r="F551" s="11">
        <f>SUM(Data!DI552,Data!DK552,Data!DM552,Data!DO552,Data!DQ552,Data!DS552,Data!DU552,Data!DW552,Data!DY552,Data!EA552,Data!EC552,Data!EE552,Data!EG552,Data!EI552,Data!EK552,Data!EM552,Data!EO552,Data!EQ552,Data!ES552)</f>
        <v>0</v>
      </c>
      <c r="G551" s="11">
        <f>F551-E551</f>
        <v>0</v>
      </c>
      <c r="H551">
        <f>IF(E551=0,IF(F551&gt;0,"New",0),(F551-E551)/E551)</f>
        <v>0</v>
      </c>
      <c r="I551" s="12">
        <f>SUM(Data!J552,Data!L552,Data!N552,Data!P552,Data!R552,Data!T552,Data!V552,Data!X552,Data!Z552,Data!AB552,Data!AD552,Data!AF552,Data!AH552,Data!AJ552,Data!AL552,Data!AN552,Data!AP552,Data!AR552,Data!AT552)</f>
        <v>0</v>
      </c>
      <c r="J551" s="12">
        <f>SUM(Data!DJ552,Data!DL552,Data!DN552,Data!DP552,Data!DR552,Data!DT552,Data!DV552,Data!DX552,Data!DZ552,Data!EB552,Data!ED552,Data!EF552,Data!EH552,Data!EJ552,Data!EL552,Data!EN552,Data!EP552,Data!ER552,Data!ET552)</f>
        <v>0</v>
      </c>
      <c r="K551" s="12">
        <f>J551-I551</f>
        <v>0</v>
      </c>
      <c r="L551">
        <f>IF(I551=0,IF(J551&gt;0,"New",0),(J551-I551)/I551)</f>
        <v>0</v>
      </c>
      <c r="M551" t="str">
        <f>IF(F551=0,"No 2026 Sales",IF(E551=0,"New Product",IF(AND(ISNUMBER(H551),H551&gt;0.1),"↑ Strong Growth",IF(AND(ISNUMBER(H551),H551&gt;0),"↗ Growth",IF(AND(ISNUMBER(H551),H551&lt;-0.1),"↓ Strong Decline",IF(AND(ISNUMBER(H551),H551&lt;0),"↘ Decline","→ Stable"))))))</f>
        <v>No 2026 Sales</v>
      </c>
    </row>
    <row r="552" spans="1:13" hidden="1" x14ac:dyDescent="0.35">
      <c r="A552">
        <f>Data!A553</f>
        <v>229</v>
      </c>
      <c r="B552" t="str">
        <f>Data!B553</f>
        <v>INGREDIENTS</v>
      </c>
      <c r="C552" s="9">
        <f>Data!C553</f>
        <v>63808</v>
      </c>
      <c r="D552" s="10" t="s">
        <v>1333</v>
      </c>
      <c r="E552" s="11">
        <f>SUM(Data!I553,Data!K553,Data!M553,Data!O553,Data!Q553,Data!S553,Data!U553,Data!W553,Data!Y553,Data!AA553,Data!AC553,Data!AE553,Data!AG553,Data!AI553,Data!AK553,Data!AM553,Data!AO553,Data!AQ553,Data!AS553)</f>
        <v>0</v>
      </c>
      <c r="F552" s="11">
        <f>SUM(Data!DI553,Data!DK553,Data!DM553,Data!DO553,Data!DQ553,Data!DS553,Data!DU553,Data!DW553,Data!DY553,Data!EA553,Data!EC553,Data!EE553,Data!EG553,Data!EI553,Data!EK553,Data!EM553,Data!EO553,Data!EQ553,Data!ES553)</f>
        <v>0</v>
      </c>
      <c r="G552" s="11">
        <f>F552-E552</f>
        <v>0</v>
      </c>
      <c r="H552">
        <f>IF(E552=0,IF(F552&gt;0,"New",0),(F552-E552)/E552)</f>
        <v>0</v>
      </c>
      <c r="I552" s="12">
        <f>SUM(Data!J553,Data!L553,Data!N553,Data!P553,Data!R553,Data!T553,Data!V553,Data!X553,Data!Z553,Data!AB553,Data!AD553,Data!AF553,Data!AH553,Data!AJ553,Data!AL553,Data!AN553,Data!AP553,Data!AR553,Data!AT553)</f>
        <v>0</v>
      </c>
      <c r="J552" s="12">
        <f>SUM(Data!DJ553,Data!DL553,Data!DN553,Data!DP553,Data!DR553,Data!DT553,Data!DV553,Data!DX553,Data!DZ553,Data!EB553,Data!ED553,Data!EF553,Data!EH553,Data!EJ553,Data!EL553,Data!EN553,Data!EP553,Data!ER553,Data!ET553)</f>
        <v>0</v>
      </c>
      <c r="K552" s="12">
        <f>J552-I552</f>
        <v>0</v>
      </c>
      <c r="L552">
        <f>IF(I552=0,IF(J552&gt;0,"New",0),(J552-I552)/I552)</f>
        <v>0</v>
      </c>
      <c r="M552" t="str">
        <f>IF(F552=0,"No 2026 Sales",IF(E552=0,"New Product",IF(AND(ISNUMBER(H552),H552&gt;0.1),"↑ Strong Growth",IF(AND(ISNUMBER(H552),H552&gt;0),"↗ Growth",IF(AND(ISNUMBER(H552),H552&lt;-0.1),"↓ Strong Decline",IF(AND(ISNUMBER(H552),H552&lt;0),"↘ Decline","→ Stable"))))))</f>
        <v>No 2026 Sales</v>
      </c>
    </row>
    <row r="553" spans="1:13" x14ac:dyDescent="0.35">
      <c r="A553" s="10" t="s">
        <v>1334</v>
      </c>
      <c r="B553" s="10" t="s">
        <v>1335</v>
      </c>
      <c r="C553" s="10" t="s">
        <v>1336</v>
      </c>
      <c r="D553" s="10" t="s">
        <v>1337</v>
      </c>
      <c r="E553" s="11">
        <f>SUM(Data!I554,Data!CA554,Data!M554,Data!O554,Data!Q554,Data!BA554,Data!W554,Data!S554,Data!AA554,Data!CS554,Data!AE554,Data!AG554,Data!AI554,Data!BS554,Data!AM554,Data!AO554,Data!AQ554)</f>
        <v>0</v>
      </c>
      <c r="F553" s="11">
        <f>SUM(Data!DK554,Data!DM554,Data!DO554,Data!DQ554,Data!DS554,Data!DU554,Data!DY554,Data!EA554,Data!EC554,Data!EE554,Data!EG554,Data!EI554,Data!EK554,Data!EM554,Data!EO554,Data!EQ554,Data!ES554)</f>
        <v>0</v>
      </c>
      <c r="G553" s="11">
        <f>F553-E553</f>
        <v>0</v>
      </c>
      <c r="H553" s="13">
        <f>IF(E553=0,IF(F553&gt;0,"New",0),(F553-E553)/E553)</f>
        <v>0</v>
      </c>
      <c r="I553" s="12">
        <f>SUM(Data!J554,Data!CB554,Data!N554,Data!P554,Data!R554,Data!BB554,Data!X554,Data!T554,Data!AB554,Data!CT554,Data!AF554,Data!AH554,Data!AJ554,Data!BT554,Data!AN554,Data!AP554,Data!AR554)</f>
        <v>0</v>
      </c>
      <c r="J553" s="12">
        <f>SUM(Data!DL554,Data!DN554,Data!DP554,Data!DR554,Data!DT554,Data!DV554,Data!DZ554,Data!EB554,Data!ED554,Data!EF554,Data!EH554,Data!EJ554,Data!EL554,Data!EN554,Data!EP554,Data!ER554,Data!ET554)</f>
        <v>0</v>
      </c>
      <c r="K553" s="12">
        <f>J553-I553</f>
        <v>0</v>
      </c>
      <c r="L553" s="13">
        <f>IF(I553=0,IF(J553&gt;0,"New",0),(J553-I553)/I553)</f>
        <v>0</v>
      </c>
      <c r="M553" t="str">
        <f>IF(F553=0,"No 2026 Sales",IF(E553=0,"New Product",IF(AND(ISNUMBER(H553),H553&gt;0.1),"↑ Strong Growth",IF(AND(ISNUMBER(H553),H553&gt;0),"↗ Growth",IF(AND(ISNUMBER(H553),H553&lt;-0.1),"↓ Strong Decline",IF(AND(ISNUMBER(H553),H553&lt;0),"↘ Decline","→ Stable"))))))</f>
        <v>No 2026 Sales</v>
      </c>
    </row>
    <row r="554" spans="1:13" x14ac:dyDescent="0.35">
      <c r="A554">
        <f>Data!A555</f>
        <v>0</v>
      </c>
      <c r="B554">
        <f>Data!B555</f>
        <v>0</v>
      </c>
      <c r="C554">
        <f>Data!C555</f>
        <v>0</v>
      </c>
      <c r="D554">
        <f>Data!D555</f>
        <v>0</v>
      </c>
      <c r="E554" s="11">
        <f>SUM(Data!I555,Data!CA555,Data!M555,Data!O555,Data!Q555,Data!BA555,Data!W555,Data!S555,Data!AA555,Data!CS555,Data!AE555,Data!AG555,Data!AI555,Data!BS555,Data!AM555,Data!AO555,Data!AQ555)</f>
        <v>0</v>
      </c>
      <c r="F554" s="11">
        <f>SUM(Data!DK555,Data!DM555,Data!DO555,Data!DQ555,Data!DS555,Data!DU555,Data!DY555,Data!EA555,Data!EC555,Data!EE555,Data!EG555,Data!EI555,Data!EK555,Data!EM555,Data!EO555,Data!EQ555,Data!ES555)</f>
        <v>0</v>
      </c>
      <c r="G554" s="11">
        <f>F554-E554</f>
        <v>0</v>
      </c>
      <c r="H554" s="13">
        <f>IF(E554=0,IF(F554&gt;0,"New",0),(F554-E554)/E554)</f>
        <v>0</v>
      </c>
      <c r="I554" s="12">
        <f>SUM(Data!J555,Data!CB555,Data!N555,Data!P555,Data!R555,Data!BB555,Data!X555,Data!T555,Data!AB555,Data!CT555,Data!AF555,Data!AH555,Data!AJ555,Data!BT555,Data!AN555,Data!AP555,Data!AR555)</f>
        <v>0</v>
      </c>
      <c r="J554" s="12">
        <f>SUM(Data!DL555,Data!DN555,Data!DP555,Data!DR555,Data!DT555,Data!DV555,Data!DZ555,Data!EB555,Data!ED555,Data!EF555,Data!EH555,Data!EJ555,Data!EL555,Data!EN555,Data!EP555,Data!ER555,Data!ET555)</f>
        <v>0</v>
      </c>
      <c r="K554" s="12">
        <f>J554-I554</f>
        <v>0</v>
      </c>
      <c r="L554" s="13">
        <f>IF(I554=0,IF(J554&gt;0,"New",0),(J554-I554)/I554)</f>
        <v>0</v>
      </c>
      <c r="M554" t="str">
        <f>IF(F554=0,"No 2026 Sales",IF(E554=0,"New Product",IF(AND(ISNUMBER(H554),H554&gt;0.1),"↑ Strong Growth",IF(AND(ISNUMBER(H554),H554&gt;0),"↗ Growth",IF(AND(ISNUMBER(H554),H554&lt;-0.1),"↓ Strong Decline",IF(AND(ISNUMBER(H554),H554&lt;0),"↘ Decline","→ Stable"))))))</f>
        <v>No 2026 Sales</v>
      </c>
    </row>
  </sheetData>
  <autoFilter ref="A1:M554" xr:uid="{6285F337-C1F7-48EE-AD9F-C6C7630A0826}">
    <filterColumn colId="5">
      <customFilters>
        <customFilter operator="greaterThan" val="0"/>
      </customFilters>
    </filterColumn>
  </autoFilter>
  <mergeCells count="2">
    <mergeCell ref="O25:R25"/>
    <mergeCell ref="O38:R38"/>
  </mergeCells>
  <conditionalFormatting sqref="M2:M554">
    <cfRule type="containsText" dxfId="1" priority="1" operator="containsText" text="Growth">
      <formula>NOT(ISERROR(SEARCH("Growth",M2)))</formula>
    </cfRule>
    <cfRule type="containsText" dxfId="0" priority="2" operator="containsText" text="Decline">
      <formula>NOT(ISERROR(SEARCH("Decline",M2)))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9C13-74E7-4651-8AAF-1CBD6C6230CA}">
  <dimension ref="A1:V188"/>
  <sheetViews>
    <sheetView zoomScale="85" zoomScaleNormal="85" workbookViewId="0">
      <pane xSplit="4" ySplit="7" topLeftCell="O8" activePane="bottomRight" state="frozen"/>
      <selection pane="topRight" activeCell="E1" sqref="E1"/>
      <selection pane="bottomLeft" activeCell="A8" sqref="A8"/>
      <selection pane="bottomRight" activeCell="Q8" sqref="Q8"/>
    </sheetView>
  </sheetViews>
  <sheetFormatPr defaultRowHeight="13" x14ac:dyDescent="0.35"/>
  <cols>
    <col min="1" max="1" width="10.69921875" customWidth="1"/>
    <col min="2" max="2" width="17.5" customWidth="1"/>
    <col min="3" max="3" width="10.8984375" customWidth="1"/>
    <col min="4" max="4" width="30.8984375" customWidth="1"/>
    <col min="5" max="5" width="18.69921875" bestFit="1" customWidth="1"/>
    <col min="6" max="6" width="12.5" bestFit="1" customWidth="1"/>
    <col min="7" max="7" width="23.8984375" bestFit="1" customWidth="1"/>
    <col min="8" max="8" width="12.5" bestFit="1" customWidth="1"/>
    <col min="9" max="9" width="13.19921875" bestFit="1" customWidth="1"/>
    <col min="10" max="10" width="11" customWidth="1"/>
    <col min="11" max="11" width="16.5" bestFit="1" customWidth="1"/>
    <col min="12" max="12" width="14" customWidth="1"/>
    <col min="13" max="13" width="15.19921875" bestFit="1" customWidth="1"/>
    <col min="14" max="14" width="11.296875" bestFit="1" customWidth="1"/>
    <col min="15" max="15" width="15.19921875" bestFit="1" customWidth="1"/>
    <col min="16" max="16" width="16" customWidth="1"/>
    <col min="17" max="17" width="18" customWidth="1"/>
    <col min="18" max="18" width="16" customWidth="1"/>
    <col min="20" max="20" width="16" hidden="1" customWidth="1"/>
    <col min="21" max="21" width="17" hidden="1" customWidth="1"/>
    <col min="22" max="22" width="22" hidden="1" customWidth="1"/>
  </cols>
  <sheetData>
    <row r="1" spans="1:22" ht="20.5" x14ac:dyDescent="0.35">
      <c r="A1" s="24" t="s">
        <v>626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T1" s="59" t="s">
        <v>699</v>
      </c>
      <c r="U1" s="23"/>
      <c r="V1" s="23"/>
    </row>
    <row r="2" spans="1:22" x14ac:dyDescent="0.35">
      <c r="A2" s="22" t="s">
        <v>627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T2" s="60" t="s">
        <v>700</v>
      </c>
      <c r="U2" s="60" t="s">
        <v>701</v>
      </c>
      <c r="V2" s="60" t="s">
        <v>702</v>
      </c>
    </row>
    <row r="3" spans="1:22" x14ac:dyDescent="0.35">
      <c r="A3" s="26" t="s">
        <v>1402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T3" t="s">
        <v>703</v>
      </c>
      <c r="U3" s="126">
        <v>46028</v>
      </c>
      <c r="V3" t="s">
        <v>704</v>
      </c>
    </row>
    <row r="4" spans="1:22" s="38" customFormat="1" ht="27" customHeight="1" x14ac:dyDescent="0.35">
      <c r="E4" s="39" t="s">
        <v>676</v>
      </c>
      <c r="F4" s="40">
        <f>E187</f>
        <v>1348847.7565217393</v>
      </c>
      <c r="G4" s="39" t="s">
        <v>677</v>
      </c>
      <c r="H4" s="40">
        <f>G187</f>
        <v>2133287.8869565208</v>
      </c>
      <c r="I4" s="41" t="s">
        <v>678</v>
      </c>
      <c r="J4" s="42">
        <f>IF(F4&gt;0,(H4-F4)/F4,"")</f>
        <v>0.58156313538127513</v>
      </c>
      <c r="K4" s="39" t="s">
        <v>682</v>
      </c>
      <c r="L4" s="40">
        <f>I187</f>
        <v>733.84516235174488</v>
      </c>
      <c r="M4" s="39" t="s">
        <v>683</v>
      </c>
      <c r="N4" s="43">
        <f>J187</f>
        <v>8.4039676642586851</v>
      </c>
      <c r="O4" s="39" t="s">
        <v>684</v>
      </c>
      <c r="P4" s="44">
        <f>COUNTA(C8:C184)</f>
        <v>153</v>
      </c>
      <c r="Q4" s="61" t="s">
        <v>721</v>
      </c>
      <c r="R4" s="61" t="str">
        <f>IF(U40&gt;0,U40&amp;" payment(s)","None")</f>
        <v>None</v>
      </c>
      <c r="T4" s="38" t="s">
        <v>703</v>
      </c>
      <c r="U4" s="125">
        <v>46029</v>
      </c>
      <c r="V4" s="38" t="s">
        <v>705</v>
      </c>
    </row>
    <row r="5" spans="1:22" s="38" customFormat="1" ht="25" customHeight="1" thickBot="1" x14ac:dyDescent="0.4">
      <c r="A5" s="44" t="s">
        <v>628</v>
      </c>
      <c r="B5" s="124" t="s">
        <v>1404</v>
      </c>
      <c r="D5" s="44" t="s">
        <v>670</v>
      </c>
      <c r="E5" s="45">
        <v>46146</v>
      </c>
      <c r="G5" s="44" t="s">
        <v>1406</v>
      </c>
      <c r="H5" s="45">
        <v>46111</v>
      </c>
      <c r="I5" s="45"/>
      <c r="J5" s="45"/>
      <c r="L5" s="44" t="s">
        <v>1405</v>
      </c>
      <c r="M5" s="45">
        <f>IFERROR(INDEX('Week Mapping'!$B$5:$B$23,MATCH(DATE(RIGHT($B$5,4),MID($B$5,4,2),LEFT($B$5,2)),'Week Mapping'!$G$5:$G$23,1)),DATE(RIGHT($B$5,4)-1,MID($B$5,4,2),LEFT($B$5,2)))</f>
        <v>45782</v>
      </c>
      <c r="S5" s="116"/>
      <c r="T5" s="38" t="s">
        <v>703</v>
      </c>
      <c r="U5" s="125">
        <v>46030</v>
      </c>
      <c r="V5" s="38" t="s">
        <v>706</v>
      </c>
    </row>
    <row r="6" spans="1:22" x14ac:dyDescent="0.35">
      <c r="I6" s="28" t="s">
        <v>744</v>
      </c>
      <c r="J6" s="28"/>
      <c r="K6" s="27" t="str">
        <f>"Prior Wk: "&amp;TEXT($E$5,"yyyy/mm/dd")</f>
        <v>Prior Wk: 2026/05/04</v>
      </c>
      <c r="L6" s="27"/>
      <c r="M6" s="27" t="str">
        <f>"Prior Month: "&amp;TEXT($H$5,"yyyy/mm/dd")</f>
        <v>Prior Month: 2026/03/30</v>
      </c>
      <c r="N6" s="27"/>
      <c r="O6" s="27" t="str">
        <f>"Prior Year: "&amp;TEXT($M$5,"yyyy/mm/dd")</f>
        <v>Prior Year: 2025/05/05</v>
      </c>
      <c r="P6" s="27"/>
      <c r="Q6" s="46" t="s">
        <v>679</v>
      </c>
      <c r="R6" s="47"/>
      <c r="T6" t="s">
        <v>707</v>
      </c>
      <c r="U6" s="126">
        <v>46056</v>
      </c>
      <c r="V6" t="s">
        <v>704</v>
      </c>
    </row>
    <row r="7" spans="1:22" s="38" customFormat="1" ht="26.5" customHeight="1" x14ac:dyDescent="0.35">
      <c r="A7" s="35" t="s">
        <v>558</v>
      </c>
      <c r="B7" s="36" t="s">
        <v>559</v>
      </c>
      <c r="C7" s="36" t="s">
        <v>4</v>
      </c>
      <c r="D7" s="36" t="s">
        <v>5</v>
      </c>
      <c r="E7" s="36" t="s">
        <v>1400</v>
      </c>
      <c r="F7" s="36" t="s">
        <v>1412</v>
      </c>
      <c r="G7" s="36" t="s">
        <v>1401</v>
      </c>
      <c r="H7" s="36" t="s">
        <v>1413</v>
      </c>
      <c r="I7" s="37" t="s">
        <v>680</v>
      </c>
      <c r="J7" s="37" t="s">
        <v>681</v>
      </c>
      <c r="K7" s="51" t="s">
        <v>742</v>
      </c>
      <c r="L7" s="51" t="s">
        <v>743</v>
      </c>
      <c r="M7" s="52" t="s">
        <v>1409</v>
      </c>
      <c r="N7" s="52" t="s">
        <v>1410</v>
      </c>
      <c r="O7" s="53" t="s">
        <v>1407</v>
      </c>
      <c r="P7" s="53" t="s">
        <v>1408</v>
      </c>
      <c r="Q7" s="48" t="s">
        <v>1411</v>
      </c>
      <c r="R7" s="48" t="s">
        <v>675</v>
      </c>
      <c r="T7" s="38" t="s">
        <v>707</v>
      </c>
      <c r="U7" s="125">
        <v>46057</v>
      </c>
      <c r="V7" s="38" t="s">
        <v>705</v>
      </c>
    </row>
    <row r="8" spans="1:22" x14ac:dyDescent="0.35">
      <c r="A8" s="32">
        <v>201</v>
      </c>
      <c r="B8" s="32" t="s">
        <v>529</v>
      </c>
      <c r="C8" s="32">
        <v>99990201</v>
      </c>
      <c r="D8" s="32" t="s">
        <v>61</v>
      </c>
      <c r="E8" s="33">
        <v>18398.026086956514</v>
      </c>
      <c r="F8" s="34">
        <v>673</v>
      </c>
      <c r="G8" s="33">
        <f>SUMIF(Data!$C:$C,C8,Data!$DI:$DI)+SUMIF(Data!$C:$C,C8,Data!$DK:$DK)+SUMIF(Data!$C:$C,C8,Data!$DM:$DM)+SUMIF(Data!$C:$C,C8,Data!$DO:$DO)+SUMIF(Data!$C:$C,C8,Data!$DQ:$DQ)+SUMIF(Data!$C:$C,C8,Data!$DS:$DS)+SUMIF(Data!$C:$C,C8,Data!$DU:$DU)+SUMIF(Data!$C:$C,C8,Data!$DW:$DW)+SUMIF(Data!$C:$C,C8,Data!$DY:$DY)+SUMIF(Data!$C:$C,C8,Data!$EA:$EA)+SUMIF(Data!$C:$C,C8,Data!$EC:$EC)+SUMIF(Data!$C:$C,C8,Data!$EE:$EE)+SUMIF(Data!$C:$C,C8,Data!$EG:$EG)+SUMIF(Data!$C:$C,C8,Data!$EI:$EI)+SUMIF(Data!$C:$C,C8,Data!$EK:$EK)+SUMIF(Data!$C:$C,C8,Data!$EM:$EM)+SUMIF(Data!$C:$C,C8,Data!$EO:$EO)+SUMIF(Data!$C:$C,C8,Data!$EQ:$EQ)+SUMIF(Data!$C:$C,C8,Data!$ES:$ES)</f>
        <v>14401.678260869568</v>
      </c>
      <c r="H8" s="34">
        <f>SUMIF(Data!$C:$C,C8,Data!$DJ:$DJ)+SUMIF(Data!$C:$C,C8,Data!$DL:$DL)+SUMIF(Data!$C:$C,C8,Data!$DN:$DN)+SUMIF(Data!$C:$C,C8,Data!$DP:$DP)+SUMIF(Data!$C:$C,C8,Data!$DR:$DR)+SUMIF(Data!$C:$C,C8,Data!$DT:$DT)+SUMIF(Data!$C:$C,C8,Data!$DV:$DV)+SUMIF(Data!$C:$C,C8,Data!$DX:$DX)+SUMIF(Data!$C:$C,C8,Data!$DZ:$DZ)+SUMIF(Data!$C:$C,C8,Data!$EB:$EB)+SUMIF(Data!$C:$C,C8,Data!$ED:$ED)+SUMIF(Data!$C:$C,C8,Data!$EF:$EF)+SUMIF(Data!$C:$C,C8,Data!$EH:$EH)+SUMIF(Data!$C:$C,C8,Data!$EJ:$EJ)+SUMIF(Data!$C:$C,C8,Data!$EL:$EL)+SUMIF(Data!$C:$C,C8,Data!$EN:$EN)+SUMIF(Data!$C:$C,C8,Data!$EP:$EP)+SUMIF(Data!$C:$C,C8,Data!$ER:$ER)+SUMIF(Data!$C:$C,C8,Data!$ET:$ET)</f>
        <v>196</v>
      </c>
      <c r="I8" s="33">
        <f>G8/19</f>
        <v>757.98306636155621</v>
      </c>
      <c r="J8" s="34">
        <f>H8/19</f>
        <v>10.315789473684211</v>
      </c>
      <c r="K8" s="33">
        <f>IFERROR(INDEX(Data!$ES:$ES,MATCH(C8,Data!$C:$C,0)),0)</f>
        <v>4007.2434782608698</v>
      </c>
      <c r="L8" s="34">
        <f>IFERROR(INDEX(Data!$ET:$ET,MATCH(C8,Data!$C:$C,0)),0)</f>
        <v>9</v>
      </c>
      <c r="M8" s="33">
        <f>IFERROR(INDEX(Data!$I$3:$ER$553,MATCH($C8,Data!$C$3:$C$553,0),MATCH(DATE(RIGHT($B$5,4),MID($B$5,4,2),LEFT($B$5,2))-42,Data!$I$1:$ER$1,0)),0)</f>
        <v>-272.33913043478299</v>
      </c>
      <c r="N8" s="34" cm="1">
        <f t="array" ref="N8">IFERROR(INDEX(Data!$I$3:$ER$553,MATCH($C8,Data!$C$3:$C$553,0),MATCH(DATE(RIGHT($B$5,4),MID($B$5,4,2),LEFT($B$5,2))-42,Data!$I$1:$ER$1,0)+1),0)</f>
        <v>-2</v>
      </c>
      <c r="O8" s="33">
        <f>IFERROR(INDEX(Data!$I$3:$ER$553,MATCH($C8,Data!$C$3:$C$553,0),MATCH($M$5,Data!$I$1:$ER$1,0)),0)</f>
        <v>2280.9652173913</v>
      </c>
      <c r="P8" s="34" cm="1">
        <f t="array" ref="P8">IFERROR(INDEX(Data!$I$3:$ER$553,MATCH($C8,Data!$C$3:$C$553,0),MATCH($M$5,Data!$I$1:$ER$1,0)+1),0)</f>
        <v>9</v>
      </c>
      <c r="Q8" s="49" t="str">
        <f>IF(R8="","",IF(H8=0,0,R8*(G8/H8)))</f>
        <v/>
      </c>
      <c r="R8" s="50"/>
      <c r="T8" t="s">
        <v>707</v>
      </c>
      <c r="U8" s="126">
        <v>46058</v>
      </c>
      <c r="V8" t="s">
        <v>706</v>
      </c>
    </row>
    <row r="9" spans="1:22" x14ac:dyDescent="0.35">
      <c r="A9" s="29">
        <v>201</v>
      </c>
      <c r="B9" s="29" t="s">
        <v>529</v>
      </c>
      <c r="C9" s="29">
        <v>56247</v>
      </c>
      <c r="D9" s="29" t="s">
        <v>25</v>
      </c>
      <c r="E9" s="30">
        <v>51766.799999999988</v>
      </c>
      <c r="F9" s="31">
        <v>2956</v>
      </c>
      <c r="G9" s="30">
        <f>SUMIF(Data!$C:$C,C9,Data!$DI:$DI)+SUMIF(Data!$C:$C,C9,Data!$DK:$DK)+SUMIF(Data!$C:$C,C9,Data!$DM:$DM)+SUMIF(Data!$C:$C,C9,Data!$DO:$DO)+SUMIF(Data!$C:$C,C9,Data!$DQ:$DQ)+SUMIF(Data!$C:$C,C9,Data!$DS:$DS)+SUMIF(Data!$C:$C,C9,Data!$DU:$DU)+SUMIF(Data!$C:$C,C9,Data!$DW:$DW)+SUMIF(Data!$C:$C,C9,Data!$DY:$DY)+SUMIF(Data!$C:$C,C9,Data!$EA:$EA)+SUMIF(Data!$C:$C,C9,Data!$EC:$EC)+SUMIF(Data!$C:$C,C9,Data!$EE:$EE)+SUMIF(Data!$C:$C,C9,Data!$EG:$EG)+SUMIF(Data!$C:$C,C9,Data!$EI:$EI)+SUMIF(Data!$C:$C,C9,Data!$EK:$EK)+SUMIF(Data!$C:$C,C9,Data!$EM:$EM)+SUMIF(Data!$C:$C,C9,Data!$EO:$EO)+SUMIF(Data!$C:$C,C9,Data!$EQ:$EQ)+SUMIF(Data!$C:$C,C9,Data!$ES:$ES)</f>
        <v>6837.8</v>
      </c>
      <c r="H9" s="31">
        <f>SUMIF(Data!$C:$C,C9,Data!$DJ:$DJ)+SUMIF(Data!$C:$C,C9,Data!$DL:$DL)+SUMIF(Data!$C:$C,C9,Data!$DN:$DN)+SUMIF(Data!$C:$C,C9,Data!$DP:$DP)+SUMIF(Data!$C:$C,C9,Data!$DR:$DR)+SUMIF(Data!$C:$C,C9,Data!$DT:$DT)+SUMIF(Data!$C:$C,C9,Data!$DV:$DV)+SUMIF(Data!$C:$C,C9,Data!$DX:$DX)+SUMIF(Data!$C:$C,C9,Data!$DZ:$DZ)+SUMIF(Data!$C:$C,C9,Data!$EB:$EB)+SUMIF(Data!$C:$C,C9,Data!$ED:$ED)+SUMIF(Data!$C:$C,C9,Data!$EF:$EF)+SUMIF(Data!$C:$C,C9,Data!$EH:$EH)+SUMIF(Data!$C:$C,C9,Data!$EJ:$EJ)+SUMIF(Data!$C:$C,C9,Data!$EL:$EL)+SUMIF(Data!$C:$C,C9,Data!$EN:$EN)+SUMIF(Data!$C:$C,C9,Data!$EP:$EP)+SUMIF(Data!$C:$C,C9,Data!$ER:$ER)+SUMIF(Data!$C:$C,C9,Data!$ET:$ET)</f>
        <v>382</v>
      </c>
      <c r="I9" s="30">
        <f>G9/19</f>
        <v>359.88421052631583</v>
      </c>
      <c r="J9" s="31">
        <f>H9/19</f>
        <v>20.105263157894736</v>
      </c>
      <c r="K9" s="30">
        <f>IFERROR(INDEX(Data!$ES:$ES,MATCH(C9,Data!$C:$C,0)),0)</f>
        <v>0</v>
      </c>
      <c r="L9" s="31">
        <f>IFERROR(INDEX(Data!$ET:$ET,MATCH(C9,Data!$C:$C,0)),0)</f>
        <v>0</v>
      </c>
      <c r="M9" s="30">
        <f>IFERROR(INDEX(Data!$I$3:$ER$553,MATCH($C9,Data!$C$3:$C$553,0),MATCH(DATE(RIGHT($B$5,4),MID($B$5,4,2),LEFT($B$5,2))-42,Data!$I$1:$ER$1,0)),0)</f>
        <v>0</v>
      </c>
      <c r="N9" s="31" cm="1">
        <f t="array" ref="N9">IFERROR(INDEX(Data!$I$3:$ER$553,MATCH($C9,Data!$C$3:$C$553,0),MATCH(DATE(RIGHT($B$5,4),MID($B$5,4,2),LEFT($B$5,2))-42,Data!$I$1:$ER$1,0)+1),0)</f>
        <v>0</v>
      </c>
      <c r="O9" s="30">
        <f>IFERROR(INDEX(Data!$I$3:$ER$553,MATCH($C9,Data!$C$3:$C$553,0),MATCH($M$5,Data!$I$1:$ER$1,0)),0)</f>
        <v>4152.8</v>
      </c>
      <c r="P9" s="31" cm="1">
        <f t="array" ref="P9">IFERROR(INDEX(Data!$I$3:$ER$553,MATCH($C9,Data!$C$3:$C$553,0),MATCH($M$5,Data!$I$1:$ER$1,0)+1),0)</f>
        <v>232</v>
      </c>
      <c r="Q9" s="49" t="str">
        <f>IF(R9="","",IF(H9=0,0,R9*(G9/H9)))</f>
        <v/>
      </c>
      <c r="R9" s="50"/>
      <c r="T9" t="s">
        <v>708</v>
      </c>
      <c r="U9" s="126">
        <v>46084</v>
      </c>
      <c r="V9" t="s">
        <v>704</v>
      </c>
    </row>
    <row r="10" spans="1:22" x14ac:dyDescent="0.35">
      <c r="A10" s="32">
        <v>201</v>
      </c>
      <c r="B10" s="32" t="s">
        <v>529</v>
      </c>
      <c r="C10" s="32">
        <v>61370</v>
      </c>
      <c r="D10" s="32" t="s">
        <v>27</v>
      </c>
      <c r="E10" s="33">
        <v>0</v>
      </c>
      <c r="F10" s="34">
        <v>0</v>
      </c>
      <c r="G10" s="33">
        <f>SUMIF(Data!$C:$C,C10,Data!$DI:$DI)+SUMIF(Data!$C:$C,C10,Data!$DK:$DK)+SUMIF(Data!$C:$C,C10,Data!$DM:$DM)+SUMIF(Data!$C:$C,C10,Data!$DO:$DO)+SUMIF(Data!$C:$C,C10,Data!$DQ:$DQ)+SUMIF(Data!$C:$C,C10,Data!$DS:$DS)+SUMIF(Data!$C:$C,C10,Data!$DU:$DU)+SUMIF(Data!$C:$C,C10,Data!$DW:$DW)+SUMIF(Data!$C:$C,C10,Data!$DY:$DY)+SUMIF(Data!$C:$C,C10,Data!$EA:$EA)+SUMIF(Data!$C:$C,C10,Data!$EC:$EC)+SUMIF(Data!$C:$C,C10,Data!$EE:$EE)+SUMIF(Data!$C:$C,C10,Data!$EG:$EG)+SUMIF(Data!$C:$C,C10,Data!$EI:$EI)+SUMIF(Data!$C:$C,C10,Data!$EK:$EK)+SUMIF(Data!$C:$C,C10,Data!$EM:$EM)+SUMIF(Data!$C:$C,C10,Data!$EO:$EO)+SUMIF(Data!$C:$C,C10,Data!$EQ:$EQ)+SUMIF(Data!$C:$C,C10,Data!$ES:$ES)</f>
        <v>302.50434782608681</v>
      </c>
      <c r="H10" s="34">
        <f>SUMIF(Data!$C:$C,C10,Data!$DJ:$DJ)+SUMIF(Data!$C:$C,C10,Data!$DL:$DL)+SUMIF(Data!$C:$C,C10,Data!$DN:$DN)+SUMIF(Data!$C:$C,C10,Data!$DP:$DP)+SUMIF(Data!$C:$C,C10,Data!$DR:$DR)+SUMIF(Data!$C:$C,C10,Data!$DT:$DT)+SUMIF(Data!$C:$C,C10,Data!$DV:$DV)+SUMIF(Data!$C:$C,C10,Data!$DX:$DX)+SUMIF(Data!$C:$C,C10,Data!$DZ:$DZ)+SUMIF(Data!$C:$C,C10,Data!$EB:$EB)+SUMIF(Data!$C:$C,C10,Data!$ED:$ED)+SUMIF(Data!$C:$C,C10,Data!$EF:$EF)+SUMIF(Data!$C:$C,C10,Data!$EH:$EH)+SUMIF(Data!$C:$C,C10,Data!$EJ:$EJ)+SUMIF(Data!$C:$C,C10,Data!$EL:$EL)+SUMIF(Data!$C:$C,C10,Data!$EN:$EN)+SUMIF(Data!$C:$C,C10,Data!$EP:$EP)+SUMIF(Data!$C:$C,C10,Data!$ER:$ER)+SUMIF(Data!$C:$C,C10,Data!$ET:$ET)</f>
        <v>12</v>
      </c>
      <c r="I10" s="33">
        <f>G10/19</f>
        <v>15.921281464530885</v>
      </c>
      <c r="J10" s="34">
        <f>H10/19</f>
        <v>0.63157894736842102</v>
      </c>
      <c r="K10" s="33">
        <f>IFERROR(INDEX(Data!$ES:$ES,MATCH(C10,Data!$C:$C,0)),0)</f>
        <v>0</v>
      </c>
      <c r="L10" s="34">
        <f>IFERROR(INDEX(Data!$ET:$ET,MATCH(C10,Data!$C:$C,0)),0)</f>
        <v>0</v>
      </c>
      <c r="M10" s="33">
        <f>IFERROR(INDEX(Data!$I$3:$ER$553,MATCH($C10,Data!$C$3:$C$553,0),MATCH(DATE(RIGHT($B$5,4),MID($B$5,4,2),LEFT($B$5,2))-42,Data!$I$1:$ER$1,0)),0)</f>
        <v>0</v>
      </c>
      <c r="N10" s="34" cm="1">
        <f t="array" ref="N10">IFERROR(INDEX(Data!$I$3:$ER$553,MATCH($C10,Data!$C$3:$C$553,0),MATCH(DATE(RIGHT($B$5,4),MID($B$5,4,2),LEFT($B$5,2))-42,Data!$I$1:$ER$1,0)+1),0)</f>
        <v>0</v>
      </c>
      <c r="O10" s="33">
        <f>IFERROR(INDEX(Data!$I$3:$ER$553,MATCH($C10,Data!$C$3:$C$553,0),MATCH($M$5,Data!$I$1:$ER$1,0)),0)</f>
        <v>0</v>
      </c>
      <c r="P10" s="34" cm="1">
        <f t="array" ref="P10">IFERROR(INDEX(Data!$I$3:$ER$553,MATCH($C10,Data!$C$3:$C$553,0),MATCH($M$5,Data!$I$1:$ER$1,0)+1),0)</f>
        <v>0</v>
      </c>
      <c r="Q10" s="49" t="str">
        <f>IF(R10="","",IF(H10=0,0,R10*(G10/H10)))</f>
        <v/>
      </c>
      <c r="R10" s="50"/>
      <c r="T10" t="s">
        <v>708</v>
      </c>
      <c r="U10" s="126">
        <v>46085</v>
      </c>
      <c r="V10" t="s">
        <v>705</v>
      </c>
    </row>
    <row r="11" spans="1:22" ht="13.5" thickBot="1" x14ac:dyDescent="0.4">
      <c r="A11" s="54" t="s">
        <v>685</v>
      </c>
      <c r="B11" s="54"/>
      <c r="C11" s="54"/>
      <c r="D11" s="54"/>
      <c r="E11" s="55">
        <f>SUM(E8:E10)</f>
        <v>70164.826086956498</v>
      </c>
      <c r="F11" s="56">
        <f>SUM(F8:F10)</f>
        <v>3629</v>
      </c>
      <c r="G11" s="55">
        <f>SUM(G8:G10)</f>
        <v>21541.982608695653</v>
      </c>
      <c r="H11" s="56">
        <f>SUM(H8:H10)</f>
        <v>590</v>
      </c>
      <c r="I11" s="55">
        <f>AVERAGE(I8:I10)</f>
        <v>377.92951945080102</v>
      </c>
      <c r="J11" s="56">
        <f>AVERAGE(J8:J10)</f>
        <v>10.350877192982455</v>
      </c>
      <c r="K11" s="55">
        <f>SUM(K8:K10)</f>
        <v>4007.2434782608698</v>
      </c>
      <c r="L11" s="56">
        <f>SUM(L8:L10)</f>
        <v>9</v>
      </c>
      <c r="M11" s="55">
        <f>SUM(M8:M10)</f>
        <v>-272.33913043478299</v>
      </c>
      <c r="N11" s="56">
        <f>SUM(N8:N10)</f>
        <v>-2</v>
      </c>
      <c r="O11" s="55">
        <f>SUM(O8:O10)</f>
        <v>6433.7652173913002</v>
      </c>
      <c r="P11" s="56">
        <f>SUM(P8:P10)</f>
        <v>241</v>
      </c>
      <c r="Q11" s="57">
        <f>SUM(Q8:Q10)</f>
        <v>0</v>
      </c>
      <c r="R11" s="58">
        <f>SUM(R8:R10)</f>
        <v>0</v>
      </c>
      <c r="T11" t="s">
        <v>708</v>
      </c>
      <c r="U11" s="126">
        <v>46086</v>
      </c>
      <c r="V11" t="s">
        <v>706</v>
      </c>
    </row>
    <row r="12" spans="1:22" ht="13.5" thickTop="1" x14ac:dyDescent="0.35">
      <c r="A12" s="32"/>
      <c r="B12" s="32"/>
      <c r="C12" s="32"/>
      <c r="D12" s="32"/>
      <c r="E12" s="33"/>
      <c r="F12" s="34"/>
      <c r="G12" s="33"/>
      <c r="H12" s="34"/>
      <c r="I12" s="33"/>
      <c r="J12" s="34"/>
      <c r="K12" s="33"/>
      <c r="L12" s="34"/>
      <c r="M12" s="33"/>
      <c r="N12" s="34"/>
      <c r="O12" s="33"/>
      <c r="P12" s="34"/>
      <c r="Q12" s="49"/>
      <c r="R12" s="50"/>
      <c r="T12" t="s">
        <v>709</v>
      </c>
      <c r="U12" s="126">
        <v>46114</v>
      </c>
      <c r="V12" t="s">
        <v>704</v>
      </c>
    </row>
    <row r="13" spans="1:22" x14ac:dyDescent="0.35">
      <c r="A13" s="29">
        <v>202</v>
      </c>
      <c r="B13" s="29" t="s">
        <v>530</v>
      </c>
      <c r="C13" s="29">
        <v>34172</v>
      </c>
      <c r="D13" s="29" t="s">
        <v>101</v>
      </c>
      <c r="E13" s="30">
        <v>51348.60869565219</v>
      </c>
      <c r="F13" s="31">
        <v>341.62799999999999</v>
      </c>
      <c r="G13" s="30">
        <f>SUMIF(Data!$C:$C,C13,Data!$DI:$DI)+SUMIF(Data!$C:$C,C13,Data!$DK:$DK)+SUMIF(Data!$C:$C,C13,Data!$DM:$DM)+SUMIF(Data!$C:$C,C13,Data!$DO:$DO)+SUMIF(Data!$C:$C,C13,Data!$DQ:$DQ)+SUMIF(Data!$C:$C,C13,Data!$DS:$DS)+SUMIF(Data!$C:$C,C13,Data!$DU:$DU)+SUMIF(Data!$C:$C,C13,Data!$DW:$DW)+SUMIF(Data!$C:$C,C13,Data!$DY:$DY)+SUMIF(Data!$C:$C,C13,Data!$EA:$EA)+SUMIF(Data!$C:$C,C13,Data!$EC:$EC)+SUMIF(Data!$C:$C,C13,Data!$EE:$EE)+SUMIF(Data!$C:$C,C13,Data!$EG:$EG)+SUMIF(Data!$C:$C,C13,Data!$EI:$EI)+SUMIF(Data!$C:$C,C13,Data!$EK:$EK)+SUMIF(Data!$C:$C,C13,Data!$EM:$EM)+SUMIF(Data!$C:$C,C13,Data!$EO:$EO)+SUMIF(Data!$C:$C,C13,Data!$EQ:$EQ)+SUMIF(Data!$C:$C,C13,Data!$ES:$ES)</f>
        <v>72748.478260869539</v>
      </c>
      <c r="H13" s="31">
        <f>SUMIF(Data!$C:$C,C13,Data!$DJ:$DJ)+SUMIF(Data!$C:$C,C13,Data!$DL:$DL)+SUMIF(Data!$C:$C,C13,Data!$DN:$DN)+SUMIF(Data!$C:$C,C13,Data!$DP:$DP)+SUMIF(Data!$C:$C,C13,Data!$DR:$DR)+SUMIF(Data!$C:$C,C13,Data!$DT:$DT)+SUMIF(Data!$C:$C,C13,Data!$DV:$DV)+SUMIF(Data!$C:$C,C13,Data!$DX:$DX)+SUMIF(Data!$C:$C,C13,Data!$DZ:$DZ)+SUMIF(Data!$C:$C,C13,Data!$EB:$EB)+SUMIF(Data!$C:$C,C13,Data!$ED:$ED)+SUMIF(Data!$C:$C,C13,Data!$EF:$EF)+SUMIF(Data!$C:$C,C13,Data!$EH:$EH)+SUMIF(Data!$C:$C,C13,Data!$EJ:$EJ)+SUMIF(Data!$C:$C,C13,Data!$EL:$EL)+SUMIF(Data!$C:$C,C13,Data!$EN:$EN)+SUMIF(Data!$C:$C,C13,Data!$EP:$EP)+SUMIF(Data!$C:$C,C13,Data!$ER:$ER)+SUMIF(Data!$C:$C,C13,Data!$ET:$ET)</f>
        <v>479.25500000000005</v>
      </c>
      <c r="I13" s="30">
        <f>G13/19</f>
        <v>3828.8672768878705</v>
      </c>
      <c r="J13" s="31">
        <f>H13/19</f>
        <v>25.223947368421054</v>
      </c>
      <c r="K13" s="30">
        <f>IFERROR(INDEX(Data!$ES:$ES,MATCH(C13,Data!$C:$C,0)),0)</f>
        <v>3109.8956521739101</v>
      </c>
      <c r="L13" s="31">
        <f>IFERROR(INDEX(Data!$ET:$ET,MATCH(C13,Data!$C:$C,0)),0)</f>
        <v>18.824000000000002</v>
      </c>
      <c r="M13" s="30">
        <f>IFERROR(INDEX(Data!$I$3:$ER$553,MATCH($C13,Data!$C$3:$C$553,0),MATCH(DATE(RIGHT($B$5,4),MID($B$5,4,2),LEFT($B$5,2))-42,Data!$I$1:$ER$1,0)),0)</f>
        <v>1135.3565217391299</v>
      </c>
      <c r="N13" s="31" cm="1">
        <f t="array" ref="N13">IFERROR(INDEX(Data!$I$3:$ER$553,MATCH($C13,Data!$C$3:$C$553,0),MATCH(DATE(RIGHT($B$5,4),MID($B$5,4,2),LEFT($B$5,2))-42,Data!$I$1:$ER$1,0)+1),0)</f>
        <v>5.9349999999999996</v>
      </c>
      <c r="O13" s="30">
        <f>IFERROR(INDEX(Data!$I$3:$ER$553,MATCH($C13,Data!$C$3:$C$553,0),MATCH($M$5,Data!$I$1:$ER$1,0)),0)</f>
        <v>1982.1826086956501</v>
      </c>
      <c r="P13" s="31" cm="1">
        <f t="array" ref="P13">IFERROR(INDEX(Data!$I$3:$ER$553,MATCH($C13,Data!$C$3:$C$553,0),MATCH($M$5,Data!$I$1:$ER$1,0)+1),0)</f>
        <v>11.997999999999999</v>
      </c>
      <c r="Q13" s="49" t="str">
        <f>IF(R13="","",IF(H13=0,0,R13*(G13/H13)))</f>
        <v/>
      </c>
      <c r="R13" s="50"/>
      <c r="T13" t="s">
        <v>709</v>
      </c>
      <c r="U13" s="126">
        <v>46119</v>
      </c>
      <c r="V13" t="s">
        <v>705</v>
      </c>
    </row>
    <row r="14" spans="1:22" x14ac:dyDescent="0.35">
      <c r="A14" s="32">
        <v>202</v>
      </c>
      <c r="B14" s="32" t="s">
        <v>530</v>
      </c>
      <c r="C14" s="32">
        <v>53487</v>
      </c>
      <c r="D14" s="32" t="s">
        <v>119</v>
      </c>
      <c r="E14" s="33">
        <v>62627.686956521749</v>
      </c>
      <c r="F14" s="34">
        <v>682.95100000000002</v>
      </c>
      <c r="G14" s="33">
        <f>SUMIF(Data!$C:$C,C14,Data!$DI:$DI)+SUMIF(Data!$C:$C,C14,Data!$DK:$DK)+SUMIF(Data!$C:$C,C14,Data!$DM:$DM)+SUMIF(Data!$C:$C,C14,Data!$DO:$DO)+SUMIF(Data!$C:$C,C14,Data!$DQ:$DQ)+SUMIF(Data!$C:$C,C14,Data!$DS:$DS)+SUMIF(Data!$C:$C,C14,Data!$DU:$DU)+SUMIF(Data!$C:$C,C14,Data!$DW:$DW)+SUMIF(Data!$C:$C,C14,Data!$DY:$DY)+SUMIF(Data!$C:$C,C14,Data!$EA:$EA)+SUMIF(Data!$C:$C,C14,Data!$EC:$EC)+SUMIF(Data!$C:$C,C14,Data!$EE:$EE)+SUMIF(Data!$C:$C,C14,Data!$EG:$EG)+SUMIF(Data!$C:$C,C14,Data!$EI:$EI)+SUMIF(Data!$C:$C,C14,Data!$EK:$EK)+SUMIF(Data!$C:$C,C14,Data!$EM:$EM)+SUMIF(Data!$C:$C,C14,Data!$EO:$EO)+SUMIF(Data!$C:$C,C14,Data!$EQ:$EQ)+SUMIF(Data!$C:$C,C14,Data!$ES:$ES)</f>
        <v>60935.895652173931</v>
      </c>
      <c r="H14" s="34">
        <f>SUMIF(Data!$C:$C,C14,Data!$DJ:$DJ)+SUMIF(Data!$C:$C,C14,Data!$DL:$DL)+SUMIF(Data!$C:$C,C14,Data!$DN:$DN)+SUMIF(Data!$C:$C,C14,Data!$DP:$DP)+SUMIF(Data!$C:$C,C14,Data!$DR:$DR)+SUMIF(Data!$C:$C,C14,Data!$DT:$DT)+SUMIF(Data!$C:$C,C14,Data!$DV:$DV)+SUMIF(Data!$C:$C,C14,Data!$DX:$DX)+SUMIF(Data!$C:$C,C14,Data!$DZ:$DZ)+SUMIF(Data!$C:$C,C14,Data!$EB:$EB)+SUMIF(Data!$C:$C,C14,Data!$ED:$ED)+SUMIF(Data!$C:$C,C14,Data!$EF:$EF)+SUMIF(Data!$C:$C,C14,Data!$EH:$EH)+SUMIF(Data!$C:$C,C14,Data!$EJ:$EJ)+SUMIF(Data!$C:$C,C14,Data!$EL:$EL)+SUMIF(Data!$C:$C,C14,Data!$EN:$EN)+SUMIF(Data!$C:$C,C14,Data!$EP:$EP)+SUMIF(Data!$C:$C,C14,Data!$ER:$ER)+SUMIF(Data!$C:$C,C14,Data!$ET:$ET)</f>
        <v>508.7940000000001</v>
      </c>
      <c r="I14" s="33">
        <f>G14/19</f>
        <v>3207.1524027459964</v>
      </c>
      <c r="J14" s="34">
        <f>H14/19</f>
        <v>26.778631578947373</v>
      </c>
      <c r="K14" s="33">
        <f>IFERROR(INDEX(Data!$ES:$ES,MATCH(C14,Data!$C:$C,0)),0)</f>
        <v>1804.0608695652199</v>
      </c>
      <c r="L14" s="34">
        <f>IFERROR(INDEX(Data!$ET:$ET,MATCH(C14,Data!$C:$C,0)),0)</f>
        <v>14.82</v>
      </c>
      <c r="M14" s="33">
        <f>IFERROR(INDEX(Data!$I$3:$ER$553,MATCH($C14,Data!$C$3:$C$553,0),MATCH(DATE(RIGHT($B$5,4),MID($B$5,4,2),LEFT($B$5,2))-42,Data!$I$1:$ER$1,0)),0)</f>
        <v>4882.8260869565202</v>
      </c>
      <c r="N14" s="34" cm="1">
        <f t="array" ref="N14">IFERROR(INDEX(Data!$I$3:$ER$553,MATCH($C14,Data!$C$3:$C$553,0),MATCH(DATE(RIGHT($B$5,4),MID($B$5,4,2),LEFT($B$5,2))-42,Data!$I$1:$ER$1,0)+1),0)</f>
        <v>40.112000000000002</v>
      </c>
      <c r="O14" s="33">
        <f>IFERROR(INDEX(Data!$I$3:$ER$553,MATCH($C14,Data!$C$3:$C$553,0),MATCH($M$5,Data!$I$1:$ER$1,0)),0)</f>
        <v>2690.8347826087002</v>
      </c>
      <c r="P14" s="34" cm="1">
        <f t="array" ref="P14">IFERROR(INDEX(Data!$I$3:$ER$553,MATCH($C14,Data!$C$3:$C$553,0),MATCH($M$5,Data!$I$1:$ER$1,0)+1),0)</f>
        <v>30.17</v>
      </c>
      <c r="Q14" s="49" t="str">
        <f>IF(R14="","",IF(H14=0,0,R14*(G14/H14)))</f>
        <v/>
      </c>
      <c r="R14" s="50"/>
      <c r="T14" t="s">
        <v>709</v>
      </c>
      <c r="U14" s="126">
        <v>46120</v>
      </c>
      <c r="V14" t="s">
        <v>706</v>
      </c>
    </row>
    <row r="15" spans="1:22" x14ac:dyDescent="0.35">
      <c r="A15" s="29">
        <v>202</v>
      </c>
      <c r="B15" s="29" t="s">
        <v>530</v>
      </c>
      <c r="C15" s="29">
        <v>12141</v>
      </c>
      <c r="D15" s="29" t="s">
        <v>68</v>
      </c>
      <c r="E15" s="30">
        <v>39950.269565217372</v>
      </c>
      <c r="F15" s="31">
        <v>246.64100000000002</v>
      </c>
      <c r="G15" s="30">
        <f>SUMIF(Data!$C:$C,C15,Data!$DI:$DI)+SUMIF(Data!$C:$C,C15,Data!$DK:$DK)+SUMIF(Data!$C:$C,C15,Data!$DM:$DM)+SUMIF(Data!$C:$C,C15,Data!$DO:$DO)+SUMIF(Data!$C:$C,C15,Data!$DQ:$DQ)+SUMIF(Data!$C:$C,C15,Data!$DS:$DS)+SUMIF(Data!$C:$C,C15,Data!$DU:$DU)+SUMIF(Data!$C:$C,C15,Data!$DW:$DW)+SUMIF(Data!$C:$C,C15,Data!$DY:$DY)+SUMIF(Data!$C:$C,C15,Data!$EA:$EA)+SUMIF(Data!$C:$C,C15,Data!$EC:$EC)+SUMIF(Data!$C:$C,C15,Data!$EE:$EE)+SUMIF(Data!$C:$C,C15,Data!$EG:$EG)+SUMIF(Data!$C:$C,C15,Data!$EI:$EI)+SUMIF(Data!$C:$C,C15,Data!$EK:$EK)+SUMIF(Data!$C:$C,C15,Data!$EM:$EM)+SUMIF(Data!$C:$C,C15,Data!$EO:$EO)+SUMIF(Data!$C:$C,C15,Data!$EQ:$EQ)+SUMIF(Data!$C:$C,C15,Data!$ES:$ES)</f>
        <v>51283.130434782608</v>
      </c>
      <c r="H15" s="31">
        <f>SUMIF(Data!$C:$C,C15,Data!$DJ:$DJ)+SUMIF(Data!$C:$C,C15,Data!$DL:$DL)+SUMIF(Data!$C:$C,C15,Data!$DN:$DN)+SUMIF(Data!$C:$C,C15,Data!$DP:$DP)+SUMIF(Data!$C:$C,C15,Data!$DR:$DR)+SUMIF(Data!$C:$C,C15,Data!$DT:$DT)+SUMIF(Data!$C:$C,C15,Data!$DV:$DV)+SUMIF(Data!$C:$C,C15,Data!$DX:$DX)+SUMIF(Data!$C:$C,C15,Data!$DZ:$DZ)+SUMIF(Data!$C:$C,C15,Data!$EB:$EB)+SUMIF(Data!$C:$C,C15,Data!$ED:$ED)+SUMIF(Data!$C:$C,C15,Data!$EF:$EF)+SUMIF(Data!$C:$C,C15,Data!$EH:$EH)+SUMIF(Data!$C:$C,C15,Data!$EJ:$EJ)+SUMIF(Data!$C:$C,C15,Data!$EL:$EL)+SUMIF(Data!$C:$C,C15,Data!$EN:$EN)+SUMIF(Data!$C:$C,C15,Data!$EP:$EP)+SUMIF(Data!$C:$C,C15,Data!$ER:$ER)+SUMIF(Data!$C:$C,C15,Data!$ET:$ET)</f>
        <v>318.041</v>
      </c>
      <c r="I15" s="30">
        <f>G15/19</f>
        <v>2699.112128146453</v>
      </c>
      <c r="J15" s="31">
        <f>H15/19</f>
        <v>16.739000000000001</v>
      </c>
      <c r="K15" s="30">
        <f>IFERROR(INDEX(Data!$ES:$ES,MATCH(C15,Data!$C:$C,0)),0)</f>
        <v>1999.8608695652199</v>
      </c>
      <c r="L15" s="31">
        <f>IFERROR(INDEX(Data!$ET:$ET,MATCH(C15,Data!$C:$C,0)),0)</f>
        <v>11.5</v>
      </c>
      <c r="M15" s="30">
        <f>IFERROR(INDEX(Data!$I$3:$ER$553,MATCH($C15,Data!$C$3:$C$553,0),MATCH(DATE(RIGHT($B$5,4),MID($B$5,4,2),LEFT($B$5,2))-42,Data!$I$1:$ER$1,0)),0)</f>
        <v>2229.2434782608698</v>
      </c>
      <c r="N15" s="31" cm="1">
        <f t="array" ref="N15">IFERROR(INDEX(Data!$I$3:$ER$553,MATCH($C15,Data!$C$3:$C$553,0),MATCH(DATE(RIGHT($B$5,4),MID($B$5,4,2),LEFT($B$5,2))-42,Data!$I$1:$ER$1,0)+1),0)</f>
        <v>11.147</v>
      </c>
      <c r="O15" s="30">
        <f>IFERROR(INDEX(Data!$I$3:$ER$553,MATCH($C15,Data!$C$3:$C$553,0),MATCH($M$5,Data!$I$1:$ER$1,0)),0)</f>
        <v>1171.6521739130401</v>
      </c>
      <c r="P15" s="31" cm="1">
        <f t="array" ref="P15">IFERROR(INDEX(Data!$I$3:$ER$553,MATCH($C15,Data!$C$3:$C$553,0),MATCH($M$5,Data!$I$1:$ER$1,0)+1),0)</f>
        <v>6.1859999999999999</v>
      </c>
      <c r="Q15" s="49" t="str">
        <f>IF(R15="","",IF(H15=0,0,R15*(G15/H15)))</f>
        <v/>
      </c>
      <c r="R15" s="50"/>
      <c r="T15" t="s">
        <v>710</v>
      </c>
      <c r="U15" s="126">
        <v>46147</v>
      </c>
      <c r="V15" t="s">
        <v>704</v>
      </c>
    </row>
    <row r="16" spans="1:22" x14ac:dyDescent="0.35">
      <c r="A16" s="32">
        <v>202</v>
      </c>
      <c r="B16" s="32" t="s">
        <v>530</v>
      </c>
      <c r="C16" s="32">
        <v>63526</v>
      </c>
      <c r="D16" s="32" t="s">
        <v>83</v>
      </c>
      <c r="E16" s="33">
        <v>0</v>
      </c>
      <c r="F16" s="34">
        <v>0</v>
      </c>
      <c r="G16" s="33">
        <f>SUMIF(Data!$C:$C,C16,Data!$DI:$DI)+SUMIF(Data!$C:$C,C16,Data!$DK:$DK)+SUMIF(Data!$C:$C,C16,Data!$DM:$DM)+SUMIF(Data!$C:$C,C16,Data!$DO:$DO)+SUMIF(Data!$C:$C,C16,Data!$DQ:$DQ)+SUMIF(Data!$C:$C,C16,Data!$DS:$DS)+SUMIF(Data!$C:$C,C16,Data!$DU:$DU)+SUMIF(Data!$C:$C,C16,Data!$DW:$DW)+SUMIF(Data!$C:$C,C16,Data!$DY:$DY)+SUMIF(Data!$C:$C,C16,Data!$EA:$EA)+SUMIF(Data!$C:$C,C16,Data!$EC:$EC)+SUMIF(Data!$C:$C,C16,Data!$EE:$EE)+SUMIF(Data!$C:$C,C16,Data!$EG:$EG)+SUMIF(Data!$C:$C,C16,Data!$EI:$EI)+SUMIF(Data!$C:$C,C16,Data!$EK:$EK)+SUMIF(Data!$C:$C,C16,Data!$EM:$EM)+SUMIF(Data!$C:$C,C16,Data!$EO:$EO)+SUMIF(Data!$C:$C,C16,Data!$EQ:$EQ)+SUMIF(Data!$C:$C,C16,Data!$ES:$ES)</f>
        <v>30369.817391304332</v>
      </c>
      <c r="H16" s="34">
        <f>SUMIF(Data!$C:$C,C16,Data!$DJ:$DJ)+SUMIF(Data!$C:$C,C16,Data!$DL:$DL)+SUMIF(Data!$C:$C,C16,Data!$DN:$DN)+SUMIF(Data!$C:$C,C16,Data!$DP:$DP)+SUMIF(Data!$C:$C,C16,Data!$DR:$DR)+SUMIF(Data!$C:$C,C16,Data!$DT:$DT)+SUMIF(Data!$C:$C,C16,Data!$DV:$DV)+SUMIF(Data!$C:$C,C16,Data!$DX:$DX)+SUMIF(Data!$C:$C,C16,Data!$DZ:$DZ)+SUMIF(Data!$C:$C,C16,Data!$EB:$EB)+SUMIF(Data!$C:$C,C16,Data!$ED:$ED)+SUMIF(Data!$C:$C,C16,Data!$EF:$EF)+SUMIF(Data!$C:$C,C16,Data!$EH:$EH)+SUMIF(Data!$C:$C,C16,Data!$EJ:$EJ)+SUMIF(Data!$C:$C,C16,Data!$EL:$EL)+SUMIF(Data!$C:$C,C16,Data!$EN:$EN)+SUMIF(Data!$C:$C,C16,Data!$EP:$EP)+SUMIF(Data!$C:$C,C16,Data!$ER:$ER)+SUMIF(Data!$C:$C,C16,Data!$ET:$ET)</f>
        <v>361.90599999999995</v>
      </c>
      <c r="I16" s="33">
        <f>G16/19</f>
        <v>1598.4114416475963</v>
      </c>
      <c r="J16" s="34">
        <f>H16/19</f>
        <v>19.047684210526313</v>
      </c>
      <c r="K16" s="33">
        <f>IFERROR(INDEX(Data!$ES:$ES,MATCH(C16,Data!$C:$C,0)),0)</f>
        <v>774.53043478260895</v>
      </c>
      <c r="L16" s="34">
        <f>IFERROR(INDEX(Data!$ET:$ET,MATCH(C16,Data!$C:$C,0)),0)</f>
        <v>6.4939999999999998</v>
      </c>
      <c r="M16" s="33">
        <f>IFERROR(INDEX(Data!$I$3:$ER$553,MATCH($C16,Data!$C$3:$C$553,0),MATCH(DATE(RIGHT($B$5,4),MID($B$5,4,2),LEFT($B$5,2))-42,Data!$I$1:$ER$1,0)),0)</f>
        <v>377.51304347826101</v>
      </c>
      <c r="N16" s="34" cm="1">
        <f t="array" ref="N16">IFERROR(INDEX(Data!$I$3:$ER$553,MATCH($C16,Data!$C$3:$C$553,0),MATCH(DATE(RIGHT($B$5,4),MID($B$5,4,2),LEFT($B$5,2))-42,Data!$I$1:$ER$1,0)+1),0)</f>
        <v>4.3419999999999996</v>
      </c>
      <c r="O16" s="33">
        <f>IFERROR(INDEX(Data!$I$3:$ER$553,MATCH($C16,Data!$C$3:$C$553,0),MATCH($M$5,Data!$I$1:$ER$1,0)),0)</f>
        <v>0</v>
      </c>
      <c r="P16" s="34" cm="1">
        <f t="array" ref="P16">IFERROR(INDEX(Data!$I$3:$ER$553,MATCH($C16,Data!$C$3:$C$553,0),MATCH($M$5,Data!$I$1:$ER$1,0)+1),0)</f>
        <v>0</v>
      </c>
      <c r="Q16" s="49" t="str">
        <f>IF(R16="","",IF(H16=0,0,R16*(G16/H16)))</f>
        <v/>
      </c>
      <c r="R16" s="50"/>
      <c r="T16" t="s">
        <v>710</v>
      </c>
      <c r="U16" s="126">
        <v>46148</v>
      </c>
      <c r="V16" t="s">
        <v>705</v>
      </c>
    </row>
    <row r="17" spans="1:22" x14ac:dyDescent="0.35">
      <c r="A17" s="29">
        <v>202</v>
      </c>
      <c r="B17" s="29" t="s">
        <v>530</v>
      </c>
      <c r="C17" s="29">
        <v>12150</v>
      </c>
      <c r="D17" s="29" t="s">
        <v>74</v>
      </c>
      <c r="E17" s="30">
        <v>20165.12173913042</v>
      </c>
      <c r="F17" s="31">
        <v>131.12100000000004</v>
      </c>
      <c r="G17" s="30">
        <f>SUMIF(Data!$C:$C,C17,Data!$DI:$DI)+SUMIF(Data!$C:$C,C17,Data!$DK:$DK)+SUMIF(Data!$C:$C,C17,Data!$DM:$DM)+SUMIF(Data!$C:$C,C17,Data!$DO:$DO)+SUMIF(Data!$C:$C,C17,Data!$DQ:$DQ)+SUMIF(Data!$C:$C,C17,Data!$DS:$DS)+SUMIF(Data!$C:$C,C17,Data!$DU:$DU)+SUMIF(Data!$C:$C,C17,Data!$DW:$DW)+SUMIF(Data!$C:$C,C17,Data!$DY:$DY)+SUMIF(Data!$C:$C,C17,Data!$EA:$EA)+SUMIF(Data!$C:$C,C17,Data!$EC:$EC)+SUMIF(Data!$C:$C,C17,Data!$EE:$EE)+SUMIF(Data!$C:$C,C17,Data!$EG:$EG)+SUMIF(Data!$C:$C,C17,Data!$EI:$EI)+SUMIF(Data!$C:$C,C17,Data!$EK:$EK)+SUMIF(Data!$C:$C,C17,Data!$EM:$EM)+SUMIF(Data!$C:$C,C17,Data!$EO:$EO)+SUMIF(Data!$C:$C,C17,Data!$EQ:$EQ)+SUMIF(Data!$C:$C,C17,Data!$ES:$ES)</f>
        <v>23248.652173913033</v>
      </c>
      <c r="H17" s="31">
        <f>SUMIF(Data!$C:$C,C17,Data!$DJ:$DJ)+SUMIF(Data!$C:$C,C17,Data!$DL:$DL)+SUMIF(Data!$C:$C,C17,Data!$DN:$DN)+SUMIF(Data!$C:$C,C17,Data!$DP:$DP)+SUMIF(Data!$C:$C,C17,Data!$DR:$DR)+SUMIF(Data!$C:$C,C17,Data!$DT:$DT)+SUMIF(Data!$C:$C,C17,Data!$DV:$DV)+SUMIF(Data!$C:$C,C17,Data!$DX:$DX)+SUMIF(Data!$C:$C,C17,Data!$DZ:$DZ)+SUMIF(Data!$C:$C,C17,Data!$EB:$EB)+SUMIF(Data!$C:$C,C17,Data!$ED:$ED)+SUMIF(Data!$C:$C,C17,Data!$EF:$EF)+SUMIF(Data!$C:$C,C17,Data!$EH:$EH)+SUMIF(Data!$C:$C,C17,Data!$EJ:$EJ)+SUMIF(Data!$C:$C,C17,Data!$EL:$EL)+SUMIF(Data!$C:$C,C17,Data!$EN:$EN)+SUMIF(Data!$C:$C,C17,Data!$EP:$EP)+SUMIF(Data!$C:$C,C17,Data!$ER:$ER)+SUMIF(Data!$C:$C,C17,Data!$ET:$ET)</f>
        <v>150.42999999999998</v>
      </c>
      <c r="I17" s="30">
        <f>G17/19</f>
        <v>1223.6132723112123</v>
      </c>
      <c r="J17" s="31">
        <f>H17/19</f>
        <v>7.9173684210526307</v>
      </c>
      <c r="K17" s="30">
        <f>IFERROR(INDEX(Data!$ES:$ES,MATCH(C17,Data!$C:$C,0)),0)</f>
        <v>435.17391304347802</v>
      </c>
      <c r="L17" s="31">
        <f>IFERROR(INDEX(Data!$ET:$ET,MATCH(C17,Data!$C:$C,0)),0)</f>
        <v>2.66</v>
      </c>
      <c r="M17" s="30">
        <f>IFERROR(INDEX(Data!$I$3:$ER$553,MATCH($C17,Data!$C$3:$C$553,0),MATCH(DATE(RIGHT($B$5,4),MID($B$5,4,2),LEFT($B$5,2))-42,Data!$I$1:$ER$1,0)),0)</f>
        <v>838.452173913043</v>
      </c>
      <c r="N17" s="31" cm="1">
        <f t="array" ref="N17">IFERROR(INDEX(Data!$I$3:$ER$553,MATCH($C17,Data!$C$3:$C$553,0),MATCH(DATE(RIGHT($B$5,4),MID($B$5,4,2),LEFT($B$5,2))-42,Data!$I$1:$ER$1,0)+1),0)</f>
        <v>4.4409999999999998</v>
      </c>
      <c r="O17" s="30">
        <f>IFERROR(INDEX(Data!$I$3:$ER$553,MATCH($C17,Data!$C$3:$C$553,0),MATCH($M$5,Data!$I$1:$ER$1,0)),0)</f>
        <v>727.45217391304402</v>
      </c>
      <c r="P17" s="31" cm="1">
        <f t="array" ref="P17">IFERROR(INDEX(Data!$I$3:$ER$553,MATCH($C17,Data!$C$3:$C$553,0),MATCH($M$5,Data!$I$1:$ER$1,0)+1),0)</f>
        <v>3.8029999999999999</v>
      </c>
      <c r="Q17" s="49" t="str">
        <f>IF(R17="","",IF(H17=0,0,R17*(G17/H17)))</f>
        <v/>
      </c>
      <c r="R17" s="50"/>
      <c r="T17" t="s">
        <v>710</v>
      </c>
      <c r="U17" s="126">
        <v>46149</v>
      </c>
      <c r="V17" t="s">
        <v>706</v>
      </c>
    </row>
    <row r="18" spans="1:22" x14ac:dyDescent="0.35">
      <c r="A18" s="32">
        <v>202</v>
      </c>
      <c r="B18" s="32" t="s">
        <v>530</v>
      </c>
      <c r="C18" s="32">
        <v>34205</v>
      </c>
      <c r="D18" s="32" t="s">
        <v>109</v>
      </c>
      <c r="E18" s="33">
        <v>16780.434782608703</v>
      </c>
      <c r="F18" s="34">
        <v>115.32599999999999</v>
      </c>
      <c r="G18" s="33">
        <f>SUMIF(Data!$C:$C,C18,Data!$DI:$DI)+SUMIF(Data!$C:$C,C18,Data!$DK:$DK)+SUMIF(Data!$C:$C,C18,Data!$DM:$DM)+SUMIF(Data!$C:$C,C18,Data!$DO:$DO)+SUMIF(Data!$C:$C,C18,Data!$DQ:$DQ)+SUMIF(Data!$C:$C,C18,Data!$DS:$DS)+SUMIF(Data!$C:$C,C18,Data!$DU:$DU)+SUMIF(Data!$C:$C,C18,Data!$DW:$DW)+SUMIF(Data!$C:$C,C18,Data!$DY:$DY)+SUMIF(Data!$C:$C,C18,Data!$EA:$EA)+SUMIF(Data!$C:$C,C18,Data!$EC:$EC)+SUMIF(Data!$C:$C,C18,Data!$EE:$EE)+SUMIF(Data!$C:$C,C18,Data!$EG:$EG)+SUMIF(Data!$C:$C,C18,Data!$EI:$EI)+SUMIF(Data!$C:$C,C18,Data!$EK:$EK)+SUMIF(Data!$C:$C,C18,Data!$EM:$EM)+SUMIF(Data!$C:$C,C18,Data!$EO:$EO)+SUMIF(Data!$C:$C,C18,Data!$EQ:$EQ)+SUMIF(Data!$C:$C,C18,Data!$ES:$ES)</f>
        <v>22562.695652173912</v>
      </c>
      <c r="H18" s="34">
        <f>SUMIF(Data!$C:$C,C18,Data!$DJ:$DJ)+SUMIF(Data!$C:$C,C18,Data!$DL:$DL)+SUMIF(Data!$C:$C,C18,Data!$DN:$DN)+SUMIF(Data!$C:$C,C18,Data!$DP:$DP)+SUMIF(Data!$C:$C,C18,Data!$DR:$DR)+SUMIF(Data!$C:$C,C18,Data!$DT:$DT)+SUMIF(Data!$C:$C,C18,Data!$DV:$DV)+SUMIF(Data!$C:$C,C18,Data!$DX:$DX)+SUMIF(Data!$C:$C,C18,Data!$DZ:$DZ)+SUMIF(Data!$C:$C,C18,Data!$EB:$EB)+SUMIF(Data!$C:$C,C18,Data!$ED:$ED)+SUMIF(Data!$C:$C,C18,Data!$EF:$EF)+SUMIF(Data!$C:$C,C18,Data!$EH:$EH)+SUMIF(Data!$C:$C,C18,Data!$EJ:$EJ)+SUMIF(Data!$C:$C,C18,Data!$EL:$EL)+SUMIF(Data!$C:$C,C18,Data!$EN:$EN)+SUMIF(Data!$C:$C,C18,Data!$EP:$EP)+SUMIF(Data!$C:$C,C18,Data!$ER:$ER)+SUMIF(Data!$C:$C,C18,Data!$ET:$ET)</f>
        <v>147.50800000000001</v>
      </c>
      <c r="I18" s="33">
        <f>G18/19</f>
        <v>1187.5102974828376</v>
      </c>
      <c r="J18" s="34">
        <f>H18/19</f>
        <v>7.7635789473684218</v>
      </c>
      <c r="K18" s="33">
        <f>IFERROR(INDEX(Data!$ES:$ES,MATCH(C18,Data!$C:$C,0)),0)</f>
        <v>0</v>
      </c>
      <c r="L18" s="34">
        <f>IFERROR(INDEX(Data!$ET:$ET,MATCH(C18,Data!$C:$C,0)),0)</f>
        <v>0</v>
      </c>
      <c r="M18" s="33">
        <f>IFERROR(INDEX(Data!$I$3:$ER$553,MATCH($C18,Data!$C$3:$C$553,0),MATCH(DATE(RIGHT($B$5,4),MID($B$5,4,2),LEFT($B$5,2))-42,Data!$I$1:$ER$1,0)),0)</f>
        <v>602.4</v>
      </c>
      <c r="N18" s="34" cm="1">
        <f t="array" ref="N18">IFERROR(INDEX(Data!$I$3:$ER$553,MATCH($C18,Data!$C$3:$C$553,0),MATCH(DATE(RIGHT($B$5,4),MID($B$5,4,2),LEFT($B$5,2))-42,Data!$I$1:$ER$1,0)+1),0)</f>
        <v>3.149</v>
      </c>
      <c r="O18" s="33">
        <f>IFERROR(INDEX(Data!$I$3:$ER$553,MATCH($C18,Data!$C$3:$C$553,0),MATCH($M$5,Data!$I$1:$ER$1,0)),0)</f>
        <v>395.51304347826101</v>
      </c>
      <c r="P18" s="34" cm="1">
        <f t="array" ref="P18">IFERROR(INDEX(Data!$I$3:$ER$553,MATCH($C18,Data!$C$3:$C$553,0),MATCH($M$5,Data!$I$1:$ER$1,0)+1),0)</f>
        <v>2.3940000000000001</v>
      </c>
      <c r="Q18" s="49" t="str">
        <f>IF(R18="","",IF(H18=0,0,R18*(G18/H18)))</f>
        <v/>
      </c>
      <c r="R18" s="50"/>
      <c r="T18" t="s">
        <v>711</v>
      </c>
      <c r="U18" s="126">
        <v>46175</v>
      </c>
      <c r="V18" t="s">
        <v>704</v>
      </c>
    </row>
    <row r="19" spans="1:22" x14ac:dyDescent="0.35">
      <c r="A19" s="29">
        <v>202</v>
      </c>
      <c r="B19" s="29" t="s">
        <v>530</v>
      </c>
      <c r="C19" s="29">
        <v>63482</v>
      </c>
      <c r="D19" s="29" t="s">
        <v>127</v>
      </c>
      <c r="E19" s="30">
        <v>0</v>
      </c>
      <c r="F19" s="31">
        <v>0</v>
      </c>
      <c r="G19" s="30">
        <f>SUMIF(Data!$C:$C,C19,Data!$DI:$DI)+SUMIF(Data!$C:$C,C19,Data!$DK:$DK)+SUMIF(Data!$C:$C,C19,Data!$DM:$DM)+SUMIF(Data!$C:$C,C19,Data!$DO:$DO)+SUMIF(Data!$C:$C,C19,Data!$DQ:$DQ)+SUMIF(Data!$C:$C,C19,Data!$DS:$DS)+SUMIF(Data!$C:$C,C19,Data!$DU:$DU)+SUMIF(Data!$C:$C,C19,Data!$DW:$DW)+SUMIF(Data!$C:$C,C19,Data!$DY:$DY)+SUMIF(Data!$C:$C,C19,Data!$EA:$EA)+SUMIF(Data!$C:$C,C19,Data!$EC:$EC)+SUMIF(Data!$C:$C,C19,Data!$EE:$EE)+SUMIF(Data!$C:$C,C19,Data!$EG:$EG)+SUMIF(Data!$C:$C,C19,Data!$EI:$EI)+SUMIF(Data!$C:$C,C19,Data!$EK:$EK)+SUMIF(Data!$C:$C,C19,Data!$EM:$EM)+SUMIF(Data!$C:$C,C19,Data!$EO:$EO)+SUMIF(Data!$C:$C,C19,Data!$EQ:$EQ)+SUMIF(Data!$C:$C,C19,Data!$ES:$ES)</f>
        <v>20725.008695652159</v>
      </c>
      <c r="H19" s="31">
        <f>SUMIF(Data!$C:$C,C19,Data!$DJ:$DJ)+SUMIF(Data!$C:$C,C19,Data!$DL:$DL)+SUMIF(Data!$C:$C,C19,Data!$DN:$DN)+SUMIF(Data!$C:$C,C19,Data!$DP:$DP)+SUMIF(Data!$C:$C,C19,Data!$DR:$DR)+SUMIF(Data!$C:$C,C19,Data!$DT:$DT)+SUMIF(Data!$C:$C,C19,Data!$DV:$DV)+SUMIF(Data!$C:$C,C19,Data!$DX:$DX)+SUMIF(Data!$C:$C,C19,Data!$DZ:$DZ)+SUMIF(Data!$C:$C,C19,Data!$EB:$EB)+SUMIF(Data!$C:$C,C19,Data!$ED:$ED)+SUMIF(Data!$C:$C,C19,Data!$EF:$EF)+SUMIF(Data!$C:$C,C19,Data!$EH:$EH)+SUMIF(Data!$C:$C,C19,Data!$EJ:$EJ)+SUMIF(Data!$C:$C,C19,Data!$EL:$EL)+SUMIF(Data!$C:$C,C19,Data!$EN:$EN)+SUMIF(Data!$C:$C,C19,Data!$EP:$EP)+SUMIF(Data!$C:$C,C19,Data!$ER:$ER)+SUMIF(Data!$C:$C,C19,Data!$ET:$ET)</f>
        <v>168.36600000000001</v>
      </c>
      <c r="I19" s="30">
        <f>G19/19</f>
        <v>1090.7899313501136</v>
      </c>
      <c r="J19" s="31">
        <f>H19/19</f>
        <v>8.8613684210526316</v>
      </c>
      <c r="K19" s="30">
        <f>IFERROR(INDEX(Data!$ES:$ES,MATCH(C19,Data!$C:$C,0)),0)</f>
        <v>473.80869565217398</v>
      </c>
      <c r="L19" s="31">
        <f>IFERROR(INDEX(Data!$ET:$ET,MATCH(C19,Data!$C:$C,0)),0)</f>
        <v>4.1100000000000003</v>
      </c>
      <c r="M19" s="30">
        <f>IFERROR(INDEX(Data!$I$3:$ER$553,MATCH($C19,Data!$C$3:$C$553,0),MATCH(DATE(RIGHT($B$5,4),MID($B$5,4,2),LEFT($B$5,2))-42,Data!$I$1:$ER$1,0)),0)</f>
        <v>724.75652173912999</v>
      </c>
      <c r="N19" s="31" cm="1">
        <f t="array" ref="N19">IFERROR(INDEX(Data!$I$3:$ER$553,MATCH($C19,Data!$C$3:$C$553,0),MATCH(DATE(RIGHT($B$5,4),MID($B$5,4,2),LEFT($B$5,2))-42,Data!$I$1:$ER$1,0)+1),0)</f>
        <v>6.9459999999999997</v>
      </c>
      <c r="O19" s="30">
        <f>IFERROR(INDEX(Data!$I$3:$ER$553,MATCH($C19,Data!$C$3:$C$553,0),MATCH($M$5,Data!$I$1:$ER$1,0)),0)</f>
        <v>0</v>
      </c>
      <c r="P19" s="31" cm="1">
        <f t="array" ref="P19">IFERROR(INDEX(Data!$I$3:$ER$553,MATCH($C19,Data!$C$3:$C$553,0),MATCH($M$5,Data!$I$1:$ER$1,0)+1),0)</f>
        <v>0</v>
      </c>
      <c r="Q19" s="49" t="str">
        <f>IF(R19="","",IF(H19=0,0,R19*(G19/H19)))</f>
        <v/>
      </c>
      <c r="R19" s="50"/>
      <c r="T19" t="s">
        <v>711</v>
      </c>
      <c r="U19" s="126">
        <v>46176</v>
      </c>
      <c r="V19" t="s">
        <v>705</v>
      </c>
    </row>
    <row r="20" spans="1:22" x14ac:dyDescent="0.35">
      <c r="A20" s="32">
        <v>202</v>
      </c>
      <c r="B20" s="32" t="s">
        <v>530</v>
      </c>
      <c r="C20" s="32">
        <v>34254</v>
      </c>
      <c r="D20" s="32" t="s">
        <v>113</v>
      </c>
      <c r="E20" s="33">
        <v>17629.626086956519</v>
      </c>
      <c r="F20" s="34">
        <v>568.46699999999998</v>
      </c>
      <c r="G20" s="33">
        <f>SUMIF(Data!$C:$C,C20,Data!$DI:$DI)+SUMIF(Data!$C:$C,C20,Data!$DK:$DK)+SUMIF(Data!$C:$C,C20,Data!$DM:$DM)+SUMIF(Data!$C:$C,C20,Data!$DO:$DO)+SUMIF(Data!$C:$C,C20,Data!$DQ:$DQ)+SUMIF(Data!$C:$C,C20,Data!$DS:$DS)+SUMIF(Data!$C:$C,C20,Data!$DU:$DU)+SUMIF(Data!$C:$C,C20,Data!$DW:$DW)+SUMIF(Data!$C:$C,C20,Data!$DY:$DY)+SUMIF(Data!$C:$C,C20,Data!$EA:$EA)+SUMIF(Data!$C:$C,C20,Data!$EC:$EC)+SUMIF(Data!$C:$C,C20,Data!$EE:$EE)+SUMIF(Data!$C:$C,C20,Data!$EG:$EG)+SUMIF(Data!$C:$C,C20,Data!$EI:$EI)+SUMIF(Data!$C:$C,C20,Data!$EK:$EK)+SUMIF(Data!$C:$C,C20,Data!$EM:$EM)+SUMIF(Data!$C:$C,C20,Data!$EO:$EO)+SUMIF(Data!$C:$C,C20,Data!$EQ:$EQ)+SUMIF(Data!$C:$C,C20,Data!$ES:$ES)</f>
        <v>23378.617391304339</v>
      </c>
      <c r="H20" s="34">
        <f>SUMIF(Data!$C:$C,C20,Data!$DJ:$DJ)+SUMIF(Data!$C:$C,C20,Data!$DL:$DL)+SUMIF(Data!$C:$C,C20,Data!$DN:$DN)+SUMIF(Data!$C:$C,C20,Data!$DP:$DP)+SUMIF(Data!$C:$C,C20,Data!$DR:$DR)+SUMIF(Data!$C:$C,C20,Data!$DT:$DT)+SUMIF(Data!$C:$C,C20,Data!$DV:$DV)+SUMIF(Data!$C:$C,C20,Data!$DX:$DX)+SUMIF(Data!$C:$C,C20,Data!$DZ:$DZ)+SUMIF(Data!$C:$C,C20,Data!$EB:$EB)+SUMIF(Data!$C:$C,C20,Data!$ED:$ED)+SUMIF(Data!$C:$C,C20,Data!$EF:$EF)+SUMIF(Data!$C:$C,C20,Data!$EH:$EH)+SUMIF(Data!$C:$C,C20,Data!$EJ:$EJ)+SUMIF(Data!$C:$C,C20,Data!$EL:$EL)+SUMIF(Data!$C:$C,C20,Data!$EN:$EN)+SUMIF(Data!$C:$C,C20,Data!$EP:$EP)+SUMIF(Data!$C:$C,C20,Data!$ER:$ER)+SUMIF(Data!$C:$C,C20,Data!$ET:$ET)</f>
        <v>673.14199999999994</v>
      </c>
      <c r="I20" s="33">
        <f>G20/19</f>
        <v>1230.4535469107548</v>
      </c>
      <c r="J20" s="34">
        <f>H20/19</f>
        <v>35.428526315789469</v>
      </c>
      <c r="K20" s="33">
        <f>IFERROR(INDEX(Data!$ES:$ES,MATCH(C20,Data!$C:$C,0)),0)</f>
        <v>3793.6086956521699</v>
      </c>
      <c r="L20" s="34">
        <f>IFERROR(INDEX(Data!$ET:$ET,MATCH(C20,Data!$C:$C,0)),0)</f>
        <v>109.562</v>
      </c>
      <c r="M20" s="33">
        <f>IFERROR(INDEX(Data!$I$3:$ER$553,MATCH($C20,Data!$C$3:$C$553,0),MATCH(DATE(RIGHT($B$5,4),MID($B$5,4,2),LEFT($B$5,2))-42,Data!$I$1:$ER$1,0)),0)</f>
        <v>1556.54782608696</v>
      </c>
      <c r="N20" s="34" cm="1">
        <f t="array" ref="N20">IFERROR(INDEX(Data!$I$3:$ER$553,MATCH($C20,Data!$C$3:$C$553,0),MATCH(DATE(RIGHT($B$5,4),MID($B$5,4,2),LEFT($B$5,2))-42,Data!$I$1:$ER$1,0)+1),0)</f>
        <v>44.762</v>
      </c>
      <c r="O20" s="33">
        <f>IFERROR(INDEX(Data!$I$3:$ER$553,MATCH($C20,Data!$C$3:$C$553,0),MATCH($M$5,Data!$I$1:$ER$1,0)),0)</f>
        <v>3392.1913043478298</v>
      </c>
      <c r="P20" s="34" cm="1">
        <f t="array" ref="P20">IFERROR(INDEX(Data!$I$3:$ER$553,MATCH($C20,Data!$C$3:$C$553,0),MATCH($M$5,Data!$I$1:$ER$1,0)+1),0)</f>
        <v>98.073999999999998</v>
      </c>
      <c r="Q20" s="49" t="str">
        <f>IF(R20="","",IF(H20=0,0,R20*(G20/H20)))</f>
        <v/>
      </c>
      <c r="R20" s="50"/>
      <c r="T20" t="s">
        <v>711</v>
      </c>
      <c r="U20" s="126">
        <v>46177</v>
      </c>
      <c r="V20" t="s">
        <v>706</v>
      </c>
    </row>
    <row r="21" spans="1:22" x14ac:dyDescent="0.35">
      <c r="A21" s="29">
        <v>202</v>
      </c>
      <c r="B21" s="29" t="s">
        <v>530</v>
      </c>
      <c r="C21" s="29">
        <v>34157</v>
      </c>
      <c r="D21" s="29" t="s">
        <v>89</v>
      </c>
      <c r="E21" s="30">
        <v>11408.973913043481</v>
      </c>
      <c r="F21" s="31">
        <v>52.833999999999996</v>
      </c>
      <c r="G21" s="30">
        <f>SUMIF(Data!$C:$C,C21,Data!$DI:$DI)+SUMIF(Data!$C:$C,C21,Data!$DK:$DK)+SUMIF(Data!$C:$C,C21,Data!$DM:$DM)+SUMIF(Data!$C:$C,C21,Data!$DO:$DO)+SUMIF(Data!$C:$C,C21,Data!$DQ:$DQ)+SUMIF(Data!$C:$C,C21,Data!$DS:$DS)+SUMIF(Data!$C:$C,C21,Data!$DU:$DU)+SUMIF(Data!$C:$C,C21,Data!$DW:$DW)+SUMIF(Data!$C:$C,C21,Data!$DY:$DY)+SUMIF(Data!$C:$C,C21,Data!$EA:$EA)+SUMIF(Data!$C:$C,C21,Data!$EC:$EC)+SUMIF(Data!$C:$C,C21,Data!$EE:$EE)+SUMIF(Data!$C:$C,C21,Data!$EG:$EG)+SUMIF(Data!$C:$C,C21,Data!$EI:$EI)+SUMIF(Data!$C:$C,C21,Data!$EK:$EK)+SUMIF(Data!$C:$C,C21,Data!$EM:$EM)+SUMIF(Data!$C:$C,C21,Data!$EO:$EO)+SUMIF(Data!$C:$C,C21,Data!$EQ:$EQ)+SUMIF(Data!$C:$C,C21,Data!$ES:$ES)</f>
        <v>10352.634782608699</v>
      </c>
      <c r="H21" s="31">
        <f>SUMIF(Data!$C:$C,C21,Data!$DJ:$DJ)+SUMIF(Data!$C:$C,C21,Data!$DL:$DL)+SUMIF(Data!$C:$C,C21,Data!$DN:$DN)+SUMIF(Data!$C:$C,C21,Data!$DP:$DP)+SUMIF(Data!$C:$C,C21,Data!$DR:$DR)+SUMIF(Data!$C:$C,C21,Data!$DT:$DT)+SUMIF(Data!$C:$C,C21,Data!$DV:$DV)+SUMIF(Data!$C:$C,C21,Data!$DX:$DX)+SUMIF(Data!$C:$C,C21,Data!$DZ:$DZ)+SUMIF(Data!$C:$C,C21,Data!$EB:$EB)+SUMIF(Data!$C:$C,C21,Data!$ED:$ED)+SUMIF(Data!$C:$C,C21,Data!$EF:$EF)+SUMIF(Data!$C:$C,C21,Data!$EH:$EH)+SUMIF(Data!$C:$C,C21,Data!$EJ:$EJ)+SUMIF(Data!$C:$C,C21,Data!$EL:$EL)+SUMIF(Data!$C:$C,C21,Data!$EN:$EN)+SUMIF(Data!$C:$C,C21,Data!$EP:$EP)+SUMIF(Data!$C:$C,C21,Data!$ER:$ER)+SUMIF(Data!$C:$C,C21,Data!$ET:$ET)</f>
        <v>46.913999999999994</v>
      </c>
      <c r="I21" s="30">
        <f>G21/19</f>
        <v>544.87551487414203</v>
      </c>
      <c r="J21" s="31">
        <f>H21/19</f>
        <v>2.469157894736842</v>
      </c>
      <c r="K21" s="30">
        <f>IFERROR(INDEX(Data!$ES:$ES,MATCH(C21,Data!$C:$C,0)),0)</f>
        <v>0</v>
      </c>
      <c r="L21" s="31">
        <f>IFERROR(INDEX(Data!$ET:$ET,MATCH(C21,Data!$C:$C,0)),0)</f>
        <v>0</v>
      </c>
      <c r="M21" s="30">
        <f>IFERROR(INDEX(Data!$I$3:$ER$553,MATCH($C21,Data!$C$3:$C$553,0),MATCH(DATE(RIGHT($B$5,4),MID($B$5,4,2),LEFT($B$5,2))-42,Data!$I$1:$ER$1,0)),0)</f>
        <v>0</v>
      </c>
      <c r="N21" s="31" cm="1">
        <f t="array" ref="N21">IFERROR(INDEX(Data!$I$3:$ER$553,MATCH($C21,Data!$C$3:$C$553,0),MATCH(DATE(RIGHT($B$5,4),MID($B$5,4,2),LEFT($B$5,2))-42,Data!$I$1:$ER$1,0)+1),0)</f>
        <v>0</v>
      </c>
      <c r="O21" s="30">
        <f>IFERROR(INDEX(Data!$I$3:$ER$553,MATCH($C21,Data!$C$3:$C$553,0),MATCH($M$5,Data!$I$1:$ER$1,0)),0)</f>
        <v>116.078260869565</v>
      </c>
      <c r="P21" s="31" cm="1">
        <f t="array" ref="P21">IFERROR(INDEX(Data!$I$3:$ER$553,MATCH($C21,Data!$C$3:$C$553,0),MATCH($M$5,Data!$I$1:$ER$1,0)+1),0)</f>
        <v>0.53400000000000003</v>
      </c>
      <c r="Q21" s="49" t="str">
        <f>IF(R21="","",IF(H21=0,0,R21*(G21/H21)))</f>
        <v/>
      </c>
      <c r="R21" s="50"/>
      <c r="T21" t="s">
        <v>712</v>
      </c>
      <c r="U21" s="126">
        <v>46205</v>
      </c>
      <c r="V21" t="s">
        <v>704</v>
      </c>
    </row>
    <row r="22" spans="1:22" x14ac:dyDescent="0.35">
      <c r="A22" s="32">
        <v>202</v>
      </c>
      <c r="B22" s="32" t="s">
        <v>530</v>
      </c>
      <c r="C22" s="32">
        <v>64936</v>
      </c>
      <c r="D22" s="32" t="s">
        <v>133</v>
      </c>
      <c r="E22" s="33">
        <v>0</v>
      </c>
      <c r="F22" s="34">
        <v>0</v>
      </c>
      <c r="G22" s="33">
        <f>SUMIF(Data!$C:$C,C22,Data!$DI:$DI)+SUMIF(Data!$C:$C,C22,Data!$DK:$DK)+SUMIF(Data!$C:$C,C22,Data!$DM:$DM)+SUMIF(Data!$C:$C,C22,Data!$DO:$DO)+SUMIF(Data!$C:$C,C22,Data!$DQ:$DQ)+SUMIF(Data!$C:$C,C22,Data!$DS:$DS)+SUMIF(Data!$C:$C,C22,Data!$DU:$DU)+SUMIF(Data!$C:$C,C22,Data!$DW:$DW)+SUMIF(Data!$C:$C,C22,Data!$DY:$DY)+SUMIF(Data!$C:$C,C22,Data!$EA:$EA)+SUMIF(Data!$C:$C,C22,Data!$EC:$EC)+SUMIF(Data!$C:$C,C22,Data!$EE:$EE)+SUMIF(Data!$C:$C,C22,Data!$EG:$EG)+SUMIF(Data!$C:$C,C22,Data!$EI:$EI)+SUMIF(Data!$C:$C,C22,Data!$EK:$EK)+SUMIF(Data!$C:$C,C22,Data!$EM:$EM)+SUMIF(Data!$C:$C,C22,Data!$EO:$EO)+SUMIF(Data!$C:$C,C22,Data!$EQ:$EQ)+SUMIF(Data!$C:$C,C22,Data!$ES:$ES)</f>
        <v>8241.9652173913018</v>
      </c>
      <c r="H22" s="34">
        <f>SUMIF(Data!$C:$C,C22,Data!$DJ:$DJ)+SUMIF(Data!$C:$C,C22,Data!$DL:$DL)+SUMIF(Data!$C:$C,C22,Data!$DN:$DN)+SUMIF(Data!$C:$C,C22,Data!$DP:$DP)+SUMIF(Data!$C:$C,C22,Data!$DR:$DR)+SUMIF(Data!$C:$C,C22,Data!$DT:$DT)+SUMIF(Data!$C:$C,C22,Data!$DV:$DV)+SUMIF(Data!$C:$C,C22,Data!$DX:$DX)+SUMIF(Data!$C:$C,C22,Data!$DZ:$DZ)+SUMIF(Data!$C:$C,C22,Data!$EB:$EB)+SUMIF(Data!$C:$C,C22,Data!$ED:$ED)+SUMIF(Data!$C:$C,C22,Data!$EF:$EF)+SUMIF(Data!$C:$C,C22,Data!$EH:$EH)+SUMIF(Data!$C:$C,C22,Data!$EJ:$EJ)+SUMIF(Data!$C:$C,C22,Data!$EL:$EL)+SUMIF(Data!$C:$C,C22,Data!$EN:$EN)+SUMIF(Data!$C:$C,C22,Data!$EP:$EP)+SUMIF(Data!$C:$C,C22,Data!$ER:$ER)+SUMIF(Data!$C:$C,C22,Data!$ET:$ET)</f>
        <v>26.425000000000001</v>
      </c>
      <c r="I22" s="33">
        <f>G22/19</f>
        <v>433.78764302059483</v>
      </c>
      <c r="J22" s="34">
        <f>H22/19</f>
        <v>1.3907894736842106</v>
      </c>
      <c r="K22" s="33">
        <f>IFERROR(INDEX(Data!$ES:$ES,MATCH(C22,Data!$C:$C,0)),0)</f>
        <v>0</v>
      </c>
      <c r="L22" s="34">
        <f>IFERROR(INDEX(Data!$ET:$ET,MATCH(C22,Data!$C:$C,0)),0)</f>
        <v>0</v>
      </c>
      <c r="M22" s="33">
        <f>IFERROR(INDEX(Data!$I$3:$ER$553,MATCH($C22,Data!$C$3:$C$553,0),MATCH(DATE(RIGHT($B$5,4),MID($B$5,4,2),LEFT($B$5,2))-42,Data!$I$1:$ER$1,0)),0)</f>
        <v>0</v>
      </c>
      <c r="N22" s="34" cm="1">
        <f t="array" ref="N22">IFERROR(INDEX(Data!$I$3:$ER$553,MATCH($C22,Data!$C$3:$C$553,0),MATCH(DATE(RIGHT($B$5,4),MID($B$5,4,2),LEFT($B$5,2))-42,Data!$I$1:$ER$1,0)+1),0)</f>
        <v>0</v>
      </c>
      <c r="O22" s="33">
        <f>IFERROR(INDEX(Data!$I$3:$ER$553,MATCH($C22,Data!$C$3:$C$553,0),MATCH($M$5,Data!$I$1:$ER$1,0)),0)</f>
        <v>0</v>
      </c>
      <c r="P22" s="34" cm="1">
        <f t="array" ref="P22">IFERROR(INDEX(Data!$I$3:$ER$553,MATCH($C22,Data!$C$3:$C$553,0),MATCH($M$5,Data!$I$1:$ER$1,0)+1),0)</f>
        <v>0</v>
      </c>
      <c r="Q22" s="49" t="str">
        <f>IF(R22="","",IF(H22=0,0,R22*(G22/H22)))</f>
        <v/>
      </c>
      <c r="R22" s="50"/>
      <c r="T22" t="s">
        <v>712</v>
      </c>
      <c r="U22" s="126">
        <v>46206</v>
      </c>
      <c r="V22" t="s">
        <v>705</v>
      </c>
    </row>
    <row r="23" spans="1:22" x14ac:dyDescent="0.35">
      <c r="A23" s="29">
        <v>202</v>
      </c>
      <c r="B23" s="29" t="s">
        <v>530</v>
      </c>
      <c r="C23" s="29">
        <v>12144</v>
      </c>
      <c r="D23" s="29" t="s">
        <v>70</v>
      </c>
      <c r="E23" s="30">
        <v>7034.7913043478266</v>
      </c>
      <c r="F23" s="31">
        <v>60.286999999999999</v>
      </c>
      <c r="G23" s="30">
        <f>SUMIF(Data!$C:$C,C23,Data!$DI:$DI)+SUMIF(Data!$C:$C,C23,Data!$DK:$DK)+SUMIF(Data!$C:$C,C23,Data!$DM:$DM)+SUMIF(Data!$C:$C,C23,Data!$DO:$DO)+SUMIF(Data!$C:$C,C23,Data!$DQ:$DQ)+SUMIF(Data!$C:$C,C23,Data!$DS:$DS)+SUMIF(Data!$C:$C,C23,Data!$DU:$DU)+SUMIF(Data!$C:$C,C23,Data!$DW:$DW)+SUMIF(Data!$C:$C,C23,Data!$DY:$DY)+SUMIF(Data!$C:$C,C23,Data!$EA:$EA)+SUMIF(Data!$C:$C,C23,Data!$EC:$EC)+SUMIF(Data!$C:$C,C23,Data!$EE:$EE)+SUMIF(Data!$C:$C,C23,Data!$EG:$EG)+SUMIF(Data!$C:$C,C23,Data!$EI:$EI)+SUMIF(Data!$C:$C,C23,Data!$EK:$EK)+SUMIF(Data!$C:$C,C23,Data!$EM:$EM)+SUMIF(Data!$C:$C,C23,Data!$EO:$EO)+SUMIF(Data!$C:$C,C23,Data!$EQ:$EQ)+SUMIF(Data!$C:$C,C23,Data!$ES:$ES)</f>
        <v>7854.4347826086951</v>
      </c>
      <c r="H23" s="31">
        <f>SUMIF(Data!$C:$C,C23,Data!$DJ:$DJ)+SUMIF(Data!$C:$C,C23,Data!$DL:$DL)+SUMIF(Data!$C:$C,C23,Data!$DN:$DN)+SUMIF(Data!$C:$C,C23,Data!$DP:$DP)+SUMIF(Data!$C:$C,C23,Data!$DR:$DR)+SUMIF(Data!$C:$C,C23,Data!$DT:$DT)+SUMIF(Data!$C:$C,C23,Data!$DV:$DV)+SUMIF(Data!$C:$C,C23,Data!$DX:$DX)+SUMIF(Data!$C:$C,C23,Data!$DZ:$DZ)+SUMIF(Data!$C:$C,C23,Data!$EB:$EB)+SUMIF(Data!$C:$C,C23,Data!$ED:$ED)+SUMIF(Data!$C:$C,C23,Data!$EF:$EF)+SUMIF(Data!$C:$C,C23,Data!$EH:$EH)+SUMIF(Data!$C:$C,C23,Data!$EJ:$EJ)+SUMIF(Data!$C:$C,C23,Data!$EL:$EL)+SUMIF(Data!$C:$C,C23,Data!$EN:$EN)+SUMIF(Data!$C:$C,C23,Data!$EP:$EP)+SUMIF(Data!$C:$C,C23,Data!$ER:$ER)+SUMIF(Data!$C:$C,C23,Data!$ET:$ET)</f>
        <v>63.301000000000009</v>
      </c>
      <c r="I23" s="30">
        <f>G23/19</f>
        <v>413.39130434782606</v>
      </c>
      <c r="J23" s="31">
        <f>H23/19</f>
        <v>3.3316315789473689</v>
      </c>
      <c r="K23" s="30">
        <f>IFERROR(INDEX(Data!$ES:$ES,MATCH(C23,Data!$C:$C,0)),0)</f>
        <v>109.878260869565</v>
      </c>
      <c r="L23" s="31">
        <f>IFERROR(INDEX(Data!$ET:$ET,MATCH(C23,Data!$C:$C,0)),0)</f>
        <v>0.97199999999999998</v>
      </c>
      <c r="M23" s="30">
        <f>IFERROR(INDEX(Data!$I$3:$ER$553,MATCH($C23,Data!$C$3:$C$553,0),MATCH(DATE(RIGHT($B$5,4),MID($B$5,4,2),LEFT($B$5,2))-42,Data!$I$1:$ER$1,0)),0)</f>
        <v>351.79130434782599</v>
      </c>
      <c r="N23" s="31" cm="1">
        <f t="array" ref="N23">IFERROR(INDEX(Data!$I$3:$ER$553,MATCH($C23,Data!$C$3:$C$553,0),MATCH(DATE(RIGHT($B$5,4),MID($B$5,4,2),LEFT($B$5,2))-42,Data!$I$1:$ER$1,0)+1),0)</f>
        <v>3.1120000000000001</v>
      </c>
      <c r="O23" s="30">
        <f>IFERROR(INDEX(Data!$I$3:$ER$553,MATCH($C23,Data!$C$3:$C$553,0),MATCH($M$5,Data!$I$1:$ER$1,0)),0)</f>
        <v>406.21739130434798</v>
      </c>
      <c r="P23" s="31" cm="1">
        <f t="array" ref="P23">IFERROR(INDEX(Data!$I$3:$ER$553,MATCH($C23,Data!$C$3:$C$553,0),MATCH($M$5,Data!$I$1:$ER$1,0)+1),0)</f>
        <v>2.7480000000000002</v>
      </c>
      <c r="Q23" s="49" t="str">
        <f>IF(R23="","",IF(H23=0,0,R23*(G23/H23)))</f>
        <v/>
      </c>
      <c r="R23" s="50"/>
      <c r="T23" t="s">
        <v>712</v>
      </c>
      <c r="U23" s="126">
        <v>46209</v>
      </c>
      <c r="V23" t="s">
        <v>706</v>
      </c>
    </row>
    <row r="24" spans="1:22" x14ac:dyDescent="0.35">
      <c r="A24" s="32">
        <v>202</v>
      </c>
      <c r="B24" s="32" t="s">
        <v>530</v>
      </c>
      <c r="C24" s="32">
        <v>62790</v>
      </c>
      <c r="D24" s="32" t="s">
        <v>124</v>
      </c>
      <c r="E24" s="33">
        <v>0</v>
      </c>
      <c r="F24" s="34">
        <v>0</v>
      </c>
      <c r="G24" s="33">
        <f>SUMIF(Data!$C:$C,C24,Data!$DI:$DI)+SUMIF(Data!$C:$C,C24,Data!$DK:$DK)+SUMIF(Data!$C:$C,C24,Data!$DM:$DM)+SUMIF(Data!$C:$C,C24,Data!$DO:$DO)+SUMIF(Data!$C:$C,C24,Data!$DQ:$DQ)+SUMIF(Data!$C:$C,C24,Data!$DS:$DS)+SUMIF(Data!$C:$C,C24,Data!$DU:$DU)+SUMIF(Data!$C:$C,C24,Data!$DW:$DW)+SUMIF(Data!$C:$C,C24,Data!$DY:$DY)+SUMIF(Data!$C:$C,C24,Data!$EA:$EA)+SUMIF(Data!$C:$C,C24,Data!$EC:$EC)+SUMIF(Data!$C:$C,C24,Data!$EE:$EE)+SUMIF(Data!$C:$C,C24,Data!$EG:$EG)+SUMIF(Data!$C:$C,C24,Data!$EI:$EI)+SUMIF(Data!$C:$C,C24,Data!$EK:$EK)+SUMIF(Data!$C:$C,C24,Data!$EM:$EM)+SUMIF(Data!$C:$C,C24,Data!$EO:$EO)+SUMIF(Data!$C:$C,C24,Data!$EQ:$EQ)+SUMIF(Data!$C:$C,C24,Data!$ES:$ES)</f>
        <v>6549.3391304347833</v>
      </c>
      <c r="H24" s="34">
        <f>SUMIF(Data!$C:$C,C24,Data!$DJ:$DJ)+SUMIF(Data!$C:$C,C24,Data!$DL:$DL)+SUMIF(Data!$C:$C,C24,Data!$DN:$DN)+SUMIF(Data!$C:$C,C24,Data!$DP:$DP)+SUMIF(Data!$C:$C,C24,Data!$DR:$DR)+SUMIF(Data!$C:$C,C24,Data!$DT:$DT)+SUMIF(Data!$C:$C,C24,Data!$DV:$DV)+SUMIF(Data!$C:$C,C24,Data!$DX:$DX)+SUMIF(Data!$C:$C,C24,Data!$DZ:$DZ)+SUMIF(Data!$C:$C,C24,Data!$EB:$EB)+SUMIF(Data!$C:$C,C24,Data!$ED:$ED)+SUMIF(Data!$C:$C,C24,Data!$EF:$EF)+SUMIF(Data!$C:$C,C24,Data!$EH:$EH)+SUMIF(Data!$C:$C,C24,Data!$EJ:$EJ)+SUMIF(Data!$C:$C,C24,Data!$EL:$EL)+SUMIF(Data!$C:$C,C24,Data!$EN:$EN)+SUMIF(Data!$C:$C,C24,Data!$EP:$EP)+SUMIF(Data!$C:$C,C24,Data!$ER:$ER)+SUMIF(Data!$C:$C,C24,Data!$ET:$ET)</f>
        <v>56.618000000000009</v>
      </c>
      <c r="I24" s="33">
        <f>G24/19</f>
        <v>344.70205949656753</v>
      </c>
      <c r="J24" s="34">
        <f>H24/19</f>
        <v>2.9798947368421058</v>
      </c>
      <c r="K24" s="33">
        <f>IFERROR(INDEX(Data!$ES:$ES,MATCH(C24,Data!$C:$C,0)),0)</f>
        <v>0</v>
      </c>
      <c r="L24" s="34">
        <f>IFERROR(INDEX(Data!$ET:$ET,MATCH(C24,Data!$C:$C,0)),0)</f>
        <v>0</v>
      </c>
      <c r="M24" s="33">
        <f>IFERROR(INDEX(Data!$I$3:$ER$553,MATCH($C24,Data!$C$3:$C$553,0),MATCH(DATE(RIGHT($B$5,4),MID($B$5,4,2),LEFT($B$5,2))-42,Data!$I$1:$ER$1,0)),0)</f>
        <v>0</v>
      </c>
      <c r="N24" s="34" cm="1">
        <f t="array" ref="N24">IFERROR(INDEX(Data!$I$3:$ER$553,MATCH($C24,Data!$C$3:$C$553,0),MATCH(DATE(RIGHT($B$5,4),MID($B$5,4,2),LEFT($B$5,2))-42,Data!$I$1:$ER$1,0)+1),0)</f>
        <v>0</v>
      </c>
      <c r="O24" s="33">
        <f>IFERROR(INDEX(Data!$I$3:$ER$553,MATCH($C24,Data!$C$3:$C$553,0),MATCH($M$5,Data!$I$1:$ER$1,0)),0)</f>
        <v>0</v>
      </c>
      <c r="P24" s="34" cm="1">
        <f t="array" ref="P24">IFERROR(INDEX(Data!$I$3:$ER$553,MATCH($C24,Data!$C$3:$C$553,0),MATCH($M$5,Data!$I$1:$ER$1,0)+1),0)</f>
        <v>0</v>
      </c>
      <c r="Q24" s="49" t="str">
        <f>IF(R24="","",IF(H24=0,0,R24*(G24/H24)))</f>
        <v/>
      </c>
      <c r="R24" s="50"/>
      <c r="T24" t="s">
        <v>713</v>
      </c>
      <c r="U24" s="126">
        <v>46238</v>
      </c>
      <c r="V24" t="s">
        <v>704</v>
      </c>
    </row>
    <row r="25" spans="1:22" x14ac:dyDescent="0.35">
      <c r="A25" s="29">
        <v>202</v>
      </c>
      <c r="B25" s="29" t="s">
        <v>530</v>
      </c>
      <c r="C25" s="29">
        <v>58817</v>
      </c>
      <c r="D25" s="29" t="s">
        <v>123</v>
      </c>
      <c r="E25" s="30">
        <v>6978.8086956521738</v>
      </c>
      <c r="F25" s="31">
        <v>59.904000000000003</v>
      </c>
      <c r="G25" s="30">
        <f>SUMIF(Data!$C:$C,C25,Data!$DI:$DI)+SUMIF(Data!$C:$C,C25,Data!$DK:$DK)+SUMIF(Data!$C:$C,C25,Data!$DM:$DM)+SUMIF(Data!$C:$C,C25,Data!$DO:$DO)+SUMIF(Data!$C:$C,C25,Data!$DQ:$DQ)+SUMIF(Data!$C:$C,C25,Data!$DS:$DS)+SUMIF(Data!$C:$C,C25,Data!$DU:$DU)+SUMIF(Data!$C:$C,C25,Data!$DW:$DW)+SUMIF(Data!$C:$C,C25,Data!$DY:$DY)+SUMIF(Data!$C:$C,C25,Data!$EA:$EA)+SUMIF(Data!$C:$C,C25,Data!$EC:$EC)+SUMIF(Data!$C:$C,C25,Data!$EE:$EE)+SUMIF(Data!$C:$C,C25,Data!$EG:$EG)+SUMIF(Data!$C:$C,C25,Data!$EI:$EI)+SUMIF(Data!$C:$C,C25,Data!$EK:$EK)+SUMIF(Data!$C:$C,C25,Data!$EM:$EM)+SUMIF(Data!$C:$C,C25,Data!$EO:$EO)+SUMIF(Data!$C:$C,C25,Data!$EQ:$EQ)+SUMIF(Data!$C:$C,C25,Data!$ES:$ES)</f>
        <v>6751.2782608695643</v>
      </c>
      <c r="H25" s="31">
        <f>SUMIF(Data!$C:$C,C25,Data!$DJ:$DJ)+SUMIF(Data!$C:$C,C25,Data!$DL:$DL)+SUMIF(Data!$C:$C,C25,Data!$DN:$DN)+SUMIF(Data!$C:$C,C25,Data!$DP:$DP)+SUMIF(Data!$C:$C,C25,Data!$DR:$DR)+SUMIF(Data!$C:$C,C25,Data!$DT:$DT)+SUMIF(Data!$C:$C,C25,Data!$DV:$DV)+SUMIF(Data!$C:$C,C25,Data!$DX:$DX)+SUMIF(Data!$C:$C,C25,Data!$DZ:$DZ)+SUMIF(Data!$C:$C,C25,Data!$EB:$EB)+SUMIF(Data!$C:$C,C25,Data!$ED:$ED)+SUMIF(Data!$C:$C,C25,Data!$EF:$EF)+SUMIF(Data!$C:$C,C25,Data!$EH:$EH)+SUMIF(Data!$C:$C,C25,Data!$EJ:$EJ)+SUMIF(Data!$C:$C,C25,Data!$EL:$EL)+SUMIF(Data!$C:$C,C25,Data!$EN:$EN)+SUMIF(Data!$C:$C,C25,Data!$EP:$EP)+SUMIF(Data!$C:$C,C25,Data!$ER:$ER)+SUMIF(Data!$C:$C,C25,Data!$ET:$ET)</f>
        <v>53.212999999999994</v>
      </c>
      <c r="I25" s="30">
        <f>G25/19</f>
        <v>355.33043478260862</v>
      </c>
      <c r="J25" s="31">
        <f>H25/19</f>
        <v>2.8006842105263154</v>
      </c>
      <c r="K25" s="30">
        <f>IFERROR(INDEX(Data!$ES:$ES,MATCH(C25,Data!$C:$C,0)),0)</f>
        <v>386.13043478260897</v>
      </c>
      <c r="L25" s="31">
        <f>IFERROR(INDEX(Data!$ET:$ET,MATCH(C25,Data!$C:$C,0)),0)</f>
        <v>3.4159999999999999</v>
      </c>
      <c r="M25" s="30">
        <f>IFERROR(INDEX(Data!$I$3:$ER$553,MATCH($C25,Data!$C$3:$C$553,0),MATCH(DATE(RIGHT($B$5,4),MID($B$5,4,2),LEFT($B$5,2))-42,Data!$I$1:$ER$1,0)),0)</f>
        <v>774.96521739130401</v>
      </c>
      <c r="N25" s="31" cm="1">
        <f t="array" ref="N25">IFERROR(INDEX(Data!$I$3:$ER$553,MATCH($C25,Data!$C$3:$C$553,0),MATCH(DATE(RIGHT($B$5,4),MID($B$5,4,2),LEFT($B$5,2))-42,Data!$I$1:$ER$1,0)+1),0)</f>
        <v>6.3840000000000003</v>
      </c>
      <c r="O25" s="30">
        <f>IFERROR(INDEX(Data!$I$3:$ER$553,MATCH($C25,Data!$C$3:$C$553,0),MATCH($M$5,Data!$I$1:$ER$1,0)),0)</f>
        <v>381.97391304347798</v>
      </c>
      <c r="P25" s="31" cm="1">
        <f t="array" ref="P25">IFERROR(INDEX(Data!$I$3:$ER$553,MATCH($C25,Data!$C$3:$C$553,0),MATCH($M$5,Data!$I$1:$ER$1,0)+1),0)</f>
        <v>2.5840000000000001</v>
      </c>
      <c r="Q25" s="49" t="str">
        <f>IF(R25="","",IF(H25=0,0,R25*(G25/H25)))</f>
        <v/>
      </c>
      <c r="R25" s="50"/>
      <c r="T25" t="s">
        <v>713</v>
      </c>
      <c r="U25" s="126">
        <v>46239</v>
      </c>
      <c r="V25" t="s">
        <v>705</v>
      </c>
    </row>
    <row r="26" spans="1:22" x14ac:dyDescent="0.35">
      <c r="A26" s="32">
        <v>202</v>
      </c>
      <c r="B26" s="32" t="s">
        <v>530</v>
      </c>
      <c r="C26" s="32">
        <v>52680</v>
      </c>
      <c r="D26" s="32" t="s">
        <v>118</v>
      </c>
      <c r="E26" s="33">
        <v>7354.6000000000022</v>
      </c>
      <c r="F26" s="34">
        <v>52.164000000000001</v>
      </c>
      <c r="G26" s="33">
        <f>SUMIF(Data!$C:$C,C26,Data!$DI:$DI)+SUMIF(Data!$C:$C,C26,Data!$DK:$DK)+SUMIF(Data!$C:$C,C26,Data!$DM:$DM)+SUMIF(Data!$C:$C,C26,Data!$DO:$DO)+SUMIF(Data!$C:$C,C26,Data!$DQ:$DQ)+SUMIF(Data!$C:$C,C26,Data!$DS:$DS)+SUMIF(Data!$C:$C,C26,Data!$DU:$DU)+SUMIF(Data!$C:$C,C26,Data!$DW:$DW)+SUMIF(Data!$C:$C,C26,Data!$DY:$DY)+SUMIF(Data!$C:$C,C26,Data!$EA:$EA)+SUMIF(Data!$C:$C,C26,Data!$EC:$EC)+SUMIF(Data!$C:$C,C26,Data!$EE:$EE)+SUMIF(Data!$C:$C,C26,Data!$EG:$EG)+SUMIF(Data!$C:$C,C26,Data!$EI:$EI)+SUMIF(Data!$C:$C,C26,Data!$EK:$EK)+SUMIF(Data!$C:$C,C26,Data!$EM:$EM)+SUMIF(Data!$C:$C,C26,Data!$EO:$EO)+SUMIF(Data!$C:$C,C26,Data!$EQ:$EQ)+SUMIF(Data!$C:$C,C26,Data!$ES:$ES)</f>
        <v>6500.4695652173914</v>
      </c>
      <c r="H26" s="34">
        <f>SUMIF(Data!$C:$C,C26,Data!$DJ:$DJ)+SUMIF(Data!$C:$C,C26,Data!$DL:$DL)+SUMIF(Data!$C:$C,C26,Data!$DN:$DN)+SUMIF(Data!$C:$C,C26,Data!$DP:$DP)+SUMIF(Data!$C:$C,C26,Data!$DR:$DR)+SUMIF(Data!$C:$C,C26,Data!$DT:$DT)+SUMIF(Data!$C:$C,C26,Data!$DV:$DV)+SUMIF(Data!$C:$C,C26,Data!$DX:$DX)+SUMIF(Data!$C:$C,C26,Data!$DZ:$DZ)+SUMIF(Data!$C:$C,C26,Data!$EB:$EB)+SUMIF(Data!$C:$C,C26,Data!$ED:$ED)+SUMIF(Data!$C:$C,C26,Data!$EF:$EF)+SUMIF(Data!$C:$C,C26,Data!$EH:$EH)+SUMIF(Data!$C:$C,C26,Data!$EJ:$EJ)+SUMIF(Data!$C:$C,C26,Data!$EL:$EL)+SUMIF(Data!$C:$C,C26,Data!$EN:$EN)+SUMIF(Data!$C:$C,C26,Data!$EP:$EP)+SUMIF(Data!$C:$C,C26,Data!$ER:$ER)+SUMIF(Data!$C:$C,C26,Data!$ET:$ET)</f>
        <v>36.368000000000002</v>
      </c>
      <c r="I26" s="33">
        <f>G26/19</f>
        <v>342.12997711670482</v>
      </c>
      <c r="J26" s="34">
        <f>H26/19</f>
        <v>1.9141052631578948</v>
      </c>
      <c r="K26" s="33">
        <f>IFERROR(INDEX(Data!$ES:$ES,MATCH(C26,Data!$C:$C,0)),0)</f>
        <v>393.03478260869599</v>
      </c>
      <c r="L26" s="34">
        <f>IFERROR(INDEX(Data!$ET:$ET,MATCH(C26,Data!$C:$C,0)),0)</f>
        <v>2.2370000000000001</v>
      </c>
      <c r="M26" s="33">
        <f>IFERROR(INDEX(Data!$I$3:$ER$553,MATCH($C26,Data!$C$3:$C$553,0),MATCH(DATE(RIGHT($B$5,4),MID($B$5,4,2),LEFT($B$5,2))-42,Data!$I$1:$ER$1,0)),0)</f>
        <v>479.26086956521698</v>
      </c>
      <c r="N26" s="34" cm="1">
        <f t="array" ref="N26">IFERROR(INDEX(Data!$I$3:$ER$553,MATCH($C26,Data!$C$3:$C$553,0),MATCH(DATE(RIGHT($B$5,4),MID($B$5,4,2),LEFT($B$5,2))-42,Data!$I$1:$ER$1,0)+1),0)</f>
        <v>2.7559999999999998</v>
      </c>
      <c r="O26" s="33">
        <f>IFERROR(INDEX(Data!$I$3:$ER$553,MATCH($C26,Data!$C$3:$C$553,0),MATCH($M$5,Data!$I$1:$ER$1,0)),0)</f>
        <v>537.91304347826099</v>
      </c>
      <c r="P26" s="34" cm="1">
        <f t="array" ref="P26">IFERROR(INDEX(Data!$I$3:$ER$553,MATCH($C26,Data!$C$3:$C$553,0),MATCH($M$5,Data!$I$1:$ER$1,0)+1),0)</f>
        <v>3.7549999999999999</v>
      </c>
      <c r="Q26" s="49" t="str">
        <f>IF(R26="","",IF(H26=0,0,R26*(G26/H26)))</f>
        <v/>
      </c>
      <c r="R26" s="50"/>
      <c r="T26" t="s">
        <v>713</v>
      </c>
      <c r="U26" s="126">
        <v>46240</v>
      </c>
      <c r="V26" t="s">
        <v>706</v>
      </c>
    </row>
    <row r="27" spans="1:22" x14ac:dyDescent="0.35">
      <c r="A27" s="29">
        <v>202</v>
      </c>
      <c r="B27" s="29" t="s">
        <v>530</v>
      </c>
      <c r="C27" s="29">
        <v>12172</v>
      </c>
      <c r="D27" s="29" t="s">
        <v>78</v>
      </c>
      <c r="E27" s="30">
        <v>0</v>
      </c>
      <c r="F27" s="31">
        <v>0</v>
      </c>
      <c r="G27" s="30">
        <f>SUMIF(Data!$C:$C,C27,Data!$DI:$DI)+SUMIF(Data!$C:$C,C27,Data!$DK:$DK)+SUMIF(Data!$C:$C,C27,Data!$DM:$DM)+SUMIF(Data!$C:$C,C27,Data!$DO:$DO)+SUMIF(Data!$C:$C,C27,Data!$DQ:$DQ)+SUMIF(Data!$C:$C,C27,Data!$DS:$DS)+SUMIF(Data!$C:$C,C27,Data!$DU:$DU)+SUMIF(Data!$C:$C,C27,Data!$DW:$DW)+SUMIF(Data!$C:$C,C27,Data!$DY:$DY)+SUMIF(Data!$C:$C,C27,Data!$EA:$EA)+SUMIF(Data!$C:$C,C27,Data!$EC:$EC)+SUMIF(Data!$C:$C,C27,Data!$EE:$EE)+SUMIF(Data!$C:$C,C27,Data!$EG:$EG)+SUMIF(Data!$C:$C,C27,Data!$EI:$EI)+SUMIF(Data!$C:$C,C27,Data!$EK:$EK)+SUMIF(Data!$C:$C,C27,Data!$EM:$EM)+SUMIF(Data!$C:$C,C27,Data!$EO:$EO)+SUMIF(Data!$C:$C,C27,Data!$EQ:$EQ)+SUMIF(Data!$C:$C,C27,Data!$ES:$ES)</f>
        <v>5779.3043478260861</v>
      </c>
      <c r="H27" s="31">
        <f>SUMIF(Data!$C:$C,C27,Data!$DJ:$DJ)+SUMIF(Data!$C:$C,C27,Data!$DL:$DL)+SUMIF(Data!$C:$C,C27,Data!$DN:$DN)+SUMIF(Data!$C:$C,C27,Data!$DP:$DP)+SUMIF(Data!$C:$C,C27,Data!$DR:$DR)+SUMIF(Data!$C:$C,C27,Data!$DT:$DT)+SUMIF(Data!$C:$C,C27,Data!$DV:$DV)+SUMIF(Data!$C:$C,C27,Data!$DX:$DX)+SUMIF(Data!$C:$C,C27,Data!$DZ:$DZ)+SUMIF(Data!$C:$C,C27,Data!$EB:$EB)+SUMIF(Data!$C:$C,C27,Data!$ED:$ED)+SUMIF(Data!$C:$C,C27,Data!$EF:$EF)+SUMIF(Data!$C:$C,C27,Data!$EH:$EH)+SUMIF(Data!$C:$C,C27,Data!$EJ:$EJ)+SUMIF(Data!$C:$C,C27,Data!$EL:$EL)+SUMIF(Data!$C:$C,C27,Data!$EN:$EN)+SUMIF(Data!$C:$C,C27,Data!$EP:$EP)+SUMIF(Data!$C:$C,C27,Data!$ER:$ER)+SUMIF(Data!$C:$C,C27,Data!$ET:$ET)</f>
        <v>16.645</v>
      </c>
      <c r="I27" s="30">
        <f>G27/19</f>
        <v>304.17391304347819</v>
      </c>
      <c r="J27" s="31">
        <f>H27/19</f>
        <v>0.87605263157894731</v>
      </c>
      <c r="K27" s="30">
        <f>IFERROR(INDEX(Data!$ES:$ES,MATCH(C27,Data!$C:$C,0)),0)</f>
        <v>659.76521739130396</v>
      </c>
      <c r="L27" s="31">
        <f>IFERROR(INDEX(Data!$ET:$ET,MATCH(C27,Data!$C:$C,0)),0)</f>
        <v>1.8959999999999999</v>
      </c>
      <c r="M27" s="30">
        <f>IFERROR(INDEX(Data!$I$3:$ER$553,MATCH($C27,Data!$C$3:$C$553,0),MATCH(DATE(RIGHT($B$5,4),MID($B$5,4,2),LEFT($B$5,2))-42,Data!$I$1:$ER$1,0)),0)</f>
        <v>428.81739130434801</v>
      </c>
      <c r="N27" s="31" cm="1">
        <f t="array" ref="N27">IFERROR(INDEX(Data!$I$3:$ER$553,MATCH($C27,Data!$C$3:$C$553,0),MATCH(DATE(RIGHT($B$5,4),MID($B$5,4,2),LEFT($B$5,2))-42,Data!$I$1:$ER$1,0)+1),0)</f>
        <v>1.2330000000000001</v>
      </c>
      <c r="O27" s="30">
        <f>IFERROR(INDEX(Data!$I$3:$ER$553,MATCH($C27,Data!$C$3:$C$553,0),MATCH($M$5,Data!$I$1:$ER$1,0)),0)</f>
        <v>0</v>
      </c>
      <c r="P27" s="31" cm="1">
        <f t="array" ref="P27">IFERROR(INDEX(Data!$I$3:$ER$553,MATCH($C27,Data!$C$3:$C$553,0),MATCH($M$5,Data!$I$1:$ER$1,0)+1),0)</f>
        <v>0</v>
      </c>
      <c r="Q27" s="49" t="str">
        <f>IF(R27="","",IF(H27=0,0,R27*(G27/H27)))</f>
        <v/>
      </c>
      <c r="R27" s="50"/>
      <c r="T27" t="s">
        <v>714</v>
      </c>
      <c r="U27" s="126">
        <v>46267</v>
      </c>
      <c r="V27" t="s">
        <v>704</v>
      </c>
    </row>
    <row r="28" spans="1:22" x14ac:dyDescent="0.35">
      <c r="A28" s="32">
        <v>202</v>
      </c>
      <c r="B28" s="32" t="s">
        <v>530</v>
      </c>
      <c r="C28" s="32">
        <v>34207</v>
      </c>
      <c r="D28" s="32" t="s">
        <v>111</v>
      </c>
      <c r="E28" s="33">
        <v>9020.8347826086956</v>
      </c>
      <c r="F28" s="34">
        <v>95.807999999999993</v>
      </c>
      <c r="G28" s="33">
        <f>SUMIF(Data!$C:$C,C28,Data!$DI:$DI)+SUMIF(Data!$C:$C,C28,Data!$DK:$DK)+SUMIF(Data!$C:$C,C28,Data!$DM:$DM)+SUMIF(Data!$C:$C,C28,Data!$DO:$DO)+SUMIF(Data!$C:$C,C28,Data!$DQ:$DQ)+SUMIF(Data!$C:$C,C28,Data!$DS:$DS)+SUMIF(Data!$C:$C,C28,Data!$DU:$DU)+SUMIF(Data!$C:$C,C28,Data!$DW:$DW)+SUMIF(Data!$C:$C,C28,Data!$DY:$DY)+SUMIF(Data!$C:$C,C28,Data!$EA:$EA)+SUMIF(Data!$C:$C,C28,Data!$EC:$EC)+SUMIF(Data!$C:$C,C28,Data!$EE:$EE)+SUMIF(Data!$C:$C,C28,Data!$EG:$EG)+SUMIF(Data!$C:$C,C28,Data!$EI:$EI)+SUMIF(Data!$C:$C,C28,Data!$EK:$EK)+SUMIF(Data!$C:$C,C28,Data!$EM:$EM)+SUMIF(Data!$C:$C,C28,Data!$EO:$EO)+SUMIF(Data!$C:$C,C28,Data!$EQ:$EQ)+SUMIF(Data!$C:$C,C28,Data!$ES:$ES)</f>
        <v>4268.0608695652199</v>
      </c>
      <c r="H28" s="34">
        <f>SUMIF(Data!$C:$C,C28,Data!$DJ:$DJ)+SUMIF(Data!$C:$C,C28,Data!$DL:$DL)+SUMIF(Data!$C:$C,C28,Data!$DN:$DN)+SUMIF(Data!$C:$C,C28,Data!$DP:$DP)+SUMIF(Data!$C:$C,C28,Data!$DR:$DR)+SUMIF(Data!$C:$C,C28,Data!$DT:$DT)+SUMIF(Data!$C:$C,C28,Data!$DV:$DV)+SUMIF(Data!$C:$C,C28,Data!$DX:$DX)+SUMIF(Data!$C:$C,C28,Data!$DZ:$DZ)+SUMIF(Data!$C:$C,C28,Data!$EB:$EB)+SUMIF(Data!$C:$C,C28,Data!$ED:$ED)+SUMIF(Data!$C:$C,C28,Data!$EF:$EF)+SUMIF(Data!$C:$C,C28,Data!$EH:$EH)+SUMIF(Data!$C:$C,C28,Data!$EJ:$EJ)+SUMIF(Data!$C:$C,C28,Data!$EL:$EL)+SUMIF(Data!$C:$C,C28,Data!$EN:$EN)+SUMIF(Data!$C:$C,C28,Data!$EP:$EP)+SUMIF(Data!$C:$C,C28,Data!$ER:$ER)+SUMIF(Data!$C:$C,C28,Data!$ET:$ET)</f>
        <v>37.782000000000004</v>
      </c>
      <c r="I28" s="33">
        <f>G28/19</f>
        <v>224.63478260869579</v>
      </c>
      <c r="J28" s="34">
        <f>H28/19</f>
        <v>1.9885263157894739</v>
      </c>
      <c r="K28" s="33">
        <f>IFERROR(INDEX(Data!$ES:$ES,MATCH(C28,Data!$C:$C,0)),0)</f>
        <v>0</v>
      </c>
      <c r="L28" s="34">
        <f>IFERROR(INDEX(Data!$ET:$ET,MATCH(C28,Data!$C:$C,0)),0)</f>
        <v>0</v>
      </c>
      <c r="M28" s="33">
        <f>IFERROR(INDEX(Data!$I$3:$ER$553,MATCH($C28,Data!$C$3:$C$553,0),MATCH(DATE(RIGHT($B$5,4),MID($B$5,4,2),LEFT($B$5,2))-42,Data!$I$1:$ER$1,0)),0)</f>
        <v>0</v>
      </c>
      <c r="N28" s="34" cm="1">
        <f t="array" ref="N28">IFERROR(INDEX(Data!$I$3:$ER$553,MATCH($C28,Data!$C$3:$C$553,0),MATCH(DATE(RIGHT($B$5,4),MID($B$5,4,2),LEFT($B$5,2))-42,Data!$I$1:$ER$1,0)+1),0)</f>
        <v>0</v>
      </c>
      <c r="O28" s="33">
        <f>IFERROR(INDEX(Data!$I$3:$ER$553,MATCH($C28,Data!$C$3:$C$553,0),MATCH($M$5,Data!$I$1:$ER$1,0)),0)</f>
        <v>1464.20869565217</v>
      </c>
      <c r="P28" s="34" cm="1">
        <f t="array" ref="P28">IFERROR(INDEX(Data!$I$3:$ER$553,MATCH($C28,Data!$C$3:$C$553,0),MATCH($M$5,Data!$I$1:$ER$1,0)+1),0)</f>
        <v>16.866</v>
      </c>
      <c r="Q28" s="49" t="str">
        <f>IF(R28="","",IF(H28=0,0,R28*(G28/H28)))</f>
        <v/>
      </c>
      <c r="R28" s="50"/>
      <c r="T28" t="s">
        <v>714</v>
      </c>
      <c r="U28" s="126">
        <v>46268</v>
      </c>
      <c r="V28" t="s">
        <v>705</v>
      </c>
    </row>
    <row r="29" spans="1:22" x14ac:dyDescent="0.35">
      <c r="A29" s="29">
        <v>202</v>
      </c>
      <c r="B29" s="29" t="s">
        <v>530</v>
      </c>
      <c r="C29" s="29">
        <v>34154</v>
      </c>
      <c r="D29" s="29" t="s">
        <v>87</v>
      </c>
      <c r="E29" s="30">
        <v>0</v>
      </c>
      <c r="F29" s="31">
        <v>0</v>
      </c>
      <c r="G29" s="30">
        <f>SUMIF(Data!$C:$C,C29,Data!$DI:$DI)+SUMIF(Data!$C:$C,C29,Data!$DK:$DK)+SUMIF(Data!$C:$C,C29,Data!$DM:$DM)+SUMIF(Data!$C:$C,C29,Data!$DO:$DO)+SUMIF(Data!$C:$C,C29,Data!$DQ:$DQ)+SUMIF(Data!$C:$C,C29,Data!$DS:$DS)+SUMIF(Data!$C:$C,C29,Data!$DU:$DU)+SUMIF(Data!$C:$C,C29,Data!$DW:$DW)+SUMIF(Data!$C:$C,C29,Data!$DY:$DY)+SUMIF(Data!$C:$C,C29,Data!$EA:$EA)+SUMIF(Data!$C:$C,C29,Data!$EC:$EC)+SUMIF(Data!$C:$C,C29,Data!$EE:$EE)+SUMIF(Data!$C:$C,C29,Data!$EG:$EG)+SUMIF(Data!$C:$C,C29,Data!$EI:$EI)+SUMIF(Data!$C:$C,C29,Data!$EK:$EK)+SUMIF(Data!$C:$C,C29,Data!$EM:$EM)+SUMIF(Data!$C:$C,C29,Data!$EO:$EO)+SUMIF(Data!$C:$C,C29,Data!$EQ:$EQ)+SUMIF(Data!$C:$C,C29,Data!$ES:$ES)</f>
        <v>3588.3565217391329</v>
      </c>
      <c r="H29" s="31">
        <f>SUMIF(Data!$C:$C,C29,Data!$DJ:$DJ)+SUMIF(Data!$C:$C,C29,Data!$DL:$DL)+SUMIF(Data!$C:$C,C29,Data!$DN:$DN)+SUMIF(Data!$C:$C,C29,Data!$DP:$DP)+SUMIF(Data!$C:$C,C29,Data!$DR:$DR)+SUMIF(Data!$C:$C,C29,Data!$DT:$DT)+SUMIF(Data!$C:$C,C29,Data!$DV:$DV)+SUMIF(Data!$C:$C,C29,Data!$DX:$DX)+SUMIF(Data!$C:$C,C29,Data!$DZ:$DZ)+SUMIF(Data!$C:$C,C29,Data!$EB:$EB)+SUMIF(Data!$C:$C,C29,Data!$ED:$ED)+SUMIF(Data!$C:$C,C29,Data!$EF:$EF)+SUMIF(Data!$C:$C,C29,Data!$EH:$EH)+SUMIF(Data!$C:$C,C29,Data!$EJ:$EJ)+SUMIF(Data!$C:$C,C29,Data!$EL:$EL)+SUMIF(Data!$C:$C,C29,Data!$EN:$EN)+SUMIF(Data!$C:$C,C29,Data!$EP:$EP)+SUMIF(Data!$C:$C,C29,Data!$ER:$ER)+SUMIF(Data!$C:$C,C29,Data!$ET:$ET)</f>
        <v>38.647999999999996</v>
      </c>
      <c r="I29" s="30">
        <f>G29/19</f>
        <v>188.86086956521751</v>
      </c>
      <c r="J29" s="31">
        <f>H29/19</f>
        <v>2.0341052631578944</v>
      </c>
      <c r="K29" s="30">
        <f>IFERROR(INDEX(Data!$ES:$ES,MATCH(C29,Data!$C:$C,0)),0)</f>
        <v>0</v>
      </c>
      <c r="L29" s="31">
        <f>IFERROR(INDEX(Data!$ET:$ET,MATCH(C29,Data!$C:$C,0)),0)</f>
        <v>0</v>
      </c>
      <c r="M29" s="30">
        <f>IFERROR(INDEX(Data!$I$3:$ER$553,MATCH($C29,Data!$C$3:$C$553,0),MATCH(DATE(RIGHT($B$5,4),MID($B$5,4,2),LEFT($B$5,2))-42,Data!$I$1:$ER$1,0)),0)</f>
        <v>0</v>
      </c>
      <c r="N29" s="31" cm="1">
        <f t="array" ref="N29">IFERROR(INDEX(Data!$I$3:$ER$553,MATCH($C29,Data!$C$3:$C$553,0),MATCH(DATE(RIGHT($B$5,4),MID($B$5,4,2),LEFT($B$5,2))-42,Data!$I$1:$ER$1,0)+1),0)</f>
        <v>0</v>
      </c>
      <c r="O29" s="30">
        <f>IFERROR(INDEX(Data!$I$3:$ER$553,MATCH($C29,Data!$C$3:$C$553,0),MATCH($M$5,Data!$I$1:$ER$1,0)),0)</f>
        <v>0</v>
      </c>
      <c r="P29" s="31" cm="1">
        <f t="array" ref="P29">IFERROR(INDEX(Data!$I$3:$ER$553,MATCH($C29,Data!$C$3:$C$553,0),MATCH($M$5,Data!$I$1:$ER$1,0)+1),0)</f>
        <v>0</v>
      </c>
      <c r="Q29" s="49" t="str">
        <f>IF(R29="","",IF(H29=0,0,R29*(G29/H29)))</f>
        <v/>
      </c>
      <c r="R29" s="50"/>
      <c r="T29" t="s">
        <v>714</v>
      </c>
      <c r="U29" s="126">
        <v>46269</v>
      </c>
      <c r="V29" t="s">
        <v>706</v>
      </c>
    </row>
    <row r="30" spans="1:22" x14ac:dyDescent="0.35">
      <c r="A30" s="32">
        <v>202</v>
      </c>
      <c r="B30" s="32" t="s">
        <v>530</v>
      </c>
      <c r="C30" s="32">
        <v>34184</v>
      </c>
      <c r="D30" s="32" t="s">
        <v>107</v>
      </c>
      <c r="E30" s="33">
        <v>0</v>
      </c>
      <c r="F30" s="34">
        <v>0</v>
      </c>
      <c r="G30" s="33">
        <f>SUMIF(Data!$C:$C,C30,Data!$DI:$DI)+SUMIF(Data!$C:$C,C30,Data!$DK:$DK)+SUMIF(Data!$C:$C,C30,Data!$DM:$DM)+SUMIF(Data!$C:$C,C30,Data!$DO:$DO)+SUMIF(Data!$C:$C,C30,Data!$DQ:$DQ)+SUMIF(Data!$C:$C,C30,Data!$DS:$DS)+SUMIF(Data!$C:$C,C30,Data!$DU:$DU)+SUMIF(Data!$C:$C,C30,Data!$DW:$DW)+SUMIF(Data!$C:$C,C30,Data!$DY:$DY)+SUMIF(Data!$C:$C,C30,Data!$EA:$EA)+SUMIF(Data!$C:$C,C30,Data!$EC:$EC)+SUMIF(Data!$C:$C,C30,Data!$EE:$EE)+SUMIF(Data!$C:$C,C30,Data!$EG:$EG)+SUMIF(Data!$C:$C,C30,Data!$EI:$EI)+SUMIF(Data!$C:$C,C30,Data!$EK:$EK)+SUMIF(Data!$C:$C,C30,Data!$EM:$EM)+SUMIF(Data!$C:$C,C30,Data!$EO:$EO)+SUMIF(Data!$C:$C,C30,Data!$EQ:$EQ)+SUMIF(Data!$C:$C,C30,Data!$ES:$ES)</f>
        <v>2785.2260869565189</v>
      </c>
      <c r="H30" s="34">
        <f>SUMIF(Data!$C:$C,C30,Data!$DJ:$DJ)+SUMIF(Data!$C:$C,C30,Data!$DL:$DL)+SUMIF(Data!$C:$C,C30,Data!$DN:$DN)+SUMIF(Data!$C:$C,C30,Data!$DP:$DP)+SUMIF(Data!$C:$C,C30,Data!$DR:$DR)+SUMIF(Data!$C:$C,C30,Data!$DT:$DT)+SUMIF(Data!$C:$C,C30,Data!$DV:$DV)+SUMIF(Data!$C:$C,C30,Data!$DX:$DX)+SUMIF(Data!$C:$C,C30,Data!$DZ:$DZ)+SUMIF(Data!$C:$C,C30,Data!$EB:$EB)+SUMIF(Data!$C:$C,C30,Data!$ED:$ED)+SUMIF(Data!$C:$C,C30,Data!$EF:$EF)+SUMIF(Data!$C:$C,C30,Data!$EH:$EH)+SUMIF(Data!$C:$C,C30,Data!$EJ:$EJ)+SUMIF(Data!$C:$C,C30,Data!$EL:$EL)+SUMIF(Data!$C:$C,C30,Data!$EN:$EN)+SUMIF(Data!$C:$C,C30,Data!$EP:$EP)+SUMIF(Data!$C:$C,C30,Data!$ER:$ER)+SUMIF(Data!$C:$C,C30,Data!$ET:$ET)</f>
        <v>20.02</v>
      </c>
      <c r="I30" s="33">
        <f>G30/19</f>
        <v>146.59084668192205</v>
      </c>
      <c r="J30" s="34">
        <f>H30/19</f>
        <v>1.0536842105263158</v>
      </c>
      <c r="K30" s="33">
        <f>IFERROR(INDEX(Data!$ES:$ES,MATCH(C30,Data!$C:$C,0)),0)</f>
        <v>0</v>
      </c>
      <c r="L30" s="34">
        <f>IFERROR(INDEX(Data!$ET:$ET,MATCH(C30,Data!$C:$C,0)),0)</f>
        <v>0</v>
      </c>
      <c r="M30" s="33">
        <f>IFERROR(INDEX(Data!$I$3:$ER$553,MATCH($C30,Data!$C$3:$C$553,0),MATCH(DATE(RIGHT($B$5,4),MID($B$5,4,2),LEFT($B$5,2))-42,Data!$I$1:$ER$1,0)),0)</f>
        <v>0</v>
      </c>
      <c r="N30" s="34" cm="1">
        <f t="array" ref="N30">IFERROR(INDEX(Data!$I$3:$ER$553,MATCH($C30,Data!$C$3:$C$553,0),MATCH(DATE(RIGHT($B$5,4),MID($B$5,4,2),LEFT($B$5,2))-42,Data!$I$1:$ER$1,0)+1),0)</f>
        <v>0</v>
      </c>
      <c r="O30" s="33">
        <f>IFERROR(INDEX(Data!$I$3:$ER$553,MATCH($C30,Data!$C$3:$C$553,0),MATCH($M$5,Data!$I$1:$ER$1,0)),0)</f>
        <v>0</v>
      </c>
      <c r="P30" s="34" cm="1">
        <f t="array" ref="P30">IFERROR(INDEX(Data!$I$3:$ER$553,MATCH($C30,Data!$C$3:$C$553,0),MATCH($M$5,Data!$I$1:$ER$1,0)+1),0)</f>
        <v>0</v>
      </c>
      <c r="Q30" s="49" t="str">
        <f>IF(R30="","",IF(H30=0,0,R30*(G30/H30)))</f>
        <v/>
      </c>
      <c r="R30" s="50"/>
      <c r="T30" t="s">
        <v>715</v>
      </c>
      <c r="U30" s="126">
        <v>46297</v>
      </c>
      <c r="V30" t="s">
        <v>704</v>
      </c>
    </row>
    <row r="31" spans="1:22" x14ac:dyDescent="0.35">
      <c r="A31" s="29">
        <v>202</v>
      </c>
      <c r="B31" s="29" t="s">
        <v>530</v>
      </c>
      <c r="C31" s="29">
        <v>34169</v>
      </c>
      <c r="D31" s="29" t="s">
        <v>98</v>
      </c>
      <c r="E31" s="30">
        <v>1362.3043478260868</v>
      </c>
      <c r="F31" s="31">
        <v>15.667999999999999</v>
      </c>
      <c r="G31" s="30">
        <f>SUMIF(Data!$C:$C,C31,Data!$DI:$DI)+SUMIF(Data!$C:$C,C31,Data!$DK:$DK)+SUMIF(Data!$C:$C,C31,Data!$DM:$DM)+SUMIF(Data!$C:$C,C31,Data!$DO:$DO)+SUMIF(Data!$C:$C,C31,Data!$DQ:$DQ)+SUMIF(Data!$C:$C,C31,Data!$DS:$DS)+SUMIF(Data!$C:$C,C31,Data!$DU:$DU)+SUMIF(Data!$C:$C,C31,Data!$DW:$DW)+SUMIF(Data!$C:$C,C31,Data!$DY:$DY)+SUMIF(Data!$C:$C,C31,Data!$EA:$EA)+SUMIF(Data!$C:$C,C31,Data!$EC:$EC)+SUMIF(Data!$C:$C,C31,Data!$EE:$EE)+SUMIF(Data!$C:$C,C31,Data!$EG:$EG)+SUMIF(Data!$C:$C,C31,Data!$EI:$EI)+SUMIF(Data!$C:$C,C31,Data!$EK:$EK)+SUMIF(Data!$C:$C,C31,Data!$EM:$EM)+SUMIF(Data!$C:$C,C31,Data!$EO:$EO)+SUMIF(Data!$C:$C,C31,Data!$EQ:$EQ)+SUMIF(Data!$C:$C,C31,Data!$ES:$ES)</f>
        <v>2056.0782608695681</v>
      </c>
      <c r="H31" s="31">
        <f>SUMIF(Data!$C:$C,C31,Data!$DJ:$DJ)+SUMIF(Data!$C:$C,C31,Data!$DL:$DL)+SUMIF(Data!$C:$C,C31,Data!$DN:$DN)+SUMIF(Data!$C:$C,C31,Data!$DP:$DP)+SUMIF(Data!$C:$C,C31,Data!$DR:$DR)+SUMIF(Data!$C:$C,C31,Data!$DT:$DT)+SUMIF(Data!$C:$C,C31,Data!$DV:$DV)+SUMIF(Data!$C:$C,C31,Data!$DX:$DX)+SUMIF(Data!$C:$C,C31,Data!$DZ:$DZ)+SUMIF(Data!$C:$C,C31,Data!$EB:$EB)+SUMIF(Data!$C:$C,C31,Data!$ED:$ED)+SUMIF(Data!$C:$C,C31,Data!$EF:$EF)+SUMIF(Data!$C:$C,C31,Data!$EH:$EH)+SUMIF(Data!$C:$C,C31,Data!$EJ:$EJ)+SUMIF(Data!$C:$C,C31,Data!$EL:$EL)+SUMIF(Data!$C:$C,C31,Data!$EN:$EN)+SUMIF(Data!$C:$C,C31,Data!$EP:$EP)+SUMIF(Data!$C:$C,C31,Data!$ER:$ER)+SUMIF(Data!$C:$C,C31,Data!$ET:$ET)</f>
        <v>23.54</v>
      </c>
      <c r="I31" s="30">
        <f>G31/19</f>
        <v>108.21464530892463</v>
      </c>
      <c r="J31" s="31">
        <f>H31/19</f>
        <v>1.2389473684210526</v>
      </c>
      <c r="K31" s="30">
        <f>IFERROR(INDEX(Data!$ES:$ES,MATCH(C31,Data!$C:$C,0)),0)</f>
        <v>52.373913043478296</v>
      </c>
      <c r="L31" s="31">
        <f>IFERROR(INDEX(Data!$ET:$ET,MATCH(C31,Data!$C:$C,0)),0)</f>
        <v>0.502</v>
      </c>
      <c r="M31" s="30">
        <f>IFERROR(INDEX(Data!$I$3:$ER$553,MATCH($C31,Data!$C$3:$C$553,0),MATCH(DATE(RIGHT($B$5,4),MID($B$5,4,2),LEFT($B$5,2))-42,Data!$I$1:$ER$1,0)),0)</f>
        <v>0</v>
      </c>
      <c r="N31" s="31" cm="1">
        <f t="array" ref="N31">IFERROR(INDEX(Data!$I$3:$ER$553,MATCH($C31,Data!$C$3:$C$553,0),MATCH(DATE(RIGHT($B$5,4),MID($B$5,4,2),LEFT($B$5,2))-42,Data!$I$1:$ER$1,0)+1),0)</f>
        <v>0</v>
      </c>
      <c r="O31" s="30">
        <f>IFERROR(INDEX(Data!$I$3:$ER$553,MATCH($C31,Data!$C$3:$C$553,0),MATCH($M$5,Data!$I$1:$ER$1,0)),0)</f>
        <v>876.44347826087005</v>
      </c>
      <c r="P31" s="31" cm="1">
        <f t="array" ref="P31">IFERROR(INDEX(Data!$I$3:$ER$553,MATCH($C31,Data!$C$3:$C$553,0),MATCH($M$5,Data!$I$1:$ER$1,0)+1),0)</f>
        <v>9.1639999999999997</v>
      </c>
      <c r="Q31" s="49" t="str">
        <f>IF(R31="","",IF(H31=0,0,R31*(G31/H31)))</f>
        <v/>
      </c>
      <c r="R31" s="50"/>
      <c r="T31" t="s">
        <v>715</v>
      </c>
      <c r="U31" s="126">
        <v>46300</v>
      </c>
      <c r="V31" t="s">
        <v>705</v>
      </c>
    </row>
    <row r="32" spans="1:22" x14ac:dyDescent="0.35">
      <c r="A32" s="32">
        <v>202</v>
      </c>
      <c r="B32" s="32" t="s">
        <v>530</v>
      </c>
      <c r="C32" s="32">
        <v>12169</v>
      </c>
      <c r="D32" s="32" t="s">
        <v>77</v>
      </c>
      <c r="E32" s="33">
        <v>0</v>
      </c>
      <c r="F32" s="34">
        <v>0</v>
      </c>
      <c r="G32" s="33">
        <f>SUMIF(Data!$C:$C,C32,Data!$DI:$DI)+SUMIF(Data!$C:$C,C32,Data!$DK:$DK)+SUMIF(Data!$C:$C,C32,Data!$DM:$DM)+SUMIF(Data!$C:$C,C32,Data!$DO:$DO)+SUMIF(Data!$C:$C,C32,Data!$DQ:$DQ)+SUMIF(Data!$C:$C,C32,Data!$DS:$DS)+SUMIF(Data!$C:$C,C32,Data!$DU:$DU)+SUMIF(Data!$C:$C,C32,Data!$DW:$DW)+SUMIF(Data!$C:$C,C32,Data!$DY:$DY)+SUMIF(Data!$C:$C,C32,Data!$EA:$EA)+SUMIF(Data!$C:$C,C32,Data!$EC:$EC)+SUMIF(Data!$C:$C,C32,Data!$EE:$EE)+SUMIF(Data!$C:$C,C32,Data!$EG:$EG)+SUMIF(Data!$C:$C,C32,Data!$EI:$EI)+SUMIF(Data!$C:$C,C32,Data!$EK:$EK)+SUMIF(Data!$C:$C,C32,Data!$EM:$EM)+SUMIF(Data!$C:$C,C32,Data!$EO:$EO)+SUMIF(Data!$C:$C,C32,Data!$EQ:$EQ)+SUMIF(Data!$C:$C,C32,Data!$ES:$ES)</f>
        <v>1875.086956521739</v>
      </c>
      <c r="H32" s="34">
        <f>SUMIF(Data!$C:$C,C32,Data!$DJ:$DJ)+SUMIF(Data!$C:$C,C32,Data!$DL:$DL)+SUMIF(Data!$C:$C,C32,Data!$DN:$DN)+SUMIF(Data!$C:$C,C32,Data!$DP:$DP)+SUMIF(Data!$C:$C,C32,Data!$DR:$DR)+SUMIF(Data!$C:$C,C32,Data!$DT:$DT)+SUMIF(Data!$C:$C,C32,Data!$DV:$DV)+SUMIF(Data!$C:$C,C32,Data!$DX:$DX)+SUMIF(Data!$C:$C,C32,Data!$DZ:$DZ)+SUMIF(Data!$C:$C,C32,Data!$EB:$EB)+SUMIF(Data!$C:$C,C32,Data!$ED:$ED)+SUMIF(Data!$C:$C,C32,Data!$EF:$EF)+SUMIF(Data!$C:$C,C32,Data!$EH:$EH)+SUMIF(Data!$C:$C,C32,Data!$EJ:$EJ)+SUMIF(Data!$C:$C,C32,Data!$EL:$EL)+SUMIF(Data!$C:$C,C32,Data!$EN:$EN)+SUMIF(Data!$C:$C,C32,Data!$EP:$EP)+SUMIF(Data!$C:$C,C32,Data!$ER:$ER)+SUMIF(Data!$C:$C,C32,Data!$ET:$ET)</f>
        <v>11.159999999999998</v>
      </c>
      <c r="I32" s="33">
        <f>G32/19</f>
        <v>98.688787185354684</v>
      </c>
      <c r="J32" s="34">
        <f>H32/19</f>
        <v>0.58736842105263154</v>
      </c>
      <c r="K32" s="33">
        <f>IFERROR(INDEX(Data!$ES:$ES,MATCH(C32,Data!$C:$C,0)),0)</f>
        <v>0</v>
      </c>
      <c r="L32" s="34">
        <f>IFERROR(INDEX(Data!$ET:$ET,MATCH(C32,Data!$C:$C,0)),0)</f>
        <v>0</v>
      </c>
      <c r="M32" s="33">
        <f>IFERROR(INDEX(Data!$I$3:$ER$553,MATCH($C32,Data!$C$3:$C$553,0),MATCH(DATE(RIGHT($B$5,4),MID($B$5,4,2),LEFT($B$5,2))-42,Data!$I$1:$ER$1,0)),0)</f>
        <v>187.80869565217401</v>
      </c>
      <c r="N32" s="34" cm="1">
        <f t="array" ref="N32">IFERROR(INDEX(Data!$I$3:$ER$553,MATCH($C32,Data!$C$3:$C$553,0),MATCH(DATE(RIGHT($B$5,4),MID($B$5,4,2),LEFT($B$5,2))-42,Data!$I$1:$ER$1,0)+1),0)</f>
        <v>1.08</v>
      </c>
      <c r="O32" s="33">
        <f>IFERROR(INDEX(Data!$I$3:$ER$553,MATCH($C32,Data!$C$3:$C$553,0),MATCH($M$5,Data!$I$1:$ER$1,0)),0)</f>
        <v>0</v>
      </c>
      <c r="P32" s="34" cm="1">
        <f t="array" ref="P32">IFERROR(INDEX(Data!$I$3:$ER$553,MATCH($C32,Data!$C$3:$C$553,0),MATCH($M$5,Data!$I$1:$ER$1,0)+1),0)</f>
        <v>0</v>
      </c>
      <c r="Q32" s="49" t="str">
        <f>IF(R32="","",IF(H32=0,0,R32*(G32/H32)))</f>
        <v/>
      </c>
      <c r="R32" s="50"/>
      <c r="T32" t="s">
        <v>715</v>
      </c>
      <c r="U32" s="126">
        <v>46301</v>
      </c>
      <c r="V32" t="s">
        <v>706</v>
      </c>
    </row>
    <row r="33" spans="1:22" x14ac:dyDescent="0.35">
      <c r="A33" s="29">
        <v>202</v>
      </c>
      <c r="B33" s="29" t="s">
        <v>530</v>
      </c>
      <c r="C33" s="29">
        <v>63499</v>
      </c>
      <c r="D33" s="29" t="s">
        <v>129</v>
      </c>
      <c r="E33" s="30">
        <v>0</v>
      </c>
      <c r="F33" s="31">
        <v>0</v>
      </c>
      <c r="G33" s="30">
        <f>SUMIF(Data!$C:$C,C33,Data!$DI:$DI)+SUMIF(Data!$C:$C,C33,Data!$DK:$DK)+SUMIF(Data!$C:$C,C33,Data!$DM:$DM)+SUMIF(Data!$C:$C,C33,Data!$DO:$DO)+SUMIF(Data!$C:$C,C33,Data!$DQ:$DQ)+SUMIF(Data!$C:$C,C33,Data!$DS:$DS)+SUMIF(Data!$C:$C,C33,Data!$DU:$DU)+SUMIF(Data!$C:$C,C33,Data!$DW:$DW)+SUMIF(Data!$C:$C,C33,Data!$DY:$DY)+SUMIF(Data!$C:$C,C33,Data!$EA:$EA)+SUMIF(Data!$C:$C,C33,Data!$EC:$EC)+SUMIF(Data!$C:$C,C33,Data!$EE:$EE)+SUMIF(Data!$C:$C,C33,Data!$EG:$EG)+SUMIF(Data!$C:$C,C33,Data!$EI:$EI)+SUMIF(Data!$C:$C,C33,Data!$EK:$EK)+SUMIF(Data!$C:$C,C33,Data!$EM:$EM)+SUMIF(Data!$C:$C,C33,Data!$EO:$EO)+SUMIF(Data!$C:$C,C33,Data!$EQ:$EQ)+SUMIF(Data!$C:$C,C33,Data!$ES:$ES)</f>
        <v>1835.3826086956528</v>
      </c>
      <c r="H33" s="31">
        <f>SUMIF(Data!$C:$C,C33,Data!$DJ:$DJ)+SUMIF(Data!$C:$C,C33,Data!$DL:$DL)+SUMIF(Data!$C:$C,C33,Data!$DN:$DN)+SUMIF(Data!$C:$C,C33,Data!$DP:$DP)+SUMIF(Data!$C:$C,C33,Data!$DR:$DR)+SUMIF(Data!$C:$C,C33,Data!$DT:$DT)+SUMIF(Data!$C:$C,C33,Data!$DV:$DV)+SUMIF(Data!$C:$C,C33,Data!$DX:$DX)+SUMIF(Data!$C:$C,C33,Data!$DZ:$DZ)+SUMIF(Data!$C:$C,C33,Data!$EB:$EB)+SUMIF(Data!$C:$C,C33,Data!$ED:$ED)+SUMIF(Data!$C:$C,C33,Data!$EF:$EF)+SUMIF(Data!$C:$C,C33,Data!$EH:$EH)+SUMIF(Data!$C:$C,C33,Data!$EJ:$EJ)+SUMIF(Data!$C:$C,C33,Data!$EL:$EL)+SUMIF(Data!$C:$C,C33,Data!$EN:$EN)+SUMIF(Data!$C:$C,C33,Data!$EP:$EP)+SUMIF(Data!$C:$C,C33,Data!$ER:$ER)+SUMIF(Data!$C:$C,C33,Data!$ET:$ET)</f>
        <v>15.298999999999998</v>
      </c>
      <c r="I33" s="30">
        <f>G33/19</f>
        <v>96.599084668192248</v>
      </c>
      <c r="J33" s="31">
        <f>H33/19</f>
        <v>0.80521052631578938</v>
      </c>
      <c r="K33" s="30">
        <f>IFERROR(INDEX(Data!$ES:$ES,MATCH(C33,Data!$C:$C,0)),0)</f>
        <v>0</v>
      </c>
      <c r="L33" s="31">
        <f>IFERROR(INDEX(Data!$ET:$ET,MATCH(C33,Data!$C:$C,0)),0)</f>
        <v>0</v>
      </c>
      <c r="M33" s="30">
        <f>IFERROR(INDEX(Data!$I$3:$ER$553,MATCH($C33,Data!$C$3:$C$553,0),MATCH(DATE(RIGHT($B$5,4),MID($B$5,4,2),LEFT($B$5,2))-42,Data!$I$1:$ER$1,0)),0)</f>
        <v>0</v>
      </c>
      <c r="N33" s="31" cm="1">
        <f t="array" ref="N33">IFERROR(INDEX(Data!$I$3:$ER$553,MATCH($C33,Data!$C$3:$C$553,0),MATCH(DATE(RIGHT($B$5,4),MID($B$5,4,2),LEFT($B$5,2))-42,Data!$I$1:$ER$1,0)+1),0)</f>
        <v>0</v>
      </c>
      <c r="O33" s="30">
        <f>IFERROR(INDEX(Data!$I$3:$ER$553,MATCH($C33,Data!$C$3:$C$553,0),MATCH($M$5,Data!$I$1:$ER$1,0)),0)</f>
        <v>0</v>
      </c>
      <c r="P33" s="31" cm="1">
        <f t="array" ref="P33">IFERROR(INDEX(Data!$I$3:$ER$553,MATCH($C33,Data!$C$3:$C$553,0),MATCH($M$5,Data!$I$1:$ER$1,0)+1),0)</f>
        <v>0</v>
      </c>
      <c r="Q33" s="49" t="str">
        <f>IF(R33="","",IF(H33=0,0,R33*(G33/H33)))</f>
        <v/>
      </c>
      <c r="R33" s="50"/>
      <c r="T33" t="s">
        <v>716</v>
      </c>
      <c r="U33" s="126">
        <v>46329</v>
      </c>
      <c r="V33" t="s">
        <v>704</v>
      </c>
    </row>
    <row r="34" spans="1:22" x14ac:dyDescent="0.35">
      <c r="A34" s="32">
        <v>202</v>
      </c>
      <c r="B34" s="32" t="s">
        <v>530</v>
      </c>
      <c r="C34" s="32">
        <v>63839</v>
      </c>
      <c r="D34" s="32" t="s">
        <v>130</v>
      </c>
      <c r="E34" s="33">
        <v>0</v>
      </c>
      <c r="F34" s="34">
        <v>0</v>
      </c>
      <c r="G34" s="33">
        <f>SUMIF(Data!$C:$C,C34,Data!$DI:$DI)+SUMIF(Data!$C:$C,C34,Data!$DK:$DK)+SUMIF(Data!$C:$C,C34,Data!$DM:$DM)+SUMIF(Data!$C:$C,C34,Data!$DO:$DO)+SUMIF(Data!$C:$C,C34,Data!$DQ:$DQ)+SUMIF(Data!$C:$C,C34,Data!$DS:$DS)+SUMIF(Data!$C:$C,C34,Data!$DU:$DU)+SUMIF(Data!$C:$C,C34,Data!$DW:$DW)+SUMIF(Data!$C:$C,C34,Data!$DY:$DY)+SUMIF(Data!$C:$C,C34,Data!$EA:$EA)+SUMIF(Data!$C:$C,C34,Data!$EC:$EC)+SUMIF(Data!$C:$C,C34,Data!$EE:$EE)+SUMIF(Data!$C:$C,C34,Data!$EG:$EG)+SUMIF(Data!$C:$C,C34,Data!$EI:$EI)+SUMIF(Data!$C:$C,C34,Data!$EK:$EK)+SUMIF(Data!$C:$C,C34,Data!$EM:$EM)+SUMIF(Data!$C:$C,C34,Data!$EO:$EO)+SUMIF(Data!$C:$C,C34,Data!$EQ:$EQ)+SUMIF(Data!$C:$C,C34,Data!$ES:$ES)</f>
        <v>1565.4608695652169</v>
      </c>
      <c r="H34" s="34">
        <f>SUMIF(Data!$C:$C,C34,Data!$DJ:$DJ)+SUMIF(Data!$C:$C,C34,Data!$DL:$DL)+SUMIF(Data!$C:$C,C34,Data!$DN:$DN)+SUMIF(Data!$C:$C,C34,Data!$DP:$DP)+SUMIF(Data!$C:$C,C34,Data!$DR:$DR)+SUMIF(Data!$C:$C,C34,Data!$DT:$DT)+SUMIF(Data!$C:$C,C34,Data!$DV:$DV)+SUMIF(Data!$C:$C,C34,Data!$DX:$DX)+SUMIF(Data!$C:$C,C34,Data!$DZ:$DZ)+SUMIF(Data!$C:$C,C34,Data!$EB:$EB)+SUMIF(Data!$C:$C,C34,Data!$ED:$ED)+SUMIF(Data!$C:$C,C34,Data!$EF:$EF)+SUMIF(Data!$C:$C,C34,Data!$EH:$EH)+SUMIF(Data!$C:$C,C34,Data!$EJ:$EJ)+SUMIF(Data!$C:$C,C34,Data!$EL:$EL)+SUMIF(Data!$C:$C,C34,Data!$EN:$EN)+SUMIF(Data!$C:$C,C34,Data!$EP:$EP)+SUMIF(Data!$C:$C,C34,Data!$ER:$ER)+SUMIF(Data!$C:$C,C34,Data!$ET:$ET)</f>
        <v>10.002000000000001</v>
      </c>
      <c r="I34" s="33">
        <f>G34/19</f>
        <v>82.392677345537734</v>
      </c>
      <c r="J34" s="34">
        <f>H34/19</f>
        <v>0.52642105263157901</v>
      </c>
      <c r="K34" s="33">
        <f>IFERROR(INDEX(Data!$ES:$ES,MATCH(C34,Data!$C:$C,0)),0)</f>
        <v>0</v>
      </c>
      <c r="L34" s="34">
        <f>IFERROR(INDEX(Data!$ET:$ET,MATCH(C34,Data!$C:$C,0)),0)</f>
        <v>0</v>
      </c>
      <c r="M34" s="33">
        <f>IFERROR(INDEX(Data!$I$3:$ER$553,MATCH($C34,Data!$C$3:$C$553,0),MATCH(DATE(RIGHT($B$5,4),MID($B$5,4,2),LEFT($B$5,2))-42,Data!$I$1:$ER$1,0)),0)</f>
        <v>0</v>
      </c>
      <c r="N34" s="34" cm="1">
        <f t="array" ref="N34">IFERROR(INDEX(Data!$I$3:$ER$553,MATCH($C34,Data!$C$3:$C$553,0),MATCH(DATE(RIGHT($B$5,4),MID($B$5,4,2),LEFT($B$5,2))-42,Data!$I$1:$ER$1,0)+1),0)</f>
        <v>0</v>
      </c>
      <c r="O34" s="33">
        <f>IFERROR(INDEX(Data!$I$3:$ER$553,MATCH($C34,Data!$C$3:$C$553,0),MATCH($M$5,Data!$I$1:$ER$1,0)),0)</f>
        <v>0</v>
      </c>
      <c r="P34" s="34" cm="1">
        <f t="array" ref="P34">IFERROR(INDEX(Data!$I$3:$ER$553,MATCH($C34,Data!$C$3:$C$553,0),MATCH($M$5,Data!$I$1:$ER$1,0)+1),0)</f>
        <v>0</v>
      </c>
      <c r="Q34" s="49" t="str">
        <f>IF(R34="","",IF(H34=0,0,R34*(G34/H34)))</f>
        <v/>
      </c>
      <c r="R34" s="50"/>
      <c r="T34" t="s">
        <v>716</v>
      </c>
      <c r="U34" s="126">
        <v>46330</v>
      </c>
      <c r="V34" t="s">
        <v>705</v>
      </c>
    </row>
    <row r="35" spans="1:22" x14ac:dyDescent="0.35">
      <c r="A35" s="29">
        <v>202</v>
      </c>
      <c r="B35" s="29" t="s">
        <v>530</v>
      </c>
      <c r="C35" s="29">
        <v>63473</v>
      </c>
      <c r="D35" s="29" t="s">
        <v>67</v>
      </c>
      <c r="E35" s="30">
        <v>0</v>
      </c>
      <c r="F35" s="31">
        <v>0</v>
      </c>
      <c r="G35" s="30">
        <f>SUMIF(Data!$C:$C,C35,Data!$DI:$DI)+SUMIF(Data!$C:$C,C35,Data!$DK:$DK)+SUMIF(Data!$C:$C,C35,Data!$DM:$DM)+SUMIF(Data!$C:$C,C35,Data!$DO:$DO)+SUMIF(Data!$C:$C,C35,Data!$DQ:$DQ)+SUMIF(Data!$C:$C,C35,Data!$DS:$DS)+SUMIF(Data!$C:$C,C35,Data!$DU:$DU)+SUMIF(Data!$C:$C,C35,Data!$DW:$DW)+SUMIF(Data!$C:$C,C35,Data!$DY:$DY)+SUMIF(Data!$C:$C,C35,Data!$EA:$EA)+SUMIF(Data!$C:$C,C35,Data!$EC:$EC)+SUMIF(Data!$C:$C,C35,Data!$EE:$EE)+SUMIF(Data!$C:$C,C35,Data!$EG:$EG)+SUMIF(Data!$C:$C,C35,Data!$EI:$EI)+SUMIF(Data!$C:$C,C35,Data!$EK:$EK)+SUMIF(Data!$C:$C,C35,Data!$EM:$EM)+SUMIF(Data!$C:$C,C35,Data!$EO:$EO)+SUMIF(Data!$C:$C,C35,Data!$EQ:$EQ)+SUMIF(Data!$C:$C,C35,Data!$ES:$ES)</f>
        <v>1413.8608695652169</v>
      </c>
      <c r="H35" s="31">
        <f>SUMIF(Data!$C:$C,C35,Data!$DJ:$DJ)+SUMIF(Data!$C:$C,C35,Data!$DL:$DL)+SUMIF(Data!$C:$C,C35,Data!$DN:$DN)+SUMIF(Data!$C:$C,C35,Data!$DP:$DP)+SUMIF(Data!$C:$C,C35,Data!$DR:$DR)+SUMIF(Data!$C:$C,C35,Data!$DT:$DT)+SUMIF(Data!$C:$C,C35,Data!$DV:$DV)+SUMIF(Data!$C:$C,C35,Data!$DX:$DX)+SUMIF(Data!$C:$C,C35,Data!$DZ:$DZ)+SUMIF(Data!$C:$C,C35,Data!$EB:$EB)+SUMIF(Data!$C:$C,C35,Data!$ED:$ED)+SUMIF(Data!$C:$C,C35,Data!$EF:$EF)+SUMIF(Data!$C:$C,C35,Data!$EH:$EH)+SUMIF(Data!$C:$C,C35,Data!$EJ:$EJ)+SUMIF(Data!$C:$C,C35,Data!$EL:$EL)+SUMIF(Data!$C:$C,C35,Data!$EN:$EN)+SUMIF(Data!$C:$C,C35,Data!$EP:$EP)+SUMIF(Data!$C:$C,C35,Data!$ER:$ER)+SUMIF(Data!$C:$C,C35,Data!$ET:$ET)</f>
        <v>12.008000000000001</v>
      </c>
      <c r="I35" s="30">
        <f>G35/19</f>
        <v>74.413729977116688</v>
      </c>
      <c r="J35" s="31">
        <f>H35/19</f>
        <v>0.63200000000000001</v>
      </c>
      <c r="K35" s="30">
        <f>IFERROR(INDEX(Data!$ES:$ES,MATCH(C35,Data!$C:$C,0)),0)</f>
        <v>0</v>
      </c>
      <c r="L35" s="31">
        <f>IFERROR(INDEX(Data!$ET:$ET,MATCH(C35,Data!$C:$C,0)),0)</f>
        <v>0</v>
      </c>
      <c r="M35" s="30">
        <f>IFERROR(INDEX(Data!$I$3:$ER$553,MATCH($C35,Data!$C$3:$C$553,0),MATCH(DATE(RIGHT($B$5,4),MID($B$5,4,2),LEFT($B$5,2))-42,Data!$I$1:$ER$1,0)),0)</f>
        <v>0</v>
      </c>
      <c r="N35" s="31" cm="1">
        <f t="array" ref="N35">IFERROR(INDEX(Data!$I$3:$ER$553,MATCH($C35,Data!$C$3:$C$553,0),MATCH(DATE(RIGHT($B$5,4),MID($B$5,4,2),LEFT($B$5,2))-42,Data!$I$1:$ER$1,0)+1),0)</f>
        <v>0</v>
      </c>
      <c r="O35" s="30">
        <f>IFERROR(INDEX(Data!$I$3:$ER$553,MATCH($C35,Data!$C$3:$C$553,0),MATCH($M$5,Data!$I$1:$ER$1,0)),0)</f>
        <v>0</v>
      </c>
      <c r="P35" s="31" cm="1">
        <f t="array" ref="P35">IFERROR(INDEX(Data!$I$3:$ER$553,MATCH($C35,Data!$C$3:$C$553,0),MATCH($M$5,Data!$I$1:$ER$1,0)+1),0)</f>
        <v>0</v>
      </c>
      <c r="Q35" s="49" t="str">
        <f>IF(R35="","",IF(H35=0,0,R35*(G35/H35)))</f>
        <v/>
      </c>
      <c r="R35" s="50"/>
      <c r="T35" t="s">
        <v>716</v>
      </c>
      <c r="U35" s="126">
        <v>46331</v>
      </c>
      <c r="V35" t="s">
        <v>706</v>
      </c>
    </row>
    <row r="36" spans="1:22" x14ac:dyDescent="0.35">
      <c r="A36" s="32">
        <v>202</v>
      </c>
      <c r="B36" s="32" t="s">
        <v>530</v>
      </c>
      <c r="C36" s="32">
        <v>63480</v>
      </c>
      <c r="D36" s="32" t="s">
        <v>126</v>
      </c>
      <c r="E36" s="33">
        <v>0</v>
      </c>
      <c r="F36" s="34">
        <v>0</v>
      </c>
      <c r="G36" s="33">
        <f>SUMIF(Data!$C:$C,C36,Data!$DI:$DI)+SUMIF(Data!$C:$C,C36,Data!$DK:$DK)+SUMIF(Data!$C:$C,C36,Data!$DM:$DM)+SUMIF(Data!$C:$C,C36,Data!$DO:$DO)+SUMIF(Data!$C:$C,C36,Data!$DQ:$DQ)+SUMIF(Data!$C:$C,C36,Data!$DS:$DS)+SUMIF(Data!$C:$C,C36,Data!$DU:$DU)+SUMIF(Data!$C:$C,C36,Data!$DW:$DW)+SUMIF(Data!$C:$C,C36,Data!$DY:$DY)+SUMIF(Data!$C:$C,C36,Data!$EA:$EA)+SUMIF(Data!$C:$C,C36,Data!$EC:$EC)+SUMIF(Data!$C:$C,C36,Data!$EE:$EE)+SUMIF(Data!$C:$C,C36,Data!$EG:$EG)+SUMIF(Data!$C:$C,C36,Data!$EI:$EI)+SUMIF(Data!$C:$C,C36,Data!$EK:$EK)+SUMIF(Data!$C:$C,C36,Data!$EM:$EM)+SUMIF(Data!$C:$C,C36,Data!$EO:$EO)+SUMIF(Data!$C:$C,C36,Data!$EQ:$EQ)+SUMIF(Data!$C:$C,C36,Data!$ES:$ES)</f>
        <v>1035.4347826086955</v>
      </c>
      <c r="H36" s="34">
        <f>SUMIF(Data!$C:$C,C36,Data!$DJ:$DJ)+SUMIF(Data!$C:$C,C36,Data!$DL:$DL)+SUMIF(Data!$C:$C,C36,Data!$DN:$DN)+SUMIF(Data!$C:$C,C36,Data!$DP:$DP)+SUMIF(Data!$C:$C,C36,Data!$DR:$DR)+SUMIF(Data!$C:$C,C36,Data!$DT:$DT)+SUMIF(Data!$C:$C,C36,Data!$DV:$DV)+SUMIF(Data!$C:$C,C36,Data!$DX:$DX)+SUMIF(Data!$C:$C,C36,Data!$DZ:$DZ)+SUMIF(Data!$C:$C,C36,Data!$EB:$EB)+SUMIF(Data!$C:$C,C36,Data!$ED:$ED)+SUMIF(Data!$C:$C,C36,Data!$EF:$EF)+SUMIF(Data!$C:$C,C36,Data!$EH:$EH)+SUMIF(Data!$C:$C,C36,Data!$EJ:$EJ)+SUMIF(Data!$C:$C,C36,Data!$EL:$EL)+SUMIF(Data!$C:$C,C36,Data!$EN:$EN)+SUMIF(Data!$C:$C,C36,Data!$EP:$EP)+SUMIF(Data!$C:$C,C36,Data!$ER:$ER)+SUMIF(Data!$C:$C,C36,Data!$ET:$ET)</f>
        <v>5.9539999999999997</v>
      </c>
      <c r="I36" s="33">
        <f>G36/19</f>
        <v>54.496567505720819</v>
      </c>
      <c r="J36" s="34">
        <f>H36/19</f>
        <v>0.31336842105263157</v>
      </c>
      <c r="K36" s="33">
        <f>IFERROR(INDEX(Data!$ES:$ES,MATCH(C36,Data!$C:$C,0)),0)</f>
        <v>0</v>
      </c>
      <c r="L36" s="34">
        <f>IFERROR(INDEX(Data!$ET:$ET,MATCH(C36,Data!$C:$C,0)),0)</f>
        <v>0</v>
      </c>
      <c r="M36" s="33">
        <f>IFERROR(INDEX(Data!$I$3:$ER$553,MATCH($C36,Data!$C$3:$C$553,0),MATCH(DATE(RIGHT($B$5,4),MID($B$5,4,2),LEFT($B$5,2))-42,Data!$I$1:$ER$1,0)),0)</f>
        <v>81.739130434782595</v>
      </c>
      <c r="N36" s="34" cm="1">
        <f t="array" ref="N36">IFERROR(INDEX(Data!$I$3:$ER$553,MATCH($C36,Data!$C$3:$C$553,0),MATCH(DATE(RIGHT($B$5,4),MID($B$5,4,2),LEFT($B$5,2))-42,Data!$I$1:$ER$1,0)+1),0)</f>
        <v>0.47</v>
      </c>
      <c r="O36" s="33">
        <f>IFERROR(INDEX(Data!$I$3:$ER$553,MATCH($C36,Data!$C$3:$C$553,0),MATCH($M$5,Data!$I$1:$ER$1,0)),0)</f>
        <v>0</v>
      </c>
      <c r="P36" s="34" cm="1">
        <f t="array" ref="P36">IFERROR(INDEX(Data!$I$3:$ER$553,MATCH($C36,Data!$C$3:$C$553,0),MATCH($M$5,Data!$I$1:$ER$1,0)+1),0)</f>
        <v>0</v>
      </c>
      <c r="Q36" s="49" t="str">
        <f>IF(R36="","",IF(H36=0,0,R36*(G36/H36)))</f>
        <v/>
      </c>
      <c r="R36" s="50"/>
      <c r="T36" t="s">
        <v>717</v>
      </c>
      <c r="U36" s="126">
        <v>46358</v>
      </c>
      <c r="V36" t="s">
        <v>704</v>
      </c>
    </row>
    <row r="37" spans="1:22" x14ac:dyDescent="0.35">
      <c r="A37" s="29">
        <v>202</v>
      </c>
      <c r="B37" s="29" t="s">
        <v>530</v>
      </c>
      <c r="C37" s="29">
        <v>64935</v>
      </c>
      <c r="D37" s="29" t="s">
        <v>132</v>
      </c>
      <c r="E37" s="30">
        <v>0</v>
      </c>
      <c r="F37" s="31">
        <v>0</v>
      </c>
      <c r="G37" s="30">
        <f>SUMIF(Data!$C:$C,C37,Data!$DI:$DI)+SUMIF(Data!$C:$C,C37,Data!$DK:$DK)+SUMIF(Data!$C:$C,C37,Data!$DM:$DM)+SUMIF(Data!$C:$C,C37,Data!$DO:$DO)+SUMIF(Data!$C:$C,C37,Data!$DQ:$DQ)+SUMIF(Data!$C:$C,C37,Data!$DS:$DS)+SUMIF(Data!$C:$C,C37,Data!$DU:$DU)+SUMIF(Data!$C:$C,C37,Data!$DW:$DW)+SUMIF(Data!$C:$C,C37,Data!$DY:$DY)+SUMIF(Data!$C:$C,C37,Data!$EA:$EA)+SUMIF(Data!$C:$C,C37,Data!$EC:$EC)+SUMIF(Data!$C:$C,C37,Data!$EE:$EE)+SUMIF(Data!$C:$C,C37,Data!$EG:$EG)+SUMIF(Data!$C:$C,C37,Data!$EI:$EI)+SUMIF(Data!$C:$C,C37,Data!$EK:$EK)+SUMIF(Data!$C:$C,C37,Data!$EM:$EM)+SUMIF(Data!$C:$C,C37,Data!$EO:$EO)+SUMIF(Data!$C:$C,C37,Data!$EQ:$EQ)+SUMIF(Data!$C:$C,C37,Data!$ES:$ES)</f>
        <v>751.304347826087</v>
      </c>
      <c r="H37" s="31">
        <f>SUMIF(Data!$C:$C,C37,Data!$DJ:$DJ)+SUMIF(Data!$C:$C,C37,Data!$DL:$DL)+SUMIF(Data!$C:$C,C37,Data!$DN:$DN)+SUMIF(Data!$C:$C,C37,Data!$DP:$DP)+SUMIF(Data!$C:$C,C37,Data!$DR:$DR)+SUMIF(Data!$C:$C,C37,Data!$DT:$DT)+SUMIF(Data!$C:$C,C37,Data!$DV:$DV)+SUMIF(Data!$C:$C,C37,Data!$DX:$DX)+SUMIF(Data!$C:$C,C37,Data!$DZ:$DZ)+SUMIF(Data!$C:$C,C37,Data!$EB:$EB)+SUMIF(Data!$C:$C,C37,Data!$ED:$ED)+SUMIF(Data!$C:$C,C37,Data!$EF:$EF)+SUMIF(Data!$C:$C,C37,Data!$EH:$EH)+SUMIF(Data!$C:$C,C37,Data!$EJ:$EJ)+SUMIF(Data!$C:$C,C37,Data!$EL:$EL)+SUMIF(Data!$C:$C,C37,Data!$EN:$EN)+SUMIF(Data!$C:$C,C37,Data!$EP:$EP)+SUMIF(Data!$C:$C,C37,Data!$ER:$ER)+SUMIF(Data!$C:$C,C37,Data!$ET:$ET)</f>
        <v>2.4690000000000003</v>
      </c>
      <c r="I37" s="30">
        <f>G37/19</f>
        <v>39.54233409610984</v>
      </c>
      <c r="J37" s="31">
        <f>H37/19</f>
        <v>0.12994736842105264</v>
      </c>
      <c r="K37" s="30">
        <f>IFERROR(INDEX(Data!$ES:$ES,MATCH(C37,Data!$C:$C,0)),0)</f>
        <v>0</v>
      </c>
      <c r="L37" s="31">
        <f>IFERROR(INDEX(Data!$ET:$ET,MATCH(C37,Data!$C:$C,0)),0)</f>
        <v>0</v>
      </c>
      <c r="M37" s="30">
        <f>IFERROR(INDEX(Data!$I$3:$ER$553,MATCH($C37,Data!$C$3:$C$553,0),MATCH(DATE(RIGHT($B$5,4),MID($B$5,4,2),LEFT($B$5,2))-42,Data!$I$1:$ER$1,0)),0)</f>
        <v>0</v>
      </c>
      <c r="N37" s="31" cm="1">
        <f t="array" ref="N37">IFERROR(INDEX(Data!$I$3:$ER$553,MATCH($C37,Data!$C$3:$C$553,0),MATCH(DATE(RIGHT($B$5,4),MID($B$5,4,2),LEFT($B$5,2))-42,Data!$I$1:$ER$1,0)+1),0)</f>
        <v>0</v>
      </c>
      <c r="O37" s="30">
        <f>IFERROR(INDEX(Data!$I$3:$ER$553,MATCH($C37,Data!$C$3:$C$553,0),MATCH($M$5,Data!$I$1:$ER$1,0)),0)</f>
        <v>0</v>
      </c>
      <c r="P37" s="31" cm="1">
        <f t="array" ref="P37">IFERROR(INDEX(Data!$I$3:$ER$553,MATCH($C37,Data!$C$3:$C$553,0),MATCH($M$5,Data!$I$1:$ER$1,0)+1),0)</f>
        <v>0</v>
      </c>
      <c r="Q37" s="49" t="str">
        <f>IF(R37="","",IF(H37=0,0,R37*(G37/H37)))</f>
        <v/>
      </c>
      <c r="R37" s="50"/>
      <c r="T37" t="s">
        <v>717</v>
      </c>
      <c r="U37" s="126">
        <v>46359</v>
      </c>
      <c r="V37" t="s">
        <v>705</v>
      </c>
    </row>
    <row r="38" spans="1:22" x14ac:dyDescent="0.35">
      <c r="A38" s="32">
        <v>202</v>
      </c>
      <c r="B38" s="32" t="s">
        <v>530</v>
      </c>
      <c r="C38" s="32">
        <v>34152</v>
      </c>
      <c r="D38" s="32" t="s">
        <v>86</v>
      </c>
      <c r="E38" s="33">
        <v>0</v>
      </c>
      <c r="F38" s="34">
        <v>0</v>
      </c>
      <c r="G38" s="33">
        <f>SUMIF(Data!$C:$C,C38,Data!$DI:$DI)+SUMIF(Data!$C:$C,C38,Data!$DK:$DK)+SUMIF(Data!$C:$C,C38,Data!$DM:$DM)+SUMIF(Data!$C:$C,C38,Data!$DO:$DO)+SUMIF(Data!$C:$C,C38,Data!$DQ:$DQ)+SUMIF(Data!$C:$C,C38,Data!$DS:$DS)+SUMIF(Data!$C:$C,C38,Data!$DU:$DU)+SUMIF(Data!$C:$C,C38,Data!$DW:$DW)+SUMIF(Data!$C:$C,C38,Data!$DY:$DY)+SUMIF(Data!$C:$C,C38,Data!$EA:$EA)+SUMIF(Data!$C:$C,C38,Data!$EC:$EC)+SUMIF(Data!$C:$C,C38,Data!$EE:$EE)+SUMIF(Data!$C:$C,C38,Data!$EG:$EG)+SUMIF(Data!$C:$C,C38,Data!$EI:$EI)+SUMIF(Data!$C:$C,C38,Data!$EK:$EK)+SUMIF(Data!$C:$C,C38,Data!$EM:$EM)+SUMIF(Data!$C:$C,C38,Data!$EO:$EO)+SUMIF(Data!$C:$C,C38,Data!$EQ:$EQ)+SUMIF(Data!$C:$C,C38,Data!$ES:$ES)</f>
        <v>679.64347826086998</v>
      </c>
      <c r="H38" s="34">
        <f>SUMIF(Data!$C:$C,C38,Data!$DJ:$DJ)+SUMIF(Data!$C:$C,C38,Data!$DL:$DL)+SUMIF(Data!$C:$C,C38,Data!$DN:$DN)+SUMIF(Data!$C:$C,C38,Data!$DP:$DP)+SUMIF(Data!$C:$C,C38,Data!$DR:$DR)+SUMIF(Data!$C:$C,C38,Data!$DT:$DT)+SUMIF(Data!$C:$C,C38,Data!$DV:$DV)+SUMIF(Data!$C:$C,C38,Data!$DX:$DX)+SUMIF(Data!$C:$C,C38,Data!$DZ:$DZ)+SUMIF(Data!$C:$C,C38,Data!$EB:$EB)+SUMIF(Data!$C:$C,C38,Data!$ED:$ED)+SUMIF(Data!$C:$C,C38,Data!$EF:$EF)+SUMIF(Data!$C:$C,C38,Data!$EH:$EH)+SUMIF(Data!$C:$C,C38,Data!$EJ:$EJ)+SUMIF(Data!$C:$C,C38,Data!$EL:$EL)+SUMIF(Data!$C:$C,C38,Data!$EN:$EN)+SUMIF(Data!$C:$C,C38,Data!$EP:$EP)+SUMIF(Data!$C:$C,C38,Data!$ER:$ER)+SUMIF(Data!$C:$C,C38,Data!$ET:$ET)</f>
        <v>7.1059999999999999</v>
      </c>
      <c r="I38" s="33">
        <f>G38/19</f>
        <v>35.770709382151054</v>
      </c>
      <c r="J38" s="34">
        <f>H38/19</f>
        <v>0.374</v>
      </c>
      <c r="K38" s="33">
        <f>IFERROR(INDEX(Data!$ES:$ES,MATCH(C38,Data!$C:$C,0)),0)</f>
        <v>0</v>
      </c>
      <c r="L38" s="34">
        <f>IFERROR(INDEX(Data!$ET:$ET,MATCH(C38,Data!$C:$C,0)),0)</f>
        <v>0</v>
      </c>
      <c r="M38" s="33">
        <f>IFERROR(INDEX(Data!$I$3:$ER$553,MATCH($C38,Data!$C$3:$C$553,0),MATCH(DATE(RIGHT($B$5,4),MID($B$5,4,2),LEFT($B$5,2))-42,Data!$I$1:$ER$1,0)),0)</f>
        <v>0</v>
      </c>
      <c r="N38" s="34" cm="1">
        <f t="array" ref="N38">IFERROR(INDEX(Data!$I$3:$ER$553,MATCH($C38,Data!$C$3:$C$553,0),MATCH(DATE(RIGHT($B$5,4),MID($B$5,4,2),LEFT($B$5,2))-42,Data!$I$1:$ER$1,0)+1),0)</f>
        <v>0</v>
      </c>
      <c r="O38" s="33">
        <f>IFERROR(INDEX(Data!$I$3:$ER$553,MATCH($C38,Data!$C$3:$C$553,0),MATCH($M$5,Data!$I$1:$ER$1,0)),0)</f>
        <v>0</v>
      </c>
      <c r="P38" s="34" cm="1">
        <f t="array" ref="P38">IFERROR(INDEX(Data!$I$3:$ER$553,MATCH($C38,Data!$C$3:$C$553,0),MATCH($M$5,Data!$I$1:$ER$1,0)+1),0)</f>
        <v>0</v>
      </c>
      <c r="Q38" s="49" t="str">
        <f>IF(R38="","",IF(H38=0,0,R38*(G38/H38)))</f>
        <v/>
      </c>
      <c r="R38" s="50"/>
      <c r="T38" t="s">
        <v>717</v>
      </c>
      <c r="U38" s="126">
        <v>46360</v>
      </c>
      <c r="V38" t="s">
        <v>706</v>
      </c>
    </row>
    <row r="39" spans="1:22" x14ac:dyDescent="0.35">
      <c r="A39" s="29">
        <v>202</v>
      </c>
      <c r="B39" s="29" t="s">
        <v>530</v>
      </c>
      <c r="C39" s="29">
        <v>34159</v>
      </c>
      <c r="D39" s="29" t="s">
        <v>91</v>
      </c>
      <c r="E39" s="30">
        <v>2444.3913043478269</v>
      </c>
      <c r="F39" s="31">
        <v>20.507999999999999</v>
      </c>
      <c r="G39" s="30">
        <f>SUMIF(Data!$C:$C,C39,Data!$DI:$DI)+SUMIF(Data!$C:$C,C39,Data!$DK:$DK)+SUMIF(Data!$C:$C,C39,Data!$DM:$DM)+SUMIF(Data!$C:$C,C39,Data!$DO:$DO)+SUMIF(Data!$C:$C,C39,Data!$DQ:$DQ)+SUMIF(Data!$C:$C,C39,Data!$DS:$DS)+SUMIF(Data!$C:$C,C39,Data!$DU:$DU)+SUMIF(Data!$C:$C,C39,Data!$DW:$DW)+SUMIF(Data!$C:$C,C39,Data!$DY:$DY)+SUMIF(Data!$C:$C,C39,Data!$EA:$EA)+SUMIF(Data!$C:$C,C39,Data!$EC:$EC)+SUMIF(Data!$C:$C,C39,Data!$EE:$EE)+SUMIF(Data!$C:$C,C39,Data!$EG:$EG)+SUMIF(Data!$C:$C,C39,Data!$EI:$EI)+SUMIF(Data!$C:$C,C39,Data!$EK:$EK)+SUMIF(Data!$C:$C,C39,Data!$EM:$EM)+SUMIF(Data!$C:$C,C39,Data!$EO:$EO)+SUMIF(Data!$C:$C,C39,Data!$EQ:$EQ)+SUMIF(Data!$C:$C,C39,Data!$ES:$ES)</f>
        <v>602.66956521739098</v>
      </c>
      <c r="H39" s="31">
        <f>SUMIF(Data!$C:$C,C39,Data!$DJ:$DJ)+SUMIF(Data!$C:$C,C39,Data!$DL:$DL)+SUMIF(Data!$C:$C,C39,Data!$DN:$DN)+SUMIF(Data!$C:$C,C39,Data!$DP:$DP)+SUMIF(Data!$C:$C,C39,Data!$DR:$DR)+SUMIF(Data!$C:$C,C39,Data!$DT:$DT)+SUMIF(Data!$C:$C,C39,Data!$DV:$DV)+SUMIF(Data!$C:$C,C39,Data!$DX:$DX)+SUMIF(Data!$C:$C,C39,Data!$DZ:$DZ)+SUMIF(Data!$C:$C,C39,Data!$EB:$EB)+SUMIF(Data!$C:$C,C39,Data!$ED:$ED)+SUMIF(Data!$C:$C,C39,Data!$EF:$EF)+SUMIF(Data!$C:$C,C39,Data!$EH:$EH)+SUMIF(Data!$C:$C,C39,Data!$EJ:$EJ)+SUMIF(Data!$C:$C,C39,Data!$EL:$EL)+SUMIF(Data!$C:$C,C39,Data!$EN:$EN)+SUMIF(Data!$C:$C,C39,Data!$EP:$EP)+SUMIF(Data!$C:$C,C39,Data!$ER:$ER)+SUMIF(Data!$C:$C,C39,Data!$ET:$ET)</f>
        <v>4.7670000000000003</v>
      </c>
      <c r="I39" s="30">
        <f>G39/19</f>
        <v>31.719450800915315</v>
      </c>
      <c r="J39" s="31">
        <f>H39/19</f>
        <v>0.25089473684210528</v>
      </c>
      <c r="K39" s="30">
        <f>IFERROR(INDEX(Data!$ES:$ES,MATCH(C39,Data!$C:$C,0)),0)</f>
        <v>0</v>
      </c>
      <c r="L39" s="31">
        <f>IFERROR(INDEX(Data!$ET:$ET,MATCH(C39,Data!$C:$C,0)),0)</f>
        <v>0</v>
      </c>
      <c r="M39" s="30">
        <f>IFERROR(INDEX(Data!$I$3:$ER$553,MATCH($C39,Data!$C$3:$C$553,0),MATCH(DATE(RIGHT($B$5,4),MID($B$5,4,2),LEFT($B$5,2))-42,Data!$I$1:$ER$1,0)),0)</f>
        <v>0</v>
      </c>
      <c r="N39" s="31" cm="1">
        <f t="array" ref="N39">IFERROR(INDEX(Data!$I$3:$ER$553,MATCH($C39,Data!$C$3:$C$553,0),MATCH(DATE(RIGHT($B$5,4),MID($B$5,4,2),LEFT($B$5,2))-42,Data!$I$1:$ER$1,0)+1),0)</f>
        <v>0</v>
      </c>
      <c r="O39" s="30">
        <f>IFERROR(INDEX(Data!$I$3:$ER$553,MATCH($C39,Data!$C$3:$C$553,0),MATCH($M$5,Data!$I$1:$ER$1,0)),0)</f>
        <v>0</v>
      </c>
      <c r="P39" s="31" cm="1">
        <f t="array" ref="P39">IFERROR(INDEX(Data!$I$3:$ER$553,MATCH($C39,Data!$C$3:$C$553,0),MATCH($M$5,Data!$I$1:$ER$1,0)+1),0)</f>
        <v>0</v>
      </c>
      <c r="Q39" s="49" t="str">
        <f>IF(R39="","",IF(H39=0,0,R39*(G39/H39)))</f>
        <v/>
      </c>
      <c r="R39" s="50"/>
      <c r="T39" s="126">
        <v>46153</v>
      </c>
    </row>
    <row r="40" spans="1:22" x14ac:dyDescent="0.35">
      <c r="A40" s="32">
        <v>202</v>
      </c>
      <c r="B40" s="32" t="s">
        <v>530</v>
      </c>
      <c r="C40" s="32">
        <v>12147</v>
      </c>
      <c r="D40" s="32" t="s">
        <v>73</v>
      </c>
      <c r="E40" s="33">
        <v>427.61739130434802</v>
      </c>
      <c r="F40" s="34">
        <v>2.2909999999999999</v>
      </c>
      <c r="G40" s="33">
        <f>SUMIF(Data!$C:$C,C40,Data!$DI:$DI)+SUMIF(Data!$C:$C,C40,Data!$DK:$DK)+SUMIF(Data!$C:$C,C40,Data!$DM:$DM)+SUMIF(Data!$C:$C,C40,Data!$DO:$DO)+SUMIF(Data!$C:$C,C40,Data!$DQ:$DQ)+SUMIF(Data!$C:$C,C40,Data!$DS:$DS)+SUMIF(Data!$C:$C,C40,Data!$DU:$DU)+SUMIF(Data!$C:$C,C40,Data!$DW:$DW)+SUMIF(Data!$C:$C,C40,Data!$DY:$DY)+SUMIF(Data!$C:$C,C40,Data!$EA:$EA)+SUMIF(Data!$C:$C,C40,Data!$EC:$EC)+SUMIF(Data!$C:$C,C40,Data!$EE:$EE)+SUMIF(Data!$C:$C,C40,Data!$EG:$EG)+SUMIF(Data!$C:$C,C40,Data!$EI:$EI)+SUMIF(Data!$C:$C,C40,Data!$EK:$EK)+SUMIF(Data!$C:$C,C40,Data!$EM:$EM)+SUMIF(Data!$C:$C,C40,Data!$EO:$EO)+SUMIF(Data!$C:$C,C40,Data!$EQ:$EQ)+SUMIF(Data!$C:$C,C40,Data!$ES:$ES)</f>
        <v>456.32173913043499</v>
      </c>
      <c r="H40" s="34">
        <f>SUMIF(Data!$C:$C,C40,Data!$DJ:$DJ)+SUMIF(Data!$C:$C,C40,Data!$DL:$DL)+SUMIF(Data!$C:$C,C40,Data!$DN:$DN)+SUMIF(Data!$C:$C,C40,Data!$DP:$DP)+SUMIF(Data!$C:$C,C40,Data!$DR:$DR)+SUMIF(Data!$C:$C,C40,Data!$DT:$DT)+SUMIF(Data!$C:$C,C40,Data!$DV:$DV)+SUMIF(Data!$C:$C,C40,Data!$DX:$DX)+SUMIF(Data!$C:$C,C40,Data!$DZ:$DZ)+SUMIF(Data!$C:$C,C40,Data!$EB:$EB)+SUMIF(Data!$C:$C,C40,Data!$ED:$ED)+SUMIF(Data!$C:$C,C40,Data!$EF:$EF)+SUMIF(Data!$C:$C,C40,Data!$EH:$EH)+SUMIF(Data!$C:$C,C40,Data!$EJ:$EJ)+SUMIF(Data!$C:$C,C40,Data!$EL:$EL)+SUMIF(Data!$C:$C,C40,Data!$EN:$EN)+SUMIF(Data!$C:$C,C40,Data!$EP:$EP)+SUMIF(Data!$C:$C,C40,Data!$ER:$ER)+SUMIF(Data!$C:$C,C40,Data!$ET:$ET)</f>
        <v>2.6240000000000001</v>
      </c>
      <c r="I40" s="33">
        <f>G40/19</f>
        <v>24.016933638443948</v>
      </c>
      <c r="J40" s="34">
        <f>H40/19</f>
        <v>0.13810526315789473</v>
      </c>
      <c r="K40" s="33">
        <f>IFERROR(INDEX(Data!$ES:$ES,MATCH(C40,Data!$C:$C,0)),0)</f>
        <v>0</v>
      </c>
      <c r="L40" s="34">
        <f>IFERROR(INDEX(Data!$ET:$ET,MATCH(C40,Data!$C:$C,0)),0)</f>
        <v>0</v>
      </c>
      <c r="M40" s="33">
        <f>IFERROR(INDEX(Data!$I$3:$ER$553,MATCH($C40,Data!$C$3:$C$553,0),MATCH(DATE(RIGHT($B$5,4),MID($B$5,4,2),LEFT($B$5,2))-42,Data!$I$1:$ER$1,0)),0)</f>
        <v>0</v>
      </c>
      <c r="N40" s="34" cm="1">
        <f t="array" ref="N40">IFERROR(INDEX(Data!$I$3:$ER$553,MATCH($C40,Data!$C$3:$C$553,0),MATCH(DATE(RIGHT($B$5,4),MID($B$5,4,2),LEFT($B$5,2))-42,Data!$I$1:$ER$1,0)+1),0)</f>
        <v>0</v>
      </c>
      <c r="O40" s="33">
        <f>IFERROR(INDEX(Data!$I$3:$ER$553,MATCH($C40,Data!$C$3:$C$553,0),MATCH($M$5,Data!$I$1:$ER$1,0)),0)</f>
        <v>0</v>
      </c>
      <c r="P40" s="34" cm="1">
        <f t="array" ref="P40">IFERROR(INDEX(Data!$I$3:$ER$553,MATCH($C40,Data!$C$3:$C$553,0),MATCH($M$5,Data!$I$1:$ER$1,0)+1),0)</f>
        <v>0</v>
      </c>
      <c r="Q40" s="49" t="str">
        <f>IF(R40="","",IF(H40=0,0,R40*(G40/H40)))</f>
        <v/>
      </c>
      <c r="R40" s="50"/>
      <c r="S40" s="7" t="s">
        <v>723</v>
      </c>
      <c r="T40" s="7" t="s">
        <v>718</v>
      </c>
      <c r="U40" cm="1">
        <f t="array" ref="U40">SUMPRODUCT(($U$3:$U$38&gt;=$T$39)*($U$3:$U$38&lt;$T$39+7))</f>
        <v>0</v>
      </c>
    </row>
    <row r="41" spans="1:22" x14ac:dyDescent="0.35">
      <c r="A41" s="29">
        <v>202</v>
      </c>
      <c r="B41" s="29" t="s">
        <v>530</v>
      </c>
      <c r="C41" s="29">
        <v>42859</v>
      </c>
      <c r="D41" s="29" t="s">
        <v>114</v>
      </c>
      <c r="E41" s="30">
        <v>593.53913043478281</v>
      </c>
      <c r="F41" s="31">
        <v>9.5329999999999995</v>
      </c>
      <c r="G41" s="30">
        <f>SUMIF(Data!$C:$C,C41,Data!$DI:$DI)+SUMIF(Data!$C:$C,C41,Data!$DK:$DK)+SUMIF(Data!$C:$C,C41,Data!$DM:$DM)+SUMIF(Data!$C:$C,C41,Data!$DO:$DO)+SUMIF(Data!$C:$C,C41,Data!$DQ:$DQ)+SUMIF(Data!$C:$C,C41,Data!$DS:$DS)+SUMIF(Data!$C:$C,C41,Data!$DU:$DU)+SUMIF(Data!$C:$C,C41,Data!$DW:$DW)+SUMIF(Data!$C:$C,C41,Data!$DY:$DY)+SUMIF(Data!$C:$C,C41,Data!$EA:$EA)+SUMIF(Data!$C:$C,C41,Data!$EC:$EC)+SUMIF(Data!$C:$C,C41,Data!$EE:$EE)+SUMIF(Data!$C:$C,C41,Data!$EG:$EG)+SUMIF(Data!$C:$C,C41,Data!$EI:$EI)+SUMIF(Data!$C:$C,C41,Data!$EK:$EK)+SUMIF(Data!$C:$C,C41,Data!$EM:$EM)+SUMIF(Data!$C:$C,C41,Data!$EO:$EO)+SUMIF(Data!$C:$C,C41,Data!$EQ:$EQ)+SUMIF(Data!$C:$C,C41,Data!$ES:$ES)</f>
        <v>243.98260869565229</v>
      </c>
      <c r="H41" s="31">
        <f>SUMIF(Data!$C:$C,C41,Data!$DJ:$DJ)+SUMIF(Data!$C:$C,C41,Data!$DL:$DL)+SUMIF(Data!$C:$C,C41,Data!$DN:$DN)+SUMIF(Data!$C:$C,C41,Data!$DP:$DP)+SUMIF(Data!$C:$C,C41,Data!$DR:$DR)+SUMIF(Data!$C:$C,C41,Data!$DT:$DT)+SUMIF(Data!$C:$C,C41,Data!$DV:$DV)+SUMIF(Data!$C:$C,C41,Data!$DX:$DX)+SUMIF(Data!$C:$C,C41,Data!$DZ:$DZ)+SUMIF(Data!$C:$C,C41,Data!$EB:$EB)+SUMIF(Data!$C:$C,C41,Data!$ED:$ED)+SUMIF(Data!$C:$C,C41,Data!$EF:$EF)+SUMIF(Data!$C:$C,C41,Data!$EH:$EH)+SUMIF(Data!$C:$C,C41,Data!$EJ:$EJ)+SUMIF(Data!$C:$C,C41,Data!$EL:$EL)+SUMIF(Data!$C:$C,C41,Data!$EN:$EN)+SUMIF(Data!$C:$C,C41,Data!$EP:$EP)+SUMIF(Data!$C:$C,C41,Data!$ER:$ER)+SUMIF(Data!$C:$C,C41,Data!$ET:$ET)</f>
        <v>3.1179999999999999</v>
      </c>
      <c r="I41" s="30">
        <f>G41/19</f>
        <v>12.841189931350121</v>
      </c>
      <c r="J41" s="31">
        <f>H41/19</f>
        <v>0.16410526315789473</v>
      </c>
      <c r="K41" s="30">
        <f>IFERROR(INDEX(Data!$ES:$ES,MATCH(C41,Data!$C:$C,0)),0)</f>
        <v>0</v>
      </c>
      <c r="L41" s="31">
        <f>IFERROR(INDEX(Data!$ET:$ET,MATCH(C41,Data!$C:$C,0)),0)</f>
        <v>0</v>
      </c>
      <c r="M41" s="30">
        <f>IFERROR(INDEX(Data!$I$3:$ER$553,MATCH($C41,Data!$C$3:$C$553,0),MATCH(DATE(RIGHT($B$5,4),MID($B$5,4,2),LEFT($B$5,2))-42,Data!$I$1:$ER$1,0)),0)</f>
        <v>0</v>
      </c>
      <c r="N41" s="31" cm="1">
        <f t="array" ref="N41">IFERROR(INDEX(Data!$I$3:$ER$553,MATCH($C41,Data!$C$3:$C$553,0),MATCH(DATE(RIGHT($B$5,4),MID($B$5,4,2),LEFT($B$5,2))-42,Data!$I$1:$ER$1,0)+1),0)</f>
        <v>0</v>
      </c>
      <c r="O41" s="30">
        <f>IFERROR(INDEX(Data!$I$3:$ER$553,MATCH($C41,Data!$C$3:$C$553,0),MATCH($M$5,Data!$I$1:$ER$1,0)),0)</f>
        <v>113.669565217391</v>
      </c>
      <c r="P41" s="31" cm="1">
        <f t="array" ref="P41">IFERROR(INDEX(Data!$I$3:$ER$553,MATCH($C41,Data!$C$3:$C$553,0),MATCH($M$5,Data!$I$1:$ER$1,0)+1),0)</f>
        <v>1.6339999999999999</v>
      </c>
      <c r="Q41" s="49" t="str">
        <f>IF(R41="","",IF(H41=0,0,R41*(G41/H41)))</f>
        <v/>
      </c>
      <c r="R41" s="50"/>
      <c r="T41" s="7" t="s">
        <v>719</v>
      </c>
      <c r="U41" t="str" cm="1">
        <f t="array" ref="U41">_xlfn.TEXTJOIN(", ",TRUE,IF(($U$3:$U$38&gt;=$T$39)*($U$3:$U$38&lt;$T$39+7),$V$3:$V$38,""))</f>
        <v/>
      </c>
    </row>
    <row r="42" spans="1:22" x14ac:dyDescent="0.35">
      <c r="A42" s="32">
        <v>202</v>
      </c>
      <c r="B42" s="32" t="s">
        <v>530</v>
      </c>
      <c r="C42" s="32">
        <v>63840</v>
      </c>
      <c r="D42" s="32" t="s">
        <v>131</v>
      </c>
      <c r="E42" s="33">
        <v>0</v>
      </c>
      <c r="F42" s="34">
        <v>0</v>
      </c>
      <c r="G42" s="33">
        <f>SUMIF(Data!$C:$C,C42,Data!$DI:$DI)+SUMIF(Data!$C:$C,C42,Data!$DK:$DK)+SUMIF(Data!$C:$C,C42,Data!$DM:$DM)+SUMIF(Data!$C:$C,C42,Data!$DO:$DO)+SUMIF(Data!$C:$C,C42,Data!$DQ:$DQ)+SUMIF(Data!$C:$C,C42,Data!$DS:$DS)+SUMIF(Data!$C:$C,C42,Data!$DU:$DU)+SUMIF(Data!$C:$C,C42,Data!$DW:$DW)+SUMIF(Data!$C:$C,C42,Data!$DY:$DY)+SUMIF(Data!$C:$C,C42,Data!$EA:$EA)+SUMIF(Data!$C:$C,C42,Data!$EC:$EC)+SUMIF(Data!$C:$C,C42,Data!$EE:$EE)+SUMIF(Data!$C:$C,C42,Data!$EG:$EG)+SUMIF(Data!$C:$C,C42,Data!$EI:$EI)+SUMIF(Data!$C:$C,C42,Data!$EK:$EK)+SUMIF(Data!$C:$C,C42,Data!$EM:$EM)+SUMIF(Data!$C:$C,C42,Data!$EO:$EO)+SUMIF(Data!$C:$C,C42,Data!$EQ:$EQ)+SUMIF(Data!$C:$C,C42,Data!$ES:$ES)</f>
        <v>55.956521739130402</v>
      </c>
      <c r="H42" s="34">
        <f>SUMIF(Data!$C:$C,C42,Data!$DJ:$DJ)+SUMIF(Data!$C:$C,C42,Data!$DL:$DL)+SUMIF(Data!$C:$C,C42,Data!$DN:$DN)+SUMIF(Data!$C:$C,C42,Data!$DP:$DP)+SUMIF(Data!$C:$C,C42,Data!$DR:$DR)+SUMIF(Data!$C:$C,C42,Data!$DT:$DT)+SUMIF(Data!$C:$C,C42,Data!$DV:$DV)+SUMIF(Data!$C:$C,C42,Data!$DX:$DX)+SUMIF(Data!$C:$C,C42,Data!$DZ:$DZ)+SUMIF(Data!$C:$C,C42,Data!$EB:$EB)+SUMIF(Data!$C:$C,C42,Data!$ED:$ED)+SUMIF(Data!$C:$C,C42,Data!$EF:$EF)+SUMIF(Data!$C:$C,C42,Data!$EH:$EH)+SUMIF(Data!$C:$C,C42,Data!$EJ:$EJ)+SUMIF(Data!$C:$C,C42,Data!$EL:$EL)+SUMIF(Data!$C:$C,C42,Data!$EN:$EN)+SUMIF(Data!$C:$C,C42,Data!$EP:$EP)+SUMIF(Data!$C:$C,C42,Data!$ER:$ER)+SUMIF(Data!$C:$C,C42,Data!$ET:$ET)</f>
        <v>0.34599999999999997</v>
      </c>
      <c r="I42" s="33">
        <f>G42/19</f>
        <v>2.9450800915331792</v>
      </c>
      <c r="J42" s="34">
        <f>H42/19</f>
        <v>1.8210526315789472E-2</v>
      </c>
      <c r="K42" s="33">
        <f>IFERROR(INDEX(Data!$ES:$ES,MATCH(C42,Data!$C:$C,0)),0)</f>
        <v>0</v>
      </c>
      <c r="L42" s="34">
        <f>IFERROR(INDEX(Data!$ET:$ET,MATCH(C42,Data!$C:$C,0)),0)</f>
        <v>0</v>
      </c>
      <c r="M42" s="33">
        <f>IFERROR(INDEX(Data!$I$3:$ER$553,MATCH($C42,Data!$C$3:$C$553,0),MATCH(DATE(RIGHT($B$5,4),MID($B$5,4,2),LEFT($B$5,2))-42,Data!$I$1:$ER$1,0)),0)</f>
        <v>0</v>
      </c>
      <c r="N42" s="34" cm="1">
        <f t="array" ref="N42">IFERROR(INDEX(Data!$I$3:$ER$553,MATCH($C42,Data!$C$3:$C$553,0),MATCH(DATE(RIGHT($B$5,4),MID($B$5,4,2),LEFT($B$5,2))-42,Data!$I$1:$ER$1,0)+1),0)</f>
        <v>0</v>
      </c>
      <c r="O42" s="33">
        <f>IFERROR(INDEX(Data!$I$3:$ER$553,MATCH($C42,Data!$C$3:$C$553,0),MATCH($M$5,Data!$I$1:$ER$1,0)),0)</f>
        <v>0</v>
      </c>
      <c r="P42" s="34" cm="1">
        <f t="array" ref="P42">IFERROR(INDEX(Data!$I$3:$ER$553,MATCH($C42,Data!$C$3:$C$553,0),MATCH($M$5,Data!$I$1:$ER$1,0)+1),0)</f>
        <v>0</v>
      </c>
      <c r="Q42" s="49" t="str">
        <f>IF(R42="","",IF(H42=0,0,R42*(G42/H42)))</f>
        <v/>
      </c>
      <c r="R42" s="50"/>
      <c r="T42" s="7" t="s">
        <v>720</v>
      </c>
      <c r="U42" t="str" cm="1">
        <f t="array" ref="U42">_xlfn.TEXTJOIN(", ",TRUE,IF(($U$3:$U$38&gt;=$T$39)*($U$3:$U$38&lt;$T$39+7),TEXT($U$3:$U$38,"dd mmm"),""))</f>
        <v/>
      </c>
    </row>
    <row r="43" spans="1:22" ht="13.5" thickBot="1" x14ac:dyDescent="0.4">
      <c r="A43" s="54" t="s">
        <v>686</v>
      </c>
      <c r="B43" s="54"/>
      <c r="C43" s="54"/>
      <c r="D43" s="54"/>
      <c r="E43" s="55">
        <f>SUM(E13:E42)</f>
        <v>255127.60869565216</v>
      </c>
      <c r="F43" s="56">
        <f>SUM(F13:F42)</f>
        <v>2455.1309999999999</v>
      </c>
      <c r="G43" s="55">
        <f>SUM(G13:G42)</f>
        <v>380494.54782608693</v>
      </c>
      <c r="H43" s="56">
        <f>SUM(H13:H42)</f>
        <v>3301.7690000000002</v>
      </c>
      <c r="I43" s="55">
        <f>AVERAGE(I13:I42)</f>
        <v>667.53429443173161</v>
      </c>
      <c r="J43" s="56">
        <f>AVERAGE(J13:J42)</f>
        <v>5.7925771929824554</v>
      </c>
      <c r="K43" s="55">
        <f>SUM(K13:K42)</f>
        <v>13992.121739130434</v>
      </c>
      <c r="L43" s="56">
        <f>SUM(L13:L42)</f>
        <v>176.99299999999999</v>
      </c>
      <c r="M43" s="55">
        <f>SUM(M13:M42)</f>
        <v>14651.478260869562</v>
      </c>
      <c r="N43" s="56">
        <f>SUM(N13:N42)</f>
        <v>135.869</v>
      </c>
      <c r="O43" s="55">
        <f>SUM(O13:O42)</f>
        <v>14256.330434782609</v>
      </c>
      <c r="P43" s="56">
        <f>SUM(P13:P42)</f>
        <v>189.90999999999994</v>
      </c>
      <c r="Q43" s="57">
        <f>SUM(Q13:Q42)</f>
        <v>0</v>
      </c>
      <c r="R43" s="58">
        <f>SUM(R13:R42)</f>
        <v>0</v>
      </c>
    </row>
    <row r="44" spans="1:22" ht="14" thickTop="1" x14ac:dyDescent="0.35">
      <c r="A44" s="32"/>
      <c r="B44" s="32"/>
      <c r="C44" s="32"/>
      <c r="D44" s="32"/>
      <c r="E44" s="33"/>
      <c r="F44" s="34"/>
      <c r="G44" s="33"/>
      <c r="H44" s="34"/>
      <c r="I44" s="33"/>
      <c r="J44" s="34"/>
      <c r="K44" s="33"/>
      <c r="L44" s="34"/>
      <c r="M44" s="33"/>
      <c r="N44" s="34"/>
      <c r="O44" s="33"/>
      <c r="P44" s="34"/>
      <c r="Q44" s="49"/>
      <c r="R44" s="50"/>
      <c r="T44" s="62" t="s">
        <v>722</v>
      </c>
      <c r="U44" s="63"/>
      <c r="V44" s="64"/>
    </row>
    <row r="45" spans="1:22" x14ac:dyDescent="0.35">
      <c r="A45" s="29">
        <v>204</v>
      </c>
      <c r="B45" s="29" t="s">
        <v>532</v>
      </c>
      <c r="C45" s="29">
        <v>32041</v>
      </c>
      <c r="D45" s="29" t="s">
        <v>143</v>
      </c>
      <c r="E45" s="30">
        <v>17672.982608695653</v>
      </c>
      <c r="F45" s="31">
        <v>134.054</v>
      </c>
      <c r="G45" s="30">
        <f>SUMIF(Data!$C:$C,C45,Data!$DI:$DI)+SUMIF(Data!$C:$C,C45,Data!$DK:$DK)+SUMIF(Data!$C:$C,C45,Data!$DM:$DM)+SUMIF(Data!$C:$C,C45,Data!$DO:$DO)+SUMIF(Data!$C:$C,C45,Data!$DQ:$DQ)+SUMIF(Data!$C:$C,C45,Data!$DS:$DS)+SUMIF(Data!$C:$C,C45,Data!$DU:$DU)+SUMIF(Data!$C:$C,C45,Data!$DW:$DW)+SUMIF(Data!$C:$C,C45,Data!$DY:$DY)+SUMIF(Data!$C:$C,C45,Data!$EA:$EA)+SUMIF(Data!$C:$C,C45,Data!$EC:$EC)+SUMIF(Data!$C:$C,C45,Data!$EE:$EE)+SUMIF(Data!$C:$C,C45,Data!$EG:$EG)+SUMIF(Data!$C:$C,C45,Data!$EI:$EI)+SUMIF(Data!$C:$C,C45,Data!$EK:$EK)+SUMIF(Data!$C:$C,C45,Data!$EM:$EM)+SUMIF(Data!$C:$C,C45,Data!$EO:$EO)+SUMIF(Data!$C:$C,C45,Data!$EQ:$EQ)+SUMIF(Data!$C:$C,C45,Data!$ES:$ES)</f>
        <v>37132.95652173915</v>
      </c>
      <c r="H45" s="31">
        <f>SUMIF(Data!$C:$C,C45,Data!$DJ:$DJ)+SUMIF(Data!$C:$C,C45,Data!$DL:$DL)+SUMIF(Data!$C:$C,C45,Data!$DN:$DN)+SUMIF(Data!$C:$C,C45,Data!$DP:$DP)+SUMIF(Data!$C:$C,C45,Data!$DR:$DR)+SUMIF(Data!$C:$C,C45,Data!$DT:$DT)+SUMIF(Data!$C:$C,C45,Data!$DV:$DV)+SUMIF(Data!$C:$C,C45,Data!$DX:$DX)+SUMIF(Data!$C:$C,C45,Data!$DZ:$DZ)+SUMIF(Data!$C:$C,C45,Data!$EB:$EB)+SUMIF(Data!$C:$C,C45,Data!$ED:$ED)+SUMIF(Data!$C:$C,C45,Data!$EF:$EF)+SUMIF(Data!$C:$C,C45,Data!$EH:$EH)+SUMIF(Data!$C:$C,C45,Data!$EJ:$EJ)+SUMIF(Data!$C:$C,C45,Data!$EL:$EL)+SUMIF(Data!$C:$C,C45,Data!$EN:$EN)+SUMIF(Data!$C:$C,C45,Data!$EP:$EP)+SUMIF(Data!$C:$C,C45,Data!$ER:$ER)+SUMIF(Data!$C:$C,C45,Data!$ET:$ET)</f>
        <v>303.73200000000003</v>
      </c>
      <c r="I45" s="30">
        <f>G45/19</f>
        <v>1954.3661327231132</v>
      </c>
      <c r="J45" s="31">
        <f>H45/19</f>
        <v>15.985894736842107</v>
      </c>
      <c r="K45" s="30">
        <f>IFERROR(INDEX(Data!$ES:$ES,MATCH(C45,Data!$C:$C,0)),0)</f>
        <v>0</v>
      </c>
      <c r="L45" s="31">
        <f>IFERROR(INDEX(Data!$ET:$ET,MATCH(C45,Data!$C:$C,0)),0)</f>
        <v>0</v>
      </c>
      <c r="M45" s="30">
        <f>IFERROR(INDEX(Data!$I$3:$ER$553,MATCH($C45,Data!$C$3:$C$553,0),MATCH(DATE(RIGHT($B$5,4),MID($B$5,4,2),LEFT($B$5,2))-42,Data!$I$1:$ER$1,0)),0)</f>
        <v>400.408695652174</v>
      </c>
      <c r="N45" s="31" cm="1">
        <f t="array" ref="N45">IFERROR(INDEX(Data!$I$3:$ER$553,MATCH($C45,Data!$C$3:$C$553,0),MATCH(DATE(RIGHT($B$5,4),MID($B$5,4,2),LEFT($B$5,2))-42,Data!$I$1:$ER$1,0)+1),0)</f>
        <v>3.07</v>
      </c>
      <c r="O45" s="30">
        <f>IFERROR(INDEX(Data!$I$3:$ER$553,MATCH($C45,Data!$C$3:$C$553,0),MATCH($M$5,Data!$I$1:$ER$1,0)),0)</f>
        <v>2184.8000000000002</v>
      </c>
      <c r="P45" s="31" cm="1">
        <f t="array" ref="P45">IFERROR(INDEX(Data!$I$3:$ER$553,MATCH($C45,Data!$C$3:$C$553,0),MATCH($M$5,Data!$I$1:$ER$1,0)+1),0)</f>
        <v>14.628</v>
      </c>
      <c r="Q45" s="49" t="str">
        <f>IF(R45="","",IF(H45=0,0,R45*(G45/H45)))</f>
        <v/>
      </c>
      <c r="R45" s="50"/>
      <c r="T45" s="65" t="str">
        <f>IF(U40=0,"✓ No SASSA payments in selected week ("&amp;TEXT($T$39,"dd mmm")&amp;" - "&amp;TEXT($T$39+6,"dd mmm")&amp;")","⚠️ "&amp;U40&amp;" SASSA payment(s) in this week!")</f>
        <v>✓ No SASSA payments in selected week (11 May - 17 May)</v>
      </c>
      <c r="U45" s="66"/>
      <c r="V45" s="67"/>
    </row>
    <row r="46" spans="1:22" x14ac:dyDescent="0.35">
      <c r="A46" s="32">
        <v>204</v>
      </c>
      <c r="B46" s="32" t="s">
        <v>532</v>
      </c>
      <c r="C46" s="32">
        <v>34239</v>
      </c>
      <c r="D46" s="32" t="s">
        <v>147</v>
      </c>
      <c r="E46" s="33">
        <v>20260.130434782604</v>
      </c>
      <c r="F46" s="34">
        <v>122.72</v>
      </c>
      <c r="G46" s="33">
        <f>SUMIF(Data!$C:$C,C46,Data!$DI:$DI)+SUMIF(Data!$C:$C,C46,Data!$DK:$DK)+SUMIF(Data!$C:$C,C46,Data!$DM:$DM)+SUMIF(Data!$C:$C,C46,Data!$DO:$DO)+SUMIF(Data!$C:$C,C46,Data!$DQ:$DQ)+SUMIF(Data!$C:$C,C46,Data!$DS:$DS)+SUMIF(Data!$C:$C,C46,Data!$DU:$DU)+SUMIF(Data!$C:$C,C46,Data!$DW:$DW)+SUMIF(Data!$C:$C,C46,Data!$DY:$DY)+SUMIF(Data!$C:$C,C46,Data!$EA:$EA)+SUMIF(Data!$C:$C,C46,Data!$EC:$EC)+SUMIF(Data!$C:$C,C46,Data!$EE:$EE)+SUMIF(Data!$C:$C,C46,Data!$EG:$EG)+SUMIF(Data!$C:$C,C46,Data!$EI:$EI)+SUMIF(Data!$C:$C,C46,Data!$EK:$EK)+SUMIF(Data!$C:$C,C46,Data!$EM:$EM)+SUMIF(Data!$C:$C,C46,Data!$EO:$EO)+SUMIF(Data!$C:$C,C46,Data!$EQ:$EQ)+SUMIF(Data!$C:$C,C46,Data!$ES:$ES)</f>
        <v>29576.426086956515</v>
      </c>
      <c r="H46" s="34">
        <f>SUMIF(Data!$C:$C,C46,Data!$DJ:$DJ)+SUMIF(Data!$C:$C,C46,Data!$DL:$DL)+SUMIF(Data!$C:$C,C46,Data!$DN:$DN)+SUMIF(Data!$C:$C,C46,Data!$DP:$DP)+SUMIF(Data!$C:$C,C46,Data!$DR:$DR)+SUMIF(Data!$C:$C,C46,Data!$DT:$DT)+SUMIF(Data!$C:$C,C46,Data!$DV:$DV)+SUMIF(Data!$C:$C,C46,Data!$DX:$DX)+SUMIF(Data!$C:$C,C46,Data!$DZ:$DZ)+SUMIF(Data!$C:$C,C46,Data!$EB:$EB)+SUMIF(Data!$C:$C,C46,Data!$ED:$ED)+SUMIF(Data!$C:$C,C46,Data!$EF:$EF)+SUMIF(Data!$C:$C,C46,Data!$EH:$EH)+SUMIF(Data!$C:$C,C46,Data!$EJ:$EJ)+SUMIF(Data!$C:$C,C46,Data!$EL:$EL)+SUMIF(Data!$C:$C,C46,Data!$EN:$EN)+SUMIF(Data!$C:$C,C46,Data!$EP:$EP)+SUMIF(Data!$C:$C,C46,Data!$ER:$ER)+SUMIF(Data!$C:$C,C46,Data!$ET:$ET)</f>
        <v>182.11200000000002</v>
      </c>
      <c r="I46" s="33">
        <f>G46/19</f>
        <v>1556.6540045766587</v>
      </c>
      <c r="J46" s="34">
        <f>H46/19</f>
        <v>9.5848421052631583</v>
      </c>
      <c r="K46" s="33">
        <f>IFERROR(INDEX(Data!$ES:$ES,MATCH(C46,Data!$C:$C,0)),0)</f>
        <v>1024.50434782609</v>
      </c>
      <c r="L46" s="34">
        <f>IFERROR(INDEX(Data!$ET:$ET,MATCH(C46,Data!$C:$C,0)),0)</f>
        <v>6.5460000000000003</v>
      </c>
      <c r="M46" s="33">
        <f>IFERROR(INDEX(Data!$I$3:$ER$553,MATCH($C46,Data!$C$3:$C$553,0),MATCH(DATE(RIGHT($B$5,4),MID($B$5,4,2),LEFT($B$5,2))-42,Data!$I$1:$ER$1,0)),0)</f>
        <v>676.03478260869599</v>
      </c>
      <c r="N46" s="34" cm="1">
        <f t="array" ref="N46">IFERROR(INDEX(Data!$I$3:$ER$553,MATCH($C46,Data!$C$3:$C$553,0),MATCH(DATE(RIGHT($B$5,4),MID($B$5,4,2),LEFT($B$5,2))-42,Data!$I$1:$ER$1,0)+1),0)</f>
        <v>4.0919999999999996</v>
      </c>
      <c r="O46" s="33">
        <f>IFERROR(INDEX(Data!$I$3:$ER$553,MATCH($C46,Data!$C$3:$C$553,0),MATCH($M$5,Data!$I$1:$ER$1,0)),0)</f>
        <v>1361.73043478261</v>
      </c>
      <c r="P46" s="34" cm="1">
        <f t="array" ref="P46">IFERROR(INDEX(Data!$I$3:$ER$553,MATCH($C46,Data!$C$3:$C$553,0),MATCH($M$5,Data!$I$1:$ER$1,0)+1),0)</f>
        <v>7.5140000000000002</v>
      </c>
      <c r="Q46" s="49" t="str">
        <f>IF(R46="","",IF(H46=0,0,R46*(G46/H46)))</f>
        <v/>
      </c>
      <c r="R46" s="50"/>
      <c r="T46" s="65" t="str">
        <f>IF(U40&gt;0,"Grant Types: "&amp;U41,"")</f>
        <v/>
      </c>
      <c r="U46" s="66"/>
      <c r="V46" s="67"/>
    </row>
    <row r="47" spans="1:22" x14ac:dyDescent="0.35">
      <c r="A47" s="29">
        <v>204</v>
      </c>
      <c r="B47" s="29" t="s">
        <v>532</v>
      </c>
      <c r="C47" s="29">
        <v>39811</v>
      </c>
      <c r="D47" s="29" t="s">
        <v>152</v>
      </c>
      <c r="E47" s="30">
        <v>26881.513043478251</v>
      </c>
      <c r="F47" s="31">
        <v>164.49599999999998</v>
      </c>
      <c r="G47" s="30">
        <f>SUMIF(Data!$C:$C,C47,Data!$DI:$DI)+SUMIF(Data!$C:$C,C47,Data!$DK:$DK)+SUMIF(Data!$C:$C,C47,Data!$DM:$DM)+SUMIF(Data!$C:$C,C47,Data!$DO:$DO)+SUMIF(Data!$C:$C,C47,Data!$DQ:$DQ)+SUMIF(Data!$C:$C,C47,Data!$DS:$DS)+SUMIF(Data!$C:$C,C47,Data!$DU:$DU)+SUMIF(Data!$C:$C,C47,Data!$DW:$DW)+SUMIF(Data!$C:$C,C47,Data!$DY:$DY)+SUMIF(Data!$C:$C,C47,Data!$EA:$EA)+SUMIF(Data!$C:$C,C47,Data!$EC:$EC)+SUMIF(Data!$C:$C,C47,Data!$EE:$EE)+SUMIF(Data!$C:$C,C47,Data!$EG:$EG)+SUMIF(Data!$C:$C,C47,Data!$EI:$EI)+SUMIF(Data!$C:$C,C47,Data!$EK:$EK)+SUMIF(Data!$C:$C,C47,Data!$EM:$EM)+SUMIF(Data!$C:$C,C47,Data!$EO:$EO)+SUMIF(Data!$C:$C,C47,Data!$EQ:$EQ)+SUMIF(Data!$C:$C,C47,Data!$ES:$ES)</f>
        <v>29434.373913043462</v>
      </c>
      <c r="H47" s="31">
        <f>SUMIF(Data!$C:$C,C47,Data!$DJ:$DJ)+SUMIF(Data!$C:$C,C47,Data!$DL:$DL)+SUMIF(Data!$C:$C,C47,Data!$DN:$DN)+SUMIF(Data!$C:$C,C47,Data!$DP:$DP)+SUMIF(Data!$C:$C,C47,Data!$DR:$DR)+SUMIF(Data!$C:$C,C47,Data!$DT:$DT)+SUMIF(Data!$C:$C,C47,Data!$DV:$DV)+SUMIF(Data!$C:$C,C47,Data!$DX:$DX)+SUMIF(Data!$C:$C,C47,Data!$DZ:$DZ)+SUMIF(Data!$C:$C,C47,Data!$EB:$EB)+SUMIF(Data!$C:$C,C47,Data!$ED:$ED)+SUMIF(Data!$C:$C,C47,Data!$EF:$EF)+SUMIF(Data!$C:$C,C47,Data!$EH:$EH)+SUMIF(Data!$C:$C,C47,Data!$EJ:$EJ)+SUMIF(Data!$C:$C,C47,Data!$EL:$EL)+SUMIF(Data!$C:$C,C47,Data!$EN:$EN)+SUMIF(Data!$C:$C,C47,Data!$EP:$EP)+SUMIF(Data!$C:$C,C47,Data!$ER:$ER)+SUMIF(Data!$C:$C,C47,Data!$ET:$ET)</f>
        <v>157.78599999999997</v>
      </c>
      <c r="I47" s="30">
        <f>G47/19</f>
        <v>1549.1775743707085</v>
      </c>
      <c r="J47" s="31">
        <f>H47/19</f>
        <v>8.304526315789472</v>
      </c>
      <c r="K47" s="30">
        <f>IFERROR(INDEX(Data!$ES:$ES,MATCH(C47,Data!$C:$C,0)),0)</f>
        <v>2036.1652173913001</v>
      </c>
      <c r="L47" s="31">
        <f>IFERROR(INDEX(Data!$ET:$ET,MATCH(C47,Data!$C:$C,0)),0)</f>
        <v>13.01</v>
      </c>
      <c r="M47" s="30">
        <f>IFERROR(INDEX(Data!$I$3:$ER$553,MATCH($C47,Data!$C$3:$C$553,0),MATCH(DATE(RIGHT($B$5,4),MID($B$5,4,2),LEFT($B$5,2))-42,Data!$I$1:$ER$1,0)),0)</f>
        <v>1165.3391304347799</v>
      </c>
      <c r="N47" s="31" cm="1">
        <f t="array" ref="N47">IFERROR(INDEX(Data!$I$3:$ER$553,MATCH($C47,Data!$C$3:$C$553,0),MATCH(DATE(RIGHT($B$5,4),MID($B$5,4,2),LEFT($B$5,2))-42,Data!$I$1:$ER$1,0)+1),0)</f>
        <v>6.0919999999999996</v>
      </c>
      <c r="O47" s="30">
        <f>IFERROR(INDEX(Data!$I$3:$ER$553,MATCH($C47,Data!$C$3:$C$553,0),MATCH($M$5,Data!$I$1:$ER$1,0)),0)</f>
        <v>1372.77391304348</v>
      </c>
      <c r="P47" s="31" cm="1">
        <f t="array" ref="P47">IFERROR(INDEX(Data!$I$3:$ER$553,MATCH($C47,Data!$C$3:$C$553,0),MATCH($M$5,Data!$I$1:$ER$1,0)+1),0)</f>
        <v>7.8940000000000001</v>
      </c>
      <c r="Q47" s="49" t="str">
        <f>IF(R47="","",IF(H47=0,0,R47*(G47/H47)))</f>
        <v/>
      </c>
      <c r="R47" s="50"/>
      <c r="T47" s="65" t="str">
        <f>IF(U40&gt;0,"Payment Dates: "&amp;U42,"")</f>
        <v/>
      </c>
      <c r="U47" s="66"/>
      <c r="V47" s="67"/>
    </row>
    <row r="48" spans="1:22" x14ac:dyDescent="0.35">
      <c r="A48" s="32">
        <v>204</v>
      </c>
      <c r="B48" s="32" t="s">
        <v>532</v>
      </c>
      <c r="C48" s="32">
        <v>34242</v>
      </c>
      <c r="D48" s="32" t="s">
        <v>150</v>
      </c>
      <c r="E48" s="33">
        <v>27940.130434782615</v>
      </c>
      <c r="F48" s="34">
        <v>156.75</v>
      </c>
      <c r="G48" s="33">
        <f>SUMIF(Data!$C:$C,C48,Data!$DI:$DI)+SUMIF(Data!$C:$C,C48,Data!$DK:$DK)+SUMIF(Data!$C:$C,C48,Data!$DM:$DM)+SUMIF(Data!$C:$C,C48,Data!$DO:$DO)+SUMIF(Data!$C:$C,C48,Data!$DQ:$DQ)+SUMIF(Data!$C:$C,C48,Data!$DS:$DS)+SUMIF(Data!$C:$C,C48,Data!$DU:$DU)+SUMIF(Data!$C:$C,C48,Data!$DW:$DW)+SUMIF(Data!$C:$C,C48,Data!$DY:$DY)+SUMIF(Data!$C:$C,C48,Data!$EA:$EA)+SUMIF(Data!$C:$C,C48,Data!$EC:$EC)+SUMIF(Data!$C:$C,C48,Data!$EE:$EE)+SUMIF(Data!$C:$C,C48,Data!$EG:$EG)+SUMIF(Data!$C:$C,C48,Data!$EI:$EI)+SUMIF(Data!$C:$C,C48,Data!$EK:$EK)+SUMIF(Data!$C:$C,C48,Data!$EM:$EM)+SUMIF(Data!$C:$C,C48,Data!$EO:$EO)+SUMIF(Data!$C:$C,C48,Data!$EQ:$EQ)+SUMIF(Data!$C:$C,C48,Data!$ES:$ES)</f>
        <v>28525.704347826086</v>
      </c>
      <c r="H48" s="34">
        <f>SUMIF(Data!$C:$C,C48,Data!$DJ:$DJ)+SUMIF(Data!$C:$C,C48,Data!$DL:$DL)+SUMIF(Data!$C:$C,C48,Data!$DN:$DN)+SUMIF(Data!$C:$C,C48,Data!$DP:$DP)+SUMIF(Data!$C:$C,C48,Data!$DR:$DR)+SUMIF(Data!$C:$C,C48,Data!$DT:$DT)+SUMIF(Data!$C:$C,C48,Data!$DV:$DV)+SUMIF(Data!$C:$C,C48,Data!$DX:$DX)+SUMIF(Data!$C:$C,C48,Data!$DZ:$DZ)+SUMIF(Data!$C:$C,C48,Data!$EB:$EB)+SUMIF(Data!$C:$C,C48,Data!$ED:$ED)+SUMIF(Data!$C:$C,C48,Data!$EF:$EF)+SUMIF(Data!$C:$C,C48,Data!$EH:$EH)+SUMIF(Data!$C:$C,C48,Data!$EJ:$EJ)+SUMIF(Data!$C:$C,C48,Data!$EL:$EL)+SUMIF(Data!$C:$C,C48,Data!$EN:$EN)+SUMIF(Data!$C:$C,C48,Data!$EP:$EP)+SUMIF(Data!$C:$C,C48,Data!$ER:$ER)+SUMIF(Data!$C:$C,C48,Data!$ET:$ET)</f>
        <v>142.83700000000002</v>
      </c>
      <c r="I48" s="33">
        <f>G48/19</f>
        <v>1501.3528604118992</v>
      </c>
      <c r="J48" s="34">
        <f>H48/19</f>
        <v>7.5177368421052639</v>
      </c>
      <c r="K48" s="33">
        <f>IFERROR(INDEX(Data!$ES:$ES,MATCH(C48,Data!$C:$C,0)),0)</f>
        <v>1422.8521739130399</v>
      </c>
      <c r="L48" s="34">
        <f>IFERROR(INDEX(Data!$ET:$ET,MATCH(C48,Data!$C:$C,0)),0)</f>
        <v>9.0909999999999993</v>
      </c>
      <c r="M48" s="33">
        <f>IFERROR(INDEX(Data!$I$3:$ER$553,MATCH($C48,Data!$C$3:$C$553,0),MATCH(DATE(RIGHT($B$5,4),MID($B$5,4,2),LEFT($B$5,2))-42,Data!$I$1:$ER$1,0)),0)</f>
        <v>1418.0347826087</v>
      </c>
      <c r="N48" s="34" cm="1">
        <f t="array" ref="N48">IFERROR(INDEX(Data!$I$3:$ER$553,MATCH($C48,Data!$C$3:$C$553,0),MATCH(DATE(RIGHT($B$5,4),MID($B$5,4,2),LEFT($B$5,2))-42,Data!$I$1:$ER$1,0)+1),0)</f>
        <v>6.9379999999999997</v>
      </c>
      <c r="O48" s="33">
        <f>IFERROR(INDEX(Data!$I$3:$ER$553,MATCH($C48,Data!$C$3:$C$553,0),MATCH($M$5,Data!$I$1:$ER$1,0)),0)</f>
        <v>2195.0782608695599</v>
      </c>
      <c r="P48" s="34" cm="1">
        <f t="array" ref="P48">IFERROR(INDEX(Data!$I$3:$ER$553,MATCH($C48,Data!$C$3:$C$553,0),MATCH($M$5,Data!$I$1:$ER$1,0)+1),0)</f>
        <v>10.976000000000001</v>
      </c>
      <c r="Q48" s="49" t="str">
        <f>IF(R48="","",IF(H48=0,0,R48*(G48/H48)))</f>
        <v/>
      </c>
      <c r="R48" s="50"/>
      <c r="T48" s="68" t="str">
        <f>IF(U40&gt;0,"💡 Expect higher foot traffic &amp; sales during SASSA week!","")</f>
        <v/>
      </c>
      <c r="U48" s="70"/>
      <c r="V48" s="71"/>
    </row>
    <row r="49" spans="1:20" x14ac:dyDescent="0.35">
      <c r="A49" s="29">
        <v>204</v>
      </c>
      <c r="B49" s="29" t="s">
        <v>532</v>
      </c>
      <c r="C49" s="29">
        <v>55100</v>
      </c>
      <c r="D49" s="29" t="s">
        <v>164</v>
      </c>
      <c r="E49" s="30">
        <v>0</v>
      </c>
      <c r="F49" s="31">
        <v>0</v>
      </c>
      <c r="G49" s="30">
        <f>SUMIF(Data!$C:$C,C49,Data!$DI:$DI)+SUMIF(Data!$C:$C,C49,Data!$DK:$DK)+SUMIF(Data!$C:$C,C49,Data!$DM:$DM)+SUMIF(Data!$C:$C,C49,Data!$DO:$DO)+SUMIF(Data!$C:$C,C49,Data!$DQ:$DQ)+SUMIF(Data!$C:$C,C49,Data!$DS:$DS)+SUMIF(Data!$C:$C,C49,Data!$DU:$DU)+SUMIF(Data!$C:$C,C49,Data!$DW:$DW)+SUMIF(Data!$C:$C,C49,Data!$DY:$DY)+SUMIF(Data!$C:$C,C49,Data!$EA:$EA)+SUMIF(Data!$C:$C,C49,Data!$EC:$EC)+SUMIF(Data!$C:$C,C49,Data!$EE:$EE)+SUMIF(Data!$C:$C,C49,Data!$EG:$EG)+SUMIF(Data!$C:$C,C49,Data!$EI:$EI)+SUMIF(Data!$C:$C,C49,Data!$EK:$EK)+SUMIF(Data!$C:$C,C49,Data!$EM:$EM)+SUMIF(Data!$C:$C,C49,Data!$EO:$EO)+SUMIF(Data!$C:$C,C49,Data!$EQ:$EQ)+SUMIF(Data!$C:$C,C49,Data!$ES:$ES)</f>
        <v>18316.982608695642</v>
      </c>
      <c r="H49" s="31">
        <f>SUMIF(Data!$C:$C,C49,Data!$DJ:$DJ)+SUMIF(Data!$C:$C,C49,Data!$DL:$DL)+SUMIF(Data!$C:$C,C49,Data!$DN:$DN)+SUMIF(Data!$C:$C,C49,Data!$DP:$DP)+SUMIF(Data!$C:$C,C49,Data!$DR:$DR)+SUMIF(Data!$C:$C,C49,Data!$DT:$DT)+SUMIF(Data!$C:$C,C49,Data!$DV:$DV)+SUMIF(Data!$C:$C,C49,Data!$DX:$DX)+SUMIF(Data!$C:$C,C49,Data!$DZ:$DZ)+SUMIF(Data!$C:$C,C49,Data!$EB:$EB)+SUMIF(Data!$C:$C,C49,Data!$ED:$ED)+SUMIF(Data!$C:$C,C49,Data!$EF:$EF)+SUMIF(Data!$C:$C,C49,Data!$EH:$EH)+SUMIF(Data!$C:$C,C49,Data!$EJ:$EJ)+SUMIF(Data!$C:$C,C49,Data!$EL:$EL)+SUMIF(Data!$C:$C,C49,Data!$EN:$EN)+SUMIF(Data!$C:$C,C49,Data!$EP:$EP)+SUMIF(Data!$C:$C,C49,Data!$ER:$ER)+SUMIF(Data!$C:$C,C49,Data!$ET:$ET)</f>
        <v>148.31399999999999</v>
      </c>
      <c r="I49" s="30">
        <f>G49/19</f>
        <v>964.0517162471391</v>
      </c>
      <c r="J49" s="31">
        <f>H49/19</f>
        <v>7.806</v>
      </c>
      <c r="K49" s="30">
        <f>IFERROR(INDEX(Data!$ES:$ES,MATCH(C49,Data!$C:$C,0)),0)</f>
        <v>0</v>
      </c>
      <c r="L49" s="31">
        <f>IFERROR(INDEX(Data!$ET:$ET,MATCH(C49,Data!$C:$C,0)),0)</f>
        <v>0</v>
      </c>
      <c r="M49" s="30">
        <f>IFERROR(INDEX(Data!$I$3:$ER$553,MATCH($C49,Data!$C$3:$C$553,0),MATCH(DATE(RIGHT($B$5,4),MID($B$5,4,2),LEFT($B$5,2))-42,Data!$I$1:$ER$1,0)),0)</f>
        <v>0</v>
      </c>
      <c r="N49" s="31" cm="1">
        <f t="array" ref="N49">IFERROR(INDEX(Data!$I$3:$ER$553,MATCH($C49,Data!$C$3:$C$553,0),MATCH(DATE(RIGHT($B$5,4),MID($B$5,4,2),LEFT($B$5,2))-42,Data!$I$1:$ER$1,0)+1),0)</f>
        <v>0</v>
      </c>
      <c r="O49" s="30">
        <f>IFERROR(INDEX(Data!$I$3:$ER$553,MATCH($C49,Data!$C$3:$C$553,0),MATCH($M$5,Data!$I$1:$ER$1,0)),0)</f>
        <v>0</v>
      </c>
      <c r="P49" s="31" cm="1">
        <f t="array" ref="P49">IFERROR(INDEX(Data!$I$3:$ER$553,MATCH($C49,Data!$C$3:$C$553,0),MATCH($M$5,Data!$I$1:$ER$1,0)+1),0)</f>
        <v>0</v>
      </c>
      <c r="Q49" s="49" t="str">
        <f>IF(R49="","",IF(H49=0,0,R49*(G49/H49)))</f>
        <v/>
      </c>
      <c r="R49" s="50"/>
      <c r="T49" s="69" t="s">
        <v>724</v>
      </c>
    </row>
    <row r="50" spans="1:20" x14ac:dyDescent="0.35">
      <c r="A50" s="32">
        <v>204</v>
      </c>
      <c r="B50" s="32" t="s">
        <v>532</v>
      </c>
      <c r="C50" s="32">
        <v>34250</v>
      </c>
      <c r="D50" s="32" t="s">
        <v>155</v>
      </c>
      <c r="E50" s="33">
        <v>10582.452173913043</v>
      </c>
      <c r="F50" s="34">
        <v>70.938999999999993</v>
      </c>
      <c r="G50" s="33">
        <f>SUMIF(Data!$C:$C,C50,Data!$DI:$DI)+SUMIF(Data!$C:$C,C50,Data!$DK:$DK)+SUMIF(Data!$C:$C,C50,Data!$DM:$DM)+SUMIF(Data!$C:$C,C50,Data!$DO:$DO)+SUMIF(Data!$C:$C,C50,Data!$DQ:$DQ)+SUMIF(Data!$C:$C,C50,Data!$DS:$DS)+SUMIF(Data!$C:$C,C50,Data!$DU:$DU)+SUMIF(Data!$C:$C,C50,Data!$DW:$DW)+SUMIF(Data!$C:$C,C50,Data!$DY:$DY)+SUMIF(Data!$C:$C,C50,Data!$EA:$EA)+SUMIF(Data!$C:$C,C50,Data!$EC:$EC)+SUMIF(Data!$C:$C,C50,Data!$EE:$EE)+SUMIF(Data!$C:$C,C50,Data!$EG:$EG)+SUMIF(Data!$C:$C,C50,Data!$EI:$EI)+SUMIF(Data!$C:$C,C50,Data!$EK:$EK)+SUMIF(Data!$C:$C,C50,Data!$EM:$EM)+SUMIF(Data!$C:$C,C50,Data!$EO:$EO)+SUMIF(Data!$C:$C,C50,Data!$EQ:$EQ)+SUMIF(Data!$C:$C,C50,Data!$ES:$ES)</f>
        <v>15577.869565217392</v>
      </c>
      <c r="H50" s="34">
        <f>SUMIF(Data!$C:$C,C50,Data!$DJ:$DJ)+SUMIF(Data!$C:$C,C50,Data!$DL:$DL)+SUMIF(Data!$C:$C,C50,Data!$DN:$DN)+SUMIF(Data!$C:$C,C50,Data!$DP:$DP)+SUMIF(Data!$C:$C,C50,Data!$DR:$DR)+SUMIF(Data!$C:$C,C50,Data!$DT:$DT)+SUMIF(Data!$C:$C,C50,Data!$DV:$DV)+SUMIF(Data!$C:$C,C50,Data!$DX:$DX)+SUMIF(Data!$C:$C,C50,Data!$DZ:$DZ)+SUMIF(Data!$C:$C,C50,Data!$EB:$EB)+SUMIF(Data!$C:$C,C50,Data!$ED:$ED)+SUMIF(Data!$C:$C,C50,Data!$EF:$EF)+SUMIF(Data!$C:$C,C50,Data!$EH:$EH)+SUMIF(Data!$C:$C,C50,Data!$EJ:$EJ)+SUMIF(Data!$C:$C,C50,Data!$EL:$EL)+SUMIF(Data!$C:$C,C50,Data!$EN:$EN)+SUMIF(Data!$C:$C,C50,Data!$EP:$EP)+SUMIF(Data!$C:$C,C50,Data!$ER:$ER)+SUMIF(Data!$C:$C,C50,Data!$ET:$ET)</f>
        <v>97.144000000000005</v>
      </c>
      <c r="I50" s="33">
        <f>G50/19</f>
        <v>819.88787185354693</v>
      </c>
      <c r="J50" s="34">
        <f>H50/19</f>
        <v>5.1128421052631579</v>
      </c>
      <c r="K50" s="33">
        <f>IFERROR(INDEX(Data!$ES:$ES,MATCH(C50,Data!$C:$C,0)),0)</f>
        <v>391.77391304347799</v>
      </c>
      <c r="L50" s="34">
        <f>IFERROR(INDEX(Data!$ET:$ET,MATCH(C50,Data!$C:$C,0)),0)</f>
        <v>2.56</v>
      </c>
      <c r="M50" s="33">
        <f>IFERROR(INDEX(Data!$I$3:$ER$553,MATCH($C50,Data!$C$3:$C$553,0),MATCH(DATE(RIGHT($B$5,4),MID($B$5,4,2),LEFT($B$5,2))-42,Data!$I$1:$ER$1,0)),0)</f>
        <v>535.02608695652202</v>
      </c>
      <c r="N50" s="34" cm="1">
        <f t="array" ref="N50">IFERROR(INDEX(Data!$I$3:$ER$553,MATCH($C50,Data!$C$3:$C$553,0),MATCH(DATE(RIGHT($B$5,4),MID($B$5,4,2),LEFT($B$5,2))-42,Data!$I$1:$ER$1,0)+1),0)</f>
        <v>3.3420000000000001</v>
      </c>
      <c r="O50" s="33">
        <f>IFERROR(INDEX(Data!$I$3:$ER$553,MATCH($C50,Data!$C$3:$C$553,0),MATCH($M$5,Data!$I$1:$ER$1,0)),0)</f>
        <v>1203.8260869565199</v>
      </c>
      <c r="P50" s="34" cm="1">
        <f t="array" ref="P50">IFERROR(INDEX(Data!$I$3:$ER$553,MATCH($C50,Data!$C$3:$C$553,0),MATCH($M$5,Data!$I$1:$ER$1,0)+1),0)</f>
        <v>8.1739999999999995</v>
      </c>
      <c r="Q50" s="49" t="str">
        <f>IF(R50="","",IF(H50=0,0,R50*(G50/H50)))</f>
        <v/>
      </c>
      <c r="R50" s="50"/>
    </row>
    <row r="51" spans="1:20" x14ac:dyDescent="0.35">
      <c r="A51" s="29">
        <v>204</v>
      </c>
      <c r="B51" s="29" t="s">
        <v>532</v>
      </c>
      <c r="C51" s="29">
        <v>45848</v>
      </c>
      <c r="D51" s="29" t="s">
        <v>161</v>
      </c>
      <c r="E51" s="30">
        <v>3184.7043478260871</v>
      </c>
      <c r="F51" s="31">
        <v>22.316000000000003</v>
      </c>
      <c r="G51" s="30">
        <f>SUMIF(Data!$C:$C,C51,Data!$DI:$DI)+SUMIF(Data!$C:$C,C51,Data!$DK:$DK)+SUMIF(Data!$C:$C,C51,Data!$DM:$DM)+SUMIF(Data!$C:$C,C51,Data!$DO:$DO)+SUMIF(Data!$C:$C,C51,Data!$DQ:$DQ)+SUMIF(Data!$C:$C,C51,Data!$DS:$DS)+SUMIF(Data!$C:$C,C51,Data!$DU:$DU)+SUMIF(Data!$C:$C,C51,Data!$DW:$DW)+SUMIF(Data!$C:$C,C51,Data!$DY:$DY)+SUMIF(Data!$C:$C,C51,Data!$EA:$EA)+SUMIF(Data!$C:$C,C51,Data!$EC:$EC)+SUMIF(Data!$C:$C,C51,Data!$EE:$EE)+SUMIF(Data!$C:$C,C51,Data!$EG:$EG)+SUMIF(Data!$C:$C,C51,Data!$EI:$EI)+SUMIF(Data!$C:$C,C51,Data!$EK:$EK)+SUMIF(Data!$C:$C,C51,Data!$EM:$EM)+SUMIF(Data!$C:$C,C51,Data!$EO:$EO)+SUMIF(Data!$C:$C,C51,Data!$EQ:$EQ)+SUMIF(Data!$C:$C,C51,Data!$ES:$ES)</f>
        <v>10514.869565217388</v>
      </c>
      <c r="H51" s="31">
        <f>SUMIF(Data!$C:$C,C51,Data!$DJ:$DJ)+SUMIF(Data!$C:$C,C51,Data!$DL:$DL)+SUMIF(Data!$C:$C,C51,Data!$DN:$DN)+SUMIF(Data!$C:$C,C51,Data!$DP:$DP)+SUMIF(Data!$C:$C,C51,Data!$DR:$DR)+SUMIF(Data!$C:$C,C51,Data!$DT:$DT)+SUMIF(Data!$C:$C,C51,Data!$DV:$DV)+SUMIF(Data!$C:$C,C51,Data!$DX:$DX)+SUMIF(Data!$C:$C,C51,Data!$DZ:$DZ)+SUMIF(Data!$C:$C,C51,Data!$EB:$EB)+SUMIF(Data!$C:$C,C51,Data!$ED:$ED)+SUMIF(Data!$C:$C,C51,Data!$EF:$EF)+SUMIF(Data!$C:$C,C51,Data!$EH:$EH)+SUMIF(Data!$C:$C,C51,Data!$EJ:$EJ)+SUMIF(Data!$C:$C,C51,Data!$EL:$EL)+SUMIF(Data!$C:$C,C51,Data!$EN:$EN)+SUMIF(Data!$C:$C,C51,Data!$EP:$EP)+SUMIF(Data!$C:$C,C51,Data!$ER:$ER)+SUMIF(Data!$C:$C,C51,Data!$ET:$ET)</f>
        <v>69.383999999999986</v>
      </c>
      <c r="I51" s="30">
        <f>G51/19</f>
        <v>553.41418764302045</v>
      </c>
      <c r="J51" s="31">
        <f>H51/19</f>
        <v>3.6517894736842096</v>
      </c>
      <c r="K51" s="30">
        <f>IFERROR(INDEX(Data!$ES:$ES,MATCH(C51,Data!$C:$C,0)),0)</f>
        <v>632.82608695652198</v>
      </c>
      <c r="L51" s="31">
        <f>IFERROR(INDEX(Data!$ET:$ET,MATCH(C51,Data!$C:$C,0)),0)</f>
        <v>4.4580000000000002</v>
      </c>
      <c r="M51" s="30">
        <f>IFERROR(INDEX(Data!$I$3:$ER$553,MATCH($C51,Data!$C$3:$C$553,0),MATCH(DATE(RIGHT($B$5,4),MID($B$5,4,2),LEFT($B$5,2))-42,Data!$I$1:$ER$1,0)),0)</f>
        <v>737.61739130434796</v>
      </c>
      <c r="N51" s="31" cm="1">
        <f t="array" ref="N51">IFERROR(INDEX(Data!$I$3:$ER$553,MATCH($C51,Data!$C$3:$C$553,0),MATCH(DATE(RIGHT($B$5,4),MID($B$5,4,2),LEFT($B$5,2))-42,Data!$I$1:$ER$1,0)+1),0)</f>
        <v>4.82</v>
      </c>
      <c r="O51" s="30">
        <f>IFERROR(INDEX(Data!$I$3:$ER$553,MATCH($C51,Data!$C$3:$C$553,0),MATCH($M$5,Data!$I$1:$ER$1,0)),0)</f>
        <v>176.95652173913001</v>
      </c>
      <c r="P51" s="31" cm="1">
        <f t="array" ref="P51">IFERROR(INDEX(Data!$I$3:$ER$553,MATCH($C51,Data!$C$3:$C$553,0),MATCH($M$5,Data!$I$1:$ER$1,0)+1),0)</f>
        <v>1.272</v>
      </c>
      <c r="Q51" s="49" t="str">
        <f>IF(R51="","",IF(H51=0,0,R51*(G51/H51)))</f>
        <v/>
      </c>
      <c r="R51" s="50"/>
    </row>
    <row r="52" spans="1:20" x14ac:dyDescent="0.35">
      <c r="A52" s="32">
        <v>204</v>
      </c>
      <c r="B52" s="32" t="s">
        <v>532</v>
      </c>
      <c r="C52" s="32">
        <v>34241</v>
      </c>
      <c r="D52" s="32" t="s">
        <v>149</v>
      </c>
      <c r="E52" s="33">
        <v>1382.6695652173908</v>
      </c>
      <c r="F52" s="34">
        <v>9.1840000000000011</v>
      </c>
      <c r="G52" s="33">
        <f>SUMIF(Data!$C:$C,C52,Data!$DI:$DI)+SUMIF(Data!$C:$C,C52,Data!$DK:$DK)+SUMIF(Data!$C:$C,C52,Data!$DM:$DM)+SUMIF(Data!$C:$C,C52,Data!$DO:$DO)+SUMIF(Data!$C:$C,C52,Data!$DQ:$DQ)+SUMIF(Data!$C:$C,C52,Data!$DS:$DS)+SUMIF(Data!$C:$C,C52,Data!$DU:$DU)+SUMIF(Data!$C:$C,C52,Data!$DW:$DW)+SUMIF(Data!$C:$C,C52,Data!$DY:$DY)+SUMIF(Data!$C:$C,C52,Data!$EA:$EA)+SUMIF(Data!$C:$C,C52,Data!$EC:$EC)+SUMIF(Data!$C:$C,C52,Data!$EE:$EE)+SUMIF(Data!$C:$C,C52,Data!$EG:$EG)+SUMIF(Data!$C:$C,C52,Data!$EI:$EI)+SUMIF(Data!$C:$C,C52,Data!$EK:$EK)+SUMIF(Data!$C:$C,C52,Data!$EM:$EM)+SUMIF(Data!$C:$C,C52,Data!$EO:$EO)+SUMIF(Data!$C:$C,C52,Data!$EQ:$EQ)+SUMIF(Data!$C:$C,C52,Data!$ES:$ES)</f>
        <v>7756.2000000000035</v>
      </c>
      <c r="H52" s="34">
        <f>SUMIF(Data!$C:$C,C52,Data!$DJ:$DJ)+SUMIF(Data!$C:$C,C52,Data!$DL:$DL)+SUMIF(Data!$C:$C,C52,Data!$DN:$DN)+SUMIF(Data!$C:$C,C52,Data!$DP:$DP)+SUMIF(Data!$C:$C,C52,Data!$DR:$DR)+SUMIF(Data!$C:$C,C52,Data!$DT:$DT)+SUMIF(Data!$C:$C,C52,Data!$DV:$DV)+SUMIF(Data!$C:$C,C52,Data!$DX:$DX)+SUMIF(Data!$C:$C,C52,Data!$DZ:$DZ)+SUMIF(Data!$C:$C,C52,Data!$EB:$EB)+SUMIF(Data!$C:$C,C52,Data!$ED:$ED)+SUMIF(Data!$C:$C,C52,Data!$EF:$EF)+SUMIF(Data!$C:$C,C52,Data!$EH:$EH)+SUMIF(Data!$C:$C,C52,Data!$EJ:$EJ)+SUMIF(Data!$C:$C,C52,Data!$EL:$EL)+SUMIF(Data!$C:$C,C52,Data!$EN:$EN)+SUMIF(Data!$C:$C,C52,Data!$EP:$EP)+SUMIF(Data!$C:$C,C52,Data!$ER:$ER)+SUMIF(Data!$C:$C,C52,Data!$ET:$ET)</f>
        <v>44.629999999999988</v>
      </c>
      <c r="I52" s="33">
        <f>G52/19</f>
        <v>408.22105263157914</v>
      </c>
      <c r="J52" s="34">
        <f>H52/19</f>
        <v>2.3489473684210522</v>
      </c>
      <c r="K52" s="33">
        <f>IFERROR(INDEX(Data!$ES:$ES,MATCH(C52,Data!$C:$C,0)),0)</f>
        <v>495.269565217391</v>
      </c>
      <c r="L52" s="34">
        <f>IFERROR(INDEX(Data!$ET:$ET,MATCH(C52,Data!$C:$C,0)),0)</f>
        <v>2.8479999999999999</v>
      </c>
      <c r="M52" s="33">
        <f>IFERROR(INDEX(Data!$I$3:$ER$553,MATCH($C52,Data!$C$3:$C$553,0),MATCH(DATE(RIGHT($B$5,4),MID($B$5,4,2),LEFT($B$5,2))-42,Data!$I$1:$ER$1,0)),0)</f>
        <v>242.426086956522</v>
      </c>
      <c r="N52" s="34" cm="1">
        <f t="array" ref="N52">IFERROR(INDEX(Data!$I$3:$ER$553,MATCH($C52,Data!$C$3:$C$553,0),MATCH(DATE(RIGHT($B$5,4),MID($B$5,4,2),LEFT($B$5,2))-42,Data!$I$1:$ER$1,0)+1),0)</f>
        <v>1.3939999999999999</v>
      </c>
      <c r="O52" s="33">
        <f>IFERROR(INDEX(Data!$I$3:$ER$553,MATCH($C52,Data!$C$3:$C$553,0),MATCH($M$5,Data!$I$1:$ER$1,0)),0)</f>
        <v>0</v>
      </c>
      <c r="P52" s="34" cm="1">
        <f t="array" ref="P52">IFERROR(INDEX(Data!$I$3:$ER$553,MATCH($C52,Data!$C$3:$C$553,0),MATCH($M$5,Data!$I$1:$ER$1,0)+1),0)</f>
        <v>0</v>
      </c>
      <c r="Q52" s="49" t="str">
        <f>IF(R52="","",IF(H52=0,0,R52*(G52/H52)))</f>
        <v/>
      </c>
      <c r="R52" s="50"/>
    </row>
    <row r="53" spans="1:20" x14ac:dyDescent="0.35">
      <c r="A53" s="29">
        <v>204</v>
      </c>
      <c r="B53" s="29" t="s">
        <v>532</v>
      </c>
      <c r="C53" s="29">
        <v>34249</v>
      </c>
      <c r="D53" s="29" t="s">
        <v>154</v>
      </c>
      <c r="E53" s="30">
        <v>5236.9826086956518</v>
      </c>
      <c r="F53" s="31">
        <v>34.618000000000002</v>
      </c>
      <c r="G53" s="30">
        <f>SUMIF(Data!$C:$C,C53,Data!$DI:$DI)+SUMIF(Data!$C:$C,C53,Data!$DK:$DK)+SUMIF(Data!$C:$C,C53,Data!$DM:$DM)+SUMIF(Data!$C:$C,C53,Data!$DO:$DO)+SUMIF(Data!$C:$C,C53,Data!$DQ:$DQ)+SUMIF(Data!$C:$C,C53,Data!$DS:$DS)+SUMIF(Data!$C:$C,C53,Data!$DU:$DU)+SUMIF(Data!$C:$C,C53,Data!$DW:$DW)+SUMIF(Data!$C:$C,C53,Data!$DY:$DY)+SUMIF(Data!$C:$C,C53,Data!$EA:$EA)+SUMIF(Data!$C:$C,C53,Data!$EC:$EC)+SUMIF(Data!$C:$C,C53,Data!$EE:$EE)+SUMIF(Data!$C:$C,C53,Data!$EG:$EG)+SUMIF(Data!$C:$C,C53,Data!$EI:$EI)+SUMIF(Data!$C:$C,C53,Data!$EK:$EK)+SUMIF(Data!$C:$C,C53,Data!$EM:$EM)+SUMIF(Data!$C:$C,C53,Data!$EO:$EO)+SUMIF(Data!$C:$C,C53,Data!$EQ:$EQ)+SUMIF(Data!$C:$C,C53,Data!$ES:$ES)</f>
        <v>6099.9565217391291</v>
      </c>
      <c r="H53" s="31">
        <f>SUMIF(Data!$C:$C,C53,Data!$DJ:$DJ)+SUMIF(Data!$C:$C,C53,Data!$DL:$DL)+SUMIF(Data!$C:$C,C53,Data!$DN:$DN)+SUMIF(Data!$C:$C,C53,Data!$DP:$DP)+SUMIF(Data!$C:$C,C53,Data!$DR:$DR)+SUMIF(Data!$C:$C,C53,Data!$DT:$DT)+SUMIF(Data!$C:$C,C53,Data!$DV:$DV)+SUMIF(Data!$C:$C,C53,Data!$DX:$DX)+SUMIF(Data!$C:$C,C53,Data!$DZ:$DZ)+SUMIF(Data!$C:$C,C53,Data!$EB:$EB)+SUMIF(Data!$C:$C,C53,Data!$ED:$ED)+SUMIF(Data!$C:$C,C53,Data!$EF:$EF)+SUMIF(Data!$C:$C,C53,Data!$EH:$EH)+SUMIF(Data!$C:$C,C53,Data!$EJ:$EJ)+SUMIF(Data!$C:$C,C53,Data!$EL:$EL)+SUMIF(Data!$C:$C,C53,Data!$EN:$EN)+SUMIF(Data!$C:$C,C53,Data!$EP:$EP)+SUMIF(Data!$C:$C,C53,Data!$ER:$ER)+SUMIF(Data!$C:$C,C53,Data!$ET:$ET)</f>
        <v>39.189000000000007</v>
      </c>
      <c r="I53" s="30">
        <f>G53/19</f>
        <v>321.05034324942784</v>
      </c>
      <c r="J53" s="31">
        <f>H53/19</f>
        <v>2.0625789473684213</v>
      </c>
      <c r="K53" s="30">
        <f>IFERROR(INDEX(Data!$ES:$ES,MATCH(C53,Data!$C:$C,0)),0)</f>
        <v>376.33913043478299</v>
      </c>
      <c r="L53" s="31">
        <f>IFERROR(INDEX(Data!$ET:$ET,MATCH(C53,Data!$C:$C,0)),0)</f>
        <v>2.4049999999999998</v>
      </c>
      <c r="M53" s="30">
        <f>IFERROR(INDEX(Data!$I$3:$ER$553,MATCH($C53,Data!$C$3:$C$553,0),MATCH(DATE(RIGHT($B$5,4),MID($B$5,4,2),LEFT($B$5,2))-42,Data!$I$1:$ER$1,0)),0)</f>
        <v>244.15652173913</v>
      </c>
      <c r="N53" s="31" cm="1">
        <f t="array" ref="N53">IFERROR(INDEX(Data!$I$3:$ER$553,MATCH($C53,Data!$C$3:$C$553,0),MATCH(DATE(RIGHT($B$5,4),MID($B$5,4,2),LEFT($B$5,2))-42,Data!$I$1:$ER$1,0)+1),0)</f>
        <v>1.56</v>
      </c>
      <c r="O53" s="30">
        <f>IFERROR(INDEX(Data!$I$3:$ER$553,MATCH($C53,Data!$C$3:$C$553,0),MATCH($M$5,Data!$I$1:$ER$1,0)),0)</f>
        <v>119.286956521739</v>
      </c>
      <c r="P53" s="31" cm="1">
        <f t="array" ref="P53">IFERROR(INDEX(Data!$I$3:$ER$553,MATCH($C53,Data!$C$3:$C$553,0),MATCH($M$5,Data!$I$1:$ER$1,0)+1),0)</f>
        <v>0.72199999999999998</v>
      </c>
      <c r="Q53" s="49" t="str">
        <f>IF(R53="","",IF(H53=0,0,R53*(G53/H53)))</f>
        <v/>
      </c>
      <c r="R53" s="50"/>
    </row>
    <row r="54" spans="1:20" x14ac:dyDescent="0.35">
      <c r="A54" s="32">
        <v>204</v>
      </c>
      <c r="B54" s="32" t="s">
        <v>532</v>
      </c>
      <c r="C54" s="32">
        <v>63475</v>
      </c>
      <c r="D54" s="32" t="s">
        <v>163</v>
      </c>
      <c r="E54" s="33">
        <v>0</v>
      </c>
      <c r="F54" s="34">
        <v>0</v>
      </c>
      <c r="G54" s="33">
        <f>SUMIF(Data!$C:$C,C54,Data!$DI:$DI)+SUMIF(Data!$C:$C,C54,Data!$DK:$DK)+SUMIF(Data!$C:$C,C54,Data!$DM:$DM)+SUMIF(Data!$C:$C,C54,Data!$DO:$DO)+SUMIF(Data!$C:$C,C54,Data!$DQ:$DQ)+SUMIF(Data!$C:$C,C54,Data!$DS:$DS)+SUMIF(Data!$C:$C,C54,Data!$DU:$DU)+SUMIF(Data!$C:$C,C54,Data!$DW:$DW)+SUMIF(Data!$C:$C,C54,Data!$DY:$DY)+SUMIF(Data!$C:$C,C54,Data!$EA:$EA)+SUMIF(Data!$C:$C,C54,Data!$EC:$EC)+SUMIF(Data!$C:$C,C54,Data!$EE:$EE)+SUMIF(Data!$C:$C,C54,Data!$EG:$EG)+SUMIF(Data!$C:$C,C54,Data!$EI:$EI)+SUMIF(Data!$C:$C,C54,Data!$EK:$EK)+SUMIF(Data!$C:$C,C54,Data!$EM:$EM)+SUMIF(Data!$C:$C,C54,Data!$EO:$EO)+SUMIF(Data!$C:$C,C54,Data!$EQ:$EQ)+SUMIF(Data!$C:$C,C54,Data!$ES:$ES)</f>
        <v>5669.9130434782601</v>
      </c>
      <c r="H54" s="34">
        <f>SUMIF(Data!$C:$C,C54,Data!$DJ:$DJ)+SUMIF(Data!$C:$C,C54,Data!$DL:$DL)+SUMIF(Data!$C:$C,C54,Data!$DN:$DN)+SUMIF(Data!$C:$C,C54,Data!$DP:$DP)+SUMIF(Data!$C:$C,C54,Data!$DR:$DR)+SUMIF(Data!$C:$C,C54,Data!$DT:$DT)+SUMIF(Data!$C:$C,C54,Data!$DV:$DV)+SUMIF(Data!$C:$C,C54,Data!$DX:$DX)+SUMIF(Data!$C:$C,C54,Data!$DZ:$DZ)+SUMIF(Data!$C:$C,C54,Data!$EB:$EB)+SUMIF(Data!$C:$C,C54,Data!$ED:$ED)+SUMIF(Data!$C:$C,C54,Data!$EF:$EF)+SUMIF(Data!$C:$C,C54,Data!$EH:$EH)+SUMIF(Data!$C:$C,C54,Data!$EJ:$EJ)+SUMIF(Data!$C:$C,C54,Data!$EL:$EL)+SUMIF(Data!$C:$C,C54,Data!$EN:$EN)+SUMIF(Data!$C:$C,C54,Data!$EP:$EP)+SUMIF(Data!$C:$C,C54,Data!$ER:$ER)+SUMIF(Data!$C:$C,C54,Data!$ET:$ET)</f>
        <v>50.750999999999998</v>
      </c>
      <c r="I54" s="33">
        <f>G54/19</f>
        <v>298.41647597254001</v>
      </c>
      <c r="J54" s="34">
        <f>H54/19</f>
        <v>2.6711052631578944</v>
      </c>
      <c r="K54" s="33">
        <f>IFERROR(INDEX(Data!$ES:$ES,MATCH(C54,Data!$C:$C,0)),0)</f>
        <v>457.8</v>
      </c>
      <c r="L54" s="34">
        <f>IFERROR(INDEX(Data!$ET:$ET,MATCH(C54,Data!$C:$C,0)),0)</f>
        <v>4.05</v>
      </c>
      <c r="M54" s="33">
        <f>IFERROR(INDEX(Data!$I$3:$ER$553,MATCH($C54,Data!$C$3:$C$553,0),MATCH(DATE(RIGHT($B$5,4),MID($B$5,4,2),LEFT($B$5,2))-42,Data!$I$1:$ER$1,0)),0)</f>
        <v>547.35652173913002</v>
      </c>
      <c r="N54" s="34" cm="1">
        <f t="array" ref="N54">IFERROR(INDEX(Data!$I$3:$ER$553,MATCH($C54,Data!$C$3:$C$553,0),MATCH(DATE(RIGHT($B$5,4),MID($B$5,4,2),LEFT($B$5,2))-42,Data!$I$1:$ER$1,0)+1),0)</f>
        <v>4.8419999999999996</v>
      </c>
      <c r="O54" s="33">
        <f>IFERROR(INDEX(Data!$I$3:$ER$553,MATCH($C54,Data!$C$3:$C$553,0),MATCH($M$5,Data!$I$1:$ER$1,0)),0)</f>
        <v>0</v>
      </c>
      <c r="P54" s="34" cm="1">
        <f t="array" ref="P54">IFERROR(INDEX(Data!$I$3:$ER$553,MATCH($C54,Data!$C$3:$C$553,0),MATCH($M$5,Data!$I$1:$ER$1,0)+1),0)</f>
        <v>0</v>
      </c>
      <c r="Q54" s="49" t="str">
        <f>IF(R54="","",IF(H54=0,0,R54*(G54/H54)))</f>
        <v/>
      </c>
      <c r="R54" s="50"/>
    </row>
    <row r="55" spans="1:20" x14ac:dyDescent="0.35">
      <c r="A55" s="29">
        <v>204</v>
      </c>
      <c r="B55" s="29" t="s">
        <v>532</v>
      </c>
      <c r="C55" s="29">
        <v>34247</v>
      </c>
      <c r="D55" s="29" t="s">
        <v>153</v>
      </c>
      <c r="E55" s="30">
        <v>4953.2695652173916</v>
      </c>
      <c r="F55" s="31">
        <v>34.782000000000011</v>
      </c>
      <c r="G55" s="30">
        <f>SUMIF(Data!$C:$C,C55,Data!$DI:$DI)+SUMIF(Data!$C:$C,C55,Data!$DK:$DK)+SUMIF(Data!$C:$C,C55,Data!$DM:$DM)+SUMIF(Data!$C:$C,C55,Data!$DO:$DO)+SUMIF(Data!$C:$C,C55,Data!$DQ:$DQ)+SUMIF(Data!$C:$C,C55,Data!$DS:$DS)+SUMIF(Data!$C:$C,C55,Data!$DU:$DU)+SUMIF(Data!$C:$C,C55,Data!$DW:$DW)+SUMIF(Data!$C:$C,C55,Data!$DY:$DY)+SUMIF(Data!$C:$C,C55,Data!$EA:$EA)+SUMIF(Data!$C:$C,C55,Data!$EC:$EC)+SUMIF(Data!$C:$C,C55,Data!$EE:$EE)+SUMIF(Data!$C:$C,C55,Data!$EG:$EG)+SUMIF(Data!$C:$C,C55,Data!$EI:$EI)+SUMIF(Data!$C:$C,C55,Data!$EK:$EK)+SUMIF(Data!$C:$C,C55,Data!$EM:$EM)+SUMIF(Data!$C:$C,C55,Data!$EO:$EO)+SUMIF(Data!$C:$C,C55,Data!$EQ:$EQ)+SUMIF(Data!$C:$C,C55,Data!$ES:$ES)</f>
        <v>4976.6347826086949</v>
      </c>
      <c r="H55" s="31">
        <f>SUMIF(Data!$C:$C,C55,Data!$DJ:$DJ)+SUMIF(Data!$C:$C,C55,Data!$DL:$DL)+SUMIF(Data!$C:$C,C55,Data!$DN:$DN)+SUMIF(Data!$C:$C,C55,Data!$DP:$DP)+SUMIF(Data!$C:$C,C55,Data!$DR:$DR)+SUMIF(Data!$C:$C,C55,Data!$DT:$DT)+SUMIF(Data!$C:$C,C55,Data!$DV:$DV)+SUMIF(Data!$C:$C,C55,Data!$DX:$DX)+SUMIF(Data!$C:$C,C55,Data!$DZ:$DZ)+SUMIF(Data!$C:$C,C55,Data!$EB:$EB)+SUMIF(Data!$C:$C,C55,Data!$ED:$ED)+SUMIF(Data!$C:$C,C55,Data!$EF:$EF)+SUMIF(Data!$C:$C,C55,Data!$EH:$EH)+SUMIF(Data!$C:$C,C55,Data!$EJ:$EJ)+SUMIF(Data!$C:$C,C55,Data!$EL:$EL)+SUMIF(Data!$C:$C,C55,Data!$EN:$EN)+SUMIF(Data!$C:$C,C55,Data!$EP:$EP)+SUMIF(Data!$C:$C,C55,Data!$ER:$ER)+SUMIF(Data!$C:$C,C55,Data!$ET:$ET)</f>
        <v>33.774000000000001</v>
      </c>
      <c r="I55" s="30">
        <f>G55/19</f>
        <v>261.9281464530892</v>
      </c>
      <c r="J55" s="31">
        <f>H55/19</f>
        <v>1.7775789473684211</v>
      </c>
      <c r="K55" s="30">
        <f>IFERROR(INDEX(Data!$ES:$ES,MATCH(C55,Data!$C:$C,0)),0)</f>
        <v>259.80869565217398</v>
      </c>
      <c r="L55" s="31">
        <f>IFERROR(INDEX(Data!$ET:$ET,MATCH(C55,Data!$C:$C,0)),0)</f>
        <v>1.66</v>
      </c>
      <c r="M55" s="30">
        <f>IFERROR(INDEX(Data!$I$3:$ER$553,MATCH($C55,Data!$C$3:$C$553,0),MATCH(DATE(RIGHT($B$5,4),MID($B$5,4,2),LEFT($B$5,2))-42,Data!$I$1:$ER$1,0)),0)</f>
        <v>110.8</v>
      </c>
      <c r="N55" s="31" cm="1">
        <f t="array" ref="N55">IFERROR(INDEX(Data!$I$3:$ER$553,MATCH($C55,Data!$C$3:$C$553,0),MATCH(DATE(RIGHT($B$5,4),MID($B$5,4,2),LEFT($B$5,2))-42,Data!$I$1:$ER$1,0)+1),0)</f>
        <v>0.72399999999999998</v>
      </c>
      <c r="O55" s="30">
        <f>IFERROR(INDEX(Data!$I$3:$ER$553,MATCH($C55,Data!$C$3:$C$553,0),MATCH($M$5,Data!$I$1:$ER$1,0)),0)</f>
        <v>394.139130434783</v>
      </c>
      <c r="P55" s="31" cm="1">
        <f t="array" ref="P55">IFERROR(INDEX(Data!$I$3:$ER$553,MATCH($C55,Data!$C$3:$C$553,0),MATCH($M$5,Data!$I$1:$ER$1,0)+1),0)</f>
        <v>3.0219999999999998</v>
      </c>
      <c r="Q55" s="49" t="str">
        <f>IF(R55="","",IF(H55=0,0,R55*(G55/H55)))</f>
        <v/>
      </c>
      <c r="R55" s="50"/>
    </row>
    <row r="56" spans="1:20" x14ac:dyDescent="0.35">
      <c r="A56" s="32">
        <v>204</v>
      </c>
      <c r="B56" s="32" t="s">
        <v>532</v>
      </c>
      <c r="C56" s="32">
        <v>59535</v>
      </c>
      <c r="D56" s="32" t="s">
        <v>165</v>
      </c>
      <c r="E56" s="33">
        <v>1068.1999999999998</v>
      </c>
      <c r="F56" s="34">
        <v>7.7040000000000006</v>
      </c>
      <c r="G56" s="33">
        <f>SUMIF(Data!$C:$C,C56,Data!$DI:$DI)+SUMIF(Data!$C:$C,C56,Data!$DK:$DK)+SUMIF(Data!$C:$C,C56,Data!$DM:$DM)+SUMIF(Data!$C:$C,C56,Data!$DO:$DO)+SUMIF(Data!$C:$C,C56,Data!$DQ:$DQ)+SUMIF(Data!$C:$C,C56,Data!$DS:$DS)+SUMIF(Data!$C:$C,C56,Data!$DU:$DU)+SUMIF(Data!$C:$C,C56,Data!$DW:$DW)+SUMIF(Data!$C:$C,C56,Data!$DY:$DY)+SUMIF(Data!$C:$C,C56,Data!$EA:$EA)+SUMIF(Data!$C:$C,C56,Data!$EC:$EC)+SUMIF(Data!$C:$C,C56,Data!$EE:$EE)+SUMIF(Data!$C:$C,C56,Data!$EG:$EG)+SUMIF(Data!$C:$C,C56,Data!$EI:$EI)+SUMIF(Data!$C:$C,C56,Data!$EK:$EK)+SUMIF(Data!$C:$C,C56,Data!$EM:$EM)+SUMIF(Data!$C:$C,C56,Data!$EO:$EO)+SUMIF(Data!$C:$C,C56,Data!$EQ:$EQ)+SUMIF(Data!$C:$C,C56,Data!$ES:$ES)</f>
        <v>3451.008695652175</v>
      </c>
      <c r="H56" s="34">
        <f>SUMIF(Data!$C:$C,C56,Data!$DJ:$DJ)+SUMIF(Data!$C:$C,C56,Data!$DL:$DL)+SUMIF(Data!$C:$C,C56,Data!$DN:$DN)+SUMIF(Data!$C:$C,C56,Data!$DP:$DP)+SUMIF(Data!$C:$C,C56,Data!$DR:$DR)+SUMIF(Data!$C:$C,C56,Data!$DT:$DT)+SUMIF(Data!$C:$C,C56,Data!$DV:$DV)+SUMIF(Data!$C:$C,C56,Data!$DX:$DX)+SUMIF(Data!$C:$C,C56,Data!$DZ:$DZ)+SUMIF(Data!$C:$C,C56,Data!$EB:$EB)+SUMIF(Data!$C:$C,C56,Data!$ED:$ED)+SUMIF(Data!$C:$C,C56,Data!$EF:$EF)+SUMIF(Data!$C:$C,C56,Data!$EH:$EH)+SUMIF(Data!$C:$C,C56,Data!$EJ:$EJ)+SUMIF(Data!$C:$C,C56,Data!$EL:$EL)+SUMIF(Data!$C:$C,C56,Data!$EN:$EN)+SUMIF(Data!$C:$C,C56,Data!$EP:$EP)+SUMIF(Data!$C:$C,C56,Data!$ER:$ER)+SUMIF(Data!$C:$C,C56,Data!$ET:$ET)</f>
        <v>23.415999999999997</v>
      </c>
      <c r="I56" s="33">
        <f>G56/19</f>
        <v>181.63203661327236</v>
      </c>
      <c r="J56" s="34">
        <f>H56/19</f>
        <v>1.2324210526315789</v>
      </c>
      <c r="K56" s="33">
        <f>IFERROR(INDEX(Data!$ES:$ES,MATCH(C56,Data!$C:$C,0)),0)</f>
        <v>50.556521739130403</v>
      </c>
      <c r="L56" s="34">
        <f>IFERROR(INDEX(Data!$ET:$ET,MATCH(C56,Data!$C:$C,0)),0)</f>
        <v>0.34200000000000003</v>
      </c>
      <c r="M56" s="33">
        <f>IFERROR(INDEX(Data!$I$3:$ER$553,MATCH($C56,Data!$C$3:$C$553,0),MATCH(DATE(RIGHT($B$5,4),MID($B$5,4,2),LEFT($B$5,2))-42,Data!$I$1:$ER$1,0)),0)</f>
        <v>0</v>
      </c>
      <c r="N56" s="34" cm="1">
        <f t="array" ref="N56">IFERROR(INDEX(Data!$I$3:$ER$553,MATCH($C56,Data!$C$3:$C$553,0),MATCH(DATE(RIGHT($B$5,4),MID($B$5,4,2),LEFT($B$5,2))-42,Data!$I$1:$ER$1,0)+1),0)</f>
        <v>0</v>
      </c>
      <c r="O56" s="33">
        <f>IFERROR(INDEX(Data!$I$3:$ER$553,MATCH($C56,Data!$C$3:$C$553,0),MATCH($M$5,Data!$I$1:$ER$1,0)),0)</f>
        <v>0</v>
      </c>
      <c r="P56" s="34" cm="1">
        <f t="array" ref="P56">IFERROR(INDEX(Data!$I$3:$ER$553,MATCH($C56,Data!$C$3:$C$553,0),MATCH($M$5,Data!$I$1:$ER$1,0)+1),0)</f>
        <v>0</v>
      </c>
      <c r="Q56" s="49" t="str">
        <f>IF(R56="","",IF(H56=0,0,R56*(G56/H56)))</f>
        <v/>
      </c>
      <c r="R56" s="50"/>
    </row>
    <row r="57" spans="1:20" x14ac:dyDescent="0.35">
      <c r="A57" s="29">
        <v>204</v>
      </c>
      <c r="B57" s="29" t="s">
        <v>532</v>
      </c>
      <c r="C57" s="29">
        <v>50339</v>
      </c>
      <c r="D57" s="29" t="s">
        <v>162</v>
      </c>
      <c r="E57" s="30">
        <v>1571.7826086956516</v>
      </c>
      <c r="F57" s="31">
        <v>25.856000000000002</v>
      </c>
      <c r="G57" s="30">
        <f>SUMIF(Data!$C:$C,C57,Data!$DI:$DI)+SUMIF(Data!$C:$C,C57,Data!$DK:$DK)+SUMIF(Data!$C:$C,C57,Data!$DM:$DM)+SUMIF(Data!$C:$C,C57,Data!$DO:$DO)+SUMIF(Data!$C:$C,C57,Data!$DQ:$DQ)+SUMIF(Data!$C:$C,C57,Data!$DS:$DS)+SUMIF(Data!$C:$C,C57,Data!$DU:$DU)+SUMIF(Data!$C:$C,C57,Data!$DW:$DW)+SUMIF(Data!$C:$C,C57,Data!$DY:$DY)+SUMIF(Data!$C:$C,C57,Data!$EA:$EA)+SUMIF(Data!$C:$C,C57,Data!$EC:$EC)+SUMIF(Data!$C:$C,C57,Data!$EE:$EE)+SUMIF(Data!$C:$C,C57,Data!$EG:$EG)+SUMIF(Data!$C:$C,C57,Data!$EI:$EI)+SUMIF(Data!$C:$C,C57,Data!$EK:$EK)+SUMIF(Data!$C:$C,C57,Data!$EM:$EM)+SUMIF(Data!$C:$C,C57,Data!$EO:$EO)+SUMIF(Data!$C:$C,C57,Data!$EQ:$EQ)+SUMIF(Data!$C:$C,C57,Data!$ES:$ES)</f>
        <v>1851.5739130434781</v>
      </c>
      <c r="H57" s="31">
        <f>SUMIF(Data!$C:$C,C57,Data!$DJ:$DJ)+SUMIF(Data!$C:$C,C57,Data!$DL:$DL)+SUMIF(Data!$C:$C,C57,Data!$DN:$DN)+SUMIF(Data!$C:$C,C57,Data!$DP:$DP)+SUMIF(Data!$C:$C,C57,Data!$DR:$DR)+SUMIF(Data!$C:$C,C57,Data!$DT:$DT)+SUMIF(Data!$C:$C,C57,Data!$DV:$DV)+SUMIF(Data!$C:$C,C57,Data!$DX:$DX)+SUMIF(Data!$C:$C,C57,Data!$DZ:$DZ)+SUMIF(Data!$C:$C,C57,Data!$EB:$EB)+SUMIF(Data!$C:$C,C57,Data!$ED:$ED)+SUMIF(Data!$C:$C,C57,Data!$EF:$EF)+SUMIF(Data!$C:$C,C57,Data!$EH:$EH)+SUMIF(Data!$C:$C,C57,Data!$EJ:$EJ)+SUMIF(Data!$C:$C,C57,Data!$EL:$EL)+SUMIF(Data!$C:$C,C57,Data!$EN:$EN)+SUMIF(Data!$C:$C,C57,Data!$EP:$EP)+SUMIF(Data!$C:$C,C57,Data!$ER:$ER)+SUMIF(Data!$C:$C,C57,Data!$ET:$ET)</f>
        <v>26.726000000000003</v>
      </c>
      <c r="I57" s="30">
        <f>G57/19</f>
        <v>97.451258581235692</v>
      </c>
      <c r="J57" s="31">
        <f>H57/19</f>
        <v>1.4066315789473685</v>
      </c>
      <c r="K57" s="30">
        <f>IFERROR(INDEX(Data!$ES:$ES,MATCH(C57,Data!$C:$C,0)),0)</f>
        <v>179.713043478261</v>
      </c>
      <c r="L57" s="31">
        <f>IFERROR(INDEX(Data!$ET:$ET,MATCH(C57,Data!$C:$C,0)),0)</f>
        <v>2.61</v>
      </c>
      <c r="M57" s="30">
        <f>IFERROR(INDEX(Data!$I$3:$ER$553,MATCH($C57,Data!$C$3:$C$553,0),MATCH(DATE(RIGHT($B$5,4),MID($B$5,4,2),LEFT($B$5,2))-42,Data!$I$1:$ER$1,0)),0)</f>
        <v>70.234782608695696</v>
      </c>
      <c r="N57" s="31" cm="1">
        <f t="array" ref="N57">IFERROR(INDEX(Data!$I$3:$ER$553,MATCH($C57,Data!$C$3:$C$553,0),MATCH(DATE(RIGHT($B$5,4),MID($B$5,4,2),LEFT($B$5,2))-42,Data!$I$1:$ER$1,0)+1),0)</f>
        <v>1.036</v>
      </c>
      <c r="O57" s="30">
        <f>IFERROR(INDEX(Data!$I$3:$ER$553,MATCH($C57,Data!$C$3:$C$553,0),MATCH($M$5,Data!$I$1:$ER$1,0)),0)</f>
        <v>160.65217391304299</v>
      </c>
      <c r="P57" s="31" cm="1">
        <f t="array" ref="P57">IFERROR(INDEX(Data!$I$3:$ER$553,MATCH($C57,Data!$C$3:$C$553,0),MATCH($M$5,Data!$I$1:$ER$1,0)+1),0)</f>
        <v>2.64</v>
      </c>
      <c r="Q57" s="49" t="str">
        <f>IF(R57="","",IF(H57=0,0,R57*(G57/H57)))</f>
        <v/>
      </c>
      <c r="R57" s="50"/>
    </row>
    <row r="58" spans="1:20" x14ac:dyDescent="0.35">
      <c r="A58" s="32">
        <v>204</v>
      </c>
      <c r="B58" s="32" t="s">
        <v>532</v>
      </c>
      <c r="C58" s="32">
        <v>34240</v>
      </c>
      <c r="D58" s="32" t="s">
        <v>148</v>
      </c>
      <c r="E58" s="33">
        <v>3588.2956521739125</v>
      </c>
      <c r="F58" s="34">
        <v>25.024000000000001</v>
      </c>
      <c r="G58" s="33">
        <f>SUMIF(Data!$C:$C,C58,Data!$DI:$DI)+SUMIF(Data!$C:$C,C58,Data!$DK:$DK)+SUMIF(Data!$C:$C,C58,Data!$DM:$DM)+SUMIF(Data!$C:$C,C58,Data!$DO:$DO)+SUMIF(Data!$C:$C,C58,Data!$DQ:$DQ)+SUMIF(Data!$C:$C,C58,Data!$DS:$DS)+SUMIF(Data!$C:$C,C58,Data!$DU:$DU)+SUMIF(Data!$C:$C,C58,Data!$DW:$DW)+SUMIF(Data!$C:$C,C58,Data!$DY:$DY)+SUMIF(Data!$C:$C,C58,Data!$EA:$EA)+SUMIF(Data!$C:$C,C58,Data!$EC:$EC)+SUMIF(Data!$C:$C,C58,Data!$EE:$EE)+SUMIF(Data!$C:$C,C58,Data!$EG:$EG)+SUMIF(Data!$C:$C,C58,Data!$EI:$EI)+SUMIF(Data!$C:$C,C58,Data!$EK:$EK)+SUMIF(Data!$C:$C,C58,Data!$EM:$EM)+SUMIF(Data!$C:$C,C58,Data!$EO:$EO)+SUMIF(Data!$C:$C,C58,Data!$EQ:$EQ)+SUMIF(Data!$C:$C,C58,Data!$ES:$ES)</f>
        <v>1448.6956521739137</v>
      </c>
      <c r="H58" s="34">
        <f>SUMIF(Data!$C:$C,C58,Data!$DJ:$DJ)+SUMIF(Data!$C:$C,C58,Data!$DL:$DL)+SUMIF(Data!$C:$C,C58,Data!$DN:$DN)+SUMIF(Data!$C:$C,C58,Data!$DP:$DP)+SUMIF(Data!$C:$C,C58,Data!$DR:$DR)+SUMIF(Data!$C:$C,C58,Data!$DT:$DT)+SUMIF(Data!$C:$C,C58,Data!$DV:$DV)+SUMIF(Data!$C:$C,C58,Data!$DX:$DX)+SUMIF(Data!$C:$C,C58,Data!$DZ:$DZ)+SUMIF(Data!$C:$C,C58,Data!$EB:$EB)+SUMIF(Data!$C:$C,C58,Data!$ED:$ED)+SUMIF(Data!$C:$C,C58,Data!$EF:$EF)+SUMIF(Data!$C:$C,C58,Data!$EH:$EH)+SUMIF(Data!$C:$C,C58,Data!$EJ:$EJ)+SUMIF(Data!$C:$C,C58,Data!$EL:$EL)+SUMIF(Data!$C:$C,C58,Data!$EN:$EN)+SUMIF(Data!$C:$C,C58,Data!$EP:$EP)+SUMIF(Data!$C:$C,C58,Data!$ER:$ER)+SUMIF(Data!$C:$C,C58,Data!$ET:$ET)</f>
        <v>9.2560000000000002</v>
      </c>
      <c r="I58" s="33">
        <f>G58/19</f>
        <v>76.247139588100723</v>
      </c>
      <c r="J58" s="34">
        <f>H58/19</f>
        <v>0.48715789473684212</v>
      </c>
      <c r="K58" s="33">
        <f>IFERROR(INDEX(Data!$ES:$ES,MATCH(C58,Data!$C:$C,0)),0)</f>
        <v>0</v>
      </c>
      <c r="L58" s="34">
        <f>IFERROR(INDEX(Data!$ET:$ET,MATCH(C58,Data!$C:$C,0)),0)</f>
        <v>0</v>
      </c>
      <c r="M58" s="33">
        <f>IFERROR(INDEX(Data!$I$3:$ER$553,MATCH($C58,Data!$C$3:$C$553,0),MATCH(DATE(RIGHT($B$5,4),MID($B$5,4,2),LEFT($B$5,2))-42,Data!$I$1:$ER$1,0)),0)</f>
        <v>0</v>
      </c>
      <c r="N58" s="34" cm="1">
        <f t="array" ref="N58">IFERROR(INDEX(Data!$I$3:$ER$553,MATCH($C58,Data!$C$3:$C$553,0),MATCH(DATE(RIGHT($B$5,4),MID($B$5,4,2),LEFT($B$5,2))-42,Data!$I$1:$ER$1,0)+1),0)</f>
        <v>0</v>
      </c>
      <c r="O58" s="33">
        <f>IFERROR(INDEX(Data!$I$3:$ER$553,MATCH($C58,Data!$C$3:$C$553,0),MATCH($M$5,Data!$I$1:$ER$1,0)),0)</f>
        <v>61.2173913043478</v>
      </c>
      <c r="P58" s="34" cm="1">
        <f t="array" ref="P58">IFERROR(INDEX(Data!$I$3:$ER$553,MATCH($C58,Data!$C$3:$C$553,0),MATCH($M$5,Data!$I$1:$ER$1,0)+1),0)</f>
        <v>0.44</v>
      </c>
      <c r="Q58" s="49" t="str">
        <f>IF(R58="","",IF(H58=0,0,R58*(G58/H58)))</f>
        <v/>
      </c>
      <c r="R58" s="50"/>
    </row>
    <row r="59" spans="1:20" x14ac:dyDescent="0.35">
      <c r="A59" s="29">
        <v>204</v>
      </c>
      <c r="B59" s="29" t="s">
        <v>532</v>
      </c>
      <c r="C59" s="29">
        <v>34238</v>
      </c>
      <c r="D59" s="29" t="s">
        <v>146</v>
      </c>
      <c r="E59" s="30">
        <v>1087.0434782608697</v>
      </c>
      <c r="F59" s="31">
        <v>18.943999999999996</v>
      </c>
      <c r="G59" s="30">
        <f>SUMIF(Data!$C:$C,C59,Data!$DI:$DI)+SUMIF(Data!$C:$C,C59,Data!$DK:$DK)+SUMIF(Data!$C:$C,C59,Data!$DM:$DM)+SUMIF(Data!$C:$C,C59,Data!$DO:$DO)+SUMIF(Data!$C:$C,C59,Data!$DQ:$DQ)+SUMIF(Data!$C:$C,C59,Data!$DS:$DS)+SUMIF(Data!$C:$C,C59,Data!$DU:$DU)+SUMIF(Data!$C:$C,C59,Data!$DW:$DW)+SUMIF(Data!$C:$C,C59,Data!$DY:$DY)+SUMIF(Data!$C:$C,C59,Data!$EA:$EA)+SUMIF(Data!$C:$C,C59,Data!$EC:$EC)+SUMIF(Data!$C:$C,C59,Data!$EE:$EE)+SUMIF(Data!$C:$C,C59,Data!$EG:$EG)+SUMIF(Data!$C:$C,C59,Data!$EI:$EI)+SUMIF(Data!$C:$C,C59,Data!$EK:$EK)+SUMIF(Data!$C:$C,C59,Data!$EM:$EM)+SUMIF(Data!$C:$C,C59,Data!$EO:$EO)+SUMIF(Data!$C:$C,C59,Data!$EQ:$EQ)+SUMIF(Data!$C:$C,C59,Data!$ES:$ES)</f>
        <v>1494.2260869565223</v>
      </c>
      <c r="H59" s="31">
        <f>SUMIF(Data!$C:$C,C59,Data!$DJ:$DJ)+SUMIF(Data!$C:$C,C59,Data!$DL:$DL)+SUMIF(Data!$C:$C,C59,Data!$DN:$DN)+SUMIF(Data!$C:$C,C59,Data!$DP:$DP)+SUMIF(Data!$C:$C,C59,Data!$DR:$DR)+SUMIF(Data!$C:$C,C59,Data!$DT:$DT)+SUMIF(Data!$C:$C,C59,Data!$DV:$DV)+SUMIF(Data!$C:$C,C59,Data!$DX:$DX)+SUMIF(Data!$C:$C,C59,Data!$DZ:$DZ)+SUMIF(Data!$C:$C,C59,Data!$EB:$EB)+SUMIF(Data!$C:$C,C59,Data!$ED:$ED)+SUMIF(Data!$C:$C,C59,Data!$EF:$EF)+SUMIF(Data!$C:$C,C59,Data!$EH:$EH)+SUMIF(Data!$C:$C,C59,Data!$EJ:$EJ)+SUMIF(Data!$C:$C,C59,Data!$EL:$EL)+SUMIF(Data!$C:$C,C59,Data!$EN:$EN)+SUMIF(Data!$C:$C,C59,Data!$EP:$EP)+SUMIF(Data!$C:$C,C59,Data!$ER:$ER)+SUMIF(Data!$C:$C,C59,Data!$ET:$ET)</f>
        <v>24.176000000000002</v>
      </c>
      <c r="I59" s="30">
        <f>G59/19</f>
        <v>78.6434782608696</v>
      </c>
      <c r="J59" s="31">
        <f>H59/19</f>
        <v>1.2724210526315791</v>
      </c>
      <c r="K59" s="30">
        <f>IFERROR(INDEX(Data!$ES:$ES,MATCH(C59,Data!$C:$C,0)),0)</f>
        <v>188.539130434783</v>
      </c>
      <c r="L59" s="31">
        <f>IFERROR(INDEX(Data!$ET:$ET,MATCH(C59,Data!$C:$C,0)),0)</f>
        <v>3.0979999999999999</v>
      </c>
      <c r="M59" s="30">
        <f>IFERROR(INDEX(Data!$I$3:$ER$553,MATCH($C59,Data!$C$3:$C$553,0),MATCH(DATE(RIGHT($B$5,4),MID($B$5,4,2),LEFT($B$5,2))-42,Data!$I$1:$ER$1,0)),0)</f>
        <v>29.095652173912999</v>
      </c>
      <c r="N59" s="31" cm="1">
        <f t="array" ref="N59">IFERROR(INDEX(Data!$I$3:$ER$553,MATCH($C59,Data!$C$3:$C$553,0),MATCH(DATE(RIGHT($B$5,4),MID($B$5,4,2),LEFT($B$5,2))-42,Data!$I$1:$ER$1,0)+1),0)</f>
        <v>0.47799999999999998</v>
      </c>
      <c r="O59" s="30">
        <f>IFERROR(INDEX(Data!$I$3:$ER$553,MATCH($C59,Data!$C$3:$C$553,0),MATCH($M$5,Data!$I$1:$ER$1,0)),0)</f>
        <v>98.678260869565193</v>
      </c>
      <c r="P59" s="31" cm="1">
        <f t="array" ref="P59">IFERROR(INDEX(Data!$I$3:$ER$553,MATCH($C59,Data!$C$3:$C$553,0),MATCH($M$5,Data!$I$1:$ER$1,0)+1),0)</f>
        <v>1.81</v>
      </c>
      <c r="Q59" s="49" t="str">
        <f>IF(R59="","",IF(H59=0,0,R59*(G59/H59)))</f>
        <v/>
      </c>
      <c r="R59" s="50"/>
    </row>
    <row r="60" spans="1:20" x14ac:dyDescent="0.35">
      <c r="A60" s="32">
        <v>204</v>
      </c>
      <c r="B60" s="32" t="s">
        <v>532</v>
      </c>
      <c r="C60" s="32">
        <v>34245</v>
      </c>
      <c r="D60" s="32" t="s">
        <v>152</v>
      </c>
      <c r="E60" s="33">
        <v>8047.1565217391344</v>
      </c>
      <c r="F60" s="34">
        <v>51.416000000000004</v>
      </c>
      <c r="G60" s="33">
        <f>SUMIF(Data!$C:$C,C60,Data!$DI:$DI)+SUMIF(Data!$C:$C,C60,Data!$DK:$DK)+SUMIF(Data!$C:$C,C60,Data!$DM:$DM)+SUMIF(Data!$C:$C,C60,Data!$DO:$DO)+SUMIF(Data!$C:$C,C60,Data!$DQ:$DQ)+SUMIF(Data!$C:$C,C60,Data!$DS:$DS)+SUMIF(Data!$C:$C,C60,Data!$DU:$DU)+SUMIF(Data!$C:$C,C60,Data!$DW:$DW)+SUMIF(Data!$C:$C,C60,Data!$DY:$DY)+SUMIF(Data!$C:$C,C60,Data!$EA:$EA)+SUMIF(Data!$C:$C,C60,Data!$EC:$EC)+SUMIF(Data!$C:$C,C60,Data!$EE:$EE)+SUMIF(Data!$C:$C,C60,Data!$EG:$EG)+SUMIF(Data!$C:$C,C60,Data!$EI:$EI)+SUMIF(Data!$C:$C,C60,Data!$EK:$EK)+SUMIF(Data!$C:$C,C60,Data!$EM:$EM)+SUMIF(Data!$C:$C,C60,Data!$EO:$EO)+SUMIF(Data!$C:$C,C60,Data!$EQ:$EQ)+SUMIF(Data!$C:$C,C60,Data!$ES:$ES)</f>
        <v>86.704347826086902</v>
      </c>
      <c r="H60" s="34">
        <f>SUMIF(Data!$C:$C,C60,Data!$DJ:$DJ)+SUMIF(Data!$C:$C,C60,Data!$DL:$DL)+SUMIF(Data!$C:$C,C60,Data!$DN:$DN)+SUMIF(Data!$C:$C,C60,Data!$DP:$DP)+SUMIF(Data!$C:$C,C60,Data!$DR:$DR)+SUMIF(Data!$C:$C,C60,Data!$DT:$DT)+SUMIF(Data!$C:$C,C60,Data!$DV:$DV)+SUMIF(Data!$C:$C,C60,Data!$DX:$DX)+SUMIF(Data!$C:$C,C60,Data!$DZ:$DZ)+SUMIF(Data!$C:$C,C60,Data!$EB:$EB)+SUMIF(Data!$C:$C,C60,Data!$ED:$ED)+SUMIF(Data!$C:$C,C60,Data!$EF:$EF)+SUMIF(Data!$C:$C,C60,Data!$EH:$EH)+SUMIF(Data!$C:$C,C60,Data!$EJ:$EJ)+SUMIF(Data!$C:$C,C60,Data!$EL:$EL)+SUMIF(Data!$C:$C,C60,Data!$EN:$EN)+SUMIF(Data!$C:$C,C60,Data!$EP:$EP)+SUMIF(Data!$C:$C,C60,Data!$ER:$ER)+SUMIF(Data!$C:$C,C60,Data!$ET:$ET)</f>
        <v>0.55400000000000005</v>
      </c>
      <c r="I60" s="33">
        <f>G60/19</f>
        <v>4.5633867276887843</v>
      </c>
      <c r="J60" s="34">
        <f>H60/19</f>
        <v>2.9157894736842108E-2</v>
      </c>
      <c r="K60" s="33">
        <f>IFERROR(INDEX(Data!$ES:$ES,MATCH(C60,Data!$C:$C,0)),0)</f>
        <v>0</v>
      </c>
      <c r="L60" s="34">
        <f>IFERROR(INDEX(Data!$ET:$ET,MATCH(C60,Data!$C:$C,0)),0)</f>
        <v>0</v>
      </c>
      <c r="M60" s="33">
        <f>IFERROR(INDEX(Data!$I$3:$ER$553,MATCH($C60,Data!$C$3:$C$553,0),MATCH(DATE(RIGHT($B$5,4),MID($B$5,4,2),LEFT($B$5,2))-42,Data!$I$1:$ER$1,0)),0)</f>
        <v>0</v>
      </c>
      <c r="N60" s="34" cm="1">
        <f t="array" ref="N60">IFERROR(INDEX(Data!$I$3:$ER$553,MATCH($C60,Data!$C$3:$C$553,0),MATCH(DATE(RIGHT($B$5,4),MID($B$5,4,2),LEFT($B$5,2))-42,Data!$I$1:$ER$1,0)+1),0)</f>
        <v>0</v>
      </c>
      <c r="O60" s="33">
        <f>IFERROR(INDEX(Data!$I$3:$ER$553,MATCH($C60,Data!$C$3:$C$553,0),MATCH($M$5,Data!$I$1:$ER$1,0)),0)</f>
        <v>1022.00869565217</v>
      </c>
      <c r="P60" s="34" cm="1">
        <f t="array" ref="P60">IFERROR(INDEX(Data!$I$3:$ER$553,MATCH($C60,Data!$C$3:$C$553,0),MATCH($M$5,Data!$I$1:$ER$1,0)+1),0)</f>
        <v>6.53</v>
      </c>
      <c r="Q60" s="49" t="str">
        <f>IF(R60="","",IF(H60=0,0,R60*(G60/H60)))</f>
        <v/>
      </c>
      <c r="R60" s="50"/>
    </row>
    <row r="61" spans="1:20" x14ac:dyDescent="0.35">
      <c r="A61" s="29">
        <v>204</v>
      </c>
      <c r="B61" s="29" t="s">
        <v>532</v>
      </c>
      <c r="C61" s="29">
        <v>44900</v>
      </c>
      <c r="D61" s="29" t="s">
        <v>158</v>
      </c>
      <c r="E61" s="30">
        <v>635.95652173913004</v>
      </c>
      <c r="F61" s="31">
        <v>4.6959999999999997</v>
      </c>
      <c r="G61" s="30">
        <f>SUMIF(Data!$C:$C,C61,Data!$DI:$DI)+SUMIF(Data!$C:$C,C61,Data!$DK:$DK)+SUMIF(Data!$C:$C,C61,Data!$DM:$DM)+SUMIF(Data!$C:$C,C61,Data!$DO:$DO)+SUMIF(Data!$C:$C,C61,Data!$DQ:$DQ)+SUMIF(Data!$C:$C,C61,Data!$DS:$DS)+SUMIF(Data!$C:$C,C61,Data!$DU:$DU)+SUMIF(Data!$C:$C,C61,Data!$DW:$DW)+SUMIF(Data!$C:$C,C61,Data!$DY:$DY)+SUMIF(Data!$C:$C,C61,Data!$EA:$EA)+SUMIF(Data!$C:$C,C61,Data!$EC:$EC)+SUMIF(Data!$C:$C,C61,Data!$EE:$EE)+SUMIF(Data!$C:$C,C61,Data!$EG:$EG)+SUMIF(Data!$C:$C,C61,Data!$EI:$EI)+SUMIF(Data!$C:$C,C61,Data!$EK:$EK)+SUMIF(Data!$C:$C,C61,Data!$EM:$EM)+SUMIF(Data!$C:$C,C61,Data!$EO:$EO)+SUMIF(Data!$C:$C,C61,Data!$EQ:$EQ)+SUMIF(Data!$C:$C,C61,Data!$ES:$ES)</f>
        <v>73.730434782608697</v>
      </c>
      <c r="H61" s="31">
        <f>SUMIF(Data!$C:$C,C61,Data!$DJ:$DJ)+SUMIF(Data!$C:$C,C61,Data!$DL:$DL)+SUMIF(Data!$C:$C,C61,Data!$DN:$DN)+SUMIF(Data!$C:$C,C61,Data!$DP:$DP)+SUMIF(Data!$C:$C,C61,Data!$DR:$DR)+SUMIF(Data!$C:$C,C61,Data!$DT:$DT)+SUMIF(Data!$C:$C,C61,Data!$DV:$DV)+SUMIF(Data!$C:$C,C61,Data!$DX:$DX)+SUMIF(Data!$C:$C,C61,Data!$DZ:$DZ)+SUMIF(Data!$C:$C,C61,Data!$EB:$EB)+SUMIF(Data!$C:$C,C61,Data!$ED:$ED)+SUMIF(Data!$C:$C,C61,Data!$EF:$EF)+SUMIF(Data!$C:$C,C61,Data!$EH:$EH)+SUMIF(Data!$C:$C,C61,Data!$EJ:$EJ)+SUMIF(Data!$C:$C,C61,Data!$EL:$EL)+SUMIF(Data!$C:$C,C61,Data!$EN:$EN)+SUMIF(Data!$C:$C,C61,Data!$EP:$EP)+SUMIF(Data!$C:$C,C61,Data!$ER:$ER)+SUMIF(Data!$C:$C,C61,Data!$ET:$ET)</f>
        <v>0.53</v>
      </c>
      <c r="I61" s="30">
        <f>G61/19</f>
        <v>3.8805491990846681</v>
      </c>
      <c r="J61" s="31">
        <f>H61/19</f>
        <v>2.7894736842105264E-2</v>
      </c>
      <c r="K61" s="30">
        <f>IFERROR(INDEX(Data!$ES:$ES,MATCH(C61,Data!$C:$C,0)),0)</f>
        <v>0</v>
      </c>
      <c r="L61" s="31">
        <f>IFERROR(INDEX(Data!$ET:$ET,MATCH(C61,Data!$C:$C,0)),0)</f>
        <v>0</v>
      </c>
      <c r="M61" s="30">
        <f>IFERROR(INDEX(Data!$I$3:$ER$553,MATCH($C61,Data!$C$3:$C$553,0),MATCH(DATE(RIGHT($B$5,4),MID($B$5,4,2),LEFT($B$5,2))-42,Data!$I$1:$ER$1,0)),0)</f>
        <v>0</v>
      </c>
      <c r="N61" s="31" cm="1">
        <f t="array" ref="N61">IFERROR(INDEX(Data!$I$3:$ER$553,MATCH($C61,Data!$C$3:$C$553,0),MATCH(DATE(RIGHT($B$5,4),MID($B$5,4,2),LEFT($B$5,2))-42,Data!$I$1:$ER$1,0)+1),0)</f>
        <v>0</v>
      </c>
      <c r="O61" s="30">
        <f>IFERROR(INDEX(Data!$I$3:$ER$553,MATCH($C61,Data!$C$3:$C$553,0),MATCH($M$5,Data!$I$1:$ER$1,0)),0)</f>
        <v>0</v>
      </c>
      <c r="P61" s="31" cm="1">
        <f t="array" ref="P61">IFERROR(INDEX(Data!$I$3:$ER$553,MATCH($C61,Data!$C$3:$C$553,0),MATCH($M$5,Data!$I$1:$ER$1,0)+1),0)</f>
        <v>0</v>
      </c>
      <c r="Q61" s="49" t="str">
        <f>IF(R61="","",IF(H61=0,0,R61*(G61/H61)))</f>
        <v/>
      </c>
      <c r="R61" s="50"/>
    </row>
    <row r="62" spans="1:20" ht="13.5" thickBot="1" x14ac:dyDescent="0.4">
      <c r="A62" s="54" t="s">
        <v>687</v>
      </c>
      <c r="B62" s="54"/>
      <c r="C62" s="54"/>
      <c r="D62" s="54"/>
      <c r="E62" s="55">
        <f>SUM(E45:E61)</f>
        <v>134093.26956521737</v>
      </c>
      <c r="F62" s="56">
        <f>SUM(F45:F61)</f>
        <v>883.49900000000002</v>
      </c>
      <c r="G62" s="55">
        <f>SUM(G45:G61)</f>
        <v>201987.82608695651</v>
      </c>
      <c r="H62" s="56">
        <f>SUM(H45:H61)</f>
        <v>1354.3109999999999</v>
      </c>
      <c r="I62" s="55">
        <f>AVERAGE(I45:I61)</f>
        <v>625.34930677076318</v>
      </c>
      <c r="J62" s="56">
        <f>AVERAGE(J45:J61)</f>
        <v>4.1929133126934985</v>
      </c>
      <c r="K62" s="55">
        <f>SUM(K45:K61)</f>
        <v>7516.1478260869535</v>
      </c>
      <c r="L62" s="56">
        <f>SUM(L45:L61)</f>
        <v>52.67799999999999</v>
      </c>
      <c r="M62" s="55">
        <f>SUM(M45:M61)</f>
        <v>6176.5304347826104</v>
      </c>
      <c r="N62" s="56">
        <f>SUM(N45:N61)</f>
        <v>38.387999999999991</v>
      </c>
      <c r="O62" s="55">
        <f>SUM(O45:O61)</f>
        <v>10351.147826086948</v>
      </c>
      <c r="P62" s="56">
        <f>SUM(P45:P61)</f>
        <v>65.622</v>
      </c>
      <c r="Q62" s="57">
        <f>SUM(Q45:Q61)</f>
        <v>0</v>
      </c>
      <c r="R62" s="58">
        <f>SUM(R45:R61)</f>
        <v>0</v>
      </c>
    </row>
    <row r="63" spans="1:20" ht="13.5" thickTop="1" x14ac:dyDescent="0.35">
      <c r="A63" s="29"/>
      <c r="B63" s="29"/>
      <c r="C63" s="29"/>
      <c r="D63" s="29"/>
      <c r="E63" s="30"/>
      <c r="F63" s="31"/>
      <c r="G63" s="30"/>
      <c r="H63" s="31"/>
      <c r="I63" s="30"/>
      <c r="J63" s="31"/>
      <c r="K63" s="30"/>
      <c r="L63" s="31"/>
      <c r="M63" s="30"/>
      <c r="N63" s="31"/>
      <c r="O63" s="30"/>
      <c r="P63" s="31"/>
      <c r="Q63" s="49"/>
      <c r="R63" s="50"/>
    </row>
    <row r="64" spans="1:20" x14ac:dyDescent="0.35">
      <c r="A64" s="32">
        <v>205</v>
      </c>
      <c r="B64" s="32" t="s">
        <v>533</v>
      </c>
      <c r="C64" s="32">
        <v>34258</v>
      </c>
      <c r="D64" s="32" t="s">
        <v>173</v>
      </c>
      <c r="E64" s="33">
        <v>10953.086956521729</v>
      </c>
      <c r="F64" s="34">
        <v>83.734000000000009</v>
      </c>
      <c r="G64" s="33">
        <f>SUMIF(Data!$C:$C,C64,Data!$DI:$DI)+SUMIF(Data!$C:$C,C64,Data!$DK:$DK)+SUMIF(Data!$C:$C,C64,Data!$DM:$DM)+SUMIF(Data!$C:$C,C64,Data!$DO:$DO)+SUMIF(Data!$C:$C,C64,Data!$DQ:$DQ)+SUMIF(Data!$C:$C,C64,Data!$DS:$DS)+SUMIF(Data!$C:$C,C64,Data!$DU:$DU)+SUMIF(Data!$C:$C,C64,Data!$DW:$DW)+SUMIF(Data!$C:$C,C64,Data!$DY:$DY)+SUMIF(Data!$C:$C,C64,Data!$EA:$EA)+SUMIF(Data!$C:$C,C64,Data!$EC:$EC)+SUMIF(Data!$C:$C,C64,Data!$EE:$EE)+SUMIF(Data!$C:$C,C64,Data!$EG:$EG)+SUMIF(Data!$C:$C,C64,Data!$EI:$EI)+SUMIF(Data!$C:$C,C64,Data!$EK:$EK)+SUMIF(Data!$C:$C,C64,Data!$EM:$EM)+SUMIF(Data!$C:$C,C64,Data!$EO:$EO)+SUMIF(Data!$C:$C,C64,Data!$EQ:$EQ)+SUMIF(Data!$C:$C,C64,Data!$ES:$ES)</f>
        <v>16335.304347826073</v>
      </c>
      <c r="H64" s="34">
        <f>SUMIF(Data!$C:$C,C64,Data!$DJ:$DJ)+SUMIF(Data!$C:$C,C64,Data!$DL:$DL)+SUMIF(Data!$C:$C,C64,Data!$DN:$DN)+SUMIF(Data!$C:$C,C64,Data!$DP:$DP)+SUMIF(Data!$C:$C,C64,Data!$DR:$DR)+SUMIF(Data!$C:$C,C64,Data!$DT:$DT)+SUMIF(Data!$C:$C,C64,Data!$DV:$DV)+SUMIF(Data!$C:$C,C64,Data!$DX:$DX)+SUMIF(Data!$C:$C,C64,Data!$DZ:$DZ)+SUMIF(Data!$C:$C,C64,Data!$EB:$EB)+SUMIF(Data!$C:$C,C64,Data!$ED:$ED)+SUMIF(Data!$C:$C,C64,Data!$EF:$EF)+SUMIF(Data!$C:$C,C64,Data!$EH:$EH)+SUMIF(Data!$C:$C,C64,Data!$EJ:$EJ)+SUMIF(Data!$C:$C,C64,Data!$EL:$EL)+SUMIF(Data!$C:$C,C64,Data!$EN:$EN)+SUMIF(Data!$C:$C,C64,Data!$EP:$EP)+SUMIF(Data!$C:$C,C64,Data!$ER:$ER)+SUMIF(Data!$C:$C,C64,Data!$ET:$ET)</f>
        <v>116.054</v>
      </c>
      <c r="I64" s="33">
        <f>G64/19</f>
        <v>859.75286041189861</v>
      </c>
      <c r="J64" s="34">
        <f>H64/19</f>
        <v>6.1081052631578947</v>
      </c>
      <c r="K64" s="33">
        <f>IFERROR(INDEX(Data!$ES:$ES,MATCH(C64,Data!$C:$C,0)),0)</f>
        <v>1213.25217391304</v>
      </c>
      <c r="L64" s="34">
        <f>IFERROR(INDEX(Data!$ET:$ET,MATCH(C64,Data!$C:$C,0)),0)</f>
        <v>9.3339999999999996</v>
      </c>
      <c r="M64" s="33">
        <f>IFERROR(INDEX(Data!$I$3:$ER$553,MATCH($C64,Data!$C$3:$C$553,0),MATCH(DATE(RIGHT($B$5,4),MID($B$5,4,2),LEFT($B$5,2))-42,Data!$I$1:$ER$1,0)),0)</f>
        <v>976.06956521739096</v>
      </c>
      <c r="N64" s="34" cm="1">
        <f t="array" ref="N64">IFERROR(INDEX(Data!$I$3:$ER$553,MATCH($C64,Data!$C$3:$C$553,0),MATCH(DATE(RIGHT($B$5,4),MID($B$5,4,2),LEFT($B$5,2))-42,Data!$I$1:$ER$1,0)+1),0)</f>
        <v>7.016</v>
      </c>
      <c r="O64" s="33">
        <f>IFERROR(INDEX(Data!$I$3:$ER$553,MATCH($C64,Data!$C$3:$C$553,0),MATCH($M$5,Data!$I$1:$ER$1,0)),0)</f>
        <v>971.33913043478299</v>
      </c>
      <c r="P64" s="34" cm="1">
        <f t="array" ref="P64">IFERROR(INDEX(Data!$I$3:$ER$553,MATCH($C64,Data!$C$3:$C$553,0),MATCH($M$5,Data!$I$1:$ER$1,0)+1),0)</f>
        <v>6.9820000000000002</v>
      </c>
      <c r="Q64" s="49" t="str">
        <f>IF(R64="","",IF(H64=0,0,R64*(G64/H64)))</f>
        <v/>
      </c>
      <c r="R64" s="50"/>
    </row>
    <row r="65" spans="1:18" x14ac:dyDescent="0.35">
      <c r="A65" s="29">
        <v>205</v>
      </c>
      <c r="B65" s="29" t="s">
        <v>533</v>
      </c>
      <c r="C65" s="29">
        <v>34261</v>
      </c>
      <c r="D65" s="29" t="s">
        <v>176</v>
      </c>
      <c r="E65" s="30">
        <v>13336.695652173905</v>
      </c>
      <c r="F65" s="31">
        <v>102.798</v>
      </c>
      <c r="G65" s="30">
        <f>SUMIF(Data!$C:$C,C65,Data!$DI:$DI)+SUMIF(Data!$C:$C,C65,Data!$DK:$DK)+SUMIF(Data!$C:$C,C65,Data!$DM:$DM)+SUMIF(Data!$C:$C,C65,Data!$DO:$DO)+SUMIF(Data!$C:$C,C65,Data!$DQ:$DQ)+SUMIF(Data!$C:$C,C65,Data!$DS:$DS)+SUMIF(Data!$C:$C,C65,Data!$DU:$DU)+SUMIF(Data!$C:$C,C65,Data!$DW:$DW)+SUMIF(Data!$C:$C,C65,Data!$DY:$DY)+SUMIF(Data!$C:$C,C65,Data!$EA:$EA)+SUMIF(Data!$C:$C,C65,Data!$EC:$EC)+SUMIF(Data!$C:$C,C65,Data!$EE:$EE)+SUMIF(Data!$C:$C,C65,Data!$EG:$EG)+SUMIF(Data!$C:$C,C65,Data!$EI:$EI)+SUMIF(Data!$C:$C,C65,Data!$EK:$EK)+SUMIF(Data!$C:$C,C65,Data!$EM:$EM)+SUMIF(Data!$C:$C,C65,Data!$EO:$EO)+SUMIF(Data!$C:$C,C65,Data!$EQ:$EQ)+SUMIF(Data!$C:$C,C65,Data!$ES:$ES)</f>
        <v>16428.234782608695</v>
      </c>
      <c r="H65" s="31">
        <f>SUMIF(Data!$C:$C,C65,Data!$DJ:$DJ)+SUMIF(Data!$C:$C,C65,Data!$DL:$DL)+SUMIF(Data!$C:$C,C65,Data!$DN:$DN)+SUMIF(Data!$C:$C,C65,Data!$DP:$DP)+SUMIF(Data!$C:$C,C65,Data!$DR:$DR)+SUMIF(Data!$C:$C,C65,Data!$DT:$DT)+SUMIF(Data!$C:$C,C65,Data!$DV:$DV)+SUMIF(Data!$C:$C,C65,Data!$DX:$DX)+SUMIF(Data!$C:$C,C65,Data!$DZ:$DZ)+SUMIF(Data!$C:$C,C65,Data!$EB:$EB)+SUMIF(Data!$C:$C,C65,Data!$ED:$ED)+SUMIF(Data!$C:$C,C65,Data!$EF:$EF)+SUMIF(Data!$C:$C,C65,Data!$EH:$EH)+SUMIF(Data!$C:$C,C65,Data!$EJ:$EJ)+SUMIF(Data!$C:$C,C65,Data!$EL:$EL)+SUMIF(Data!$C:$C,C65,Data!$EN:$EN)+SUMIF(Data!$C:$C,C65,Data!$EP:$EP)+SUMIF(Data!$C:$C,C65,Data!$ER:$ER)+SUMIF(Data!$C:$C,C65,Data!$ET:$ET)</f>
        <v>120.16000000000001</v>
      </c>
      <c r="I65" s="30">
        <f>G65/19</f>
        <v>864.64393592677345</v>
      </c>
      <c r="J65" s="31">
        <f>H65/19</f>
        <v>6.3242105263157899</v>
      </c>
      <c r="K65" s="30">
        <f>IFERROR(INDEX(Data!$ES:$ES,MATCH(C65,Data!$C:$C,0)),0)</f>
        <v>2152.53913043478</v>
      </c>
      <c r="L65" s="31">
        <f>IFERROR(INDEX(Data!$ET:$ET,MATCH(C65,Data!$C:$C,0)),0)</f>
        <v>16.556000000000001</v>
      </c>
      <c r="M65" s="30">
        <f>IFERROR(INDEX(Data!$I$3:$ER$553,MATCH($C65,Data!$C$3:$C$553,0),MATCH(DATE(RIGHT($B$5,4),MID($B$5,4,2),LEFT($B$5,2))-42,Data!$I$1:$ER$1,0)),0)</f>
        <v>861.426086956522</v>
      </c>
      <c r="N65" s="31" cm="1">
        <f t="array" ref="N65">IFERROR(INDEX(Data!$I$3:$ER$553,MATCH($C65,Data!$C$3:$C$553,0),MATCH(DATE(RIGHT($B$5,4),MID($B$5,4,2),LEFT($B$5,2))-42,Data!$I$1:$ER$1,0)+1),0)</f>
        <v>6.1920000000000002</v>
      </c>
      <c r="O65" s="30">
        <f>IFERROR(INDEX(Data!$I$3:$ER$553,MATCH($C65,Data!$C$3:$C$553,0),MATCH($M$5,Data!$I$1:$ER$1,0)),0)</f>
        <v>941.18260869565199</v>
      </c>
      <c r="P65" s="31" cm="1">
        <f t="array" ref="P65">IFERROR(INDEX(Data!$I$3:$ER$553,MATCH($C65,Data!$C$3:$C$553,0),MATCH($M$5,Data!$I$1:$ER$1,0)+1),0)</f>
        <v>7.7320000000000002</v>
      </c>
      <c r="Q65" s="49" t="str">
        <f>IF(R65="","",IF(H65=0,0,R65*(G65/H65)))</f>
        <v/>
      </c>
      <c r="R65" s="50"/>
    </row>
    <row r="66" spans="1:18" x14ac:dyDescent="0.35">
      <c r="A66" s="32">
        <v>205</v>
      </c>
      <c r="B66" s="32" t="s">
        <v>533</v>
      </c>
      <c r="C66" s="32">
        <v>34255</v>
      </c>
      <c r="D66" s="32" t="s">
        <v>170</v>
      </c>
      <c r="E66" s="33">
        <v>9997.6434782608685</v>
      </c>
      <c r="F66" s="34">
        <v>80.442000000000007</v>
      </c>
      <c r="G66" s="33">
        <f>SUMIF(Data!$C:$C,C66,Data!$DI:$DI)+SUMIF(Data!$C:$C,C66,Data!$DK:$DK)+SUMIF(Data!$C:$C,C66,Data!$DM:$DM)+SUMIF(Data!$C:$C,C66,Data!$DO:$DO)+SUMIF(Data!$C:$C,C66,Data!$DQ:$DQ)+SUMIF(Data!$C:$C,C66,Data!$DS:$DS)+SUMIF(Data!$C:$C,C66,Data!$DU:$DU)+SUMIF(Data!$C:$C,C66,Data!$DW:$DW)+SUMIF(Data!$C:$C,C66,Data!$DY:$DY)+SUMIF(Data!$C:$C,C66,Data!$EA:$EA)+SUMIF(Data!$C:$C,C66,Data!$EC:$EC)+SUMIF(Data!$C:$C,C66,Data!$EE:$EE)+SUMIF(Data!$C:$C,C66,Data!$EG:$EG)+SUMIF(Data!$C:$C,C66,Data!$EI:$EI)+SUMIF(Data!$C:$C,C66,Data!$EK:$EK)+SUMIF(Data!$C:$C,C66,Data!$EM:$EM)+SUMIF(Data!$C:$C,C66,Data!$EO:$EO)+SUMIF(Data!$C:$C,C66,Data!$EQ:$EQ)+SUMIF(Data!$C:$C,C66,Data!$ES:$ES)</f>
        <v>13348.156521739131</v>
      </c>
      <c r="H66" s="34">
        <f>SUMIF(Data!$C:$C,C66,Data!$DJ:$DJ)+SUMIF(Data!$C:$C,C66,Data!$DL:$DL)+SUMIF(Data!$C:$C,C66,Data!$DN:$DN)+SUMIF(Data!$C:$C,C66,Data!$DP:$DP)+SUMIF(Data!$C:$C,C66,Data!$DR:$DR)+SUMIF(Data!$C:$C,C66,Data!$DT:$DT)+SUMIF(Data!$C:$C,C66,Data!$DV:$DV)+SUMIF(Data!$C:$C,C66,Data!$DX:$DX)+SUMIF(Data!$C:$C,C66,Data!$DZ:$DZ)+SUMIF(Data!$C:$C,C66,Data!$EB:$EB)+SUMIF(Data!$C:$C,C66,Data!$ED:$ED)+SUMIF(Data!$C:$C,C66,Data!$EF:$EF)+SUMIF(Data!$C:$C,C66,Data!$EH:$EH)+SUMIF(Data!$C:$C,C66,Data!$EJ:$EJ)+SUMIF(Data!$C:$C,C66,Data!$EL:$EL)+SUMIF(Data!$C:$C,C66,Data!$EN:$EN)+SUMIF(Data!$C:$C,C66,Data!$EP:$EP)+SUMIF(Data!$C:$C,C66,Data!$ER:$ER)+SUMIF(Data!$C:$C,C66,Data!$ET:$ET)</f>
        <v>102.29600000000002</v>
      </c>
      <c r="I66" s="33">
        <f>G66/19</f>
        <v>702.53455377574369</v>
      </c>
      <c r="J66" s="34">
        <f>H66/19</f>
        <v>5.3840000000000012</v>
      </c>
      <c r="K66" s="33">
        <f>IFERROR(INDEX(Data!$ES:$ES,MATCH(C66,Data!$C:$C,0)),0)</f>
        <v>1885.3913043478301</v>
      </c>
      <c r="L66" s="34">
        <f>IFERROR(INDEX(Data!$ET:$ET,MATCH(C66,Data!$C:$C,0)),0)</f>
        <v>14.456</v>
      </c>
      <c r="M66" s="33">
        <f>IFERROR(INDEX(Data!$I$3:$ER$553,MATCH($C66,Data!$C$3:$C$553,0),MATCH(DATE(RIGHT($B$5,4),MID($B$5,4,2),LEFT($B$5,2))-42,Data!$I$1:$ER$1,0)),0)</f>
        <v>798.94782608695698</v>
      </c>
      <c r="N66" s="34" cm="1">
        <f t="array" ref="N66">IFERROR(INDEX(Data!$I$3:$ER$553,MATCH($C66,Data!$C$3:$C$553,0),MATCH(DATE(RIGHT($B$5,4),MID($B$5,4,2),LEFT($B$5,2))-42,Data!$I$1:$ER$1,0)+1),0)</f>
        <v>5.86</v>
      </c>
      <c r="O66" s="33">
        <f>IFERROR(INDEX(Data!$I$3:$ER$553,MATCH($C66,Data!$C$3:$C$553,0),MATCH($M$5,Data!$I$1:$ER$1,0)),0)</f>
        <v>272.08695652173901</v>
      </c>
      <c r="P66" s="34" cm="1">
        <f t="array" ref="P66">IFERROR(INDEX(Data!$I$3:$ER$553,MATCH($C66,Data!$C$3:$C$553,0),MATCH($M$5,Data!$I$1:$ER$1,0)+1),0)</f>
        <v>2.0859999999999999</v>
      </c>
      <c r="Q66" s="49" t="str">
        <f>IF(R66="","",IF(H66=0,0,R66*(G66/H66)))</f>
        <v/>
      </c>
      <c r="R66" s="50"/>
    </row>
    <row r="67" spans="1:18" x14ac:dyDescent="0.35">
      <c r="A67" s="29">
        <v>205</v>
      </c>
      <c r="B67" s="29" t="s">
        <v>533</v>
      </c>
      <c r="C67" s="29">
        <v>34202</v>
      </c>
      <c r="D67" s="29" t="s">
        <v>168</v>
      </c>
      <c r="E67" s="30">
        <v>44399.591304347829</v>
      </c>
      <c r="F67" s="31">
        <v>528.88100000000009</v>
      </c>
      <c r="G67" s="30">
        <f>SUMIF(Data!$C:$C,C67,Data!$DI:$DI)+SUMIF(Data!$C:$C,C67,Data!$DK:$DK)+SUMIF(Data!$C:$C,C67,Data!$DM:$DM)+SUMIF(Data!$C:$C,C67,Data!$DO:$DO)+SUMIF(Data!$C:$C,C67,Data!$DQ:$DQ)+SUMIF(Data!$C:$C,C67,Data!$DS:$DS)+SUMIF(Data!$C:$C,C67,Data!$DU:$DU)+SUMIF(Data!$C:$C,C67,Data!$DW:$DW)+SUMIF(Data!$C:$C,C67,Data!$DY:$DY)+SUMIF(Data!$C:$C,C67,Data!$EA:$EA)+SUMIF(Data!$C:$C,C67,Data!$EC:$EC)+SUMIF(Data!$C:$C,C67,Data!$EE:$EE)+SUMIF(Data!$C:$C,C67,Data!$EG:$EG)+SUMIF(Data!$C:$C,C67,Data!$EI:$EI)+SUMIF(Data!$C:$C,C67,Data!$EK:$EK)+SUMIF(Data!$C:$C,C67,Data!$EM:$EM)+SUMIF(Data!$C:$C,C67,Data!$EO:$EO)+SUMIF(Data!$C:$C,C67,Data!$EQ:$EQ)+SUMIF(Data!$C:$C,C67,Data!$ES:$ES)</f>
        <v>9130.6782608695721</v>
      </c>
      <c r="H67" s="31">
        <f>SUMIF(Data!$C:$C,C67,Data!$DJ:$DJ)+SUMIF(Data!$C:$C,C67,Data!$DL:$DL)+SUMIF(Data!$C:$C,C67,Data!$DN:$DN)+SUMIF(Data!$C:$C,C67,Data!$DP:$DP)+SUMIF(Data!$C:$C,C67,Data!$DR:$DR)+SUMIF(Data!$C:$C,C67,Data!$DT:$DT)+SUMIF(Data!$C:$C,C67,Data!$DV:$DV)+SUMIF(Data!$C:$C,C67,Data!$DX:$DX)+SUMIF(Data!$C:$C,C67,Data!$DZ:$DZ)+SUMIF(Data!$C:$C,C67,Data!$EB:$EB)+SUMIF(Data!$C:$C,C67,Data!$ED:$ED)+SUMIF(Data!$C:$C,C67,Data!$EF:$EF)+SUMIF(Data!$C:$C,C67,Data!$EH:$EH)+SUMIF(Data!$C:$C,C67,Data!$EJ:$EJ)+SUMIF(Data!$C:$C,C67,Data!$EL:$EL)+SUMIF(Data!$C:$C,C67,Data!$EN:$EN)+SUMIF(Data!$C:$C,C67,Data!$EP:$EP)+SUMIF(Data!$C:$C,C67,Data!$ER:$ER)+SUMIF(Data!$C:$C,C67,Data!$ET:$ET)</f>
        <v>76.02000000000001</v>
      </c>
      <c r="I67" s="30">
        <f>G67/19</f>
        <v>480.56201372997748</v>
      </c>
      <c r="J67" s="31">
        <f>H67/19</f>
        <v>4.0010526315789479</v>
      </c>
      <c r="K67" s="30">
        <f>IFERROR(INDEX(Data!$ES:$ES,MATCH(C67,Data!$C:$C,0)),0)</f>
        <v>0</v>
      </c>
      <c r="L67" s="31">
        <f>IFERROR(INDEX(Data!$ET:$ET,MATCH(C67,Data!$C:$C,0)),0)</f>
        <v>0</v>
      </c>
      <c r="M67" s="30">
        <f>IFERROR(INDEX(Data!$I$3:$ER$553,MATCH($C67,Data!$C$3:$C$553,0),MATCH(DATE(RIGHT($B$5,4),MID($B$5,4,2),LEFT($B$5,2))-42,Data!$I$1:$ER$1,0)),0)</f>
        <v>0</v>
      </c>
      <c r="N67" s="31" cm="1">
        <f t="array" ref="N67">IFERROR(INDEX(Data!$I$3:$ER$553,MATCH($C67,Data!$C$3:$C$553,0),MATCH(DATE(RIGHT($B$5,4),MID($B$5,4,2),LEFT($B$5,2))-42,Data!$I$1:$ER$1,0)+1),0)</f>
        <v>0</v>
      </c>
      <c r="O67" s="30">
        <f>IFERROR(INDEX(Data!$I$3:$ER$553,MATCH($C67,Data!$C$3:$C$553,0),MATCH($M$5,Data!$I$1:$ER$1,0)),0)</f>
        <v>1425.26956521739</v>
      </c>
      <c r="P67" s="31" cm="1">
        <f t="array" ref="P67">IFERROR(INDEX(Data!$I$3:$ER$553,MATCH($C67,Data!$C$3:$C$553,0),MATCH($M$5,Data!$I$1:$ER$1,0)+1),0)</f>
        <v>13.66</v>
      </c>
      <c r="Q67" s="49" t="str">
        <f>IF(R67="","",IF(H67=0,0,R67*(G67/H67)))</f>
        <v/>
      </c>
      <c r="R67" s="50"/>
    </row>
    <row r="68" spans="1:18" x14ac:dyDescent="0.35">
      <c r="A68" s="32">
        <v>205</v>
      </c>
      <c r="B68" s="32" t="s">
        <v>533</v>
      </c>
      <c r="C68" s="32">
        <v>34267</v>
      </c>
      <c r="D68" s="32" t="s">
        <v>181</v>
      </c>
      <c r="E68" s="33">
        <v>5757.4869565217377</v>
      </c>
      <c r="F68" s="34">
        <v>48.322000000000003</v>
      </c>
      <c r="G68" s="33">
        <f>SUMIF(Data!$C:$C,C68,Data!$DI:$DI)+SUMIF(Data!$C:$C,C68,Data!$DK:$DK)+SUMIF(Data!$C:$C,C68,Data!$DM:$DM)+SUMIF(Data!$C:$C,C68,Data!$DO:$DO)+SUMIF(Data!$C:$C,C68,Data!$DQ:$DQ)+SUMIF(Data!$C:$C,C68,Data!$DS:$DS)+SUMIF(Data!$C:$C,C68,Data!$DU:$DU)+SUMIF(Data!$C:$C,C68,Data!$DW:$DW)+SUMIF(Data!$C:$C,C68,Data!$DY:$DY)+SUMIF(Data!$C:$C,C68,Data!$EA:$EA)+SUMIF(Data!$C:$C,C68,Data!$EC:$EC)+SUMIF(Data!$C:$C,C68,Data!$EE:$EE)+SUMIF(Data!$C:$C,C68,Data!$EG:$EG)+SUMIF(Data!$C:$C,C68,Data!$EI:$EI)+SUMIF(Data!$C:$C,C68,Data!$EK:$EK)+SUMIF(Data!$C:$C,C68,Data!$EM:$EM)+SUMIF(Data!$C:$C,C68,Data!$EO:$EO)+SUMIF(Data!$C:$C,C68,Data!$EQ:$EQ)+SUMIF(Data!$C:$C,C68,Data!$ES:$ES)</f>
        <v>8540.4434782608678</v>
      </c>
      <c r="H68" s="34">
        <f>SUMIF(Data!$C:$C,C68,Data!$DJ:$DJ)+SUMIF(Data!$C:$C,C68,Data!$DL:$DL)+SUMIF(Data!$C:$C,C68,Data!$DN:$DN)+SUMIF(Data!$C:$C,C68,Data!$DP:$DP)+SUMIF(Data!$C:$C,C68,Data!$DR:$DR)+SUMIF(Data!$C:$C,C68,Data!$DT:$DT)+SUMIF(Data!$C:$C,C68,Data!$DV:$DV)+SUMIF(Data!$C:$C,C68,Data!$DX:$DX)+SUMIF(Data!$C:$C,C68,Data!$DZ:$DZ)+SUMIF(Data!$C:$C,C68,Data!$EB:$EB)+SUMIF(Data!$C:$C,C68,Data!$ED:$ED)+SUMIF(Data!$C:$C,C68,Data!$EF:$EF)+SUMIF(Data!$C:$C,C68,Data!$EH:$EH)+SUMIF(Data!$C:$C,C68,Data!$EJ:$EJ)+SUMIF(Data!$C:$C,C68,Data!$EL:$EL)+SUMIF(Data!$C:$C,C68,Data!$EN:$EN)+SUMIF(Data!$C:$C,C68,Data!$EP:$EP)+SUMIF(Data!$C:$C,C68,Data!$ER:$ER)+SUMIF(Data!$C:$C,C68,Data!$ET:$ET)</f>
        <v>68.699999999999989</v>
      </c>
      <c r="I68" s="33">
        <f>G68/19</f>
        <v>449.49702517162461</v>
      </c>
      <c r="J68" s="34">
        <f>H68/19</f>
        <v>3.61578947368421</v>
      </c>
      <c r="K68" s="33">
        <f>IFERROR(INDEX(Data!$ES:$ES,MATCH(C68,Data!$C:$C,0)),0)</f>
        <v>749.72173913043503</v>
      </c>
      <c r="L68" s="34">
        <f>IFERROR(INDEX(Data!$ET:$ET,MATCH(C68,Data!$C:$C,0)),0)</f>
        <v>6.2960000000000003</v>
      </c>
      <c r="M68" s="33">
        <f>IFERROR(INDEX(Data!$I$3:$ER$553,MATCH($C68,Data!$C$3:$C$553,0),MATCH(DATE(RIGHT($B$5,4),MID($B$5,4,2),LEFT($B$5,2))-42,Data!$I$1:$ER$1,0)),0)</f>
        <v>338.75652173912999</v>
      </c>
      <c r="N68" s="34" cm="1">
        <f t="array" ref="N68">IFERROR(INDEX(Data!$I$3:$ER$553,MATCH($C68,Data!$C$3:$C$553,0),MATCH(DATE(RIGHT($B$5,4),MID($B$5,4,2),LEFT($B$5,2))-42,Data!$I$1:$ER$1,0)+1),0)</f>
        <v>2.6659999999999999</v>
      </c>
      <c r="O68" s="33">
        <f>IFERROR(INDEX(Data!$I$3:$ER$553,MATCH($C68,Data!$C$3:$C$553,0),MATCH($M$5,Data!$I$1:$ER$1,0)),0)</f>
        <v>305.07826086956499</v>
      </c>
      <c r="P68" s="34" cm="1">
        <f t="array" ref="P68">IFERROR(INDEX(Data!$I$3:$ER$553,MATCH($C68,Data!$C$3:$C$553,0),MATCH($M$5,Data!$I$1:$ER$1,0)+1),0)</f>
        <v>2.9239999999999999</v>
      </c>
      <c r="Q68" s="49" t="str">
        <f>IF(R68="","",IF(H68=0,0,R68*(G68/H68)))</f>
        <v/>
      </c>
      <c r="R68" s="50"/>
    </row>
    <row r="69" spans="1:18" x14ac:dyDescent="0.35">
      <c r="A69" s="29">
        <v>205</v>
      </c>
      <c r="B69" s="29" t="s">
        <v>533</v>
      </c>
      <c r="C69" s="29">
        <v>56816</v>
      </c>
      <c r="D69" s="29" t="s">
        <v>182</v>
      </c>
      <c r="E69" s="30">
        <v>2172.8086956521747</v>
      </c>
      <c r="F69" s="31">
        <v>18.61</v>
      </c>
      <c r="G69" s="30">
        <f>SUMIF(Data!$C:$C,C69,Data!$DI:$DI)+SUMIF(Data!$C:$C,C69,Data!$DK:$DK)+SUMIF(Data!$C:$C,C69,Data!$DM:$DM)+SUMIF(Data!$C:$C,C69,Data!$DO:$DO)+SUMIF(Data!$C:$C,C69,Data!$DQ:$DQ)+SUMIF(Data!$C:$C,C69,Data!$DS:$DS)+SUMIF(Data!$C:$C,C69,Data!$DU:$DU)+SUMIF(Data!$C:$C,C69,Data!$DW:$DW)+SUMIF(Data!$C:$C,C69,Data!$DY:$DY)+SUMIF(Data!$C:$C,C69,Data!$EA:$EA)+SUMIF(Data!$C:$C,C69,Data!$EC:$EC)+SUMIF(Data!$C:$C,C69,Data!$EE:$EE)+SUMIF(Data!$C:$C,C69,Data!$EG:$EG)+SUMIF(Data!$C:$C,C69,Data!$EI:$EI)+SUMIF(Data!$C:$C,C69,Data!$EK:$EK)+SUMIF(Data!$C:$C,C69,Data!$EM:$EM)+SUMIF(Data!$C:$C,C69,Data!$EO:$EO)+SUMIF(Data!$C:$C,C69,Data!$EQ:$EQ)+SUMIF(Data!$C:$C,C69,Data!$ES:$ES)</f>
        <v>7718.2521739130425</v>
      </c>
      <c r="H69" s="31">
        <f>SUMIF(Data!$C:$C,C69,Data!$DJ:$DJ)+SUMIF(Data!$C:$C,C69,Data!$DL:$DL)+SUMIF(Data!$C:$C,C69,Data!$DN:$DN)+SUMIF(Data!$C:$C,C69,Data!$DP:$DP)+SUMIF(Data!$C:$C,C69,Data!$DR:$DR)+SUMIF(Data!$C:$C,C69,Data!$DT:$DT)+SUMIF(Data!$C:$C,C69,Data!$DV:$DV)+SUMIF(Data!$C:$C,C69,Data!$DX:$DX)+SUMIF(Data!$C:$C,C69,Data!$DZ:$DZ)+SUMIF(Data!$C:$C,C69,Data!$EB:$EB)+SUMIF(Data!$C:$C,C69,Data!$ED:$ED)+SUMIF(Data!$C:$C,C69,Data!$EF:$EF)+SUMIF(Data!$C:$C,C69,Data!$EH:$EH)+SUMIF(Data!$C:$C,C69,Data!$EJ:$EJ)+SUMIF(Data!$C:$C,C69,Data!$EL:$EL)+SUMIF(Data!$C:$C,C69,Data!$EN:$EN)+SUMIF(Data!$C:$C,C69,Data!$EP:$EP)+SUMIF(Data!$C:$C,C69,Data!$ER:$ER)+SUMIF(Data!$C:$C,C69,Data!$ET:$ET)</f>
        <v>69.546000000000006</v>
      </c>
      <c r="I69" s="30">
        <f>G69/19</f>
        <v>406.22379862700222</v>
      </c>
      <c r="J69" s="31">
        <f>H69/19</f>
        <v>3.6603157894736844</v>
      </c>
      <c r="K69" s="30">
        <f>IFERROR(INDEX(Data!$ES:$ES,MATCH(C69,Data!$C:$C,0)),0)</f>
        <v>862.86086956521694</v>
      </c>
      <c r="L69" s="31">
        <f>IFERROR(INDEX(Data!$ET:$ET,MATCH(C69,Data!$C:$C,0)),0)</f>
        <v>8.0960000000000001</v>
      </c>
      <c r="M69" s="30">
        <f>IFERROR(INDEX(Data!$I$3:$ER$553,MATCH($C69,Data!$C$3:$C$553,0),MATCH(DATE(RIGHT($B$5,4),MID($B$5,4,2),LEFT($B$5,2))-42,Data!$I$1:$ER$1,0)),0)</f>
        <v>663.46086956521697</v>
      </c>
      <c r="N69" s="31" cm="1">
        <f t="array" ref="N69">IFERROR(INDEX(Data!$I$3:$ER$553,MATCH($C69,Data!$C$3:$C$553,0),MATCH(DATE(RIGHT($B$5,4),MID($B$5,4,2),LEFT($B$5,2))-42,Data!$I$1:$ER$1,0)+1),0)</f>
        <v>5.9</v>
      </c>
      <c r="O69" s="30">
        <f>IFERROR(INDEX(Data!$I$3:$ER$553,MATCH($C69,Data!$C$3:$C$553,0),MATCH($M$5,Data!$I$1:$ER$1,0)),0)</f>
        <v>75.365217391304398</v>
      </c>
      <c r="P69" s="31" cm="1">
        <f t="array" ref="P69">IFERROR(INDEX(Data!$I$3:$ER$553,MATCH($C69,Data!$C$3:$C$553,0),MATCH($M$5,Data!$I$1:$ER$1,0)+1),0)</f>
        <v>0.78800000000000003</v>
      </c>
      <c r="Q69" s="49" t="str">
        <f>IF(R69="","",IF(H69=0,0,R69*(G69/H69)))</f>
        <v/>
      </c>
      <c r="R69" s="50"/>
    </row>
    <row r="70" spans="1:18" x14ac:dyDescent="0.35">
      <c r="A70" s="32">
        <v>205</v>
      </c>
      <c r="B70" s="32" t="s">
        <v>533</v>
      </c>
      <c r="C70" s="32">
        <v>34266</v>
      </c>
      <c r="D70" s="32" t="s">
        <v>180</v>
      </c>
      <c r="E70" s="33">
        <v>3012.6608695652176</v>
      </c>
      <c r="F70" s="34">
        <v>24.861999999999998</v>
      </c>
      <c r="G70" s="33">
        <f>SUMIF(Data!$C:$C,C70,Data!$DI:$DI)+SUMIF(Data!$C:$C,C70,Data!$DK:$DK)+SUMIF(Data!$C:$C,C70,Data!$DM:$DM)+SUMIF(Data!$C:$C,C70,Data!$DO:$DO)+SUMIF(Data!$C:$C,C70,Data!$DQ:$DQ)+SUMIF(Data!$C:$C,C70,Data!$DS:$DS)+SUMIF(Data!$C:$C,C70,Data!$DU:$DU)+SUMIF(Data!$C:$C,C70,Data!$DW:$DW)+SUMIF(Data!$C:$C,C70,Data!$DY:$DY)+SUMIF(Data!$C:$C,C70,Data!$EA:$EA)+SUMIF(Data!$C:$C,C70,Data!$EC:$EC)+SUMIF(Data!$C:$C,C70,Data!$EE:$EE)+SUMIF(Data!$C:$C,C70,Data!$EG:$EG)+SUMIF(Data!$C:$C,C70,Data!$EI:$EI)+SUMIF(Data!$C:$C,C70,Data!$EK:$EK)+SUMIF(Data!$C:$C,C70,Data!$EM:$EM)+SUMIF(Data!$C:$C,C70,Data!$EO:$EO)+SUMIF(Data!$C:$C,C70,Data!$EQ:$EQ)+SUMIF(Data!$C:$C,C70,Data!$ES:$ES)</f>
        <v>3436.8869565217378</v>
      </c>
      <c r="H70" s="34">
        <f>SUMIF(Data!$C:$C,C70,Data!$DJ:$DJ)+SUMIF(Data!$C:$C,C70,Data!$DL:$DL)+SUMIF(Data!$C:$C,C70,Data!$DN:$DN)+SUMIF(Data!$C:$C,C70,Data!$DP:$DP)+SUMIF(Data!$C:$C,C70,Data!$DR:$DR)+SUMIF(Data!$C:$C,C70,Data!$DT:$DT)+SUMIF(Data!$C:$C,C70,Data!$DV:$DV)+SUMIF(Data!$C:$C,C70,Data!$DX:$DX)+SUMIF(Data!$C:$C,C70,Data!$DZ:$DZ)+SUMIF(Data!$C:$C,C70,Data!$EB:$EB)+SUMIF(Data!$C:$C,C70,Data!$ED:$ED)+SUMIF(Data!$C:$C,C70,Data!$EF:$EF)+SUMIF(Data!$C:$C,C70,Data!$EH:$EH)+SUMIF(Data!$C:$C,C70,Data!$EJ:$EJ)+SUMIF(Data!$C:$C,C70,Data!$EL:$EL)+SUMIF(Data!$C:$C,C70,Data!$EN:$EN)+SUMIF(Data!$C:$C,C70,Data!$EP:$EP)+SUMIF(Data!$C:$C,C70,Data!$ER:$ER)+SUMIF(Data!$C:$C,C70,Data!$ET:$ET)</f>
        <v>26.752000000000006</v>
      </c>
      <c r="I70" s="33">
        <f>G70/19</f>
        <v>180.88878718535463</v>
      </c>
      <c r="J70" s="34">
        <f>H70/19</f>
        <v>1.4080000000000004</v>
      </c>
      <c r="K70" s="33">
        <f>IFERROR(INDEX(Data!$ES:$ES,MATCH(C70,Data!$C:$C,0)),0)</f>
        <v>133.89565217391299</v>
      </c>
      <c r="L70" s="34">
        <f>IFERROR(INDEX(Data!$ET:$ET,MATCH(C70,Data!$C:$C,0)),0)</f>
        <v>1.1000000000000001</v>
      </c>
      <c r="M70" s="33">
        <f>IFERROR(INDEX(Data!$I$3:$ER$553,MATCH($C70,Data!$C$3:$C$553,0),MATCH(DATE(RIGHT($B$5,4),MID($B$5,4,2),LEFT($B$5,2))-42,Data!$I$1:$ER$1,0)),0)</f>
        <v>169.55652173913001</v>
      </c>
      <c r="N70" s="34" cm="1">
        <f t="array" ref="N70">IFERROR(INDEX(Data!$I$3:$ER$553,MATCH($C70,Data!$C$3:$C$553,0),MATCH(DATE(RIGHT($B$5,4),MID($B$5,4,2),LEFT($B$5,2))-42,Data!$I$1:$ER$1,0)+1),0)</f>
        <v>1.3</v>
      </c>
      <c r="O70" s="33">
        <f>IFERROR(INDEX(Data!$I$3:$ER$553,MATCH($C70,Data!$C$3:$C$553,0),MATCH($M$5,Data!$I$1:$ER$1,0)),0)</f>
        <v>146.93913043478301</v>
      </c>
      <c r="P70" s="34" cm="1">
        <f t="array" ref="P70">IFERROR(INDEX(Data!$I$3:$ER$553,MATCH($C70,Data!$C$3:$C$553,0),MATCH($M$5,Data!$I$1:$ER$1,0)+1),0)</f>
        <v>1.3</v>
      </c>
      <c r="Q70" s="49" t="str">
        <f>IF(R70="","",IF(H70=0,0,R70*(G70/H70)))</f>
        <v/>
      </c>
      <c r="R70" s="50"/>
    </row>
    <row r="71" spans="1:18" x14ac:dyDescent="0.35">
      <c r="A71" s="29">
        <v>205</v>
      </c>
      <c r="B71" s="29" t="s">
        <v>533</v>
      </c>
      <c r="C71" s="29">
        <v>34257</v>
      </c>
      <c r="D71" s="29" t="s">
        <v>172</v>
      </c>
      <c r="E71" s="30">
        <v>1069.2347826086971</v>
      </c>
      <c r="F71" s="31">
        <v>8.1980000000000004</v>
      </c>
      <c r="G71" s="30">
        <f>SUMIF(Data!$C:$C,C71,Data!$DI:$DI)+SUMIF(Data!$C:$C,C71,Data!$DK:$DK)+SUMIF(Data!$C:$C,C71,Data!$DM:$DM)+SUMIF(Data!$C:$C,C71,Data!$DO:$DO)+SUMIF(Data!$C:$C,C71,Data!$DQ:$DQ)+SUMIF(Data!$C:$C,C71,Data!$DS:$DS)+SUMIF(Data!$C:$C,C71,Data!$DU:$DU)+SUMIF(Data!$C:$C,C71,Data!$DW:$DW)+SUMIF(Data!$C:$C,C71,Data!$DY:$DY)+SUMIF(Data!$C:$C,C71,Data!$EA:$EA)+SUMIF(Data!$C:$C,C71,Data!$EC:$EC)+SUMIF(Data!$C:$C,C71,Data!$EE:$EE)+SUMIF(Data!$C:$C,C71,Data!$EG:$EG)+SUMIF(Data!$C:$C,C71,Data!$EI:$EI)+SUMIF(Data!$C:$C,C71,Data!$EK:$EK)+SUMIF(Data!$C:$C,C71,Data!$EM:$EM)+SUMIF(Data!$C:$C,C71,Data!$EO:$EO)+SUMIF(Data!$C:$C,C71,Data!$EQ:$EQ)+SUMIF(Data!$C:$C,C71,Data!$ES:$ES)</f>
        <v>3065.1826086956517</v>
      </c>
      <c r="H71" s="31">
        <f>SUMIF(Data!$C:$C,C71,Data!$DJ:$DJ)+SUMIF(Data!$C:$C,C71,Data!$DL:$DL)+SUMIF(Data!$C:$C,C71,Data!$DN:$DN)+SUMIF(Data!$C:$C,C71,Data!$DP:$DP)+SUMIF(Data!$C:$C,C71,Data!$DR:$DR)+SUMIF(Data!$C:$C,C71,Data!$DT:$DT)+SUMIF(Data!$C:$C,C71,Data!$DV:$DV)+SUMIF(Data!$C:$C,C71,Data!$DX:$DX)+SUMIF(Data!$C:$C,C71,Data!$DZ:$DZ)+SUMIF(Data!$C:$C,C71,Data!$EB:$EB)+SUMIF(Data!$C:$C,C71,Data!$ED:$ED)+SUMIF(Data!$C:$C,C71,Data!$EF:$EF)+SUMIF(Data!$C:$C,C71,Data!$EH:$EH)+SUMIF(Data!$C:$C,C71,Data!$EJ:$EJ)+SUMIF(Data!$C:$C,C71,Data!$EL:$EL)+SUMIF(Data!$C:$C,C71,Data!$EN:$EN)+SUMIF(Data!$C:$C,C71,Data!$EP:$EP)+SUMIF(Data!$C:$C,C71,Data!$ER:$ER)+SUMIF(Data!$C:$C,C71,Data!$ET:$ET)</f>
        <v>23.419000000000004</v>
      </c>
      <c r="I71" s="30">
        <f>G71/19</f>
        <v>161.32540045766586</v>
      </c>
      <c r="J71" s="31">
        <f>H71/19</f>
        <v>1.2325789473684212</v>
      </c>
      <c r="K71" s="30">
        <f>IFERROR(INDEX(Data!$ES:$ES,MATCH(C71,Data!$C:$C,0)),0)</f>
        <v>312.591304347826</v>
      </c>
      <c r="L71" s="31">
        <f>IFERROR(INDEX(Data!$ET:$ET,MATCH(C71,Data!$C:$C,0)),0)</f>
        <v>2.5680000000000001</v>
      </c>
      <c r="M71" s="30">
        <f>IFERROR(INDEX(Data!$I$3:$ER$553,MATCH($C71,Data!$C$3:$C$553,0),MATCH(DATE(RIGHT($B$5,4),MID($B$5,4,2),LEFT($B$5,2))-42,Data!$I$1:$ER$1,0)),0)</f>
        <v>114.26086956521701</v>
      </c>
      <c r="N71" s="31" cm="1">
        <f t="array" ref="N71">IFERROR(INDEX(Data!$I$3:$ER$553,MATCH($C71,Data!$C$3:$C$553,0),MATCH(DATE(RIGHT($B$5,4),MID($B$5,4,2),LEFT($B$5,2))-42,Data!$I$1:$ER$1,0)+1),0)</f>
        <v>0.876</v>
      </c>
      <c r="O71" s="30">
        <f>IFERROR(INDEX(Data!$I$3:$ER$553,MATCH($C71,Data!$C$3:$C$553,0),MATCH($M$5,Data!$I$1:$ER$1,0)),0)</f>
        <v>0</v>
      </c>
      <c r="P71" s="31" cm="1">
        <f t="array" ref="P71">IFERROR(INDEX(Data!$I$3:$ER$553,MATCH($C71,Data!$C$3:$C$553,0),MATCH($M$5,Data!$I$1:$ER$1,0)+1),0)</f>
        <v>0</v>
      </c>
      <c r="Q71" s="49" t="str">
        <f>IF(R71="","",IF(H71=0,0,R71*(G71/H71)))</f>
        <v/>
      </c>
      <c r="R71" s="50"/>
    </row>
    <row r="72" spans="1:18" x14ac:dyDescent="0.35">
      <c r="A72" s="32">
        <v>205</v>
      </c>
      <c r="B72" s="32" t="s">
        <v>533</v>
      </c>
      <c r="C72" s="32">
        <v>34264</v>
      </c>
      <c r="D72" s="32" t="s">
        <v>178</v>
      </c>
      <c r="E72" s="33">
        <v>2298.2956521739143</v>
      </c>
      <c r="F72" s="34">
        <v>18.501999999999999</v>
      </c>
      <c r="G72" s="33">
        <f>SUMIF(Data!$C:$C,C72,Data!$DI:$DI)+SUMIF(Data!$C:$C,C72,Data!$DK:$DK)+SUMIF(Data!$C:$C,C72,Data!$DM:$DM)+SUMIF(Data!$C:$C,C72,Data!$DO:$DO)+SUMIF(Data!$C:$C,C72,Data!$DQ:$DQ)+SUMIF(Data!$C:$C,C72,Data!$DS:$DS)+SUMIF(Data!$C:$C,C72,Data!$DU:$DU)+SUMIF(Data!$C:$C,C72,Data!$DW:$DW)+SUMIF(Data!$C:$C,C72,Data!$DY:$DY)+SUMIF(Data!$C:$C,C72,Data!$EA:$EA)+SUMIF(Data!$C:$C,C72,Data!$EC:$EC)+SUMIF(Data!$C:$C,C72,Data!$EE:$EE)+SUMIF(Data!$C:$C,C72,Data!$EG:$EG)+SUMIF(Data!$C:$C,C72,Data!$EI:$EI)+SUMIF(Data!$C:$C,C72,Data!$EK:$EK)+SUMIF(Data!$C:$C,C72,Data!$EM:$EM)+SUMIF(Data!$C:$C,C72,Data!$EO:$EO)+SUMIF(Data!$C:$C,C72,Data!$EQ:$EQ)+SUMIF(Data!$C:$C,C72,Data!$ES:$ES)</f>
        <v>2943.0260869565232</v>
      </c>
      <c r="H72" s="34">
        <f>SUMIF(Data!$C:$C,C72,Data!$DJ:$DJ)+SUMIF(Data!$C:$C,C72,Data!$DL:$DL)+SUMIF(Data!$C:$C,C72,Data!$DN:$DN)+SUMIF(Data!$C:$C,C72,Data!$DP:$DP)+SUMIF(Data!$C:$C,C72,Data!$DR:$DR)+SUMIF(Data!$C:$C,C72,Data!$DT:$DT)+SUMIF(Data!$C:$C,C72,Data!$DV:$DV)+SUMIF(Data!$C:$C,C72,Data!$DX:$DX)+SUMIF(Data!$C:$C,C72,Data!$DZ:$DZ)+SUMIF(Data!$C:$C,C72,Data!$EB:$EB)+SUMIF(Data!$C:$C,C72,Data!$ED:$ED)+SUMIF(Data!$C:$C,C72,Data!$EF:$EF)+SUMIF(Data!$C:$C,C72,Data!$EH:$EH)+SUMIF(Data!$C:$C,C72,Data!$EJ:$EJ)+SUMIF(Data!$C:$C,C72,Data!$EL:$EL)+SUMIF(Data!$C:$C,C72,Data!$EN:$EN)+SUMIF(Data!$C:$C,C72,Data!$EP:$EP)+SUMIF(Data!$C:$C,C72,Data!$ER:$ER)+SUMIF(Data!$C:$C,C72,Data!$ET:$ET)</f>
        <v>24.463999999999999</v>
      </c>
      <c r="I72" s="33">
        <f>G72/19</f>
        <v>154.896109839817</v>
      </c>
      <c r="J72" s="34">
        <f>H72/19</f>
        <v>1.2875789473684209</v>
      </c>
      <c r="K72" s="33">
        <f>IFERROR(INDEX(Data!$ES:$ES,MATCH(C72,Data!$C:$C,0)),0)</f>
        <v>328.426086956522</v>
      </c>
      <c r="L72" s="34">
        <f>IFERROR(INDEX(Data!$ET:$ET,MATCH(C72,Data!$C:$C,0)),0)</f>
        <v>2.698</v>
      </c>
      <c r="M72" s="33">
        <f>IFERROR(INDEX(Data!$I$3:$ER$553,MATCH($C72,Data!$C$3:$C$553,0),MATCH(DATE(RIGHT($B$5,4),MID($B$5,4,2),LEFT($B$5,2))-42,Data!$I$1:$ER$1,0)),0)</f>
        <v>124.626086956522</v>
      </c>
      <c r="N72" s="34" cm="1">
        <f t="array" ref="N72">IFERROR(INDEX(Data!$I$3:$ER$553,MATCH($C72,Data!$C$3:$C$553,0),MATCH(DATE(RIGHT($B$5,4),MID($B$5,4,2),LEFT($B$5,2))-42,Data!$I$1:$ER$1,0)+1),0)</f>
        <v>0.98199999999999998</v>
      </c>
      <c r="O72" s="33">
        <f>IFERROR(INDEX(Data!$I$3:$ER$553,MATCH($C72,Data!$C$3:$C$553,0),MATCH($M$5,Data!$I$1:$ER$1,0)),0)</f>
        <v>96.6</v>
      </c>
      <c r="P72" s="34" cm="1">
        <f t="array" ref="P72">IFERROR(INDEX(Data!$I$3:$ER$553,MATCH($C72,Data!$C$3:$C$553,0),MATCH($M$5,Data!$I$1:$ER$1,0)+1),0)</f>
        <v>1.01</v>
      </c>
      <c r="Q72" s="49" t="str">
        <f>IF(R72="","",IF(H72=0,0,R72*(G72/H72)))</f>
        <v/>
      </c>
      <c r="R72" s="50"/>
    </row>
    <row r="73" spans="1:18" x14ac:dyDescent="0.35">
      <c r="A73" s="29">
        <v>205</v>
      </c>
      <c r="B73" s="29" t="s">
        <v>533</v>
      </c>
      <c r="C73" s="29">
        <v>34262</v>
      </c>
      <c r="D73" s="29" t="s">
        <v>177</v>
      </c>
      <c r="E73" s="30">
        <v>0</v>
      </c>
      <c r="F73" s="31">
        <v>0</v>
      </c>
      <c r="G73" s="30">
        <f>SUMIF(Data!$C:$C,C73,Data!$DI:$DI)+SUMIF(Data!$C:$C,C73,Data!$DK:$DK)+SUMIF(Data!$C:$C,C73,Data!$DM:$DM)+SUMIF(Data!$C:$C,C73,Data!$DO:$DO)+SUMIF(Data!$C:$C,C73,Data!$DQ:$DQ)+SUMIF(Data!$C:$C,C73,Data!$DS:$DS)+SUMIF(Data!$C:$C,C73,Data!$DU:$DU)+SUMIF(Data!$C:$C,C73,Data!$DW:$DW)+SUMIF(Data!$C:$C,C73,Data!$DY:$DY)+SUMIF(Data!$C:$C,C73,Data!$EA:$EA)+SUMIF(Data!$C:$C,C73,Data!$EC:$EC)+SUMIF(Data!$C:$C,C73,Data!$EE:$EE)+SUMIF(Data!$C:$C,C73,Data!$EG:$EG)+SUMIF(Data!$C:$C,C73,Data!$EI:$EI)+SUMIF(Data!$C:$C,C73,Data!$EK:$EK)+SUMIF(Data!$C:$C,C73,Data!$EM:$EM)+SUMIF(Data!$C:$C,C73,Data!$EO:$EO)+SUMIF(Data!$C:$C,C73,Data!$EQ:$EQ)+SUMIF(Data!$C:$C,C73,Data!$ES:$ES)</f>
        <v>494.426086956522</v>
      </c>
      <c r="H73" s="31">
        <f>SUMIF(Data!$C:$C,C73,Data!$DJ:$DJ)+SUMIF(Data!$C:$C,C73,Data!$DL:$DL)+SUMIF(Data!$C:$C,C73,Data!$DN:$DN)+SUMIF(Data!$C:$C,C73,Data!$DP:$DP)+SUMIF(Data!$C:$C,C73,Data!$DR:$DR)+SUMIF(Data!$C:$C,C73,Data!$DT:$DT)+SUMIF(Data!$C:$C,C73,Data!$DV:$DV)+SUMIF(Data!$C:$C,C73,Data!$DX:$DX)+SUMIF(Data!$C:$C,C73,Data!$DZ:$DZ)+SUMIF(Data!$C:$C,C73,Data!$EB:$EB)+SUMIF(Data!$C:$C,C73,Data!$ED:$ED)+SUMIF(Data!$C:$C,C73,Data!$EF:$EF)+SUMIF(Data!$C:$C,C73,Data!$EH:$EH)+SUMIF(Data!$C:$C,C73,Data!$EJ:$EJ)+SUMIF(Data!$C:$C,C73,Data!$EL:$EL)+SUMIF(Data!$C:$C,C73,Data!$EN:$EN)+SUMIF(Data!$C:$C,C73,Data!$EP:$EP)+SUMIF(Data!$C:$C,C73,Data!$ER:$ER)+SUMIF(Data!$C:$C,C73,Data!$ET:$ET)</f>
        <v>4.0919999999999996</v>
      </c>
      <c r="I73" s="30">
        <f>G73/19</f>
        <v>26.02242562929063</v>
      </c>
      <c r="J73" s="31">
        <f>H73/19</f>
        <v>0.21536842105263157</v>
      </c>
      <c r="K73" s="30">
        <f>IFERROR(INDEX(Data!$ES:$ES,MATCH(C73,Data!$C:$C,0)),0)</f>
        <v>0</v>
      </c>
      <c r="L73" s="31">
        <f>IFERROR(INDEX(Data!$ET:$ET,MATCH(C73,Data!$C:$C,0)),0)</f>
        <v>0</v>
      </c>
      <c r="M73" s="30">
        <f>IFERROR(INDEX(Data!$I$3:$ER$553,MATCH($C73,Data!$C$3:$C$553,0),MATCH(DATE(RIGHT($B$5,4),MID($B$5,4,2),LEFT($B$5,2))-42,Data!$I$1:$ER$1,0)),0)</f>
        <v>0</v>
      </c>
      <c r="N73" s="31" cm="1">
        <f t="array" ref="N73">IFERROR(INDEX(Data!$I$3:$ER$553,MATCH($C73,Data!$C$3:$C$553,0),MATCH(DATE(RIGHT($B$5,4),MID($B$5,4,2),LEFT($B$5,2))-42,Data!$I$1:$ER$1,0)+1),0)</f>
        <v>0</v>
      </c>
      <c r="O73" s="30">
        <f>IFERROR(INDEX(Data!$I$3:$ER$553,MATCH($C73,Data!$C$3:$C$553,0),MATCH($M$5,Data!$I$1:$ER$1,0)),0)</f>
        <v>0</v>
      </c>
      <c r="P73" s="31" cm="1">
        <f t="array" ref="P73">IFERROR(INDEX(Data!$I$3:$ER$553,MATCH($C73,Data!$C$3:$C$553,0),MATCH($M$5,Data!$I$1:$ER$1,0)+1),0)</f>
        <v>0</v>
      </c>
      <c r="Q73" s="49" t="str">
        <f>IF(R73="","",IF(H73=0,0,R73*(G73/H73)))</f>
        <v/>
      </c>
      <c r="R73" s="50"/>
    </row>
    <row r="74" spans="1:18" x14ac:dyDescent="0.35">
      <c r="A74" s="32">
        <v>205</v>
      </c>
      <c r="B74" s="32" t="s">
        <v>533</v>
      </c>
      <c r="C74" s="32">
        <v>34256</v>
      </c>
      <c r="D74" s="32" t="s">
        <v>171</v>
      </c>
      <c r="E74" s="33">
        <v>1733.8608695652179</v>
      </c>
      <c r="F74" s="34">
        <v>14.87</v>
      </c>
      <c r="G74" s="33">
        <f>SUMIF(Data!$C:$C,C74,Data!$DI:$DI)+SUMIF(Data!$C:$C,C74,Data!$DK:$DK)+SUMIF(Data!$C:$C,C74,Data!$DM:$DM)+SUMIF(Data!$C:$C,C74,Data!$DO:$DO)+SUMIF(Data!$C:$C,C74,Data!$DQ:$DQ)+SUMIF(Data!$C:$C,C74,Data!$DS:$DS)+SUMIF(Data!$C:$C,C74,Data!$DU:$DU)+SUMIF(Data!$C:$C,C74,Data!$DW:$DW)+SUMIF(Data!$C:$C,C74,Data!$DY:$DY)+SUMIF(Data!$C:$C,C74,Data!$EA:$EA)+SUMIF(Data!$C:$C,C74,Data!$EC:$EC)+SUMIF(Data!$C:$C,C74,Data!$EE:$EE)+SUMIF(Data!$C:$C,C74,Data!$EG:$EG)+SUMIF(Data!$C:$C,C74,Data!$EI:$EI)+SUMIF(Data!$C:$C,C74,Data!$EK:$EK)+SUMIF(Data!$C:$C,C74,Data!$EM:$EM)+SUMIF(Data!$C:$C,C74,Data!$EO:$EO)+SUMIF(Data!$C:$C,C74,Data!$EQ:$EQ)+SUMIF(Data!$C:$C,C74,Data!$ES:$ES)</f>
        <v>690.89565217391305</v>
      </c>
      <c r="H74" s="34">
        <f>SUMIF(Data!$C:$C,C74,Data!$DJ:$DJ)+SUMIF(Data!$C:$C,C74,Data!$DL:$DL)+SUMIF(Data!$C:$C,C74,Data!$DN:$DN)+SUMIF(Data!$C:$C,C74,Data!$DP:$DP)+SUMIF(Data!$C:$C,C74,Data!$DR:$DR)+SUMIF(Data!$C:$C,C74,Data!$DT:$DT)+SUMIF(Data!$C:$C,C74,Data!$DV:$DV)+SUMIF(Data!$C:$C,C74,Data!$DX:$DX)+SUMIF(Data!$C:$C,C74,Data!$DZ:$DZ)+SUMIF(Data!$C:$C,C74,Data!$EB:$EB)+SUMIF(Data!$C:$C,C74,Data!$ED:$ED)+SUMIF(Data!$C:$C,C74,Data!$EF:$EF)+SUMIF(Data!$C:$C,C74,Data!$EH:$EH)+SUMIF(Data!$C:$C,C74,Data!$EJ:$EJ)+SUMIF(Data!$C:$C,C74,Data!$EL:$EL)+SUMIF(Data!$C:$C,C74,Data!$EN:$EN)+SUMIF(Data!$C:$C,C74,Data!$EP:$EP)+SUMIF(Data!$C:$C,C74,Data!$ER:$ER)+SUMIF(Data!$C:$C,C74,Data!$ET:$ET)</f>
        <v>5.4180000000000001</v>
      </c>
      <c r="I74" s="33">
        <f>G74/19</f>
        <v>36.362929061784897</v>
      </c>
      <c r="J74" s="34">
        <f>H74/19</f>
        <v>0.28515789473684211</v>
      </c>
      <c r="K74" s="33">
        <f>IFERROR(INDEX(Data!$ES:$ES,MATCH(C74,Data!$C:$C,0)),0)</f>
        <v>220.565217391304</v>
      </c>
      <c r="L74" s="34">
        <f>IFERROR(INDEX(Data!$ET:$ET,MATCH(C74,Data!$C:$C,0)),0)</f>
        <v>1.8120000000000001</v>
      </c>
      <c r="M74" s="33">
        <f>IFERROR(INDEX(Data!$I$3:$ER$553,MATCH($C74,Data!$C$3:$C$553,0),MATCH(DATE(RIGHT($B$5,4),MID($B$5,4,2),LEFT($B$5,2))-42,Data!$I$1:$ER$1,0)),0)</f>
        <v>0</v>
      </c>
      <c r="N74" s="34" cm="1">
        <f t="array" ref="N74">IFERROR(INDEX(Data!$I$3:$ER$553,MATCH($C74,Data!$C$3:$C$553,0),MATCH(DATE(RIGHT($B$5,4),MID($B$5,4,2),LEFT($B$5,2))-42,Data!$I$1:$ER$1,0)+1),0)</f>
        <v>0</v>
      </c>
      <c r="O74" s="33">
        <f>IFERROR(INDEX(Data!$I$3:$ER$553,MATCH($C74,Data!$C$3:$C$553,0),MATCH($M$5,Data!$I$1:$ER$1,0)),0)</f>
        <v>57.243478260869601</v>
      </c>
      <c r="P74" s="34" cm="1">
        <f t="array" ref="P74">IFERROR(INDEX(Data!$I$3:$ER$553,MATCH($C74,Data!$C$3:$C$553,0),MATCH($M$5,Data!$I$1:$ER$1,0)+1),0)</f>
        <v>0.63</v>
      </c>
      <c r="Q74" s="49" t="str">
        <f>IF(R74="","",IF(H74=0,0,R74*(G74/H74)))</f>
        <v/>
      </c>
      <c r="R74" s="50"/>
    </row>
    <row r="75" spans="1:18" ht="13.5" thickBot="1" x14ac:dyDescent="0.4">
      <c r="A75" s="54" t="s">
        <v>688</v>
      </c>
      <c r="B75" s="54"/>
      <c r="C75" s="54"/>
      <c r="D75" s="54"/>
      <c r="E75" s="55">
        <f>SUM(E64:E74)</f>
        <v>94731.3652173913</v>
      </c>
      <c r="F75" s="56">
        <f>SUM(F64:F74)</f>
        <v>929.21900000000005</v>
      </c>
      <c r="G75" s="55">
        <f>SUM(G64:G74)</f>
        <v>82131.486956521723</v>
      </c>
      <c r="H75" s="56">
        <f>SUM(H64:H74)</f>
        <v>636.92099999999982</v>
      </c>
      <c r="I75" s="55">
        <f>AVERAGE(I64:I74)</f>
        <v>392.97362180153937</v>
      </c>
      <c r="J75" s="56">
        <f>AVERAGE(J64:J74)</f>
        <v>3.0474688995215313</v>
      </c>
      <c r="K75" s="55">
        <f>SUM(K64:K74)</f>
        <v>7859.2434782608661</v>
      </c>
      <c r="L75" s="56">
        <f>SUM(L64:L74)</f>
        <v>62.915999999999997</v>
      </c>
      <c r="M75" s="55">
        <f>SUM(M64:M74)</f>
        <v>4047.1043478260858</v>
      </c>
      <c r="N75" s="56">
        <f>SUM(N64:N74)</f>
        <v>30.792000000000002</v>
      </c>
      <c r="O75" s="55">
        <f>SUM(O64:O74)</f>
        <v>4291.1043478260863</v>
      </c>
      <c r="P75" s="56">
        <f>SUM(P64:P74)</f>
        <v>37.111999999999995</v>
      </c>
      <c r="Q75" s="57">
        <f>SUM(Q64:Q74)</f>
        <v>0</v>
      </c>
      <c r="R75" s="58">
        <f>SUM(R64:R74)</f>
        <v>0</v>
      </c>
    </row>
    <row r="76" spans="1:18" ht="13.5" thickTop="1" x14ac:dyDescent="0.35">
      <c r="A76" s="32"/>
      <c r="B76" s="32"/>
      <c r="C76" s="32"/>
      <c r="D76" s="32"/>
      <c r="E76" s="33"/>
      <c r="F76" s="34"/>
      <c r="G76" s="33"/>
      <c r="H76" s="34"/>
      <c r="I76" s="33"/>
      <c r="J76" s="34"/>
      <c r="K76" s="33"/>
      <c r="L76" s="34"/>
      <c r="M76" s="33"/>
      <c r="N76" s="34"/>
      <c r="O76" s="33"/>
      <c r="P76" s="34"/>
      <c r="Q76" s="49"/>
      <c r="R76" s="50"/>
    </row>
    <row r="77" spans="1:18" x14ac:dyDescent="0.35">
      <c r="A77" s="29">
        <v>206</v>
      </c>
      <c r="B77" s="29" t="s">
        <v>534</v>
      </c>
      <c r="C77" s="29">
        <v>39771</v>
      </c>
      <c r="D77" s="29" t="s">
        <v>193</v>
      </c>
      <c r="E77" s="30">
        <v>4177.7826086956511</v>
      </c>
      <c r="F77" s="31">
        <v>53.467999999999996</v>
      </c>
      <c r="G77" s="30">
        <f>SUMIF(Data!$C:$C,C77,Data!$DI:$DI)+SUMIF(Data!$C:$C,C77,Data!$DK:$DK)+SUMIF(Data!$C:$C,C77,Data!$DM:$DM)+SUMIF(Data!$C:$C,C77,Data!$DO:$DO)+SUMIF(Data!$C:$C,C77,Data!$DQ:$DQ)+SUMIF(Data!$C:$C,C77,Data!$DS:$DS)+SUMIF(Data!$C:$C,C77,Data!$DU:$DU)+SUMIF(Data!$C:$C,C77,Data!$DW:$DW)+SUMIF(Data!$C:$C,C77,Data!$DY:$DY)+SUMIF(Data!$C:$C,C77,Data!$EA:$EA)+SUMIF(Data!$C:$C,C77,Data!$EC:$EC)+SUMIF(Data!$C:$C,C77,Data!$EE:$EE)+SUMIF(Data!$C:$C,C77,Data!$EG:$EG)+SUMIF(Data!$C:$C,C77,Data!$EI:$EI)+SUMIF(Data!$C:$C,C77,Data!$EK:$EK)+SUMIF(Data!$C:$C,C77,Data!$EM:$EM)+SUMIF(Data!$C:$C,C77,Data!$EO:$EO)+SUMIF(Data!$C:$C,C77,Data!$EQ:$EQ)+SUMIF(Data!$C:$C,C77,Data!$ES:$ES)</f>
        <v>5390.2869565217416</v>
      </c>
      <c r="H77" s="31">
        <f>SUMIF(Data!$C:$C,C77,Data!$DJ:$DJ)+SUMIF(Data!$C:$C,C77,Data!$DL:$DL)+SUMIF(Data!$C:$C,C77,Data!$DN:$DN)+SUMIF(Data!$C:$C,C77,Data!$DP:$DP)+SUMIF(Data!$C:$C,C77,Data!$DR:$DR)+SUMIF(Data!$C:$C,C77,Data!$DT:$DT)+SUMIF(Data!$C:$C,C77,Data!$DV:$DV)+SUMIF(Data!$C:$C,C77,Data!$DX:$DX)+SUMIF(Data!$C:$C,C77,Data!$DZ:$DZ)+SUMIF(Data!$C:$C,C77,Data!$EB:$EB)+SUMIF(Data!$C:$C,C77,Data!$ED:$ED)+SUMIF(Data!$C:$C,C77,Data!$EF:$EF)+SUMIF(Data!$C:$C,C77,Data!$EH:$EH)+SUMIF(Data!$C:$C,C77,Data!$EJ:$EJ)+SUMIF(Data!$C:$C,C77,Data!$EL:$EL)+SUMIF(Data!$C:$C,C77,Data!$EN:$EN)+SUMIF(Data!$C:$C,C77,Data!$EP:$EP)+SUMIF(Data!$C:$C,C77,Data!$ER:$ER)+SUMIF(Data!$C:$C,C77,Data!$ET:$ET)</f>
        <v>68.935999999999993</v>
      </c>
      <c r="I77" s="30">
        <f>G77/19</f>
        <v>283.69931350114427</v>
      </c>
      <c r="J77" s="31">
        <f>H77/19</f>
        <v>3.6282105263157889</v>
      </c>
      <c r="K77" s="30">
        <f>IFERROR(INDEX(Data!$ES:$ES,MATCH(C77,Data!$C:$C,0)),0)</f>
        <v>28.0173913043478</v>
      </c>
      <c r="L77" s="31">
        <f>IFERROR(INDEX(Data!$ET:$ET,MATCH(C77,Data!$C:$C,0)),0)</f>
        <v>0.35799999999999998</v>
      </c>
      <c r="M77" s="30">
        <f>IFERROR(INDEX(Data!$I$3:$ER$553,MATCH($C77,Data!$C$3:$C$553,0),MATCH(DATE(RIGHT($B$5,4),MID($B$5,4,2),LEFT($B$5,2))-42,Data!$I$1:$ER$1,0)),0)</f>
        <v>165.44347826086999</v>
      </c>
      <c r="N77" s="31" cm="1">
        <f t="array" ref="N77">IFERROR(INDEX(Data!$I$3:$ER$553,MATCH($C77,Data!$C$3:$C$553,0),MATCH(DATE(RIGHT($B$5,4),MID($B$5,4,2),LEFT($B$5,2))-42,Data!$I$1:$ER$1,0)+1),0)</f>
        <v>2.1139999999999999</v>
      </c>
      <c r="O77" s="30">
        <f>IFERROR(INDEX(Data!$I$3:$ER$553,MATCH($C77,Data!$C$3:$C$553,0),MATCH($M$5,Data!$I$1:$ER$1,0)),0)</f>
        <v>266.86956521739103</v>
      </c>
      <c r="P77" s="31" cm="1">
        <f t="array" ref="P77">IFERROR(INDEX(Data!$I$3:$ER$553,MATCH($C77,Data!$C$3:$C$553,0),MATCH($M$5,Data!$I$1:$ER$1,0)+1),0)</f>
        <v>3.41</v>
      </c>
      <c r="Q77" s="49" t="str">
        <f>IF(R77="","",IF(H77=0,0,R77*(G77/H77)))</f>
        <v/>
      </c>
      <c r="R77" s="50"/>
    </row>
    <row r="78" spans="1:18" x14ac:dyDescent="0.35">
      <c r="A78" s="32">
        <v>206</v>
      </c>
      <c r="B78" s="32" t="s">
        <v>534</v>
      </c>
      <c r="C78" s="32">
        <v>34271</v>
      </c>
      <c r="D78" s="32" t="s">
        <v>190</v>
      </c>
      <c r="E78" s="33">
        <v>2153.4260869565232</v>
      </c>
      <c r="F78" s="34">
        <v>124.40599999999999</v>
      </c>
      <c r="G78" s="33">
        <f>SUMIF(Data!$C:$C,C78,Data!$DI:$DI)+SUMIF(Data!$C:$C,C78,Data!$DK:$DK)+SUMIF(Data!$C:$C,C78,Data!$DM:$DM)+SUMIF(Data!$C:$C,C78,Data!$DO:$DO)+SUMIF(Data!$C:$C,C78,Data!$DQ:$DQ)+SUMIF(Data!$C:$C,C78,Data!$DS:$DS)+SUMIF(Data!$C:$C,C78,Data!$DU:$DU)+SUMIF(Data!$C:$C,C78,Data!$DW:$DW)+SUMIF(Data!$C:$C,C78,Data!$DY:$DY)+SUMIF(Data!$C:$C,C78,Data!$EA:$EA)+SUMIF(Data!$C:$C,C78,Data!$EC:$EC)+SUMIF(Data!$C:$C,C78,Data!$EE:$EE)+SUMIF(Data!$C:$C,C78,Data!$EG:$EG)+SUMIF(Data!$C:$C,C78,Data!$EI:$EI)+SUMIF(Data!$C:$C,C78,Data!$EK:$EK)+SUMIF(Data!$C:$C,C78,Data!$EM:$EM)+SUMIF(Data!$C:$C,C78,Data!$EO:$EO)+SUMIF(Data!$C:$C,C78,Data!$EQ:$EQ)+SUMIF(Data!$C:$C,C78,Data!$ES:$ES)</f>
        <v>4861.1304347826081</v>
      </c>
      <c r="H78" s="34">
        <f>SUMIF(Data!$C:$C,C78,Data!$DJ:$DJ)+SUMIF(Data!$C:$C,C78,Data!$DL:$DL)+SUMIF(Data!$C:$C,C78,Data!$DN:$DN)+SUMIF(Data!$C:$C,C78,Data!$DP:$DP)+SUMIF(Data!$C:$C,C78,Data!$DR:$DR)+SUMIF(Data!$C:$C,C78,Data!$DT:$DT)+SUMIF(Data!$C:$C,C78,Data!$DV:$DV)+SUMIF(Data!$C:$C,C78,Data!$DX:$DX)+SUMIF(Data!$C:$C,C78,Data!$DZ:$DZ)+SUMIF(Data!$C:$C,C78,Data!$EB:$EB)+SUMIF(Data!$C:$C,C78,Data!$ED:$ED)+SUMIF(Data!$C:$C,C78,Data!$EF:$EF)+SUMIF(Data!$C:$C,C78,Data!$EH:$EH)+SUMIF(Data!$C:$C,C78,Data!$EJ:$EJ)+SUMIF(Data!$C:$C,C78,Data!$EL:$EL)+SUMIF(Data!$C:$C,C78,Data!$EN:$EN)+SUMIF(Data!$C:$C,C78,Data!$EP:$EP)+SUMIF(Data!$C:$C,C78,Data!$ER:$ER)+SUMIF(Data!$C:$C,C78,Data!$ET:$ET)</f>
        <v>280.036</v>
      </c>
      <c r="I78" s="33">
        <f>G78/19</f>
        <v>255.84897025171622</v>
      </c>
      <c r="J78" s="34">
        <f>H78/19</f>
        <v>14.738736842105263</v>
      </c>
      <c r="K78" s="33">
        <f>IFERROR(INDEX(Data!$ES:$ES,MATCH(C78,Data!$C:$C,0)),0)</f>
        <v>313.44347826086999</v>
      </c>
      <c r="L78" s="34">
        <f>IFERROR(INDEX(Data!$ET:$ET,MATCH(C78,Data!$C:$C,0)),0)</f>
        <v>18.036000000000001</v>
      </c>
      <c r="M78" s="33">
        <f>IFERROR(INDEX(Data!$I$3:$ER$553,MATCH($C78,Data!$C$3:$C$553,0),MATCH(DATE(RIGHT($B$5,4),MID($B$5,4,2),LEFT($B$5,2))-42,Data!$I$1:$ER$1,0)),0)</f>
        <v>147.991304347826</v>
      </c>
      <c r="N78" s="34" cm="1">
        <f t="array" ref="N78">IFERROR(INDEX(Data!$I$3:$ER$553,MATCH($C78,Data!$C$3:$C$553,0),MATCH(DATE(RIGHT($B$5,4),MID($B$5,4,2),LEFT($B$5,2))-42,Data!$I$1:$ER$1,0)+1),0)</f>
        <v>8.5139999999999993</v>
      </c>
      <c r="O78" s="33">
        <f>IFERROR(INDEX(Data!$I$3:$ER$553,MATCH($C78,Data!$C$3:$C$553,0),MATCH($M$5,Data!$I$1:$ER$1,0)),0)</f>
        <v>250.89565217391299</v>
      </c>
      <c r="P78" s="34" cm="1">
        <f t="array" ref="P78">IFERROR(INDEX(Data!$I$3:$ER$553,MATCH($C78,Data!$C$3:$C$553,0),MATCH($M$5,Data!$I$1:$ER$1,0)+1),0)</f>
        <v>14.433999999999999</v>
      </c>
      <c r="Q78" s="49" t="str">
        <f>IF(R78="","",IF(H78=0,0,R78*(G78/H78)))</f>
        <v/>
      </c>
      <c r="R78" s="50"/>
    </row>
    <row r="79" spans="1:18" x14ac:dyDescent="0.35">
      <c r="A79" s="29">
        <v>206</v>
      </c>
      <c r="B79" s="29" t="s">
        <v>534</v>
      </c>
      <c r="C79" s="29">
        <v>34297</v>
      </c>
      <c r="D79" s="29" t="s">
        <v>191</v>
      </c>
      <c r="E79" s="30">
        <v>2717.2782608695634</v>
      </c>
      <c r="F79" s="31">
        <v>313.2600000000001</v>
      </c>
      <c r="G79" s="30">
        <f>SUMIF(Data!$C:$C,C79,Data!$DI:$DI)+SUMIF(Data!$C:$C,C79,Data!$DK:$DK)+SUMIF(Data!$C:$C,C79,Data!$DM:$DM)+SUMIF(Data!$C:$C,C79,Data!$DO:$DO)+SUMIF(Data!$C:$C,C79,Data!$DQ:$DQ)+SUMIF(Data!$C:$C,C79,Data!$DS:$DS)+SUMIF(Data!$C:$C,C79,Data!$DU:$DU)+SUMIF(Data!$C:$C,C79,Data!$DW:$DW)+SUMIF(Data!$C:$C,C79,Data!$DY:$DY)+SUMIF(Data!$C:$C,C79,Data!$EA:$EA)+SUMIF(Data!$C:$C,C79,Data!$EC:$EC)+SUMIF(Data!$C:$C,C79,Data!$EE:$EE)+SUMIF(Data!$C:$C,C79,Data!$EG:$EG)+SUMIF(Data!$C:$C,C79,Data!$EI:$EI)+SUMIF(Data!$C:$C,C79,Data!$EK:$EK)+SUMIF(Data!$C:$C,C79,Data!$EM:$EM)+SUMIF(Data!$C:$C,C79,Data!$EO:$EO)+SUMIF(Data!$C:$C,C79,Data!$EQ:$EQ)+SUMIF(Data!$C:$C,C79,Data!$ES:$ES)</f>
        <v>1889.2260869565202</v>
      </c>
      <c r="H79" s="31">
        <f>SUMIF(Data!$C:$C,C79,Data!$DJ:$DJ)+SUMIF(Data!$C:$C,C79,Data!$DL:$DL)+SUMIF(Data!$C:$C,C79,Data!$DN:$DN)+SUMIF(Data!$C:$C,C79,Data!$DP:$DP)+SUMIF(Data!$C:$C,C79,Data!$DR:$DR)+SUMIF(Data!$C:$C,C79,Data!$DT:$DT)+SUMIF(Data!$C:$C,C79,Data!$DV:$DV)+SUMIF(Data!$C:$C,C79,Data!$DX:$DX)+SUMIF(Data!$C:$C,C79,Data!$DZ:$DZ)+SUMIF(Data!$C:$C,C79,Data!$EB:$EB)+SUMIF(Data!$C:$C,C79,Data!$ED:$ED)+SUMIF(Data!$C:$C,C79,Data!$EF:$EF)+SUMIF(Data!$C:$C,C79,Data!$EH:$EH)+SUMIF(Data!$C:$C,C79,Data!$EJ:$EJ)+SUMIF(Data!$C:$C,C79,Data!$EL:$EL)+SUMIF(Data!$C:$C,C79,Data!$EN:$EN)+SUMIF(Data!$C:$C,C79,Data!$EP:$EP)+SUMIF(Data!$C:$C,C79,Data!$ER:$ER)+SUMIF(Data!$C:$C,C79,Data!$ET:$ET)</f>
        <v>218.46199999999996</v>
      </c>
      <c r="I79" s="30">
        <f>G79/19</f>
        <v>99.432951945080006</v>
      </c>
      <c r="J79" s="31">
        <f>H79/19</f>
        <v>11.497999999999998</v>
      </c>
      <c r="K79" s="30">
        <f>IFERROR(INDEX(Data!$ES:$ES,MATCH(C79,Data!$C:$C,0)),0)</f>
        <v>48.652173913043498</v>
      </c>
      <c r="L79" s="31">
        <f>IFERROR(INDEX(Data!$ET:$ET,MATCH(C79,Data!$C:$C,0)),0)</f>
        <v>5.6</v>
      </c>
      <c r="M79" s="30">
        <f>IFERROR(INDEX(Data!$I$3:$ER$553,MATCH($C79,Data!$C$3:$C$553,0),MATCH(DATE(RIGHT($B$5,4),MID($B$5,4,2),LEFT($B$5,2))-42,Data!$I$1:$ER$1,0)),0)</f>
        <v>237.20869565217399</v>
      </c>
      <c r="N79" s="31" cm="1">
        <f t="array" ref="N79">IFERROR(INDEX(Data!$I$3:$ER$553,MATCH($C79,Data!$C$3:$C$553,0),MATCH(DATE(RIGHT($B$5,4),MID($B$5,4,2),LEFT($B$5,2))-42,Data!$I$1:$ER$1,0)+1),0)</f>
        <v>27.448</v>
      </c>
      <c r="O79" s="30">
        <f>IFERROR(INDEX(Data!$I$3:$ER$553,MATCH($C79,Data!$C$3:$C$553,0),MATCH($M$5,Data!$I$1:$ER$1,0)),0)</f>
        <v>176.4</v>
      </c>
      <c r="P79" s="31" cm="1">
        <f t="array" ref="P79">IFERROR(INDEX(Data!$I$3:$ER$553,MATCH($C79,Data!$C$3:$C$553,0),MATCH($M$5,Data!$I$1:$ER$1,0)+1),0)</f>
        <v>20.375</v>
      </c>
      <c r="Q79" s="49" t="str">
        <f>IF(R79="","",IF(H79=0,0,R79*(G79/H79)))</f>
        <v/>
      </c>
      <c r="R79" s="50"/>
    </row>
    <row r="80" spans="1:18" ht="13.5" thickBot="1" x14ac:dyDescent="0.4">
      <c r="A80" s="54" t="s">
        <v>689</v>
      </c>
      <c r="B80" s="54"/>
      <c r="C80" s="54"/>
      <c r="D80" s="54"/>
      <c r="E80" s="55">
        <f>SUM(E77:E79)</f>
        <v>9048.4869565217377</v>
      </c>
      <c r="F80" s="56">
        <f>SUM(F77:F79)</f>
        <v>491.13400000000013</v>
      </c>
      <c r="G80" s="55">
        <f>SUM(G77:G79)</f>
        <v>12140.643478260869</v>
      </c>
      <c r="H80" s="56">
        <f>SUM(H77:H79)</f>
        <v>567.43399999999997</v>
      </c>
      <c r="I80" s="55">
        <f>AVERAGE(I77:I79)</f>
        <v>212.99374523264683</v>
      </c>
      <c r="J80" s="56">
        <f>AVERAGE(J77:J79)</f>
        <v>9.9549824561403497</v>
      </c>
      <c r="K80" s="55">
        <f>SUM(K77:K79)</f>
        <v>390.11304347826132</v>
      </c>
      <c r="L80" s="56">
        <f>SUM(L77:L79)</f>
        <v>23.994</v>
      </c>
      <c r="M80" s="55">
        <f>SUM(M77:M79)</f>
        <v>550.64347826086998</v>
      </c>
      <c r="N80" s="56">
        <f>SUM(N77:N79)</f>
        <v>38.076000000000001</v>
      </c>
      <c r="O80" s="55">
        <f>SUM(O77:O79)</f>
        <v>694.16521739130405</v>
      </c>
      <c r="P80" s="56">
        <f>SUM(P77:P79)</f>
        <v>38.219000000000001</v>
      </c>
      <c r="Q80" s="57">
        <f>SUM(Q77:Q79)</f>
        <v>0</v>
      </c>
      <c r="R80" s="58">
        <f>SUM(R77:R79)</f>
        <v>0</v>
      </c>
    </row>
    <row r="81" spans="1:18" ht="13.5" thickTop="1" x14ac:dyDescent="0.35">
      <c r="A81" s="29"/>
      <c r="B81" s="29"/>
      <c r="C81" s="29"/>
      <c r="D81" s="29"/>
      <c r="E81" s="30"/>
      <c r="F81" s="31"/>
      <c r="G81" s="30"/>
      <c r="H81" s="31"/>
      <c r="I81" s="30"/>
      <c r="J81" s="31"/>
      <c r="K81" s="30"/>
      <c r="L81" s="31"/>
      <c r="M81" s="30"/>
      <c r="N81" s="31"/>
      <c r="O81" s="30"/>
      <c r="P81" s="31"/>
      <c r="Q81" s="49"/>
      <c r="R81" s="50"/>
    </row>
    <row r="82" spans="1:18" x14ac:dyDescent="0.35">
      <c r="A82" s="32">
        <v>207</v>
      </c>
      <c r="B82" s="32" t="s">
        <v>535</v>
      </c>
      <c r="C82" s="32">
        <v>63470</v>
      </c>
      <c r="D82" s="32" t="s">
        <v>258</v>
      </c>
      <c r="E82" s="33">
        <v>0</v>
      </c>
      <c r="F82" s="34">
        <v>0</v>
      </c>
      <c r="G82" s="33">
        <f>SUMIF(Data!$C:$C,C82,Data!$DI:$DI)+SUMIF(Data!$C:$C,C82,Data!$DK:$DK)+SUMIF(Data!$C:$C,C82,Data!$DM:$DM)+SUMIF(Data!$C:$C,C82,Data!$DO:$DO)+SUMIF(Data!$C:$C,C82,Data!$DQ:$DQ)+SUMIF(Data!$C:$C,C82,Data!$DS:$DS)+SUMIF(Data!$C:$C,C82,Data!$DU:$DU)+SUMIF(Data!$C:$C,C82,Data!$DW:$DW)+SUMIF(Data!$C:$C,C82,Data!$DY:$DY)+SUMIF(Data!$C:$C,C82,Data!$EA:$EA)+SUMIF(Data!$C:$C,C82,Data!$EC:$EC)+SUMIF(Data!$C:$C,C82,Data!$EE:$EE)+SUMIF(Data!$C:$C,C82,Data!$EG:$EG)+SUMIF(Data!$C:$C,C82,Data!$EI:$EI)+SUMIF(Data!$C:$C,C82,Data!$EK:$EK)+SUMIF(Data!$C:$C,C82,Data!$EM:$EM)+SUMIF(Data!$C:$C,C82,Data!$EO:$EO)+SUMIF(Data!$C:$C,C82,Data!$EQ:$EQ)+SUMIF(Data!$C:$C,C82,Data!$ES:$ES)</f>
        <v>141843.94782608695</v>
      </c>
      <c r="H82" s="34">
        <f>SUMIF(Data!$C:$C,C82,Data!$DJ:$DJ)+SUMIF(Data!$C:$C,C82,Data!$DL:$DL)+SUMIF(Data!$C:$C,C82,Data!$DN:$DN)+SUMIF(Data!$C:$C,C82,Data!$DP:$DP)+SUMIF(Data!$C:$C,C82,Data!$DR:$DR)+SUMIF(Data!$C:$C,C82,Data!$DT:$DT)+SUMIF(Data!$C:$C,C82,Data!$DV:$DV)+SUMIF(Data!$C:$C,C82,Data!$DX:$DX)+SUMIF(Data!$C:$C,C82,Data!$DZ:$DZ)+SUMIF(Data!$C:$C,C82,Data!$EB:$EB)+SUMIF(Data!$C:$C,C82,Data!$ED:$ED)+SUMIF(Data!$C:$C,C82,Data!$EF:$EF)+SUMIF(Data!$C:$C,C82,Data!$EH:$EH)+SUMIF(Data!$C:$C,C82,Data!$EJ:$EJ)+SUMIF(Data!$C:$C,C82,Data!$EL:$EL)+SUMIF(Data!$C:$C,C82,Data!$EN:$EN)+SUMIF(Data!$C:$C,C82,Data!$EP:$EP)+SUMIF(Data!$C:$C,C82,Data!$ER:$ER)+SUMIF(Data!$C:$C,C82,Data!$ET:$ET)</f>
        <v>1667.01</v>
      </c>
      <c r="I82" s="33">
        <f>G82/19</f>
        <v>7465.4709382151023</v>
      </c>
      <c r="J82" s="34">
        <f>H82/19</f>
        <v>87.737368421052636</v>
      </c>
      <c r="K82" s="33">
        <f>IFERROR(INDEX(Data!$ES:$ES,MATCH(C82,Data!$C:$C,0)),0)</f>
        <v>10268.947826087</v>
      </c>
      <c r="L82" s="34">
        <f>IFERROR(INDEX(Data!$ET:$ET,MATCH(C82,Data!$C:$C,0)),0)</f>
        <v>118.19</v>
      </c>
      <c r="M82" s="33">
        <f>IFERROR(INDEX(Data!$I$3:$ER$553,MATCH($C82,Data!$C$3:$C$553,0),MATCH(DATE(RIGHT($B$5,4),MID($B$5,4,2),LEFT($B$5,2))-42,Data!$I$1:$ER$1,0)),0)</f>
        <v>4407.6956521739103</v>
      </c>
      <c r="N82" s="34" cm="1">
        <f t="array" ref="N82">IFERROR(INDEX(Data!$I$3:$ER$553,MATCH($C82,Data!$C$3:$C$553,0),MATCH(DATE(RIGHT($B$5,4),MID($B$5,4,2),LEFT($B$5,2))-42,Data!$I$1:$ER$1,0)+1),0)</f>
        <v>50.694000000000003</v>
      </c>
      <c r="O82" s="33">
        <f>IFERROR(INDEX(Data!$I$3:$ER$553,MATCH($C82,Data!$C$3:$C$553,0),MATCH($M$5,Data!$I$1:$ER$1,0)),0)</f>
        <v>0</v>
      </c>
      <c r="P82" s="34" cm="1">
        <f t="array" ref="P82">IFERROR(INDEX(Data!$I$3:$ER$553,MATCH($C82,Data!$C$3:$C$553,0),MATCH($M$5,Data!$I$1:$ER$1,0)+1),0)</f>
        <v>0</v>
      </c>
      <c r="Q82" s="49" t="str">
        <f>IF(R82="","",IF(H82=0,0,R82*(G82/H82)))</f>
        <v/>
      </c>
      <c r="R82" s="50"/>
    </row>
    <row r="83" spans="1:18" x14ac:dyDescent="0.35">
      <c r="A83" s="29">
        <v>207</v>
      </c>
      <c r="B83" s="29" t="s">
        <v>535</v>
      </c>
      <c r="C83" s="29">
        <v>63471</v>
      </c>
      <c r="D83" s="29" t="s">
        <v>259</v>
      </c>
      <c r="E83" s="30">
        <v>0</v>
      </c>
      <c r="F83" s="31">
        <v>0</v>
      </c>
      <c r="G83" s="30">
        <f>SUMIF(Data!$C:$C,C83,Data!$DI:$DI)+SUMIF(Data!$C:$C,C83,Data!$DK:$DK)+SUMIF(Data!$C:$C,C83,Data!$DM:$DM)+SUMIF(Data!$C:$C,C83,Data!$DO:$DO)+SUMIF(Data!$C:$C,C83,Data!$DQ:$DQ)+SUMIF(Data!$C:$C,C83,Data!$DS:$DS)+SUMIF(Data!$C:$C,C83,Data!$DU:$DU)+SUMIF(Data!$C:$C,C83,Data!$DW:$DW)+SUMIF(Data!$C:$C,C83,Data!$DY:$DY)+SUMIF(Data!$C:$C,C83,Data!$EA:$EA)+SUMIF(Data!$C:$C,C83,Data!$EC:$EC)+SUMIF(Data!$C:$C,C83,Data!$EE:$EE)+SUMIF(Data!$C:$C,C83,Data!$EG:$EG)+SUMIF(Data!$C:$C,C83,Data!$EI:$EI)+SUMIF(Data!$C:$C,C83,Data!$EK:$EK)+SUMIF(Data!$C:$C,C83,Data!$EM:$EM)+SUMIF(Data!$C:$C,C83,Data!$EO:$EO)+SUMIF(Data!$C:$C,C83,Data!$EQ:$EQ)+SUMIF(Data!$C:$C,C83,Data!$ES:$ES)</f>
        <v>107013.23478260869</v>
      </c>
      <c r="H83" s="31">
        <f>SUMIF(Data!$C:$C,C83,Data!$DJ:$DJ)+SUMIF(Data!$C:$C,C83,Data!$DL:$DL)+SUMIF(Data!$C:$C,C83,Data!$DN:$DN)+SUMIF(Data!$C:$C,C83,Data!$DP:$DP)+SUMIF(Data!$C:$C,C83,Data!$DR:$DR)+SUMIF(Data!$C:$C,C83,Data!$DT:$DT)+SUMIF(Data!$C:$C,C83,Data!$DV:$DV)+SUMIF(Data!$C:$C,C83,Data!$DX:$DX)+SUMIF(Data!$C:$C,C83,Data!$DZ:$DZ)+SUMIF(Data!$C:$C,C83,Data!$EB:$EB)+SUMIF(Data!$C:$C,C83,Data!$ED:$ED)+SUMIF(Data!$C:$C,C83,Data!$EF:$EF)+SUMIF(Data!$C:$C,C83,Data!$EH:$EH)+SUMIF(Data!$C:$C,C83,Data!$EJ:$EJ)+SUMIF(Data!$C:$C,C83,Data!$EL:$EL)+SUMIF(Data!$C:$C,C83,Data!$EN:$EN)+SUMIF(Data!$C:$C,C83,Data!$EP:$EP)+SUMIF(Data!$C:$C,C83,Data!$ER:$ER)+SUMIF(Data!$C:$C,C83,Data!$ET:$ET)</f>
        <v>1198.4959999999999</v>
      </c>
      <c r="I83" s="30">
        <f>G83/19</f>
        <v>5632.2755148741417</v>
      </c>
      <c r="J83" s="31">
        <f>H83/19</f>
        <v>63.078736842105258</v>
      </c>
      <c r="K83" s="30">
        <f>IFERROR(INDEX(Data!$ES:$ES,MATCH(C83,Data!$C:$C,0)),0)</f>
        <v>4170.7130434782603</v>
      </c>
      <c r="L83" s="31">
        <f>IFERROR(INDEX(Data!$ET:$ET,MATCH(C83,Data!$C:$C,0)),0)</f>
        <v>36.898000000000003</v>
      </c>
      <c r="M83" s="30">
        <f>IFERROR(INDEX(Data!$I$3:$ER$553,MATCH($C83,Data!$C$3:$C$553,0),MATCH(DATE(RIGHT($B$5,4),MID($B$5,4,2),LEFT($B$5,2))-42,Data!$I$1:$ER$1,0)),0)</f>
        <v>4623.7565217391302</v>
      </c>
      <c r="N83" s="31" cm="1">
        <f t="array" ref="N83">IFERROR(INDEX(Data!$I$3:$ER$553,MATCH($C83,Data!$C$3:$C$553,0),MATCH(DATE(RIGHT($B$5,4),MID($B$5,4,2),LEFT($B$5,2))-42,Data!$I$1:$ER$1,0)+1),0)</f>
        <v>53.246000000000002</v>
      </c>
      <c r="O83" s="30">
        <f>IFERROR(INDEX(Data!$I$3:$ER$553,MATCH($C83,Data!$C$3:$C$553,0),MATCH($M$5,Data!$I$1:$ER$1,0)),0)</f>
        <v>0</v>
      </c>
      <c r="P83" s="31" cm="1">
        <f t="array" ref="P83">IFERROR(INDEX(Data!$I$3:$ER$553,MATCH($C83,Data!$C$3:$C$553,0),MATCH($M$5,Data!$I$1:$ER$1,0)+1),0)</f>
        <v>0</v>
      </c>
      <c r="Q83" s="49" t="str">
        <f>IF(R83="","",IF(H83=0,0,R83*(G83/H83)))</f>
        <v/>
      </c>
      <c r="R83" s="50"/>
    </row>
    <row r="84" spans="1:18" x14ac:dyDescent="0.35">
      <c r="A84" s="32">
        <v>207</v>
      </c>
      <c r="B84" s="32" t="s">
        <v>535</v>
      </c>
      <c r="C84" s="32">
        <v>63474</v>
      </c>
      <c r="D84" s="32" t="s">
        <v>197</v>
      </c>
      <c r="E84" s="33">
        <v>0</v>
      </c>
      <c r="F84" s="34">
        <v>0</v>
      </c>
      <c r="G84" s="33">
        <f>SUMIF(Data!$C:$C,C84,Data!$DI:$DI)+SUMIF(Data!$C:$C,C84,Data!$DK:$DK)+SUMIF(Data!$C:$C,C84,Data!$DM:$DM)+SUMIF(Data!$C:$C,C84,Data!$DO:$DO)+SUMIF(Data!$C:$C,C84,Data!$DQ:$DQ)+SUMIF(Data!$C:$C,C84,Data!$DS:$DS)+SUMIF(Data!$C:$C,C84,Data!$DU:$DU)+SUMIF(Data!$C:$C,C84,Data!$DW:$DW)+SUMIF(Data!$C:$C,C84,Data!$DY:$DY)+SUMIF(Data!$C:$C,C84,Data!$EA:$EA)+SUMIF(Data!$C:$C,C84,Data!$EC:$EC)+SUMIF(Data!$C:$C,C84,Data!$EE:$EE)+SUMIF(Data!$C:$C,C84,Data!$EG:$EG)+SUMIF(Data!$C:$C,C84,Data!$EI:$EI)+SUMIF(Data!$C:$C,C84,Data!$EK:$EK)+SUMIF(Data!$C:$C,C84,Data!$EM:$EM)+SUMIF(Data!$C:$C,C84,Data!$EO:$EO)+SUMIF(Data!$C:$C,C84,Data!$EQ:$EQ)+SUMIF(Data!$C:$C,C84,Data!$ES:$ES)</f>
        <v>58699.365217391329</v>
      </c>
      <c r="H84" s="34">
        <f>SUMIF(Data!$C:$C,C84,Data!$DJ:$DJ)+SUMIF(Data!$C:$C,C84,Data!$DL:$DL)+SUMIF(Data!$C:$C,C84,Data!$DN:$DN)+SUMIF(Data!$C:$C,C84,Data!$DP:$DP)+SUMIF(Data!$C:$C,C84,Data!$DR:$DR)+SUMIF(Data!$C:$C,C84,Data!$DT:$DT)+SUMIF(Data!$C:$C,C84,Data!$DV:$DV)+SUMIF(Data!$C:$C,C84,Data!$DX:$DX)+SUMIF(Data!$C:$C,C84,Data!$DZ:$DZ)+SUMIF(Data!$C:$C,C84,Data!$EB:$EB)+SUMIF(Data!$C:$C,C84,Data!$ED:$ED)+SUMIF(Data!$C:$C,C84,Data!$EF:$EF)+SUMIF(Data!$C:$C,C84,Data!$EH:$EH)+SUMIF(Data!$C:$C,C84,Data!$EJ:$EJ)+SUMIF(Data!$C:$C,C84,Data!$EL:$EL)+SUMIF(Data!$C:$C,C84,Data!$EN:$EN)+SUMIF(Data!$C:$C,C84,Data!$EP:$EP)+SUMIF(Data!$C:$C,C84,Data!$ER:$ER)+SUMIF(Data!$C:$C,C84,Data!$ET:$ET)</f>
        <v>522.38800000000003</v>
      </c>
      <c r="I84" s="33">
        <f>G84/19</f>
        <v>3089.4402745995435</v>
      </c>
      <c r="J84" s="34">
        <f>H84/19</f>
        <v>27.494105263157895</v>
      </c>
      <c r="K84" s="33">
        <f>IFERROR(INDEX(Data!$ES:$ES,MATCH(C84,Data!$C:$C,0)),0)</f>
        <v>2345.2608695652202</v>
      </c>
      <c r="L84" s="34">
        <f>IFERROR(INDEX(Data!$ET:$ET,MATCH(C84,Data!$C:$C,0)),0)</f>
        <v>20.888000000000002</v>
      </c>
      <c r="M84" s="33">
        <f>IFERROR(INDEX(Data!$I$3:$ER$553,MATCH($C84,Data!$C$3:$C$553,0),MATCH(DATE(RIGHT($B$5,4),MID($B$5,4,2),LEFT($B$5,2))-42,Data!$I$1:$ER$1,0)),0)</f>
        <v>4156.7478260869602</v>
      </c>
      <c r="N84" s="34" cm="1">
        <f t="array" ref="N84">IFERROR(INDEX(Data!$I$3:$ER$553,MATCH($C84,Data!$C$3:$C$553,0),MATCH(DATE(RIGHT($B$5,4),MID($B$5,4,2),LEFT($B$5,2))-42,Data!$I$1:$ER$1,0)+1),0)</f>
        <v>36.774000000000001</v>
      </c>
      <c r="O84" s="33">
        <f>IFERROR(INDEX(Data!$I$3:$ER$553,MATCH($C84,Data!$C$3:$C$553,0),MATCH($M$5,Data!$I$1:$ER$1,0)),0)</f>
        <v>0</v>
      </c>
      <c r="P84" s="34" cm="1">
        <f t="array" ref="P84">IFERROR(INDEX(Data!$I$3:$ER$553,MATCH($C84,Data!$C$3:$C$553,0),MATCH($M$5,Data!$I$1:$ER$1,0)+1),0)</f>
        <v>0</v>
      </c>
      <c r="Q84" s="49" t="str">
        <f>IF(R84="","",IF(H84=0,0,R84*(G84/H84)))</f>
        <v/>
      </c>
      <c r="R84" s="50"/>
    </row>
    <row r="85" spans="1:18" x14ac:dyDescent="0.35">
      <c r="A85" s="29">
        <v>207</v>
      </c>
      <c r="B85" s="29" t="s">
        <v>535</v>
      </c>
      <c r="C85" s="29">
        <v>54562</v>
      </c>
      <c r="D85" s="29" t="s">
        <v>238</v>
      </c>
      <c r="E85" s="30">
        <v>41757.973913043505</v>
      </c>
      <c r="F85" s="31">
        <v>383</v>
      </c>
      <c r="G85" s="30">
        <f>SUMIF(Data!$C:$C,C85,Data!$DI:$DI)+SUMIF(Data!$C:$C,C85,Data!$DK:$DK)+SUMIF(Data!$C:$C,C85,Data!$DM:$DM)+SUMIF(Data!$C:$C,C85,Data!$DO:$DO)+SUMIF(Data!$C:$C,C85,Data!$DQ:$DQ)+SUMIF(Data!$C:$C,C85,Data!$DS:$DS)+SUMIF(Data!$C:$C,C85,Data!$DU:$DU)+SUMIF(Data!$C:$C,C85,Data!$DW:$DW)+SUMIF(Data!$C:$C,C85,Data!$DY:$DY)+SUMIF(Data!$C:$C,C85,Data!$EA:$EA)+SUMIF(Data!$C:$C,C85,Data!$EC:$EC)+SUMIF(Data!$C:$C,C85,Data!$EE:$EE)+SUMIF(Data!$C:$C,C85,Data!$EG:$EG)+SUMIF(Data!$C:$C,C85,Data!$EI:$EI)+SUMIF(Data!$C:$C,C85,Data!$EK:$EK)+SUMIF(Data!$C:$C,C85,Data!$EM:$EM)+SUMIF(Data!$C:$C,C85,Data!$EO:$EO)+SUMIF(Data!$C:$C,C85,Data!$EQ:$EQ)+SUMIF(Data!$C:$C,C85,Data!$ES:$ES)</f>
        <v>36247.252173913053</v>
      </c>
      <c r="H85" s="31">
        <f>SUMIF(Data!$C:$C,C85,Data!$DJ:$DJ)+SUMIF(Data!$C:$C,C85,Data!$DL:$DL)+SUMIF(Data!$C:$C,C85,Data!$DN:$DN)+SUMIF(Data!$C:$C,C85,Data!$DP:$DP)+SUMIF(Data!$C:$C,C85,Data!$DR:$DR)+SUMIF(Data!$C:$C,C85,Data!$DT:$DT)+SUMIF(Data!$C:$C,C85,Data!$DV:$DV)+SUMIF(Data!$C:$C,C85,Data!$DX:$DX)+SUMIF(Data!$C:$C,C85,Data!$DZ:$DZ)+SUMIF(Data!$C:$C,C85,Data!$EB:$EB)+SUMIF(Data!$C:$C,C85,Data!$ED:$ED)+SUMIF(Data!$C:$C,C85,Data!$EF:$EF)+SUMIF(Data!$C:$C,C85,Data!$EH:$EH)+SUMIF(Data!$C:$C,C85,Data!$EJ:$EJ)+SUMIF(Data!$C:$C,C85,Data!$EL:$EL)+SUMIF(Data!$C:$C,C85,Data!$EN:$EN)+SUMIF(Data!$C:$C,C85,Data!$EP:$EP)+SUMIF(Data!$C:$C,C85,Data!$ER:$ER)+SUMIF(Data!$C:$C,C85,Data!$ET:$ET)</f>
        <v>283</v>
      </c>
      <c r="I85" s="30">
        <f>G85/19</f>
        <v>1907.7501144164764</v>
      </c>
      <c r="J85" s="31">
        <f>H85/19</f>
        <v>14.894736842105264</v>
      </c>
      <c r="K85" s="30">
        <f>IFERROR(INDEX(Data!$ES:$ES,MATCH(C85,Data!$C:$C,0)),0)</f>
        <v>782.56521739130403</v>
      </c>
      <c r="L85" s="31">
        <f>IFERROR(INDEX(Data!$ET:$ET,MATCH(C85,Data!$C:$C,0)),0)</f>
        <v>5</v>
      </c>
      <c r="M85" s="30">
        <f>IFERROR(INDEX(Data!$I$3:$ER$553,MATCH($C85,Data!$C$3:$C$553,0),MATCH(DATE(RIGHT($B$5,4),MID($B$5,4,2),LEFT($B$5,2))-42,Data!$I$1:$ER$1,0)),0)</f>
        <v>782.56521739130403</v>
      </c>
      <c r="N85" s="31" cm="1">
        <f t="array" ref="N85">IFERROR(INDEX(Data!$I$3:$ER$553,MATCH($C85,Data!$C$3:$C$553,0),MATCH(DATE(RIGHT($B$5,4),MID($B$5,4,2),LEFT($B$5,2))-42,Data!$I$1:$ER$1,0)+1),0)</f>
        <v>5</v>
      </c>
      <c r="O85" s="30">
        <f>IFERROR(INDEX(Data!$I$3:$ER$553,MATCH($C85,Data!$C$3:$C$553,0),MATCH($M$5,Data!$I$1:$ER$1,0)),0)</f>
        <v>1689.8695652173899</v>
      </c>
      <c r="P85" s="31" cm="1">
        <f t="array" ref="P85">IFERROR(INDEX(Data!$I$3:$ER$553,MATCH($C85,Data!$C$3:$C$553,0),MATCH($M$5,Data!$I$1:$ER$1,0)+1),0)</f>
        <v>15</v>
      </c>
      <c r="Q85" s="49" t="str">
        <f>IF(R85="","",IF(H85=0,0,R85*(G85/H85)))</f>
        <v/>
      </c>
      <c r="R85" s="50"/>
    </row>
    <row r="86" spans="1:18" x14ac:dyDescent="0.35">
      <c r="A86" s="32">
        <v>207</v>
      </c>
      <c r="B86" s="32" t="s">
        <v>535</v>
      </c>
      <c r="C86" s="32">
        <v>63523</v>
      </c>
      <c r="D86" s="32" t="s">
        <v>198</v>
      </c>
      <c r="E86" s="33">
        <v>0</v>
      </c>
      <c r="F86" s="34">
        <v>0</v>
      </c>
      <c r="G86" s="33">
        <f>SUMIF(Data!$C:$C,C86,Data!$DI:$DI)+SUMIF(Data!$C:$C,C86,Data!$DK:$DK)+SUMIF(Data!$C:$C,C86,Data!$DM:$DM)+SUMIF(Data!$C:$C,C86,Data!$DO:$DO)+SUMIF(Data!$C:$C,C86,Data!$DQ:$DQ)+SUMIF(Data!$C:$C,C86,Data!$DS:$DS)+SUMIF(Data!$C:$C,C86,Data!$DU:$DU)+SUMIF(Data!$C:$C,C86,Data!$DW:$DW)+SUMIF(Data!$C:$C,C86,Data!$DY:$DY)+SUMIF(Data!$C:$C,C86,Data!$EA:$EA)+SUMIF(Data!$C:$C,C86,Data!$EC:$EC)+SUMIF(Data!$C:$C,C86,Data!$EE:$EE)+SUMIF(Data!$C:$C,C86,Data!$EG:$EG)+SUMIF(Data!$C:$C,C86,Data!$EI:$EI)+SUMIF(Data!$C:$C,C86,Data!$EK:$EK)+SUMIF(Data!$C:$C,C86,Data!$EM:$EM)+SUMIF(Data!$C:$C,C86,Data!$EO:$EO)+SUMIF(Data!$C:$C,C86,Data!$EQ:$EQ)+SUMIF(Data!$C:$C,C86,Data!$ES:$ES)</f>
        <v>36889.521739130447</v>
      </c>
      <c r="H86" s="34">
        <f>SUMIF(Data!$C:$C,C86,Data!$DJ:$DJ)+SUMIF(Data!$C:$C,C86,Data!$DL:$DL)+SUMIF(Data!$C:$C,C86,Data!$DN:$DN)+SUMIF(Data!$C:$C,C86,Data!$DP:$DP)+SUMIF(Data!$C:$C,C86,Data!$DR:$DR)+SUMIF(Data!$C:$C,C86,Data!$DT:$DT)+SUMIF(Data!$C:$C,C86,Data!$DV:$DV)+SUMIF(Data!$C:$C,C86,Data!$DX:$DX)+SUMIF(Data!$C:$C,C86,Data!$DZ:$DZ)+SUMIF(Data!$C:$C,C86,Data!$EB:$EB)+SUMIF(Data!$C:$C,C86,Data!$ED:$ED)+SUMIF(Data!$C:$C,C86,Data!$EF:$EF)+SUMIF(Data!$C:$C,C86,Data!$EH:$EH)+SUMIF(Data!$C:$C,C86,Data!$EJ:$EJ)+SUMIF(Data!$C:$C,C86,Data!$EL:$EL)+SUMIF(Data!$C:$C,C86,Data!$EN:$EN)+SUMIF(Data!$C:$C,C86,Data!$EP:$EP)+SUMIF(Data!$C:$C,C86,Data!$ER:$ER)+SUMIF(Data!$C:$C,C86,Data!$ET:$ET)</f>
        <v>554.06899999999985</v>
      </c>
      <c r="I86" s="33">
        <f>G86/19</f>
        <v>1941.5537757437078</v>
      </c>
      <c r="J86" s="34">
        <f>H86/19</f>
        <v>29.161526315789466</v>
      </c>
      <c r="K86" s="33">
        <f>IFERROR(INDEX(Data!$ES:$ES,MATCH(C86,Data!$C:$C,0)),0)</f>
        <v>2393.3391304347801</v>
      </c>
      <c r="L86" s="34">
        <f>IFERROR(INDEX(Data!$ET:$ET,MATCH(C86,Data!$C:$C,0)),0)</f>
        <v>34.448999999999998</v>
      </c>
      <c r="M86" s="33">
        <f>IFERROR(INDEX(Data!$I$3:$ER$553,MATCH($C86,Data!$C$3:$C$553,0),MATCH(DATE(RIGHT($B$5,4),MID($B$5,4,2),LEFT($B$5,2))-42,Data!$I$1:$ER$1,0)),0)</f>
        <v>923.38260869565204</v>
      </c>
      <c r="N86" s="34" cm="1">
        <f t="array" ref="N86">IFERROR(INDEX(Data!$I$3:$ER$553,MATCH($C86,Data!$C$3:$C$553,0),MATCH(DATE(RIGHT($B$5,4),MID($B$5,4,2),LEFT($B$5,2))-42,Data!$I$1:$ER$1,0)+1),0)</f>
        <v>13.275</v>
      </c>
      <c r="O86" s="33">
        <f>IFERROR(INDEX(Data!$I$3:$ER$553,MATCH($C86,Data!$C$3:$C$553,0),MATCH($M$5,Data!$I$1:$ER$1,0)),0)</f>
        <v>0</v>
      </c>
      <c r="P86" s="34" cm="1">
        <f t="array" ref="P86">IFERROR(INDEX(Data!$I$3:$ER$553,MATCH($C86,Data!$C$3:$C$553,0),MATCH($M$5,Data!$I$1:$ER$1,0)+1),0)</f>
        <v>0</v>
      </c>
      <c r="Q86" s="49" t="str">
        <f>IF(R86="","",IF(H86=0,0,R86*(G86/H86)))</f>
        <v/>
      </c>
      <c r="R86" s="50"/>
    </row>
    <row r="87" spans="1:18" x14ac:dyDescent="0.35">
      <c r="A87" s="29">
        <v>207</v>
      </c>
      <c r="B87" s="29" t="s">
        <v>535</v>
      </c>
      <c r="C87" s="29">
        <v>63472</v>
      </c>
      <c r="D87" s="29" t="s">
        <v>246</v>
      </c>
      <c r="E87" s="30">
        <v>0</v>
      </c>
      <c r="F87" s="31">
        <v>0</v>
      </c>
      <c r="G87" s="30">
        <f>SUMIF(Data!$C:$C,C87,Data!$DI:$DI)+SUMIF(Data!$C:$C,C87,Data!$DK:$DK)+SUMIF(Data!$C:$C,C87,Data!$DM:$DM)+SUMIF(Data!$C:$C,C87,Data!$DO:$DO)+SUMIF(Data!$C:$C,C87,Data!$DQ:$DQ)+SUMIF(Data!$C:$C,C87,Data!$DS:$DS)+SUMIF(Data!$C:$C,C87,Data!$DU:$DU)+SUMIF(Data!$C:$C,C87,Data!$DW:$DW)+SUMIF(Data!$C:$C,C87,Data!$DY:$DY)+SUMIF(Data!$C:$C,C87,Data!$EA:$EA)+SUMIF(Data!$C:$C,C87,Data!$EC:$EC)+SUMIF(Data!$C:$C,C87,Data!$EE:$EE)+SUMIF(Data!$C:$C,C87,Data!$EG:$EG)+SUMIF(Data!$C:$C,C87,Data!$EI:$EI)+SUMIF(Data!$C:$C,C87,Data!$EK:$EK)+SUMIF(Data!$C:$C,C87,Data!$EM:$EM)+SUMIF(Data!$C:$C,C87,Data!$EO:$EO)+SUMIF(Data!$C:$C,C87,Data!$EQ:$EQ)+SUMIF(Data!$C:$C,C87,Data!$ES:$ES)</f>
        <v>29971.234782608684</v>
      </c>
      <c r="H87" s="31">
        <f>SUMIF(Data!$C:$C,C87,Data!$DJ:$DJ)+SUMIF(Data!$C:$C,C87,Data!$DL:$DL)+SUMIF(Data!$C:$C,C87,Data!$DN:$DN)+SUMIF(Data!$C:$C,C87,Data!$DP:$DP)+SUMIF(Data!$C:$C,C87,Data!$DR:$DR)+SUMIF(Data!$C:$C,C87,Data!$DT:$DT)+SUMIF(Data!$C:$C,C87,Data!$DV:$DV)+SUMIF(Data!$C:$C,C87,Data!$DX:$DX)+SUMIF(Data!$C:$C,C87,Data!$DZ:$DZ)+SUMIF(Data!$C:$C,C87,Data!$EB:$EB)+SUMIF(Data!$C:$C,C87,Data!$ED:$ED)+SUMIF(Data!$C:$C,C87,Data!$EF:$EF)+SUMIF(Data!$C:$C,C87,Data!$EH:$EH)+SUMIF(Data!$C:$C,C87,Data!$EJ:$EJ)+SUMIF(Data!$C:$C,C87,Data!$EL:$EL)+SUMIF(Data!$C:$C,C87,Data!$EN:$EN)+SUMIF(Data!$C:$C,C87,Data!$EP:$EP)+SUMIF(Data!$C:$C,C87,Data!$ER:$ER)+SUMIF(Data!$C:$C,C87,Data!$ET:$ET)</f>
        <v>332.08600000000007</v>
      </c>
      <c r="I87" s="30">
        <f>G87/19</f>
        <v>1577.4334096109833</v>
      </c>
      <c r="J87" s="31">
        <f>H87/19</f>
        <v>17.478210526315792</v>
      </c>
      <c r="K87" s="30">
        <f>IFERROR(INDEX(Data!$ES:$ES,MATCH(C87,Data!$C:$C,0)),0)</f>
        <v>0</v>
      </c>
      <c r="L87" s="31">
        <f>IFERROR(INDEX(Data!$ET:$ET,MATCH(C87,Data!$C:$C,0)),0)</f>
        <v>0</v>
      </c>
      <c r="M87" s="30">
        <f>IFERROR(INDEX(Data!$I$3:$ER$553,MATCH($C87,Data!$C$3:$C$553,0),MATCH(DATE(RIGHT($B$5,4),MID($B$5,4,2),LEFT($B$5,2))-42,Data!$I$1:$ER$1,0)),0)</f>
        <v>1220.30434782609</v>
      </c>
      <c r="N87" s="31" cm="1">
        <f t="array" ref="N87">IFERROR(INDEX(Data!$I$3:$ER$553,MATCH($C87,Data!$C$3:$C$553,0),MATCH(DATE(RIGHT($B$5,4),MID($B$5,4,2),LEFT($B$5,2))-42,Data!$I$1:$ER$1,0)+1),0)</f>
        <v>11.696</v>
      </c>
      <c r="O87" s="30">
        <f>IFERROR(INDEX(Data!$I$3:$ER$553,MATCH($C87,Data!$C$3:$C$553,0),MATCH($M$5,Data!$I$1:$ER$1,0)),0)</f>
        <v>0</v>
      </c>
      <c r="P87" s="31" cm="1">
        <f t="array" ref="P87">IFERROR(INDEX(Data!$I$3:$ER$553,MATCH($C87,Data!$C$3:$C$553,0),MATCH($M$5,Data!$I$1:$ER$1,0)+1),0)</f>
        <v>0</v>
      </c>
      <c r="Q87" s="49" t="str">
        <f>IF(R87="","",IF(H87=0,0,R87*(G87/H87)))</f>
        <v/>
      </c>
      <c r="R87" s="50"/>
    </row>
    <row r="88" spans="1:18" x14ac:dyDescent="0.35">
      <c r="A88" s="32">
        <v>207</v>
      </c>
      <c r="B88" s="32" t="s">
        <v>535</v>
      </c>
      <c r="C88" s="32">
        <v>54629</v>
      </c>
      <c r="D88" s="32" t="s">
        <v>239</v>
      </c>
      <c r="E88" s="33">
        <v>25802.269565217379</v>
      </c>
      <c r="F88" s="34">
        <v>239</v>
      </c>
      <c r="G88" s="33">
        <f>SUMIF(Data!$C:$C,C88,Data!$DI:$DI)+SUMIF(Data!$C:$C,C88,Data!$DK:$DK)+SUMIF(Data!$C:$C,C88,Data!$DM:$DM)+SUMIF(Data!$C:$C,C88,Data!$DO:$DO)+SUMIF(Data!$C:$C,C88,Data!$DQ:$DQ)+SUMIF(Data!$C:$C,C88,Data!$DS:$DS)+SUMIF(Data!$C:$C,C88,Data!$DU:$DU)+SUMIF(Data!$C:$C,C88,Data!$DW:$DW)+SUMIF(Data!$C:$C,C88,Data!$DY:$DY)+SUMIF(Data!$C:$C,C88,Data!$EA:$EA)+SUMIF(Data!$C:$C,C88,Data!$EC:$EC)+SUMIF(Data!$C:$C,C88,Data!$EE:$EE)+SUMIF(Data!$C:$C,C88,Data!$EG:$EG)+SUMIF(Data!$C:$C,C88,Data!$EI:$EI)+SUMIF(Data!$C:$C,C88,Data!$EK:$EK)+SUMIF(Data!$C:$C,C88,Data!$EM:$EM)+SUMIF(Data!$C:$C,C88,Data!$EO:$EO)+SUMIF(Data!$C:$C,C88,Data!$EQ:$EQ)+SUMIF(Data!$C:$C,C88,Data!$ES:$ES)</f>
        <v>25741.826086956506</v>
      </c>
      <c r="H88" s="34">
        <f>SUMIF(Data!$C:$C,C88,Data!$DJ:$DJ)+SUMIF(Data!$C:$C,C88,Data!$DL:$DL)+SUMIF(Data!$C:$C,C88,Data!$DN:$DN)+SUMIF(Data!$C:$C,C88,Data!$DP:$DP)+SUMIF(Data!$C:$C,C88,Data!$DR:$DR)+SUMIF(Data!$C:$C,C88,Data!$DT:$DT)+SUMIF(Data!$C:$C,C88,Data!$DV:$DV)+SUMIF(Data!$C:$C,C88,Data!$DX:$DX)+SUMIF(Data!$C:$C,C88,Data!$DZ:$DZ)+SUMIF(Data!$C:$C,C88,Data!$EB:$EB)+SUMIF(Data!$C:$C,C88,Data!$ED:$ED)+SUMIF(Data!$C:$C,C88,Data!$EF:$EF)+SUMIF(Data!$C:$C,C88,Data!$EH:$EH)+SUMIF(Data!$C:$C,C88,Data!$EJ:$EJ)+SUMIF(Data!$C:$C,C88,Data!$EL:$EL)+SUMIF(Data!$C:$C,C88,Data!$EN:$EN)+SUMIF(Data!$C:$C,C88,Data!$EP:$EP)+SUMIF(Data!$C:$C,C88,Data!$ER:$ER)+SUMIF(Data!$C:$C,C88,Data!$ET:$ET)</f>
        <v>197</v>
      </c>
      <c r="I88" s="33">
        <f>G88/19</f>
        <v>1354.8329519450792</v>
      </c>
      <c r="J88" s="34">
        <f>H88/19</f>
        <v>10.368421052631579</v>
      </c>
      <c r="K88" s="33">
        <f>IFERROR(INDEX(Data!$ES:$ES,MATCH(C88,Data!$C:$C,0)),0)</f>
        <v>313.02608695652202</v>
      </c>
      <c r="L88" s="34">
        <f>IFERROR(INDEX(Data!$ET:$ET,MATCH(C88,Data!$C:$C,0)),0)</f>
        <v>2</v>
      </c>
      <c r="M88" s="33">
        <f>IFERROR(INDEX(Data!$I$3:$ER$553,MATCH($C88,Data!$C$3:$C$553,0),MATCH(DATE(RIGHT($B$5,4),MID($B$5,4,2),LEFT($B$5,2))-42,Data!$I$1:$ER$1,0)),0)</f>
        <v>313.02608695652202</v>
      </c>
      <c r="N88" s="34" cm="1">
        <f t="array" ref="N88">IFERROR(INDEX(Data!$I$3:$ER$553,MATCH($C88,Data!$C$3:$C$553,0),MATCH(DATE(RIGHT($B$5,4),MID($B$5,4,2),LEFT($B$5,2))-42,Data!$I$1:$ER$1,0)+1),0)</f>
        <v>2</v>
      </c>
      <c r="O88" s="33">
        <f>IFERROR(INDEX(Data!$I$3:$ER$553,MATCH($C88,Data!$C$3:$C$553,0),MATCH($M$5,Data!$I$1:$ER$1,0)),0)</f>
        <v>1017.3130434782601</v>
      </c>
      <c r="P88" s="34" cm="1">
        <f t="array" ref="P88">IFERROR(INDEX(Data!$I$3:$ER$553,MATCH($C88,Data!$C$3:$C$553,0),MATCH($M$5,Data!$I$1:$ER$1,0)+1),0)</f>
        <v>9</v>
      </c>
      <c r="Q88" s="49" t="str">
        <f>IF(R88="","",IF(H88=0,0,R88*(G88/H88)))</f>
        <v/>
      </c>
      <c r="R88" s="50"/>
    </row>
    <row r="89" spans="1:18" x14ac:dyDescent="0.35">
      <c r="A89" s="29">
        <v>207</v>
      </c>
      <c r="B89" s="29" t="s">
        <v>535</v>
      </c>
      <c r="C89" s="29">
        <v>14922</v>
      </c>
      <c r="D89" s="29" t="s">
        <v>210</v>
      </c>
      <c r="E89" s="30">
        <v>11355.408695652175</v>
      </c>
      <c r="F89" s="31">
        <v>468</v>
      </c>
      <c r="G89" s="30">
        <f>SUMIF(Data!$C:$C,C89,Data!$DI:$DI)+SUMIF(Data!$C:$C,C89,Data!$DK:$DK)+SUMIF(Data!$C:$C,C89,Data!$DM:$DM)+SUMIF(Data!$C:$C,C89,Data!$DO:$DO)+SUMIF(Data!$C:$C,C89,Data!$DQ:$DQ)+SUMIF(Data!$C:$C,C89,Data!$DS:$DS)+SUMIF(Data!$C:$C,C89,Data!$DU:$DU)+SUMIF(Data!$C:$C,C89,Data!$DW:$DW)+SUMIF(Data!$C:$C,C89,Data!$DY:$DY)+SUMIF(Data!$C:$C,C89,Data!$EA:$EA)+SUMIF(Data!$C:$C,C89,Data!$EC:$EC)+SUMIF(Data!$C:$C,C89,Data!$EE:$EE)+SUMIF(Data!$C:$C,C89,Data!$EG:$EG)+SUMIF(Data!$C:$C,C89,Data!$EI:$EI)+SUMIF(Data!$C:$C,C89,Data!$EK:$EK)+SUMIF(Data!$C:$C,C89,Data!$EM:$EM)+SUMIF(Data!$C:$C,C89,Data!$EO:$EO)+SUMIF(Data!$C:$C,C89,Data!$EQ:$EQ)+SUMIF(Data!$C:$C,C89,Data!$ES:$ES)</f>
        <v>18124.356521739152</v>
      </c>
      <c r="H89" s="31">
        <f>SUMIF(Data!$C:$C,C89,Data!$DJ:$DJ)+SUMIF(Data!$C:$C,C89,Data!$DL:$DL)+SUMIF(Data!$C:$C,C89,Data!$DN:$DN)+SUMIF(Data!$C:$C,C89,Data!$DP:$DP)+SUMIF(Data!$C:$C,C89,Data!$DR:$DR)+SUMIF(Data!$C:$C,C89,Data!$DT:$DT)+SUMIF(Data!$C:$C,C89,Data!$DV:$DV)+SUMIF(Data!$C:$C,C89,Data!$DX:$DX)+SUMIF(Data!$C:$C,C89,Data!$DZ:$DZ)+SUMIF(Data!$C:$C,C89,Data!$EB:$EB)+SUMIF(Data!$C:$C,C89,Data!$ED:$ED)+SUMIF(Data!$C:$C,C89,Data!$EF:$EF)+SUMIF(Data!$C:$C,C89,Data!$EH:$EH)+SUMIF(Data!$C:$C,C89,Data!$EJ:$EJ)+SUMIF(Data!$C:$C,C89,Data!$EL:$EL)+SUMIF(Data!$C:$C,C89,Data!$EN:$EN)+SUMIF(Data!$C:$C,C89,Data!$EP:$EP)+SUMIF(Data!$C:$C,C89,Data!$ER:$ER)+SUMIF(Data!$C:$C,C89,Data!$ET:$ET)</f>
        <v>774</v>
      </c>
      <c r="I89" s="30">
        <f>G89/19</f>
        <v>953.91350114416582</v>
      </c>
      <c r="J89" s="31">
        <f>H89/19</f>
        <v>40.736842105263158</v>
      </c>
      <c r="K89" s="30">
        <f>IFERROR(INDEX(Data!$ES:$ES,MATCH(C89,Data!$C:$C,0)),0)</f>
        <v>961.07826086956504</v>
      </c>
      <c r="L89" s="31">
        <f>IFERROR(INDEX(Data!$ET:$ET,MATCH(C89,Data!$C:$C,0)),0)</f>
        <v>41</v>
      </c>
      <c r="M89" s="30">
        <f>IFERROR(INDEX(Data!$I$3:$ER$553,MATCH($C89,Data!$C$3:$C$553,0),MATCH(DATE(RIGHT($B$5,4),MID($B$5,4,2),LEFT($B$5,2))-42,Data!$I$1:$ER$1,0)),0)</f>
        <v>840.20869565217401</v>
      </c>
      <c r="N89" s="31" cm="1">
        <f t="array" ref="N89">IFERROR(INDEX(Data!$I$3:$ER$553,MATCH($C89,Data!$C$3:$C$553,0),MATCH(DATE(RIGHT($B$5,4),MID($B$5,4,2),LEFT($B$5,2))-42,Data!$I$1:$ER$1,0)+1),0)</f>
        <v>36</v>
      </c>
      <c r="O89" s="30">
        <f>IFERROR(INDEX(Data!$I$3:$ER$553,MATCH($C89,Data!$C$3:$C$553,0),MATCH($M$5,Data!$I$1:$ER$1,0)),0)</f>
        <v>365.08695652173901</v>
      </c>
      <c r="P89" s="31" cm="1">
        <f t="array" ref="P89">IFERROR(INDEX(Data!$I$3:$ER$553,MATCH($C89,Data!$C$3:$C$553,0),MATCH($M$5,Data!$I$1:$ER$1,0)+1),0)</f>
        <v>15</v>
      </c>
      <c r="Q89" s="49" t="str">
        <f>IF(R89="","",IF(H89=0,0,R89*(G89/H89)))</f>
        <v/>
      </c>
      <c r="R89" s="50"/>
    </row>
    <row r="90" spans="1:18" x14ac:dyDescent="0.35">
      <c r="A90" s="32">
        <v>207</v>
      </c>
      <c r="B90" s="32" t="s">
        <v>535</v>
      </c>
      <c r="C90" s="32">
        <v>63497</v>
      </c>
      <c r="D90" s="32" t="s">
        <v>260</v>
      </c>
      <c r="E90" s="33">
        <v>0</v>
      </c>
      <c r="F90" s="34">
        <v>0</v>
      </c>
      <c r="G90" s="33">
        <f>SUMIF(Data!$C:$C,C90,Data!$DI:$DI)+SUMIF(Data!$C:$C,C90,Data!$DK:$DK)+SUMIF(Data!$C:$C,C90,Data!$DM:$DM)+SUMIF(Data!$C:$C,C90,Data!$DO:$DO)+SUMIF(Data!$C:$C,C90,Data!$DQ:$DQ)+SUMIF(Data!$C:$C,C90,Data!$DS:$DS)+SUMIF(Data!$C:$C,C90,Data!$DU:$DU)+SUMIF(Data!$C:$C,C90,Data!$DW:$DW)+SUMIF(Data!$C:$C,C90,Data!$DY:$DY)+SUMIF(Data!$C:$C,C90,Data!$EA:$EA)+SUMIF(Data!$C:$C,C90,Data!$EC:$EC)+SUMIF(Data!$C:$C,C90,Data!$EE:$EE)+SUMIF(Data!$C:$C,C90,Data!$EG:$EG)+SUMIF(Data!$C:$C,C90,Data!$EI:$EI)+SUMIF(Data!$C:$C,C90,Data!$EK:$EK)+SUMIF(Data!$C:$C,C90,Data!$EM:$EM)+SUMIF(Data!$C:$C,C90,Data!$EO:$EO)+SUMIF(Data!$C:$C,C90,Data!$EQ:$EQ)+SUMIF(Data!$C:$C,C90,Data!$ES:$ES)</f>
        <v>13725.721739130437</v>
      </c>
      <c r="H90" s="34">
        <f>SUMIF(Data!$C:$C,C90,Data!$DJ:$DJ)+SUMIF(Data!$C:$C,C90,Data!$DL:$DL)+SUMIF(Data!$C:$C,C90,Data!$DN:$DN)+SUMIF(Data!$C:$C,C90,Data!$DP:$DP)+SUMIF(Data!$C:$C,C90,Data!$DR:$DR)+SUMIF(Data!$C:$C,C90,Data!$DT:$DT)+SUMIF(Data!$C:$C,C90,Data!$DV:$DV)+SUMIF(Data!$C:$C,C90,Data!$DX:$DX)+SUMIF(Data!$C:$C,C90,Data!$DZ:$DZ)+SUMIF(Data!$C:$C,C90,Data!$EB:$EB)+SUMIF(Data!$C:$C,C90,Data!$ED:$ED)+SUMIF(Data!$C:$C,C90,Data!$EF:$EF)+SUMIF(Data!$C:$C,C90,Data!$EH:$EH)+SUMIF(Data!$C:$C,C90,Data!$EJ:$EJ)+SUMIF(Data!$C:$C,C90,Data!$EL:$EL)+SUMIF(Data!$C:$C,C90,Data!$EN:$EN)+SUMIF(Data!$C:$C,C90,Data!$EP:$EP)+SUMIF(Data!$C:$C,C90,Data!$ER:$ER)+SUMIF(Data!$C:$C,C90,Data!$ET:$ET)</f>
        <v>115.78199999999998</v>
      </c>
      <c r="I90" s="33">
        <f>G90/19</f>
        <v>722.40640732265456</v>
      </c>
      <c r="J90" s="34">
        <f>H90/19</f>
        <v>6.0937894736842093</v>
      </c>
      <c r="K90" s="33">
        <f>IFERROR(INDEX(Data!$ES:$ES,MATCH(C90,Data!$C:$C,0)),0)</f>
        <v>1110.53913043478</v>
      </c>
      <c r="L90" s="34">
        <f>IFERROR(INDEX(Data!$ET:$ET,MATCH(C90,Data!$C:$C,0)),0)</f>
        <v>9.8239999999999998</v>
      </c>
      <c r="M90" s="33">
        <f>IFERROR(INDEX(Data!$I$3:$ER$553,MATCH($C90,Data!$C$3:$C$553,0),MATCH(DATE(RIGHT($B$5,4),MID($B$5,4,2),LEFT($B$5,2))-42,Data!$I$1:$ER$1,0)),0)</f>
        <v>0</v>
      </c>
      <c r="N90" s="34" cm="1">
        <f t="array" ref="N90">IFERROR(INDEX(Data!$I$3:$ER$553,MATCH($C90,Data!$C$3:$C$553,0),MATCH(DATE(RIGHT($B$5,4),MID($B$5,4,2),LEFT($B$5,2))-42,Data!$I$1:$ER$1,0)+1),0)</f>
        <v>0</v>
      </c>
      <c r="O90" s="33">
        <f>IFERROR(INDEX(Data!$I$3:$ER$553,MATCH($C90,Data!$C$3:$C$553,0),MATCH($M$5,Data!$I$1:$ER$1,0)),0)</f>
        <v>0</v>
      </c>
      <c r="P90" s="34" cm="1">
        <f t="array" ref="P90">IFERROR(INDEX(Data!$I$3:$ER$553,MATCH($C90,Data!$C$3:$C$553,0),MATCH($M$5,Data!$I$1:$ER$1,0)+1),0)</f>
        <v>0</v>
      </c>
      <c r="Q90" s="49" t="str">
        <f>IF(R90="","",IF(H90=0,0,R90*(G90/H90)))</f>
        <v/>
      </c>
      <c r="R90" s="50"/>
    </row>
    <row r="91" spans="1:18" x14ac:dyDescent="0.35">
      <c r="A91" s="29">
        <v>207</v>
      </c>
      <c r="B91" s="29" t="s">
        <v>535</v>
      </c>
      <c r="C91" s="29">
        <v>64053</v>
      </c>
      <c r="D91" s="29" t="s">
        <v>261</v>
      </c>
      <c r="E91" s="30">
        <v>0</v>
      </c>
      <c r="F91" s="31">
        <v>0</v>
      </c>
      <c r="G91" s="30">
        <f>SUMIF(Data!$C:$C,C91,Data!$DI:$DI)+SUMIF(Data!$C:$C,C91,Data!$DK:$DK)+SUMIF(Data!$C:$C,C91,Data!$DM:$DM)+SUMIF(Data!$C:$C,C91,Data!$DO:$DO)+SUMIF(Data!$C:$C,C91,Data!$DQ:$DQ)+SUMIF(Data!$C:$C,C91,Data!$DS:$DS)+SUMIF(Data!$C:$C,C91,Data!$DU:$DU)+SUMIF(Data!$C:$C,C91,Data!$DW:$DW)+SUMIF(Data!$C:$C,C91,Data!$DY:$DY)+SUMIF(Data!$C:$C,C91,Data!$EA:$EA)+SUMIF(Data!$C:$C,C91,Data!$EC:$EC)+SUMIF(Data!$C:$C,C91,Data!$EE:$EE)+SUMIF(Data!$C:$C,C91,Data!$EG:$EG)+SUMIF(Data!$C:$C,C91,Data!$EI:$EI)+SUMIF(Data!$C:$C,C91,Data!$EK:$EK)+SUMIF(Data!$C:$C,C91,Data!$EM:$EM)+SUMIF(Data!$C:$C,C91,Data!$EO:$EO)+SUMIF(Data!$C:$C,C91,Data!$EQ:$EQ)+SUMIF(Data!$C:$C,C91,Data!$ES:$ES)</f>
        <v>11367.747826086958</v>
      </c>
      <c r="H91" s="31">
        <f>SUMIF(Data!$C:$C,C91,Data!$DJ:$DJ)+SUMIF(Data!$C:$C,C91,Data!$DL:$DL)+SUMIF(Data!$C:$C,C91,Data!$DN:$DN)+SUMIF(Data!$C:$C,C91,Data!$DP:$DP)+SUMIF(Data!$C:$C,C91,Data!$DR:$DR)+SUMIF(Data!$C:$C,C91,Data!$DT:$DT)+SUMIF(Data!$C:$C,C91,Data!$DV:$DV)+SUMIF(Data!$C:$C,C91,Data!$DX:$DX)+SUMIF(Data!$C:$C,C91,Data!$DZ:$DZ)+SUMIF(Data!$C:$C,C91,Data!$EB:$EB)+SUMIF(Data!$C:$C,C91,Data!$ED:$ED)+SUMIF(Data!$C:$C,C91,Data!$EF:$EF)+SUMIF(Data!$C:$C,C91,Data!$EH:$EH)+SUMIF(Data!$C:$C,C91,Data!$EJ:$EJ)+SUMIF(Data!$C:$C,C91,Data!$EL:$EL)+SUMIF(Data!$C:$C,C91,Data!$EN:$EN)+SUMIF(Data!$C:$C,C91,Data!$EP:$EP)+SUMIF(Data!$C:$C,C91,Data!$ER:$ER)+SUMIF(Data!$C:$C,C91,Data!$ET:$ET)</f>
        <v>109</v>
      </c>
      <c r="I91" s="30">
        <f>G91/19</f>
        <v>598.30251716247142</v>
      </c>
      <c r="J91" s="31">
        <f>H91/19</f>
        <v>5.7368421052631575</v>
      </c>
      <c r="K91" s="30">
        <f>IFERROR(INDEX(Data!$ES:$ES,MATCH(C91,Data!$C:$C,0)),0)</f>
        <v>313.017391304348</v>
      </c>
      <c r="L91" s="31">
        <f>IFERROR(INDEX(Data!$ET:$ET,MATCH(C91,Data!$C:$C,0)),0)</f>
        <v>3</v>
      </c>
      <c r="M91" s="30">
        <f>IFERROR(INDEX(Data!$I$3:$ER$553,MATCH($C91,Data!$C$3:$C$553,0),MATCH(DATE(RIGHT($B$5,4),MID($B$5,4,2),LEFT($B$5,2))-42,Data!$I$1:$ER$1,0)),0)</f>
        <v>417.35652173913002</v>
      </c>
      <c r="N91" s="31" cm="1">
        <f t="array" ref="N91">IFERROR(INDEX(Data!$I$3:$ER$553,MATCH($C91,Data!$C$3:$C$553,0),MATCH(DATE(RIGHT($B$5,4),MID($B$5,4,2),LEFT($B$5,2))-42,Data!$I$1:$ER$1,0)+1),0)</f>
        <v>4</v>
      </c>
      <c r="O91" s="30">
        <f>IFERROR(INDEX(Data!$I$3:$ER$553,MATCH($C91,Data!$C$3:$C$553,0),MATCH($M$5,Data!$I$1:$ER$1,0)),0)</f>
        <v>0</v>
      </c>
      <c r="P91" s="31" cm="1">
        <f t="array" ref="P91">IFERROR(INDEX(Data!$I$3:$ER$553,MATCH($C91,Data!$C$3:$C$553,0),MATCH($M$5,Data!$I$1:$ER$1,0)+1),0)</f>
        <v>0</v>
      </c>
      <c r="Q91" s="49" t="str">
        <f>IF(R91="","",IF(H91=0,0,R91*(G91/H91)))</f>
        <v/>
      </c>
      <c r="R91" s="50"/>
    </row>
    <row r="92" spans="1:18" x14ac:dyDescent="0.35">
      <c r="A92" s="32">
        <v>207</v>
      </c>
      <c r="B92" s="32" t="s">
        <v>535</v>
      </c>
      <c r="C92" s="32">
        <v>12330</v>
      </c>
      <c r="D92" s="32" t="s">
        <v>205</v>
      </c>
      <c r="E92" s="33">
        <v>8029.8347826086956</v>
      </c>
      <c r="F92" s="34">
        <v>119</v>
      </c>
      <c r="G92" s="33">
        <f>SUMIF(Data!$C:$C,C92,Data!$DI:$DI)+SUMIF(Data!$C:$C,C92,Data!$DK:$DK)+SUMIF(Data!$C:$C,C92,Data!$DM:$DM)+SUMIF(Data!$C:$C,C92,Data!$DO:$DO)+SUMIF(Data!$C:$C,C92,Data!$DQ:$DQ)+SUMIF(Data!$C:$C,C92,Data!$DS:$DS)+SUMIF(Data!$C:$C,C92,Data!$DU:$DU)+SUMIF(Data!$C:$C,C92,Data!$DW:$DW)+SUMIF(Data!$C:$C,C92,Data!$DY:$DY)+SUMIF(Data!$C:$C,C92,Data!$EA:$EA)+SUMIF(Data!$C:$C,C92,Data!$EC:$EC)+SUMIF(Data!$C:$C,C92,Data!$EE:$EE)+SUMIF(Data!$C:$C,C92,Data!$EG:$EG)+SUMIF(Data!$C:$C,C92,Data!$EI:$EI)+SUMIF(Data!$C:$C,C92,Data!$EK:$EK)+SUMIF(Data!$C:$C,C92,Data!$EM:$EM)+SUMIF(Data!$C:$C,C92,Data!$EO:$EO)+SUMIF(Data!$C:$C,C92,Data!$EQ:$EQ)+SUMIF(Data!$C:$C,C92,Data!$ES:$ES)</f>
        <v>10399.721739130437</v>
      </c>
      <c r="H92" s="34">
        <f>SUMIF(Data!$C:$C,C92,Data!$DJ:$DJ)+SUMIF(Data!$C:$C,C92,Data!$DL:$DL)+SUMIF(Data!$C:$C,C92,Data!$DN:$DN)+SUMIF(Data!$C:$C,C92,Data!$DP:$DP)+SUMIF(Data!$C:$C,C92,Data!$DR:$DR)+SUMIF(Data!$C:$C,C92,Data!$DT:$DT)+SUMIF(Data!$C:$C,C92,Data!$DV:$DV)+SUMIF(Data!$C:$C,C92,Data!$DX:$DX)+SUMIF(Data!$C:$C,C92,Data!$DZ:$DZ)+SUMIF(Data!$C:$C,C92,Data!$EB:$EB)+SUMIF(Data!$C:$C,C92,Data!$ED:$ED)+SUMIF(Data!$C:$C,C92,Data!$EF:$EF)+SUMIF(Data!$C:$C,C92,Data!$EH:$EH)+SUMIF(Data!$C:$C,C92,Data!$EJ:$EJ)+SUMIF(Data!$C:$C,C92,Data!$EL:$EL)+SUMIF(Data!$C:$C,C92,Data!$EN:$EN)+SUMIF(Data!$C:$C,C92,Data!$EP:$EP)+SUMIF(Data!$C:$C,C92,Data!$ER:$ER)+SUMIF(Data!$C:$C,C92,Data!$ET:$ET)</f>
        <v>162</v>
      </c>
      <c r="I92" s="33">
        <f>G92/19</f>
        <v>547.35377574370716</v>
      </c>
      <c r="J92" s="34">
        <f>H92/19</f>
        <v>8.526315789473685</v>
      </c>
      <c r="K92" s="33">
        <f>IFERROR(INDEX(Data!$ES:$ES,MATCH(C92,Data!$C:$C,0)),0)</f>
        <v>234.75652173912999</v>
      </c>
      <c r="L92" s="34">
        <f>IFERROR(INDEX(Data!$ET:$ET,MATCH(C92,Data!$C:$C,0)),0)</f>
        <v>3</v>
      </c>
      <c r="M92" s="33">
        <f>IFERROR(INDEX(Data!$I$3:$ER$553,MATCH($C92,Data!$C$3:$C$553,0),MATCH(DATE(RIGHT($B$5,4),MID($B$5,4,2),LEFT($B$5,2))-42,Data!$I$1:$ER$1,0)),0)</f>
        <v>172.147826086956</v>
      </c>
      <c r="N92" s="34" cm="1">
        <f t="array" ref="N92">IFERROR(INDEX(Data!$I$3:$ER$553,MATCH($C92,Data!$C$3:$C$553,0),MATCH(DATE(RIGHT($B$5,4),MID($B$5,4,2),LEFT($B$5,2))-42,Data!$I$1:$ER$1,0)+1),0)</f>
        <v>3</v>
      </c>
      <c r="O92" s="33">
        <f>IFERROR(INDEX(Data!$I$3:$ER$553,MATCH($C92,Data!$C$3:$C$553,0),MATCH($M$5,Data!$I$1:$ER$1,0)),0)</f>
        <v>304.304347826087</v>
      </c>
      <c r="P92" s="34" cm="1">
        <f t="array" ref="P92">IFERROR(INDEX(Data!$I$3:$ER$553,MATCH($C92,Data!$C$3:$C$553,0),MATCH($M$5,Data!$I$1:$ER$1,0)+1),0)</f>
        <v>5</v>
      </c>
      <c r="Q92" s="49" t="str">
        <f>IF(R92="","",IF(H92=0,0,R92*(G92/H92)))</f>
        <v/>
      </c>
      <c r="R92" s="50"/>
    </row>
    <row r="93" spans="1:18" x14ac:dyDescent="0.35">
      <c r="A93" s="29">
        <v>207</v>
      </c>
      <c r="B93" s="29" t="s">
        <v>535</v>
      </c>
      <c r="C93" s="29">
        <v>14923</v>
      </c>
      <c r="D93" s="29" t="s">
        <v>211</v>
      </c>
      <c r="E93" s="30">
        <v>3105.8086956521752</v>
      </c>
      <c r="F93" s="31">
        <v>112</v>
      </c>
      <c r="G93" s="30">
        <f>SUMIF(Data!$C:$C,C93,Data!$DI:$DI)+SUMIF(Data!$C:$C,C93,Data!$DK:$DK)+SUMIF(Data!$C:$C,C93,Data!$DM:$DM)+SUMIF(Data!$C:$C,C93,Data!$DO:$DO)+SUMIF(Data!$C:$C,C93,Data!$DQ:$DQ)+SUMIF(Data!$C:$C,C93,Data!$DS:$DS)+SUMIF(Data!$C:$C,C93,Data!$DU:$DU)+SUMIF(Data!$C:$C,C93,Data!$DW:$DW)+SUMIF(Data!$C:$C,C93,Data!$DY:$DY)+SUMIF(Data!$C:$C,C93,Data!$EA:$EA)+SUMIF(Data!$C:$C,C93,Data!$EC:$EC)+SUMIF(Data!$C:$C,C93,Data!$EE:$EE)+SUMIF(Data!$C:$C,C93,Data!$EG:$EG)+SUMIF(Data!$C:$C,C93,Data!$EI:$EI)+SUMIF(Data!$C:$C,C93,Data!$EK:$EK)+SUMIF(Data!$C:$C,C93,Data!$EM:$EM)+SUMIF(Data!$C:$C,C93,Data!$EO:$EO)+SUMIF(Data!$C:$C,C93,Data!$EQ:$EQ)+SUMIF(Data!$C:$C,C93,Data!$ES:$ES)</f>
        <v>9060.8869565217392</v>
      </c>
      <c r="H93" s="31">
        <f>SUMIF(Data!$C:$C,C93,Data!$DJ:$DJ)+SUMIF(Data!$C:$C,C93,Data!$DL:$DL)+SUMIF(Data!$C:$C,C93,Data!$DN:$DN)+SUMIF(Data!$C:$C,C93,Data!$DP:$DP)+SUMIF(Data!$C:$C,C93,Data!$DR:$DR)+SUMIF(Data!$C:$C,C93,Data!$DT:$DT)+SUMIF(Data!$C:$C,C93,Data!$DV:$DV)+SUMIF(Data!$C:$C,C93,Data!$DX:$DX)+SUMIF(Data!$C:$C,C93,Data!$DZ:$DZ)+SUMIF(Data!$C:$C,C93,Data!$EB:$EB)+SUMIF(Data!$C:$C,C93,Data!$ED:$ED)+SUMIF(Data!$C:$C,C93,Data!$EF:$EF)+SUMIF(Data!$C:$C,C93,Data!$EH:$EH)+SUMIF(Data!$C:$C,C93,Data!$EJ:$EJ)+SUMIF(Data!$C:$C,C93,Data!$EL:$EL)+SUMIF(Data!$C:$C,C93,Data!$EN:$EN)+SUMIF(Data!$C:$C,C93,Data!$EP:$EP)+SUMIF(Data!$C:$C,C93,Data!$ER:$ER)+SUMIF(Data!$C:$C,C93,Data!$ET:$ET)</f>
        <v>348</v>
      </c>
      <c r="I93" s="30">
        <f>G93/19</f>
        <v>476.88878718535472</v>
      </c>
      <c r="J93" s="31">
        <f>H93/19</f>
        <v>18.315789473684209</v>
      </c>
      <c r="K93" s="30">
        <f>IFERROR(INDEX(Data!$ES:$ES,MATCH(C93,Data!$C:$C,0)),0)</f>
        <v>339.017391304348</v>
      </c>
      <c r="L93" s="31">
        <f>IFERROR(INDEX(Data!$ET:$ET,MATCH(C93,Data!$C:$C,0)),0)</f>
        <v>13</v>
      </c>
      <c r="M93" s="30">
        <f>IFERROR(INDEX(Data!$I$3:$ER$553,MATCH($C93,Data!$C$3:$C$553,0),MATCH(DATE(RIGHT($B$5,4),MID($B$5,4,2),LEFT($B$5,2))-42,Data!$I$1:$ER$1,0)),0)</f>
        <v>625.878260869565</v>
      </c>
      <c r="N93" s="31" cm="1">
        <f t="array" ref="N93">IFERROR(INDEX(Data!$I$3:$ER$553,MATCH($C93,Data!$C$3:$C$553,0),MATCH(DATE(RIGHT($B$5,4),MID($B$5,4,2),LEFT($B$5,2))-42,Data!$I$1:$ER$1,0)+1),0)</f>
        <v>24</v>
      </c>
      <c r="O93" s="30">
        <f>IFERROR(INDEX(Data!$I$3:$ER$553,MATCH($C93,Data!$C$3:$C$553,0),MATCH($M$5,Data!$I$1:$ER$1,0)),0)</f>
        <v>27.817391304347801</v>
      </c>
      <c r="P93" s="31" cm="1">
        <f t="array" ref="P93">IFERROR(INDEX(Data!$I$3:$ER$553,MATCH($C93,Data!$C$3:$C$553,0),MATCH($M$5,Data!$I$1:$ER$1,0)+1),0)</f>
        <v>1</v>
      </c>
      <c r="Q93" s="49" t="str">
        <f>IF(R93="","",IF(H93=0,0,R93*(G93/H93)))</f>
        <v/>
      </c>
      <c r="R93" s="50"/>
    </row>
    <row r="94" spans="1:18" x14ac:dyDescent="0.35">
      <c r="A94" s="32">
        <v>207</v>
      </c>
      <c r="B94" s="32" t="s">
        <v>535</v>
      </c>
      <c r="C94" s="32">
        <v>63367</v>
      </c>
      <c r="D94" s="32" t="s">
        <v>255</v>
      </c>
      <c r="E94" s="33">
        <v>0</v>
      </c>
      <c r="F94" s="34">
        <v>0</v>
      </c>
      <c r="G94" s="33">
        <f>SUMIF(Data!$C:$C,C94,Data!$DI:$DI)+SUMIF(Data!$C:$C,C94,Data!$DK:$DK)+SUMIF(Data!$C:$C,C94,Data!$DM:$DM)+SUMIF(Data!$C:$C,C94,Data!$DO:$DO)+SUMIF(Data!$C:$C,C94,Data!$DQ:$DQ)+SUMIF(Data!$C:$C,C94,Data!$DS:$DS)+SUMIF(Data!$C:$C,C94,Data!$DU:$DU)+SUMIF(Data!$C:$C,C94,Data!$DW:$DW)+SUMIF(Data!$C:$C,C94,Data!$DY:$DY)+SUMIF(Data!$C:$C,C94,Data!$EA:$EA)+SUMIF(Data!$C:$C,C94,Data!$EC:$EC)+SUMIF(Data!$C:$C,C94,Data!$EE:$EE)+SUMIF(Data!$C:$C,C94,Data!$EG:$EG)+SUMIF(Data!$C:$C,C94,Data!$EI:$EI)+SUMIF(Data!$C:$C,C94,Data!$EK:$EK)+SUMIF(Data!$C:$C,C94,Data!$EM:$EM)+SUMIF(Data!$C:$C,C94,Data!$EO:$EO)+SUMIF(Data!$C:$C,C94,Data!$EQ:$EQ)+SUMIF(Data!$C:$C,C94,Data!$ES:$ES)</f>
        <v>5932.9043478260883</v>
      </c>
      <c r="H94" s="34">
        <f>SUMIF(Data!$C:$C,C94,Data!$DJ:$DJ)+SUMIF(Data!$C:$C,C94,Data!$DL:$DL)+SUMIF(Data!$C:$C,C94,Data!$DN:$DN)+SUMIF(Data!$C:$C,C94,Data!$DP:$DP)+SUMIF(Data!$C:$C,C94,Data!$DR:$DR)+SUMIF(Data!$C:$C,C94,Data!$DT:$DT)+SUMIF(Data!$C:$C,C94,Data!$DV:$DV)+SUMIF(Data!$C:$C,C94,Data!$DX:$DX)+SUMIF(Data!$C:$C,C94,Data!$DZ:$DZ)+SUMIF(Data!$C:$C,C94,Data!$EB:$EB)+SUMIF(Data!$C:$C,C94,Data!$ED:$ED)+SUMIF(Data!$C:$C,C94,Data!$EF:$EF)+SUMIF(Data!$C:$C,C94,Data!$EH:$EH)+SUMIF(Data!$C:$C,C94,Data!$EJ:$EJ)+SUMIF(Data!$C:$C,C94,Data!$EL:$EL)+SUMIF(Data!$C:$C,C94,Data!$EN:$EN)+SUMIF(Data!$C:$C,C94,Data!$EP:$EP)+SUMIF(Data!$C:$C,C94,Data!$ER:$ER)+SUMIF(Data!$C:$C,C94,Data!$ET:$ET)</f>
        <v>39.5</v>
      </c>
      <c r="I94" s="33">
        <f>G94/19</f>
        <v>312.25812356979412</v>
      </c>
      <c r="J94" s="34">
        <f>H94/19</f>
        <v>2.0789473684210527</v>
      </c>
      <c r="K94" s="33">
        <f>IFERROR(INDEX(Data!$ES:$ES,MATCH(C94,Data!$C:$C,0)),0)</f>
        <v>0</v>
      </c>
      <c r="L94" s="34">
        <f>IFERROR(INDEX(Data!$ET:$ET,MATCH(C94,Data!$C:$C,0)),0)</f>
        <v>0</v>
      </c>
      <c r="M94" s="33">
        <f>IFERROR(INDEX(Data!$I$3:$ER$553,MATCH($C94,Data!$C$3:$C$553,0),MATCH(DATE(RIGHT($B$5,4),MID($B$5,4,2),LEFT($B$5,2))-42,Data!$I$1:$ER$1,0)),0)</f>
        <v>781.16521739130405</v>
      </c>
      <c r="N94" s="34" cm="1">
        <f t="array" ref="N94">IFERROR(INDEX(Data!$I$3:$ER$553,MATCH($C94,Data!$C$3:$C$553,0),MATCH(DATE(RIGHT($B$5,4),MID($B$5,4,2),LEFT($B$5,2))-42,Data!$I$1:$ER$1,0)+1),0)</f>
        <v>4.6040000000000001</v>
      </c>
      <c r="O94" s="33">
        <f>IFERROR(INDEX(Data!$I$3:$ER$553,MATCH($C94,Data!$C$3:$C$553,0),MATCH($M$5,Data!$I$1:$ER$1,0)),0)</f>
        <v>0</v>
      </c>
      <c r="P94" s="34" cm="1">
        <f t="array" ref="P94">IFERROR(INDEX(Data!$I$3:$ER$553,MATCH($C94,Data!$C$3:$C$553,0),MATCH($M$5,Data!$I$1:$ER$1,0)+1),0)</f>
        <v>0</v>
      </c>
      <c r="Q94" s="49" t="str">
        <f>IF(R94="","",IF(H94=0,0,R94*(G94/H94)))</f>
        <v/>
      </c>
      <c r="R94" s="50"/>
    </row>
    <row r="95" spans="1:18" x14ac:dyDescent="0.35">
      <c r="A95" s="29">
        <v>207</v>
      </c>
      <c r="B95" s="29" t="s">
        <v>535</v>
      </c>
      <c r="C95" s="29">
        <v>66630</v>
      </c>
      <c r="D95" s="29" t="s">
        <v>215</v>
      </c>
      <c r="E95" s="30">
        <v>0</v>
      </c>
      <c r="F95" s="31">
        <v>0</v>
      </c>
      <c r="G95" s="30">
        <f>SUMIF(Data!$C:$C,C95,Data!$DI:$DI)+SUMIF(Data!$C:$C,C95,Data!$DK:$DK)+SUMIF(Data!$C:$C,C95,Data!$DM:$DM)+SUMIF(Data!$C:$C,C95,Data!$DO:$DO)+SUMIF(Data!$C:$C,C95,Data!$DQ:$DQ)+SUMIF(Data!$C:$C,C95,Data!$DS:$DS)+SUMIF(Data!$C:$C,C95,Data!$DU:$DU)+SUMIF(Data!$C:$C,C95,Data!$DW:$DW)+SUMIF(Data!$C:$C,C95,Data!$DY:$DY)+SUMIF(Data!$C:$C,C95,Data!$EA:$EA)+SUMIF(Data!$C:$C,C95,Data!$EC:$EC)+SUMIF(Data!$C:$C,C95,Data!$EE:$EE)+SUMIF(Data!$C:$C,C95,Data!$EG:$EG)+SUMIF(Data!$C:$C,C95,Data!$EI:$EI)+SUMIF(Data!$C:$C,C95,Data!$EK:$EK)+SUMIF(Data!$C:$C,C95,Data!$EM:$EM)+SUMIF(Data!$C:$C,C95,Data!$EO:$EO)+SUMIF(Data!$C:$C,C95,Data!$EQ:$EQ)+SUMIF(Data!$C:$C,C95,Data!$ES:$ES)</f>
        <v>5899.5043478260795</v>
      </c>
      <c r="H95" s="31">
        <f>SUMIF(Data!$C:$C,C95,Data!$DJ:$DJ)+SUMIF(Data!$C:$C,C95,Data!$DL:$DL)+SUMIF(Data!$C:$C,C95,Data!$DN:$DN)+SUMIF(Data!$C:$C,C95,Data!$DP:$DP)+SUMIF(Data!$C:$C,C95,Data!$DR:$DR)+SUMIF(Data!$C:$C,C95,Data!$DT:$DT)+SUMIF(Data!$C:$C,C95,Data!$DV:$DV)+SUMIF(Data!$C:$C,C95,Data!$DX:$DX)+SUMIF(Data!$C:$C,C95,Data!$DZ:$DZ)+SUMIF(Data!$C:$C,C95,Data!$EB:$EB)+SUMIF(Data!$C:$C,C95,Data!$ED:$ED)+SUMIF(Data!$C:$C,C95,Data!$EF:$EF)+SUMIF(Data!$C:$C,C95,Data!$EH:$EH)+SUMIF(Data!$C:$C,C95,Data!$EJ:$EJ)+SUMIF(Data!$C:$C,C95,Data!$EL:$EL)+SUMIF(Data!$C:$C,C95,Data!$EN:$EN)+SUMIF(Data!$C:$C,C95,Data!$EP:$EP)+SUMIF(Data!$C:$C,C95,Data!$ER:$ER)+SUMIF(Data!$C:$C,C95,Data!$ET:$ET)</f>
        <v>78.128</v>
      </c>
      <c r="I95" s="30">
        <f>G95/19</f>
        <v>310.50022883295156</v>
      </c>
      <c r="J95" s="31">
        <f>H95/19</f>
        <v>4.1120000000000001</v>
      </c>
      <c r="K95" s="30">
        <f>IFERROR(INDEX(Data!$ES:$ES,MATCH(C95,Data!$C:$C,0)),0)</f>
        <v>0</v>
      </c>
      <c r="L95" s="31">
        <f>IFERROR(INDEX(Data!$ET:$ET,MATCH(C95,Data!$C:$C,0)),0)</f>
        <v>0</v>
      </c>
      <c r="M95" s="30">
        <f>IFERROR(INDEX(Data!$I$3:$ER$553,MATCH($C95,Data!$C$3:$C$553,0),MATCH(DATE(RIGHT($B$5,4),MID($B$5,4,2),LEFT($B$5,2))-42,Data!$I$1:$ER$1,0)),0)</f>
        <v>0</v>
      </c>
      <c r="N95" s="31" cm="1">
        <f t="array" ref="N95">IFERROR(INDEX(Data!$I$3:$ER$553,MATCH($C95,Data!$C$3:$C$553,0),MATCH(DATE(RIGHT($B$5,4),MID($B$5,4,2),LEFT($B$5,2))-42,Data!$I$1:$ER$1,0)+1),0)</f>
        <v>0</v>
      </c>
      <c r="O95" s="30">
        <f>IFERROR(INDEX(Data!$I$3:$ER$553,MATCH($C95,Data!$C$3:$C$553,0),MATCH($M$5,Data!$I$1:$ER$1,0)),0)</f>
        <v>0</v>
      </c>
      <c r="P95" s="31" cm="1">
        <f t="array" ref="P95">IFERROR(INDEX(Data!$I$3:$ER$553,MATCH($C95,Data!$C$3:$C$553,0),MATCH($M$5,Data!$I$1:$ER$1,0)+1),0)</f>
        <v>0</v>
      </c>
      <c r="Q95" s="49" t="str">
        <f>IF(R95="","",IF(H95=0,0,R95*(G95/H95)))</f>
        <v/>
      </c>
      <c r="R95" s="50"/>
    </row>
    <row r="96" spans="1:18" x14ac:dyDescent="0.35">
      <c r="A96" s="32">
        <v>207</v>
      </c>
      <c r="B96" s="32" t="s">
        <v>535</v>
      </c>
      <c r="C96" s="32">
        <v>12325</v>
      </c>
      <c r="D96" s="32" t="s">
        <v>204</v>
      </c>
      <c r="E96" s="33">
        <v>0</v>
      </c>
      <c r="F96" s="34">
        <v>0</v>
      </c>
      <c r="G96" s="33">
        <f>SUMIF(Data!$C:$C,C96,Data!$DI:$DI)+SUMIF(Data!$C:$C,C96,Data!$DK:$DK)+SUMIF(Data!$C:$C,C96,Data!$DM:$DM)+SUMIF(Data!$C:$C,C96,Data!$DO:$DO)+SUMIF(Data!$C:$C,C96,Data!$DQ:$DQ)+SUMIF(Data!$C:$C,C96,Data!$DS:$DS)+SUMIF(Data!$C:$C,C96,Data!$DU:$DU)+SUMIF(Data!$C:$C,C96,Data!$DW:$DW)+SUMIF(Data!$C:$C,C96,Data!$DY:$DY)+SUMIF(Data!$C:$C,C96,Data!$EA:$EA)+SUMIF(Data!$C:$C,C96,Data!$EC:$EC)+SUMIF(Data!$C:$C,C96,Data!$EE:$EE)+SUMIF(Data!$C:$C,C96,Data!$EG:$EG)+SUMIF(Data!$C:$C,C96,Data!$EI:$EI)+SUMIF(Data!$C:$C,C96,Data!$EK:$EK)+SUMIF(Data!$C:$C,C96,Data!$EM:$EM)+SUMIF(Data!$C:$C,C96,Data!$EO:$EO)+SUMIF(Data!$C:$C,C96,Data!$EQ:$EQ)+SUMIF(Data!$C:$C,C96,Data!$ES:$ES)</f>
        <v>4135.5826086956522</v>
      </c>
      <c r="H96" s="34">
        <f>SUMIF(Data!$C:$C,C96,Data!$DJ:$DJ)+SUMIF(Data!$C:$C,C96,Data!$DL:$DL)+SUMIF(Data!$C:$C,C96,Data!$DN:$DN)+SUMIF(Data!$C:$C,C96,Data!$DP:$DP)+SUMIF(Data!$C:$C,C96,Data!$DR:$DR)+SUMIF(Data!$C:$C,C96,Data!$DT:$DT)+SUMIF(Data!$C:$C,C96,Data!$DV:$DV)+SUMIF(Data!$C:$C,C96,Data!$DX:$DX)+SUMIF(Data!$C:$C,C96,Data!$DZ:$DZ)+SUMIF(Data!$C:$C,C96,Data!$EB:$EB)+SUMIF(Data!$C:$C,C96,Data!$ED:$ED)+SUMIF(Data!$C:$C,C96,Data!$EF:$EF)+SUMIF(Data!$C:$C,C96,Data!$EH:$EH)+SUMIF(Data!$C:$C,C96,Data!$EJ:$EJ)+SUMIF(Data!$C:$C,C96,Data!$EL:$EL)+SUMIF(Data!$C:$C,C96,Data!$EN:$EN)+SUMIF(Data!$C:$C,C96,Data!$EP:$EP)+SUMIF(Data!$C:$C,C96,Data!$ER:$ER)+SUMIF(Data!$C:$C,C96,Data!$ET:$ET)</f>
        <v>27.981999999999999</v>
      </c>
      <c r="I96" s="33">
        <f>G96/19</f>
        <v>217.66224256292907</v>
      </c>
      <c r="J96" s="34">
        <f>H96/19</f>
        <v>1.4727368421052631</v>
      </c>
      <c r="K96" s="33">
        <f>IFERROR(INDEX(Data!$ES:$ES,MATCH(C96,Data!$C:$C,0)),0)</f>
        <v>0</v>
      </c>
      <c r="L96" s="34">
        <f>IFERROR(INDEX(Data!$ET:$ET,MATCH(C96,Data!$C:$C,0)),0)</f>
        <v>0</v>
      </c>
      <c r="M96" s="33">
        <f>IFERROR(INDEX(Data!$I$3:$ER$553,MATCH($C96,Data!$C$3:$C$553,0),MATCH(DATE(RIGHT($B$5,4),MID($B$5,4,2),LEFT($B$5,2))-42,Data!$I$1:$ER$1,0)),0)</f>
        <v>0</v>
      </c>
      <c r="N96" s="34" cm="1">
        <f t="array" ref="N96">IFERROR(INDEX(Data!$I$3:$ER$553,MATCH($C96,Data!$C$3:$C$553,0),MATCH(DATE(RIGHT($B$5,4),MID($B$5,4,2),LEFT($B$5,2))-42,Data!$I$1:$ER$1,0)+1),0)</f>
        <v>0</v>
      </c>
      <c r="O96" s="33">
        <f>IFERROR(INDEX(Data!$I$3:$ER$553,MATCH($C96,Data!$C$3:$C$553,0),MATCH($M$5,Data!$I$1:$ER$1,0)),0)</f>
        <v>0</v>
      </c>
      <c r="P96" s="34" cm="1">
        <f t="array" ref="P96">IFERROR(INDEX(Data!$I$3:$ER$553,MATCH($C96,Data!$C$3:$C$553,0),MATCH($M$5,Data!$I$1:$ER$1,0)+1),0)</f>
        <v>0</v>
      </c>
      <c r="Q96" s="49" t="str">
        <f>IF(R96="","",IF(H96=0,0,R96*(G96/H96)))</f>
        <v/>
      </c>
      <c r="R96" s="50"/>
    </row>
    <row r="97" spans="1:18" x14ac:dyDescent="0.35">
      <c r="A97" s="29">
        <v>207</v>
      </c>
      <c r="B97" s="29" t="s">
        <v>535</v>
      </c>
      <c r="C97" s="29">
        <v>14926</v>
      </c>
      <c r="D97" s="29" t="s">
        <v>212</v>
      </c>
      <c r="E97" s="30">
        <v>3731.7565217391311</v>
      </c>
      <c r="F97" s="31">
        <v>123</v>
      </c>
      <c r="G97" s="30">
        <f>SUMIF(Data!$C:$C,C97,Data!$DI:$DI)+SUMIF(Data!$C:$C,C97,Data!$DK:$DK)+SUMIF(Data!$C:$C,C97,Data!$DM:$DM)+SUMIF(Data!$C:$C,C97,Data!$DO:$DO)+SUMIF(Data!$C:$C,C97,Data!$DQ:$DQ)+SUMIF(Data!$C:$C,C97,Data!$DS:$DS)+SUMIF(Data!$C:$C,C97,Data!$DU:$DU)+SUMIF(Data!$C:$C,C97,Data!$DW:$DW)+SUMIF(Data!$C:$C,C97,Data!$DY:$DY)+SUMIF(Data!$C:$C,C97,Data!$EA:$EA)+SUMIF(Data!$C:$C,C97,Data!$EC:$EC)+SUMIF(Data!$C:$C,C97,Data!$EE:$EE)+SUMIF(Data!$C:$C,C97,Data!$EG:$EG)+SUMIF(Data!$C:$C,C97,Data!$EI:$EI)+SUMIF(Data!$C:$C,C97,Data!$EK:$EK)+SUMIF(Data!$C:$C,C97,Data!$EM:$EM)+SUMIF(Data!$C:$C,C97,Data!$EO:$EO)+SUMIF(Data!$C:$C,C97,Data!$EQ:$EQ)+SUMIF(Data!$C:$C,C97,Data!$ES:$ES)</f>
        <v>3521.8173913043483</v>
      </c>
      <c r="H97" s="31">
        <f>SUMIF(Data!$C:$C,C97,Data!$DJ:$DJ)+SUMIF(Data!$C:$C,C97,Data!$DL:$DL)+SUMIF(Data!$C:$C,C97,Data!$DN:$DN)+SUMIF(Data!$C:$C,C97,Data!$DP:$DP)+SUMIF(Data!$C:$C,C97,Data!$DR:$DR)+SUMIF(Data!$C:$C,C97,Data!$DT:$DT)+SUMIF(Data!$C:$C,C97,Data!$DV:$DV)+SUMIF(Data!$C:$C,C97,Data!$DX:$DX)+SUMIF(Data!$C:$C,C97,Data!$DZ:$DZ)+SUMIF(Data!$C:$C,C97,Data!$EB:$EB)+SUMIF(Data!$C:$C,C97,Data!$ED:$ED)+SUMIF(Data!$C:$C,C97,Data!$EF:$EF)+SUMIF(Data!$C:$C,C97,Data!$EH:$EH)+SUMIF(Data!$C:$C,C97,Data!$EJ:$EJ)+SUMIF(Data!$C:$C,C97,Data!$EL:$EL)+SUMIF(Data!$C:$C,C97,Data!$EN:$EN)+SUMIF(Data!$C:$C,C97,Data!$EP:$EP)+SUMIF(Data!$C:$C,C97,Data!$ER:$ER)+SUMIF(Data!$C:$C,C97,Data!$ET:$ET)</f>
        <v>116</v>
      </c>
      <c r="I97" s="30">
        <f>G97/19</f>
        <v>185.35881006864992</v>
      </c>
      <c r="J97" s="31">
        <f>H97/19</f>
        <v>6.1052631578947372</v>
      </c>
      <c r="K97" s="30">
        <f>IFERROR(INDEX(Data!$ES:$ES,MATCH(C97,Data!$C:$C,0)),0)</f>
        <v>121.704347826087</v>
      </c>
      <c r="L97" s="31">
        <f>IFERROR(INDEX(Data!$ET:$ET,MATCH(C97,Data!$C:$C,0)),0)</f>
        <v>4</v>
      </c>
      <c r="M97" s="30">
        <f>IFERROR(INDEX(Data!$I$3:$ER$553,MATCH($C97,Data!$C$3:$C$553,0),MATCH(DATE(RIGHT($B$5,4),MID($B$5,4,2),LEFT($B$5,2))-42,Data!$I$1:$ER$1,0)),0)</f>
        <v>243.408695652174</v>
      </c>
      <c r="N97" s="31" cm="1">
        <f t="array" ref="N97">IFERROR(INDEX(Data!$I$3:$ER$553,MATCH($C97,Data!$C$3:$C$553,0),MATCH(DATE(RIGHT($B$5,4),MID($B$5,4,2),LEFT($B$5,2))-42,Data!$I$1:$ER$1,0)+1),0)</f>
        <v>8</v>
      </c>
      <c r="O97" s="30">
        <f>IFERROR(INDEX(Data!$I$3:$ER$553,MATCH($C97,Data!$C$3:$C$553,0),MATCH($M$5,Data!$I$1:$ER$1,0)),0)</f>
        <v>91.278260869565202</v>
      </c>
      <c r="P97" s="31" cm="1">
        <f t="array" ref="P97">IFERROR(INDEX(Data!$I$3:$ER$553,MATCH($C97,Data!$C$3:$C$553,0),MATCH($M$5,Data!$I$1:$ER$1,0)+1),0)</f>
        <v>3</v>
      </c>
      <c r="Q97" s="49" t="str">
        <f>IF(R97="","",IF(H97=0,0,R97*(G97/H97)))</f>
        <v/>
      </c>
      <c r="R97" s="50"/>
    </row>
    <row r="98" spans="1:18" x14ac:dyDescent="0.35">
      <c r="A98" s="32">
        <v>207</v>
      </c>
      <c r="B98" s="32" t="s">
        <v>535</v>
      </c>
      <c r="C98" s="32">
        <v>54631</v>
      </c>
      <c r="D98" s="32" t="s">
        <v>241</v>
      </c>
      <c r="E98" s="33">
        <v>0</v>
      </c>
      <c r="F98" s="34">
        <v>0</v>
      </c>
      <c r="G98" s="33">
        <f>SUMIF(Data!$C:$C,C98,Data!$DI:$DI)+SUMIF(Data!$C:$C,C98,Data!$DK:$DK)+SUMIF(Data!$C:$C,C98,Data!$DM:$DM)+SUMIF(Data!$C:$C,C98,Data!$DO:$DO)+SUMIF(Data!$C:$C,C98,Data!$DQ:$DQ)+SUMIF(Data!$C:$C,C98,Data!$DS:$DS)+SUMIF(Data!$C:$C,C98,Data!$DU:$DU)+SUMIF(Data!$C:$C,C98,Data!$DW:$DW)+SUMIF(Data!$C:$C,C98,Data!$DY:$DY)+SUMIF(Data!$C:$C,C98,Data!$EA:$EA)+SUMIF(Data!$C:$C,C98,Data!$EC:$EC)+SUMIF(Data!$C:$C,C98,Data!$EE:$EE)+SUMIF(Data!$C:$C,C98,Data!$EG:$EG)+SUMIF(Data!$C:$C,C98,Data!$EI:$EI)+SUMIF(Data!$C:$C,C98,Data!$EK:$EK)+SUMIF(Data!$C:$C,C98,Data!$EM:$EM)+SUMIF(Data!$C:$C,C98,Data!$EO:$EO)+SUMIF(Data!$C:$C,C98,Data!$EQ:$EQ)+SUMIF(Data!$C:$C,C98,Data!$ES:$ES)</f>
        <v>3331.1043478260913</v>
      </c>
      <c r="H98" s="34">
        <f>SUMIF(Data!$C:$C,C98,Data!$DJ:$DJ)+SUMIF(Data!$C:$C,C98,Data!$DL:$DL)+SUMIF(Data!$C:$C,C98,Data!$DN:$DN)+SUMIF(Data!$C:$C,C98,Data!$DP:$DP)+SUMIF(Data!$C:$C,C98,Data!$DR:$DR)+SUMIF(Data!$C:$C,C98,Data!$DT:$DT)+SUMIF(Data!$C:$C,C98,Data!$DV:$DV)+SUMIF(Data!$C:$C,C98,Data!$DX:$DX)+SUMIF(Data!$C:$C,C98,Data!$DZ:$DZ)+SUMIF(Data!$C:$C,C98,Data!$EB:$EB)+SUMIF(Data!$C:$C,C98,Data!$ED:$ED)+SUMIF(Data!$C:$C,C98,Data!$EF:$EF)+SUMIF(Data!$C:$C,C98,Data!$EH:$EH)+SUMIF(Data!$C:$C,C98,Data!$EJ:$EJ)+SUMIF(Data!$C:$C,C98,Data!$EL:$EL)+SUMIF(Data!$C:$C,C98,Data!$EN:$EN)+SUMIF(Data!$C:$C,C98,Data!$EP:$EP)+SUMIF(Data!$C:$C,C98,Data!$ER:$ER)+SUMIF(Data!$C:$C,C98,Data!$ET:$ET)</f>
        <v>23</v>
      </c>
      <c r="I98" s="33">
        <f>G98/19</f>
        <v>175.32128146453113</v>
      </c>
      <c r="J98" s="34">
        <f>H98/19</f>
        <v>1.2105263157894737</v>
      </c>
      <c r="K98" s="33">
        <f>IFERROR(INDEX(Data!$ES:$ES,MATCH(C98,Data!$C:$C,0)),0)</f>
        <v>0</v>
      </c>
      <c r="L98" s="34">
        <f>IFERROR(INDEX(Data!$ET:$ET,MATCH(C98,Data!$C:$C,0)),0)</f>
        <v>0</v>
      </c>
      <c r="M98" s="33">
        <f>IFERROR(INDEX(Data!$I$3:$ER$553,MATCH($C98,Data!$C$3:$C$553,0),MATCH(DATE(RIGHT($B$5,4),MID($B$5,4,2),LEFT($B$5,2))-42,Data!$I$1:$ER$1,0)),0)</f>
        <v>469.53913043478298</v>
      </c>
      <c r="N98" s="34" cm="1">
        <f t="array" ref="N98">IFERROR(INDEX(Data!$I$3:$ER$553,MATCH($C98,Data!$C$3:$C$553,0),MATCH(DATE(RIGHT($B$5,4),MID($B$5,4,2),LEFT($B$5,2))-42,Data!$I$1:$ER$1,0)+1),0)</f>
        <v>3</v>
      </c>
      <c r="O98" s="33">
        <f>IFERROR(INDEX(Data!$I$3:$ER$553,MATCH($C98,Data!$C$3:$C$553,0),MATCH($M$5,Data!$I$1:$ER$1,0)),0)</f>
        <v>0</v>
      </c>
      <c r="P98" s="34" cm="1">
        <f t="array" ref="P98">IFERROR(INDEX(Data!$I$3:$ER$553,MATCH($C98,Data!$C$3:$C$553,0),MATCH($M$5,Data!$I$1:$ER$1,0)+1),0)</f>
        <v>0</v>
      </c>
      <c r="Q98" s="49" t="str">
        <f>IF(R98="","",IF(H98=0,0,R98*(G98/H98)))</f>
        <v/>
      </c>
      <c r="R98" s="50"/>
    </row>
    <row r="99" spans="1:18" x14ac:dyDescent="0.35">
      <c r="A99" s="29">
        <v>207</v>
      </c>
      <c r="B99" s="29" t="s">
        <v>535</v>
      </c>
      <c r="C99" s="29">
        <v>48771</v>
      </c>
      <c r="D99" s="29" t="s">
        <v>233</v>
      </c>
      <c r="E99" s="30">
        <v>3050.5130434782604</v>
      </c>
      <c r="F99" s="31">
        <v>33.135000000000005</v>
      </c>
      <c r="G99" s="30">
        <f>SUMIF(Data!$C:$C,C99,Data!$DI:$DI)+SUMIF(Data!$C:$C,C99,Data!$DK:$DK)+SUMIF(Data!$C:$C,C99,Data!$DM:$DM)+SUMIF(Data!$C:$C,C99,Data!$DO:$DO)+SUMIF(Data!$C:$C,C99,Data!$DQ:$DQ)+SUMIF(Data!$C:$C,C99,Data!$DS:$DS)+SUMIF(Data!$C:$C,C99,Data!$DU:$DU)+SUMIF(Data!$C:$C,C99,Data!$DW:$DW)+SUMIF(Data!$C:$C,C99,Data!$DY:$DY)+SUMIF(Data!$C:$C,C99,Data!$EA:$EA)+SUMIF(Data!$C:$C,C99,Data!$EC:$EC)+SUMIF(Data!$C:$C,C99,Data!$EE:$EE)+SUMIF(Data!$C:$C,C99,Data!$EG:$EG)+SUMIF(Data!$C:$C,C99,Data!$EI:$EI)+SUMIF(Data!$C:$C,C99,Data!$EK:$EK)+SUMIF(Data!$C:$C,C99,Data!$EM:$EM)+SUMIF(Data!$C:$C,C99,Data!$EO:$EO)+SUMIF(Data!$C:$C,C99,Data!$EQ:$EQ)+SUMIF(Data!$C:$C,C99,Data!$ES:$ES)</f>
        <v>3690.0695652173918</v>
      </c>
      <c r="H99" s="31">
        <f>SUMIF(Data!$C:$C,C99,Data!$DJ:$DJ)+SUMIF(Data!$C:$C,C99,Data!$DL:$DL)+SUMIF(Data!$C:$C,C99,Data!$DN:$DN)+SUMIF(Data!$C:$C,C99,Data!$DP:$DP)+SUMIF(Data!$C:$C,C99,Data!$DR:$DR)+SUMIF(Data!$C:$C,C99,Data!$DT:$DT)+SUMIF(Data!$C:$C,C99,Data!$DV:$DV)+SUMIF(Data!$C:$C,C99,Data!$DX:$DX)+SUMIF(Data!$C:$C,C99,Data!$DZ:$DZ)+SUMIF(Data!$C:$C,C99,Data!$EB:$EB)+SUMIF(Data!$C:$C,C99,Data!$ED:$ED)+SUMIF(Data!$C:$C,C99,Data!$EF:$EF)+SUMIF(Data!$C:$C,C99,Data!$EH:$EH)+SUMIF(Data!$C:$C,C99,Data!$EJ:$EJ)+SUMIF(Data!$C:$C,C99,Data!$EL:$EL)+SUMIF(Data!$C:$C,C99,Data!$EN:$EN)+SUMIF(Data!$C:$C,C99,Data!$EP:$EP)+SUMIF(Data!$C:$C,C99,Data!$ER:$ER)+SUMIF(Data!$C:$C,C99,Data!$ET:$ET)</f>
        <v>34.938000000000002</v>
      </c>
      <c r="I99" s="30">
        <f>G99/19</f>
        <v>194.21418764302061</v>
      </c>
      <c r="J99" s="31">
        <f>H99/19</f>
        <v>1.8388421052631581</v>
      </c>
      <c r="K99" s="30">
        <f>IFERROR(INDEX(Data!$ES:$ES,MATCH(C99,Data!$C:$C,0)),0)</f>
        <v>671.20869565217401</v>
      </c>
      <c r="L99" s="31">
        <f>IFERROR(INDEX(Data!$ET:$ET,MATCH(C99,Data!$C:$C,0)),0)</f>
        <v>5.9379999999999997</v>
      </c>
      <c r="M99" s="30">
        <f>IFERROR(INDEX(Data!$I$3:$ER$553,MATCH($C99,Data!$C$3:$C$553,0),MATCH(DATE(RIGHT($B$5,4),MID($B$5,4,2),LEFT($B$5,2))-42,Data!$I$1:$ER$1,0)),0)</f>
        <v>0</v>
      </c>
      <c r="N99" s="31" cm="1">
        <f t="array" ref="N99">IFERROR(INDEX(Data!$I$3:$ER$553,MATCH($C99,Data!$C$3:$C$553,0),MATCH(DATE(RIGHT($B$5,4),MID($B$5,4,2),LEFT($B$5,2))-42,Data!$I$1:$ER$1,0)+1),0)</f>
        <v>0</v>
      </c>
      <c r="O99" s="30">
        <f>IFERROR(INDEX(Data!$I$3:$ER$553,MATCH($C99,Data!$C$3:$C$553,0),MATCH($M$5,Data!$I$1:$ER$1,0)),0)</f>
        <v>439.982608695652</v>
      </c>
      <c r="P99" s="31" cm="1">
        <f t="array" ref="P99">IFERROR(INDEX(Data!$I$3:$ER$553,MATCH($C99,Data!$C$3:$C$553,0),MATCH($M$5,Data!$I$1:$ER$1,0)+1),0)</f>
        <v>4.6420000000000003</v>
      </c>
      <c r="Q99" s="49" t="str">
        <f>IF(R99="","",IF(H99=0,0,R99*(G99/H99)))</f>
        <v/>
      </c>
      <c r="R99" s="50"/>
    </row>
    <row r="100" spans="1:18" x14ac:dyDescent="0.35">
      <c r="A100" s="32">
        <v>207</v>
      </c>
      <c r="B100" s="32" t="s">
        <v>535</v>
      </c>
      <c r="C100" s="32">
        <v>63365</v>
      </c>
      <c r="D100" s="32" t="s">
        <v>253</v>
      </c>
      <c r="E100" s="33">
        <v>0</v>
      </c>
      <c r="F100" s="34">
        <v>0</v>
      </c>
      <c r="G100" s="33">
        <f>SUMIF(Data!$C:$C,C100,Data!$DI:$DI)+SUMIF(Data!$C:$C,C100,Data!$DK:$DK)+SUMIF(Data!$C:$C,C100,Data!$DM:$DM)+SUMIF(Data!$C:$C,C100,Data!$DO:$DO)+SUMIF(Data!$C:$C,C100,Data!$DQ:$DQ)+SUMIF(Data!$C:$C,C100,Data!$DS:$DS)+SUMIF(Data!$C:$C,C100,Data!$DU:$DU)+SUMIF(Data!$C:$C,C100,Data!$DW:$DW)+SUMIF(Data!$C:$C,C100,Data!$DY:$DY)+SUMIF(Data!$C:$C,C100,Data!$EA:$EA)+SUMIF(Data!$C:$C,C100,Data!$EC:$EC)+SUMIF(Data!$C:$C,C100,Data!$EE:$EE)+SUMIF(Data!$C:$C,C100,Data!$EG:$EG)+SUMIF(Data!$C:$C,C100,Data!$EI:$EI)+SUMIF(Data!$C:$C,C100,Data!$EK:$EK)+SUMIF(Data!$C:$C,C100,Data!$EM:$EM)+SUMIF(Data!$C:$C,C100,Data!$EO:$EO)+SUMIF(Data!$C:$C,C100,Data!$EQ:$EQ)+SUMIF(Data!$C:$C,C100,Data!$ES:$ES)</f>
        <v>2992.4521739130441</v>
      </c>
      <c r="H100" s="34">
        <f>SUMIF(Data!$C:$C,C100,Data!$DJ:$DJ)+SUMIF(Data!$C:$C,C100,Data!$DL:$DL)+SUMIF(Data!$C:$C,C100,Data!$DN:$DN)+SUMIF(Data!$C:$C,C100,Data!$DP:$DP)+SUMIF(Data!$C:$C,C100,Data!$DR:$DR)+SUMIF(Data!$C:$C,C100,Data!$DT:$DT)+SUMIF(Data!$C:$C,C100,Data!$DV:$DV)+SUMIF(Data!$C:$C,C100,Data!$DX:$DX)+SUMIF(Data!$C:$C,C100,Data!$DZ:$DZ)+SUMIF(Data!$C:$C,C100,Data!$EB:$EB)+SUMIF(Data!$C:$C,C100,Data!$ED:$ED)+SUMIF(Data!$C:$C,C100,Data!$EF:$EF)+SUMIF(Data!$C:$C,C100,Data!$EH:$EH)+SUMIF(Data!$C:$C,C100,Data!$EJ:$EJ)+SUMIF(Data!$C:$C,C100,Data!$EL:$EL)+SUMIF(Data!$C:$C,C100,Data!$EN:$EN)+SUMIF(Data!$C:$C,C100,Data!$EP:$EP)+SUMIF(Data!$C:$C,C100,Data!$ER:$ER)+SUMIF(Data!$C:$C,C100,Data!$ET:$ET)</f>
        <v>14.854000000000003</v>
      </c>
      <c r="I100" s="33">
        <f>G100/19</f>
        <v>157.49748283752865</v>
      </c>
      <c r="J100" s="34">
        <f>H100/19</f>
        <v>0.7817894736842107</v>
      </c>
      <c r="K100" s="33">
        <f>IFERROR(INDEX(Data!$ES:$ES,MATCH(C100,Data!$C:$C,0)),0)</f>
        <v>0</v>
      </c>
      <c r="L100" s="34">
        <f>IFERROR(INDEX(Data!$ET:$ET,MATCH(C100,Data!$C:$C,0)),0)</f>
        <v>0</v>
      </c>
      <c r="M100" s="33">
        <f>IFERROR(INDEX(Data!$I$3:$ER$553,MATCH($C100,Data!$C$3:$C$553,0),MATCH(DATE(RIGHT($B$5,4),MID($B$5,4,2),LEFT($B$5,2))-42,Data!$I$1:$ER$1,0)),0)</f>
        <v>793.91304347826099</v>
      </c>
      <c r="N100" s="34" cm="1">
        <f t="array" ref="N100">IFERROR(INDEX(Data!$I$3:$ER$553,MATCH($C100,Data!$C$3:$C$553,0),MATCH(DATE(RIGHT($B$5,4),MID($B$5,4,2),LEFT($B$5,2))-42,Data!$I$1:$ER$1,0)+1),0)</f>
        <v>3.6520000000000001</v>
      </c>
      <c r="O100" s="33">
        <f>IFERROR(INDEX(Data!$I$3:$ER$553,MATCH($C100,Data!$C$3:$C$553,0),MATCH($M$5,Data!$I$1:$ER$1,0)),0)</f>
        <v>0</v>
      </c>
      <c r="P100" s="34" cm="1">
        <f t="array" ref="P100">IFERROR(INDEX(Data!$I$3:$ER$553,MATCH($C100,Data!$C$3:$C$553,0),MATCH($M$5,Data!$I$1:$ER$1,0)+1),0)</f>
        <v>0</v>
      </c>
      <c r="Q100" s="49" t="str">
        <f>IF(R100="","",IF(H100=0,0,R100*(G100/H100)))</f>
        <v/>
      </c>
      <c r="R100" s="50"/>
    </row>
    <row r="101" spans="1:18" x14ac:dyDescent="0.35">
      <c r="A101" s="29">
        <v>207</v>
      </c>
      <c r="B101" s="29" t="s">
        <v>535</v>
      </c>
      <c r="C101" s="29">
        <v>34304</v>
      </c>
      <c r="D101" s="29" t="s">
        <v>225</v>
      </c>
      <c r="E101" s="30">
        <v>2266.95652173913</v>
      </c>
      <c r="F101" s="31">
        <v>130.70599999999999</v>
      </c>
      <c r="G101" s="30">
        <f>SUMIF(Data!$C:$C,C101,Data!$DI:$DI)+SUMIF(Data!$C:$C,C101,Data!$DK:$DK)+SUMIF(Data!$C:$C,C101,Data!$DM:$DM)+SUMIF(Data!$C:$C,C101,Data!$DO:$DO)+SUMIF(Data!$C:$C,C101,Data!$DQ:$DQ)+SUMIF(Data!$C:$C,C101,Data!$DS:$DS)+SUMIF(Data!$C:$C,C101,Data!$DU:$DU)+SUMIF(Data!$C:$C,C101,Data!$DW:$DW)+SUMIF(Data!$C:$C,C101,Data!$DY:$DY)+SUMIF(Data!$C:$C,C101,Data!$EA:$EA)+SUMIF(Data!$C:$C,C101,Data!$EC:$EC)+SUMIF(Data!$C:$C,C101,Data!$EE:$EE)+SUMIF(Data!$C:$C,C101,Data!$EG:$EG)+SUMIF(Data!$C:$C,C101,Data!$EI:$EI)+SUMIF(Data!$C:$C,C101,Data!$EK:$EK)+SUMIF(Data!$C:$C,C101,Data!$EM:$EM)+SUMIF(Data!$C:$C,C101,Data!$EO:$EO)+SUMIF(Data!$C:$C,C101,Data!$EQ:$EQ)+SUMIF(Data!$C:$C,C101,Data!$ES:$ES)</f>
        <v>2663.5913043478254</v>
      </c>
      <c r="H101" s="31">
        <f>SUMIF(Data!$C:$C,C101,Data!$DJ:$DJ)+SUMIF(Data!$C:$C,C101,Data!$DL:$DL)+SUMIF(Data!$C:$C,C101,Data!$DN:$DN)+SUMIF(Data!$C:$C,C101,Data!$DP:$DP)+SUMIF(Data!$C:$C,C101,Data!$DR:$DR)+SUMIF(Data!$C:$C,C101,Data!$DT:$DT)+SUMIF(Data!$C:$C,C101,Data!$DV:$DV)+SUMIF(Data!$C:$C,C101,Data!$DX:$DX)+SUMIF(Data!$C:$C,C101,Data!$DZ:$DZ)+SUMIF(Data!$C:$C,C101,Data!$EB:$EB)+SUMIF(Data!$C:$C,C101,Data!$ED:$ED)+SUMIF(Data!$C:$C,C101,Data!$EF:$EF)+SUMIF(Data!$C:$C,C101,Data!$EH:$EH)+SUMIF(Data!$C:$C,C101,Data!$EJ:$EJ)+SUMIF(Data!$C:$C,C101,Data!$EL:$EL)+SUMIF(Data!$C:$C,C101,Data!$EN:$EN)+SUMIF(Data!$C:$C,C101,Data!$EP:$EP)+SUMIF(Data!$C:$C,C101,Data!$ER:$ER)+SUMIF(Data!$C:$C,C101,Data!$ET:$ET)</f>
        <v>153.23400000000001</v>
      </c>
      <c r="I101" s="30">
        <f>G101/19</f>
        <v>140.1890160183066</v>
      </c>
      <c r="J101" s="31">
        <f>H101/19</f>
        <v>8.0649473684210538</v>
      </c>
      <c r="K101" s="30">
        <f>IFERROR(INDEX(Data!$ES:$ES,MATCH(C101,Data!$C:$C,0)),0)</f>
        <v>0</v>
      </c>
      <c r="L101" s="31">
        <f>IFERROR(INDEX(Data!$ET:$ET,MATCH(C101,Data!$C:$C,0)),0)</f>
        <v>0</v>
      </c>
      <c r="M101" s="30">
        <f>IFERROR(INDEX(Data!$I$3:$ER$553,MATCH($C101,Data!$C$3:$C$553,0),MATCH(DATE(RIGHT($B$5,4),MID($B$5,4,2),LEFT($B$5,2))-42,Data!$I$1:$ER$1,0)),0)</f>
        <v>129.63478260869601</v>
      </c>
      <c r="N101" s="31" cm="1">
        <f t="array" ref="N101">IFERROR(INDEX(Data!$I$3:$ER$553,MATCH($C101,Data!$C$3:$C$553,0),MATCH(DATE(RIGHT($B$5,4),MID($B$5,4,2),LEFT($B$5,2))-42,Data!$I$1:$ER$1,0)+1),0)</f>
        <v>7.4580000000000002</v>
      </c>
      <c r="O101" s="30">
        <f>IFERROR(INDEX(Data!$I$3:$ER$553,MATCH($C101,Data!$C$3:$C$553,0),MATCH($M$5,Data!$I$1:$ER$1,0)),0)</f>
        <v>16.478260869565201</v>
      </c>
      <c r="P101" s="31" cm="1">
        <f t="array" ref="P101">IFERROR(INDEX(Data!$I$3:$ER$553,MATCH($C101,Data!$C$3:$C$553,0),MATCH($M$5,Data!$I$1:$ER$1,0)+1),0)</f>
        <v>0.94799999999999995</v>
      </c>
      <c r="Q101" s="49" t="str">
        <f>IF(R101="","",IF(H101=0,0,R101*(G101/H101)))</f>
        <v/>
      </c>
      <c r="R101" s="50"/>
    </row>
    <row r="102" spans="1:18" x14ac:dyDescent="0.35">
      <c r="A102" s="32">
        <v>207</v>
      </c>
      <c r="B102" s="32" t="s">
        <v>535</v>
      </c>
      <c r="C102" s="32">
        <v>54630</v>
      </c>
      <c r="D102" s="32" t="s">
        <v>240</v>
      </c>
      <c r="E102" s="33">
        <v>0</v>
      </c>
      <c r="F102" s="34">
        <v>0</v>
      </c>
      <c r="G102" s="33">
        <f>SUMIF(Data!$C:$C,C102,Data!$DI:$DI)+SUMIF(Data!$C:$C,C102,Data!$DK:$DK)+SUMIF(Data!$C:$C,C102,Data!$DM:$DM)+SUMIF(Data!$C:$C,C102,Data!$DO:$DO)+SUMIF(Data!$C:$C,C102,Data!$DQ:$DQ)+SUMIF(Data!$C:$C,C102,Data!$DS:$DS)+SUMIF(Data!$C:$C,C102,Data!$DU:$DU)+SUMIF(Data!$C:$C,C102,Data!$DW:$DW)+SUMIF(Data!$C:$C,C102,Data!$DY:$DY)+SUMIF(Data!$C:$C,C102,Data!$EA:$EA)+SUMIF(Data!$C:$C,C102,Data!$EC:$EC)+SUMIF(Data!$C:$C,C102,Data!$EE:$EE)+SUMIF(Data!$C:$C,C102,Data!$EG:$EG)+SUMIF(Data!$C:$C,C102,Data!$EI:$EI)+SUMIF(Data!$C:$C,C102,Data!$EK:$EK)+SUMIF(Data!$C:$C,C102,Data!$EM:$EM)+SUMIF(Data!$C:$C,C102,Data!$EO:$EO)+SUMIF(Data!$C:$C,C102,Data!$EQ:$EQ)+SUMIF(Data!$C:$C,C102,Data!$ES:$ES)</f>
        <v>1956.4086956521737</v>
      </c>
      <c r="H102" s="34">
        <f>SUMIF(Data!$C:$C,C102,Data!$DJ:$DJ)+SUMIF(Data!$C:$C,C102,Data!$DL:$DL)+SUMIF(Data!$C:$C,C102,Data!$DN:$DN)+SUMIF(Data!$C:$C,C102,Data!$DP:$DP)+SUMIF(Data!$C:$C,C102,Data!$DR:$DR)+SUMIF(Data!$C:$C,C102,Data!$DT:$DT)+SUMIF(Data!$C:$C,C102,Data!$DV:$DV)+SUMIF(Data!$C:$C,C102,Data!$DX:$DX)+SUMIF(Data!$C:$C,C102,Data!$DZ:$DZ)+SUMIF(Data!$C:$C,C102,Data!$EB:$EB)+SUMIF(Data!$C:$C,C102,Data!$ED:$ED)+SUMIF(Data!$C:$C,C102,Data!$EF:$EF)+SUMIF(Data!$C:$C,C102,Data!$EH:$EH)+SUMIF(Data!$C:$C,C102,Data!$EJ:$EJ)+SUMIF(Data!$C:$C,C102,Data!$EL:$EL)+SUMIF(Data!$C:$C,C102,Data!$EN:$EN)+SUMIF(Data!$C:$C,C102,Data!$EP:$EP)+SUMIF(Data!$C:$C,C102,Data!$ER:$ER)+SUMIF(Data!$C:$C,C102,Data!$ET:$ET)</f>
        <v>13</v>
      </c>
      <c r="I102" s="33">
        <f>G102/19</f>
        <v>102.96887871853546</v>
      </c>
      <c r="J102" s="34">
        <f>H102/19</f>
        <v>0.68421052631578949</v>
      </c>
      <c r="K102" s="33">
        <f>IFERROR(INDEX(Data!$ES:$ES,MATCH(C102,Data!$C:$C,0)),0)</f>
        <v>0</v>
      </c>
      <c r="L102" s="34">
        <f>IFERROR(INDEX(Data!$ET:$ET,MATCH(C102,Data!$C:$C,0)),0)</f>
        <v>0</v>
      </c>
      <c r="M102" s="33">
        <f>IFERROR(INDEX(Data!$I$3:$ER$553,MATCH($C102,Data!$C$3:$C$553,0),MATCH(DATE(RIGHT($B$5,4),MID($B$5,4,2),LEFT($B$5,2))-42,Data!$I$1:$ER$1,0)),0)</f>
        <v>156.51304347826101</v>
      </c>
      <c r="N102" s="34" cm="1">
        <f t="array" ref="N102">IFERROR(INDEX(Data!$I$3:$ER$553,MATCH($C102,Data!$C$3:$C$553,0),MATCH(DATE(RIGHT($B$5,4),MID($B$5,4,2),LEFT($B$5,2))-42,Data!$I$1:$ER$1,0)+1),0)</f>
        <v>1</v>
      </c>
      <c r="O102" s="33">
        <f>IFERROR(INDEX(Data!$I$3:$ER$553,MATCH($C102,Data!$C$3:$C$553,0),MATCH($M$5,Data!$I$1:$ER$1,0)),0)</f>
        <v>0</v>
      </c>
      <c r="P102" s="34" cm="1">
        <f t="array" ref="P102">IFERROR(INDEX(Data!$I$3:$ER$553,MATCH($C102,Data!$C$3:$C$553,0),MATCH($M$5,Data!$I$1:$ER$1,0)+1),0)</f>
        <v>0</v>
      </c>
      <c r="Q102" s="49" t="str">
        <f>IF(R102="","",IF(H102=0,0,R102*(G102/H102)))</f>
        <v/>
      </c>
      <c r="R102" s="50"/>
    </row>
    <row r="103" spans="1:18" x14ac:dyDescent="0.35">
      <c r="A103" s="29">
        <v>207</v>
      </c>
      <c r="B103" s="29" t="s">
        <v>535</v>
      </c>
      <c r="C103" s="29">
        <v>63414</v>
      </c>
      <c r="D103" s="29" t="s">
        <v>257</v>
      </c>
      <c r="E103" s="30">
        <v>0</v>
      </c>
      <c r="F103" s="31">
        <v>0</v>
      </c>
      <c r="G103" s="30">
        <f>SUMIF(Data!$C:$C,C103,Data!$DI:$DI)+SUMIF(Data!$C:$C,C103,Data!$DK:$DK)+SUMIF(Data!$C:$C,C103,Data!$DM:$DM)+SUMIF(Data!$C:$C,C103,Data!$DO:$DO)+SUMIF(Data!$C:$C,C103,Data!$DQ:$DQ)+SUMIF(Data!$C:$C,C103,Data!$DS:$DS)+SUMIF(Data!$C:$C,C103,Data!$DU:$DU)+SUMIF(Data!$C:$C,C103,Data!$DW:$DW)+SUMIF(Data!$C:$C,C103,Data!$DY:$DY)+SUMIF(Data!$C:$C,C103,Data!$EA:$EA)+SUMIF(Data!$C:$C,C103,Data!$EC:$EC)+SUMIF(Data!$C:$C,C103,Data!$EE:$EE)+SUMIF(Data!$C:$C,C103,Data!$EG:$EG)+SUMIF(Data!$C:$C,C103,Data!$EI:$EI)+SUMIF(Data!$C:$C,C103,Data!$EK:$EK)+SUMIF(Data!$C:$C,C103,Data!$EM:$EM)+SUMIF(Data!$C:$C,C103,Data!$EO:$EO)+SUMIF(Data!$C:$C,C103,Data!$EQ:$EQ)+SUMIF(Data!$C:$C,C103,Data!$ES:$ES)</f>
        <v>1908.139130434786</v>
      </c>
      <c r="H103" s="31">
        <f>SUMIF(Data!$C:$C,C103,Data!$DJ:$DJ)+SUMIF(Data!$C:$C,C103,Data!$DL:$DL)+SUMIF(Data!$C:$C,C103,Data!$DN:$DN)+SUMIF(Data!$C:$C,C103,Data!$DP:$DP)+SUMIF(Data!$C:$C,C103,Data!$DR:$DR)+SUMIF(Data!$C:$C,C103,Data!$DT:$DT)+SUMIF(Data!$C:$C,C103,Data!$DV:$DV)+SUMIF(Data!$C:$C,C103,Data!$DX:$DX)+SUMIF(Data!$C:$C,C103,Data!$DZ:$DZ)+SUMIF(Data!$C:$C,C103,Data!$EB:$EB)+SUMIF(Data!$C:$C,C103,Data!$ED:$ED)+SUMIF(Data!$C:$C,C103,Data!$EF:$EF)+SUMIF(Data!$C:$C,C103,Data!$EH:$EH)+SUMIF(Data!$C:$C,C103,Data!$EJ:$EJ)+SUMIF(Data!$C:$C,C103,Data!$EL:$EL)+SUMIF(Data!$C:$C,C103,Data!$EN:$EN)+SUMIF(Data!$C:$C,C103,Data!$EP:$EP)+SUMIF(Data!$C:$C,C103,Data!$ER:$ER)+SUMIF(Data!$C:$C,C103,Data!$ET:$ET)</f>
        <v>17.501999999999999</v>
      </c>
      <c r="I103" s="30">
        <f>G103/19</f>
        <v>100.42837528604137</v>
      </c>
      <c r="J103" s="31">
        <f>H103/19</f>
        <v>0.92115789473684206</v>
      </c>
      <c r="K103" s="30">
        <f>IFERROR(INDEX(Data!$ES:$ES,MATCH(C103,Data!$C:$C,0)),0)</f>
        <v>0</v>
      </c>
      <c r="L103" s="31">
        <f>IFERROR(INDEX(Data!$ET:$ET,MATCH(C103,Data!$C:$C,0)),0)</f>
        <v>0</v>
      </c>
      <c r="M103" s="30">
        <f>IFERROR(INDEX(Data!$I$3:$ER$553,MATCH($C103,Data!$C$3:$C$553,0),MATCH(DATE(RIGHT($B$5,4),MID($B$5,4,2),LEFT($B$5,2))-42,Data!$I$1:$ER$1,0)),0)</f>
        <v>0</v>
      </c>
      <c r="N103" s="31" cm="1">
        <f t="array" ref="N103">IFERROR(INDEX(Data!$I$3:$ER$553,MATCH($C103,Data!$C$3:$C$553,0),MATCH(DATE(RIGHT($B$5,4),MID($B$5,4,2),LEFT($B$5,2))-42,Data!$I$1:$ER$1,0)+1),0)</f>
        <v>0</v>
      </c>
      <c r="O103" s="30">
        <f>IFERROR(INDEX(Data!$I$3:$ER$553,MATCH($C103,Data!$C$3:$C$553,0),MATCH($M$5,Data!$I$1:$ER$1,0)),0)</f>
        <v>0</v>
      </c>
      <c r="P103" s="31" cm="1">
        <f t="array" ref="P103">IFERROR(INDEX(Data!$I$3:$ER$553,MATCH($C103,Data!$C$3:$C$553,0),MATCH($M$5,Data!$I$1:$ER$1,0)+1),0)</f>
        <v>0</v>
      </c>
      <c r="Q103" s="49" t="str">
        <f>IF(R103="","",IF(H103=0,0,R103*(G103/H103)))</f>
        <v/>
      </c>
      <c r="R103" s="50"/>
    </row>
    <row r="104" spans="1:18" x14ac:dyDescent="0.35">
      <c r="A104" s="32">
        <v>207</v>
      </c>
      <c r="B104" s="32" t="s">
        <v>535</v>
      </c>
      <c r="C104" s="32">
        <v>11142</v>
      </c>
      <c r="D104" s="32" t="s">
        <v>199</v>
      </c>
      <c r="E104" s="33">
        <v>4407.6608695652185</v>
      </c>
      <c r="F104" s="34">
        <v>54.692999999999998</v>
      </c>
      <c r="G104" s="33">
        <f>SUMIF(Data!$C:$C,C104,Data!$DI:$DI)+SUMIF(Data!$C:$C,C104,Data!$DK:$DK)+SUMIF(Data!$C:$C,C104,Data!$DM:$DM)+SUMIF(Data!$C:$C,C104,Data!$DO:$DO)+SUMIF(Data!$C:$C,C104,Data!$DQ:$DQ)+SUMIF(Data!$C:$C,C104,Data!$DS:$DS)+SUMIF(Data!$C:$C,C104,Data!$DU:$DU)+SUMIF(Data!$C:$C,C104,Data!$DW:$DW)+SUMIF(Data!$C:$C,C104,Data!$DY:$DY)+SUMIF(Data!$C:$C,C104,Data!$EA:$EA)+SUMIF(Data!$C:$C,C104,Data!$EC:$EC)+SUMIF(Data!$C:$C,C104,Data!$EE:$EE)+SUMIF(Data!$C:$C,C104,Data!$EG:$EG)+SUMIF(Data!$C:$C,C104,Data!$EI:$EI)+SUMIF(Data!$C:$C,C104,Data!$EK:$EK)+SUMIF(Data!$C:$C,C104,Data!$EM:$EM)+SUMIF(Data!$C:$C,C104,Data!$EO:$EO)+SUMIF(Data!$C:$C,C104,Data!$EQ:$EQ)+SUMIF(Data!$C:$C,C104,Data!$ES:$ES)</f>
        <v>1854.730434782608</v>
      </c>
      <c r="H104" s="34">
        <f>SUMIF(Data!$C:$C,C104,Data!$DJ:$DJ)+SUMIF(Data!$C:$C,C104,Data!$DL:$DL)+SUMIF(Data!$C:$C,C104,Data!$DN:$DN)+SUMIF(Data!$C:$C,C104,Data!$DP:$DP)+SUMIF(Data!$C:$C,C104,Data!$DR:$DR)+SUMIF(Data!$C:$C,C104,Data!$DT:$DT)+SUMIF(Data!$C:$C,C104,Data!$DV:$DV)+SUMIF(Data!$C:$C,C104,Data!$DX:$DX)+SUMIF(Data!$C:$C,C104,Data!$DZ:$DZ)+SUMIF(Data!$C:$C,C104,Data!$EB:$EB)+SUMIF(Data!$C:$C,C104,Data!$ED:$ED)+SUMIF(Data!$C:$C,C104,Data!$EF:$EF)+SUMIF(Data!$C:$C,C104,Data!$EH:$EH)+SUMIF(Data!$C:$C,C104,Data!$EJ:$EJ)+SUMIF(Data!$C:$C,C104,Data!$EL:$EL)+SUMIF(Data!$C:$C,C104,Data!$EN:$EN)+SUMIF(Data!$C:$C,C104,Data!$EP:$EP)+SUMIF(Data!$C:$C,C104,Data!$ER:$ER)+SUMIF(Data!$C:$C,C104,Data!$ET:$ET)</f>
        <v>19.988</v>
      </c>
      <c r="I104" s="33">
        <f>G104/19</f>
        <v>97.617391304347791</v>
      </c>
      <c r="J104" s="34">
        <f>H104/19</f>
        <v>1.052</v>
      </c>
      <c r="K104" s="33">
        <f>IFERROR(INDEX(Data!$ES:$ES,MATCH(C104,Data!$C:$C,0)),0)</f>
        <v>0</v>
      </c>
      <c r="L104" s="34">
        <f>IFERROR(INDEX(Data!$ET:$ET,MATCH(C104,Data!$C:$C,0)),0)</f>
        <v>0</v>
      </c>
      <c r="M104" s="33">
        <f>IFERROR(INDEX(Data!$I$3:$ER$553,MATCH($C104,Data!$C$3:$C$553,0),MATCH(DATE(RIGHT($B$5,4),MID($B$5,4,2),LEFT($B$5,2))-42,Data!$I$1:$ER$1,0)),0)</f>
        <v>0</v>
      </c>
      <c r="N104" s="34" cm="1">
        <f t="array" ref="N104">IFERROR(INDEX(Data!$I$3:$ER$553,MATCH($C104,Data!$C$3:$C$553,0),MATCH(DATE(RIGHT($B$5,4),MID($B$5,4,2),LEFT($B$5,2))-42,Data!$I$1:$ER$1,0)+1),0)</f>
        <v>0</v>
      </c>
      <c r="O104" s="33">
        <f>IFERROR(INDEX(Data!$I$3:$ER$553,MATCH($C104,Data!$C$3:$C$553,0),MATCH($M$5,Data!$I$1:$ER$1,0)),0)</f>
        <v>0</v>
      </c>
      <c r="P104" s="34" cm="1">
        <f t="array" ref="P104">IFERROR(INDEX(Data!$I$3:$ER$553,MATCH($C104,Data!$C$3:$C$553,0),MATCH($M$5,Data!$I$1:$ER$1,0)+1),0)</f>
        <v>0</v>
      </c>
      <c r="Q104" s="49" t="str">
        <f>IF(R104="","",IF(H104=0,0,R104*(G104/H104)))</f>
        <v/>
      </c>
      <c r="R104" s="50"/>
    </row>
    <row r="105" spans="1:18" x14ac:dyDescent="0.35">
      <c r="A105" s="29">
        <v>207</v>
      </c>
      <c r="B105" s="29" t="s">
        <v>535</v>
      </c>
      <c r="C105" s="29">
        <v>38927</v>
      </c>
      <c r="D105" s="29" t="s">
        <v>226</v>
      </c>
      <c r="E105" s="30">
        <v>4519.6956521739139</v>
      </c>
      <c r="F105" s="31">
        <v>60</v>
      </c>
      <c r="G105" s="30">
        <f>SUMIF(Data!$C:$C,C105,Data!$DI:$DI)+SUMIF(Data!$C:$C,C105,Data!$DK:$DK)+SUMIF(Data!$C:$C,C105,Data!$DM:$DM)+SUMIF(Data!$C:$C,C105,Data!$DO:$DO)+SUMIF(Data!$C:$C,C105,Data!$DQ:$DQ)+SUMIF(Data!$C:$C,C105,Data!$DS:$DS)+SUMIF(Data!$C:$C,C105,Data!$DU:$DU)+SUMIF(Data!$C:$C,C105,Data!$DW:$DW)+SUMIF(Data!$C:$C,C105,Data!$DY:$DY)+SUMIF(Data!$C:$C,C105,Data!$EA:$EA)+SUMIF(Data!$C:$C,C105,Data!$EC:$EC)+SUMIF(Data!$C:$C,C105,Data!$EE:$EE)+SUMIF(Data!$C:$C,C105,Data!$EG:$EG)+SUMIF(Data!$C:$C,C105,Data!$EI:$EI)+SUMIF(Data!$C:$C,C105,Data!$EK:$EK)+SUMIF(Data!$C:$C,C105,Data!$EM:$EM)+SUMIF(Data!$C:$C,C105,Data!$EO:$EO)+SUMIF(Data!$C:$C,C105,Data!$EQ:$EQ)+SUMIF(Data!$C:$C,C105,Data!$ES:$ES)</f>
        <v>1326.5826086956529</v>
      </c>
      <c r="H105" s="31">
        <f>SUMIF(Data!$C:$C,C105,Data!$DJ:$DJ)+SUMIF(Data!$C:$C,C105,Data!$DL:$DL)+SUMIF(Data!$C:$C,C105,Data!$DN:$DN)+SUMIF(Data!$C:$C,C105,Data!$DP:$DP)+SUMIF(Data!$C:$C,C105,Data!$DR:$DR)+SUMIF(Data!$C:$C,C105,Data!$DT:$DT)+SUMIF(Data!$C:$C,C105,Data!$DV:$DV)+SUMIF(Data!$C:$C,C105,Data!$DX:$DX)+SUMIF(Data!$C:$C,C105,Data!$DZ:$DZ)+SUMIF(Data!$C:$C,C105,Data!$EB:$EB)+SUMIF(Data!$C:$C,C105,Data!$ED:$ED)+SUMIF(Data!$C:$C,C105,Data!$EF:$EF)+SUMIF(Data!$C:$C,C105,Data!$EH:$EH)+SUMIF(Data!$C:$C,C105,Data!$EJ:$EJ)+SUMIF(Data!$C:$C,C105,Data!$EL:$EL)+SUMIF(Data!$C:$C,C105,Data!$EN:$EN)+SUMIF(Data!$C:$C,C105,Data!$EP:$EP)+SUMIF(Data!$C:$C,C105,Data!$ER:$ER)+SUMIF(Data!$C:$C,C105,Data!$ET:$ET)</f>
        <v>18</v>
      </c>
      <c r="I105" s="30">
        <f>G105/19</f>
        <v>69.820137299771204</v>
      </c>
      <c r="J105" s="31">
        <f>H105/19</f>
        <v>0.94736842105263153</v>
      </c>
      <c r="K105" s="30">
        <f>IFERROR(INDEX(Data!$ES:$ES,MATCH(C105,Data!$C:$C,0)),0)</f>
        <v>0</v>
      </c>
      <c r="L105" s="31">
        <f>IFERROR(INDEX(Data!$ET:$ET,MATCH(C105,Data!$C:$C,0)),0)</f>
        <v>0</v>
      </c>
      <c r="M105" s="30">
        <f>IFERROR(INDEX(Data!$I$3:$ER$553,MATCH($C105,Data!$C$3:$C$553,0),MATCH(DATE(RIGHT($B$5,4),MID($B$5,4,2),LEFT($B$5,2))-42,Data!$I$1:$ER$1,0)),0)</f>
        <v>0</v>
      </c>
      <c r="N105" s="31" cm="1">
        <f t="array" ref="N105">IFERROR(INDEX(Data!$I$3:$ER$553,MATCH($C105,Data!$C$3:$C$553,0),MATCH(DATE(RIGHT($B$5,4),MID($B$5,4,2),LEFT($B$5,2))-42,Data!$I$1:$ER$1,0)+1),0)</f>
        <v>0</v>
      </c>
      <c r="O105" s="30">
        <f>IFERROR(INDEX(Data!$I$3:$ER$553,MATCH($C105,Data!$C$3:$C$553,0),MATCH($M$5,Data!$I$1:$ER$1,0)),0)</f>
        <v>151.286956521739</v>
      </c>
      <c r="P105" s="31" cm="1">
        <f t="array" ref="P105">IFERROR(INDEX(Data!$I$3:$ER$553,MATCH($C105,Data!$C$3:$C$553,0),MATCH($M$5,Data!$I$1:$ER$1,0)+1),0)</f>
        <v>2</v>
      </c>
      <c r="Q105" s="49" t="str">
        <f>IF(R105="","",IF(H105=0,0,R105*(G105/H105)))</f>
        <v/>
      </c>
      <c r="R105" s="50"/>
    </row>
    <row r="106" spans="1:18" x14ac:dyDescent="0.35">
      <c r="A106" s="32">
        <v>207</v>
      </c>
      <c r="B106" s="32" t="s">
        <v>535</v>
      </c>
      <c r="C106" s="32">
        <v>39397</v>
      </c>
      <c r="D106" s="32" t="s">
        <v>229</v>
      </c>
      <c r="E106" s="33">
        <v>1256.2782608695661</v>
      </c>
      <c r="F106" s="34">
        <v>14.377000000000001</v>
      </c>
      <c r="G106" s="33">
        <f>SUMIF(Data!$C:$C,C106,Data!$DI:$DI)+SUMIF(Data!$C:$C,C106,Data!$DK:$DK)+SUMIF(Data!$C:$C,C106,Data!$DM:$DM)+SUMIF(Data!$C:$C,C106,Data!$DO:$DO)+SUMIF(Data!$C:$C,C106,Data!$DQ:$DQ)+SUMIF(Data!$C:$C,C106,Data!$DS:$DS)+SUMIF(Data!$C:$C,C106,Data!$DU:$DU)+SUMIF(Data!$C:$C,C106,Data!$DW:$DW)+SUMIF(Data!$C:$C,C106,Data!$DY:$DY)+SUMIF(Data!$C:$C,C106,Data!$EA:$EA)+SUMIF(Data!$C:$C,C106,Data!$EC:$EC)+SUMIF(Data!$C:$C,C106,Data!$EE:$EE)+SUMIF(Data!$C:$C,C106,Data!$EG:$EG)+SUMIF(Data!$C:$C,C106,Data!$EI:$EI)+SUMIF(Data!$C:$C,C106,Data!$EK:$EK)+SUMIF(Data!$C:$C,C106,Data!$EM:$EM)+SUMIF(Data!$C:$C,C106,Data!$EO:$EO)+SUMIF(Data!$C:$C,C106,Data!$EQ:$EQ)+SUMIF(Data!$C:$C,C106,Data!$ES:$ES)</f>
        <v>1095.678260869566</v>
      </c>
      <c r="H106" s="34">
        <f>SUMIF(Data!$C:$C,C106,Data!$DJ:$DJ)+SUMIF(Data!$C:$C,C106,Data!$DL:$DL)+SUMIF(Data!$C:$C,C106,Data!$DN:$DN)+SUMIF(Data!$C:$C,C106,Data!$DP:$DP)+SUMIF(Data!$C:$C,C106,Data!$DR:$DR)+SUMIF(Data!$C:$C,C106,Data!$DT:$DT)+SUMIF(Data!$C:$C,C106,Data!$DV:$DV)+SUMIF(Data!$C:$C,C106,Data!$DX:$DX)+SUMIF(Data!$C:$C,C106,Data!$DZ:$DZ)+SUMIF(Data!$C:$C,C106,Data!$EB:$EB)+SUMIF(Data!$C:$C,C106,Data!$ED:$ED)+SUMIF(Data!$C:$C,C106,Data!$EF:$EF)+SUMIF(Data!$C:$C,C106,Data!$EH:$EH)+SUMIF(Data!$C:$C,C106,Data!$EJ:$EJ)+SUMIF(Data!$C:$C,C106,Data!$EL:$EL)+SUMIF(Data!$C:$C,C106,Data!$EN:$EN)+SUMIF(Data!$C:$C,C106,Data!$EP:$EP)+SUMIF(Data!$C:$C,C106,Data!$ER:$ER)+SUMIF(Data!$C:$C,C106,Data!$ET:$ET)</f>
        <v>12.802</v>
      </c>
      <c r="I106" s="33">
        <f>G106/19</f>
        <v>57.667276887871893</v>
      </c>
      <c r="J106" s="34">
        <f>H106/19</f>
        <v>0.67378947368421049</v>
      </c>
      <c r="K106" s="33">
        <f>IFERROR(INDEX(Data!$ES:$ES,MATCH(C106,Data!$C:$C,0)),0)</f>
        <v>0</v>
      </c>
      <c r="L106" s="34">
        <f>IFERROR(INDEX(Data!$ET:$ET,MATCH(C106,Data!$C:$C,0)),0)</f>
        <v>0</v>
      </c>
      <c r="M106" s="33">
        <f>IFERROR(INDEX(Data!$I$3:$ER$553,MATCH($C106,Data!$C$3:$C$553,0),MATCH(DATE(RIGHT($B$5,4),MID($B$5,4,2),LEFT($B$5,2))-42,Data!$I$1:$ER$1,0)),0)</f>
        <v>0</v>
      </c>
      <c r="N106" s="34" cm="1">
        <f t="array" ref="N106">IFERROR(INDEX(Data!$I$3:$ER$553,MATCH($C106,Data!$C$3:$C$553,0),MATCH(DATE(RIGHT($B$5,4),MID($B$5,4,2),LEFT($B$5,2))-42,Data!$I$1:$ER$1,0)+1),0)</f>
        <v>0</v>
      </c>
      <c r="O106" s="33">
        <f>IFERROR(INDEX(Data!$I$3:$ER$553,MATCH($C106,Data!$C$3:$C$553,0),MATCH($M$5,Data!$I$1:$ER$1,0)),0)</f>
        <v>200.79130434782601</v>
      </c>
      <c r="P106" s="34" cm="1">
        <f t="array" ref="P106">IFERROR(INDEX(Data!$I$3:$ER$553,MATCH($C106,Data!$C$3:$C$553,0),MATCH($M$5,Data!$I$1:$ER$1,0)+1),0)</f>
        <v>2.0990000000000002</v>
      </c>
      <c r="Q106" s="49" t="str">
        <f>IF(R106="","",IF(H106=0,0,R106*(G106/H106)))</f>
        <v/>
      </c>
      <c r="R106" s="50"/>
    </row>
    <row r="107" spans="1:18" x14ac:dyDescent="0.35">
      <c r="A107" s="29">
        <v>207</v>
      </c>
      <c r="B107" s="29" t="s">
        <v>535</v>
      </c>
      <c r="C107" s="29">
        <v>12317</v>
      </c>
      <c r="D107" s="29" t="s">
        <v>203</v>
      </c>
      <c r="E107" s="30">
        <v>121.730434782609</v>
      </c>
      <c r="F107" s="31">
        <v>1</v>
      </c>
      <c r="G107" s="30">
        <f>SUMIF(Data!$C:$C,C107,Data!$DI:$DI)+SUMIF(Data!$C:$C,C107,Data!$DK:$DK)+SUMIF(Data!$C:$C,C107,Data!$DM:$DM)+SUMIF(Data!$C:$C,C107,Data!$DO:$DO)+SUMIF(Data!$C:$C,C107,Data!$DQ:$DQ)+SUMIF(Data!$C:$C,C107,Data!$DS:$DS)+SUMIF(Data!$C:$C,C107,Data!$DU:$DU)+SUMIF(Data!$C:$C,C107,Data!$DW:$DW)+SUMIF(Data!$C:$C,C107,Data!$DY:$DY)+SUMIF(Data!$C:$C,C107,Data!$EA:$EA)+SUMIF(Data!$C:$C,C107,Data!$EC:$EC)+SUMIF(Data!$C:$C,C107,Data!$EE:$EE)+SUMIF(Data!$C:$C,C107,Data!$EG:$EG)+SUMIF(Data!$C:$C,C107,Data!$EI:$EI)+SUMIF(Data!$C:$C,C107,Data!$EK:$EK)+SUMIF(Data!$C:$C,C107,Data!$EM:$EM)+SUMIF(Data!$C:$C,C107,Data!$EO:$EO)+SUMIF(Data!$C:$C,C107,Data!$EQ:$EQ)+SUMIF(Data!$C:$C,C107,Data!$ES:$ES)</f>
        <v>730.37391304347807</v>
      </c>
      <c r="H107" s="31">
        <f>SUMIF(Data!$C:$C,C107,Data!$DJ:$DJ)+SUMIF(Data!$C:$C,C107,Data!$DL:$DL)+SUMIF(Data!$C:$C,C107,Data!$DN:$DN)+SUMIF(Data!$C:$C,C107,Data!$DP:$DP)+SUMIF(Data!$C:$C,C107,Data!$DR:$DR)+SUMIF(Data!$C:$C,C107,Data!$DT:$DT)+SUMIF(Data!$C:$C,C107,Data!$DV:$DV)+SUMIF(Data!$C:$C,C107,Data!$DX:$DX)+SUMIF(Data!$C:$C,C107,Data!$DZ:$DZ)+SUMIF(Data!$C:$C,C107,Data!$EB:$EB)+SUMIF(Data!$C:$C,C107,Data!$ED:$ED)+SUMIF(Data!$C:$C,C107,Data!$EF:$EF)+SUMIF(Data!$C:$C,C107,Data!$EH:$EH)+SUMIF(Data!$C:$C,C107,Data!$EJ:$EJ)+SUMIF(Data!$C:$C,C107,Data!$EL:$EL)+SUMIF(Data!$C:$C,C107,Data!$EN:$EN)+SUMIF(Data!$C:$C,C107,Data!$EP:$EP)+SUMIF(Data!$C:$C,C107,Data!$ER:$ER)+SUMIF(Data!$C:$C,C107,Data!$ET:$ET)</f>
        <v>7</v>
      </c>
      <c r="I107" s="30">
        <f>G107/19</f>
        <v>38.440732265446215</v>
      </c>
      <c r="J107" s="31">
        <f>H107/19</f>
        <v>0.36842105263157893</v>
      </c>
      <c r="K107" s="30">
        <f>IFERROR(INDEX(Data!$ES:$ES,MATCH(C107,Data!$C:$C,0)),0)</f>
        <v>0</v>
      </c>
      <c r="L107" s="31">
        <f>IFERROR(INDEX(Data!$ET:$ET,MATCH(C107,Data!$C:$C,0)),0)</f>
        <v>0</v>
      </c>
      <c r="M107" s="30">
        <f>IFERROR(INDEX(Data!$I$3:$ER$553,MATCH($C107,Data!$C$3:$C$553,0),MATCH(DATE(RIGHT($B$5,4),MID($B$5,4,2),LEFT($B$5,2))-42,Data!$I$1:$ER$1,0)),0)</f>
        <v>0</v>
      </c>
      <c r="N107" s="31" cm="1">
        <f t="array" ref="N107">IFERROR(INDEX(Data!$I$3:$ER$553,MATCH($C107,Data!$C$3:$C$553,0),MATCH(DATE(RIGHT($B$5,4),MID($B$5,4,2),LEFT($B$5,2))-42,Data!$I$1:$ER$1,0)+1),0)</f>
        <v>0</v>
      </c>
      <c r="O107" s="30">
        <f>IFERROR(INDEX(Data!$I$3:$ER$553,MATCH($C107,Data!$C$3:$C$553,0),MATCH($M$5,Data!$I$1:$ER$1,0)),0)</f>
        <v>0</v>
      </c>
      <c r="P107" s="31" cm="1">
        <f t="array" ref="P107">IFERROR(INDEX(Data!$I$3:$ER$553,MATCH($C107,Data!$C$3:$C$553,0),MATCH($M$5,Data!$I$1:$ER$1,0)+1),0)</f>
        <v>0</v>
      </c>
      <c r="Q107" s="49" t="str">
        <f>IF(R107="","",IF(H107=0,0,R107*(G107/H107)))</f>
        <v/>
      </c>
      <c r="R107" s="50"/>
    </row>
    <row r="108" spans="1:18" x14ac:dyDescent="0.35">
      <c r="A108" s="32">
        <v>207</v>
      </c>
      <c r="B108" s="32" t="s">
        <v>535</v>
      </c>
      <c r="C108" s="32">
        <v>34285</v>
      </c>
      <c r="D108" s="32" t="s">
        <v>221</v>
      </c>
      <c r="E108" s="33">
        <v>0</v>
      </c>
      <c r="F108" s="34">
        <v>0</v>
      </c>
      <c r="G108" s="33">
        <f>SUMIF(Data!$C:$C,C108,Data!$DI:$DI)+SUMIF(Data!$C:$C,C108,Data!$DK:$DK)+SUMIF(Data!$C:$C,C108,Data!$DM:$DM)+SUMIF(Data!$C:$C,C108,Data!$DO:$DO)+SUMIF(Data!$C:$C,C108,Data!$DQ:$DQ)+SUMIF(Data!$C:$C,C108,Data!$DS:$DS)+SUMIF(Data!$C:$C,C108,Data!$DU:$DU)+SUMIF(Data!$C:$C,C108,Data!$DW:$DW)+SUMIF(Data!$C:$C,C108,Data!$DY:$DY)+SUMIF(Data!$C:$C,C108,Data!$EA:$EA)+SUMIF(Data!$C:$C,C108,Data!$EC:$EC)+SUMIF(Data!$C:$C,C108,Data!$EE:$EE)+SUMIF(Data!$C:$C,C108,Data!$EG:$EG)+SUMIF(Data!$C:$C,C108,Data!$EI:$EI)+SUMIF(Data!$C:$C,C108,Data!$EK:$EK)+SUMIF(Data!$C:$C,C108,Data!$EM:$EM)+SUMIF(Data!$C:$C,C108,Data!$EO:$EO)+SUMIF(Data!$C:$C,C108,Data!$EQ:$EQ)+SUMIF(Data!$C:$C,C108,Data!$ES:$ES)</f>
        <v>410.860869565217</v>
      </c>
      <c r="H108" s="34">
        <f>SUMIF(Data!$C:$C,C108,Data!$DJ:$DJ)+SUMIF(Data!$C:$C,C108,Data!$DL:$DL)+SUMIF(Data!$C:$C,C108,Data!$DN:$DN)+SUMIF(Data!$C:$C,C108,Data!$DP:$DP)+SUMIF(Data!$C:$C,C108,Data!$DR:$DR)+SUMIF(Data!$C:$C,C108,Data!$DT:$DT)+SUMIF(Data!$C:$C,C108,Data!$DV:$DV)+SUMIF(Data!$C:$C,C108,Data!$DX:$DX)+SUMIF(Data!$C:$C,C108,Data!$DZ:$DZ)+SUMIF(Data!$C:$C,C108,Data!$EB:$EB)+SUMIF(Data!$C:$C,C108,Data!$ED:$ED)+SUMIF(Data!$C:$C,C108,Data!$EF:$EF)+SUMIF(Data!$C:$C,C108,Data!$EH:$EH)+SUMIF(Data!$C:$C,C108,Data!$EJ:$EJ)+SUMIF(Data!$C:$C,C108,Data!$EL:$EL)+SUMIF(Data!$C:$C,C108,Data!$EN:$EN)+SUMIF(Data!$C:$C,C108,Data!$EP:$EP)+SUMIF(Data!$C:$C,C108,Data!$ER:$ER)+SUMIF(Data!$C:$C,C108,Data!$ET:$ET)</f>
        <v>4.9219999999999997</v>
      </c>
      <c r="I108" s="33">
        <f>G108/19</f>
        <v>21.624256292906157</v>
      </c>
      <c r="J108" s="34">
        <f>H108/19</f>
        <v>0.25905263157894737</v>
      </c>
      <c r="K108" s="33">
        <f>IFERROR(INDEX(Data!$ES:$ES,MATCH(C108,Data!$C:$C,0)),0)</f>
        <v>0</v>
      </c>
      <c r="L108" s="34">
        <f>IFERROR(INDEX(Data!$ET:$ET,MATCH(C108,Data!$C:$C,0)),0)</f>
        <v>0</v>
      </c>
      <c r="M108" s="33">
        <f>IFERROR(INDEX(Data!$I$3:$ER$553,MATCH($C108,Data!$C$3:$C$553,0),MATCH(DATE(RIGHT($B$5,4),MID($B$5,4,2),LEFT($B$5,2))-42,Data!$I$1:$ER$1,0)),0)</f>
        <v>410.860869565217</v>
      </c>
      <c r="N108" s="34" cm="1">
        <f t="array" ref="N108">IFERROR(INDEX(Data!$I$3:$ER$553,MATCH($C108,Data!$C$3:$C$553,0),MATCH(DATE(RIGHT($B$5,4),MID($B$5,4,2),LEFT($B$5,2))-42,Data!$I$1:$ER$1,0)+1),0)</f>
        <v>4.9219999999999997</v>
      </c>
      <c r="O108" s="33">
        <f>IFERROR(INDEX(Data!$I$3:$ER$553,MATCH($C108,Data!$C$3:$C$553,0),MATCH($M$5,Data!$I$1:$ER$1,0)),0)</f>
        <v>0</v>
      </c>
      <c r="P108" s="34" cm="1">
        <f t="array" ref="P108">IFERROR(INDEX(Data!$I$3:$ER$553,MATCH($C108,Data!$C$3:$C$553,0),MATCH($M$5,Data!$I$1:$ER$1,0)+1),0)</f>
        <v>0</v>
      </c>
      <c r="Q108" s="49" t="str">
        <f>IF(R108="","",IF(H108=0,0,R108*(G108/H108)))</f>
        <v/>
      </c>
      <c r="R108" s="50"/>
    </row>
    <row r="109" spans="1:18" x14ac:dyDescent="0.35">
      <c r="A109" s="29">
        <v>207</v>
      </c>
      <c r="B109" s="29" t="s">
        <v>535</v>
      </c>
      <c r="C109" s="29">
        <v>34232</v>
      </c>
      <c r="D109" s="29" t="s">
        <v>217</v>
      </c>
      <c r="E109" s="30">
        <v>461.42608695652098</v>
      </c>
      <c r="F109" s="31">
        <v>5.8970000000000002</v>
      </c>
      <c r="G109" s="30">
        <f>SUMIF(Data!$C:$C,C109,Data!$DI:$DI)+SUMIF(Data!$C:$C,C109,Data!$DK:$DK)+SUMIF(Data!$C:$C,C109,Data!$DM:$DM)+SUMIF(Data!$C:$C,C109,Data!$DO:$DO)+SUMIF(Data!$C:$C,C109,Data!$DQ:$DQ)+SUMIF(Data!$C:$C,C109,Data!$DS:$DS)+SUMIF(Data!$C:$C,C109,Data!$DU:$DU)+SUMIF(Data!$C:$C,C109,Data!$DW:$DW)+SUMIF(Data!$C:$C,C109,Data!$DY:$DY)+SUMIF(Data!$C:$C,C109,Data!$EA:$EA)+SUMIF(Data!$C:$C,C109,Data!$EC:$EC)+SUMIF(Data!$C:$C,C109,Data!$EE:$EE)+SUMIF(Data!$C:$C,C109,Data!$EG:$EG)+SUMIF(Data!$C:$C,C109,Data!$EI:$EI)+SUMIF(Data!$C:$C,C109,Data!$EK:$EK)+SUMIF(Data!$C:$C,C109,Data!$EM:$EM)+SUMIF(Data!$C:$C,C109,Data!$EO:$EO)+SUMIF(Data!$C:$C,C109,Data!$EQ:$EQ)+SUMIF(Data!$C:$C,C109,Data!$ES:$ES)</f>
        <v>406.91304347826099</v>
      </c>
      <c r="H109" s="31">
        <f>SUMIF(Data!$C:$C,C109,Data!$DJ:$DJ)+SUMIF(Data!$C:$C,C109,Data!$DL:$DL)+SUMIF(Data!$C:$C,C109,Data!$DN:$DN)+SUMIF(Data!$C:$C,C109,Data!$DP:$DP)+SUMIF(Data!$C:$C,C109,Data!$DR:$DR)+SUMIF(Data!$C:$C,C109,Data!$DT:$DT)+SUMIF(Data!$C:$C,C109,Data!$DV:$DV)+SUMIF(Data!$C:$C,C109,Data!$DX:$DX)+SUMIF(Data!$C:$C,C109,Data!$DZ:$DZ)+SUMIF(Data!$C:$C,C109,Data!$EB:$EB)+SUMIF(Data!$C:$C,C109,Data!$ED:$ED)+SUMIF(Data!$C:$C,C109,Data!$EF:$EF)+SUMIF(Data!$C:$C,C109,Data!$EH:$EH)+SUMIF(Data!$C:$C,C109,Data!$EJ:$EJ)+SUMIF(Data!$C:$C,C109,Data!$EL:$EL)+SUMIF(Data!$C:$C,C109,Data!$EN:$EN)+SUMIF(Data!$C:$C,C109,Data!$EP:$EP)+SUMIF(Data!$C:$C,C109,Data!$ER:$ER)+SUMIF(Data!$C:$C,C109,Data!$ET:$ET)</f>
        <v>5.1999999999999993</v>
      </c>
      <c r="I109" s="30">
        <f>G109/19</f>
        <v>21.416475972540052</v>
      </c>
      <c r="J109" s="31">
        <f>H109/19</f>
        <v>0.27368421052631575</v>
      </c>
      <c r="K109" s="30">
        <f>IFERROR(INDEX(Data!$ES:$ES,MATCH(C109,Data!$C:$C,0)),0)</f>
        <v>190</v>
      </c>
      <c r="L109" s="31">
        <f>IFERROR(INDEX(Data!$ET:$ET,MATCH(C109,Data!$C:$C,0)),0)</f>
        <v>2.4279999999999999</v>
      </c>
      <c r="M109" s="30">
        <f>IFERROR(INDEX(Data!$I$3:$ER$553,MATCH($C109,Data!$C$3:$C$553,0),MATCH(DATE(RIGHT($B$5,4),MID($B$5,4,2),LEFT($B$5,2))-42,Data!$I$1:$ER$1,0)),0)</f>
        <v>0</v>
      </c>
      <c r="N109" s="31" cm="1">
        <f t="array" ref="N109">IFERROR(INDEX(Data!$I$3:$ER$553,MATCH($C109,Data!$C$3:$C$553,0),MATCH(DATE(RIGHT($B$5,4),MID($B$5,4,2),LEFT($B$5,2))-42,Data!$I$1:$ER$1,0)+1),0)</f>
        <v>0</v>
      </c>
      <c r="O109" s="30">
        <f>IFERROR(INDEX(Data!$I$3:$ER$553,MATCH($C109,Data!$C$3:$C$553,0),MATCH($M$5,Data!$I$1:$ER$1,0)),0)</f>
        <v>0</v>
      </c>
      <c r="P109" s="31" cm="1">
        <f t="array" ref="P109">IFERROR(INDEX(Data!$I$3:$ER$553,MATCH($C109,Data!$C$3:$C$553,0),MATCH($M$5,Data!$I$1:$ER$1,0)+1),0)</f>
        <v>0</v>
      </c>
      <c r="Q109" s="49" t="str">
        <f>IF(R109="","",IF(H109=0,0,R109*(G109/H109)))</f>
        <v/>
      </c>
      <c r="R109" s="50"/>
    </row>
    <row r="110" spans="1:18" x14ac:dyDescent="0.35">
      <c r="A110" s="32">
        <v>207</v>
      </c>
      <c r="B110" s="32" t="s">
        <v>535</v>
      </c>
      <c r="C110" s="32">
        <v>12197</v>
      </c>
      <c r="D110" s="32" t="s">
        <v>201</v>
      </c>
      <c r="E110" s="33">
        <v>0</v>
      </c>
      <c r="F110" s="34">
        <v>0</v>
      </c>
      <c r="G110" s="33">
        <f>SUMIF(Data!$C:$C,C110,Data!$DI:$DI)+SUMIF(Data!$C:$C,C110,Data!$DK:$DK)+SUMIF(Data!$C:$C,C110,Data!$DM:$DM)+SUMIF(Data!$C:$C,C110,Data!$DO:$DO)+SUMIF(Data!$C:$C,C110,Data!$DQ:$DQ)+SUMIF(Data!$C:$C,C110,Data!$DS:$DS)+SUMIF(Data!$C:$C,C110,Data!$DU:$DU)+SUMIF(Data!$C:$C,C110,Data!$DW:$DW)+SUMIF(Data!$C:$C,C110,Data!$DY:$DY)+SUMIF(Data!$C:$C,C110,Data!$EA:$EA)+SUMIF(Data!$C:$C,C110,Data!$EC:$EC)+SUMIF(Data!$C:$C,C110,Data!$EE:$EE)+SUMIF(Data!$C:$C,C110,Data!$EG:$EG)+SUMIF(Data!$C:$C,C110,Data!$EI:$EI)+SUMIF(Data!$C:$C,C110,Data!$EK:$EK)+SUMIF(Data!$C:$C,C110,Data!$EM:$EM)+SUMIF(Data!$C:$C,C110,Data!$EO:$EO)+SUMIF(Data!$C:$C,C110,Data!$EQ:$EQ)+SUMIF(Data!$C:$C,C110,Data!$ES:$ES)</f>
        <v>173.90434782608699</v>
      </c>
      <c r="H110" s="34">
        <f>SUMIF(Data!$C:$C,C110,Data!$DJ:$DJ)+SUMIF(Data!$C:$C,C110,Data!$DL:$DL)+SUMIF(Data!$C:$C,C110,Data!$DN:$DN)+SUMIF(Data!$C:$C,C110,Data!$DP:$DP)+SUMIF(Data!$C:$C,C110,Data!$DR:$DR)+SUMIF(Data!$C:$C,C110,Data!$DT:$DT)+SUMIF(Data!$C:$C,C110,Data!$DV:$DV)+SUMIF(Data!$C:$C,C110,Data!$DX:$DX)+SUMIF(Data!$C:$C,C110,Data!$DZ:$DZ)+SUMIF(Data!$C:$C,C110,Data!$EB:$EB)+SUMIF(Data!$C:$C,C110,Data!$ED:$ED)+SUMIF(Data!$C:$C,C110,Data!$EF:$EF)+SUMIF(Data!$C:$C,C110,Data!$EH:$EH)+SUMIF(Data!$C:$C,C110,Data!$EJ:$EJ)+SUMIF(Data!$C:$C,C110,Data!$EL:$EL)+SUMIF(Data!$C:$C,C110,Data!$EN:$EN)+SUMIF(Data!$C:$C,C110,Data!$EP:$EP)+SUMIF(Data!$C:$C,C110,Data!$ER:$ER)+SUMIF(Data!$C:$C,C110,Data!$ET:$ET)</f>
        <v>1</v>
      </c>
      <c r="I110" s="33">
        <f>G110/19</f>
        <v>9.1528604118993151</v>
      </c>
      <c r="J110" s="34">
        <f>H110/19</f>
        <v>5.2631578947368418E-2</v>
      </c>
      <c r="K110" s="33">
        <f>IFERROR(INDEX(Data!$ES:$ES,MATCH(C110,Data!$C:$C,0)),0)</f>
        <v>0</v>
      </c>
      <c r="L110" s="34">
        <f>IFERROR(INDEX(Data!$ET:$ET,MATCH(C110,Data!$C:$C,0)),0)</f>
        <v>0</v>
      </c>
      <c r="M110" s="33">
        <f>IFERROR(INDEX(Data!$I$3:$ER$553,MATCH($C110,Data!$C$3:$C$553,0),MATCH(DATE(RIGHT($B$5,4),MID($B$5,4,2),LEFT($B$5,2))-42,Data!$I$1:$ER$1,0)),0)</f>
        <v>0</v>
      </c>
      <c r="N110" s="34" cm="1">
        <f t="array" ref="N110">IFERROR(INDEX(Data!$I$3:$ER$553,MATCH($C110,Data!$C$3:$C$553,0),MATCH(DATE(RIGHT($B$5,4),MID($B$5,4,2),LEFT($B$5,2))-42,Data!$I$1:$ER$1,0)+1),0)</f>
        <v>0</v>
      </c>
      <c r="O110" s="33">
        <f>IFERROR(INDEX(Data!$I$3:$ER$553,MATCH($C110,Data!$C$3:$C$553,0),MATCH($M$5,Data!$I$1:$ER$1,0)),0)</f>
        <v>0</v>
      </c>
      <c r="P110" s="34" cm="1">
        <f t="array" ref="P110">IFERROR(INDEX(Data!$I$3:$ER$553,MATCH($C110,Data!$C$3:$C$553,0),MATCH($M$5,Data!$I$1:$ER$1,0)+1),0)</f>
        <v>0</v>
      </c>
      <c r="Q110" s="49" t="str">
        <f>IF(R110="","",IF(H110=0,0,R110*(G110/H110)))</f>
        <v/>
      </c>
      <c r="R110" s="50"/>
    </row>
    <row r="111" spans="1:18" ht="13.5" thickBot="1" x14ac:dyDescent="0.4">
      <c r="A111" s="54" t="s">
        <v>690</v>
      </c>
      <c r="B111" s="54"/>
      <c r="C111" s="54"/>
      <c r="D111" s="54"/>
      <c r="E111" s="55">
        <f>SUM(E82:E110)</f>
        <v>109867.31304347829</v>
      </c>
      <c r="F111" s="56">
        <f>SUM(F82:F110)</f>
        <v>1743.8079999999998</v>
      </c>
      <c r="G111" s="55">
        <f>SUM(G82:G110)</f>
        <v>541115.43478260876</v>
      </c>
      <c r="H111" s="56">
        <f>SUM(H82:H110)</f>
        <v>6849.8810000000003</v>
      </c>
      <c r="I111" s="55">
        <f>AVERAGE(I82:I110)</f>
        <v>982.06068018622295</v>
      </c>
      <c r="J111" s="56">
        <f>AVERAGE(J82:J110)</f>
        <v>12.431725952813068</v>
      </c>
      <c r="K111" s="55">
        <f>SUM(K82:K110)</f>
        <v>24215.173913043516</v>
      </c>
      <c r="L111" s="56">
        <f>SUM(L82:L110)</f>
        <v>299.61500000000001</v>
      </c>
      <c r="M111" s="55">
        <f>SUM(M82:M110)</f>
        <v>21468.104347826091</v>
      </c>
      <c r="N111" s="56">
        <f>SUM(N82:N110)</f>
        <v>272.32100000000008</v>
      </c>
      <c r="O111" s="55">
        <f>SUM(O82:O110)</f>
        <v>4304.2086956521707</v>
      </c>
      <c r="P111" s="56">
        <f>SUM(P82:P110)</f>
        <v>57.689000000000007</v>
      </c>
      <c r="Q111" s="57">
        <f>SUM(Q82:Q110)</f>
        <v>0</v>
      </c>
      <c r="R111" s="58">
        <f>SUM(R82:R110)</f>
        <v>0</v>
      </c>
    </row>
    <row r="112" spans="1:18" ht="13.5" thickTop="1" x14ac:dyDescent="0.35">
      <c r="A112" s="32"/>
      <c r="B112" s="32"/>
      <c r="C112" s="32"/>
      <c r="D112" s="32"/>
      <c r="E112" s="33"/>
      <c r="F112" s="34"/>
      <c r="G112" s="33"/>
      <c r="H112" s="34"/>
      <c r="I112" s="33"/>
      <c r="J112" s="34"/>
      <c r="K112" s="33"/>
      <c r="L112" s="34"/>
      <c r="M112" s="33"/>
      <c r="N112" s="34"/>
      <c r="O112" s="33"/>
      <c r="P112" s="34"/>
      <c r="Q112" s="49"/>
      <c r="R112" s="50"/>
    </row>
    <row r="113" spans="1:18" x14ac:dyDescent="0.35">
      <c r="A113" s="29">
        <v>210</v>
      </c>
      <c r="B113" s="29" t="s">
        <v>538</v>
      </c>
      <c r="C113" s="29">
        <v>63498</v>
      </c>
      <c r="D113" s="29" t="s">
        <v>346</v>
      </c>
      <c r="E113" s="30">
        <v>0</v>
      </c>
      <c r="F113" s="31">
        <v>0</v>
      </c>
      <c r="G113" s="30">
        <f>SUMIF(Data!$C:$C,C113,Data!$DI:$DI)+SUMIF(Data!$C:$C,C113,Data!$DK:$DK)+SUMIF(Data!$C:$C,C113,Data!$DM:$DM)+SUMIF(Data!$C:$C,C113,Data!$DO:$DO)+SUMIF(Data!$C:$C,C113,Data!$DQ:$DQ)+SUMIF(Data!$C:$C,C113,Data!$DS:$DS)+SUMIF(Data!$C:$C,C113,Data!$DU:$DU)+SUMIF(Data!$C:$C,C113,Data!$DW:$DW)+SUMIF(Data!$C:$C,C113,Data!$DY:$DY)+SUMIF(Data!$C:$C,C113,Data!$EA:$EA)+SUMIF(Data!$C:$C,C113,Data!$EC:$EC)+SUMIF(Data!$C:$C,C113,Data!$EE:$EE)+SUMIF(Data!$C:$C,C113,Data!$EG:$EG)+SUMIF(Data!$C:$C,C113,Data!$EI:$EI)+SUMIF(Data!$C:$C,C113,Data!$EK:$EK)+SUMIF(Data!$C:$C,C113,Data!$EM:$EM)+SUMIF(Data!$C:$C,C113,Data!$EO:$EO)+SUMIF(Data!$C:$C,C113,Data!$EQ:$EQ)+SUMIF(Data!$C:$C,C113,Data!$ES:$ES)</f>
        <v>17990.07826086957</v>
      </c>
      <c r="H113" s="31">
        <f>SUMIF(Data!$C:$C,C113,Data!$DJ:$DJ)+SUMIF(Data!$C:$C,C113,Data!$DL:$DL)+SUMIF(Data!$C:$C,C113,Data!$DN:$DN)+SUMIF(Data!$C:$C,C113,Data!$DP:$DP)+SUMIF(Data!$C:$C,C113,Data!$DR:$DR)+SUMIF(Data!$C:$C,C113,Data!$DT:$DT)+SUMIF(Data!$C:$C,C113,Data!$DV:$DV)+SUMIF(Data!$C:$C,C113,Data!$DX:$DX)+SUMIF(Data!$C:$C,C113,Data!$DZ:$DZ)+SUMIF(Data!$C:$C,C113,Data!$EB:$EB)+SUMIF(Data!$C:$C,C113,Data!$ED:$ED)+SUMIF(Data!$C:$C,C113,Data!$EF:$EF)+SUMIF(Data!$C:$C,C113,Data!$EH:$EH)+SUMIF(Data!$C:$C,C113,Data!$EJ:$EJ)+SUMIF(Data!$C:$C,C113,Data!$EL:$EL)+SUMIF(Data!$C:$C,C113,Data!$EN:$EN)+SUMIF(Data!$C:$C,C113,Data!$EP:$EP)+SUMIF(Data!$C:$C,C113,Data!$ER:$ER)+SUMIF(Data!$C:$C,C113,Data!$ET:$ET)</f>
        <v>159.48599999999999</v>
      </c>
      <c r="I113" s="30">
        <f>G113/19</f>
        <v>946.84622425629311</v>
      </c>
      <c r="J113" s="31">
        <f>H113/19</f>
        <v>8.3940000000000001</v>
      </c>
      <c r="K113" s="30">
        <f>IFERROR(INDEX(Data!$ES:$ES,MATCH(C113,Data!$C:$C,0)),0)</f>
        <v>955.11304347826103</v>
      </c>
      <c r="L113" s="31">
        <f>IFERROR(INDEX(Data!$ET:$ET,MATCH(C113,Data!$C:$C,0)),0)</f>
        <v>8.4499999999999993</v>
      </c>
      <c r="M113" s="30">
        <f>IFERROR(INDEX(Data!$I$3:$ER$553,MATCH($C113,Data!$C$3:$C$553,0),MATCH(DATE(RIGHT($B$5,4),MID($B$5,4,2),LEFT($B$5,2))-42,Data!$I$1:$ER$1,0)),0)</f>
        <v>399.408695652174</v>
      </c>
      <c r="N113" s="31" cm="1">
        <f t="array" ref="N113">IFERROR(INDEX(Data!$I$3:$ER$553,MATCH($C113,Data!$C$3:$C$553,0),MATCH(DATE(RIGHT($B$5,4),MID($B$5,4,2),LEFT($B$5,2))-42,Data!$I$1:$ER$1,0)+1),0)</f>
        <v>3.5739999999999998</v>
      </c>
      <c r="O113" s="30">
        <f>IFERROR(INDEX(Data!$I$3:$ER$553,MATCH($C113,Data!$C$3:$C$553,0),MATCH($M$5,Data!$I$1:$ER$1,0)),0)</f>
        <v>0</v>
      </c>
      <c r="P113" s="31" cm="1">
        <f t="array" ref="P113">IFERROR(INDEX(Data!$I$3:$ER$553,MATCH($C113,Data!$C$3:$C$553,0),MATCH($M$5,Data!$I$1:$ER$1,0)+1),0)</f>
        <v>0</v>
      </c>
      <c r="Q113" s="49" t="str">
        <f>IF(R113="","",IF(H113=0,0,R113*(G113/H113)))</f>
        <v/>
      </c>
      <c r="R113" s="50"/>
    </row>
    <row r="114" spans="1:18" ht="13.5" thickBot="1" x14ac:dyDescent="0.4">
      <c r="A114" s="54" t="s">
        <v>691</v>
      </c>
      <c r="B114" s="54"/>
      <c r="C114" s="54"/>
      <c r="D114" s="54"/>
      <c r="E114" s="55">
        <f>SUM(E113:E113)</f>
        <v>0</v>
      </c>
      <c r="F114" s="56">
        <f>SUM(F113:F113)</f>
        <v>0</v>
      </c>
      <c r="G114" s="55">
        <f>SUM(G113:G113)</f>
        <v>17990.07826086957</v>
      </c>
      <c r="H114" s="56">
        <f>SUM(H113:H113)</f>
        <v>159.48599999999999</v>
      </c>
      <c r="I114" s="55">
        <f>AVERAGE(I113:I113)</f>
        <v>946.84622425629311</v>
      </c>
      <c r="J114" s="56">
        <f>AVERAGE(J113:J113)</f>
        <v>8.3940000000000001</v>
      </c>
      <c r="K114" s="55">
        <f>SUM(K113:K113)</f>
        <v>955.11304347826103</v>
      </c>
      <c r="L114" s="56">
        <f>SUM(L113:L113)</f>
        <v>8.4499999999999993</v>
      </c>
      <c r="M114" s="55">
        <f>SUM(M113:M113)</f>
        <v>399.408695652174</v>
      </c>
      <c r="N114" s="56">
        <f>SUM(N113:N113)</f>
        <v>3.5739999999999998</v>
      </c>
      <c r="O114" s="55">
        <f>SUM(O113)</f>
        <v>0</v>
      </c>
      <c r="P114" s="56">
        <f>SUM(P113)</f>
        <v>0</v>
      </c>
      <c r="Q114" s="57">
        <f>SUM(Q113:Q113)</f>
        <v>0</v>
      </c>
      <c r="R114" s="58">
        <f>SUM(R113:R113)</f>
        <v>0</v>
      </c>
    </row>
    <row r="115" spans="1:18" ht="13.5" thickTop="1" x14ac:dyDescent="0.35">
      <c r="A115" s="29"/>
      <c r="B115" s="29"/>
      <c r="C115" s="29"/>
      <c r="D115" s="29"/>
      <c r="E115" s="30"/>
      <c r="F115" s="31"/>
      <c r="G115" s="30"/>
      <c r="H115" s="31"/>
      <c r="I115" s="30"/>
      <c r="J115" s="31"/>
      <c r="K115" s="30"/>
      <c r="L115" s="31"/>
      <c r="M115" s="30"/>
      <c r="N115" s="31"/>
      <c r="O115" s="30"/>
      <c r="P115" s="31"/>
      <c r="Q115" s="49"/>
      <c r="R115" s="50"/>
    </row>
    <row r="116" spans="1:18" x14ac:dyDescent="0.35">
      <c r="A116" s="32">
        <v>213</v>
      </c>
      <c r="B116" s="32" t="s">
        <v>541</v>
      </c>
      <c r="C116" s="32">
        <v>32049</v>
      </c>
      <c r="D116" s="32" t="s">
        <v>356</v>
      </c>
      <c r="E116" s="33">
        <v>2644.3130434782602</v>
      </c>
      <c r="F116" s="34">
        <v>7.0719999999999992</v>
      </c>
      <c r="G116" s="33">
        <f>SUMIF(Data!$C:$C,C116,Data!$DI:$DI)+SUMIF(Data!$C:$C,C116,Data!$DK:$DK)+SUMIF(Data!$C:$C,C116,Data!$DM:$DM)+SUMIF(Data!$C:$C,C116,Data!$DO:$DO)+SUMIF(Data!$C:$C,C116,Data!$DQ:$DQ)+SUMIF(Data!$C:$C,C116,Data!$DS:$DS)+SUMIF(Data!$C:$C,C116,Data!$DU:$DU)+SUMIF(Data!$C:$C,C116,Data!$DW:$DW)+SUMIF(Data!$C:$C,C116,Data!$DY:$DY)+SUMIF(Data!$C:$C,C116,Data!$EA:$EA)+SUMIF(Data!$C:$C,C116,Data!$EC:$EC)+SUMIF(Data!$C:$C,C116,Data!$EE:$EE)+SUMIF(Data!$C:$C,C116,Data!$EG:$EG)+SUMIF(Data!$C:$C,C116,Data!$EI:$EI)+SUMIF(Data!$C:$C,C116,Data!$EK:$EK)+SUMIF(Data!$C:$C,C116,Data!$EM:$EM)+SUMIF(Data!$C:$C,C116,Data!$EO:$EO)+SUMIF(Data!$C:$C,C116,Data!$EQ:$EQ)+SUMIF(Data!$C:$C,C116,Data!$ES:$ES)</f>
        <v>62.817391304347801</v>
      </c>
      <c r="H116" s="34">
        <f>SUMIF(Data!$C:$C,C116,Data!$DJ:$DJ)+SUMIF(Data!$C:$C,C116,Data!$DL:$DL)+SUMIF(Data!$C:$C,C116,Data!$DN:$DN)+SUMIF(Data!$C:$C,C116,Data!$DP:$DP)+SUMIF(Data!$C:$C,C116,Data!$DR:$DR)+SUMIF(Data!$C:$C,C116,Data!$DT:$DT)+SUMIF(Data!$C:$C,C116,Data!$DV:$DV)+SUMIF(Data!$C:$C,C116,Data!$DX:$DX)+SUMIF(Data!$C:$C,C116,Data!$DZ:$DZ)+SUMIF(Data!$C:$C,C116,Data!$EB:$EB)+SUMIF(Data!$C:$C,C116,Data!$ED:$ED)+SUMIF(Data!$C:$C,C116,Data!$EF:$EF)+SUMIF(Data!$C:$C,C116,Data!$EH:$EH)+SUMIF(Data!$C:$C,C116,Data!$EJ:$EJ)+SUMIF(Data!$C:$C,C116,Data!$EL:$EL)+SUMIF(Data!$C:$C,C116,Data!$EN:$EN)+SUMIF(Data!$C:$C,C116,Data!$EP:$EP)+SUMIF(Data!$C:$C,C116,Data!$ER:$ER)+SUMIF(Data!$C:$C,C116,Data!$ET:$ET)</f>
        <v>0.14399999999999999</v>
      </c>
      <c r="I116" s="33">
        <f>G116/19</f>
        <v>3.3061784897025159</v>
      </c>
      <c r="J116" s="34">
        <f>H116/19</f>
        <v>7.5789473684210523E-3</v>
      </c>
      <c r="K116" s="33">
        <f>IFERROR(INDEX(Data!$ES:$ES,MATCH(C116,Data!$C:$C,0)),0)</f>
        <v>0</v>
      </c>
      <c r="L116" s="34">
        <f>IFERROR(INDEX(Data!$ET:$ET,MATCH(C116,Data!$C:$C,0)),0)</f>
        <v>0</v>
      </c>
      <c r="M116" s="33">
        <f>IFERROR(INDEX(Data!$I$3:$ER$553,MATCH($C116,Data!$C$3:$C$553,0),MATCH(DATE(RIGHT($B$5,4),MID($B$5,4,2),LEFT($B$5,2))-42,Data!$I$1:$ER$1,0)),0)</f>
        <v>0</v>
      </c>
      <c r="N116" s="34" cm="1">
        <f t="array" ref="N116">IFERROR(INDEX(Data!$I$3:$ER$553,MATCH($C116,Data!$C$3:$C$553,0),MATCH(DATE(RIGHT($B$5,4),MID($B$5,4,2),LEFT($B$5,2))-42,Data!$I$1:$ER$1,0)+1),0)</f>
        <v>0</v>
      </c>
      <c r="O116" s="33">
        <f>IFERROR(INDEX(Data!$I$3:$ER$553,MATCH($C116,Data!$C$3:$C$553,0),MATCH($M$5,Data!$I$1:$ER$1,0)),0)</f>
        <v>26.921739130434801</v>
      </c>
      <c r="P116" s="34" cm="1">
        <f t="array" ref="P116">IFERROR(INDEX(Data!$I$3:$ER$553,MATCH($C116,Data!$C$3:$C$553,0),MATCH($M$5,Data!$I$1:$ER$1,0)+1),0)</f>
        <v>7.1999999999999995E-2</v>
      </c>
      <c r="Q116" s="49" t="str">
        <f>IF(R116="","",IF(H116=0,0,R116*(G116/H116)))</f>
        <v/>
      </c>
      <c r="R116" s="50"/>
    </row>
    <row r="117" spans="1:18" ht="13.5" thickBot="1" x14ac:dyDescent="0.4">
      <c r="A117" s="54" t="s">
        <v>692</v>
      </c>
      <c r="B117" s="54"/>
      <c r="C117" s="54"/>
      <c r="D117" s="54"/>
      <c r="E117" s="55">
        <f>SUM(E116:E116)</f>
        <v>2644.3130434782602</v>
      </c>
      <c r="F117" s="56">
        <f>SUM(F116:F116)</f>
        <v>7.0719999999999992</v>
      </c>
      <c r="G117" s="55">
        <f>SUM(G116:G116)</f>
        <v>62.817391304347801</v>
      </c>
      <c r="H117" s="56">
        <f>SUM(H116:H116)</f>
        <v>0.14399999999999999</v>
      </c>
      <c r="I117" s="55">
        <f>AVERAGE(I116:I116)</f>
        <v>3.3061784897025159</v>
      </c>
      <c r="J117" s="56">
        <f>AVERAGE(J116:J116)</f>
        <v>7.5789473684210523E-3</v>
      </c>
      <c r="K117" s="55">
        <f>SUM(K116:K116)</f>
        <v>0</v>
      </c>
      <c r="L117" s="56">
        <f>SUM(L116:L116)</f>
        <v>0</v>
      </c>
      <c r="M117" s="55">
        <f>SUM(M116:M116)</f>
        <v>0</v>
      </c>
      <c r="N117" s="56">
        <f>SUM(N116:N116)</f>
        <v>0</v>
      </c>
      <c r="O117" s="55">
        <f>SUM(O116)</f>
        <v>26.921739130434801</v>
      </c>
      <c r="P117" s="56">
        <f>SUM(P116)</f>
        <v>7.1999999999999995E-2</v>
      </c>
      <c r="Q117" s="57">
        <f>SUM(Q116:Q116)</f>
        <v>0</v>
      </c>
      <c r="R117" s="58">
        <f>SUM(R116:R116)</f>
        <v>0</v>
      </c>
    </row>
    <row r="118" spans="1:18" ht="13.5" thickTop="1" x14ac:dyDescent="0.35">
      <c r="A118" s="32"/>
      <c r="B118" s="32"/>
      <c r="C118" s="32"/>
      <c r="D118" s="32"/>
      <c r="E118" s="33"/>
      <c r="F118" s="34"/>
      <c r="G118" s="33"/>
      <c r="H118" s="34"/>
      <c r="I118" s="33"/>
      <c r="J118" s="34"/>
      <c r="K118" s="33"/>
      <c r="L118" s="34"/>
      <c r="M118" s="33"/>
      <c r="N118" s="34"/>
      <c r="O118" s="33"/>
      <c r="P118" s="34"/>
      <c r="Q118" s="49"/>
      <c r="R118" s="50"/>
    </row>
    <row r="119" spans="1:18" x14ac:dyDescent="0.35">
      <c r="A119" s="29">
        <v>214</v>
      </c>
      <c r="B119" s="29" t="s">
        <v>542</v>
      </c>
      <c r="C119" s="29">
        <v>44216</v>
      </c>
      <c r="D119" s="29" t="s">
        <v>360</v>
      </c>
      <c r="E119" s="30">
        <v>0</v>
      </c>
      <c r="F119" s="31">
        <v>0</v>
      </c>
      <c r="G119" s="30">
        <f>SUMIF(Data!$C:$C,C119,Data!$DI:$DI)+SUMIF(Data!$C:$C,C119,Data!$DK:$DK)+SUMIF(Data!$C:$C,C119,Data!$DM:$DM)+SUMIF(Data!$C:$C,C119,Data!$DO:$DO)+SUMIF(Data!$C:$C,C119,Data!$DQ:$DQ)+SUMIF(Data!$C:$C,C119,Data!$DS:$DS)+SUMIF(Data!$C:$C,C119,Data!$DU:$DU)+SUMIF(Data!$C:$C,C119,Data!$DW:$DW)+SUMIF(Data!$C:$C,C119,Data!$DY:$DY)+SUMIF(Data!$C:$C,C119,Data!$EA:$EA)+SUMIF(Data!$C:$C,C119,Data!$EC:$EC)+SUMIF(Data!$C:$C,C119,Data!$EE:$EE)+SUMIF(Data!$C:$C,C119,Data!$EG:$EG)+SUMIF(Data!$C:$C,C119,Data!$EI:$EI)+SUMIF(Data!$C:$C,C119,Data!$EK:$EK)+SUMIF(Data!$C:$C,C119,Data!$EM:$EM)+SUMIF(Data!$C:$C,C119,Data!$EO:$EO)+SUMIF(Data!$C:$C,C119,Data!$EQ:$EQ)+SUMIF(Data!$C:$C,C119,Data!$ES:$ES)</f>
        <v>5182.9565217391319</v>
      </c>
      <c r="H119" s="31">
        <f>SUMIF(Data!$C:$C,C119,Data!$DJ:$DJ)+SUMIF(Data!$C:$C,C119,Data!$DL:$DL)+SUMIF(Data!$C:$C,C119,Data!$DN:$DN)+SUMIF(Data!$C:$C,C119,Data!$DP:$DP)+SUMIF(Data!$C:$C,C119,Data!$DR:$DR)+SUMIF(Data!$C:$C,C119,Data!$DT:$DT)+SUMIF(Data!$C:$C,C119,Data!$DV:$DV)+SUMIF(Data!$C:$C,C119,Data!$DX:$DX)+SUMIF(Data!$C:$C,C119,Data!$DZ:$DZ)+SUMIF(Data!$C:$C,C119,Data!$EB:$EB)+SUMIF(Data!$C:$C,C119,Data!$ED:$ED)+SUMIF(Data!$C:$C,C119,Data!$EF:$EF)+SUMIF(Data!$C:$C,C119,Data!$EH:$EH)+SUMIF(Data!$C:$C,C119,Data!$EJ:$EJ)+SUMIF(Data!$C:$C,C119,Data!$EL:$EL)+SUMIF(Data!$C:$C,C119,Data!$EN:$EN)+SUMIF(Data!$C:$C,C119,Data!$EP:$EP)+SUMIF(Data!$C:$C,C119,Data!$ER:$ER)+SUMIF(Data!$C:$C,C119,Data!$ET:$ET)</f>
        <v>60</v>
      </c>
      <c r="I119" s="30">
        <f>G119/19</f>
        <v>272.78718535469113</v>
      </c>
      <c r="J119" s="31">
        <f>H119/19</f>
        <v>3.1578947368421053</v>
      </c>
      <c r="K119" s="30">
        <f>IFERROR(INDEX(Data!$ES:$ES,MATCH(C119,Data!$C:$C,0)),0)</f>
        <v>347.79130434782599</v>
      </c>
      <c r="L119" s="31">
        <f>IFERROR(INDEX(Data!$ET:$ET,MATCH(C119,Data!$C:$C,0)),0)</f>
        <v>4</v>
      </c>
      <c r="M119" s="30">
        <f>IFERROR(INDEX(Data!$I$3:$ER$553,MATCH($C119,Data!$C$3:$C$553,0),MATCH(DATE(RIGHT($B$5,4),MID($B$5,4,2),LEFT($B$5,2))-42,Data!$I$1:$ER$1,0)),0)</f>
        <v>260.84347826086997</v>
      </c>
      <c r="N119" s="31" cm="1">
        <f t="array" ref="N119">IFERROR(INDEX(Data!$I$3:$ER$553,MATCH($C119,Data!$C$3:$C$553,0),MATCH(DATE(RIGHT($B$5,4),MID($B$5,4,2),LEFT($B$5,2))-42,Data!$I$1:$ER$1,0)+1),0)</f>
        <v>3</v>
      </c>
      <c r="O119" s="30">
        <f>IFERROR(INDEX(Data!$I$3:$ER$553,MATCH($C119,Data!$C$3:$C$553,0),MATCH($M$5,Data!$I$1:$ER$1,0)),0)</f>
        <v>0</v>
      </c>
      <c r="P119" s="31" cm="1">
        <f t="array" ref="P119">IFERROR(INDEX(Data!$I$3:$ER$553,MATCH($C119,Data!$C$3:$C$553,0),MATCH($M$5,Data!$I$1:$ER$1,0)+1),0)</f>
        <v>0</v>
      </c>
      <c r="Q119" s="49" t="str">
        <f>IF(R119="","",IF(H119=0,0,R119*(G119/H119)))</f>
        <v/>
      </c>
      <c r="R119" s="50"/>
    </row>
    <row r="120" spans="1:18" ht="13.5" thickBot="1" x14ac:dyDescent="0.4">
      <c r="A120" s="54" t="s">
        <v>693</v>
      </c>
      <c r="B120" s="54"/>
      <c r="C120" s="54"/>
      <c r="D120" s="54"/>
      <c r="E120" s="55">
        <f>SUM(E119:E119)</f>
        <v>0</v>
      </c>
      <c r="F120" s="56">
        <f>SUM(F119:F119)</f>
        <v>0</v>
      </c>
      <c r="G120" s="55">
        <f>SUM(G119:G119)</f>
        <v>5182.9565217391319</v>
      </c>
      <c r="H120" s="56">
        <f>SUM(H119:H119)</f>
        <v>60</v>
      </c>
      <c r="I120" s="55">
        <f>AVERAGE(I119:I119)</f>
        <v>272.78718535469113</v>
      </c>
      <c r="J120" s="56">
        <f>AVERAGE(J119:J119)</f>
        <v>3.1578947368421053</v>
      </c>
      <c r="K120" s="55">
        <f>SUM(K119:K119)</f>
        <v>347.79130434782599</v>
      </c>
      <c r="L120" s="56">
        <f>SUM(L119:L119)</f>
        <v>4</v>
      </c>
      <c r="M120" s="55">
        <f>SUM(M119:M119)</f>
        <v>260.84347826086997</v>
      </c>
      <c r="N120" s="56">
        <f>SUM(N119:N119)</f>
        <v>3</v>
      </c>
      <c r="O120" s="55">
        <f>SUM(O119)</f>
        <v>0</v>
      </c>
      <c r="P120" s="56">
        <f>SUM(P119)</f>
        <v>0</v>
      </c>
      <c r="Q120" s="57">
        <f>SUM(Q119:Q119)</f>
        <v>0</v>
      </c>
      <c r="R120" s="58">
        <f>SUM(R119:R119)</f>
        <v>0</v>
      </c>
    </row>
    <row r="121" spans="1:18" ht="13.5" thickTop="1" x14ac:dyDescent="0.35">
      <c r="A121" s="29"/>
      <c r="B121" s="29"/>
      <c r="C121" s="29"/>
      <c r="D121" s="29"/>
      <c r="E121" s="30"/>
      <c r="F121" s="31"/>
      <c r="G121" s="30"/>
      <c r="H121" s="31"/>
      <c r="I121" s="30"/>
      <c r="J121" s="31"/>
      <c r="K121" s="30"/>
      <c r="L121" s="31"/>
      <c r="M121" s="30"/>
      <c r="N121" s="31"/>
      <c r="O121" s="30"/>
      <c r="P121" s="31"/>
      <c r="Q121" s="49"/>
      <c r="R121" s="50"/>
    </row>
    <row r="122" spans="1:18" x14ac:dyDescent="0.35">
      <c r="A122" s="32">
        <v>215</v>
      </c>
      <c r="B122" s="32" t="s">
        <v>543</v>
      </c>
      <c r="C122" s="32">
        <v>43941</v>
      </c>
      <c r="D122" s="32" t="s">
        <v>364</v>
      </c>
      <c r="E122" s="33">
        <v>11612.16521739129</v>
      </c>
      <c r="F122" s="34">
        <v>115.89400000000001</v>
      </c>
      <c r="G122" s="33">
        <f>SUMIF(Data!$C:$C,C122,Data!$DI:$DI)+SUMIF(Data!$C:$C,C122,Data!$DK:$DK)+SUMIF(Data!$C:$C,C122,Data!$DM:$DM)+SUMIF(Data!$C:$C,C122,Data!$DO:$DO)+SUMIF(Data!$C:$C,C122,Data!$DQ:$DQ)+SUMIF(Data!$C:$C,C122,Data!$DS:$DS)+SUMIF(Data!$C:$C,C122,Data!$DU:$DU)+SUMIF(Data!$C:$C,C122,Data!$DW:$DW)+SUMIF(Data!$C:$C,C122,Data!$DY:$DY)+SUMIF(Data!$C:$C,C122,Data!$EA:$EA)+SUMIF(Data!$C:$C,C122,Data!$EC:$EC)+SUMIF(Data!$C:$C,C122,Data!$EE:$EE)+SUMIF(Data!$C:$C,C122,Data!$EG:$EG)+SUMIF(Data!$C:$C,C122,Data!$EI:$EI)+SUMIF(Data!$C:$C,C122,Data!$EK:$EK)+SUMIF(Data!$C:$C,C122,Data!$EM:$EM)+SUMIF(Data!$C:$C,C122,Data!$EO:$EO)+SUMIF(Data!$C:$C,C122,Data!$EQ:$EQ)+SUMIF(Data!$C:$C,C122,Data!$ES:$ES)</f>
        <v>13683.017391304355</v>
      </c>
      <c r="H122" s="34">
        <f>SUMIF(Data!$C:$C,C122,Data!$DJ:$DJ)+SUMIF(Data!$C:$C,C122,Data!$DL:$DL)+SUMIF(Data!$C:$C,C122,Data!$DN:$DN)+SUMIF(Data!$C:$C,C122,Data!$DP:$DP)+SUMIF(Data!$C:$C,C122,Data!$DR:$DR)+SUMIF(Data!$C:$C,C122,Data!$DT:$DT)+SUMIF(Data!$C:$C,C122,Data!$DV:$DV)+SUMIF(Data!$C:$C,C122,Data!$DX:$DX)+SUMIF(Data!$C:$C,C122,Data!$DZ:$DZ)+SUMIF(Data!$C:$C,C122,Data!$EB:$EB)+SUMIF(Data!$C:$C,C122,Data!$ED:$ED)+SUMIF(Data!$C:$C,C122,Data!$EF:$EF)+SUMIF(Data!$C:$C,C122,Data!$EH:$EH)+SUMIF(Data!$C:$C,C122,Data!$EJ:$EJ)+SUMIF(Data!$C:$C,C122,Data!$EL:$EL)+SUMIF(Data!$C:$C,C122,Data!$EN:$EN)+SUMIF(Data!$C:$C,C122,Data!$EP:$EP)+SUMIF(Data!$C:$C,C122,Data!$ER:$ER)+SUMIF(Data!$C:$C,C122,Data!$ET:$ET)</f>
        <v>170.78000000000003</v>
      </c>
      <c r="I122" s="33">
        <f>G122/19</f>
        <v>720.15881006865027</v>
      </c>
      <c r="J122" s="34">
        <f>H122/19</f>
        <v>8.9884210526315798</v>
      </c>
      <c r="K122" s="33">
        <f>IFERROR(INDEX(Data!$ES:$ES,MATCH(C122,Data!$C:$C,0)),0)</f>
        <v>304.55652173913001</v>
      </c>
      <c r="L122" s="34">
        <f>IFERROR(INDEX(Data!$ET:$ET,MATCH(C122,Data!$C:$C,0)),0)</f>
        <v>3.8919999999999999</v>
      </c>
      <c r="M122" s="33">
        <f>IFERROR(INDEX(Data!$I$3:$ER$553,MATCH($C122,Data!$C$3:$C$553,0),MATCH(DATE(RIGHT($B$5,4),MID($B$5,4,2),LEFT($B$5,2))-42,Data!$I$1:$ER$1,0)),0)</f>
        <v>392.66956521739098</v>
      </c>
      <c r="N122" s="34" cm="1">
        <f t="array" ref="N122">IFERROR(INDEX(Data!$I$3:$ER$553,MATCH($C122,Data!$C$3:$C$553,0),MATCH(DATE(RIGHT($B$5,4),MID($B$5,4,2),LEFT($B$5,2))-42,Data!$I$1:$ER$1,0)+1),0)</f>
        <v>5.0179999999999998</v>
      </c>
      <c r="O122" s="33">
        <f>IFERROR(INDEX(Data!$I$3:$ER$553,MATCH($C122,Data!$C$3:$C$553,0),MATCH($M$5,Data!$I$1:$ER$1,0)),0)</f>
        <v>268.77391304347799</v>
      </c>
      <c r="P122" s="34" cm="1">
        <f t="array" ref="P122">IFERROR(INDEX(Data!$I$3:$ER$553,MATCH($C122,Data!$C$3:$C$553,0),MATCH($M$5,Data!$I$1:$ER$1,0)+1),0)</f>
        <v>2.5760000000000001</v>
      </c>
      <c r="Q122" s="49" t="str">
        <f>IF(R122="","",IF(H122=0,0,R122*(G122/H122)))</f>
        <v/>
      </c>
      <c r="R122" s="50"/>
    </row>
    <row r="123" spans="1:18" ht="13.5" thickBot="1" x14ac:dyDescent="0.4">
      <c r="A123" s="54" t="s">
        <v>694</v>
      </c>
      <c r="B123" s="54"/>
      <c r="C123" s="54"/>
      <c r="D123" s="54"/>
      <c r="E123" s="55">
        <f>SUM(E122:E122)</f>
        <v>11612.16521739129</v>
      </c>
      <c r="F123" s="56">
        <f>SUM(F122:F122)</f>
        <v>115.89400000000001</v>
      </c>
      <c r="G123" s="55">
        <f>SUM(G122:G122)</f>
        <v>13683.017391304355</v>
      </c>
      <c r="H123" s="56">
        <f>SUM(H122:H122)</f>
        <v>170.78000000000003</v>
      </c>
      <c r="I123" s="55">
        <f>AVERAGE(I122:I122)</f>
        <v>720.15881006865027</v>
      </c>
      <c r="J123" s="56">
        <f>AVERAGE(J122:J122)</f>
        <v>8.9884210526315798</v>
      </c>
      <c r="K123" s="55">
        <f>SUM(K122:K122)</f>
        <v>304.55652173913001</v>
      </c>
      <c r="L123" s="56">
        <f>SUM(L122:L122)</f>
        <v>3.8919999999999999</v>
      </c>
      <c r="M123" s="55">
        <f>SUM(M122:M122)</f>
        <v>392.66956521739098</v>
      </c>
      <c r="N123" s="56">
        <f>SUM(N122:N122)</f>
        <v>5.0179999999999998</v>
      </c>
      <c r="O123" s="55">
        <f>SUM(O122)</f>
        <v>268.77391304347799</v>
      </c>
      <c r="P123" s="56">
        <f>SUM(P122)</f>
        <v>2.5760000000000001</v>
      </c>
      <c r="Q123" s="57">
        <f>SUM(Q122:Q122)</f>
        <v>0</v>
      </c>
      <c r="R123" s="58">
        <f>SUM(R122:R122)</f>
        <v>0</v>
      </c>
    </row>
    <row r="124" spans="1:18" ht="13.5" thickTop="1" x14ac:dyDescent="0.35">
      <c r="A124" s="32"/>
      <c r="B124" s="32"/>
      <c r="C124" s="32"/>
      <c r="D124" s="32"/>
      <c r="E124" s="33"/>
      <c r="F124" s="34"/>
      <c r="G124" s="33"/>
      <c r="H124" s="34"/>
      <c r="I124" s="33"/>
      <c r="J124" s="34"/>
      <c r="K124" s="33"/>
      <c r="L124" s="34"/>
      <c r="M124" s="33"/>
      <c r="N124" s="34"/>
      <c r="O124" s="33"/>
      <c r="P124" s="34"/>
      <c r="Q124" s="49"/>
      <c r="R124" s="50"/>
    </row>
    <row r="125" spans="1:18" x14ac:dyDescent="0.35">
      <c r="A125" s="29">
        <v>216</v>
      </c>
      <c r="B125" s="29" t="s">
        <v>544</v>
      </c>
      <c r="C125" s="29">
        <v>34199</v>
      </c>
      <c r="D125" s="29" t="s">
        <v>382</v>
      </c>
      <c r="E125" s="30">
        <v>97989.260869565231</v>
      </c>
      <c r="F125" s="31">
        <v>1217.7399999999998</v>
      </c>
      <c r="G125" s="30">
        <f>SUMIF(Data!$C:$C,C125,Data!$DI:$DI)+SUMIF(Data!$C:$C,C125,Data!$DK:$DK)+SUMIF(Data!$C:$C,C125,Data!$DM:$DM)+SUMIF(Data!$C:$C,C125,Data!$DO:$DO)+SUMIF(Data!$C:$C,C125,Data!$DQ:$DQ)+SUMIF(Data!$C:$C,C125,Data!$DS:$DS)+SUMIF(Data!$C:$C,C125,Data!$DU:$DU)+SUMIF(Data!$C:$C,C125,Data!$DW:$DW)+SUMIF(Data!$C:$C,C125,Data!$DY:$DY)+SUMIF(Data!$C:$C,C125,Data!$EA:$EA)+SUMIF(Data!$C:$C,C125,Data!$EC:$EC)+SUMIF(Data!$C:$C,C125,Data!$EE:$EE)+SUMIF(Data!$C:$C,C125,Data!$EG:$EG)+SUMIF(Data!$C:$C,C125,Data!$EI:$EI)+SUMIF(Data!$C:$C,C125,Data!$EK:$EK)+SUMIF(Data!$C:$C,C125,Data!$EM:$EM)+SUMIF(Data!$C:$C,C125,Data!$EO:$EO)+SUMIF(Data!$C:$C,C125,Data!$EQ:$EQ)+SUMIF(Data!$C:$C,C125,Data!$ES:$ES)</f>
        <v>102220.20000000001</v>
      </c>
      <c r="H125" s="31">
        <f>SUMIF(Data!$C:$C,C125,Data!$DJ:$DJ)+SUMIF(Data!$C:$C,C125,Data!$DL:$DL)+SUMIF(Data!$C:$C,C125,Data!$DN:$DN)+SUMIF(Data!$C:$C,C125,Data!$DP:$DP)+SUMIF(Data!$C:$C,C125,Data!$DR:$DR)+SUMIF(Data!$C:$C,C125,Data!$DT:$DT)+SUMIF(Data!$C:$C,C125,Data!$DV:$DV)+SUMIF(Data!$C:$C,C125,Data!$DX:$DX)+SUMIF(Data!$C:$C,C125,Data!$DZ:$DZ)+SUMIF(Data!$C:$C,C125,Data!$EB:$EB)+SUMIF(Data!$C:$C,C125,Data!$ED:$ED)+SUMIF(Data!$C:$C,C125,Data!$EF:$EF)+SUMIF(Data!$C:$C,C125,Data!$EH:$EH)+SUMIF(Data!$C:$C,C125,Data!$EJ:$EJ)+SUMIF(Data!$C:$C,C125,Data!$EL:$EL)+SUMIF(Data!$C:$C,C125,Data!$EN:$EN)+SUMIF(Data!$C:$C,C125,Data!$EP:$EP)+SUMIF(Data!$C:$C,C125,Data!$ER:$ER)+SUMIF(Data!$C:$C,C125,Data!$ET:$ET)</f>
        <v>1123.7049999999999</v>
      </c>
      <c r="I125" s="30">
        <f>G125/19</f>
        <v>5380.0105263157902</v>
      </c>
      <c r="J125" s="31">
        <f>H125/19</f>
        <v>59.14236842105263</v>
      </c>
      <c r="K125" s="30">
        <f>IFERROR(INDEX(Data!$ES:$ES,MATCH(C125,Data!$C:$C,0)),0)</f>
        <v>8540.5739130434795</v>
      </c>
      <c r="L125" s="31">
        <f>IFERROR(INDEX(Data!$ET:$ET,MATCH(C125,Data!$C:$C,0)),0)</f>
        <v>98.548000000000002</v>
      </c>
      <c r="M125" s="30">
        <f>IFERROR(INDEX(Data!$I$3:$ER$553,MATCH($C125,Data!$C$3:$C$553,0),MATCH(DATE(RIGHT($B$5,4),MID($B$5,4,2),LEFT($B$5,2))-42,Data!$I$1:$ER$1,0)),0)</f>
        <v>5364.4956521739095</v>
      </c>
      <c r="N125" s="31" cm="1">
        <f t="array" ref="N125">IFERROR(INDEX(Data!$I$3:$ER$553,MATCH($C125,Data!$C$3:$C$553,0),MATCH(DATE(RIGHT($B$5,4),MID($B$5,4,2),LEFT($B$5,2))-42,Data!$I$1:$ER$1,0)+1),0)</f>
        <v>61.7</v>
      </c>
      <c r="O125" s="30">
        <f>IFERROR(INDEX(Data!$I$3:$ER$553,MATCH($C125,Data!$C$3:$C$553,0),MATCH($M$5,Data!$I$1:$ER$1,0)),0)</f>
        <v>5372.8956521739101</v>
      </c>
      <c r="P125" s="31" cm="1">
        <f t="array" ref="P125">IFERROR(INDEX(Data!$I$3:$ER$553,MATCH($C125,Data!$C$3:$C$553,0),MATCH($M$5,Data!$I$1:$ER$1,0)+1),0)</f>
        <v>56.177</v>
      </c>
      <c r="Q125" s="49" t="str">
        <f>IF(R125="","",IF(H125=0,0,R125*(G125/H125)))</f>
        <v/>
      </c>
      <c r="R125" s="50"/>
    </row>
    <row r="126" spans="1:18" x14ac:dyDescent="0.35">
      <c r="A126" s="32">
        <v>216</v>
      </c>
      <c r="B126" s="32" t="s">
        <v>544</v>
      </c>
      <c r="C126" s="32">
        <v>34160</v>
      </c>
      <c r="D126" s="32" t="s">
        <v>377</v>
      </c>
      <c r="E126" s="33">
        <v>55013.904347826086</v>
      </c>
      <c r="F126" s="34">
        <v>603.44800000000009</v>
      </c>
      <c r="G126" s="33">
        <f>SUMIF(Data!$C:$C,C126,Data!$DI:$DI)+SUMIF(Data!$C:$C,C126,Data!$DK:$DK)+SUMIF(Data!$C:$C,C126,Data!$DM:$DM)+SUMIF(Data!$C:$C,C126,Data!$DO:$DO)+SUMIF(Data!$C:$C,C126,Data!$DQ:$DQ)+SUMIF(Data!$C:$C,C126,Data!$DS:$DS)+SUMIF(Data!$C:$C,C126,Data!$DU:$DU)+SUMIF(Data!$C:$C,C126,Data!$DW:$DW)+SUMIF(Data!$C:$C,C126,Data!$DY:$DY)+SUMIF(Data!$C:$C,C126,Data!$EA:$EA)+SUMIF(Data!$C:$C,C126,Data!$EC:$EC)+SUMIF(Data!$C:$C,C126,Data!$EE:$EE)+SUMIF(Data!$C:$C,C126,Data!$EG:$EG)+SUMIF(Data!$C:$C,C126,Data!$EI:$EI)+SUMIF(Data!$C:$C,C126,Data!$EK:$EK)+SUMIF(Data!$C:$C,C126,Data!$EM:$EM)+SUMIF(Data!$C:$C,C126,Data!$EO:$EO)+SUMIF(Data!$C:$C,C126,Data!$EQ:$EQ)+SUMIF(Data!$C:$C,C126,Data!$ES:$ES)</f>
        <v>63873.495652173915</v>
      </c>
      <c r="H126" s="34">
        <f>SUMIF(Data!$C:$C,C126,Data!$DJ:$DJ)+SUMIF(Data!$C:$C,C126,Data!$DL:$DL)+SUMIF(Data!$C:$C,C126,Data!$DN:$DN)+SUMIF(Data!$C:$C,C126,Data!$DP:$DP)+SUMIF(Data!$C:$C,C126,Data!$DR:$DR)+SUMIF(Data!$C:$C,C126,Data!$DT:$DT)+SUMIF(Data!$C:$C,C126,Data!$DV:$DV)+SUMIF(Data!$C:$C,C126,Data!$DX:$DX)+SUMIF(Data!$C:$C,C126,Data!$DZ:$DZ)+SUMIF(Data!$C:$C,C126,Data!$EB:$EB)+SUMIF(Data!$C:$C,C126,Data!$ED:$ED)+SUMIF(Data!$C:$C,C126,Data!$EF:$EF)+SUMIF(Data!$C:$C,C126,Data!$EH:$EH)+SUMIF(Data!$C:$C,C126,Data!$EJ:$EJ)+SUMIF(Data!$C:$C,C126,Data!$EL:$EL)+SUMIF(Data!$C:$C,C126,Data!$EN:$EN)+SUMIF(Data!$C:$C,C126,Data!$EP:$EP)+SUMIF(Data!$C:$C,C126,Data!$ER:$ER)+SUMIF(Data!$C:$C,C126,Data!$ET:$ET)</f>
        <v>670.46900000000005</v>
      </c>
      <c r="I126" s="33">
        <f>G126/19</f>
        <v>3361.7629290617851</v>
      </c>
      <c r="J126" s="34">
        <f>H126/19</f>
        <v>35.287842105263159</v>
      </c>
      <c r="K126" s="33">
        <f>IFERROR(INDEX(Data!$ES:$ES,MATCH(C126,Data!$C:$C,0)),0)</f>
        <v>4714.1217391304299</v>
      </c>
      <c r="L126" s="34">
        <f>IFERROR(INDEX(Data!$ET:$ET,MATCH(C126,Data!$C:$C,0)),0)</f>
        <v>50.414999999999999</v>
      </c>
      <c r="M126" s="33">
        <f>IFERROR(INDEX(Data!$I$3:$ER$553,MATCH($C126,Data!$C$3:$C$553,0),MATCH(DATE(RIGHT($B$5,4),MID($B$5,4,2),LEFT($B$5,2))-42,Data!$I$1:$ER$1,0)),0)</f>
        <v>2708.1043478260899</v>
      </c>
      <c r="N126" s="34" cm="1">
        <f t="array" ref="N126">IFERROR(INDEX(Data!$I$3:$ER$553,MATCH($C126,Data!$C$3:$C$553,0),MATCH(DATE(RIGHT($B$5,4),MID($B$5,4,2),LEFT($B$5,2))-42,Data!$I$1:$ER$1,0)+1),0)</f>
        <v>30.225000000000001</v>
      </c>
      <c r="O126" s="33">
        <f>IFERROR(INDEX(Data!$I$3:$ER$553,MATCH($C126,Data!$C$3:$C$553,0),MATCH($M$5,Data!$I$1:$ER$1,0)),0)</f>
        <v>2415.00869565217</v>
      </c>
      <c r="P126" s="34" cm="1">
        <f t="array" ref="P126">IFERROR(INDEX(Data!$I$3:$ER$553,MATCH($C126,Data!$C$3:$C$553,0),MATCH($M$5,Data!$I$1:$ER$1,0)+1),0)</f>
        <v>24.257999999999999</v>
      </c>
      <c r="Q126" s="49" t="str">
        <f>IF(R126="","",IF(H126=0,0,R126*(G126/H126)))</f>
        <v/>
      </c>
      <c r="R126" s="50"/>
    </row>
    <row r="127" spans="1:18" x14ac:dyDescent="0.35">
      <c r="A127" s="29">
        <v>216</v>
      </c>
      <c r="B127" s="29" t="s">
        <v>544</v>
      </c>
      <c r="C127" s="29">
        <v>34189</v>
      </c>
      <c r="D127" s="29" t="s">
        <v>309</v>
      </c>
      <c r="E127" s="30">
        <v>37753.869565217377</v>
      </c>
      <c r="F127" s="31">
        <v>374.25999999999993</v>
      </c>
      <c r="G127" s="30">
        <f>SUMIF(Data!$C:$C,C127,Data!$DI:$DI)+SUMIF(Data!$C:$C,C127,Data!$DK:$DK)+SUMIF(Data!$C:$C,C127,Data!$DM:$DM)+SUMIF(Data!$C:$C,C127,Data!$DO:$DO)+SUMIF(Data!$C:$C,C127,Data!$DQ:$DQ)+SUMIF(Data!$C:$C,C127,Data!$DS:$DS)+SUMIF(Data!$C:$C,C127,Data!$DU:$DU)+SUMIF(Data!$C:$C,C127,Data!$DW:$DW)+SUMIF(Data!$C:$C,C127,Data!$DY:$DY)+SUMIF(Data!$C:$C,C127,Data!$EA:$EA)+SUMIF(Data!$C:$C,C127,Data!$EC:$EC)+SUMIF(Data!$C:$C,C127,Data!$EE:$EE)+SUMIF(Data!$C:$C,C127,Data!$EG:$EG)+SUMIF(Data!$C:$C,C127,Data!$EI:$EI)+SUMIF(Data!$C:$C,C127,Data!$EK:$EK)+SUMIF(Data!$C:$C,C127,Data!$EM:$EM)+SUMIF(Data!$C:$C,C127,Data!$EO:$EO)+SUMIF(Data!$C:$C,C127,Data!$EQ:$EQ)+SUMIF(Data!$C:$C,C127,Data!$ES:$ES)</f>
        <v>43339.669565217388</v>
      </c>
      <c r="H127" s="31">
        <f>SUMIF(Data!$C:$C,C127,Data!$DJ:$DJ)+SUMIF(Data!$C:$C,C127,Data!$DL:$DL)+SUMIF(Data!$C:$C,C127,Data!$DN:$DN)+SUMIF(Data!$C:$C,C127,Data!$DP:$DP)+SUMIF(Data!$C:$C,C127,Data!$DR:$DR)+SUMIF(Data!$C:$C,C127,Data!$DT:$DT)+SUMIF(Data!$C:$C,C127,Data!$DV:$DV)+SUMIF(Data!$C:$C,C127,Data!$DX:$DX)+SUMIF(Data!$C:$C,C127,Data!$DZ:$DZ)+SUMIF(Data!$C:$C,C127,Data!$EB:$EB)+SUMIF(Data!$C:$C,C127,Data!$ED:$ED)+SUMIF(Data!$C:$C,C127,Data!$EF:$EF)+SUMIF(Data!$C:$C,C127,Data!$EH:$EH)+SUMIF(Data!$C:$C,C127,Data!$EJ:$EJ)+SUMIF(Data!$C:$C,C127,Data!$EL:$EL)+SUMIF(Data!$C:$C,C127,Data!$EN:$EN)+SUMIF(Data!$C:$C,C127,Data!$EP:$EP)+SUMIF(Data!$C:$C,C127,Data!$ER:$ER)+SUMIF(Data!$C:$C,C127,Data!$ET:$ET)</f>
        <v>372.93200000000007</v>
      </c>
      <c r="I127" s="30">
        <f>G127/19</f>
        <v>2281.0352402745993</v>
      </c>
      <c r="J127" s="31">
        <f>H127/19</f>
        <v>19.628000000000004</v>
      </c>
      <c r="K127" s="30">
        <f>IFERROR(INDEX(Data!$ES:$ES,MATCH(C127,Data!$C:$C,0)),0)</f>
        <v>2291.8434782608701</v>
      </c>
      <c r="L127" s="31">
        <f>IFERROR(INDEX(Data!$ET:$ET,MATCH(C127,Data!$C:$C,0)),0)</f>
        <v>20.274000000000001</v>
      </c>
      <c r="M127" s="30">
        <f>IFERROR(INDEX(Data!$I$3:$ER$553,MATCH($C127,Data!$C$3:$C$553,0),MATCH(DATE(RIGHT($B$5,4),MID($B$5,4,2),LEFT($B$5,2))-42,Data!$I$1:$ER$1,0)),0)</f>
        <v>1444.24347826087</v>
      </c>
      <c r="N127" s="31" cm="1">
        <f t="array" ref="N127">IFERROR(INDEX(Data!$I$3:$ER$553,MATCH($C127,Data!$C$3:$C$553,0),MATCH(DATE(RIGHT($B$5,4),MID($B$5,4,2),LEFT($B$5,2))-42,Data!$I$1:$ER$1,0)+1),0)</f>
        <v>12.776</v>
      </c>
      <c r="O127" s="30">
        <f>IFERROR(INDEX(Data!$I$3:$ER$553,MATCH($C127,Data!$C$3:$C$553,0),MATCH($M$5,Data!$I$1:$ER$1,0)),0)</f>
        <v>2133.8434782608701</v>
      </c>
      <c r="P127" s="31" cm="1">
        <f t="array" ref="P127">IFERROR(INDEX(Data!$I$3:$ER$553,MATCH($C127,Data!$C$3:$C$553,0),MATCH($M$5,Data!$I$1:$ER$1,0)+1),0)</f>
        <v>22.616</v>
      </c>
      <c r="Q127" s="49" t="str">
        <f>IF(R127="","",IF(H127=0,0,R127*(G127/H127)))</f>
        <v/>
      </c>
      <c r="R127" s="50"/>
    </row>
    <row r="128" spans="1:18" x14ac:dyDescent="0.35">
      <c r="A128" s="32">
        <v>216</v>
      </c>
      <c r="B128" s="32" t="s">
        <v>544</v>
      </c>
      <c r="C128" s="32">
        <v>34200</v>
      </c>
      <c r="D128" s="32" t="s">
        <v>383</v>
      </c>
      <c r="E128" s="33">
        <v>39563.765217391316</v>
      </c>
      <c r="F128" s="34">
        <v>418.77</v>
      </c>
      <c r="G128" s="33">
        <f>SUMIF(Data!$C:$C,C128,Data!$DI:$DI)+SUMIF(Data!$C:$C,C128,Data!$DK:$DK)+SUMIF(Data!$C:$C,C128,Data!$DM:$DM)+SUMIF(Data!$C:$C,C128,Data!$DO:$DO)+SUMIF(Data!$C:$C,C128,Data!$DQ:$DQ)+SUMIF(Data!$C:$C,C128,Data!$DS:$DS)+SUMIF(Data!$C:$C,C128,Data!$DU:$DU)+SUMIF(Data!$C:$C,C128,Data!$DW:$DW)+SUMIF(Data!$C:$C,C128,Data!$DY:$DY)+SUMIF(Data!$C:$C,C128,Data!$EA:$EA)+SUMIF(Data!$C:$C,C128,Data!$EC:$EC)+SUMIF(Data!$C:$C,C128,Data!$EE:$EE)+SUMIF(Data!$C:$C,C128,Data!$EG:$EG)+SUMIF(Data!$C:$C,C128,Data!$EI:$EI)+SUMIF(Data!$C:$C,C128,Data!$EK:$EK)+SUMIF(Data!$C:$C,C128,Data!$EM:$EM)+SUMIF(Data!$C:$C,C128,Data!$EO:$EO)+SUMIF(Data!$C:$C,C128,Data!$EQ:$EQ)+SUMIF(Data!$C:$C,C128,Data!$ES:$ES)</f>
        <v>41055.495652173908</v>
      </c>
      <c r="H128" s="34">
        <f>SUMIF(Data!$C:$C,C128,Data!$DJ:$DJ)+SUMIF(Data!$C:$C,C128,Data!$DL:$DL)+SUMIF(Data!$C:$C,C128,Data!$DN:$DN)+SUMIF(Data!$C:$C,C128,Data!$DP:$DP)+SUMIF(Data!$C:$C,C128,Data!$DR:$DR)+SUMIF(Data!$C:$C,C128,Data!$DT:$DT)+SUMIF(Data!$C:$C,C128,Data!$DV:$DV)+SUMIF(Data!$C:$C,C128,Data!$DX:$DX)+SUMIF(Data!$C:$C,C128,Data!$DZ:$DZ)+SUMIF(Data!$C:$C,C128,Data!$EB:$EB)+SUMIF(Data!$C:$C,C128,Data!$ED:$ED)+SUMIF(Data!$C:$C,C128,Data!$EF:$EF)+SUMIF(Data!$C:$C,C128,Data!$EH:$EH)+SUMIF(Data!$C:$C,C128,Data!$EJ:$EJ)+SUMIF(Data!$C:$C,C128,Data!$EL:$EL)+SUMIF(Data!$C:$C,C128,Data!$EN:$EN)+SUMIF(Data!$C:$C,C128,Data!$EP:$EP)+SUMIF(Data!$C:$C,C128,Data!$ER:$ER)+SUMIF(Data!$C:$C,C128,Data!$ET:$ET)</f>
        <v>377.91700000000003</v>
      </c>
      <c r="I128" s="33">
        <f>G128/19</f>
        <v>2160.8155606407322</v>
      </c>
      <c r="J128" s="34">
        <f>H128/19</f>
        <v>19.890368421052631</v>
      </c>
      <c r="K128" s="33">
        <f>IFERROR(INDEX(Data!$ES:$ES,MATCH(C128,Data!$C:$C,0)),0)</f>
        <v>2218.3652173913001</v>
      </c>
      <c r="L128" s="34">
        <f>IFERROR(INDEX(Data!$ET:$ET,MATCH(C128,Data!$C:$C,0)),0)</f>
        <v>21.262</v>
      </c>
      <c r="M128" s="33">
        <f>IFERROR(INDEX(Data!$I$3:$ER$553,MATCH($C128,Data!$C$3:$C$553,0),MATCH(DATE(RIGHT($B$5,4),MID($B$5,4,2),LEFT($B$5,2))-42,Data!$I$1:$ER$1,0)),0)</f>
        <v>1595.48695652174</v>
      </c>
      <c r="N128" s="34" cm="1">
        <f t="array" ref="N128">IFERROR(INDEX(Data!$I$3:$ER$553,MATCH($C128,Data!$C$3:$C$553,0),MATCH(DATE(RIGHT($B$5,4),MID($B$5,4,2),LEFT($B$5,2))-42,Data!$I$1:$ER$1,0)+1),0)</f>
        <v>15.292</v>
      </c>
      <c r="O128" s="33">
        <f>IFERROR(INDEX(Data!$I$3:$ER$553,MATCH($C128,Data!$C$3:$C$553,0),MATCH($M$5,Data!$I$1:$ER$1,0)),0)</f>
        <v>1875.69565217391</v>
      </c>
      <c r="P128" s="34" cm="1">
        <f t="array" ref="P128">IFERROR(INDEX(Data!$I$3:$ER$553,MATCH($C128,Data!$C$3:$C$553,0),MATCH($M$5,Data!$I$1:$ER$1,0)+1),0)</f>
        <v>19.611999999999998</v>
      </c>
      <c r="Q128" s="49" t="str">
        <f>IF(R128="","",IF(H128=0,0,R128*(G128/H128)))</f>
        <v/>
      </c>
      <c r="R128" s="50"/>
    </row>
    <row r="129" spans="1:18" x14ac:dyDescent="0.35">
      <c r="A129" s="29">
        <v>216</v>
      </c>
      <c r="B129" s="29" t="s">
        <v>544</v>
      </c>
      <c r="C129" s="29">
        <v>60887</v>
      </c>
      <c r="D129" s="29" t="s">
        <v>442</v>
      </c>
      <c r="E129" s="30">
        <v>32120.800000000007</v>
      </c>
      <c r="F129" s="31">
        <v>348.51400000000001</v>
      </c>
      <c r="G129" s="30">
        <f>SUMIF(Data!$C:$C,C129,Data!$DI:$DI)+SUMIF(Data!$C:$C,C129,Data!$DK:$DK)+SUMIF(Data!$C:$C,C129,Data!$DM:$DM)+SUMIF(Data!$C:$C,C129,Data!$DO:$DO)+SUMIF(Data!$C:$C,C129,Data!$DQ:$DQ)+SUMIF(Data!$C:$C,C129,Data!$DS:$DS)+SUMIF(Data!$C:$C,C129,Data!$DU:$DU)+SUMIF(Data!$C:$C,C129,Data!$DW:$DW)+SUMIF(Data!$C:$C,C129,Data!$DY:$DY)+SUMIF(Data!$C:$C,C129,Data!$EA:$EA)+SUMIF(Data!$C:$C,C129,Data!$EC:$EC)+SUMIF(Data!$C:$C,C129,Data!$EE:$EE)+SUMIF(Data!$C:$C,C129,Data!$EG:$EG)+SUMIF(Data!$C:$C,C129,Data!$EI:$EI)+SUMIF(Data!$C:$C,C129,Data!$EK:$EK)+SUMIF(Data!$C:$C,C129,Data!$EM:$EM)+SUMIF(Data!$C:$C,C129,Data!$EO:$EO)+SUMIF(Data!$C:$C,C129,Data!$EQ:$EQ)+SUMIF(Data!$C:$C,C129,Data!$ES:$ES)</f>
        <v>35092.217391304337</v>
      </c>
      <c r="H129" s="31">
        <f>SUMIF(Data!$C:$C,C129,Data!$DJ:$DJ)+SUMIF(Data!$C:$C,C129,Data!$DL:$DL)+SUMIF(Data!$C:$C,C129,Data!$DN:$DN)+SUMIF(Data!$C:$C,C129,Data!$DP:$DP)+SUMIF(Data!$C:$C,C129,Data!$DR:$DR)+SUMIF(Data!$C:$C,C129,Data!$DT:$DT)+SUMIF(Data!$C:$C,C129,Data!$DV:$DV)+SUMIF(Data!$C:$C,C129,Data!$DX:$DX)+SUMIF(Data!$C:$C,C129,Data!$DZ:$DZ)+SUMIF(Data!$C:$C,C129,Data!$EB:$EB)+SUMIF(Data!$C:$C,C129,Data!$ED:$ED)+SUMIF(Data!$C:$C,C129,Data!$EF:$EF)+SUMIF(Data!$C:$C,C129,Data!$EH:$EH)+SUMIF(Data!$C:$C,C129,Data!$EJ:$EJ)+SUMIF(Data!$C:$C,C129,Data!$EL:$EL)+SUMIF(Data!$C:$C,C129,Data!$EN:$EN)+SUMIF(Data!$C:$C,C129,Data!$EP:$EP)+SUMIF(Data!$C:$C,C129,Data!$ER:$ER)+SUMIF(Data!$C:$C,C129,Data!$ET:$ET)</f>
        <v>324.53800000000001</v>
      </c>
      <c r="I129" s="30">
        <f>G129/19</f>
        <v>1846.9588100686494</v>
      </c>
      <c r="J129" s="31">
        <f>H129/19</f>
        <v>17.080947368421054</v>
      </c>
      <c r="K129" s="30">
        <f>IFERROR(INDEX(Data!$ES:$ES,MATCH(C129,Data!$C:$C,0)),0)</f>
        <v>1152.8956521739101</v>
      </c>
      <c r="L129" s="31">
        <f>IFERROR(INDEX(Data!$ET:$ET,MATCH(C129,Data!$C:$C,0)),0)</f>
        <v>11.05</v>
      </c>
      <c r="M129" s="30">
        <f>IFERROR(INDEX(Data!$I$3:$ER$553,MATCH($C129,Data!$C$3:$C$553,0),MATCH(DATE(RIGHT($B$5,4),MID($B$5,4,2),LEFT($B$5,2))-42,Data!$I$1:$ER$1,0)),0)</f>
        <v>1281.02608695652</v>
      </c>
      <c r="N129" s="31" cm="1">
        <f t="array" ref="N129">IFERROR(INDEX(Data!$I$3:$ER$553,MATCH($C129,Data!$C$3:$C$553,0),MATCH(DATE(RIGHT($B$5,4),MID($B$5,4,2),LEFT($B$5,2))-42,Data!$I$1:$ER$1,0)+1),0)</f>
        <v>12.278</v>
      </c>
      <c r="O129" s="30">
        <f>IFERROR(INDEX(Data!$I$3:$ER$553,MATCH($C129,Data!$C$3:$C$553,0),MATCH($M$5,Data!$I$1:$ER$1,0)),0)</f>
        <v>1519.46956521739</v>
      </c>
      <c r="P129" s="31" cm="1">
        <f t="array" ref="P129">IFERROR(INDEX(Data!$I$3:$ER$553,MATCH($C129,Data!$C$3:$C$553,0),MATCH($M$5,Data!$I$1:$ER$1,0)+1),0)</f>
        <v>16.486000000000001</v>
      </c>
      <c r="Q129" s="49" t="str">
        <f>IF(R129="","",IF(H129=0,0,R129*(G129/H129)))</f>
        <v/>
      </c>
      <c r="R129" s="50"/>
    </row>
    <row r="130" spans="1:18" x14ac:dyDescent="0.35">
      <c r="A130" s="32">
        <v>216</v>
      </c>
      <c r="B130" s="32" t="s">
        <v>544</v>
      </c>
      <c r="C130" s="32">
        <v>52186</v>
      </c>
      <c r="D130" s="32" t="s">
        <v>419</v>
      </c>
      <c r="E130" s="33">
        <v>29282.069565217396</v>
      </c>
      <c r="F130" s="34">
        <v>428.76400000000001</v>
      </c>
      <c r="G130" s="33">
        <f>SUMIF(Data!$C:$C,C130,Data!$DI:$DI)+SUMIF(Data!$C:$C,C130,Data!$DK:$DK)+SUMIF(Data!$C:$C,C130,Data!$DM:$DM)+SUMIF(Data!$C:$C,C130,Data!$DO:$DO)+SUMIF(Data!$C:$C,C130,Data!$DQ:$DQ)+SUMIF(Data!$C:$C,C130,Data!$DS:$DS)+SUMIF(Data!$C:$C,C130,Data!$DU:$DU)+SUMIF(Data!$C:$C,C130,Data!$DW:$DW)+SUMIF(Data!$C:$C,C130,Data!$DY:$DY)+SUMIF(Data!$C:$C,C130,Data!$EA:$EA)+SUMIF(Data!$C:$C,C130,Data!$EC:$EC)+SUMIF(Data!$C:$C,C130,Data!$EE:$EE)+SUMIF(Data!$C:$C,C130,Data!$EG:$EG)+SUMIF(Data!$C:$C,C130,Data!$EI:$EI)+SUMIF(Data!$C:$C,C130,Data!$EK:$EK)+SUMIF(Data!$C:$C,C130,Data!$EM:$EM)+SUMIF(Data!$C:$C,C130,Data!$EO:$EO)+SUMIF(Data!$C:$C,C130,Data!$EQ:$EQ)+SUMIF(Data!$C:$C,C130,Data!$ES:$ES)</f>
        <v>31840.034782608716</v>
      </c>
      <c r="H130" s="34">
        <f>SUMIF(Data!$C:$C,C130,Data!$DJ:$DJ)+SUMIF(Data!$C:$C,C130,Data!$DL:$DL)+SUMIF(Data!$C:$C,C130,Data!$DN:$DN)+SUMIF(Data!$C:$C,C130,Data!$DP:$DP)+SUMIF(Data!$C:$C,C130,Data!$DR:$DR)+SUMIF(Data!$C:$C,C130,Data!$DT:$DT)+SUMIF(Data!$C:$C,C130,Data!$DV:$DV)+SUMIF(Data!$C:$C,C130,Data!$DX:$DX)+SUMIF(Data!$C:$C,C130,Data!$DZ:$DZ)+SUMIF(Data!$C:$C,C130,Data!$EB:$EB)+SUMIF(Data!$C:$C,C130,Data!$ED:$ED)+SUMIF(Data!$C:$C,C130,Data!$EF:$EF)+SUMIF(Data!$C:$C,C130,Data!$EH:$EH)+SUMIF(Data!$C:$C,C130,Data!$EJ:$EJ)+SUMIF(Data!$C:$C,C130,Data!$EL:$EL)+SUMIF(Data!$C:$C,C130,Data!$EN:$EN)+SUMIF(Data!$C:$C,C130,Data!$EP:$EP)+SUMIF(Data!$C:$C,C130,Data!$ER:$ER)+SUMIF(Data!$C:$C,C130,Data!$ET:$ET)</f>
        <v>390.31699999999995</v>
      </c>
      <c r="I130" s="33">
        <f>G130/19</f>
        <v>1675.7913043478272</v>
      </c>
      <c r="J130" s="34">
        <f>H130/19</f>
        <v>20.542999999999996</v>
      </c>
      <c r="K130" s="33">
        <f>IFERROR(INDEX(Data!$ES:$ES,MATCH(C130,Data!$C:$C,0)),0)</f>
        <v>0</v>
      </c>
      <c r="L130" s="34">
        <f>IFERROR(INDEX(Data!$ET:$ET,MATCH(C130,Data!$C:$C,0)),0)</f>
        <v>0</v>
      </c>
      <c r="M130" s="33">
        <f>IFERROR(INDEX(Data!$I$3:$ER$553,MATCH($C130,Data!$C$3:$C$553,0),MATCH(DATE(RIGHT($B$5,4),MID($B$5,4,2),LEFT($B$5,2))-42,Data!$I$1:$ER$1,0)),0)</f>
        <v>1822.46086956522</v>
      </c>
      <c r="N130" s="34" cm="1">
        <f t="array" ref="N130">IFERROR(INDEX(Data!$I$3:$ER$553,MATCH($C130,Data!$C$3:$C$553,0),MATCH(DATE(RIGHT($B$5,4),MID($B$5,4,2),LEFT($B$5,2))-42,Data!$I$1:$ER$1,0)+1),0)</f>
        <v>23.29</v>
      </c>
      <c r="O130" s="33">
        <f>IFERROR(INDEX(Data!$I$3:$ER$553,MATCH($C130,Data!$C$3:$C$553,0),MATCH($M$5,Data!$I$1:$ER$1,0)),0)</f>
        <v>3276.52173913043</v>
      </c>
      <c r="P130" s="34" cm="1">
        <f t="array" ref="P130">IFERROR(INDEX(Data!$I$3:$ER$553,MATCH($C130,Data!$C$3:$C$553,0),MATCH($M$5,Data!$I$1:$ER$1,0)+1),0)</f>
        <v>41.872</v>
      </c>
      <c r="Q130" s="49" t="str">
        <f>IF(R130="","",IF(H130=0,0,R130*(G130/H130)))</f>
        <v/>
      </c>
      <c r="R130" s="50"/>
    </row>
    <row r="131" spans="1:18" x14ac:dyDescent="0.35">
      <c r="A131" s="29">
        <v>216</v>
      </c>
      <c r="B131" s="29" t="s">
        <v>544</v>
      </c>
      <c r="C131" s="29">
        <v>60886</v>
      </c>
      <c r="D131" s="29" t="s">
        <v>441</v>
      </c>
      <c r="E131" s="30">
        <v>27805.7043478261</v>
      </c>
      <c r="F131" s="31">
        <v>275.68399999999997</v>
      </c>
      <c r="G131" s="30">
        <f>SUMIF(Data!$C:$C,C131,Data!$DI:$DI)+SUMIF(Data!$C:$C,C131,Data!$DK:$DK)+SUMIF(Data!$C:$C,C131,Data!$DM:$DM)+SUMIF(Data!$C:$C,C131,Data!$DO:$DO)+SUMIF(Data!$C:$C,C131,Data!$DQ:$DQ)+SUMIF(Data!$C:$C,C131,Data!$DS:$DS)+SUMIF(Data!$C:$C,C131,Data!$DU:$DU)+SUMIF(Data!$C:$C,C131,Data!$DW:$DW)+SUMIF(Data!$C:$C,C131,Data!$DY:$DY)+SUMIF(Data!$C:$C,C131,Data!$EA:$EA)+SUMIF(Data!$C:$C,C131,Data!$EC:$EC)+SUMIF(Data!$C:$C,C131,Data!$EE:$EE)+SUMIF(Data!$C:$C,C131,Data!$EG:$EG)+SUMIF(Data!$C:$C,C131,Data!$EI:$EI)+SUMIF(Data!$C:$C,C131,Data!$EK:$EK)+SUMIF(Data!$C:$C,C131,Data!$EM:$EM)+SUMIF(Data!$C:$C,C131,Data!$EO:$EO)+SUMIF(Data!$C:$C,C131,Data!$EQ:$EQ)+SUMIF(Data!$C:$C,C131,Data!$ES:$ES)</f>
        <v>31482.886956521746</v>
      </c>
      <c r="H131" s="31">
        <f>SUMIF(Data!$C:$C,C131,Data!$DJ:$DJ)+SUMIF(Data!$C:$C,C131,Data!$DL:$DL)+SUMIF(Data!$C:$C,C131,Data!$DN:$DN)+SUMIF(Data!$C:$C,C131,Data!$DP:$DP)+SUMIF(Data!$C:$C,C131,Data!$DR:$DR)+SUMIF(Data!$C:$C,C131,Data!$DT:$DT)+SUMIF(Data!$C:$C,C131,Data!$DV:$DV)+SUMIF(Data!$C:$C,C131,Data!$DX:$DX)+SUMIF(Data!$C:$C,C131,Data!$DZ:$DZ)+SUMIF(Data!$C:$C,C131,Data!$EB:$EB)+SUMIF(Data!$C:$C,C131,Data!$ED:$ED)+SUMIF(Data!$C:$C,C131,Data!$EF:$EF)+SUMIF(Data!$C:$C,C131,Data!$EH:$EH)+SUMIF(Data!$C:$C,C131,Data!$EJ:$EJ)+SUMIF(Data!$C:$C,C131,Data!$EL:$EL)+SUMIF(Data!$C:$C,C131,Data!$EN:$EN)+SUMIF(Data!$C:$C,C131,Data!$EP:$EP)+SUMIF(Data!$C:$C,C131,Data!$ER:$ER)+SUMIF(Data!$C:$C,C131,Data!$ET:$ET)</f>
        <v>270.459</v>
      </c>
      <c r="I131" s="30">
        <f>G131/19</f>
        <v>1656.9940503432499</v>
      </c>
      <c r="J131" s="31">
        <f>H131/19</f>
        <v>14.234684210526316</v>
      </c>
      <c r="K131" s="30">
        <f>IFERROR(INDEX(Data!$ES:$ES,MATCH(C131,Data!$C:$C,0)),0)</f>
        <v>2003.3565217391299</v>
      </c>
      <c r="L131" s="31">
        <f>IFERROR(INDEX(Data!$ET:$ET,MATCH(C131,Data!$C:$C,0)),0)</f>
        <v>17.722000000000001</v>
      </c>
      <c r="M131" s="30">
        <f>IFERROR(INDEX(Data!$I$3:$ER$553,MATCH($C131,Data!$C$3:$C$553,0),MATCH(DATE(RIGHT($B$5,4),MID($B$5,4,2),LEFT($B$5,2))-42,Data!$I$1:$ER$1,0)),0)</f>
        <v>1381.6</v>
      </c>
      <c r="N131" s="31" cm="1">
        <f t="array" ref="N131">IFERROR(INDEX(Data!$I$3:$ER$553,MATCH($C131,Data!$C$3:$C$553,0),MATCH(DATE(RIGHT($B$5,4),MID($B$5,4,2),LEFT($B$5,2))-42,Data!$I$1:$ER$1,0)+1),0)</f>
        <v>12.222</v>
      </c>
      <c r="O131" s="30">
        <f>IFERROR(INDEX(Data!$I$3:$ER$553,MATCH($C131,Data!$C$3:$C$553,0),MATCH($M$5,Data!$I$1:$ER$1,0)),0)</f>
        <v>1680.5652173912999</v>
      </c>
      <c r="P131" s="31" cm="1">
        <f t="array" ref="P131">IFERROR(INDEX(Data!$I$3:$ER$553,MATCH($C131,Data!$C$3:$C$553,0),MATCH($M$5,Data!$I$1:$ER$1,0)+1),0)</f>
        <v>16.661999999999999</v>
      </c>
      <c r="Q131" s="49" t="str">
        <f>IF(R131="","",IF(H131=0,0,R131*(G131/H131)))</f>
        <v/>
      </c>
      <c r="R131" s="50"/>
    </row>
    <row r="132" spans="1:18" x14ac:dyDescent="0.35">
      <c r="A132" s="32">
        <v>216</v>
      </c>
      <c r="B132" s="32" t="s">
        <v>544</v>
      </c>
      <c r="C132" s="32">
        <v>34198</v>
      </c>
      <c r="D132" s="32" t="s">
        <v>381</v>
      </c>
      <c r="E132" s="33">
        <v>13949.382608695647</v>
      </c>
      <c r="F132" s="34">
        <v>151.352</v>
      </c>
      <c r="G132" s="33">
        <f>SUMIF(Data!$C:$C,C132,Data!$DI:$DI)+SUMIF(Data!$C:$C,C132,Data!$DK:$DK)+SUMIF(Data!$C:$C,C132,Data!$DM:$DM)+SUMIF(Data!$C:$C,C132,Data!$DO:$DO)+SUMIF(Data!$C:$C,C132,Data!$DQ:$DQ)+SUMIF(Data!$C:$C,C132,Data!$DS:$DS)+SUMIF(Data!$C:$C,C132,Data!$DU:$DU)+SUMIF(Data!$C:$C,C132,Data!$DW:$DW)+SUMIF(Data!$C:$C,C132,Data!$DY:$DY)+SUMIF(Data!$C:$C,C132,Data!$EA:$EA)+SUMIF(Data!$C:$C,C132,Data!$EC:$EC)+SUMIF(Data!$C:$C,C132,Data!$EE:$EE)+SUMIF(Data!$C:$C,C132,Data!$EG:$EG)+SUMIF(Data!$C:$C,C132,Data!$EI:$EI)+SUMIF(Data!$C:$C,C132,Data!$EK:$EK)+SUMIF(Data!$C:$C,C132,Data!$EM:$EM)+SUMIF(Data!$C:$C,C132,Data!$EO:$EO)+SUMIF(Data!$C:$C,C132,Data!$EQ:$EQ)+SUMIF(Data!$C:$C,C132,Data!$ES:$ES)</f>
        <v>29775.043478260883</v>
      </c>
      <c r="H132" s="34">
        <f>SUMIF(Data!$C:$C,C132,Data!$DJ:$DJ)+SUMIF(Data!$C:$C,C132,Data!$DL:$DL)+SUMIF(Data!$C:$C,C132,Data!$DN:$DN)+SUMIF(Data!$C:$C,C132,Data!$DP:$DP)+SUMIF(Data!$C:$C,C132,Data!$DR:$DR)+SUMIF(Data!$C:$C,C132,Data!$DT:$DT)+SUMIF(Data!$C:$C,C132,Data!$DV:$DV)+SUMIF(Data!$C:$C,C132,Data!$DX:$DX)+SUMIF(Data!$C:$C,C132,Data!$DZ:$DZ)+SUMIF(Data!$C:$C,C132,Data!$EB:$EB)+SUMIF(Data!$C:$C,C132,Data!$ED:$ED)+SUMIF(Data!$C:$C,C132,Data!$EF:$EF)+SUMIF(Data!$C:$C,C132,Data!$EH:$EH)+SUMIF(Data!$C:$C,C132,Data!$EJ:$EJ)+SUMIF(Data!$C:$C,C132,Data!$EL:$EL)+SUMIF(Data!$C:$C,C132,Data!$EN:$EN)+SUMIF(Data!$C:$C,C132,Data!$EP:$EP)+SUMIF(Data!$C:$C,C132,Data!$ER:$ER)+SUMIF(Data!$C:$C,C132,Data!$ET:$ET)</f>
        <v>274.17899999999997</v>
      </c>
      <c r="I132" s="33">
        <f>G132/19</f>
        <v>1567.1075514874149</v>
      </c>
      <c r="J132" s="34">
        <f>H132/19</f>
        <v>14.430473684210526</v>
      </c>
      <c r="K132" s="33">
        <f>IFERROR(INDEX(Data!$ES:$ES,MATCH(C132,Data!$C:$C,0)),0)</f>
        <v>1544.97391304348</v>
      </c>
      <c r="L132" s="34">
        <f>IFERROR(INDEX(Data!$ET:$ET,MATCH(C132,Data!$C:$C,0)),0)</f>
        <v>14.808</v>
      </c>
      <c r="M132" s="33">
        <f>IFERROR(INDEX(Data!$I$3:$ER$553,MATCH($C132,Data!$C$3:$C$553,0),MATCH(DATE(RIGHT($B$5,4),MID($B$5,4,2),LEFT($B$5,2))-42,Data!$I$1:$ER$1,0)),0)</f>
        <v>1251.3913043478301</v>
      </c>
      <c r="N132" s="34" cm="1">
        <f t="array" ref="N132">IFERROR(INDEX(Data!$I$3:$ER$553,MATCH($C132,Data!$C$3:$C$553,0),MATCH(DATE(RIGHT($B$5,4),MID($B$5,4,2),LEFT($B$5,2))-42,Data!$I$1:$ER$1,0)+1),0)</f>
        <v>11.994</v>
      </c>
      <c r="O132" s="33">
        <f>IFERROR(INDEX(Data!$I$3:$ER$553,MATCH($C132,Data!$C$3:$C$553,0),MATCH($M$5,Data!$I$1:$ER$1,0)),0)</f>
        <v>0</v>
      </c>
      <c r="P132" s="34" cm="1">
        <f t="array" ref="P132">IFERROR(INDEX(Data!$I$3:$ER$553,MATCH($C132,Data!$C$3:$C$553,0),MATCH($M$5,Data!$I$1:$ER$1,0)+1),0)</f>
        <v>0</v>
      </c>
      <c r="Q132" s="49" t="str">
        <f>IF(R132="","",IF(H132=0,0,R132*(G132/H132)))</f>
        <v/>
      </c>
      <c r="R132" s="50"/>
    </row>
    <row r="133" spans="1:18" x14ac:dyDescent="0.35">
      <c r="A133" s="29">
        <v>216</v>
      </c>
      <c r="B133" s="29" t="s">
        <v>544</v>
      </c>
      <c r="C133" s="29">
        <v>16182</v>
      </c>
      <c r="D133" s="29" t="s">
        <v>374</v>
      </c>
      <c r="E133" s="30">
        <v>3189.3565217391301</v>
      </c>
      <c r="F133" s="31">
        <v>33.344000000000001</v>
      </c>
      <c r="G133" s="30">
        <f>SUMIF(Data!$C:$C,C133,Data!$DI:$DI)+SUMIF(Data!$C:$C,C133,Data!$DK:$DK)+SUMIF(Data!$C:$C,C133,Data!$DM:$DM)+SUMIF(Data!$C:$C,C133,Data!$DO:$DO)+SUMIF(Data!$C:$C,C133,Data!$DQ:$DQ)+SUMIF(Data!$C:$C,C133,Data!$DS:$DS)+SUMIF(Data!$C:$C,C133,Data!$DU:$DU)+SUMIF(Data!$C:$C,C133,Data!$DW:$DW)+SUMIF(Data!$C:$C,C133,Data!$DY:$DY)+SUMIF(Data!$C:$C,C133,Data!$EA:$EA)+SUMIF(Data!$C:$C,C133,Data!$EC:$EC)+SUMIF(Data!$C:$C,C133,Data!$EE:$EE)+SUMIF(Data!$C:$C,C133,Data!$EG:$EG)+SUMIF(Data!$C:$C,C133,Data!$EI:$EI)+SUMIF(Data!$C:$C,C133,Data!$EK:$EK)+SUMIF(Data!$C:$C,C133,Data!$EM:$EM)+SUMIF(Data!$C:$C,C133,Data!$EO:$EO)+SUMIF(Data!$C:$C,C133,Data!$EQ:$EQ)+SUMIF(Data!$C:$C,C133,Data!$ES:$ES)</f>
        <v>26588.695652173916</v>
      </c>
      <c r="H133" s="31">
        <f>SUMIF(Data!$C:$C,C133,Data!$DJ:$DJ)+SUMIF(Data!$C:$C,C133,Data!$DL:$DL)+SUMIF(Data!$C:$C,C133,Data!$DN:$DN)+SUMIF(Data!$C:$C,C133,Data!$DP:$DP)+SUMIF(Data!$C:$C,C133,Data!$DR:$DR)+SUMIF(Data!$C:$C,C133,Data!$DT:$DT)+SUMIF(Data!$C:$C,C133,Data!$DV:$DV)+SUMIF(Data!$C:$C,C133,Data!$DX:$DX)+SUMIF(Data!$C:$C,C133,Data!$DZ:$DZ)+SUMIF(Data!$C:$C,C133,Data!$EB:$EB)+SUMIF(Data!$C:$C,C133,Data!$ED:$ED)+SUMIF(Data!$C:$C,C133,Data!$EF:$EF)+SUMIF(Data!$C:$C,C133,Data!$EH:$EH)+SUMIF(Data!$C:$C,C133,Data!$EJ:$EJ)+SUMIF(Data!$C:$C,C133,Data!$EL:$EL)+SUMIF(Data!$C:$C,C133,Data!$EN:$EN)+SUMIF(Data!$C:$C,C133,Data!$EP:$EP)+SUMIF(Data!$C:$C,C133,Data!$ER:$ER)+SUMIF(Data!$C:$C,C133,Data!$ET:$ET)</f>
        <v>274.31200000000001</v>
      </c>
      <c r="I133" s="30">
        <f>G133/19</f>
        <v>1399.405034324943</v>
      </c>
      <c r="J133" s="31">
        <f>H133/19</f>
        <v>14.437473684210527</v>
      </c>
      <c r="K133" s="30">
        <f>IFERROR(INDEX(Data!$ES:$ES,MATCH(C133,Data!$C:$C,0)),0)</f>
        <v>0</v>
      </c>
      <c r="L133" s="31">
        <f>IFERROR(INDEX(Data!$ET:$ET,MATCH(C133,Data!$C:$C,0)),0)</f>
        <v>0</v>
      </c>
      <c r="M133" s="30">
        <f>IFERROR(INDEX(Data!$I$3:$ER$553,MATCH($C133,Data!$C$3:$C$553,0),MATCH(DATE(RIGHT($B$5,4),MID($B$5,4,2),LEFT($B$5,2))-42,Data!$I$1:$ER$1,0)),0)</f>
        <v>415.77391304347799</v>
      </c>
      <c r="N133" s="31" cm="1">
        <f t="array" ref="N133">IFERROR(INDEX(Data!$I$3:$ER$553,MATCH($C133,Data!$C$3:$C$553,0),MATCH(DATE(RIGHT($B$5,4),MID($B$5,4,2),LEFT($B$5,2))-42,Data!$I$1:$ER$1,0)+1),0)</f>
        <v>3.6779999999999999</v>
      </c>
      <c r="O133" s="30">
        <f>IFERROR(INDEX(Data!$I$3:$ER$553,MATCH($C133,Data!$C$3:$C$553,0),MATCH($M$5,Data!$I$1:$ER$1,0)),0)</f>
        <v>1641.73913043478</v>
      </c>
      <c r="P133" s="31" cm="1">
        <f t="array" ref="P133">IFERROR(INDEX(Data!$I$3:$ER$553,MATCH($C133,Data!$C$3:$C$553,0),MATCH($M$5,Data!$I$1:$ER$1,0)+1),0)</f>
        <v>17.166</v>
      </c>
      <c r="Q133" s="49" t="str">
        <f>IF(R133="","",IF(H133=0,0,R133*(G133/H133)))</f>
        <v/>
      </c>
      <c r="R133" s="50"/>
    </row>
    <row r="134" spans="1:18" x14ac:dyDescent="0.35">
      <c r="A134" s="32">
        <v>216</v>
      </c>
      <c r="B134" s="32" t="s">
        <v>544</v>
      </c>
      <c r="C134" s="32">
        <v>34235</v>
      </c>
      <c r="D134" s="32" t="s">
        <v>387</v>
      </c>
      <c r="E134" s="33">
        <v>20717.617391304357</v>
      </c>
      <c r="F134" s="34">
        <v>287.15500000000003</v>
      </c>
      <c r="G134" s="33">
        <f>SUMIF(Data!$C:$C,C134,Data!$DI:$DI)+SUMIF(Data!$C:$C,C134,Data!$DK:$DK)+SUMIF(Data!$C:$C,C134,Data!$DM:$DM)+SUMIF(Data!$C:$C,C134,Data!$DO:$DO)+SUMIF(Data!$C:$C,C134,Data!$DQ:$DQ)+SUMIF(Data!$C:$C,C134,Data!$DS:$DS)+SUMIF(Data!$C:$C,C134,Data!$DU:$DU)+SUMIF(Data!$C:$C,C134,Data!$DW:$DW)+SUMIF(Data!$C:$C,C134,Data!$DY:$DY)+SUMIF(Data!$C:$C,C134,Data!$EA:$EA)+SUMIF(Data!$C:$C,C134,Data!$EC:$EC)+SUMIF(Data!$C:$C,C134,Data!$EE:$EE)+SUMIF(Data!$C:$C,C134,Data!$EG:$EG)+SUMIF(Data!$C:$C,C134,Data!$EI:$EI)+SUMIF(Data!$C:$C,C134,Data!$EK:$EK)+SUMIF(Data!$C:$C,C134,Data!$EM:$EM)+SUMIF(Data!$C:$C,C134,Data!$EO:$EO)+SUMIF(Data!$C:$C,C134,Data!$EQ:$EQ)+SUMIF(Data!$C:$C,C134,Data!$ES:$ES)</f>
        <v>24198.286956521733</v>
      </c>
      <c r="H134" s="34">
        <f>SUMIF(Data!$C:$C,C134,Data!$DJ:$DJ)+SUMIF(Data!$C:$C,C134,Data!$DL:$DL)+SUMIF(Data!$C:$C,C134,Data!$DN:$DN)+SUMIF(Data!$C:$C,C134,Data!$DP:$DP)+SUMIF(Data!$C:$C,C134,Data!$DR:$DR)+SUMIF(Data!$C:$C,C134,Data!$DT:$DT)+SUMIF(Data!$C:$C,C134,Data!$DV:$DV)+SUMIF(Data!$C:$C,C134,Data!$DX:$DX)+SUMIF(Data!$C:$C,C134,Data!$DZ:$DZ)+SUMIF(Data!$C:$C,C134,Data!$EB:$EB)+SUMIF(Data!$C:$C,C134,Data!$ED:$ED)+SUMIF(Data!$C:$C,C134,Data!$EF:$EF)+SUMIF(Data!$C:$C,C134,Data!$EH:$EH)+SUMIF(Data!$C:$C,C134,Data!$EJ:$EJ)+SUMIF(Data!$C:$C,C134,Data!$EL:$EL)+SUMIF(Data!$C:$C,C134,Data!$EN:$EN)+SUMIF(Data!$C:$C,C134,Data!$EP:$EP)+SUMIF(Data!$C:$C,C134,Data!$ER:$ER)+SUMIF(Data!$C:$C,C134,Data!$ET:$ET)</f>
        <v>268.10699999999997</v>
      </c>
      <c r="I134" s="33">
        <f>G134/19</f>
        <v>1273.5940503432491</v>
      </c>
      <c r="J134" s="34">
        <f>H134/19</f>
        <v>14.110894736842104</v>
      </c>
      <c r="K134" s="33">
        <f>IFERROR(INDEX(Data!$ES:$ES,MATCH(C134,Data!$C:$C,0)),0)</f>
        <v>0</v>
      </c>
      <c r="L134" s="34">
        <f>IFERROR(INDEX(Data!$ET:$ET,MATCH(C134,Data!$C:$C,0)),0)</f>
        <v>0</v>
      </c>
      <c r="M134" s="33">
        <f>IFERROR(INDEX(Data!$I$3:$ER$553,MATCH($C134,Data!$C$3:$C$553,0),MATCH(DATE(RIGHT($B$5,4),MID($B$5,4,2),LEFT($B$5,2))-42,Data!$I$1:$ER$1,0)),0)</f>
        <v>1874.6086956521699</v>
      </c>
      <c r="N134" s="34" cm="1">
        <f t="array" ref="N134">IFERROR(INDEX(Data!$I$3:$ER$553,MATCH($C134,Data!$C$3:$C$553,0),MATCH(DATE(RIGHT($B$5,4),MID($B$5,4,2),LEFT($B$5,2))-42,Data!$I$1:$ER$1,0)+1),0)</f>
        <v>21.56</v>
      </c>
      <c r="O134" s="33">
        <f>IFERROR(INDEX(Data!$I$3:$ER$553,MATCH($C134,Data!$C$3:$C$553,0),MATCH($M$5,Data!$I$1:$ER$1,0)),0)</f>
        <v>2512</v>
      </c>
      <c r="P134" s="34" cm="1">
        <f t="array" ref="P134">IFERROR(INDEX(Data!$I$3:$ER$553,MATCH($C134,Data!$C$3:$C$553,0),MATCH($M$5,Data!$I$1:$ER$1,0)+1),0)</f>
        <v>28.89</v>
      </c>
      <c r="Q134" s="49" t="str">
        <f>IF(R134="","",IF(H134=0,0,R134*(G134/H134)))</f>
        <v/>
      </c>
      <c r="R134" s="50"/>
    </row>
    <row r="135" spans="1:18" x14ac:dyDescent="0.35">
      <c r="A135" s="29">
        <v>216</v>
      </c>
      <c r="B135" s="29" t="s">
        <v>544</v>
      </c>
      <c r="C135" s="29">
        <v>44450</v>
      </c>
      <c r="D135" s="29" t="s">
        <v>404</v>
      </c>
      <c r="E135" s="30">
        <v>28738.095652173903</v>
      </c>
      <c r="F135" s="31">
        <v>550.91899999999998</v>
      </c>
      <c r="G135" s="30">
        <f>SUMIF(Data!$C:$C,C135,Data!$DI:$DI)+SUMIF(Data!$C:$C,C135,Data!$DK:$DK)+SUMIF(Data!$C:$C,C135,Data!$DM:$DM)+SUMIF(Data!$C:$C,C135,Data!$DO:$DO)+SUMIF(Data!$C:$C,C135,Data!$DQ:$DQ)+SUMIF(Data!$C:$C,C135,Data!$DS:$DS)+SUMIF(Data!$C:$C,C135,Data!$DU:$DU)+SUMIF(Data!$C:$C,C135,Data!$DW:$DW)+SUMIF(Data!$C:$C,C135,Data!$DY:$DY)+SUMIF(Data!$C:$C,C135,Data!$EA:$EA)+SUMIF(Data!$C:$C,C135,Data!$EC:$EC)+SUMIF(Data!$C:$C,C135,Data!$EE:$EE)+SUMIF(Data!$C:$C,C135,Data!$EG:$EG)+SUMIF(Data!$C:$C,C135,Data!$EI:$EI)+SUMIF(Data!$C:$C,C135,Data!$EK:$EK)+SUMIF(Data!$C:$C,C135,Data!$EM:$EM)+SUMIF(Data!$C:$C,C135,Data!$EO:$EO)+SUMIF(Data!$C:$C,C135,Data!$EQ:$EQ)+SUMIF(Data!$C:$C,C135,Data!$ES:$ES)</f>
        <v>25006.608695652176</v>
      </c>
      <c r="H135" s="31">
        <f>SUMIF(Data!$C:$C,C135,Data!$DJ:$DJ)+SUMIF(Data!$C:$C,C135,Data!$DL:$DL)+SUMIF(Data!$C:$C,C135,Data!$DN:$DN)+SUMIF(Data!$C:$C,C135,Data!$DP:$DP)+SUMIF(Data!$C:$C,C135,Data!$DR:$DR)+SUMIF(Data!$C:$C,C135,Data!$DT:$DT)+SUMIF(Data!$C:$C,C135,Data!$DV:$DV)+SUMIF(Data!$C:$C,C135,Data!$DX:$DX)+SUMIF(Data!$C:$C,C135,Data!$DZ:$DZ)+SUMIF(Data!$C:$C,C135,Data!$EB:$EB)+SUMIF(Data!$C:$C,C135,Data!$ED:$ED)+SUMIF(Data!$C:$C,C135,Data!$EF:$EF)+SUMIF(Data!$C:$C,C135,Data!$EH:$EH)+SUMIF(Data!$C:$C,C135,Data!$EJ:$EJ)+SUMIF(Data!$C:$C,C135,Data!$EL:$EL)+SUMIF(Data!$C:$C,C135,Data!$EN:$EN)+SUMIF(Data!$C:$C,C135,Data!$EP:$EP)+SUMIF(Data!$C:$C,C135,Data!$ER:$ER)+SUMIF(Data!$C:$C,C135,Data!$ET:$ET)</f>
        <v>314.71799999999996</v>
      </c>
      <c r="I135" s="30">
        <f>G135/19</f>
        <v>1316.1372997711671</v>
      </c>
      <c r="J135" s="31">
        <f>H135/19</f>
        <v>16.564105263157892</v>
      </c>
      <c r="K135" s="30">
        <f>IFERROR(INDEX(Data!$ES:$ES,MATCH(C135,Data!$C:$C,0)),0)</f>
        <v>876.08695652173901</v>
      </c>
      <c r="L135" s="31">
        <f>IFERROR(INDEX(Data!$ET:$ET,MATCH(C135,Data!$C:$C,0)),0)</f>
        <v>10.496</v>
      </c>
      <c r="M135" s="30">
        <f>IFERROR(INDEX(Data!$I$3:$ER$553,MATCH($C135,Data!$C$3:$C$553,0),MATCH(DATE(RIGHT($B$5,4),MID($B$5,4,2),LEFT($B$5,2))-42,Data!$I$1:$ER$1,0)),0)</f>
        <v>817.86086956521694</v>
      </c>
      <c r="N135" s="31" cm="1">
        <f t="array" ref="N135">IFERROR(INDEX(Data!$I$3:$ER$553,MATCH($C135,Data!$C$3:$C$553,0),MATCH(DATE(RIGHT($B$5,4),MID($B$5,4,2),LEFT($B$5,2))-42,Data!$I$1:$ER$1,0)+1),0)</f>
        <v>10.218999999999999</v>
      </c>
      <c r="O135" s="30">
        <f>IFERROR(INDEX(Data!$I$3:$ER$553,MATCH($C135,Data!$C$3:$C$553,0),MATCH($M$5,Data!$I$1:$ER$1,0)),0)</f>
        <v>767.2</v>
      </c>
      <c r="P135" s="31" cm="1">
        <f t="array" ref="P135">IFERROR(INDEX(Data!$I$3:$ER$553,MATCH($C135,Data!$C$3:$C$553,0),MATCH($M$5,Data!$I$1:$ER$1,0)+1),0)</f>
        <v>14.708</v>
      </c>
      <c r="Q135" s="49" t="str">
        <f>IF(R135="","",IF(H135=0,0,R135*(G135/H135)))</f>
        <v/>
      </c>
      <c r="R135" s="50"/>
    </row>
    <row r="136" spans="1:18" x14ac:dyDescent="0.35">
      <c r="A136" s="32">
        <v>216</v>
      </c>
      <c r="B136" s="32" t="s">
        <v>544</v>
      </c>
      <c r="C136" s="32">
        <v>11147</v>
      </c>
      <c r="D136" s="32" t="s">
        <v>371</v>
      </c>
      <c r="E136" s="33">
        <v>0</v>
      </c>
      <c r="F136" s="34">
        <v>0</v>
      </c>
      <c r="G136" s="33">
        <f>SUMIF(Data!$C:$C,C136,Data!$DI:$DI)+SUMIF(Data!$C:$C,C136,Data!$DK:$DK)+SUMIF(Data!$C:$C,C136,Data!$DM:$DM)+SUMIF(Data!$C:$C,C136,Data!$DO:$DO)+SUMIF(Data!$C:$C,C136,Data!$DQ:$DQ)+SUMIF(Data!$C:$C,C136,Data!$DS:$DS)+SUMIF(Data!$C:$C,C136,Data!$DU:$DU)+SUMIF(Data!$C:$C,C136,Data!$DW:$DW)+SUMIF(Data!$C:$C,C136,Data!$DY:$DY)+SUMIF(Data!$C:$C,C136,Data!$EA:$EA)+SUMIF(Data!$C:$C,C136,Data!$EC:$EC)+SUMIF(Data!$C:$C,C136,Data!$EE:$EE)+SUMIF(Data!$C:$C,C136,Data!$EG:$EG)+SUMIF(Data!$C:$C,C136,Data!$EI:$EI)+SUMIF(Data!$C:$C,C136,Data!$EK:$EK)+SUMIF(Data!$C:$C,C136,Data!$EM:$EM)+SUMIF(Data!$C:$C,C136,Data!$EO:$EO)+SUMIF(Data!$C:$C,C136,Data!$EQ:$EQ)+SUMIF(Data!$C:$C,C136,Data!$ES:$ES)</f>
        <v>24920.382608695647</v>
      </c>
      <c r="H136" s="34">
        <f>SUMIF(Data!$C:$C,C136,Data!$DJ:$DJ)+SUMIF(Data!$C:$C,C136,Data!$DL:$DL)+SUMIF(Data!$C:$C,C136,Data!$DN:$DN)+SUMIF(Data!$C:$C,C136,Data!$DP:$DP)+SUMIF(Data!$C:$C,C136,Data!$DR:$DR)+SUMIF(Data!$C:$C,C136,Data!$DT:$DT)+SUMIF(Data!$C:$C,C136,Data!$DV:$DV)+SUMIF(Data!$C:$C,C136,Data!$DX:$DX)+SUMIF(Data!$C:$C,C136,Data!$DZ:$DZ)+SUMIF(Data!$C:$C,C136,Data!$EB:$EB)+SUMIF(Data!$C:$C,C136,Data!$ED:$ED)+SUMIF(Data!$C:$C,C136,Data!$EF:$EF)+SUMIF(Data!$C:$C,C136,Data!$EH:$EH)+SUMIF(Data!$C:$C,C136,Data!$EJ:$EJ)+SUMIF(Data!$C:$C,C136,Data!$EL:$EL)+SUMIF(Data!$C:$C,C136,Data!$EN:$EN)+SUMIF(Data!$C:$C,C136,Data!$EP:$EP)+SUMIF(Data!$C:$C,C136,Data!$ER:$ER)+SUMIF(Data!$C:$C,C136,Data!$ET:$ET)</f>
        <v>286.88099999999997</v>
      </c>
      <c r="I136" s="33">
        <f>G136/19</f>
        <v>1311.5990846681918</v>
      </c>
      <c r="J136" s="34">
        <f>H136/19</f>
        <v>15.098999999999998</v>
      </c>
      <c r="K136" s="33">
        <f>IFERROR(INDEX(Data!$ES:$ES,MATCH(C136,Data!$C:$C,0)),0)</f>
        <v>1025.3913043478301</v>
      </c>
      <c r="L136" s="34">
        <f>IFERROR(INDEX(Data!$ET:$ET,MATCH(C136,Data!$C:$C,0)),0)</f>
        <v>11.792</v>
      </c>
      <c r="M136" s="33">
        <f>IFERROR(INDEX(Data!$I$3:$ER$553,MATCH($C136,Data!$C$3:$C$553,0),MATCH(DATE(RIGHT($B$5,4),MID($B$5,4,2),LEFT($B$5,2))-42,Data!$I$1:$ER$1,0)),0)</f>
        <v>1050.25217391304</v>
      </c>
      <c r="N136" s="34" cm="1">
        <f t="array" ref="N136">IFERROR(INDEX(Data!$I$3:$ER$553,MATCH($C136,Data!$C$3:$C$553,0),MATCH(DATE(RIGHT($B$5,4),MID($B$5,4,2),LEFT($B$5,2))-42,Data!$I$1:$ER$1,0)+1),0)</f>
        <v>12.079000000000001</v>
      </c>
      <c r="O136" s="33">
        <f>IFERROR(INDEX(Data!$I$3:$ER$553,MATCH($C136,Data!$C$3:$C$553,0),MATCH($M$5,Data!$I$1:$ER$1,0)),0)</f>
        <v>0</v>
      </c>
      <c r="P136" s="34" cm="1">
        <f t="array" ref="P136">IFERROR(INDEX(Data!$I$3:$ER$553,MATCH($C136,Data!$C$3:$C$553,0),MATCH($M$5,Data!$I$1:$ER$1,0)+1),0)</f>
        <v>0</v>
      </c>
      <c r="Q136" s="49" t="str">
        <f>IF(R136="","",IF(H136=0,0,R136*(G136/H136)))</f>
        <v/>
      </c>
      <c r="R136" s="50"/>
    </row>
    <row r="137" spans="1:18" x14ac:dyDescent="0.35">
      <c r="A137" s="29">
        <v>216</v>
      </c>
      <c r="B137" s="29" t="s">
        <v>544</v>
      </c>
      <c r="C137" s="29">
        <v>34949</v>
      </c>
      <c r="D137" s="29" t="s">
        <v>390</v>
      </c>
      <c r="E137" s="30">
        <v>14260.321739130424</v>
      </c>
      <c r="F137" s="31">
        <v>141.386</v>
      </c>
      <c r="G137" s="30">
        <f>SUMIF(Data!$C:$C,C137,Data!$DI:$DI)+SUMIF(Data!$C:$C,C137,Data!$DK:$DK)+SUMIF(Data!$C:$C,C137,Data!$DM:$DM)+SUMIF(Data!$C:$C,C137,Data!$DO:$DO)+SUMIF(Data!$C:$C,C137,Data!$DQ:$DQ)+SUMIF(Data!$C:$C,C137,Data!$DS:$DS)+SUMIF(Data!$C:$C,C137,Data!$DU:$DU)+SUMIF(Data!$C:$C,C137,Data!$DW:$DW)+SUMIF(Data!$C:$C,C137,Data!$DY:$DY)+SUMIF(Data!$C:$C,C137,Data!$EA:$EA)+SUMIF(Data!$C:$C,C137,Data!$EC:$EC)+SUMIF(Data!$C:$C,C137,Data!$EE:$EE)+SUMIF(Data!$C:$C,C137,Data!$EG:$EG)+SUMIF(Data!$C:$C,C137,Data!$EI:$EI)+SUMIF(Data!$C:$C,C137,Data!$EK:$EK)+SUMIF(Data!$C:$C,C137,Data!$EM:$EM)+SUMIF(Data!$C:$C,C137,Data!$EO:$EO)+SUMIF(Data!$C:$C,C137,Data!$EQ:$EQ)+SUMIF(Data!$C:$C,C137,Data!$ES:$ES)</f>
        <v>24655.791304347826</v>
      </c>
      <c r="H137" s="31">
        <f>SUMIF(Data!$C:$C,C137,Data!$DJ:$DJ)+SUMIF(Data!$C:$C,C137,Data!$DL:$DL)+SUMIF(Data!$C:$C,C137,Data!$DN:$DN)+SUMIF(Data!$C:$C,C137,Data!$DP:$DP)+SUMIF(Data!$C:$C,C137,Data!$DR:$DR)+SUMIF(Data!$C:$C,C137,Data!$DT:$DT)+SUMIF(Data!$C:$C,C137,Data!$DV:$DV)+SUMIF(Data!$C:$C,C137,Data!$DX:$DX)+SUMIF(Data!$C:$C,C137,Data!$DZ:$DZ)+SUMIF(Data!$C:$C,C137,Data!$EB:$EB)+SUMIF(Data!$C:$C,C137,Data!$ED:$ED)+SUMIF(Data!$C:$C,C137,Data!$EF:$EF)+SUMIF(Data!$C:$C,C137,Data!$EH:$EH)+SUMIF(Data!$C:$C,C137,Data!$EJ:$EJ)+SUMIF(Data!$C:$C,C137,Data!$EL:$EL)+SUMIF(Data!$C:$C,C137,Data!$EN:$EN)+SUMIF(Data!$C:$C,C137,Data!$EP:$EP)+SUMIF(Data!$C:$C,C137,Data!$ER:$ER)+SUMIF(Data!$C:$C,C137,Data!$ET:$ET)</f>
        <v>211.072</v>
      </c>
      <c r="I137" s="30">
        <f>G137/19</f>
        <v>1297.6732265446224</v>
      </c>
      <c r="J137" s="31">
        <f>H137/19</f>
        <v>11.109052631578948</v>
      </c>
      <c r="K137" s="30">
        <f>IFERROR(INDEX(Data!$ES:$ES,MATCH(C137,Data!$C:$C,0)),0)</f>
        <v>1607.9304347826101</v>
      </c>
      <c r="L137" s="31">
        <f>IFERROR(INDEX(Data!$ET:$ET,MATCH(C137,Data!$C:$C,0)),0)</f>
        <v>14.224</v>
      </c>
      <c r="M137" s="30">
        <f>IFERROR(INDEX(Data!$I$3:$ER$553,MATCH($C137,Data!$C$3:$C$553,0),MATCH(DATE(RIGHT($B$5,4),MID($B$5,4,2),LEFT($B$5,2))-42,Data!$I$1:$ER$1,0)),0)</f>
        <v>1425.9304347826101</v>
      </c>
      <c r="N137" s="31" cm="1">
        <f t="array" ref="N137">IFERROR(INDEX(Data!$I$3:$ER$553,MATCH($C137,Data!$C$3:$C$553,0),MATCH(DATE(RIGHT($B$5,4),MID($B$5,4,2),LEFT($B$5,2))-42,Data!$I$1:$ER$1,0)+1),0)</f>
        <v>12.614000000000001</v>
      </c>
      <c r="O137" s="30">
        <f>IFERROR(INDEX(Data!$I$3:$ER$553,MATCH($C137,Data!$C$3:$C$553,0),MATCH($M$5,Data!$I$1:$ER$1,0)),0)</f>
        <v>0</v>
      </c>
      <c r="P137" s="31" cm="1">
        <f t="array" ref="P137">IFERROR(INDEX(Data!$I$3:$ER$553,MATCH($C137,Data!$C$3:$C$553,0),MATCH($M$5,Data!$I$1:$ER$1,0)+1),0)</f>
        <v>0</v>
      </c>
      <c r="Q137" s="49" t="str">
        <f>IF(R137="","",IF(H137=0,0,R137*(G137/H137)))</f>
        <v/>
      </c>
      <c r="R137" s="50"/>
    </row>
    <row r="138" spans="1:18" x14ac:dyDescent="0.35">
      <c r="A138" s="32">
        <v>216</v>
      </c>
      <c r="B138" s="32" t="s">
        <v>544</v>
      </c>
      <c r="C138" s="32">
        <v>51078</v>
      </c>
      <c r="D138" s="32" t="s">
        <v>418</v>
      </c>
      <c r="E138" s="33">
        <v>2853.6695652173948</v>
      </c>
      <c r="F138" s="34">
        <v>29.838000000000001</v>
      </c>
      <c r="G138" s="33">
        <f>SUMIF(Data!$C:$C,C138,Data!$DI:$DI)+SUMIF(Data!$C:$C,C138,Data!$DK:$DK)+SUMIF(Data!$C:$C,C138,Data!$DM:$DM)+SUMIF(Data!$C:$C,C138,Data!$DO:$DO)+SUMIF(Data!$C:$C,C138,Data!$DQ:$DQ)+SUMIF(Data!$C:$C,C138,Data!$DS:$DS)+SUMIF(Data!$C:$C,C138,Data!$DU:$DU)+SUMIF(Data!$C:$C,C138,Data!$DW:$DW)+SUMIF(Data!$C:$C,C138,Data!$DY:$DY)+SUMIF(Data!$C:$C,C138,Data!$EA:$EA)+SUMIF(Data!$C:$C,C138,Data!$EC:$EC)+SUMIF(Data!$C:$C,C138,Data!$EE:$EE)+SUMIF(Data!$C:$C,C138,Data!$EG:$EG)+SUMIF(Data!$C:$C,C138,Data!$EI:$EI)+SUMIF(Data!$C:$C,C138,Data!$EK:$EK)+SUMIF(Data!$C:$C,C138,Data!$EM:$EM)+SUMIF(Data!$C:$C,C138,Data!$EO:$EO)+SUMIF(Data!$C:$C,C138,Data!$EQ:$EQ)+SUMIF(Data!$C:$C,C138,Data!$ES:$ES)</f>
        <v>21505.347826086963</v>
      </c>
      <c r="H138" s="34">
        <f>SUMIF(Data!$C:$C,C138,Data!$DJ:$DJ)+SUMIF(Data!$C:$C,C138,Data!$DL:$DL)+SUMIF(Data!$C:$C,C138,Data!$DN:$DN)+SUMIF(Data!$C:$C,C138,Data!$DP:$DP)+SUMIF(Data!$C:$C,C138,Data!$DR:$DR)+SUMIF(Data!$C:$C,C138,Data!$DT:$DT)+SUMIF(Data!$C:$C,C138,Data!$DV:$DV)+SUMIF(Data!$C:$C,C138,Data!$DX:$DX)+SUMIF(Data!$C:$C,C138,Data!$DZ:$DZ)+SUMIF(Data!$C:$C,C138,Data!$EB:$EB)+SUMIF(Data!$C:$C,C138,Data!$ED:$ED)+SUMIF(Data!$C:$C,C138,Data!$EF:$EF)+SUMIF(Data!$C:$C,C138,Data!$EH:$EH)+SUMIF(Data!$C:$C,C138,Data!$EJ:$EJ)+SUMIF(Data!$C:$C,C138,Data!$EL:$EL)+SUMIF(Data!$C:$C,C138,Data!$EN:$EN)+SUMIF(Data!$C:$C,C138,Data!$EP:$EP)+SUMIF(Data!$C:$C,C138,Data!$ER:$ER)+SUMIF(Data!$C:$C,C138,Data!$ET:$ET)</f>
        <v>221.17000000000002</v>
      </c>
      <c r="I138" s="33">
        <f>G138/19</f>
        <v>1131.8604118993139</v>
      </c>
      <c r="J138" s="34">
        <f>H138/19</f>
        <v>11.640526315789474</v>
      </c>
      <c r="K138" s="33">
        <f>IFERROR(INDEX(Data!$ES:$ES,MATCH(C138,Data!$C:$C,0)),0)</f>
        <v>0</v>
      </c>
      <c r="L138" s="34">
        <f>IFERROR(INDEX(Data!$ET:$ET,MATCH(C138,Data!$C:$C,0)),0)</f>
        <v>0</v>
      </c>
      <c r="M138" s="33">
        <f>IFERROR(INDEX(Data!$I$3:$ER$553,MATCH($C138,Data!$C$3:$C$553,0),MATCH(DATE(RIGHT($B$5,4),MID($B$5,4,2),LEFT($B$5,2))-42,Data!$I$1:$ER$1,0)),0)</f>
        <v>74.2869565217391</v>
      </c>
      <c r="N138" s="34" cm="1">
        <f t="array" ref="N138">IFERROR(INDEX(Data!$I$3:$ER$553,MATCH($C138,Data!$C$3:$C$553,0),MATCH(DATE(RIGHT($B$5,4),MID($B$5,4,2),LEFT($B$5,2))-42,Data!$I$1:$ER$1,0)+1),0)</f>
        <v>0.71199999999999997</v>
      </c>
      <c r="O138" s="33">
        <f>IFERROR(INDEX(Data!$I$3:$ER$553,MATCH($C138,Data!$C$3:$C$553,0),MATCH($M$5,Data!$I$1:$ER$1,0)),0)</f>
        <v>1869.3739130434799</v>
      </c>
      <c r="P138" s="34" cm="1">
        <f t="array" ref="P138">IFERROR(INDEX(Data!$I$3:$ER$553,MATCH($C138,Data!$C$3:$C$553,0),MATCH($M$5,Data!$I$1:$ER$1,0)+1),0)</f>
        <v>19.545999999999999</v>
      </c>
      <c r="Q138" s="49" t="str">
        <f>IF(R138="","",IF(H138=0,0,R138*(G138/H138)))</f>
        <v/>
      </c>
      <c r="R138" s="50"/>
    </row>
    <row r="139" spans="1:18" x14ac:dyDescent="0.35">
      <c r="A139" s="29">
        <v>216</v>
      </c>
      <c r="B139" s="29" t="s">
        <v>544</v>
      </c>
      <c r="C139" s="29">
        <v>34197</v>
      </c>
      <c r="D139" s="29" t="s">
        <v>380</v>
      </c>
      <c r="E139" s="30">
        <v>2953.1043478260899</v>
      </c>
      <c r="F139" s="31">
        <v>34.304000000000002</v>
      </c>
      <c r="G139" s="30">
        <f>SUMIF(Data!$C:$C,C139,Data!$DI:$DI)+SUMIF(Data!$C:$C,C139,Data!$DK:$DK)+SUMIF(Data!$C:$C,C139,Data!$DM:$DM)+SUMIF(Data!$C:$C,C139,Data!$DO:$DO)+SUMIF(Data!$C:$C,C139,Data!$DQ:$DQ)+SUMIF(Data!$C:$C,C139,Data!$DS:$DS)+SUMIF(Data!$C:$C,C139,Data!$DU:$DU)+SUMIF(Data!$C:$C,C139,Data!$DW:$DW)+SUMIF(Data!$C:$C,C139,Data!$DY:$DY)+SUMIF(Data!$C:$C,C139,Data!$EA:$EA)+SUMIF(Data!$C:$C,C139,Data!$EC:$EC)+SUMIF(Data!$C:$C,C139,Data!$EE:$EE)+SUMIF(Data!$C:$C,C139,Data!$EG:$EG)+SUMIF(Data!$C:$C,C139,Data!$EI:$EI)+SUMIF(Data!$C:$C,C139,Data!$EK:$EK)+SUMIF(Data!$C:$C,C139,Data!$EM:$EM)+SUMIF(Data!$C:$C,C139,Data!$EO:$EO)+SUMIF(Data!$C:$C,C139,Data!$EQ:$EQ)+SUMIF(Data!$C:$C,C139,Data!$ES:$ES)</f>
        <v>22461.747826086958</v>
      </c>
      <c r="H139" s="31">
        <f>SUMIF(Data!$C:$C,C139,Data!$DJ:$DJ)+SUMIF(Data!$C:$C,C139,Data!$DL:$DL)+SUMIF(Data!$C:$C,C139,Data!$DN:$DN)+SUMIF(Data!$C:$C,C139,Data!$DP:$DP)+SUMIF(Data!$C:$C,C139,Data!$DR:$DR)+SUMIF(Data!$C:$C,C139,Data!$DT:$DT)+SUMIF(Data!$C:$C,C139,Data!$DV:$DV)+SUMIF(Data!$C:$C,C139,Data!$DX:$DX)+SUMIF(Data!$C:$C,C139,Data!$DZ:$DZ)+SUMIF(Data!$C:$C,C139,Data!$EB:$EB)+SUMIF(Data!$C:$C,C139,Data!$ED:$ED)+SUMIF(Data!$C:$C,C139,Data!$EF:$EF)+SUMIF(Data!$C:$C,C139,Data!$EH:$EH)+SUMIF(Data!$C:$C,C139,Data!$EJ:$EJ)+SUMIF(Data!$C:$C,C139,Data!$EL:$EL)+SUMIF(Data!$C:$C,C139,Data!$EN:$EN)+SUMIF(Data!$C:$C,C139,Data!$EP:$EP)+SUMIF(Data!$C:$C,C139,Data!$ER:$ER)+SUMIF(Data!$C:$C,C139,Data!$ET:$ET)</f>
        <v>209.03100000000001</v>
      </c>
      <c r="I139" s="30">
        <f>G139/19</f>
        <v>1182.1972540045767</v>
      </c>
      <c r="J139" s="31">
        <f>H139/19</f>
        <v>11.001631578947368</v>
      </c>
      <c r="K139" s="30">
        <f>IFERROR(INDEX(Data!$ES:$ES,MATCH(C139,Data!$C:$C,0)),0)</f>
        <v>1431.6695652173901</v>
      </c>
      <c r="L139" s="31">
        <f>IFERROR(INDEX(Data!$ET:$ET,MATCH(C139,Data!$C:$C,0)),0)</f>
        <v>13.722</v>
      </c>
      <c r="M139" s="30">
        <f>IFERROR(INDEX(Data!$I$3:$ER$553,MATCH($C139,Data!$C$3:$C$553,0),MATCH(DATE(RIGHT($B$5,4),MID($B$5,4,2),LEFT($B$5,2))-42,Data!$I$1:$ER$1,0)),0)</f>
        <v>920.44347826087005</v>
      </c>
      <c r="N139" s="31" cm="1">
        <f t="array" ref="N139">IFERROR(INDEX(Data!$I$3:$ER$553,MATCH($C139,Data!$C$3:$C$553,0),MATCH(DATE(RIGHT($B$5,4),MID($B$5,4,2),LEFT($B$5,2))-42,Data!$I$1:$ER$1,0)+1),0)</f>
        <v>8.8219999999999992</v>
      </c>
      <c r="O139" s="30">
        <f>IFERROR(INDEX(Data!$I$3:$ER$553,MATCH($C139,Data!$C$3:$C$553,0),MATCH($M$5,Data!$I$1:$ER$1,0)),0)</f>
        <v>0</v>
      </c>
      <c r="P139" s="31" cm="1">
        <f t="array" ref="P139">IFERROR(INDEX(Data!$I$3:$ER$553,MATCH($C139,Data!$C$3:$C$553,0),MATCH($M$5,Data!$I$1:$ER$1,0)+1),0)</f>
        <v>0</v>
      </c>
      <c r="Q139" s="49" t="str">
        <f>IF(R139="","",IF(H139=0,0,R139*(G139/H139)))</f>
        <v/>
      </c>
      <c r="R139" s="50"/>
    </row>
    <row r="140" spans="1:18" x14ac:dyDescent="0.35">
      <c r="A140" s="32">
        <v>216</v>
      </c>
      <c r="B140" s="32" t="s">
        <v>544</v>
      </c>
      <c r="C140" s="32">
        <v>39216</v>
      </c>
      <c r="D140" s="32" t="s">
        <v>392</v>
      </c>
      <c r="E140" s="33">
        <v>9665.4086956521751</v>
      </c>
      <c r="F140" s="34">
        <v>111.16199999999998</v>
      </c>
      <c r="G140" s="33">
        <f>SUMIF(Data!$C:$C,C140,Data!$DI:$DI)+SUMIF(Data!$C:$C,C140,Data!$DK:$DK)+SUMIF(Data!$C:$C,C140,Data!$DM:$DM)+SUMIF(Data!$C:$C,C140,Data!$DO:$DO)+SUMIF(Data!$C:$C,C140,Data!$DQ:$DQ)+SUMIF(Data!$C:$C,C140,Data!$DS:$DS)+SUMIF(Data!$C:$C,C140,Data!$DU:$DU)+SUMIF(Data!$C:$C,C140,Data!$DW:$DW)+SUMIF(Data!$C:$C,C140,Data!$DY:$DY)+SUMIF(Data!$C:$C,C140,Data!$EA:$EA)+SUMIF(Data!$C:$C,C140,Data!$EC:$EC)+SUMIF(Data!$C:$C,C140,Data!$EE:$EE)+SUMIF(Data!$C:$C,C140,Data!$EG:$EG)+SUMIF(Data!$C:$C,C140,Data!$EI:$EI)+SUMIF(Data!$C:$C,C140,Data!$EK:$EK)+SUMIF(Data!$C:$C,C140,Data!$EM:$EM)+SUMIF(Data!$C:$C,C140,Data!$EO:$EO)+SUMIF(Data!$C:$C,C140,Data!$EQ:$EQ)+SUMIF(Data!$C:$C,C140,Data!$ES:$ES)</f>
        <v>18782.573913043467</v>
      </c>
      <c r="H140" s="34">
        <f>SUMIF(Data!$C:$C,C140,Data!$DJ:$DJ)+SUMIF(Data!$C:$C,C140,Data!$DL:$DL)+SUMIF(Data!$C:$C,C140,Data!$DN:$DN)+SUMIF(Data!$C:$C,C140,Data!$DP:$DP)+SUMIF(Data!$C:$C,C140,Data!$DR:$DR)+SUMIF(Data!$C:$C,C140,Data!$DT:$DT)+SUMIF(Data!$C:$C,C140,Data!$DV:$DV)+SUMIF(Data!$C:$C,C140,Data!$DX:$DX)+SUMIF(Data!$C:$C,C140,Data!$DZ:$DZ)+SUMIF(Data!$C:$C,C140,Data!$EB:$EB)+SUMIF(Data!$C:$C,C140,Data!$ED:$ED)+SUMIF(Data!$C:$C,C140,Data!$EF:$EF)+SUMIF(Data!$C:$C,C140,Data!$EH:$EH)+SUMIF(Data!$C:$C,C140,Data!$EJ:$EJ)+SUMIF(Data!$C:$C,C140,Data!$EL:$EL)+SUMIF(Data!$C:$C,C140,Data!$EN:$EN)+SUMIF(Data!$C:$C,C140,Data!$EP:$EP)+SUMIF(Data!$C:$C,C140,Data!$ER:$ER)+SUMIF(Data!$C:$C,C140,Data!$ET:$ET)</f>
        <v>201.72899999999998</v>
      </c>
      <c r="I140" s="33">
        <f>G140/19</f>
        <v>988.55652173912983</v>
      </c>
      <c r="J140" s="34">
        <f>H140/19</f>
        <v>10.617315789473684</v>
      </c>
      <c r="K140" s="33">
        <f>IFERROR(INDEX(Data!$ES:$ES,MATCH(C140,Data!$C:$C,0)),0)</f>
        <v>578.93913043478301</v>
      </c>
      <c r="L140" s="34">
        <f>IFERROR(INDEX(Data!$ET:$ET,MATCH(C140,Data!$C:$C,0)),0)</f>
        <v>5.1219999999999999</v>
      </c>
      <c r="M140" s="33">
        <f>IFERROR(INDEX(Data!$I$3:$ER$553,MATCH($C140,Data!$C$3:$C$553,0),MATCH(DATE(RIGHT($B$5,4),MID($B$5,4,2),LEFT($B$5,2))-42,Data!$I$1:$ER$1,0)),0)</f>
        <v>1262.53913043478</v>
      </c>
      <c r="N140" s="34" cm="1">
        <f t="array" ref="N140">IFERROR(INDEX(Data!$I$3:$ER$553,MATCH($C140,Data!$C$3:$C$553,0),MATCH(DATE(RIGHT($B$5,4),MID($B$5,4,2),LEFT($B$5,2))-42,Data!$I$1:$ER$1,0)+1),0)</f>
        <v>11.17</v>
      </c>
      <c r="O140" s="33">
        <f>IFERROR(INDEX(Data!$I$3:$ER$553,MATCH($C140,Data!$C$3:$C$553,0),MATCH($M$5,Data!$I$1:$ER$1,0)),0)</f>
        <v>0</v>
      </c>
      <c r="P140" s="34" cm="1">
        <f t="array" ref="P140">IFERROR(INDEX(Data!$I$3:$ER$553,MATCH($C140,Data!$C$3:$C$553,0),MATCH($M$5,Data!$I$1:$ER$1,0)+1),0)</f>
        <v>0</v>
      </c>
      <c r="Q140" s="49" t="str">
        <f>IF(R140="","",IF(H140=0,0,R140*(G140/H140)))</f>
        <v/>
      </c>
      <c r="R140" s="50"/>
    </row>
    <row r="141" spans="1:18" x14ac:dyDescent="0.35">
      <c r="A141" s="29">
        <v>216</v>
      </c>
      <c r="B141" s="29" t="s">
        <v>544</v>
      </c>
      <c r="C141" s="29">
        <v>32043</v>
      </c>
      <c r="D141" s="29" t="s">
        <v>375</v>
      </c>
      <c r="E141" s="30">
        <v>2901.47826086957</v>
      </c>
      <c r="F141" s="31">
        <v>30.611999999999998</v>
      </c>
      <c r="G141" s="30">
        <f>SUMIF(Data!$C:$C,C141,Data!$DI:$DI)+SUMIF(Data!$C:$C,C141,Data!$DK:$DK)+SUMIF(Data!$C:$C,C141,Data!$DM:$DM)+SUMIF(Data!$C:$C,C141,Data!$DO:$DO)+SUMIF(Data!$C:$C,C141,Data!$DQ:$DQ)+SUMIF(Data!$C:$C,C141,Data!$DS:$DS)+SUMIF(Data!$C:$C,C141,Data!$DU:$DU)+SUMIF(Data!$C:$C,C141,Data!$DW:$DW)+SUMIF(Data!$C:$C,C141,Data!$DY:$DY)+SUMIF(Data!$C:$C,C141,Data!$EA:$EA)+SUMIF(Data!$C:$C,C141,Data!$EC:$EC)+SUMIF(Data!$C:$C,C141,Data!$EE:$EE)+SUMIF(Data!$C:$C,C141,Data!$EG:$EG)+SUMIF(Data!$C:$C,C141,Data!$EI:$EI)+SUMIF(Data!$C:$C,C141,Data!$EK:$EK)+SUMIF(Data!$C:$C,C141,Data!$EM:$EM)+SUMIF(Data!$C:$C,C141,Data!$EO:$EO)+SUMIF(Data!$C:$C,C141,Data!$EQ:$EQ)+SUMIF(Data!$C:$C,C141,Data!$ES:$ES)</f>
        <v>19053.799999999992</v>
      </c>
      <c r="H141" s="31">
        <f>SUMIF(Data!$C:$C,C141,Data!$DJ:$DJ)+SUMIF(Data!$C:$C,C141,Data!$DL:$DL)+SUMIF(Data!$C:$C,C141,Data!$DN:$DN)+SUMIF(Data!$C:$C,C141,Data!$DP:$DP)+SUMIF(Data!$C:$C,C141,Data!$DR:$DR)+SUMIF(Data!$C:$C,C141,Data!$DT:$DT)+SUMIF(Data!$C:$C,C141,Data!$DV:$DV)+SUMIF(Data!$C:$C,C141,Data!$DX:$DX)+SUMIF(Data!$C:$C,C141,Data!$DZ:$DZ)+SUMIF(Data!$C:$C,C141,Data!$EB:$EB)+SUMIF(Data!$C:$C,C141,Data!$ED:$ED)+SUMIF(Data!$C:$C,C141,Data!$EF:$EF)+SUMIF(Data!$C:$C,C141,Data!$EH:$EH)+SUMIF(Data!$C:$C,C141,Data!$EJ:$EJ)+SUMIF(Data!$C:$C,C141,Data!$EL:$EL)+SUMIF(Data!$C:$C,C141,Data!$EN:$EN)+SUMIF(Data!$C:$C,C141,Data!$EP:$EP)+SUMIF(Data!$C:$C,C141,Data!$ER:$ER)+SUMIF(Data!$C:$C,C141,Data!$ET:$ET)</f>
        <v>164.97700000000003</v>
      </c>
      <c r="I141" s="30">
        <f>G141/19</f>
        <v>1002.831578947368</v>
      </c>
      <c r="J141" s="31">
        <f>H141/19</f>
        <v>8.6830000000000016</v>
      </c>
      <c r="K141" s="30">
        <f>IFERROR(INDEX(Data!$ES:$ES,MATCH(C141,Data!$C:$C,0)),0)</f>
        <v>2008.1043478260899</v>
      </c>
      <c r="L141" s="31">
        <f>IFERROR(INDEX(Data!$ET:$ET,MATCH(C141,Data!$C:$C,0)),0)</f>
        <v>17.763999999999999</v>
      </c>
      <c r="M141" s="30">
        <f>IFERROR(INDEX(Data!$I$3:$ER$553,MATCH($C141,Data!$C$3:$C$553,0),MATCH(DATE(RIGHT($B$5,4),MID($B$5,4,2),LEFT($B$5,2))-42,Data!$I$1:$ER$1,0)),0)</f>
        <v>1108.73043478261</v>
      </c>
      <c r="N141" s="31" cm="1">
        <f t="array" ref="N141">IFERROR(INDEX(Data!$I$3:$ER$553,MATCH($C141,Data!$C$3:$C$553,0),MATCH(DATE(RIGHT($B$5,4),MID($B$5,4,2),LEFT($B$5,2))-42,Data!$I$1:$ER$1,0)+1),0)</f>
        <v>9.8079999999999998</v>
      </c>
      <c r="O141" s="30">
        <f>IFERROR(INDEX(Data!$I$3:$ER$553,MATCH($C141,Data!$C$3:$C$553,0),MATCH($M$5,Data!$I$1:$ER$1,0)),0)</f>
        <v>0</v>
      </c>
      <c r="P141" s="31" cm="1">
        <f t="array" ref="P141">IFERROR(INDEX(Data!$I$3:$ER$553,MATCH($C141,Data!$C$3:$C$553,0),MATCH($M$5,Data!$I$1:$ER$1,0)+1),0)</f>
        <v>0</v>
      </c>
      <c r="Q141" s="49" t="str">
        <f>IF(R141="","",IF(H141=0,0,R141*(G141/H141)))</f>
        <v/>
      </c>
      <c r="R141" s="50"/>
    </row>
    <row r="142" spans="1:18" x14ac:dyDescent="0.35">
      <c r="A142" s="32">
        <v>216</v>
      </c>
      <c r="B142" s="32" t="s">
        <v>544</v>
      </c>
      <c r="C142" s="32">
        <v>45416</v>
      </c>
      <c r="D142" s="32" t="s">
        <v>408</v>
      </c>
      <c r="E142" s="33">
        <v>18254.130434782601</v>
      </c>
      <c r="F142" s="34">
        <v>199.01400000000001</v>
      </c>
      <c r="G142" s="33">
        <f>SUMIF(Data!$C:$C,C142,Data!$DI:$DI)+SUMIF(Data!$C:$C,C142,Data!$DK:$DK)+SUMIF(Data!$C:$C,C142,Data!$DM:$DM)+SUMIF(Data!$C:$C,C142,Data!$DO:$DO)+SUMIF(Data!$C:$C,C142,Data!$DQ:$DQ)+SUMIF(Data!$C:$C,C142,Data!$DS:$DS)+SUMIF(Data!$C:$C,C142,Data!$DU:$DU)+SUMIF(Data!$C:$C,C142,Data!$DW:$DW)+SUMIF(Data!$C:$C,C142,Data!$DY:$DY)+SUMIF(Data!$C:$C,C142,Data!$EA:$EA)+SUMIF(Data!$C:$C,C142,Data!$EC:$EC)+SUMIF(Data!$C:$C,C142,Data!$EE:$EE)+SUMIF(Data!$C:$C,C142,Data!$EG:$EG)+SUMIF(Data!$C:$C,C142,Data!$EI:$EI)+SUMIF(Data!$C:$C,C142,Data!$EK:$EK)+SUMIF(Data!$C:$C,C142,Data!$EM:$EM)+SUMIF(Data!$C:$C,C142,Data!$EO:$EO)+SUMIF(Data!$C:$C,C142,Data!$EQ:$EQ)+SUMIF(Data!$C:$C,C142,Data!$ES:$ES)</f>
        <v>16054.313043478262</v>
      </c>
      <c r="H142" s="34">
        <f>SUMIF(Data!$C:$C,C142,Data!$DJ:$DJ)+SUMIF(Data!$C:$C,C142,Data!$DL:$DL)+SUMIF(Data!$C:$C,C142,Data!$DN:$DN)+SUMIF(Data!$C:$C,C142,Data!$DP:$DP)+SUMIF(Data!$C:$C,C142,Data!$DR:$DR)+SUMIF(Data!$C:$C,C142,Data!$DT:$DT)+SUMIF(Data!$C:$C,C142,Data!$DV:$DV)+SUMIF(Data!$C:$C,C142,Data!$DX:$DX)+SUMIF(Data!$C:$C,C142,Data!$DZ:$DZ)+SUMIF(Data!$C:$C,C142,Data!$EB:$EB)+SUMIF(Data!$C:$C,C142,Data!$ED:$ED)+SUMIF(Data!$C:$C,C142,Data!$EF:$EF)+SUMIF(Data!$C:$C,C142,Data!$EH:$EH)+SUMIF(Data!$C:$C,C142,Data!$EJ:$EJ)+SUMIF(Data!$C:$C,C142,Data!$EL:$EL)+SUMIF(Data!$C:$C,C142,Data!$EN:$EN)+SUMIF(Data!$C:$C,C142,Data!$EP:$EP)+SUMIF(Data!$C:$C,C142,Data!$ER:$ER)+SUMIF(Data!$C:$C,C142,Data!$ET:$ET)</f>
        <v>159.70099999999999</v>
      </c>
      <c r="I142" s="33">
        <f>G142/19</f>
        <v>844.96384439359269</v>
      </c>
      <c r="J142" s="34">
        <f>H142/19</f>
        <v>8.4053157894736845</v>
      </c>
      <c r="K142" s="33">
        <f>IFERROR(INDEX(Data!$ES:$ES,MATCH(C142,Data!$C:$C,0)),0)</f>
        <v>531.52173913043498</v>
      </c>
      <c r="L142" s="34">
        <f>IFERROR(INDEX(Data!$ET:$ET,MATCH(C142,Data!$C:$C,0)),0)</f>
        <v>5.27</v>
      </c>
      <c r="M142" s="33">
        <f>IFERROR(INDEX(Data!$I$3:$ER$553,MATCH($C142,Data!$C$3:$C$553,0),MATCH(DATE(RIGHT($B$5,4),MID($B$5,4,2),LEFT($B$5,2))-42,Data!$I$1:$ER$1,0)),0)</f>
        <v>1179.0695652173899</v>
      </c>
      <c r="N142" s="34" cm="1">
        <f t="array" ref="N142">IFERROR(INDEX(Data!$I$3:$ER$553,MATCH($C142,Data!$C$3:$C$553,0),MATCH(DATE(RIGHT($B$5,4),MID($B$5,4,2),LEFT($B$5,2))-42,Data!$I$1:$ER$1,0)+1),0)</f>
        <v>11.69</v>
      </c>
      <c r="O142" s="33">
        <f>IFERROR(INDEX(Data!$I$3:$ER$553,MATCH($C142,Data!$C$3:$C$553,0),MATCH($M$5,Data!$I$1:$ER$1,0)),0)</f>
        <v>724.37391304347796</v>
      </c>
      <c r="P142" s="34" cm="1">
        <f t="array" ref="P142">IFERROR(INDEX(Data!$I$3:$ER$553,MATCH($C142,Data!$C$3:$C$553,0),MATCH($M$5,Data!$I$1:$ER$1,0)+1),0)</f>
        <v>9.2560000000000002</v>
      </c>
      <c r="Q142" s="49" t="str">
        <f>IF(R142="","",IF(H142=0,0,R142*(G142/H142)))</f>
        <v/>
      </c>
      <c r="R142" s="50"/>
    </row>
    <row r="143" spans="1:18" x14ac:dyDescent="0.35">
      <c r="A143" s="29">
        <v>216</v>
      </c>
      <c r="B143" s="29" t="s">
        <v>544</v>
      </c>
      <c r="C143" s="29">
        <v>47251</v>
      </c>
      <c r="D143" s="29" t="s">
        <v>414</v>
      </c>
      <c r="E143" s="30">
        <v>16495.45217391304</v>
      </c>
      <c r="F143" s="31">
        <v>196.70200000000003</v>
      </c>
      <c r="G143" s="30">
        <f>SUMIF(Data!$C:$C,C143,Data!$DI:$DI)+SUMIF(Data!$C:$C,C143,Data!$DK:$DK)+SUMIF(Data!$C:$C,C143,Data!$DM:$DM)+SUMIF(Data!$C:$C,C143,Data!$DO:$DO)+SUMIF(Data!$C:$C,C143,Data!$DQ:$DQ)+SUMIF(Data!$C:$C,C143,Data!$DS:$DS)+SUMIF(Data!$C:$C,C143,Data!$DU:$DU)+SUMIF(Data!$C:$C,C143,Data!$DW:$DW)+SUMIF(Data!$C:$C,C143,Data!$DY:$DY)+SUMIF(Data!$C:$C,C143,Data!$EA:$EA)+SUMIF(Data!$C:$C,C143,Data!$EC:$EC)+SUMIF(Data!$C:$C,C143,Data!$EE:$EE)+SUMIF(Data!$C:$C,C143,Data!$EG:$EG)+SUMIF(Data!$C:$C,C143,Data!$EI:$EI)+SUMIF(Data!$C:$C,C143,Data!$EK:$EK)+SUMIF(Data!$C:$C,C143,Data!$EM:$EM)+SUMIF(Data!$C:$C,C143,Data!$EO:$EO)+SUMIF(Data!$C:$C,C143,Data!$EQ:$EQ)+SUMIF(Data!$C:$C,C143,Data!$ES:$ES)</f>
        <v>13993.721739130426</v>
      </c>
      <c r="H143" s="31">
        <f>SUMIF(Data!$C:$C,C143,Data!$DJ:$DJ)+SUMIF(Data!$C:$C,C143,Data!$DL:$DL)+SUMIF(Data!$C:$C,C143,Data!$DN:$DN)+SUMIF(Data!$C:$C,C143,Data!$DP:$DP)+SUMIF(Data!$C:$C,C143,Data!$DR:$DR)+SUMIF(Data!$C:$C,C143,Data!$DT:$DT)+SUMIF(Data!$C:$C,C143,Data!$DV:$DV)+SUMIF(Data!$C:$C,C143,Data!$DX:$DX)+SUMIF(Data!$C:$C,C143,Data!$DZ:$DZ)+SUMIF(Data!$C:$C,C143,Data!$EB:$EB)+SUMIF(Data!$C:$C,C143,Data!$ED:$ED)+SUMIF(Data!$C:$C,C143,Data!$EF:$EF)+SUMIF(Data!$C:$C,C143,Data!$EH:$EH)+SUMIF(Data!$C:$C,C143,Data!$EJ:$EJ)+SUMIF(Data!$C:$C,C143,Data!$EL:$EL)+SUMIF(Data!$C:$C,C143,Data!$EN:$EN)+SUMIF(Data!$C:$C,C143,Data!$EP:$EP)+SUMIF(Data!$C:$C,C143,Data!$ER:$ER)+SUMIF(Data!$C:$C,C143,Data!$ET:$ET)</f>
        <v>149.67400000000001</v>
      </c>
      <c r="I143" s="30">
        <f>G143/19</f>
        <v>736.51167048054867</v>
      </c>
      <c r="J143" s="31">
        <f>H143/19</f>
        <v>7.8775789473684217</v>
      </c>
      <c r="K143" s="30">
        <f>IFERROR(INDEX(Data!$ES:$ES,MATCH(C143,Data!$C:$C,0)),0)</f>
        <v>198.35652173912999</v>
      </c>
      <c r="L143" s="31">
        <f>IFERROR(INDEX(Data!$ET:$ET,MATCH(C143,Data!$C:$C,0)),0)</f>
        <v>2.0739999999999998</v>
      </c>
      <c r="M143" s="30">
        <f>IFERROR(INDEX(Data!$I$3:$ER$553,MATCH($C143,Data!$C$3:$C$553,0),MATCH(DATE(RIGHT($B$5,4),MID($B$5,4,2),LEFT($B$5,2))-42,Data!$I$1:$ER$1,0)),0)</f>
        <v>635.43478260869597</v>
      </c>
      <c r="N143" s="31" cm="1">
        <f t="array" ref="N143">IFERROR(INDEX(Data!$I$3:$ER$553,MATCH($C143,Data!$C$3:$C$553,0),MATCH(DATE(RIGHT($B$5,4),MID($B$5,4,2),LEFT($B$5,2))-42,Data!$I$1:$ER$1,0)+1),0)</f>
        <v>6.6440000000000001</v>
      </c>
      <c r="O143" s="30">
        <f>IFERROR(INDEX(Data!$I$3:$ER$553,MATCH($C143,Data!$C$3:$C$553,0),MATCH($M$5,Data!$I$1:$ER$1,0)),0)</f>
        <v>605.94782608695698</v>
      </c>
      <c r="P143" s="31" cm="1">
        <f t="array" ref="P143">IFERROR(INDEX(Data!$I$3:$ER$553,MATCH($C143,Data!$C$3:$C$553,0),MATCH($M$5,Data!$I$1:$ER$1,0)+1),0)</f>
        <v>8.7119999999999997</v>
      </c>
      <c r="Q143" s="49" t="str">
        <f>IF(R143="","",IF(H143=0,0,R143*(G143/H143)))</f>
        <v/>
      </c>
      <c r="R143" s="50"/>
    </row>
    <row r="144" spans="1:18" x14ac:dyDescent="0.35">
      <c r="A144" s="32">
        <v>216</v>
      </c>
      <c r="B144" s="32" t="s">
        <v>544</v>
      </c>
      <c r="C144" s="32">
        <v>46386</v>
      </c>
      <c r="D144" s="32" t="s">
        <v>412</v>
      </c>
      <c r="E144" s="33">
        <v>12542.617391304337</v>
      </c>
      <c r="F144" s="34">
        <v>144.261</v>
      </c>
      <c r="G144" s="33">
        <f>SUMIF(Data!$C:$C,C144,Data!$DI:$DI)+SUMIF(Data!$C:$C,C144,Data!$DK:$DK)+SUMIF(Data!$C:$C,C144,Data!$DM:$DM)+SUMIF(Data!$C:$C,C144,Data!$DO:$DO)+SUMIF(Data!$C:$C,C144,Data!$DQ:$DQ)+SUMIF(Data!$C:$C,C144,Data!$DS:$DS)+SUMIF(Data!$C:$C,C144,Data!$DU:$DU)+SUMIF(Data!$C:$C,C144,Data!$DW:$DW)+SUMIF(Data!$C:$C,C144,Data!$DY:$DY)+SUMIF(Data!$C:$C,C144,Data!$EA:$EA)+SUMIF(Data!$C:$C,C144,Data!$EC:$EC)+SUMIF(Data!$C:$C,C144,Data!$EE:$EE)+SUMIF(Data!$C:$C,C144,Data!$EG:$EG)+SUMIF(Data!$C:$C,C144,Data!$EI:$EI)+SUMIF(Data!$C:$C,C144,Data!$EK:$EK)+SUMIF(Data!$C:$C,C144,Data!$EM:$EM)+SUMIF(Data!$C:$C,C144,Data!$EO:$EO)+SUMIF(Data!$C:$C,C144,Data!$EQ:$EQ)+SUMIF(Data!$C:$C,C144,Data!$ES:$ES)</f>
        <v>11892.739130434789</v>
      </c>
      <c r="H144" s="34">
        <f>SUMIF(Data!$C:$C,C144,Data!$DJ:$DJ)+SUMIF(Data!$C:$C,C144,Data!$DL:$DL)+SUMIF(Data!$C:$C,C144,Data!$DN:$DN)+SUMIF(Data!$C:$C,C144,Data!$DP:$DP)+SUMIF(Data!$C:$C,C144,Data!$DR:$DR)+SUMIF(Data!$C:$C,C144,Data!$DT:$DT)+SUMIF(Data!$C:$C,C144,Data!$DV:$DV)+SUMIF(Data!$C:$C,C144,Data!$DX:$DX)+SUMIF(Data!$C:$C,C144,Data!$DZ:$DZ)+SUMIF(Data!$C:$C,C144,Data!$EB:$EB)+SUMIF(Data!$C:$C,C144,Data!$ED:$ED)+SUMIF(Data!$C:$C,C144,Data!$EF:$EF)+SUMIF(Data!$C:$C,C144,Data!$EH:$EH)+SUMIF(Data!$C:$C,C144,Data!$EJ:$EJ)+SUMIF(Data!$C:$C,C144,Data!$EL:$EL)+SUMIF(Data!$C:$C,C144,Data!$EN:$EN)+SUMIF(Data!$C:$C,C144,Data!$EP:$EP)+SUMIF(Data!$C:$C,C144,Data!$ER:$ER)+SUMIF(Data!$C:$C,C144,Data!$ET:$ET)</f>
        <v>105.212</v>
      </c>
      <c r="I144" s="33">
        <f>G144/19</f>
        <v>625.93363844393627</v>
      </c>
      <c r="J144" s="34">
        <f>H144/19</f>
        <v>5.5374736842105268</v>
      </c>
      <c r="K144" s="33">
        <f>IFERROR(INDEX(Data!$ES:$ES,MATCH(C144,Data!$C:$C,0)),0)</f>
        <v>112.35652173913</v>
      </c>
      <c r="L144" s="34">
        <f>IFERROR(INDEX(Data!$ET:$ET,MATCH(C144,Data!$C:$C,0)),0)</f>
        <v>0.99399999999999999</v>
      </c>
      <c r="M144" s="33">
        <f>IFERROR(INDEX(Data!$I$3:$ER$553,MATCH($C144,Data!$C$3:$C$553,0),MATCH(DATE(RIGHT($B$5,4),MID($B$5,4,2),LEFT($B$5,2))-42,Data!$I$1:$ER$1,0)),0)</f>
        <v>443.75652173912999</v>
      </c>
      <c r="N144" s="34" cm="1">
        <f t="array" ref="N144">IFERROR(INDEX(Data!$I$3:$ER$553,MATCH($C144,Data!$C$3:$C$553,0),MATCH(DATE(RIGHT($B$5,4),MID($B$5,4,2),LEFT($B$5,2))-42,Data!$I$1:$ER$1,0)+1),0)</f>
        <v>3.9260000000000002</v>
      </c>
      <c r="O144" s="33">
        <f>IFERROR(INDEX(Data!$I$3:$ER$553,MATCH($C144,Data!$C$3:$C$553,0),MATCH($M$5,Data!$I$1:$ER$1,0)),0)</f>
        <v>0</v>
      </c>
      <c r="P144" s="34" cm="1">
        <f t="array" ref="P144">IFERROR(INDEX(Data!$I$3:$ER$553,MATCH($C144,Data!$C$3:$C$553,0),MATCH($M$5,Data!$I$1:$ER$1,0)+1),0)</f>
        <v>0</v>
      </c>
      <c r="Q144" s="49" t="str">
        <f>IF(R144="","",IF(H144=0,0,R144*(G144/H144)))</f>
        <v/>
      </c>
      <c r="R144" s="50"/>
    </row>
    <row r="145" spans="1:18" x14ac:dyDescent="0.35">
      <c r="A145" s="29">
        <v>216</v>
      </c>
      <c r="B145" s="29" t="s">
        <v>544</v>
      </c>
      <c r="C145" s="29">
        <v>63735</v>
      </c>
      <c r="D145" s="29" t="s">
        <v>457</v>
      </c>
      <c r="E145" s="30">
        <v>0</v>
      </c>
      <c r="F145" s="31">
        <v>0</v>
      </c>
      <c r="G145" s="30">
        <f>SUMIF(Data!$C:$C,C145,Data!$DI:$DI)+SUMIF(Data!$C:$C,C145,Data!$DK:$DK)+SUMIF(Data!$C:$C,C145,Data!$DM:$DM)+SUMIF(Data!$C:$C,C145,Data!$DO:$DO)+SUMIF(Data!$C:$C,C145,Data!$DQ:$DQ)+SUMIF(Data!$C:$C,C145,Data!$DS:$DS)+SUMIF(Data!$C:$C,C145,Data!$DU:$DU)+SUMIF(Data!$C:$C,C145,Data!$DW:$DW)+SUMIF(Data!$C:$C,C145,Data!$DY:$DY)+SUMIF(Data!$C:$C,C145,Data!$EA:$EA)+SUMIF(Data!$C:$C,C145,Data!$EC:$EC)+SUMIF(Data!$C:$C,C145,Data!$EE:$EE)+SUMIF(Data!$C:$C,C145,Data!$EG:$EG)+SUMIF(Data!$C:$C,C145,Data!$EI:$EI)+SUMIF(Data!$C:$C,C145,Data!$EK:$EK)+SUMIF(Data!$C:$C,C145,Data!$EM:$EM)+SUMIF(Data!$C:$C,C145,Data!$EO:$EO)+SUMIF(Data!$C:$C,C145,Data!$EQ:$EQ)+SUMIF(Data!$C:$C,C145,Data!$ES:$ES)</f>
        <v>10443.4695652174</v>
      </c>
      <c r="H145" s="31">
        <f>SUMIF(Data!$C:$C,C145,Data!$DJ:$DJ)+SUMIF(Data!$C:$C,C145,Data!$DL:$DL)+SUMIF(Data!$C:$C,C145,Data!$DN:$DN)+SUMIF(Data!$C:$C,C145,Data!$DP:$DP)+SUMIF(Data!$C:$C,C145,Data!$DR:$DR)+SUMIF(Data!$C:$C,C145,Data!$DT:$DT)+SUMIF(Data!$C:$C,C145,Data!$DV:$DV)+SUMIF(Data!$C:$C,C145,Data!$DX:$DX)+SUMIF(Data!$C:$C,C145,Data!$DZ:$DZ)+SUMIF(Data!$C:$C,C145,Data!$EB:$EB)+SUMIF(Data!$C:$C,C145,Data!$ED:$ED)+SUMIF(Data!$C:$C,C145,Data!$EF:$EF)+SUMIF(Data!$C:$C,C145,Data!$EH:$EH)+SUMIF(Data!$C:$C,C145,Data!$EJ:$EJ)+SUMIF(Data!$C:$C,C145,Data!$EL:$EL)+SUMIF(Data!$C:$C,C145,Data!$EN:$EN)+SUMIF(Data!$C:$C,C145,Data!$EP:$EP)+SUMIF(Data!$C:$C,C145,Data!$ER:$ER)+SUMIF(Data!$C:$C,C145,Data!$ET:$ET)</f>
        <v>85.796000000000006</v>
      </c>
      <c r="I145" s="30">
        <f>G145/19</f>
        <v>549.65629290617892</v>
      </c>
      <c r="J145" s="31">
        <f>H145/19</f>
        <v>4.5155789473684216</v>
      </c>
      <c r="K145" s="30">
        <f>IFERROR(INDEX(Data!$ES:$ES,MATCH(C145,Data!$C:$C,0)),0)</f>
        <v>1868.73043478261</v>
      </c>
      <c r="L145" s="31">
        <f>IFERROR(INDEX(Data!$ET:$ET,MATCH(C145,Data!$C:$C,0)),0)</f>
        <v>15.352</v>
      </c>
      <c r="M145" s="30">
        <f>IFERROR(INDEX(Data!$I$3:$ER$553,MATCH($C145,Data!$C$3:$C$553,0),MATCH(DATE(RIGHT($B$5,4),MID($B$5,4,2),LEFT($B$5,2))-42,Data!$I$1:$ER$1,0)),0)</f>
        <v>0</v>
      </c>
      <c r="N145" s="31" cm="1">
        <f t="array" ref="N145">IFERROR(INDEX(Data!$I$3:$ER$553,MATCH($C145,Data!$C$3:$C$553,0),MATCH(DATE(RIGHT($B$5,4),MID($B$5,4,2),LEFT($B$5,2))-42,Data!$I$1:$ER$1,0)+1),0)</f>
        <v>0</v>
      </c>
      <c r="O145" s="30">
        <f>IFERROR(INDEX(Data!$I$3:$ER$553,MATCH($C145,Data!$C$3:$C$553,0),MATCH($M$5,Data!$I$1:$ER$1,0)),0)</f>
        <v>0</v>
      </c>
      <c r="P145" s="31" cm="1">
        <f t="array" ref="P145">IFERROR(INDEX(Data!$I$3:$ER$553,MATCH($C145,Data!$C$3:$C$553,0),MATCH($M$5,Data!$I$1:$ER$1,0)+1),0)</f>
        <v>0</v>
      </c>
      <c r="Q145" s="49" t="str">
        <f>IF(R145="","",IF(H145=0,0,R145*(G145/H145)))</f>
        <v/>
      </c>
      <c r="R145" s="50"/>
    </row>
    <row r="146" spans="1:18" x14ac:dyDescent="0.35">
      <c r="A146" s="32">
        <v>216</v>
      </c>
      <c r="B146" s="32" t="s">
        <v>544</v>
      </c>
      <c r="C146" s="32">
        <v>35003</v>
      </c>
      <c r="D146" s="32" t="s">
        <v>391</v>
      </c>
      <c r="E146" s="33">
        <v>6694.3130434782606</v>
      </c>
      <c r="F146" s="34">
        <v>154</v>
      </c>
      <c r="G146" s="33">
        <f>SUMIF(Data!$C:$C,C146,Data!$DI:$DI)+SUMIF(Data!$C:$C,C146,Data!$DK:$DK)+SUMIF(Data!$C:$C,C146,Data!$DM:$DM)+SUMIF(Data!$C:$C,C146,Data!$DO:$DO)+SUMIF(Data!$C:$C,C146,Data!$DQ:$DQ)+SUMIF(Data!$C:$C,C146,Data!$DS:$DS)+SUMIF(Data!$C:$C,C146,Data!$DU:$DU)+SUMIF(Data!$C:$C,C146,Data!$DW:$DW)+SUMIF(Data!$C:$C,C146,Data!$DY:$DY)+SUMIF(Data!$C:$C,C146,Data!$EA:$EA)+SUMIF(Data!$C:$C,C146,Data!$EC:$EC)+SUMIF(Data!$C:$C,C146,Data!$EE:$EE)+SUMIF(Data!$C:$C,C146,Data!$EG:$EG)+SUMIF(Data!$C:$C,C146,Data!$EI:$EI)+SUMIF(Data!$C:$C,C146,Data!$EK:$EK)+SUMIF(Data!$C:$C,C146,Data!$EM:$EM)+SUMIF(Data!$C:$C,C146,Data!$EO:$EO)+SUMIF(Data!$C:$C,C146,Data!$EQ:$EQ)+SUMIF(Data!$C:$C,C146,Data!$ES:$ES)</f>
        <v>8433.0956521739135</v>
      </c>
      <c r="H146" s="34">
        <f>SUMIF(Data!$C:$C,C146,Data!$DJ:$DJ)+SUMIF(Data!$C:$C,C146,Data!$DL:$DL)+SUMIF(Data!$C:$C,C146,Data!$DN:$DN)+SUMIF(Data!$C:$C,C146,Data!$DP:$DP)+SUMIF(Data!$C:$C,C146,Data!$DR:$DR)+SUMIF(Data!$C:$C,C146,Data!$DT:$DT)+SUMIF(Data!$C:$C,C146,Data!$DV:$DV)+SUMIF(Data!$C:$C,C146,Data!$DX:$DX)+SUMIF(Data!$C:$C,C146,Data!$DZ:$DZ)+SUMIF(Data!$C:$C,C146,Data!$EB:$EB)+SUMIF(Data!$C:$C,C146,Data!$ED:$ED)+SUMIF(Data!$C:$C,C146,Data!$EF:$EF)+SUMIF(Data!$C:$C,C146,Data!$EH:$EH)+SUMIF(Data!$C:$C,C146,Data!$EJ:$EJ)+SUMIF(Data!$C:$C,C146,Data!$EL:$EL)+SUMIF(Data!$C:$C,C146,Data!$EN:$EN)+SUMIF(Data!$C:$C,C146,Data!$EP:$EP)+SUMIF(Data!$C:$C,C146,Data!$ER:$ER)+SUMIF(Data!$C:$C,C146,Data!$ET:$ET)</f>
        <v>194</v>
      </c>
      <c r="I146" s="33">
        <f>G146/19</f>
        <v>443.84713958810073</v>
      </c>
      <c r="J146" s="34">
        <f>H146/19</f>
        <v>10.210526315789474</v>
      </c>
      <c r="K146" s="33">
        <f>IFERROR(INDEX(Data!$ES:$ES,MATCH(C146,Data!$C:$C,0)),0)</f>
        <v>434.695652173913</v>
      </c>
      <c r="L146" s="34">
        <f>IFERROR(INDEX(Data!$ET:$ET,MATCH(C146,Data!$C:$C,0)),0)</f>
        <v>10</v>
      </c>
      <c r="M146" s="33">
        <f>IFERROR(INDEX(Data!$I$3:$ER$553,MATCH($C146,Data!$C$3:$C$553,0),MATCH(DATE(RIGHT($B$5,4),MID($B$5,4,2),LEFT($B$5,2))-42,Data!$I$1:$ER$1,0)),0)</f>
        <v>434.695652173913</v>
      </c>
      <c r="N146" s="34" cm="1">
        <f t="array" ref="N146">IFERROR(INDEX(Data!$I$3:$ER$553,MATCH($C146,Data!$C$3:$C$553,0),MATCH(DATE(RIGHT($B$5,4),MID($B$5,4,2),LEFT($B$5,2))-42,Data!$I$1:$ER$1,0)+1),0)</f>
        <v>10</v>
      </c>
      <c r="O146" s="33">
        <f>IFERROR(INDEX(Data!$I$3:$ER$553,MATCH($C146,Data!$C$3:$C$553,0),MATCH($M$5,Data!$I$1:$ER$1,0)),0)</f>
        <v>695.51304347826101</v>
      </c>
      <c r="P146" s="34" cm="1">
        <f t="array" ref="P146">IFERROR(INDEX(Data!$I$3:$ER$553,MATCH($C146,Data!$C$3:$C$553,0),MATCH($M$5,Data!$I$1:$ER$1,0)+1),0)</f>
        <v>16</v>
      </c>
      <c r="Q146" s="49" t="str">
        <f>IF(R146="","",IF(H146=0,0,R146*(G146/H146)))</f>
        <v/>
      </c>
      <c r="R146" s="50"/>
    </row>
    <row r="147" spans="1:18" x14ac:dyDescent="0.35">
      <c r="A147" s="29">
        <v>216</v>
      </c>
      <c r="B147" s="29" t="s">
        <v>544</v>
      </c>
      <c r="C147" s="29">
        <v>47745</v>
      </c>
      <c r="D147" s="29" t="s">
        <v>416</v>
      </c>
      <c r="E147" s="30">
        <v>0</v>
      </c>
      <c r="F147" s="31">
        <v>0</v>
      </c>
      <c r="G147" s="30">
        <f>SUMIF(Data!$C:$C,C147,Data!$DI:$DI)+SUMIF(Data!$C:$C,C147,Data!$DK:$DK)+SUMIF(Data!$C:$C,C147,Data!$DM:$DM)+SUMIF(Data!$C:$C,C147,Data!$DO:$DO)+SUMIF(Data!$C:$C,C147,Data!$DQ:$DQ)+SUMIF(Data!$C:$C,C147,Data!$DS:$DS)+SUMIF(Data!$C:$C,C147,Data!$DU:$DU)+SUMIF(Data!$C:$C,C147,Data!$DW:$DW)+SUMIF(Data!$C:$C,C147,Data!$DY:$DY)+SUMIF(Data!$C:$C,C147,Data!$EA:$EA)+SUMIF(Data!$C:$C,C147,Data!$EC:$EC)+SUMIF(Data!$C:$C,C147,Data!$EE:$EE)+SUMIF(Data!$C:$C,C147,Data!$EG:$EG)+SUMIF(Data!$C:$C,C147,Data!$EI:$EI)+SUMIF(Data!$C:$C,C147,Data!$EK:$EK)+SUMIF(Data!$C:$C,C147,Data!$EM:$EM)+SUMIF(Data!$C:$C,C147,Data!$EO:$EO)+SUMIF(Data!$C:$C,C147,Data!$EQ:$EQ)+SUMIF(Data!$C:$C,C147,Data!$ES:$ES)</f>
        <v>7601.2434782608707</v>
      </c>
      <c r="H147" s="31">
        <f>SUMIF(Data!$C:$C,C147,Data!$DJ:$DJ)+SUMIF(Data!$C:$C,C147,Data!$DL:$DL)+SUMIF(Data!$C:$C,C147,Data!$DN:$DN)+SUMIF(Data!$C:$C,C147,Data!$DP:$DP)+SUMIF(Data!$C:$C,C147,Data!$DR:$DR)+SUMIF(Data!$C:$C,C147,Data!$DT:$DT)+SUMIF(Data!$C:$C,C147,Data!$DV:$DV)+SUMIF(Data!$C:$C,C147,Data!$DX:$DX)+SUMIF(Data!$C:$C,C147,Data!$DZ:$DZ)+SUMIF(Data!$C:$C,C147,Data!$EB:$EB)+SUMIF(Data!$C:$C,C147,Data!$ED:$ED)+SUMIF(Data!$C:$C,C147,Data!$EF:$EF)+SUMIF(Data!$C:$C,C147,Data!$EH:$EH)+SUMIF(Data!$C:$C,C147,Data!$EJ:$EJ)+SUMIF(Data!$C:$C,C147,Data!$EL:$EL)+SUMIF(Data!$C:$C,C147,Data!$EN:$EN)+SUMIF(Data!$C:$C,C147,Data!$EP:$EP)+SUMIF(Data!$C:$C,C147,Data!$ER:$ER)+SUMIF(Data!$C:$C,C147,Data!$ET:$ET)</f>
        <v>172.35400000000001</v>
      </c>
      <c r="I147" s="30">
        <f>G147/19</f>
        <v>400.06544622425633</v>
      </c>
      <c r="J147" s="31">
        <f>H147/19</f>
        <v>9.0712631578947374</v>
      </c>
      <c r="K147" s="30">
        <f>IFERROR(INDEX(Data!$ES:$ES,MATCH(C147,Data!$C:$C,0)),0)</f>
        <v>33.208695652173901</v>
      </c>
      <c r="L147" s="31">
        <f>IFERROR(INDEX(Data!$ET:$ET,MATCH(C147,Data!$C:$C,0)),0)</f>
        <v>0.76400000000000001</v>
      </c>
      <c r="M147" s="30">
        <f>IFERROR(INDEX(Data!$I$3:$ER$553,MATCH($C147,Data!$C$3:$C$553,0),MATCH(DATE(RIGHT($B$5,4),MID($B$5,4,2),LEFT($B$5,2))-42,Data!$I$1:$ER$1,0)),0)</f>
        <v>0</v>
      </c>
      <c r="N147" s="31" cm="1">
        <f t="array" ref="N147">IFERROR(INDEX(Data!$I$3:$ER$553,MATCH($C147,Data!$C$3:$C$553,0),MATCH(DATE(RIGHT($B$5,4),MID($B$5,4,2),LEFT($B$5,2))-42,Data!$I$1:$ER$1,0)+1),0)</f>
        <v>0</v>
      </c>
      <c r="O147" s="30">
        <f>IFERROR(INDEX(Data!$I$3:$ER$553,MATCH($C147,Data!$C$3:$C$553,0),MATCH($M$5,Data!$I$1:$ER$1,0)),0)</f>
        <v>0</v>
      </c>
      <c r="P147" s="31" cm="1">
        <f t="array" ref="P147">IFERROR(INDEX(Data!$I$3:$ER$553,MATCH($C147,Data!$C$3:$C$553,0),MATCH($M$5,Data!$I$1:$ER$1,0)+1),0)</f>
        <v>0</v>
      </c>
      <c r="Q147" s="49" t="str">
        <f>IF(R147="","",IF(H147=0,0,R147*(G147/H147)))</f>
        <v/>
      </c>
      <c r="R147" s="50"/>
    </row>
    <row r="148" spans="1:18" x14ac:dyDescent="0.35">
      <c r="A148" s="32">
        <v>216</v>
      </c>
      <c r="B148" s="32" t="s">
        <v>544</v>
      </c>
      <c r="C148" s="32">
        <v>47669</v>
      </c>
      <c r="D148" s="32" t="s">
        <v>415</v>
      </c>
      <c r="E148" s="33">
        <v>0</v>
      </c>
      <c r="F148" s="34">
        <v>0</v>
      </c>
      <c r="G148" s="33">
        <f>SUMIF(Data!$C:$C,C148,Data!$DI:$DI)+SUMIF(Data!$C:$C,C148,Data!$DK:$DK)+SUMIF(Data!$C:$C,C148,Data!$DM:$DM)+SUMIF(Data!$C:$C,C148,Data!$DO:$DO)+SUMIF(Data!$C:$C,C148,Data!$DQ:$DQ)+SUMIF(Data!$C:$C,C148,Data!$DS:$DS)+SUMIF(Data!$C:$C,C148,Data!$DU:$DU)+SUMIF(Data!$C:$C,C148,Data!$DW:$DW)+SUMIF(Data!$C:$C,C148,Data!$DY:$DY)+SUMIF(Data!$C:$C,C148,Data!$EA:$EA)+SUMIF(Data!$C:$C,C148,Data!$EC:$EC)+SUMIF(Data!$C:$C,C148,Data!$EE:$EE)+SUMIF(Data!$C:$C,C148,Data!$EG:$EG)+SUMIF(Data!$C:$C,C148,Data!$EI:$EI)+SUMIF(Data!$C:$C,C148,Data!$EK:$EK)+SUMIF(Data!$C:$C,C148,Data!$EM:$EM)+SUMIF(Data!$C:$C,C148,Data!$EO:$EO)+SUMIF(Data!$C:$C,C148,Data!$EQ:$EQ)+SUMIF(Data!$C:$C,C148,Data!$ES:$ES)</f>
        <v>6638.2956521739106</v>
      </c>
      <c r="H148" s="34">
        <f>SUMIF(Data!$C:$C,C148,Data!$DJ:$DJ)+SUMIF(Data!$C:$C,C148,Data!$DL:$DL)+SUMIF(Data!$C:$C,C148,Data!$DN:$DN)+SUMIF(Data!$C:$C,C148,Data!$DP:$DP)+SUMIF(Data!$C:$C,C148,Data!$DR:$DR)+SUMIF(Data!$C:$C,C148,Data!$DT:$DT)+SUMIF(Data!$C:$C,C148,Data!$DV:$DV)+SUMIF(Data!$C:$C,C148,Data!$DX:$DX)+SUMIF(Data!$C:$C,C148,Data!$DZ:$DZ)+SUMIF(Data!$C:$C,C148,Data!$EB:$EB)+SUMIF(Data!$C:$C,C148,Data!$ED:$ED)+SUMIF(Data!$C:$C,C148,Data!$EF:$EF)+SUMIF(Data!$C:$C,C148,Data!$EH:$EH)+SUMIF(Data!$C:$C,C148,Data!$EJ:$EJ)+SUMIF(Data!$C:$C,C148,Data!$EL:$EL)+SUMIF(Data!$C:$C,C148,Data!$EN:$EN)+SUMIF(Data!$C:$C,C148,Data!$EP:$EP)+SUMIF(Data!$C:$C,C148,Data!$ER:$ER)+SUMIF(Data!$C:$C,C148,Data!$ET:$ET)</f>
        <v>130.358</v>
      </c>
      <c r="I148" s="33">
        <f>G148/19</f>
        <v>349.38398169336369</v>
      </c>
      <c r="J148" s="34">
        <f>H148/19</f>
        <v>6.8609473684210531</v>
      </c>
      <c r="K148" s="33">
        <f>IFERROR(INDEX(Data!$ES:$ES,MATCH(C148,Data!$C:$C,0)),0)</f>
        <v>0</v>
      </c>
      <c r="L148" s="34">
        <f>IFERROR(INDEX(Data!$ET:$ET,MATCH(C148,Data!$C:$C,0)),0)</f>
        <v>0</v>
      </c>
      <c r="M148" s="33">
        <f>IFERROR(INDEX(Data!$I$3:$ER$553,MATCH($C148,Data!$C$3:$C$553,0),MATCH(DATE(RIGHT($B$5,4),MID($B$5,4,2),LEFT($B$5,2))-42,Data!$I$1:$ER$1,0)),0)</f>
        <v>0</v>
      </c>
      <c r="N148" s="34" cm="1">
        <f t="array" ref="N148">IFERROR(INDEX(Data!$I$3:$ER$553,MATCH($C148,Data!$C$3:$C$553,0),MATCH(DATE(RIGHT($B$5,4),MID($B$5,4,2),LEFT($B$5,2))-42,Data!$I$1:$ER$1,0)+1),0)</f>
        <v>0</v>
      </c>
      <c r="O148" s="33">
        <f>IFERROR(INDEX(Data!$I$3:$ER$553,MATCH($C148,Data!$C$3:$C$553,0),MATCH($M$5,Data!$I$1:$ER$1,0)),0)</f>
        <v>0</v>
      </c>
      <c r="P148" s="34" cm="1">
        <f t="array" ref="P148">IFERROR(INDEX(Data!$I$3:$ER$553,MATCH($C148,Data!$C$3:$C$553,0),MATCH($M$5,Data!$I$1:$ER$1,0)+1),0)</f>
        <v>0</v>
      </c>
      <c r="Q148" s="49" t="str">
        <f>IF(R148="","",IF(H148=0,0,R148*(G148/H148)))</f>
        <v/>
      </c>
      <c r="R148" s="50"/>
    </row>
    <row r="149" spans="1:18" x14ac:dyDescent="0.35">
      <c r="A149" s="29">
        <v>216</v>
      </c>
      <c r="B149" s="29" t="s">
        <v>544</v>
      </c>
      <c r="C149" s="29">
        <v>45832</v>
      </c>
      <c r="D149" s="29" t="s">
        <v>409</v>
      </c>
      <c r="E149" s="30">
        <v>21330.591304347832</v>
      </c>
      <c r="F149" s="31">
        <v>246.82200000000003</v>
      </c>
      <c r="G149" s="30">
        <f>SUMIF(Data!$C:$C,C149,Data!$DI:$DI)+SUMIF(Data!$C:$C,C149,Data!$DK:$DK)+SUMIF(Data!$C:$C,C149,Data!$DM:$DM)+SUMIF(Data!$C:$C,C149,Data!$DO:$DO)+SUMIF(Data!$C:$C,C149,Data!$DQ:$DQ)+SUMIF(Data!$C:$C,C149,Data!$DS:$DS)+SUMIF(Data!$C:$C,C149,Data!$DU:$DU)+SUMIF(Data!$C:$C,C149,Data!$DW:$DW)+SUMIF(Data!$C:$C,C149,Data!$DY:$DY)+SUMIF(Data!$C:$C,C149,Data!$EA:$EA)+SUMIF(Data!$C:$C,C149,Data!$EC:$EC)+SUMIF(Data!$C:$C,C149,Data!$EE:$EE)+SUMIF(Data!$C:$C,C149,Data!$EG:$EG)+SUMIF(Data!$C:$C,C149,Data!$EI:$EI)+SUMIF(Data!$C:$C,C149,Data!$EK:$EK)+SUMIF(Data!$C:$C,C149,Data!$EM:$EM)+SUMIF(Data!$C:$C,C149,Data!$EO:$EO)+SUMIF(Data!$C:$C,C149,Data!$EQ:$EQ)+SUMIF(Data!$C:$C,C149,Data!$ES:$ES)</f>
        <v>5562.5999999999985</v>
      </c>
      <c r="H149" s="31">
        <f>SUMIF(Data!$C:$C,C149,Data!$DJ:$DJ)+SUMIF(Data!$C:$C,C149,Data!$DL:$DL)+SUMIF(Data!$C:$C,C149,Data!$DN:$DN)+SUMIF(Data!$C:$C,C149,Data!$DP:$DP)+SUMIF(Data!$C:$C,C149,Data!$DR:$DR)+SUMIF(Data!$C:$C,C149,Data!$DT:$DT)+SUMIF(Data!$C:$C,C149,Data!$DV:$DV)+SUMIF(Data!$C:$C,C149,Data!$DX:$DX)+SUMIF(Data!$C:$C,C149,Data!$DZ:$DZ)+SUMIF(Data!$C:$C,C149,Data!$EB:$EB)+SUMIF(Data!$C:$C,C149,Data!$ED:$ED)+SUMIF(Data!$C:$C,C149,Data!$EF:$EF)+SUMIF(Data!$C:$C,C149,Data!$EH:$EH)+SUMIF(Data!$C:$C,C149,Data!$EJ:$EJ)+SUMIF(Data!$C:$C,C149,Data!$EL:$EL)+SUMIF(Data!$C:$C,C149,Data!$EN:$EN)+SUMIF(Data!$C:$C,C149,Data!$EP:$EP)+SUMIF(Data!$C:$C,C149,Data!$ER:$ER)+SUMIF(Data!$C:$C,C149,Data!$ET:$ET)</f>
        <v>51.753999999999998</v>
      </c>
      <c r="I149" s="30">
        <f>G149/19</f>
        <v>292.76842105263148</v>
      </c>
      <c r="J149" s="31">
        <f>H149/19</f>
        <v>2.7238947368421051</v>
      </c>
      <c r="K149" s="30">
        <f>IFERROR(INDEX(Data!$ES:$ES,MATCH(C149,Data!$C:$C,0)),0)</f>
        <v>0</v>
      </c>
      <c r="L149" s="31">
        <f>IFERROR(INDEX(Data!$ET:$ET,MATCH(C149,Data!$C:$C,0)),0)</f>
        <v>0</v>
      </c>
      <c r="M149" s="30">
        <f>IFERROR(INDEX(Data!$I$3:$ER$553,MATCH($C149,Data!$C$3:$C$553,0),MATCH(DATE(RIGHT($B$5,4),MID($B$5,4,2),LEFT($B$5,2))-42,Data!$I$1:$ER$1,0)),0)</f>
        <v>0</v>
      </c>
      <c r="N149" s="31" cm="1">
        <f t="array" ref="N149">IFERROR(INDEX(Data!$I$3:$ER$553,MATCH($C149,Data!$C$3:$C$553,0),MATCH(DATE(RIGHT($B$5,4),MID($B$5,4,2),LEFT($B$5,2))-42,Data!$I$1:$ER$1,0)+1),0)</f>
        <v>0</v>
      </c>
      <c r="O149" s="30">
        <f>IFERROR(INDEX(Data!$I$3:$ER$553,MATCH($C149,Data!$C$3:$C$553,0),MATCH($M$5,Data!$I$1:$ER$1,0)),0)</f>
        <v>1558.78260869565</v>
      </c>
      <c r="P149" s="31" cm="1">
        <f t="array" ref="P149">IFERROR(INDEX(Data!$I$3:$ER$553,MATCH($C149,Data!$C$3:$C$553,0),MATCH($M$5,Data!$I$1:$ER$1,0)+1),0)</f>
        <v>17.927</v>
      </c>
      <c r="Q149" s="49" t="str">
        <f>IF(R149="","",IF(H149=0,0,R149*(G149/H149)))</f>
        <v/>
      </c>
      <c r="R149" s="50"/>
    </row>
    <row r="150" spans="1:18" x14ac:dyDescent="0.35">
      <c r="A150" s="32">
        <v>216</v>
      </c>
      <c r="B150" s="32" t="s">
        <v>544</v>
      </c>
      <c r="C150" s="32">
        <v>62009</v>
      </c>
      <c r="D150" s="32" t="s">
        <v>443</v>
      </c>
      <c r="E150" s="33">
        <v>5794.6956521739148</v>
      </c>
      <c r="F150" s="34">
        <v>66.644000000000005</v>
      </c>
      <c r="G150" s="33">
        <f>SUMIF(Data!$C:$C,C150,Data!$DI:$DI)+SUMIF(Data!$C:$C,C150,Data!$DK:$DK)+SUMIF(Data!$C:$C,C150,Data!$DM:$DM)+SUMIF(Data!$C:$C,C150,Data!$DO:$DO)+SUMIF(Data!$C:$C,C150,Data!$DQ:$DQ)+SUMIF(Data!$C:$C,C150,Data!$DS:$DS)+SUMIF(Data!$C:$C,C150,Data!$DU:$DU)+SUMIF(Data!$C:$C,C150,Data!$DW:$DW)+SUMIF(Data!$C:$C,C150,Data!$DY:$DY)+SUMIF(Data!$C:$C,C150,Data!$EA:$EA)+SUMIF(Data!$C:$C,C150,Data!$EC:$EC)+SUMIF(Data!$C:$C,C150,Data!$EE:$EE)+SUMIF(Data!$C:$C,C150,Data!$EG:$EG)+SUMIF(Data!$C:$C,C150,Data!$EI:$EI)+SUMIF(Data!$C:$C,C150,Data!$EK:$EK)+SUMIF(Data!$C:$C,C150,Data!$EM:$EM)+SUMIF(Data!$C:$C,C150,Data!$EO:$EO)+SUMIF(Data!$C:$C,C150,Data!$EQ:$EQ)+SUMIF(Data!$C:$C,C150,Data!$ES:$ES)</f>
        <v>4659.8173913043456</v>
      </c>
      <c r="H150" s="34">
        <f>SUMIF(Data!$C:$C,C150,Data!$DJ:$DJ)+SUMIF(Data!$C:$C,C150,Data!$DL:$DL)+SUMIF(Data!$C:$C,C150,Data!$DN:$DN)+SUMIF(Data!$C:$C,C150,Data!$DP:$DP)+SUMIF(Data!$C:$C,C150,Data!$DR:$DR)+SUMIF(Data!$C:$C,C150,Data!$DT:$DT)+SUMIF(Data!$C:$C,C150,Data!$DV:$DV)+SUMIF(Data!$C:$C,C150,Data!$DX:$DX)+SUMIF(Data!$C:$C,C150,Data!$DZ:$DZ)+SUMIF(Data!$C:$C,C150,Data!$EB:$EB)+SUMIF(Data!$C:$C,C150,Data!$ED:$ED)+SUMIF(Data!$C:$C,C150,Data!$EF:$EF)+SUMIF(Data!$C:$C,C150,Data!$EH:$EH)+SUMIF(Data!$C:$C,C150,Data!$EJ:$EJ)+SUMIF(Data!$C:$C,C150,Data!$EL:$EL)+SUMIF(Data!$C:$C,C150,Data!$EN:$EN)+SUMIF(Data!$C:$C,C150,Data!$EP:$EP)+SUMIF(Data!$C:$C,C150,Data!$ER:$ER)+SUMIF(Data!$C:$C,C150,Data!$ET:$ET)</f>
        <v>38.172000000000004</v>
      </c>
      <c r="I150" s="33">
        <f>G150/19</f>
        <v>245.25354691075503</v>
      </c>
      <c r="J150" s="34">
        <f>H150/19</f>
        <v>2.0090526315789474</v>
      </c>
      <c r="K150" s="33">
        <f>IFERROR(INDEX(Data!$ES:$ES,MATCH(C150,Data!$C:$C,0)),0)</f>
        <v>0</v>
      </c>
      <c r="L150" s="34">
        <f>IFERROR(INDEX(Data!$ET:$ET,MATCH(C150,Data!$C:$C,0)),0)</f>
        <v>0</v>
      </c>
      <c r="M150" s="33">
        <f>IFERROR(INDEX(Data!$I$3:$ER$553,MATCH($C150,Data!$C$3:$C$553,0),MATCH(DATE(RIGHT($B$5,4),MID($B$5,4,2),LEFT($B$5,2))-42,Data!$I$1:$ER$1,0)),0)</f>
        <v>0</v>
      </c>
      <c r="N150" s="34" cm="1">
        <f t="array" ref="N150">IFERROR(INDEX(Data!$I$3:$ER$553,MATCH($C150,Data!$C$3:$C$553,0),MATCH(DATE(RIGHT($B$5,4),MID($B$5,4,2),LEFT($B$5,2))-42,Data!$I$1:$ER$1,0)+1),0)</f>
        <v>0</v>
      </c>
      <c r="O150" s="33">
        <f>IFERROR(INDEX(Data!$I$3:$ER$553,MATCH($C150,Data!$C$3:$C$553,0),MATCH($M$5,Data!$I$1:$ER$1,0)),0)</f>
        <v>1793.1304347826101</v>
      </c>
      <c r="P150" s="34" cm="1">
        <f t="array" ref="P150">IFERROR(INDEX(Data!$I$3:$ER$553,MATCH($C150,Data!$C$3:$C$553,0),MATCH($M$5,Data!$I$1:$ER$1,0)+1),0)</f>
        <v>18.603999999999999</v>
      </c>
      <c r="Q150" s="49" t="str">
        <f>IF(R150="","",IF(H150=0,0,R150*(G150/H150)))</f>
        <v/>
      </c>
      <c r="R150" s="50"/>
    </row>
    <row r="151" spans="1:18" x14ac:dyDescent="0.35">
      <c r="A151" s="29">
        <v>216</v>
      </c>
      <c r="B151" s="29" t="s">
        <v>544</v>
      </c>
      <c r="C151" s="29">
        <v>62607</v>
      </c>
      <c r="D151" s="29" t="s">
        <v>450</v>
      </c>
      <c r="E151" s="30">
        <v>0</v>
      </c>
      <c r="F151" s="31">
        <v>0</v>
      </c>
      <c r="G151" s="30">
        <f>SUMIF(Data!$C:$C,C151,Data!$DI:$DI)+SUMIF(Data!$C:$C,C151,Data!$DK:$DK)+SUMIF(Data!$C:$C,C151,Data!$DM:$DM)+SUMIF(Data!$C:$C,C151,Data!$DO:$DO)+SUMIF(Data!$C:$C,C151,Data!$DQ:$DQ)+SUMIF(Data!$C:$C,C151,Data!$DS:$DS)+SUMIF(Data!$C:$C,C151,Data!$DU:$DU)+SUMIF(Data!$C:$C,C151,Data!$DW:$DW)+SUMIF(Data!$C:$C,C151,Data!$DY:$DY)+SUMIF(Data!$C:$C,C151,Data!$EA:$EA)+SUMIF(Data!$C:$C,C151,Data!$EC:$EC)+SUMIF(Data!$C:$C,C151,Data!$EE:$EE)+SUMIF(Data!$C:$C,C151,Data!$EG:$EG)+SUMIF(Data!$C:$C,C151,Data!$EI:$EI)+SUMIF(Data!$C:$C,C151,Data!$EK:$EK)+SUMIF(Data!$C:$C,C151,Data!$EM:$EM)+SUMIF(Data!$C:$C,C151,Data!$EO:$EO)+SUMIF(Data!$C:$C,C151,Data!$EQ:$EQ)+SUMIF(Data!$C:$C,C151,Data!$ES:$ES)</f>
        <v>4380.3304347826097</v>
      </c>
      <c r="H151" s="31">
        <f>SUMIF(Data!$C:$C,C151,Data!$DJ:$DJ)+SUMIF(Data!$C:$C,C151,Data!$DL:$DL)+SUMIF(Data!$C:$C,C151,Data!$DN:$DN)+SUMIF(Data!$C:$C,C151,Data!$DP:$DP)+SUMIF(Data!$C:$C,C151,Data!$DR:$DR)+SUMIF(Data!$C:$C,C151,Data!$DT:$DT)+SUMIF(Data!$C:$C,C151,Data!$DV:$DV)+SUMIF(Data!$C:$C,C151,Data!$DX:$DX)+SUMIF(Data!$C:$C,C151,Data!$DZ:$DZ)+SUMIF(Data!$C:$C,C151,Data!$EB:$EB)+SUMIF(Data!$C:$C,C151,Data!$ED:$ED)+SUMIF(Data!$C:$C,C151,Data!$EF:$EF)+SUMIF(Data!$C:$C,C151,Data!$EH:$EH)+SUMIF(Data!$C:$C,C151,Data!$EJ:$EJ)+SUMIF(Data!$C:$C,C151,Data!$EL:$EL)+SUMIF(Data!$C:$C,C151,Data!$EN:$EN)+SUMIF(Data!$C:$C,C151,Data!$EP:$EP)+SUMIF(Data!$C:$C,C151,Data!$ER:$ER)+SUMIF(Data!$C:$C,C151,Data!$ET:$ET)</f>
        <v>62</v>
      </c>
      <c r="I151" s="30">
        <f>G151/19</f>
        <v>230.54370709382155</v>
      </c>
      <c r="J151" s="31">
        <f>H151/19</f>
        <v>3.263157894736842</v>
      </c>
      <c r="K151" s="30">
        <f>IFERROR(INDEX(Data!$ES:$ES,MATCH(C151,Data!$C:$C,0)),0)</f>
        <v>69.556521739130403</v>
      </c>
      <c r="L151" s="31">
        <f>IFERROR(INDEX(Data!$ET:$ET,MATCH(C151,Data!$C:$C,0)),0)</f>
        <v>1</v>
      </c>
      <c r="M151" s="30">
        <f>IFERROR(INDEX(Data!$I$3:$ER$553,MATCH($C151,Data!$C$3:$C$553,0),MATCH(DATE(RIGHT($B$5,4),MID($B$5,4,2),LEFT($B$5,2))-42,Data!$I$1:$ER$1,0)),0)</f>
        <v>347.78260869565202</v>
      </c>
      <c r="N151" s="31" cm="1">
        <f t="array" ref="N151">IFERROR(INDEX(Data!$I$3:$ER$553,MATCH($C151,Data!$C$3:$C$553,0),MATCH(DATE(RIGHT($B$5,4),MID($B$5,4,2),LEFT($B$5,2))-42,Data!$I$1:$ER$1,0)+1),0)</f>
        <v>5</v>
      </c>
      <c r="O151" s="30">
        <f>IFERROR(INDEX(Data!$I$3:$ER$553,MATCH($C151,Data!$C$3:$C$553,0),MATCH($M$5,Data!$I$1:$ER$1,0)),0)</f>
        <v>0</v>
      </c>
      <c r="P151" s="31" cm="1">
        <f t="array" ref="P151">IFERROR(INDEX(Data!$I$3:$ER$553,MATCH($C151,Data!$C$3:$C$553,0),MATCH($M$5,Data!$I$1:$ER$1,0)+1),0)</f>
        <v>0</v>
      </c>
      <c r="Q151" s="49" t="str">
        <f>IF(R151="","",IF(H151=0,0,R151*(G151/H151)))</f>
        <v/>
      </c>
      <c r="R151" s="50"/>
    </row>
    <row r="152" spans="1:18" x14ac:dyDescent="0.35">
      <c r="A152" s="32">
        <v>216</v>
      </c>
      <c r="B152" s="32" t="s">
        <v>544</v>
      </c>
      <c r="C152" s="32">
        <v>34196</v>
      </c>
      <c r="D152" s="32" t="s">
        <v>379</v>
      </c>
      <c r="E152" s="33">
        <v>16333.895652173907</v>
      </c>
      <c r="F152" s="34">
        <v>186.94600000000003</v>
      </c>
      <c r="G152" s="33">
        <f>SUMIF(Data!$C:$C,C152,Data!$DI:$DI)+SUMIF(Data!$C:$C,C152,Data!$DK:$DK)+SUMIF(Data!$C:$C,C152,Data!$DM:$DM)+SUMIF(Data!$C:$C,C152,Data!$DO:$DO)+SUMIF(Data!$C:$C,C152,Data!$DQ:$DQ)+SUMIF(Data!$C:$C,C152,Data!$DS:$DS)+SUMIF(Data!$C:$C,C152,Data!$DU:$DU)+SUMIF(Data!$C:$C,C152,Data!$DW:$DW)+SUMIF(Data!$C:$C,C152,Data!$DY:$DY)+SUMIF(Data!$C:$C,C152,Data!$EA:$EA)+SUMIF(Data!$C:$C,C152,Data!$EC:$EC)+SUMIF(Data!$C:$C,C152,Data!$EE:$EE)+SUMIF(Data!$C:$C,C152,Data!$EG:$EG)+SUMIF(Data!$C:$C,C152,Data!$EI:$EI)+SUMIF(Data!$C:$C,C152,Data!$EK:$EK)+SUMIF(Data!$C:$C,C152,Data!$EM:$EM)+SUMIF(Data!$C:$C,C152,Data!$EO:$EO)+SUMIF(Data!$C:$C,C152,Data!$EQ:$EQ)+SUMIF(Data!$C:$C,C152,Data!$ES:$ES)</f>
        <v>4108.878260869571</v>
      </c>
      <c r="H152" s="34">
        <f>SUMIF(Data!$C:$C,C152,Data!$DJ:$DJ)+SUMIF(Data!$C:$C,C152,Data!$DL:$DL)+SUMIF(Data!$C:$C,C152,Data!$DN:$DN)+SUMIF(Data!$C:$C,C152,Data!$DP:$DP)+SUMIF(Data!$C:$C,C152,Data!$DR:$DR)+SUMIF(Data!$C:$C,C152,Data!$DT:$DT)+SUMIF(Data!$C:$C,C152,Data!$DV:$DV)+SUMIF(Data!$C:$C,C152,Data!$DX:$DX)+SUMIF(Data!$C:$C,C152,Data!$DZ:$DZ)+SUMIF(Data!$C:$C,C152,Data!$EB:$EB)+SUMIF(Data!$C:$C,C152,Data!$ED:$ED)+SUMIF(Data!$C:$C,C152,Data!$EF:$EF)+SUMIF(Data!$C:$C,C152,Data!$EH:$EH)+SUMIF(Data!$C:$C,C152,Data!$EJ:$EJ)+SUMIF(Data!$C:$C,C152,Data!$EL:$EL)+SUMIF(Data!$C:$C,C152,Data!$EN:$EN)+SUMIF(Data!$C:$C,C152,Data!$EP:$EP)+SUMIF(Data!$C:$C,C152,Data!$ER:$ER)+SUMIF(Data!$C:$C,C152,Data!$ET:$ET)</f>
        <v>39.381</v>
      </c>
      <c r="I152" s="33">
        <f>G152/19</f>
        <v>216.25675057208269</v>
      </c>
      <c r="J152" s="34">
        <f>H152/19</f>
        <v>2.0726842105263157</v>
      </c>
      <c r="K152" s="33">
        <f>IFERROR(INDEX(Data!$ES:$ES,MATCH(C152,Data!$C:$C,0)),0)</f>
        <v>0</v>
      </c>
      <c r="L152" s="34">
        <f>IFERROR(INDEX(Data!$ET:$ET,MATCH(C152,Data!$C:$C,0)),0)</f>
        <v>0</v>
      </c>
      <c r="M152" s="33">
        <f>IFERROR(INDEX(Data!$I$3:$ER$553,MATCH($C152,Data!$C$3:$C$553,0),MATCH(DATE(RIGHT($B$5,4),MID($B$5,4,2),LEFT($B$5,2))-42,Data!$I$1:$ER$1,0)),0)</f>
        <v>1587.54782608696</v>
      </c>
      <c r="N152" s="34" cm="1">
        <f t="array" ref="N152">IFERROR(INDEX(Data!$I$3:$ER$553,MATCH($C152,Data!$C$3:$C$553,0),MATCH(DATE(RIGHT($B$5,4),MID($B$5,4,2),LEFT($B$5,2))-42,Data!$I$1:$ER$1,0)+1),0)</f>
        <v>15.215</v>
      </c>
      <c r="O152" s="33">
        <f>IFERROR(INDEX(Data!$I$3:$ER$553,MATCH($C152,Data!$C$3:$C$553,0),MATCH($M$5,Data!$I$1:$ER$1,0)),0)</f>
        <v>0</v>
      </c>
      <c r="P152" s="34" cm="1">
        <f t="array" ref="P152">IFERROR(INDEX(Data!$I$3:$ER$553,MATCH($C152,Data!$C$3:$C$553,0),MATCH($M$5,Data!$I$1:$ER$1,0)+1),0)</f>
        <v>0</v>
      </c>
      <c r="Q152" s="49" t="str">
        <f>IF(R152="","",IF(H152=0,0,R152*(G152/H152)))</f>
        <v/>
      </c>
      <c r="R152" s="50"/>
    </row>
    <row r="153" spans="1:18" x14ac:dyDescent="0.35">
      <c r="A153" s="29">
        <v>216</v>
      </c>
      <c r="B153" s="29" t="s">
        <v>544</v>
      </c>
      <c r="C153" s="29">
        <v>32044</v>
      </c>
      <c r="D153" s="29" t="s">
        <v>376</v>
      </c>
      <c r="E153" s="30">
        <v>14861.156521739127</v>
      </c>
      <c r="F153" s="31">
        <v>169.86499999999998</v>
      </c>
      <c r="G153" s="30">
        <f>SUMIF(Data!$C:$C,C153,Data!$DI:$DI)+SUMIF(Data!$C:$C,C153,Data!$DK:$DK)+SUMIF(Data!$C:$C,C153,Data!$DM:$DM)+SUMIF(Data!$C:$C,C153,Data!$DO:$DO)+SUMIF(Data!$C:$C,C153,Data!$DQ:$DQ)+SUMIF(Data!$C:$C,C153,Data!$DS:$DS)+SUMIF(Data!$C:$C,C153,Data!$DU:$DU)+SUMIF(Data!$C:$C,C153,Data!$DW:$DW)+SUMIF(Data!$C:$C,C153,Data!$DY:$DY)+SUMIF(Data!$C:$C,C153,Data!$EA:$EA)+SUMIF(Data!$C:$C,C153,Data!$EC:$EC)+SUMIF(Data!$C:$C,C153,Data!$EE:$EE)+SUMIF(Data!$C:$C,C153,Data!$EG:$EG)+SUMIF(Data!$C:$C,C153,Data!$EI:$EI)+SUMIF(Data!$C:$C,C153,Data!$EK:$EK)+SUMIF(Data!$C:$C,C153,Data!$EM:$EM)+SUMIF(Data!$C:$C,C153,Data!$EO:$EO)+SUMIF(Data!$C:$C,C153,Data!$EQ:$EQ)+SUMIF(Data!$C:$C,C153,Data!$ES:$ES)</f>
        <v>4023.2173913043462</v>
      </c>
      <c r="H153" s="31">
        <f>SUMIF(Data!$C:$C,C153,Data!$DJ:$DJ)+SUMIF(Data!$C:$C,C153,Data!$DL:$DL)+SUMIF(Data!$C:$C,C153,Data!$DN:$DN)+SUMIF(Data!$C:$C,C153,Data!$DP:$DP)+SUMIF(Data!$C:$C,C153,Data!$DR:$DR)+SUMIF(Data!$C:$C,C153,Data!$DT:$DT)+SUMIF(Data!$C:$C,C153,Data!$DV:$DV)+SUMIF(Data!$C:$C,C153,Data!$DX:$DX)+SUMIF(Data!$C:$C,C153,Data!$DZ:$DZ)+SUMIF(Data!$C:$C,C153,Data!$EB:$EB)+SUMIF(Data!$C:$C,C153,Data!$ED:$ED)+SUMIF(Data!$C:$C,C153,Data!$EF:$EF)+SUMIF(Data!$C:$C,C153,Data!$EH:$EH)+SUMIF(Data!$C:$C,C153,Data!$EJ:$EJ)+SUMIF(Data!$C:$C,C153,Data!$EL:$EL)+SUMIF(Data!$C:$C,C153,Data!$EN:$EN)+SUMIF(Data!$C:$C,C153,Data!$EP:$EP)+SUMIF(Data!$C:$C,C153,Data!$ER:$ER)+SUMIF(Data!$C:$C,C153,Data!$ET:$ET)</f>
        <v>36.389000000000003</v>
      </c>
      <c r="I153" s="30">
        <f>G153/19</f>
        <v>211.74828375286032</v>
      </c>
      <c r="J153" s="31">
        <f>H153/19</f>
        <v>1.9152105263157897</v>
      </c>
      <c r="K153" s="30">
        <f>IFERROR(INDEX(Data!$ES:$ES,MATCH(C153,Data!$C:$C,0)),0)</f>
        <v>0</v>
      </c>
      <c r="L153" s="31">
        <f>IFERROR(INDEX(Data!$ET:$ET,MATCH(C153,Data!$C:$C,0)),0)</f>
        <v>0</v>
      </c>
      <c r="M153" s="30">
        <f>IFERROR(INDEX(Data!$I$3:$ER$553,MATCH($C153,Data!$C$3:$C$553,0),MATCH(DATE(RIGHT($B$5,4),MID($B$5,4,2),LEFT($B$5,2))-42,Data!$I$1:$ER$1,0)),0)</f>
        <v>907.2</v>
      </c>
      <c r="N153" s="31" cm="1">
        <f t="array" ref="N153">IFERROR(INDEX(Data!$I$3:$ER$553,MATCH($C153,Data!$C$3:$C$553,0),MATCH(DATE(RIGHT($B$5,4),MID($B$5,4,2),LEFT($B$5,2))-42,Data!$I$1:$ER$1,0)+1),0)</f>
        <v>8.6950000000000003</v>
      </c>
      <c r="O153" s="30">
        <f>IFERROR(INDEX(Data!$I$3:$ER$553,MATCH($C153,Data!$C$3:$C$553,0),MATCH($M$5,Data!$I$1:$ER$1,0)),0)</f>
        <v>0</v>
      </c>
      <c r="P153" s="31" cm="1">
        <f t="array" ref="P153">IFERROR(INDEX(Data!$I$3:$ER$553,MATCH($C153,Data!$C$3:$C$553,0),MATCH($M$5,Data!$I$1:$ER$1,0)+1),0)</f>
        <v>0</v>
      </c>
      <c r="Q153" s="49" t="str">
        <f>IF(R153="","",IF(H153=0,0,R153*(G153/H153)))</f>
        <v/>
      </c>
      <c r="R153" s="50"/>
    </row>
    <row r="154" spans="1:18" x14ac:dyDescent="0.35">
      <c r="A154" s="32">
        <v>216</v>
      </c>
      <c r="B154" s="32" t="s">
        <v>544</v>
      </c>
      <c r="C154" s="32">
        <v>65748</v>
      </c>
      <c r="D154" s="32" t="s">
        <v>459</v>
      </c>
      <c r="E154" s="33">
        <v>0</v>
      </c>
      <c r="F154" s="34">
        <v>0</v>
      </c>
      <c r="G154" s="33">
        <f>SUMIF(Data!$C:$C,C154,Data!$DI:$DI)+SUMIF(Data!$C:$C,C154,Data!$DK:$DK)+SUMIF(Data!$C:$C,C154,Data!$DM:$DM)+SUMIF(Data!$C:$C,C154,Data!$DO:$DO)+SUMIF(Data!$C:$C,C154,Data!$DQ:$DQ)+SUMIF(Data!$C:$C,C154,Data!$DS:$DS)+SUMIF(Data!$C:$C,C154,Data!$DU:$DU)+SUMIF(Data!$C:$C,C154,Data!$DW:$DW)+SUMIF(Data!$C:$C,C154,Data!$DY:$DY)+SUMIF(Data!$C:$C,C154,Data!$EA:$EA)+SUMIF(Data!$C:$C,C154,Data!$EC:$EC)+SUMIF(Data!$C:$C,C154,Data!$EE:$EE)+SUMIF(Data!$C:$C,C154,Data!$EG:$EG)+SUMIF(Data!$C:$C,C154,Data!$EI:$EI)+SUMIF(Data!$C:$C,C154,Data!$EK:$EK)+SUMIF(Data!$C:$C,C154,Data!$EM:$EM)+SUMIF(Data!$C:$C,C154,Data!$EO:$EO)+SUMIF(Data!$C:$C,C154,Data!$EQ:$EQ)+SUMIF(Data!$C:$C,C154,Data!$ES:$ES)</f>
        <v>3829.5652173912968</v>
      </c>
      <c r="H154" s="34">
        <f>SUMIF(Data!$C:$C,C154,Data!$DJ:$DJ)+SUMIF(Data!$C:$C,C154,Data!$DL:$DL)+SUMIF(Data!$C:$C,C154,Data!$DN:$DN)+SUMIF(Data!$C:$C,C154,Data!$DP:$DP)+SUMIF(Data!$C:$C,C154,Data!$DR:$DR)+SUMIF(Data!$C:$C,C154,Data!$DT:$DT)+SUMIF(Data!$C:$C,C154,Data!$DV:$DV)+SUMIF(Data!$C:$C,C154,Data!$DX:$DX)+SUMIF(Data!$C:$C,C154,Data!$DZ:$DZ)+SUMIF(Data!$C:$C,C154,Data!$EB:$EB)+SUMIF(Data!$C:$C,C154,Data!$ED:$ED)+SUMIF(Data!$C:$C,C154,Data!$EF:$EF)+SUMIF(Data!$C:$C,C154,Data!$EH:$EH)+SUMIF(Data!$C:$C,C154,Data!$EJ:$EJ)+SUMIF(Data!$C:$C,C154,Data!$EL:$EL)+SUMIF(Data!$C:$C,C154,Data!$EN:$EN)+SUMIF(Data!$C:$C,C154,Data!$EP:$EP)+SUMIF(Data!$C:$C,C154,Data!$ER:$ER)+SUMIF(Data!$C:$C,C154,Data!$ET:$ET)</f>
        <v>40.042000000000002</v>
      </c>
      <c r="I154" s="33">
        <f>G154/19</f>
        <v>201.55606407322614</v>
      </c>
      <c r="J154" s="34">
        <f>H154/19</f>
        <v>2.1074736842105266</v>
      </c>
      <c r="K154" s="33">
        <f>IFERROR(INDEX(Data!$ES:$ES,MATCH(C154,Data!$C:$C,0)),0)</f>
        <v>0</v>
      </c>
      <c r="L154" s="34">
        <f>IFERROR(INDEX(Data!$ET:$ET,MATCH(C154,Data!$C:$C,0)),0)</f>
        <v>0</v>
      </c>
      <c r="M154" s="33">
        <f>IFERROR(INDEX(Data!$I$3:$ER$553,MATCH($C154,Data!$C$3:$C$553,0),MATCH(DATE(RIGHT($B$5,4),MID($B$5,4,2),LEFT($B$5,2))-42,Data!$I$1:$ER$1,0)),0)</f>
        <v>0</v>
      </c>
      <c r="N154" s="34" cm="1">
        <f t="array" ref="N154">IFERROR(INDEX(Data!$I$3:$ER$553,MATCH($C154,Data!$C$3:$C$553,0),MATCH(DATE(RIGHT($B$5,4),MID($B$5,4,2),LEFT($B$5,2))-42,Data!$I$1:$ER$1,0)+1),0)</f>
        <v>0</v>
      </c>
      <c r="O154" s="33">
        <f>IFERROR(INDEX(Data!$I$3:$ER$553,MATCH($C154,Data!$C$3:$C$553,0),MATCH($M$5,Data!$I$1:$ER$1,0)),0)</f>
        <v>0</v>
      </c>
      <c r="P154" s="34" cm="1">
        <f t="array" ref="P154">IFERROR(INDEX(Data!$I$3:$ER$553,MATCH($C154,Data!$C$3:$C$553,0),MATCH($M$5,Data!$I$1:$ER$1,0)+1),0)</f>
        <v>0</v>
      </c>
      <c r="Q154" s="49" t="str">
        <f>IF(R154="","",IF(H154=0,0,R154*(G154/H154)))</f>
        <v/>
      </c>
      <c r="R154" s="50"/>
    </row>
    <row r="155" spans="1:18" x14ac:dyDescent="0.35">
      <c r="A155" s="29">
        <v>216</v>
      </c>
      <c r="B155" s="29" t="s">
        <v>544</v>
      </c>
      <c r="C155" s="29">
        <v>65747</v>
      </c>
      <c r="D155" s="29" t="s">
        <v>458</v>
      </c>
      <c r="E155" s="30">
        <v>0</v>
      </c>
      <c r="F155" s="31">
        <v>0</v>
      </c>
      <c r="G155" s="30">
        <f>SUMIF(Data!$C:$C,C155,Data!$DI:$DI)+SUMIF(Data!$C:$C,C155,Data!$DK:$DK)+SUMIF(Data!$C:$C,C155,Data!$DM:$DM)+SUMIF(Data!$C:$C,C155,Data!$DO:$DO)+SUMIF(Data!$C:$C,C155,Data!$DQ:$DQ)+SUMIF(Data!$C:$C,C155,Data!$DS:$DS)+SUMIF(Data!$C:$C,C155,Data!$DU:$DU)+SUMIF(Data!$C:$C,C155,Data!$DW:$DW)+SUMIF(Data!$C:$C,C155,Data!$DY:$DY)+SUMIF(Data!$C:$C,C155,Data!$EA:$EA)+SUMIF(Data!$C:$C,C155,Data!$EC:$EC)+SUMIF(Data!$C:$C,C155,Data!$EE:$EE)+SUMIF(Data!$C:$C,C155,Data!$EG:$EG)+SUMIF(Data!$C:$C,C155,Data!$EI:$EI)+SUMIF(Data!$C:$C,C155,Data!$EK:$EK)+SUMIF(Data!$C:$C,C155,Data!$EM:$EM)+SUMIF(Data!$C:$C,C155,Data!$EO:$EO)+SUMIF(Data!$C:$C,C155,Data!$EQ:$EQ)+SUMIF(Data!$C:$C,C155,Data!$ES:$ES)</f>
        <v>3763.7217391304403</v>
      </c>
      <c r="H155" s="31">
        <f>SUMIF(Data!$C:$C,C155,Data!$DJ:$DJ)+SUMIF(Data!$C:$C,C155,Data!$DL:$DL)+SUMIF(Data!$C:$C,C155,Data!$DN:$DN)+SUMIF(Data!$C:$C,C155,Data!$DP:$DP)+SUMIF(Data!$C:$C,C155,Data!$DR:$DR)+SUMIF(Data!$C:$C,C155,Data!$DT:$DT)+SUMIF(Data!$C:$C,C155,Data!$DV:$DV)+SUMIF(Data!$C:$C,C155,Data!$DX:$DX)+SUMIF(Data!$C:$C,C155,Data!$DZ:$DZ)+SUMIF(Data!$C:$C,C155,Data!$EB:$EB)+SUMIF(Data!$C:$C,C155,Data!$ED:$ED)+SUMIF(Data!$C:$C,C155,Data!$EF:$EF)+SUMIF(Data!$C:$C,C155,Data!$EH:$EH)+SUMIF(Data!$C:$C,C155,Data!$EJ:$EJ)+SUMIF(Data!$C:$C,C155,Data!$EL:$EL)+SUMIF(Data!$C:$C,C155,Data!$EN:$EN)+SUMIF(Data!$C:$C,C155,Data!$EP:$EP)+SUMIF(Data!$C:$C,C155,Data!$ER:$ER)+SUMIF(Data!$C:$C,C155,Data!$ET:$ET)</f>
        <v>39.348999999999997</v>
      </c>
      <c r="I155" s="30">
        <f>G155/19</f>
        <v>198.09061784897054</v>
      </c>
      <c r="J155" s="31">
        <f>H155/19</f>
        <v>2.0709999999999997</v>
      </c>
      <c r="K155" s="30">
        <f>IFERROR(INDEX(Data!$ES:$ES,MATCH(C155,Data!$C:$C,0)),0)</f>
        <v>0</v>
      </c>
      <c r="L155" s="31">
        <f>IFERROR(INDEX(Data!$ET:$ET,MATCH(C155,Data!$C:$C,0)),0)</f>
        <v>0</v>
      </c>
      <c r="M155" s="30">
        <f>IFERROR(INDEX(Data!$I$3:$ER$553,MATCH($C155,Data!$C$3:$C$553,0),MATCH(DATE(RIGHT($B$5,4),MID($B$5,4,2),LEFT($B$5,2))-42,Data!$I$1:$ER$1,0)),0)</f>
        <v>0</v>
      </c>
      <c r="N155" s="31" cm="1">
        <f t="array" ref="N155">IFERROR(INDEX(Data!$I$3:$ER$553,MATCH($C155,Data!$C$3:$C$553,0),MATCH(DATE(RIGHT($B$5,4),MID($B$5,4,2),LEFT($B$5,2))-42,Data!$I$1:$ER$1,0)+1),0)</f>
        <v>0</v>
      </c>
      <c r="O155" s="30">
        <f>IFERROR(INDEX(Data!$I$3:$ER$553,MATCH($C155,Data!$C$3:$C$553,0),MATCH($M$5,Data!$I$1:$ER$1,0)),0)</f>
        <v>0</v>
      </c>
      <c r="P155" s="31" cm="1">
        <f t="array" ref="P155">IFERROR(INDEX(Data!$I$3:$ER$553,MATCH($C155,Data!$C$3:$C$553,0),MATCH($M$5,Data!$I$1:$ER$1,0)+1),0)</f>
        <v>0</v>
      </c>
      <c r="Q155" s="49" t="str">
        <f>IF(R155="","",IF(H155=0,0,R155*(G155/H155)))</f>
        <v/>
      </c>
      <c r="R155" s="50"/>
    </row>
    <row r="156" spans="1:18" x14ac:dyDescent="0.35">
      <c r="A156" s="32">
        <v>216</v>
      </c>
      <c r="B156" s="32" t="s">
        <v>544</v>
      </c>
      <c r="C156" s="32">
        <v>62010</v>
      </c>
      <c r="D156" s="32" t="s">
        <v>444</v>
      </c>
      <c r="E156" s="33">
        <v>3360.7391304347821</v>
      </c>
      <c r="F156" s="34">
        <v>38.654000000000003</v>
      </c>
      <c r="G156" s="33">
        <f>SUMIF(Data!$C:$C,C156,Data!$DI:$DI)+SUMIF(Data!$C:$C,C156,Data!$DK:$DK)+SUMIF(Data!$C:$C,C156,Data!$DM:$DM)+SUMIF(Data!$C:$C,C156,Data!$DO:$DO)+SUMIF(Data!$C:$C,C156,Data!$DQ:$DQ)+SUMIF(Data!$C:$C,C156,Data!$DS:$DS)+SUMIF(Data!$C:$C,C156,Data!$DU:$DU)+SUMIF(Data!$C:$C,C156,Data!$DW:$DW)+SUMIF(Data!$C:$C,C156,Data!$DY:$DY)+SUMIF(Data!$C:$C,C156,Data!$EA:$EA)+SUMIF(Data!$C:$C,C156,Data!$EC:$EC)+SUMIF(Data!$C:$C,C156,Data!$EE:$EE)+SUMIF(Data!$C:$C,C156,Data!$EG:$EG)+SUMIF(Data!$C:$C,C156,Data!$EI:$EI)+SUMIF(Data!$C:$C,C156,Data!$EK:$EK)+SUMIF(Data!$C:$C,C156,Data!$EM:$EM)+SUMIF(Data!$C:$C,C156,Data!$EO:$EO)+SUMIF(Data!$C:$C,C156,Data!$EQ:$EQ)+SUMIF(Data!$C:$C,C156,Data!$ES:$ES)</f>
        <v>3605.5043478260877</v>
      </c>
      <c r="H156" s="34">
        <f>SUMIF(Data!$C:$C,C156,Data!$DJ:$DJ)+SUMIF(Data!$C:$C,C156,Data!$DL:$DL)+SUMIF(Data!$C:$C,C156,Data!$DN:$DN)+SUMIF(Data!$C:$C,C156,Data!$DP:$DP)+SUMIF(Data!$C:$C,C156,Data!$DR:$DR)+SUMIF(Data!$C:$C,C156,Data!$DT:$DT)+SUMIF(Data!$C:$C,C156,Data!$DV:$DV)+SUMIF(Data!$C:$C,C156,Data!$DX:$DX)+SUMIF(Data!$C:$C,C156,Data!$DZ:$DZ)+SUMIF(Data!$C:$C,C156,Data!$EB:$EB)+SUMIF(Data!$C:$C,C156,Data!$ED:$ED)+SUMIF(Data!$C:$C,C156,Data!$EF:$EF)+SUMIF(Data!$C:$C,C156,Data!$EH:$EH)+SUMIF(Data!$C:$C,C156,Data!$EJ:$EJ)+SUMIF(Data!$C:$C,C156,Data!$EL:$EL)+SUMIF(Data!$C:$C,C156,Data!$EN:$EN)+SUMIF(Data!$C:$C,C156,Data!$EP:$EP)+SUMIF(Data!$C:$C,C156,Data!$ER:$ER)+SUMIF(Data!$C:$C,C156,Data!$ET:$ET)</f>
        <v>31.753999999999998</v>
      </c>
      <c r="I156" s="33">
        <f>G156/19</f>
        <v>189.76338672768884</v>
      </c>
      <c r="J156" s="34">
        <f>H156/19</f>
        <v>1.6712631578947368</v>
      </c>
      <c r="K156" s="33">
        <f>IFERROR(INDEX(Data!$ES:$ES,MATCH(C156,Data!$C:$C,0)),0)</f>
        <v>0</v>
      </c>
      <c r="L156" s="34">
        <f>IFERROR(INDEX(Data!$ET:$ET,MATCH(C156,Data!$C:$C,0)),0)</f>
        <v>0</v>
      </c>
      <c r="M156" s="33">
        <f>IFERROR(INDEX(Data!$I$3:$ER$553,MATCH($C156,Data!$C$3:$C$553,0),MATCH(DATE(RIGHT($B$5,4),MID($B$5,4,2),LEFT($B$5,2))-42,Data!$I$1:$ER$1,0)),0)</f>
        <v>0</v>
      </c>
      <c r="N156" s="34" cm="1">
        <f t="array" ref="N156">IFERROR(INDEX(Data!$I$3:$ER$553,MATCH($C156,Data!$C$3:$C$553,0),MATCH(DATE(RIGHT($B$5,4),MID($B$5,4,2),LEFT($B$5,2))-42,Data!$I$1:$ER$1,0)+1),0)</f>
        <v>0</v>
      </c>
      <c r="O156" s="33">
        <f>IFERROR(INDEX(Data!$I$3:$ER$553,MATCH($C156,Data!$C$3:$C$553,0),MATCH($M$5,Data!$I$1:$ER$1,0)),0)</f>
        <v>1633.21739130435</v>
      </c>
      <c r="P156" s="34" cm="1">
        <f t="array" ref="P156">IFERROR(INDEX(Data!$I$3:$ER$553,MATCH($C156,Data!$C$3:$C$553,0),MATCH($M$5,Data!$I$1:$ER$1,0)+1),0)</f>
        <v>17.744</v>
      </c>
      <c r="Q156" s="49" t="str">
        <f>IF(R156="","",IF(H156=0,0,R156*(G156/H156)))</f>
        <v/>
      </c>
      <c r="R156" s="50"/>
    </row>
    <row r="157" spans="1:18" x14ac:dyDescent="0.35">
      <c r="A157" s="29">
        <v>216</v>
      </c>
      <c r="B157" s="29" t="s">
        <v>544</v>
      </c>
      <c r="C157" s="29">
        <v>35005</v>
      </c>
      <c r="D157" s="29" t="s">
        <v>391</v>
      </c>
      <c r="E157" s="30">
        <v>8346.99130434783</v>
      </c>
      <c r="F157" s="31">
        <v>96</v>
      </c>
      <c r="G157" s="30">
        <f>SUMIF(Data!$C:$C,C157,Data!$DI:$DI)+SUMIF(Data!$C:$C,C157,Data!$DK:$DK)+SUMIF(Data!$C:$C,C157,Data!$DM:$DM)+SUMIF(Data!$C:$C,C157,Data!$DO:$DO)+SUMIF(Data!$C:$C,C157,Data!$DQ:$DQ)+SUMIF(Data!$C:$C,C157,Data!$DS:$DS)+SUMIF(Data!$C:$C,C157,Data!$DU:$DU)+SUMIF(Data!$C:$C,C157,Data!$DW:$DW)+SUMIF(Data!$C:$C,C157,Data!$DY:$DY)+SUMIF(Data!$C:$C,C157,Data!$EA:$EA)+SUMIF(Data!$C:$C,C157,Data!$EC:$EC)+SUMIF(Data!$C:$C,C157,Data!$EE:$EE)+SUMIF(Data!$C:$C,C157,Data!$EG:$EG)+SUMIF(Data!$C:$C,C157,Data!$EI:$EI)+SUMIF(Data!$C:$C,C157,Data!$EK:$EK)+SUMIF(Data!$C:$C,C157,Data!$EM:$EM)+SUMIF(Data!$C:$C,C157,Data!$EO:$EO)+SUMIF(Data!$C:$C,C157,Data!$EQ:$EQ)+SUMIF(Data!$C:$C,C157,Data!$ES:$ES)</f>
        <v>1721.5478260869554</v>
      </c>
      <c r="H157" s="31">
        <f>SUMIF(Data!$C:$C,C157,Data!$DJ:$DJ)+SUMIF(Data!$C:$C,C157,Data!$DL:$DL)+SUMIF(Data!$C:$C,C157,Data!$DN:$DN)+SUMIF(Data!$C:$C,C157,Data!$DP:$DP)+SUMIF(Data!$C:$C,C157,Data!$DR:$DR)+SUMIF(Data!$C:$C,C157,Data!$DT:$DT)+SUMIF(Data!$C:$C,C157,Data!$DV:$DV)+SUMIF(Data!$C:$C,C157,Data!$DX:$DX)+SUMIF(Data!$C:$C,C157,Data!$DZ:$DZ)+SUMIF(Data!$C:$C,C157,Data!$EB:$EB)+SUMIF(Data!$C:$C,C157,Data!$ED:$ED)+SUMIF(Data!$C:$C,C157,Data!$EF:$EF)+SUMIF(Data!$C:$C,C157,Data!$EH:$EH)+SUMIF(Data!$C:$C,C157,Data!$EJ:$EJ)+SUMIF(Data!$C:$C,C157,Data!$EL:$EL)+SUMIF(Data!$C:$C,C157,Data!$EN:$EN)+SUMIF(Data!$C:$C,C157,Data!$EP:$EP)+SUMIF(Data!$C:$C,C157,Data!$ER:$ER)+SUMIF(Data!$C:$C,C157,Data!$ET:$ET)</f>
        <v>22</v>
      </c>
      <c r="I157" s="30">
        <f>G157/19</f>
        <v>90.607780320366075</v>
      </c>
      <c r="J157" s="31">
        <f>H157/19</f>
        <v>1.1578947368421053</v>
      </c>
      <c r="K157" s="30">
        <f>IFERROR(INDEX(Data!$ES:$ES,MATCH(C157,Data!$C:$C,0)),0)</f>
        <v>0</v>
      </c>
      <c r="L157" s="31">
        <f>IFERROR(INDEX(Data!$ET:$ET,MATCH(C157,Data!$C:$C,0)),0)</f>
        <v>0</v>
      </c>
      <c r="M157" s="30">
        <f>IFERROR(INDEX(Data!$I$3:$ER$553,MATCH($C157,Data!$C$3:$C$553,0),MATCH(DATE(RIGHT($B$5,4),MID($B$5,4,2),LEFT($B$5,2))-42,Data!$I$1:$ER$1,0)),0)</f>
        <v>0</v>
      </c>
      <c r="N157" s="31" cm="1">
        <f t="array" ref="N157">IFERROR(INDEX(Data!$I$3:$ER$553,MATCH($C157,Data!$C$3:$C$553,0),MATCH(DATE(RIGHT($B$5,4),MID($B$5,4,2),LEFT($B$5,2))-42,Data!$I$1:$ER$1,0)+1),0)</f>
        <v>0</v>
      </c>
      <c r="O157" s="30">
        <f>IFERROR(INDEX(Data!$I$3:$ER$553,MATCH($C157,Data!$C$3:$C$553,0),MATCH($M$5,Data!$I$1:$ER$1,0)),0)</f>
        <v>608.63478260869601</v>
      </c>
      <c r="P157" s="31" cm="1">
        <f t="array" ref="P157">IFERROR(INDEX(Data!$I$3:$ER$553,MATCH($C157,Data!$C$3:$C$553,0),MATCH($M$5,Data!$I$1:$ER$1,0)+1),0)</f>
        <v>7</v>
      </c>
      <c r="Q157" s="49" t="str">
        <f>IF(R157="","",IF(H157=0,0,R157*(G157/H157)))</f>
        <v/>
      </c>
      <c r="R157" s="50"/>
    </row>
    <row r="158" spans="1:18" ht="13.5" thickBot="1" x14ac:dyDescent="0.4">
      <c r="A158" s="54" t="s">
        <v>695</v>
      </c>
      <c r="B158" s="54"/>
      <c r="C158" s="54"/>
      <c r="D158" s="54"/>
      <c r="E158" s="55">
        <f>SUM(E125:E157)</f>
        <v>542772.3913043479</v>
      </c>
      <c r="F158" s="56">
        <f>SUM(F125:F157)</f>
        <v>6536.1600000000017</v>
      </c>
      <c r="G158" s="55">
        <f>SUM(G125:G157)</f>
        <v>696564.33913043467</v>
      </c>
      <c r="H158" s="56">
        <f>SUM(H125:H157)</f>
        <v>7314.4490000000014</v>
      </c>
      <c r="I158" s="55">
        <f>AVERAGE(I125:I157)</f>
        <v>1110.9479092989386</v>
      </c>
      <c r="J158" s="56">
        <f>AVERAGE(J125:J157)</f>
        <v>11.665787878787876</v>
      </c>
      <c r="K158" s="55">
        <f>SUM(K125:K157)</f>
        <v>33242.678260869565</v>
      </c>
      <c r="L158" s="56">
        <f>SUM(L125:L157)</f>
        <v>342.65300000000002</v>
      </c>
      <c r="M158" s="55">
        <f>SUM(M125:M157)</f>
        <v>31334.721739130437</v>
      </c>
      <c r="N158" s="56">
        <f>SUM(N125:N157)</f>
        <v>331.60899999999998</v>
      </c>
      <c r="O158" s="55">
        <f>SUM(O125:O157)</f>
        <v>32683.913043478249</v>
      </c>
      <c r="P158" s="56">
        <f>SUM(P125:P157)</f>
        <v>373.23599999999999</v>
      </c>
      <c r="Q158" s="57">
        <f>SUM(Q125:Q157)</f>
        <v>0</v>
      </c>
      <c r="R158" s="58">
        <f>SUM(R125:R157)</f>
        <v>0</v>
      </c>
    </row>
    <row r="159" spans="1:18" ht="13.5" thickTop="1" x14ac:dyDescent="0.35">
      <c r="A159" s="29"/>
      <c r="B159" s="29"/>
      <c r="C159" s="29"/>
      <c r="D159" s="29"/>
      <c r="E159" s="30"/>
      <c r="F159" s="31"/>
      <c r="G159" s="30"/>
      <c r="H159" s="31"/>
      <c r="I159" s="30"/>
      <c r="J159" s="31"/>
      <c r="K159" s="30"/>
      <c r="L159" s="31"/>
      <c r="M159" s="30"/>
      <c r="N159" s="31"/>
      <c r="O159" s="30"/>
      <c r="P159" s="31"/>
      <c r="Q159" s="49"/>
      <c r="R159" s="50"/>
    </row>
    <row r="160" spans="1:18" x14ac:dyDescent="0.35">
      <c r="A160" s="32">
        <v>218</v>
      </c>
      <c r="B160" s="32" t="s">
        <v>546</v>
      </c>
      <c r="C160" s="32">
        <v>58339</v>
      </c>
      <c r="D160" s="32" t="s">
        <v>472</v>
      </c>
      <c r="E160" s="33">
        <v>3839.6347826086953</v>
      </c>
      <c r="F160" s="34">
        <v>442</v>
      </c>
      <c r="G160" s="33">
        <f>SUMIF(Data!$C:$C,C160,Data!$DI:$DI)+SUMIF(Data!$C:$C,C160,Data!$DK:$DK)+SUMIF(Data!$C:$C,C160,Data!$DM:$DM)+SUMIF(Data!$C:$C,C160,Data!$DO:$DO)+SUMIF(Data!$C:$C,C160,Data!$DQ:$DQ)+SUMIF(Data!$C:$C,C160,Data!$DS:$DS)+SUMIF(Data!$C:$C,C160,Data!$DU:$DU)+SUMIF(Data!$C:$C,C160,Data!$DW:$DW)+SUMIF(Data!$C:$C,C160,Data!$DY:$DY)+SUMIF(Data!$C:$C,C160,Data!$EA:$EA)+SUMIF(Data!$C:$C,C160,Data!$EC:$EC)+SUMIF(Data!$C:$C,C160,Data!$EE:$EE)+SUMIF(Data!$C:$C,C160,Data!$EG:$EG)+SUMIF(Data!$C:$C,C160,Data!$EI:$EI)+SUMIF(Data!$C:$C,C160,Data!$EK:$EK)+SUMIF(Data!$C:$C,C160,Data!$EM:$EM)+SUMIF(Data!$C:$C,C160,Data!$EO:$EO)+SUMIF(Data!$C:$C,C160,Data!$EQ:$EQ)+SUMIF(Data!$C:$C,C160,Data!$ES:$ES)</f>
        <v>8113.6173913043494</v>
      </c>
      <c r="H160" s="34">
        <f>SUMIF(Data!$C:$C,C160,Data!$DJ:$DJ)+SUMIF(Data!$C:$C,C160,Data!$DL:$DL)+SUMIF(Data!$C:$C,C160,Data!$DN:$DN)+SUMIF(Data!$C:$C,C160,Data!$DP:$DP)+SUMIF(Data!$C:$C,C160,Data!$DR:$DR)+SUMIF(Data!$C:$C,C160,Data!$DT:$DT)+SUMIF(Data!$C:$C,C160,Data!$DV:$DV)+SUMIF(Data!$C:$C,C160,Data!$DX:$DX)+SUMIF(Data!$C:$C,C160,Data!$DZ:$DZ)+SUMIF(Data!$C:$C,C160,Data!$EB:$EB)+SUMIF(Data!$C:$C,C160,Data!$ED:$ED)+SUMIF(Data!$C:$C,C160,Data!$EF:$EF)+SUMIF(Data!$C:$C,C160,Data!$EH:$EH)+SUMIF(Data!$C:$C,C160,Data!$EJ:$EJ)+SUMIF(Data!$C:$C,C160,Data!$EL:$EL)+SUMIF(Data!$C:$C,C160,Data!$EN:$EN)+SUMIF(Data!$C:$C,C160,Data!$EP:$EP)+SUMIF(Data!$C:$C,C160,Data!$ER:$ER)+SUMIF(Data!$C:$C,C160,Data!$ET:$ET)</f>
        <v>934</v>
      </c>
      <c r="I160" s="33">
        <f>G160/19</f>
        <v>427.03249427917626</v>
      </c>
      <c r="J160" s="34">
        <f>H160/19</f>
        <v>49.157894736842103</v>
      </c>
      <c r="K160" s="33">
        <f>IFERROR(INDEX(Data!$ES:$ES,MATCH(C160,Data!$C:$C,0)),0)</f>
        <v>486.46956521739099</v>
      </c>
      <c r="L160" s="34">
        <f>IFERROR(INDEX(Data!$ET:$ET,MATCH(C160,Data!$C:$C,0)),0)</f>
        <v>56</v>
      </c>
      <c r="M160" s="33">
        <f>IFERROR(INDEX(Data!$I$3:$ER$553,MATCH($C160,Data!$C$3:$C$553,0),MATCH(DATE(RIGHT($B$5,4),MID($B$5,4,2),LEFT($B$5,2))-42,Data!$I$1:$ER$1,0)),0)</f>
        <v>390.91304347826099</v>
      </c>
      <c r="N160" s="34" cm="1">
        <f t="array" ref="N160">IFERROR(INDEX(Data!$I$3:$ER$553,MATCH($C160,Data!$C$3:$C$553,0),MATCH(DATE(RIGHT($B$5,4),MID($B$5,4,2),LEFT($B$5,2))-42,Data!$I$1:$ER$1,0)+1),0)</f>
        <v>45</v>
      </c>
      <c r="O160" s="33">
        <f>IFERROR(INDEX(Data!$I$3:$ER$553,MATCH($C160,Data!$C$3:$C$553,0),MATCH($M$5,Data!$I$1:$ER$1,0)),0)</f>
        <v>495.15652173913003</v>
      </c>
      <c r="P160" s="34" cm="1">
        <f t="array" ref="P160">IFERROR(INDEX(Data!$I$3:$ER$553,MATCH($C160,Data!$C$3:$C$553,0),MATCH($M$5,Data!$I$1:$ER$1,0)+1),0)</f>
        <v>57</v>
      </c>
      <c r="Q160" s="49" t="str">
        <f>IF(R160="","",IF(H160=0,0,R160*(G160/H160)))</f>
        <v/>
      </c>
      <c r="R160" s="50"/>
    </row>
    <row r="161" spans="1:18" x14ac:dyDescent="0.35">
      <c r="A161" s="29">
        <v>218</v>
      </c>
      <c r="B161" s="29" t="s">
        <v>546</v>
      </c>
      <c r="C161" s="29">
        <v>34383</v>
      </c>
      <c r="D161" s="29" t="s">
        <v>462</v>
      </c>
      <c r="E161" s="30">
        <v>3630.0521739130418</v>
      </c>
      <c r="F161" s="31">
        <v>144</v>
      </c>
      <c r="G161" s="30">
        <f>SUMIF(Data!$C:$C,C161,Data!$DI:$DI)+SUMIF(Data!$C:$C,C161,Data!$DK:$DK)+SUMIF(Data!$C:$C,C161,Data!$DM:$DM)+SUMIF(Data!$C:$C,C161,Data!$DO:$DO)+SUMIF(Data!$C:$C,C161,Data!$DQ:$DQ)+SUMIF(Data!$C:$C,C161,Data!$DS:$DS)+SUMIF(Data!$C:$C,C161,Data!$DU:$DU)+SUMIF(Data!$C:$C,C161,Data!$DW:$DW)+SUMIF(Data!$C:$C,C161,Data!$DY:$DY)+SUMIF(Data!$C:$C,C161,Data!$EA:$EA)+SUMIF(Data!$C:$C,C161,Data!$EC:$EC)+SUMIF(Data!$C:$C,C161,Data!$EE:$EE)+SUMIF(Data!$C:$C,C161,Data!$EG:$EG)+SUMIF(Data!$C:$C,C161,Data!$EI:$EI)+SUMIF(Data!$C:$C,C161,Data!$EK:$EK)+SUMIF(Data!$C:$C,C161,Data!$EM:$EM)+SUMIF(Data!$C:$C,C161,Data!$EO:$EO)+SUMIF(Data!$C:$C,C161,Data!$EQ:$EQ)+SUMIF(Data!$C:$C,C161,Data!$ES:$ES)</f>
        <v>4953.1130434782608</v>
      </c>
      <c r="H161" s="31">
        <f>SUMIF(Data!$C:$C,C161,Data!$DJ:$DJ)+SUMIF(Data!$C:$C,C161,Data!$DL:$DL)+SUMIF(Data!$C:$C,C161,Data!$DN:$DN)+SUMIF(Data!$C:$C,C161,Data!$DP:$DP)+SUMIF(Data!$C:$C,C161,Data!$DR:$DR)+SUMIF(Data!$C:$C,C161,Data!$DT:$DT)+SUMIF(Data!$C:$C,C161,Data!$DV:$DV)+SUMIF(Data!$C:$C,C161,Data!$DX:$DX)+SUMIF(Data!$C:$C,C161,Data!$DZ:$DZ)+SUMIF(Data!$C:$C,C161,Data!$EB:$EB)+SUMIF(Data!$C:$C,C161,Data!$ED:$ED)+SUMIF(Data!$C:$C,C161,Data!$EF:$EF)+SUMIF(Data!$C:$C,C161,Data!$EH:$EH)+SUMIF(Data!$C:$C,C161,Data!$EJ:$EJ)+SUMIF(Data!$C:$C,C161,Data!$EL:$EL)+SUMIF(Data!$C:$C,C161,Data!$EN:$EN)+SUMIF(Data!$C:$C,C161,Data!$EP:$EP)+SUMIF(Data!$C:$C,C161,Data!$ER:$ER)+SUMIF(Data!$C:$C,C161,Data!$ET:$ET)</f>
        <v>192</v>
      </c>
      <c r="I161" s="30">
        <f>G161/19</f>
        <v>260.69016018306638</v>
      </c>
      <c r="J161" s="31">
        <f>H161/19</f>
        <v>10.105263157894736</v>
      </c>
      <c r="K161" s="30">
        <f>IFERROR(INDEX(Data!$ES:$ES,MATCH(C161,Data!$C:$C,0)),0)</f>
        <v>0</v>
      </c>
      <c r="L161" s="31">
        <f>IFERROR(INDEX(Data!$ET:$ET,MATCH(C161,Data!$C:$C,0)),0)</f>
        <v>0</v>
      </c>
      <c r="M161" s="30">
        <f>IFERROR(INDEX(Data!$I$3:$ER$553,MATCH($C161,Data!$C$3:$C$553,0),MATCH(DATE(RIGHT($B$5,4),MID($B$5,4,2),LEFT($B$5,2))-42,Data!$I$1:$ER$1,0)),0)</f>
        <v>312.93913043478301</v>
      </c>
      <c r="N161" s="31" cm="1">
        <f t="array" ref="N161">IFERROR(INDEX(Data!$I$3:$ER$553,MATCH($C161,Data!$C$3:$C$553,0),MATCH(DATE(RIGHT($B$5,4),MID($B$5,4,2),LEFT($B$5,2))-42,Data!$I$1:$ER$1,0)+1),0)</f>
        <v>12</v>
      </c>
      <c r="O161" s="30">
        <f>IFERROR(INDEX(Data!$I$3:$ER$553,MATCH($C161,Data!$C$3:$C$553,0),MATCH($M$5,Data!$I$1:$ER$1,0)),0)</f>
        <v>252.08695652173901</v>
      </c>
      <c r="P161" s="31" cm="1">
        <f t="array" ref="P161">IFERROR(INDEX(Data!$I$3:$ER$553,MATCH($C161,Data!$C$3:$C$553,0),MATCH($M$5,Data!$I$1:$ER$1,0)+1),0)</f>
        <v>10</v>
      </c>
      <c r="Q161" s="49" t="str">
        <f>IF(R161="","",IF(H161=0,0,R161*(G161/H161)))</f>
        <v/>
      </c>
      <c r="R161" s="50"/>
    </row>
    <row r="162" spans="1:18" x14ac:dyDescent="0.35">
      <c r="A162" s="32">
        <v>218</v>
      </c>
      <c r="B162" s="32" t="s">
        <v>546</v>
      </c>
      <c r="C162" s="32">
        <v>58340</v>
      </c>
      <c r="D162" s="32" t="s">
        <v>473</v>
      </c>
      <c r="E162" s="33">
        <v>2953.5652173913049</v>
      </c>
      <c r="F162" s="34">
        <v>340</v>
      </c>
      <c r="G162" s="33">
        <f>SUMIF(Data!$C:$C,C162,Data!$DI:$DI)+SUMIF(Data!$C:$C,C162,Data!$DK:$DK)+SUMIF(Data!$C:$C,C162,Data!$DM:$DM)+SUMIF(Data!$C:$C,C162,Data!$DO:$DO)+SUMIF(Data!$C:$C,C162,Data!$DQ:$DQ)+SUMIF(Data!$C:$C,C162,Data!$DS:$DS)+SUMIF(Data!$C:$C,C162,Data!$DU:$DU)+SUMIF(Data!$C:$C,C162,Data!$DW:$DW)+SUMIF(Data!$C:$C,C162,Data!$DY:$DY)+SUMIF(Data!$C:$C,C162,Data!$EA:$EA)+SUMIF(Data!$C:$C,C162,Data!$EC:$EC)+SUMIF(Data!$C:$C,C162,Data!$EE:$EE)+SUMIF(Data!$C:$C,C162,Data!$EG:$EG)+SUMIF(Data!$C:$C,C162,Data!$EI:$EI)+SUMIF(Data!$C:$C,C162,Data!$EK:$EK)+SUMIF(Data!$C:$C,C162,Data!$EM:$EM)+SUMIF(Data!$C:$C,C162,Data!$EO:$EO)+SUMIF(Data!$C:$C,C162,Data!$EQ:$EQ)+SUMIF(Data!$C:$C,C162,Data!$ES:$ES)</f>
        <v>4673.5826086956513</v>
      </c>
      <c r="H162" s="34">
        <f>SUMIF(Data!$C:$C,C162,Data!$DJ:$DJ)+SUMIF(Data!$C:$C,C162,Data!$DL:$DL)+SUMIF(Data!$C:$C,C162,Data!$DN:$DN)+SUMIF(Data!$C:$C,C162,Data!$DP:$DP)+SUMIF(Data!$C:$C,C162,Data!$DR:$DR)+SUMIF(Data!$C:$C,C162,Data!$DT:$DT)+SUMIF(Data!$C:$C,C162,Data!$DV:$DV)+SUMIF(Data!$C:$C,C162,Data!$DX:$DX)+SUMIF(Data!$C:$C,C162,Data!$DZ:$DZ)+SUMIF(Data!$C:$C,C162,Data!$EB:$EB)+SUMIF(Data!$C:$C,C162,Data!$ED:$ED)+SUMIF(Data!$C:$C,C162,Data!$EF:$EF)+SUMIF(Data!$C:$C,C162,Data!$EH:$EH)+SUMIF(Data!$C:$C,C162,Data!$EJ:$EJ)+SUMIF(Data!$C:$C,C162,Data!$EL:$EL)+SUMIF(Data!$C:$C,C162,Data!$EN:$EN)+SUMIF(Data!$C:$C,C162,Data!$EP:$EP)+SUMIF(Data!$C:$C,C162,Data!$ER:$ER)+SUMIF(Data!$C:$C,C162,Data!$ET:$ET)</f>
        <v>538</v>
      </c>
      <c r="I162" s="33">
        <f>G162/19</f>
        <v>245.97803203661323</v>
      </c>
      <c r="J162" s="34">
        <f>H162/19</f>
        <v>28.315789473684209</v>
      </c>
      <c r="K162" s="33">
        <f>IFERROR(INDEX(Data!$ES:$ES,MATCH(C162,Data!$C:$C,0)),0)</f>
        <v>251.92173913043499</v>
      </c>
      <c r="L162" s="34">
        <f>IFERROR(INDEX(Data!$ET:$ET,MATCH(C162,Data!$C:$C,0)),0)</f>
        <v>29</v>
      </c>
      <c r="M162" s="33">
        <f>IFERROR(INDEX(Data!$I$3:$ER$553,MATCH($C162,Data!$C$3:$C$553,0),MATCH(DATE(RIGHT($B$5,4),MID($B$5,4,2),LEFT($B$5,2))-42,Data!$I$1:$ER$1,0)),0)</f>
        <v>225.860869565217</v>
      </c>
      <c r="N162" s="34" cm="1">
        <f t="array" ref="N162">IFERROR(INDEX(Data!$I$3:$ER$553,MATCH($C162,Data!$C$3:$C$553,0),MATCH(DATE(RIGHT($B$5,4),MID($B$5,4,2),LEFT($B$5,2))-42,Data!$I$1:$ER$1,0)+1),0)</f>
        <v>26</v>
      </c>
      <c r="O162" s="33">
        <f>IFERROR(INDEX(Data!$I$3:$ER$553,MATCH($C162,Data!$C$3:$C$553,0),MATCH($M$5,Data!$I$1:$ER$1,0)),0)</f>
        <v>356.165217391304</v>
      </c>
      <c r="P162" s="34" cm="1">
        <f t="array" ref="P162">IFERROR(INDEX(Data!$I$3:$ER$553,MATCH($C162,Data!$C$3:$C$553,0),MATCH($M$5,Data!$I$1:$ER$1,0)+1),0)</f>
        <v>41</v>
      </c>
      <c r="Q162" s="49" t="str">
        <f>IF(R162="","",IF(H162=0,0,R162*(G162/H162)))</f>
        <v/>
      </c>
      <c r="R162" s="50"/>
    </row>
    <row r="163" spans="1:18" x14ac:dyDescent="0.35">
      <c r="A163" s="29">
        <v>218</v>
      </c>
      <c r="B163" s="29" t="s">
        <v>546</v>
      </c>
      <c r="C163" s="29">
        <v>54428</v>
      </c>
      <c r="D163" s="29" t="s">
        <v>469</v>
      </c>
      <c r="E163" s="30">
        <v>3199.1304347826067</v>
      </c>
      <c r="F163" s="31">
        <v>283</v>
      </c>
      <c r="G163" s="30">
        <f>SUMIF(Data!$C:$C,C163,Data!$DI:$DI)+SUMIF(Data!$C:$C,C163,Data!$DK:$DK)+SUMIF(Data!$C:$C,C163,Data!$DM:$DM)+SUMIF(Data!$C:$C,C163,Data!$DO:$DO)+SUMIF(Data!$C:$C,C163,Data!$DQ:$DQ)+SUMIF(Data!$C:$C,C163,Data!$DS:$DS)+SUMIF(Data!$C:$C,C163,Data!$DU:$DU)+SUMIF(Data!$C:$C,C163,Data!$DW:$DW)+SUMIF(Data!$C:$C,C163,Data!$DY:$DY)+SUMIF(Data!$C:$C,C163,Data!$EA:$EA)+SUMIF(Data!$C:$C,C163,Data!$EC:$EC)+SUMIF(Data!$C:$C,C163,Data!$EE:$EE)+SUMIF(Data!$C:$C,C163,Data!$EG:$EG)+SUMIF(Data!$C:$C,C163,Data!$EI:$EI)+SUMIF(Data!$C:$C,C163,Data!$EK:$EK)+SUMIF(Data!$C:$C,C163,Data!$EM:$EM)+SUMIF(Data!$C:$C,C163,Data!$EO:$EO)+SUMIF(Data!$C:$C,C163,Data!$EQ:$EQ)+SUMIF(Data!$C:$C,C163,Data!$ES:$ES)</f>
        <v>2532.173913043478</v>
      </c>
      <c r="H163" s="31">
        <f>SUMIF(Data!$C:$C,C163,Data!$DJ:$DJ)+SUMIF(Data!$C:$C,C163,Data!$DL:$DL)+SUMIF(Data!$C:$C,C163,Data!$DN:$DN)+SUMIF(Data!$C:$C,C163,Data!$DP:$DP)+SUMIF(Data!$C:$C,C163,Data!$DR:$DR)+SUMIF(Data!$C:$C,C163,Data!$DT:$DT)+SUMIF(Data!$C:$C,C163,Data!$DV:$DV)+SUMIF(Data!$C:$C,C163,Data!$DX:$DX)+SUMIF(Data!$C:$C,C163,Data!$DZ:$DZ)+SUMIF(Data!$C:$C,C163,Data!$EB:$EB)+SUMIF(Data!$C:$C,C163,Data!$ED:$ED)+SUMIF(Data!$C:$C,C163,Data!$EF:$EF)+SUMIF(Data!$C:$C,C163,Data!$EH:$EH)+SUMIF(Data!$C:$C,C163,Data!$EJ:$EJ)+SUMIF(Data!$C:$C,C163,Data!$EL:$EL)+SUMIF(Data!$C:$C,C163,Data!$EN:$EN)+SUMIF(Data!$C:$C,C163,Data!$EP:$EP)+SUMIF(Data!$C:$C,C163,Data!$ER:$ER)+SUMIF(Data!$C:$C,C163,Data!$ET:$ET)</f>
        <v>224</v>
      </c>
      <c r="I163" s="30">
        <f>G163/19</f>
        <v>133.27231121281463</v>
      </c>
      <c r="J163" s="31">
        <f>H163/19</f>
        <v>11.789473684210526</v>
      </c>
      <c r="K163" s="30">
        <f>IFERROR(INDEX(Data!$ES:$ES,MATCH(C163,Data!$C:$C,0)),0)</f>
        <v>101.73913043478299</v>
      </c>
      <c r="L163" s="31">
        <f>IFERROR(INDEX(Data!$ET:$ET,MATCH(C163,Data!$C:$C,0)),0)</f>
        <v>9</v>
      </c>
      <c r="M163" s="30">
        <f>IFERROR(INDEX(Data!$I$3:$ER$553,MATCH($C163,Data!$C$3:$C$553,0),MATCH(DATE(RIGHT($B$5,4),MID($B$5,4,2),LEFT($B$5,2))-42,Data!$I$1:$ER$1,0)),0)</f>
        <v>180.869565217391</v>
      </c>
      <c r="N163" s="31" cm="1">
        <f t="array" ref="N163">IFERROR(INDEX(Data!$I$3:$ER$553,MATCH($C163,Data!$C$3:$C$553,0),MATCH(DATE(RIGHT($B$5,4),MID($B$5,4,2),LEFT($B$5,2))-42,Data!$I$1:$ER$1,0)+1),0)</f>
        <v>16</v>
      </c>
      <c r="O163" s="30">
        <f>IFERROR(INDEX(Data!$I$3:$ER$553,MATCH($C163,Data!$C$3:$C$553,0),MATCH($M$5,Data!$I$1:$ER$1,0)),0)</f>
        <v>169.565217391304</v>
      </c>
      <c r="P163" s="31" cm="1">
        <f t="array" ref="P163">IFERROR(INDEX(Data!$I$3:$ER$553,MATCH($C163,Data!$C$3:$C$553,0),MATCH($M$5,Data!$I$1:$ER$1,0)+1),0)</f>
        <v>15</v>
      </c>
      <c r="Q163" s="49" t="str">
        <f>IF(R163="","",IF(H163=0,0,R163*(G163/H163)))</f>
        <v/>
      </c>
      <c r="R163" s="50"/>
    </row>
    <row r="164" spans="1:18" x14ac:dyDescent="0.35">
      <c r="A164" s="32">
        <v>218</v>
      </c>
      <c r="B164" s="32" t="s">
        <v>546</v>
      </c>
      <c r="C164" s="32">
        <v>34385</v>
      </c>
      <c r="D164" s="32" t="s">
        <v>463</v>
      </c>
      <c r="E164" s="33">
        <v>458.9913043478266</v>
      </c>
      <c r="F164" s="34">
        <v>16</v>
      </c>
      <c r="G164" s="33">
        <f>SUMIF(Data!$C:$C,C164,Data!$DI:$DI)+SUMIF(Data!$C:$C,C164,Data!$DK:$DK)+SUMIF(Data!$C:$C,C164,Data!$DM:$DM)+SUMIF(Data!$C:$C,C164,Data!$DO:$DO)+SUMIF(Data!$C:$C,C164,Data!$DQ:$DQ)+SUMIF(Data!$C:$C,C164,Data!$DS:$DS)+SUMIF(Data!$C:$C,C164,Data!$DU:$DU)+SUMIF(Data!$C:$C,C164,Data!$DW:$DW)+SUMIF(Data!$C:$C,C164,Data!$DY:$DY)+SUMIF(Data!$C:$C,C164,Data!$EA:$EA)+SUMIF(Data!$C:$C,C164,Data!$EC:$EC)+SUMIF(Data!$C:$C,C164,Data!$EE:$EE)+SUMIF(Data!$C:$C,C164,Data!$EG:$EG)+SUMIF(Data!$C:$C,C164,Data!$EI:$EI)+SUMIF(Data!$C:$C,C164,Data!$EK:$EK)+SUMIF(Data!$C:$C,C164,Data!$EM:$EM)+SUMIF(Data!$C:$C,C164,Data!$EO:$EO)+SUMIF(Data!$C:$C,C164,Data!$EQ:$EQ)+SUMIF(Data!$C:$C,C164,Data!$ES:$ES)</f>
        <v>744.08695652173901</v>
      </c>
      <c r="H164" s="34">
        <f>SUMIF(Data!$C:$C,C164,Data!$DJ:$DJ)+SUMIF(Data!$C:$C,C164,Data!$DL:$DL)+SUMIF(Data!$C:$C,C164,Data!$DN:$DN)+SUMIF(Data!$C:$C,C164,Data!$DP:$DP)+SUMIF(Data!$C:$C,C164,Data!$DR:$DR)+SUMIF(Data!$C:$C,C164,Data!$DT:$DT)+SUMIF(Data!$C:$C,C164,Data!$DV:$DV)+SUMIF(Data!$C:$C,C164,Data!$DX:$DX)+SUMIF(Data!$C:$C,C164,Data!$DZ:$DZ)+SUMIF(Data!$C:$C,C164,Data!$EB:$EB)+SUMIF(Data!$C:$C,C164,Data!$ED:$ED)+SUMIF(Data!$C:$C,C164,Data!$EF:$EF)+SUMIF(Data!$C:$C,C164,Data!$EH:$EH)+SUMIF(Data!$C:$C,C164,Data!$EJ:$EJ)+SUMIF(Data!$C:$C,C164,Data!$EL:$EL)+SUMIF(Data!$C:$C,C164,Data!$EN:$EN)+SUMIF(Data!$C:$C,C164,Data!$EP:$EP)+SUMIF(Data!$C:$C,C164,Data!$ER:$ER)+SUMIF(Data!$C:$C,C164,Data!$ET:$ET)</f>
        <v>30</v>
      </c>
      <c r="I164" s="33">
        <f>G164/19</f>
        <v>39.162471395880999</v>
      </c>
      <c r="J164" s="34">
        <f>H164/19</f>
        <v>1.5789473684210527</v>
      </c>
      <c r="K164" s="33">
        <f>IFERROR(INDEX(Data!$ES:$ES,MATCH(C164,Data!$C:$C,0)),0)</f>
        <v>31.295652173912998</v>
      </c>
      <c r="L164" s="34">
        <f>IFERROR(INDEX(Data!$ET:$ET,MATCH(C164,Data!$C:$C,0)),0)</f>
        <v>1</v>
      </c>
      <c r="M164" s="33">
        <f>IFERROR(INDEX(Data!$I$3:$ER$553,MATCH($C164,Data!$C$3:$C$553,0),MATCH(DATE(RIGHT($B$5,4),MID($B$5,4,2),LEFT($B$5,2))-42,Data!$I$1:$ER$1,0)),0)</f>
        <v>125.18260869565199</v>
      </c>
      <c r="N164" s="34" cm="1">
        <f t="array" ref="N164">IFERROR(INDEX(Data!$I$3:$ER$553,MATCH($C164,Data!$C$3:$C$553,0),MATCH(DATE(RIGHT($B$5,4),MID($B$5,4,2),LEFT($B$5,2))-42,Data!$I$1:$ER$1,0)+1),0)</f>
        <v>4</v>
      </c>
      <c r="O164" s="33">
        <f>IFERROR(INDEX(Data!$I$3:$ER$553,MATCH($C164,Data!$C$3:$C$553,0),MATCH($M$5,Data!$I$1:$ER$1,0)),0)</f>
        <v>0</v>
      </c>
      <c r="P164" s="34" cm="1">
        <f t="array" ref="P164">IFERROR(INDEX(Data!$I$3:$ER$553,MATCH($C164,Data!$C$3:$C$553,0),MATCH($M$5,Data!$I$1:$ER$1,0)+1),0)</f>
        <v>0</v>
      </c>
      <c r="Q164" s="49" t="str">
        <f>IF(R164="","",IF(H164=0,0,R164*(G164/H164)))</f>
        <v/>
      </c>
      <c r="R164" s="50"/>
    </row>
    <row r="165" spans="1:18" x14ac:dyDescent="0.35">
      <c r="A165" s="29">
        <v>218</v>
      </c>
      <c r="B165" s="29" t="s">
        <v>546</v>
      </c>
      <c r="C165" s="29">
        <v>61011</v>
      </c>
      <c r="D165" s="29" t="s">
        <v>479</v>
      </c>
      <c r="E165" s="30">
        <v>373.82608695652232</v>
      </c>
      <c r="F165" s="31">
        <v>10</v>
      </c>
      <c r="G165" s="30">
        <f>SUMIF(Data!$C:$C,C165,Data!$DI:$DI)+SUMIF(Data!$C:$C,C165,Data!$DK:$DK)+SUMIF(Data!$C:$C,C165,Data!$DM:$DM)+SUMIF(Data!$C:$C,C165,Data!$DO:$DO)+SUMIF(Data!$C:$C,C165,Data!$DQ:$DQ)+SUMIF(Data!$C:$C,C165,Data!$DS:$DS)+SUMIF(Data!$C:$C,C165,Data!$DU:$DU)+SUMIF(Data!$C:$C,C165,Data!$DW:$DW)+SUMIF(Data!$C:$C,C165,Data!$DY:$DY)+SUMIF(Data!$C:$C,C165,Data!$EA:$EA)+SUMIF(Data!$C:$C,C165,Data!$EC:$EC)+SUMIF(Data!$C:$C,C165,Data!$EE:$EE)+SUMIF(Data!$C:$C,C165,Data!$EG:$EG)+SUMIF(Data!$C:$C,C165,Data!$EI:$EI)+SUMIF(Data!$C:$C,C165,Data!$EK:$EK)+SUMIF(Data!$C:$C,C165,Data!$EM:$EM)+SUMIF(Data!$C:$C,C165,Data!$EO:$EO)+SUMIF(Data!$C:$C,C165,Data!$EQ:$EQ)+SUMIF(Data!$C:$C,C165,Data!$ES:$ES)</f>
        <v>130.39130434782609</v>
      </c>
      <c r="H165" s="31">
        <f>SUMIF(Data!$C:$C,C165,Data!$DJ:$DJ)+SUMIF(Data!$C:$C,C165,Data!$DL:$DL)+SUMIF(Data!$C:$C,C165,Data!$DN:$DN)+SUMIF(Data!$C:$C,C165,Data!$DP:$DP)+SUMIF(Data!$C:$C,C165,Data!$DR:$DR)+SUMIF(Data!$C:$C,C165,Data!$DT:$DT)+SUMIF(Data!$C:$C,C165,Data!$DV:$DV)+SUMIF(Data!$C:$C,C165,Data!$DX:$DX)+SUMIF(Data!$C:$C,C165,Data!$DZ:$DZ)+SUMIF(Data!$C:$C,C165,Data!$EB:$EB)+SUMIF(Data!$C:$C,C165,Data!$ED:$ED)+SUMIF(Data!$C:$C,C165,Data!$EF:$EF)+SUMIF(Data!$C:$C,C165,Data!$EH:$EH)+SUMIF(Data!$C:$C,C165,Data!$EJ:$EJ)+SUMIF(Data!$C:$C,C165,Data!$EL:$EL)+SUMIF(Data!$C:$C,C165,Data!$EN:$EN)+SUMIF(Data!$C:$C,C165,Data!$EP:$EP)+SUMIF(Data!$C:$C,C165,Data!$ER:$ER)+SUMIF(Data!$C:$C,C165,Data!$ET:$ET)</f>
        <v>5</v>
      </c>
      <c r="I165" s="30">
        <f>G165/19</f>
        <v>6.8627002288329519</v>
      </c>
      <c r="J165" s="31">
        <f>H165/19</f>
        <v>0.26315789473684209</v>
      </c>
      <c r="K165" s="30">
        <f>IFERROR(INDEX(Data!$ES:$ES,MATCH(C165,Data!$C:$C,0)),0)</f>
        <v>0</v>
      </c>
      <c r="L165" s="31">
        <f>IFERROR(INDEX(Data!$ET:$ET,MATCH(C165,Data!$C:$C,0)),0)</f>
        <v>0</v>
      </c>
      <c r="M165" s="30">
        <f>IFERROR(INDEX(Data!$I$3:$ER$553,MATCH($C165,Data!$C$3:$C$553,0),MATCH(DATE(RIGHT($B$5,4),MID($B$5,4,2),LEFT($B$5,2))-42,Data!$I$1:$ER$1,0)),0)</f>
        <v>0</v>
      </c>
      <c r="N165" s="31" cm="1">
        <f t="array" ref="N165">IFERROR(INDEX(Data!$I$3:$ER$553,MATCH($C165,Data!$C$3:$C$553,0),MATCH(DATE(RIGHT($B$5,4),MID($B$5,4,2),LEFT($B$5,2))-42,Data!$I$1:$ER$1,0)+1),0)</f>
        <v>0</v>
      </c>
      <c r="O165" s="30">
        <f>IFERROR(INDEX(Data!$I$3:$ER$553,MATCH($C165,Data!$C$3:$C$553,0),MATCH($M$5,Data!$I$1:$ER$1,0)),0)</f>
        <v>0</v>
      </c>
      <c r="P165" s="31" cm="1">
        <f t="array" ref="P165">IFERROR(INDEX(Data!$I$3:$ER$553,MATCH($C165,Data!$C$3:$C$553,0),MATCH($M$5,Data!$I$1:$ER$1,0)+1),0)</f>
        <v>0</v>
      </c>
      <c r="Q165" s="49" t="str">
        <f>IF(R165="","",IF(H165=0,0,R165*(G165/H165)))</f>
        <v/>
      </c>
      <c r="R165" s="50"/>
    </row>
    <row r="166" spans="1:18" x14ac:dyDescent="0.35">
      <c r="A166" s="32">
        <v>218</v>
      </c>
      <c r="B166" s="32" t="s">
        <v>546</v>
      </c>
      <c r="C166" s="32">
        <v>65605</v>
      </c>
      <c r="D166" s="32" t="s">
        <v>484</v>
      </c>
      <c r="E166" s="33">
        <v>0</v>
      </c>
      <c r="F166" s="34">
        <v>0</v>
      </c>
      <c r="G166" s="33">
        <f>SUMIF(Data!$C:$C,C166,Data!$DI:$DI)+SUMIF(Data!$C:$C,C166,Data!$DK:$DK)+SUMIF(Data!$C:$C,C166,Data!$DM:$DM)+SUMIF(Data!$C:$C,C166,Data!$DO:$DO)+SUMIF(Data!$C:$C,C166,Data!$DQ:$DQ)+SUMIF(Data!$C:$C,C166,Data!$DS:$DS)+SUMIF(Data!$C:$C,C166,Data!$DU:$DU)+SUMIF(Data!$C:$C,C166,Data!$DW:$DW)+SUMIF(Data!$C:$C,C166,Data!$DY:$DY)+SUMIF(Data!$C:$C,C166,Data!$EA:$EA)+SUMIF(Data!$C:$C,C166,Data!$EC:$EC)+SUMIF(Data!$C:$C,C166,Data!$EE:$EE)+SUMIF(Data!$C:$C,C166,Data!$EG:$EG)+SUMIF(Data!$C:$C,C166,Data!$EI:$EI)+SUMIF(Data!$C:$C,C166,Data!$EK:$EK)+SUMIF(Data!$C:$C,C166,Data!$EM:$EM)+SUMIF(Data!$C:$C,C166,Data!$EO:$EO)+SUMIF(Data!$C:$C,C166,Data!$EQ:$EQ)+SUMIF(Data!$C:$C,C166,Data!$ES:$ES)</f>
        <v>106.226086956522</v>
      </c>
      <c r="H166" s="34">
        <f>SUMIF(Data!$C:$C,C166,Data!$DJ:$DJ)+SUMIF(Data!$C:$C,C166,Data!$DL:$DL)+SUMIF(Data!$C:$C,C166,Data!$DN:$DN)+SUMIF(Data!$C:$C,C166,Data!$DP:$DP)+SUMIF(Data!$C:$C,C166,Data!$DR:$DR)+SUMIF(Data!$C:$C,C166,Data!$DT:$DT)+SUMIF(Data!$C:$C,C166,Data!$DV:$DV)+SUMIF(Data!$C:$C,C166,Data!$DX:$DX)+SUMIF(Data!$C:$C,C166,Data!$DZ:$DZ)+SUMIF(Data!$C:$C,C166,Data!$EB:$EB)+SUMIF(Data!$C:$C,C166,Data!$ED:$ED)+SUMIF(Data!$C:$C,C166,Data!$EF:$EF)+SUMIF(Data!$C:$C,C166,Data!$EH:$EH)+SUMIF(Data!$C:$C,C166,Data!$EJ:$EJ)+SUMIF(Data!$C:$C,C166,Data!$EL:$EL)+SUMIF(Data!$C:$C,C166,Data!$EN:$EN)+SUMIF(Data!$C:$C,C166,Data!$EP:$EP)+SUMIF(Data!$C:$C,C166,Data!$ER:$ER)+SUMIF(Data!$C:$C,C166,Data!$ET:$ET)</f>
        <v>1.018</v>
      </c>
      <c r="I166" s="33">
        <f>G166/19</f>
        <v>5.5908466819222102</v>
      </c>
      <c r="J166" s="34">
        <f>H166/19</f>
        <v>5.3578947368421052E-2</v>
      </c>
      <c r="K166" s="33">
        <f>IFERROR(INDEX(Data!$ES:$ES,MATCH(C166,Data!$C:$C,0)),0)</f>
        <v>0</v>
      </c>
      <c r="L166" s="34">
        <f>IFERROR(INDEX(Data!$ET:$ET,MATCH(C166,Data!$C:$C,0)),0)</f>
        <v>0</v>
      </c>
      <c r="M166" s="33">
        <f>IFERROR(INDEX(Data!$I$3:$ER$553,MATCH($C166,Data!$C$3:$C$553,0),MATCH(DATE(RIGHT($B$5,4),MID($B$5,4,2),LEFT($B$5,2))-42,Data!$I$1:$ER$1,0)),0)</f>
        <v>0</v>
      </c>
      <c r="N166" s="34" cm="1">
        <f t="array" ref="N166">IFERROR(INDEX(Data!$I$3:$ER$553,MATCH($C166,Data!$C$3:$C$553,0),MATCH(DATE(RIGHT($B$5,4),MID($B$5,4,2),LEFT($B$5,2))-42,Data!$I$1:$ER$1,0)+1),0)</f>
        <v>0</v>
      </c>
      <c r="O166" s="33">
        <f>IFERROR(INDEX(Data!$I$3:$ER$553,MATCH($C166,Data!$C$3:$C$553,0),MATCH($M$5,Data!$I$1:$ER$1,0)),0)</f>
        <v>0</v>
      </c>
      <c r="P166" s="34" cm="1">
        <f t="array" ref="P166">IFERROR(INDEX(Data!$I$3:$ER$553,MATCH($C166,Data!$C$3:$C$553,0),MATCH($M$5,Data!$I$1:$ER$1,0)+1),0)</f>
        <v>0</v>
      </c>
      <c r="Q166" s="49" t="str">
        <f>IF(R166="","",IF(H166=0,0,R166*(G166/H166)))</f>
        <v/>
      </c>
      <c r="R166" s="50"/>
    </row>
    <row r="167" spans="1:18" x14ac:dyDescent="0.35">
      <c r="A167" s="29">
        <v>218</v>
      </c>
      <c r="B167" s="29" t="s">
        <v>546</v>
      </c>
      <c r="C167" s="29">
        <v>64641</v>
      </c>
      <c r="D167" s="29" t="s">
        <v>342</v>
      </c>
      <c r="E167" s="30">
        <v>0</v>
      </c>
      <c r="F167" s="31">
        <v>0</v>
      </c>
      <c r="G167" s="30">
        <f>SUMIF(Data!$C:$C,C167,Data!$DI:$DI)+SUMIF(Data!$C:$C,C167,Data!$DK:$DK)+SUMIF(Data!$C:$C,C167,Data!$DM:$DM)+SUMIF(Data!$C:$C,C167,Data!$DO:$DO)+SUMIF(Data!$C:$C,C167,Data!$DQ:$DQ)+SUMIF(Data!$C:$C,C167,Data!$DS:$DS)+SUMIF(Data!$C:$C,C167,Data!$DU:$DU)+SUMIF(Data!$C:$C,C167,Data!$DW:$DW)+SUMIF(Data!$C:$C,C167,Data!$DY:$DY)+SUMIF(Data!$C:$C,C167,Data!$EA:$EA)+SUMIF(Data!$C:$C,C167,Data!$EC:$EC)+SUMIF(Data!$C:$C,C167,Data!$EE:$EE)+SUMIF(Data!$C:$C,C167,Data!$EG:$EG)+SUMIF(Data!$C:$C,C167,Data!$EI:$EI)+SUMIF(Data!$C:$C,C167,Data!$EK:$EK)+SUMIF(Data!$C:$C,C167,Data!$EM:$EM)+SUMIF(Data!$C:$C,C167,Data!$EO:$EO)+SUMIF(Data!$C:$C,C167,Data!$EQ:$EQ)+SUMIF(Data!$C:$C,C167,Data!$ES:$ES)</f>
        <v>40</v>
      </c>
      <c r="H167" s="31">
        <f>SUMIF(Data!$C:$C,C167,Data!$DJ:$DJ)+SUMIF(Data!$C:$C,C167,Data!$DL:$DL)+SUMIF(Data!$C:$C,C167,Data!$DN:$DN)+SUMIF(Data!$C:$C,C167,Data!$DP:$DP)+SUMIF(Data!$C:$C,C167,Data!$DR:$DR)+SUMIF(Data!$C:$C,C167,Data!$DT:$DT)+SUMIF(Data!$C:$C,C167,Data!$DV:$DV)+SUMIF(Data!$C:$C,C167,Data!$DX:$DX)+SUMIF(Data!$C:$C,C167,Data!$DZ:$DZ)+SUMIF(Data!$C:$C,C167,Data!$EB:$EB)+SUMIF(Data!$C:$C,C167,Data!$ED:$ED)+SUMIF(Data!$C:$C,C167,Data!$EF:$EF)+SUMIF(Data!$C:$C,C167,Data!$EH:$EH)+SUMIF(Data!$C:$C,C167,Data!$EJ:$EJ)+SUMIF(Data!$C:$C,C167,Data!$EL:$EL)+SUMIF(Data!$C:$C,C167,Data!$EN:$EN)+SUMIF(Data!$C:$C,C167,Data!$EP:$EP)+SUMIF(Data!$C:$C,C167,Data!$ER:$ER)+SUMIF(Data!$C:$C,C167,Data!$ET:$ET)</f>
        <v>0.23</v>
      </c>
      <c r="I167" s="30">
        <f>G167/19</f>
        <v>2.1052631578947367</v>
      </c>
      <c r="J167" s="31">
        <f>H167/19</f>
        <v>1.2105263157894737E-2</v>
      </c>
      <c r="K167" s="30">
        <f>IFERROR(INDEX(Data!$ES:$ES,MATCH(C167,Data!$C:$C,0)),0)</f>
        <v>0</v>
      </c>
      <c r="L167" s="31">
        <f>IFERROR(INDEX(Data!$ET:$ET,MATCH(C167,Data!$C:$C,0)),0)</f>
        <v>0</v>
      </c>
      <c r="M167" s="30">
        <f>IFERROR(INDEX(Data!$I$3:$ER$553,MATCH($C167,Data!$C$3:$C$553,0),MATCH(DATE(RIGHT($B$5,4),MID($B$5,4,2),LEFT($B$5,2))-42,Data!$I$1:$ER$1,0)),0)</f>
        <v>0</v>
      </c>
      <c r="N167" s="31" cm="1">
        <f t="array" ref="N167">IFERROR(INDEX(Data!$I$3:$ER$553,MATCH($C167,Data!$C$3:$C$553,0),MATCH(DATE(RIGHT($B$5,4),MID($B$5,4,2),LEFT($B$5,2))-42,Data!$I$1:$ER$1,0)+1),0)</f>
        <v>0</v>
      </c>
      <c r="O167" s="30">
        <f>IFERROR(INDEX(Data!$I$3:$ER$553,MATCH($C167,Data!$C$3:$C$553,0),MATCH($M$5,Data!$I$1:$ER$1,0)),0)</f>
        <v>0</v>
      </c>
      <c r="P167" s="31" cm="1">
        <f t="array" ref="P167">IFERROR(INDEX(Data!$I$3:$ER$553,MATCH($C167,Data!$C$3:$C$553,0),MATCH($M$5,Data!$I$1:$ER$1,0)+1),0)</f>
        <v>0</v>
      </c>
      <c r="Q167" s="49" t="str">
        <f>IF(R167="","",IF(H167=0,0,R167*(G167/H167)))</f>
        <v/>
      </c>
      <c r="R167" s="50"/>
    </row>
    <row r="168" spans="1:18" ht="13.5" thickBot="1" x14ac:dyDescent="0.4">
      <c r="A168" s="54" t="s">
        <v>696</v>
      </c>
      <c r="B168" s="54"/>
      <c r="C168" s="54"/>
      <c r="D168" s="54"/>
      <c r="E168" s="55">
        <f>SUM(E160:E167)</f>
        <v>14455.199999999997</v>
      </c>
      <c r="F168" s="56">
        <f>SUM(F160:F167)</f>
        <v>1235</v>
      </c>
      <c r="G168" s="55">
        <f>SUM(G160:G167)</f>
        <v>21293.191304347827</v>
      </c>
      <c r="H168" s="56">
        <f>SUM(H160:H167)</f>
        <v>1924.248</v>
      </c>
      <c r="I168" s="55">
        <f>AVERAGE(I160:I167)</f>
        <v>140.08678489702518</v>
      </c>
      <c r="J168" s="56">
        <f>AVERAGE(J160:J167)</f>
        <v>12.659526315789471</v>
      </c>
      <c r="K168" s="55">
        <f>SUM(K160:K167)</f>
        <v>871.426086956522</v>
      </c>
      <c r="L168" s="56">
        <f>SUM(L160:L167)</f>
        <v>95</v>
      </c>
      <c r="M168" s="55">
        <f>SUM(M160:M167)</f>
        <v>1235.7652173913038</v>
      </c>
      <c r="N168" s="56">
        <f>SUM(N160:N167)</f>
        <v>103</v>
      </c>
      <c r="O168" s="55">
        <f>SUM(O160:O167)</f>
        <v>1272.9739130434771</v>
      </c>
      <c r="P168" s="56">
        <f>SUM(P160:P167)</f>
        <v>123</v>
      </c>
      <c r="Q168" s="57">
        <f>SUM(Q160:Q167)</f>
        <v>0</v>
      </c>
      <c r="R168" s="58">
        <f>SUM(R160:R167)</f>
        <v>0</v>
      </c>
    </row>
    <row r="169" spans="1:18" ht="13.5" thickTop="1" x14ac:dyDescent="0.35">
      <c r="A169" s="29"/>
      <c r="B169" s="29"/>
      <c r="C169" s="29"/>
      <c r="D169" s="29"/>
      <c r="E169" s="30"/>
      <c r="F169" s="31"/>
      <c r="G169" s="30"/>
      <c r="H169" s="31"/>
      <c r="I169" s="30"/>
      <c r="J169" s="31"/>
      <c r="K169" s="30"/>
      <c r="L169" s="31"/>
      <c r="M169" s="30"/>
      <c r="N169" s="31"/>
      <c r="O169" s="30"/>
      <c r="P169" s="31"/>
      <c r="Q169" s="49"/>
      <c r="R169" s="50"/>
    </row>
    <row r="170" spans="1:18" x14ac:dyDescent="0.35">
      <c r="A170" s="32">
        <v>224</v>
      </c>
      <c r="B170" s="32" t="s">
        <v>552</v>
      </c>
      <c r="C170" s="32">
        <v>53854</v>
      </c>
      <c r="D170" s="32" t="s">
        <v>506</v>
      </c>
      <c r="E170" s="33">
        <v>34328.495652173908</v>
      </c>
      <c r="F170" s="34">
        <v>98.100999999999985</v>
      </c>
      <c r="G170" s="33">
        <f>SUMIF(Data!$C:$C,C170,Data!$DI:$DI)+SUMIF(Data!$C:$C,C170,Data!$DK:$DK)+SUMIF(Data!$C:$C,C170,Data!$DM:$DM)+SUMIF(Data!$C:$C,C170,Data!$DO:$DO)+SUMIF(Data!$C:$C,C170,Data!$DQ:$DQ)+SUMIF(Data!$C:$C,C170,Data!$DS:$DS)+SUMIF(Data!$C:$C,C170,Data!$DU:$DU)+SUMIF(Data!$C:$C,C170,Data!$DW:$DW)+SUMIF(Data!$C:$C,C170,Data!$DY:$DY)+SUMIF(Data!$C:$C,C170,Data!$EA:$EA)+SUMIF(Data!$C:$C,C170,Data!$EC:$EC)+SUMIF(Data!$C:$C,C170,Data!$EE:$EE)+SUMIF(Data!$C:$C,C170,Data!$EG:$EG)+SUMIF(Data!$C:$C,C170,Data!$EI:$EI)+SUMIF(Data!$C:$C,C170,Data!$EK:$EK)+SUMIF(Data!$C:$C,C170,Data!$EM:$EM)+SUMIF(Data!$C:$C,C170,Data!$EO:$EO)+SUMIF(Data!$C:$C,C170,Data!$EQ:$EQ)+SUMIF(Data!$C:$C,C170,Data!$ES:$ES)</f>
        <v>35333.104347826084</v>
      </c>
      <c r="H170" s="34">
        <f>SUMIF(Data!$C:$C,C170,Data!$DJ:$DJ)+SUMIF(Data!$C:$C,C170,Data!$DL:$DL)+SUMIF(Data!$C:$C,C170,Data!$DN:$DN)+SUMIF(Data!$C:$C,C170,Data!$DP:$DP)+SUMIF(Data!$C:$C,C170,Data!$DR:$DR)+SUMIF(Data!$C:$C,C170,Data!$DT:$DT)+SUMIF(Data!$C:$C,C170,Data!$DV:$DV)+SUMIF(Data!$C:$C,C170,Data!$DX:$DX)+SUMIF(Data!$C:$C,C170,Data!$DZ:$DZ)+SUMIF(Data!$C:$C,C170,Data!$EB:$EB)+SUMIF(Data!$C:$C,C170,Data!$ED:$ED)+SUMIF(Data!$C:$C,C170,Data!$EF:$EF)+SUMIF(Data!$C:$C,C170,Data!$EH:$EH)+SUMIF(Data!$C:$C,C170,Data!$EJ:$EJ)+SUMIF(Data!$C:$C,C170,Data!$EL:$EL)+SUMIF(Data!$C:$C,C170,Data!$EN:$EN)+SUMIF(Data!$C:$C,C170,Data!$EP:$EP)+SUMIF(Data!$C:$C,C170,Data!$ER:$ER)+SUMIF(Data!$C:$C,C170,Data!$ET:$ET)</f>
        <v>100.61900000000001</v>
      </c>
      <c r="I170" s="33">
        <f>G170/19</f>
        <v>1859.6370709382149</v>
      </c>
      <c r="J170" s="34">
        <f>H170/19</f>
        <v>5.2957368421052635</v>
      </c>
      <c r="K170" s="33">
        <f>IFERROR(INDEX(Data!$ES:$ES,MATCH(C170,Data!$C:$C,0)),0)</f>
        <v>1768.0695652173899</v>
      </c>
      <c r="L170" s="34">
        <f>IFERROR(INDEX(Data!$ET:$ET,MATCH(C170,Data!$C:$C,0)),0)</f>
        <v>5.0960000000000001</v>
      </c>
      <c r="M170" s="33">
        <f>IFERROR(INDEX(Data!$I$3:$ER$553,MATCH($C170,Data!$C$3:$C$553,0),MATCH(DATE(RIGHT($B$5,4),MID($B$5,4,2),LEFT($B$5,2))-42,Data!$I$1:$ER$1,0)),0)</f>
        <v>1914.52173913043</v>
      </c>
      <c r="N170" s="34" cm="1">
        <f t="array" ref="N170">IFERROR(INDEX(Data!$I$3:$ER$553,MATCH($C170,Data!$C$3:$C$553,0),MATCH(DATE(RIGHT($B$5,4),MID($B$5,4,2),LEFT($B$5,2))-42,Data!$I$1:$ER$1,0)+1),0)</f>
        <v>5.5179999999999998</v>
      </c>
      <c r="O170" s="33">
        <f>IFERROR(INDEX(Data!$I$3:$ER$553,MATCH($C170,Data!$C$3:$C$553,0),MATCH($M$5,Data!$I$1:$ER$1,0)),0)</f>
        <v>1682.4347826087001</v>
      </c>
      <c r="P170" s="34" cm="1">
        <f t="array" ref="P170">IFERROR(INDEX(Data!$I$3:$ER$553,MATCH($C170,Data!$C$3:$C$553,0),MATCH($M$5,Data!$I$1:$ER$1,0)+1),0)</f>
        <v>4.51</v>
      </c>
      <c r="Q170" s="49" t="str">
        <f>IF(R170="","",IF(H170=0,0,R170*(G170/H170)))</f>
        <v/>
      </c>
      <c r="R170" s="50"/>
    </row>
    <row r="171" spans="1:18" x14ac:dyDescent="0.35">
      <c r="A171" s="29">
        <v>224</v>
      </c>
      <c r="B171" s="29" t="s">
        <v>552</v>
      </c>
      <c r="C171" s="29">
        <v>61155</v>
      </c>
      <c r="D171" s="29" t="s">
        <v>513</v>
      </c>
      <c r="E171" s="30">
        <v>11882.165217391326</v>
      </c>
      <c r="F171" s="31">
        <v>651</v>
      </c>
      <c r="G171" s="30">
        <f>SUMIF(Data!$C:$C,C171,Data!$DI:$DI)+SUMIF(Data!$C:$C,C171,Data!$DK:$DK)+SUMIF(Data!$C:$C,C171,Data!$DM:$DM)+SUMIF(Data!$C:$C,C171,Data!$DO:$DO)+SUMIF(Data!$C:$C,C171,Data!$DQ:$DQ)+SUMIF(Data!$C:$C,C171,Data!$DS:$DS)+SUMIF(Data!$C:$C,C171,Data!$DU:$DU)+SUMIF(Data!$C:$C,C171,Data!$DW:$DW)+SUMIF(Data!$C:$C,C171,Data!$DY:$DY)+SUMIF(Data!$C:$C,C171,Data!$EA:$EA)+SUMIF(Data!$C:$C,C171,Data!$EC:$EC)+SUMIF(Data!$C:$C,C171,Data!$EE:$EE)+SUMIF(Data!$C:$C,C171,Data!$EG:$EG)+SUMIF(Data!$C:$C,C171,Data!$EI:$EI)+SUMIF(Data!$C:$C,C171,Data!$EK:$EK)+SUMIF(Data!$C:$C,C171,Data!$EM:$EM)+SUMIF(Data!$C:$C,C171,Data!$EO:$EO)+SUMIF(Data!$C:$C,C171,Data!$EQ:$EQ)+SUMIF(Data!$C:$C,C171,Data!$ES:$ES)</f>
        <v>28512.765217391316</v>
      </c>
      <c r="H171" s="31">
        <f>SUMIF(Data!$C:$C,C171,Data!$DJ:$DJ)+SUMIF(Data!$C:$C,C171,Data!$DL:$DL)+SUMIF(Data!$C:$C,C171,Data!$DN:$DN)+SUMIF(Data!$C:$C,C171,Data!$DP:$DP)+SUMIF(Data!$C:$C,C171,Data!$DR:$DR)+SUMIF(Data!$C:$C,C171,Data!$DT:$DT)+SUMIF(Data!$C:$C,C171,Data!$DV:$DV)+SUMIF(Data!$C:$C,C171,Data!$DX:$DX)+SUMIF(Data!$C:$C,C171,Data!$DZ:$DZ)+SUMIF(Data!$C:$C,C171,Data!$EB:$EB)+SUMIF(Data!$C:$C,C171,Data!$ED:$ED)+SUMIF(Data!$C:$C,C171,Data!$EF:$EF)+SUMIF(Data!$C:$C,C171,Data!$EH:$EH)+SUMIF(Data!$C:$C,C171,Data!$EJ:$EJ)+SUMIF(Data!$C:$C,C171,Data!$EL:$EL)+SUMIF(Data!$C:$C,C171,Data!$EN:$EN)+SUMIF(Data!$C:$C,C171,Data!$EP:$EP)+SUMIF(Data!$C:$C,C171,Data!$ER:$ER)+SUMIF(Data!$C:$C,C171,Data!$ET:$ET)</f>
        <v>1132</v>
      </c>
      <c r="I171" s="30">
        <f>G171/19</f>
        <v>1500.6718535469113</v>
      </c>
      <c r="J171" s="31">
        <f>H171/19</f>
        <v>59.578947368421055</v>
      </c>
      <c r="K171" s="30">
        <f>IFERROR(INDEX(Data!$ES:$ES,MATCH(C171,Data!$C:$C,0)),0)</f>
        <v>1460.3826086956501</v>
      </c>
      <c r="L171" s="31">
        <f>IFERROR(INDEX(Data!$ET:$ET,MATCH(C171,Data!$C:$C,0)),0)</f>
        <v>56</v>
      </c>
      <c r="M171" s="30">
        <f>IFERROR(INDEX(Data!$I$3:$ER$553,MATCH($C171,Data!$C$3:$C$553,0),MATCH(DATE(RIGHT($B$5,4),MID($B$5,4,2),LEFT($B$5,2))-42,Data!$I$1:$ER$1,0)),0)</f>
        <v>1356.0695652173899</v>
      </c>
      <c r="N171" s="31" cm="1">
        <f t="array" ref="N171">IFERROR(INDEX(Data!$I$3:$ER$553,MATCH($C171,Data!$C$3:$C$553,0),MATCH(DATE(RIGHT($B$5,4),MID($B$5,4,2),LEFT($B$5,2))-42,Data!$I$1:$ER$1,0)+1),0)</f>
        <v>52</v>
      </c>
      <c r="O171" s="30">
        <f>IFERROR(INDEX(Data!$I$3:$ER$553,MATCH($C171,Data!$C$3:$C$553,0),MATCH($M$5,Data!$I$1:$ER$1,0)),0)</f>
        <v>912.60869565217399</v>
      </c>
      <c r="P171" s="31" cm="1">
        <f t="array" ref="P171">IFERROR(INDEX(Data!$I$3:$ER$553,MATCH($C171,Data!$C$3:$C$553,0),MATCH($M$5,Data!$I$1:$ER$1,0)+1),0)</f>
        <v>50</v>
      </c>
      <c r="Q171" s="49" t="str">
        <f>IF(R171="","",IF(H171=0,0,R171*(G171/H171)))</f>
        <v/>
      </c>
      <c r="R171" s="50"/>
    </row>
    <row r="172" spans="1:18" x14ac:dyDescent="0.35">
      <c r="A172" s="32">
        <v>224</v>
      </c>
      <c r="B172" s="32" t="s">
        <v>552</v>
      </c>
      <c r="C172" s="32">
        <v>52933</v>
      </c>
      <c r="D172" s="32" t="s">
        <v>498</v>
      </c>
      <c r="E172" s="33">
        <v>10730.086956521738</v>
      </c>
      <c r="F172" s="34">
        <v>34.768000000000001</v>
      </c>
      <c r="G172" s="33">
        <f>SUMIF(Data!$C:$C,C172,Data!$DI:$DI)+SUMIF(Data!$C:$C,C172,Data!$DK:$DK)+SUMIF(Data!$C:$C,C172,Data!$DM:$DM)+SUMIF(Data!$C:$C,C172,Data!$DO:$DO)+SUMIF(Data!$C:$C,C172,Data!$DQ:$DQ)+SUMIF(Data!$C:$C,C172,Data!$DS:$DS)+SUMIF(Data!$C:$C,C172,Data!$DU:$DU)+SUMIF(Data!$C:$C,C172,Data!$DW:$DW)+SUMIF(Data!$C:$C,C172,Data!$DY:$DY)+SUMIF(Data!$C:$C,C172,Data!$EA:$EA)+SUMIF(Data!$C:$C,C172,Data!$EC:$EC)+SUMIF(Data!$C:$C,C172,Data!$EE:$EE)+SUMIF(Data!$C:$C,C172,Data!$EG:$EG)+SUMIF(Data!$C:$C,C172,Data!$EI:$EI)+SUMIF(Data!$C:$C,C172,Data!$EK:$EK)+SUMIF(Data!$C:$C,C172,Data!$EM:$EM)+SUMIF(Data!$C:$C,C172,Data!$EO:$EO)+SUMIF(Data!$C:$C,C172,Data!$EQ:$EQ)+SUMIF(Data!$C:$C,C172,Data!$ES:$ES)</f>
        <v>13711.286956521737</v>
      </c>
      <c r="H172" s="34">
        <f>SUMIF(Data!$C:$C,C172,Data!$DJ:$DJ)+SUMIF(Data!$C:$C,C172,Data!$DL:$DL)+SUMIF(Data!$C:$C,C172,Data!$DN:$DN)+SUMIF(Data!$C:$C,C172,Data!$DP:$DP)+SUMIF(Data!$C:$C,C172,Data!$DR:$DR)+SUMIF(Data!$C:$C,C172,Data!$DT:$DT)+SUMIF(Data!$C:$C,C172,Data!$DV:$DV)+SUMIF(Data!$C:$C,C172,Data!$DX:$DX)+SUMIF(Data!$C:$C,C172,Data!$DZ:$DZ)+SUMIF(Data!$C:$C,C172,Data!$EB:$EB)+SUMIF(Data!$C:$C,C172,Data!$ED:$ED)+SUMIF(Data!$C:$C,C172,Data!$EF:$EF)+SUMIF(Data!$C:$C,C172,Data!$EH:$EH)+SUMIF(Data!$C:$C,C172,Data!$EJ:$EJ)+SUMIF(Data!$C:$C,C172,Data!$EL:$EL)+SUMIF(Data!$C:$C,C172,Data!$EN:$EN)+SUMIF(Data!$C:$C,C172,Data!$EP:$EP)+SUMIF(Data!$C:$C,C172,Data!$ER:$ER)+SUMIF(Data!$C:$C,C172,Data!$ET:$ET)</f>
        <v>39.42</v>
      </c>
      <c r="I172" s="33">
        <f>G172/19</f>
        <v>721.64668192219665</v>
      </c>
      <c r="J172" s="34">
        <f>H172/19</f>
        <v>2.0747368421052634</v>
      </c>
      <c r="K172" s="33">
        <f>IFERROR(INDEX(Data!$ES:$ES,MATCH(C172,Data!$C:$C,0)),0)</f>
        <v>840.33913043478299</v>
      </c>
      <c r="L172" s="34">
        <f>IFERROR(INDEX(Data!$ET:$ET,MATCH(C172,Data!$C:$C,0)),0)</f>
        <v>2.4159999999999999</v>
      </c>
      <c r="M172" s="33">
        <f>IFERROR(INDEX(Data!$I$3:$ER$553,MATCH($C172,Data!$C$3:$C$553,0),MATCH(DATE(RIGHT($B$5,4),MID($B$5,4,2),LEFT($B$5,2))-42,Data!$I$1:$ER$1,0)),0)</f>
        <v>1005.91304347826</v>
      </c>
      <c r="N172" s="34" cm="1">
        <f t="array" ref="N172">IFERROR(INDEX(Data!$I$3:$ER$553,MATCH($C172,Data!$C$3:$C$553,0),MATCH(DATE(RIGHT($B$5,4),MID($B$5,4,2),LEFT($B$5,2))-42,Data!$I$1:$ER$1,0)+1),0)</f>
        <v>2.8919999999999999</v>
      </c>
      <c r="O172" s="33">
        <f>IFERROR(INDEX(Data!$I$3:$ER$553,MATCH($C172,Data!$C$3:$C$553,0),MATCH($M$5,Data!$I$1:$ER$1,0)),0)</f>
        <v>0</v>
      </c>
      <c r="P172" s="34" cm="1">
        <f t="array" ref="P172">IFERROR(INDEX(Data!$I$3:$ER$553,MATCH($C172,Data!$C$3:$C$553,0),MATCH($M$5,Data!$I$1:$ER$1,0)+1),0)</f>
        <v>0</v>
      </c>
      <c r="Q172" s="49" t="str">
        <f>IF(R172="","",IF(H172=0,0,R172*(G172/H172)))</f>
        <v/>
      </c>
      <c r="R172" s="50"/>
    </row>
    <row r="173" spans="1:18" x14ac:dyDescent="0.35">
      <c r="A173" s="29">
        <v>224</v>
      </c>
      <c r="B173" s="29" t="s">
        <v>552</v>
      </c>
      <c r="C173" s="29">
        <v>52937</v>
      </c>
      <c r="D173" s="29" t="s">
        <v>502</v>
      </c>
      <c r="E173" s="30">
        <v>10677.565217391302</v>
      </c>
      <c r="F173" s="31">
        <v>22.297000000000001</v>
      </c>
      <c r="G173" s="30">
        <f>SUMIF(Data!$C:$C,C173,Data!$DI:$DI)+SUMIF(Data!$C:$C,C173,Data!$DK:$DK)+SUMIF(Data!$C:$C,C173,Data!$DM:$DM)+SUMIF(Data!$C:$C,C173,Data!$DO:$DO)+SUMIF(Data!$C:$C,C173,Data!$DQ:$DQ)+SUMIF(Data!$C:$C,C173,Data!$DS:$DS)+SUMIF(Data!$C:$C,C173,Data!$DU:$DU)+SUMIF(Data!$C:$C,C173,Data!$DW:$DW)+SUMIF(Data!$C:$C,C173,Data!$DY:$DY)+SUMIF(Data!$C:$C,C173,Data!$EA:$EA)+SUMIF(Data!$C:$C,C173,Data!$EC:$EC)+SUMIF(Data!$C:$C,C173,Data!$EE:$EE)+SUMIF(Data!$C:$C,C173,Data!$EG:$EG)+SUMIF(Data!$C:$C,C173,Data!$EI:$EI)+SUMIF(Data!$C:$C,C173,Data!$EK:$EK)+SUMIF(Data!$C:$C,C173,Data!$EM:$EM)+SUMIF(Data!$C:$C,C173,Data!$EO:$EO)+SUMIF(Data!$C:$C,C173,Data!$EQ:$EQ)+SUMIF(Data!$C:$C,C173,Data!$ES:$ES)</f>
        <v>12753.086956521736</v>
      </c>
      <c r="H173" s="31">
        <f>SUMIF(Data!$C:$C,C173,Data!$DJ:$DJ)+SUMIF(Data!$C:$C,C173,Data!$DL:$DL)+SUMIF(Data!$C:$C,C173,Data!$DN:$DN)+SUMIF(Data!$C:$C,C173,Data!$DP:$DP)+SUMIF(Data!$C:$C,C173,Data!$DR:$DR)+SUMIF(Data!$C:$C,C173,Data!$DT:$DT)+SUMIF(Data!$C:$C,C173,Data!$DV:$DV)+SUMIF(Data!$C:$C,C173,Data!$DX:$DX)+SUMIF(Data!$C:$C,C173,Data!$DZ:$DZ)+SUMIF(Data!$C:$C,C173,Data!$EB:$EB)+SUMIF(Data!$C:$C,C173,Data!$ED:$ED)+SUMIF(Data!$C:$C,C173,Data!$EF:$EF)+SUMIF(Data!$C:$C,C173,Data!$EH:$EH)+SUMIF(Data!$C:$C,C173,Data!$EJ:$EJ)+SUMIF(Data!$C:$C,C173,Data!$EL:$EL)+SUMIF(Data!$C:$C,C173,Data!$EN:$EN)+SUMIF(Data!$C:$C,C173,Data!$EP:$EP)+SUMIF(Data!$C:$C,C173,Data!$ER:$ER)+SUMIF(Data!$C:$C,C173,Data!$ET:$ET)</f>
        <v>28.364999999999998</v>
      </c>
      <c r="I173" s="30">
        <f>G173/19</f>
        <v>671.21510297482826</v>
      </c>
      <c r="J173" s="31">
        <f>H173/19</f>
        <v>1.4928947368421053</v>
      </c>
      <c r="K173" s="30">
        <f>IFERROR(INDEX(Data!$ES:$ES,MATCH(C173,Data!$C:$C,0)),0)</f>
        <v>721.73913043478296</v>
      </c>
      <c r="L173" s="31">
        <f>IFERROR(INDEX(Data!$ET:$ET,MATCH(C173,Data!$C:$C,0)),0)</f>
        <v>1.66</v>
      </c>
      <c r="M173" s="30">
        <f>IFERROR(INDEX(Data!$I$3:$ER$553,MATCH($C173,Data!$C$3:$C$553,0),MATCH(DATE(RIGHT($B$5,4),MID($B$5,4,2),LEFT($B$5,2))-42,Data!$I$1:$ER$1,0)),0)</f>
        <v>831.304347826087</v>
      </c>
      <c r="N173" s="31" cm="1">
        <f t="array" ref="N173">IFERROR(INDEX(Data!$I$3:$ER$553,MATCH($C173,Data!$C$3:$C$553,0),MATCH(DATE(RIGHT($B$5,4),MID($B$5,4,2),LEFT($B$5,2))-42,Data!$I$1:$ER$1,0)+1),0)</f>
        <v>1.9119999999999999</v>
      </c>
      <c r="O173" s="30">
        <f>IFERROR(INDEX(Data!$I$3:$ER$553,MATCH($C173,Data!$C$3:$C$553,0),MATCH($M$5,Data!$I$1:$ER$1,0)),0)</f>
        <v>1024.3478260869599</v>
      </c>
      <c r="P173" s="31" cm="1">
        <f t="array" ref="P173">IFERROR(INDEX(Data!$I$3:$ER$553,MATCH($C173,Data!$C$3:$C$553,0),MATCH($M$5,Data!$I$1:$ER$1,0)+1),0)</f>
        <v>2</v>
      </c>
      <c r="Q173" s="49" t="str">
        <f>IF(R173="","",IF(H173=0,0,R173*(G173/H173)))</f>
        <v/>
      </c>
      <c r="R173" s="50"/>
    </row>
    <row r="174" spans="1:18" x14ac:dyDescent="0.35">
      <c r="A174" s="32">
        <v>224</v>
      </c>
      <c r="B174" s="32" t="s">
        <v>552</v>
      </c>
      <c r="C174" s="32">
        <v>60726</v>
      </c>
      <c r="D174" s="32" t="s">
        <v>512</v>
      </c>
      <c r="E174" s="33">
        <v>9085.278260869567</v>
      </c>
      <c r="F174" s="34">
        <v>26.164000000000001</v>
      </c>
      <c r="G174" s="33">
        <f>SUMIF(Data!$C:$C,C174,Data!$DI:$DI)+SUMIF(Data!$C:$C,C174,Data!$DK:$DK)+SUMIF(Data!$C:$C,C174,Data!$DM:$DM)+SUMIF(Data!$C:$C,C174,Data!$DO:$DO)+SUMIF(Data!$C:$C,C174,Data!$DQ:$DQ)+SUMIF(Data!$C:$C,C174,Data!$DS:$DS)+SUMIF(Data!$C:$C,C174,Data!$DU:$DU)+SUMIF(Data!$C:$C,C174,Data!$DW:$DW)+SUMIF(Data!$C:$C,C174,Data!$DY:$DY)+SUMIF(Data!$C:$C,C174,Data!$EA:$EA)+SUMIF(Data!$C:$C,C174,Data!$EC:$EC)+SUMIF(Data!$C:$C,C174,Data!$EE:$EE)+SUMIF(Data!$C:$C,C174,Data!$EG:$EG)+SUMIF(Data!$C:$C,C174,Data!$EI:$EI)+SUMIF(Data!$C:$C,C174,Data!$EK:$EK)+SUMIF(Data!$C:$C,C174,Data!$EM:$EM)+SUMIF(Data!$C:$C,C174,Data!$EO:$EO)+SUMIF(Data!$C:$C,C174,Data!$EQ:$EQ)+SUMIF(Data!$C:$C,C174,Data!$ES:$ES)</f>
        <v>11616.104347826093</v>
      </c>
      <c r="H174" s="34">
        <f>SUMIF(Data!$C:$C,C174,Data!$DJ:$DJ)+SUMIF(Data!$C:$C,C174,Data!$DL:$DL)+SUMIF(Data!$C:$C,C174,Data!$DN:$DN)+SUMIF(Data!$C:$C,C174,Data!$DP:$DP)+SUMIF(Data!$C:$C,C174,Data!$DR:$DR)+SUMIF(Data!$C:$C,C174,Data!$DT:$DT)+SUMIF(Data!$C:$C,C174,Data!$DV:$DV)+SUMIF(Data!$C:$C,C174,Data!$DX:$DX)+SUMIF(Data!$C:$C,C174,Data!$DZ:$DZ)+SUMIF(Data!$C:$C,C174,Data!$EB:$EB)+SUMIF(Data!$C:$C,C174,Data!$ED:$ED)+SUMIF(Data!$C:$C,C174,Data!$EF:$EF)+SUMIF(Data!$C:$C,C174,Data!$EH:$EH)+SUMIF(Data!$C:$C,C174,Data!$EJ:$EJ)+SUMIF(Data!$C:$C,C174,Data!$EL:$EL)+SUMIF(Data!$C:$C,C174,Data!$EN:$EN)+SUMIF(Data!$C:$C,C174,Data!$EP:$EP)+SUMIF(Data!$C:$C,C174,Data!$ER:$ER)+SUMIF(Data!$C:$C,C174,Data!$ET:$ET)</f>
        <v>33.097999999999999</v>
      </c>
      <c r="I174" s="33">
        <f>G174/19</f>
        <v>611.37391304347852</v>
      </c>
      <c r="J174" s="34">
        <f>H174/19</f>
        <v>1.742</v>
      </c>
      <c r="K174" s="33">
        <f>IFERROR(INDEX(Data!$ES:$ES,MATCH(C174,Data!$C:$C,0)),0)</f>
        <v>700.86086956521797</v>
      </c>
      <c r="L174" s="34">
        <f>IFERROR(INDEX(Data!$ET:$ET,MATCH(C174,Data!$C:$C,0)),0)</f>
        <v>2.02</v>
      </c>
      <c r="M174" s="33">
        <f>IFERROR(INDEX(Data!$I$3:$ER$553,MATCH($C174,Data!$C$3:$C$553,0),MATCH(DATE(RIGHT($B$5,4),MID($B$5,4,2),LEFT($B$5,2))-42,Data!$I$1:$ER$1,0)),0)</f>
        <v>261.60869565217399</v>
      </c>
      <c r="N174" s="34" cm="1">
        <f t="array" ref="N174">IFERROR(INDEX(Data!$I$3:$ER$553,MATCH($C174,Data!$C$3:$C$553,0),MATCH(DATE(RIGHT($B$5,4),MID($B$5,4,2),LEFT($B$5,2))-42,Data!$I$1:$ER$1,0)+1),0)</f>
        <v>0.754</v>
      </c>
      <c r="O174" s="33">
        <f>IFERROR(INDEX(Data!$I$3:$ER$553,MATCH($C174,Data!$C$3:$C$553,0),MATCH($M$5,Data!$I$1:$ER$1,0)),0)</f>
        <v>687.304347826087</v>
      </c>
      <c r="P174" s="34" cm="1">
        <f t="array" ref="P174">IFERROR(INDEX(Data!$I$3:$ER$553,MATCH($C174,Data!$C$3:$C$553,0),MATCH($M$5,Data!$I$1:$ER$1,0)+1),0)</f>
        <v>1.976</v>
      </c>
      <c r="Q174" s="49" t="str">
        <f>IF(R174="","",IF(H174=0,0,R174*(G174/H174)))</f>
        <v/>
      </c>
      <c r="R174" s="50"/>
    </row>
    <row r="175" spans="1:18" x14ac:dyDescent="0.35">
      <c r="A175" s="29">
        <v>224</v>
      </c>
      <c r="B175" s="29" t="s">
        <v>552</v>
      </c>
      <c r="C175" s="29">
        <v>59021</v>
      </c>
      <c r="D175" s="29" t="s">
        <v>511</v>
      </c>
      <c r="E175" s="30">
        <v>7055.3913043478269</v>
      </c>
      <c r="F175" s="31">
        <v>56</v>
      </c>
      <c r="G175" s="30">
        <f>SUMIF(Data!$C:$C,C175,Data!$DI:$DI)+SUMIF(Data!$C:$C,C175,Data!$DK:$DK)+SUMIF(Data!$C:$C,C175,Data!$DM:$DM)+SUMIF(Data!$C:$C,C175,Data!$DO:$DO)+SUMIF(Data!$C:$C,C175,Data!$DQ:$DQ)+SUMIF(Data!$C:$C,C175,Data!$DS:$DS)+SUMIF(Data!$C:$C,C175,Data!$DU:$DU)+SUMIF(Data!$C:$C,C175,Data!$DW:$DW)+SUMIF(Data!$C:$C,C175,Data!$DY:$DY)+SUMIF(Data!$C:$C,C175,Data!$EA:$EA)+SUMIF(Data!$C:$C,C175,Data!$EC:$EC)+SUMIF(Data!$C:$C,C175,Data!$EE:$EE)+SUMIF(Data!$C:$C,C175,Data!$EG:$EG)+SUMIF(Data!$C:$C,C175,Data!$EI:$EI)+SUMIF(Data!$C:$C,C175,Data!$EK:$EK)+SUMIF(Data!$C:$C,C175,Data!$EM:$EM)+SUMIF(Data!$C:$C,C175,Data!$EO:$EO)+SUMIF(Data!$C:$C,C175,Data!$EQ:$EQ)+SUMIF(Data!$C:$C,C175,Data!$ES:$ES)</f>
        <v>9031.9304347826092</v>
      </c>
      <c r="H175" s="31">
        <f>SUMIF(Data!$C:$C,C175,Data!$DJ:$DJ)+SUMIF(Data!$C:$C,C175,Data!$DL:$DL)+SUMIF(Data!$C:$C,C175,Data!$DN:$DN)+SUMIF(Data!$C:$C,C175,Data!$DP:$DP)+SUMIF(Data!$C:$C,C175,Data!$DR:$DR)+SUMIF(Data!$C:$C,C175,Data!$DT:$DT)+SUMIF(Data!$C:$C,C175,Data!$DV:$DV)+SUMIF(Data!$C:$C,C175,Data!$DX:$DX)+SUMIF(Data!$C:$C,C175,Data!$DZ:$DZ)+SUMIF(Data!$C:$C,C175,Data!$EB:$EB)+SUMIF(Data!$C:$C,C175,Data!$ED:$ED)+SUMIF(Data!$C:$C,C175,Data!$EF:$EF)+SUMIF(Data!$C:$C,C175,Data!$EH:$EH)+SUMIF(Data!$C:$C,C175,Data!$EJ:$EJ)+SUMIF(Data!$C:$C,C175,Data!$EL:$EL)+SUMIF(Data!$C:$C,C175,Data!$EN:$EN)+SUMIF(Data!$C:$C,C175,Data!$EP:$EP)+SUMIF(Data!$C:$C,C175,Data!$ER:$ER)+SUMIF(Data!$C:$C,C175,Data!$ET:$ET)</f>
        <v>67</v>
      </c>
      <c r="I175" s="30">
        <f>G175/19</f>
        <v>475.36475972540046</v>
      </c>
      <c r="J175" s="31">
        <f>H175/19</f>
        <v>3.5263157894736841</v>
      </c>
      <c r="K175" s="30">
        <f>IFERROR(INDEX(Data!$ES:$ES,MATCH(C175,Data!$C:$C,0)),0)</f>
        <v>417.36521739130399</v>
      </c>
      <c r="L175" s="31">
        <f>IFERROR(INDEX(Data!$ET:$ET,MATCH(C175,Data!$C:$C,0)),0)</f>
        <v>3</v>
      </c>
      <c r="M175" s="30">
        <f>IFERROR(INDEX(Data!$I$3:$ER$553,MATCH($C175,Data!$C$3:$C$553,0),MATCH(DATE(RIGHT($B$5,4),MID($B$5,4,2),LEFT($B$5,2))-42,Data!$I$1:$ER$1,0)),0)</f>
        <v>391.304347826087</v>
      </c>
      <c r="N175" s="31" cm="1">
        <f t="array" ref="N175">IFERROR(INDEX(Data!$I$3:$ER$553,MATCH($C175,Data!$C$3:$C$553,0),MATCH(DATE(RIGHT($B$5,4),MID($B$5,4,2),LEFT($B$5,2))-42,Data!$I$1:$ER$1,0)+1),0)</f>
        <v>3</v>
      </c>
      <c r="O175" s="30">
        <f>IFERROR(INDEX(Data!$I$3:$ER$553,MATCH($C175,Data!$C$3:$C$553,0),MATCH($M$5,Data!$I$1:$ER$1,0)),0)</f>
        <v>391.27826086956497</v>
      </c>
      <c r="P175" s="31" cm="1">
        <f t="array" ref="P175">IFERROR(INDEX(Data!$I$3:$ER$553,MATCH($C175,Data!$C$3:$C$553,0),MATCH($M$5,Data!$I$1:$ER$1,0)+1),0)</f>
        <v>3</v>
      </c>
      <c r="Q175" s="49" t="str">
        <f>IF(R175="","",IF(H175=0,0,R175*(G175/H175)))</f>
        <v/>
      </c>
      <c r="R175" s="50"/>
    </row>
    <row r="176" spans="1:18" x14ac:dyDescent="0.35">
      <c r="A176" s="32">
        <v>224</v>
      </c>
      <c r="B176" s="32" t="s">
        <v>552</v>
      </c>
      <c r="C176" s="32">
        <v>53985</v>
      </c>
      <c r="D176" s="32" t="s">
        <v>507</v>
      </c>
      <c r="E176" s="33">
        <v>3862.1391304347808</v>
      </c>
      <c r="F176" s="34">
        <v>12.525000000000002</v>
      </c>
      <c r="G176" s="33">
        <f>SUMIF(Data!$C:$C,C176,Data!$DI:$DI)+SUMIF(Data!$C:$C,C176,Data!$DK:$DK)+SUMIF(Data!$C:$C,C176,Data!$DM:$DM)+SUMIF(Data!$C:$C,C176,Data!$DO:$DO)+SUMIF(Data!$C:$C,C176,Data!$DQ:$DQ)+SUMIF(Data!$C:$C,C176,Data!$DS:$DS)+SUMIF(Data!$C:$C,C176,Data!$DU:$DU)+SUMIF(Data!$C:$C,C176,Data!$DW:$DW)+SUMIF(Data!$C:$C,C176,Data!$DY:$DY)+SUMIF(Data!$C:$C,C176,Data!$EA:$EA)+SUMIF(Data!$C:$C,C176,Data!$EC:$EC)+SUMIF(Data!$C:$C,C176,Data!$EE:$EE)+SUMIF(Data!$C:$C,C176,Data!$EG:$EG)+SUMIF(Data!$C:$C,C176,Data!$EI:$EI)+SUMIF(Data!$C:$C,C176,Data!$EK:$EK)+SUMIF(Data!$C:$C,C176,Data!$EM:$EM)+SUMIF(Data!$C:$C,C176,Data!$EO:$EO)+SUMIF(Data!$C:$C,C176,Data!$EQ:$EQ)+SUMIF(Data!$C:$C,C176,Data!$ES:$ES)</f>
        <v>6861.1652173913044</v>
      </c>
      <c r="H176" s="34">
        <f>SUMIF(Data!$C:$C,C176,Data!$DJ:$DJ)+SUMIF(Data!$C:$C,C176,Data!$DL:$DL)+SUMIF(Data!$C:$C,C176,Data!$DN:$DN)+SUMIF(Data!$C:$C,C176,Data!$DP:$DP)+SUMIF(Data!$C:$C,C176,Data!$DR:$DR)+SUMIF(Data!$C:$C,C176,Data!$DT:$DT)+SUMIF(Data!$C:$C,C176,Data!$DV:$DV)+SUMIF(Data!$C:$C,C176,Data!$DX:$DX)+SUMIF(Data!$C:$C,C176,Data!$DZ:$DZ)+SUMIF(Data!$C:$C,C176,Data!$EB:$EB)+SUMIF(Data!$C:$C,C176,Data!$ED:$ED)+SUMIF(Data!$C:$C,C176,Data!$EF:$EF)+SUMIF(Data!$C:$C,C176,Data!$EH:$EH)+SUMIF(Data!$C:$C,C176,Data!$EJ:$EJ)+SUMIF(Data!$C:$C,C176,Data!$EL:$EL)+SUMIF(Data!$C:$C,C176,Data!$EN:$EN)+SUMIF(Data!$C:$C,C176,Data!$EP:$EP)+SUMIF(Data!$C:$C,C176,Data!$ER:$ER)+SUMIF(Data!$C:$C,C176,Data!$ET:$ET)</f>
        <v>19.856000000000002</v>
      </c>
      <c r="I176" s="33">
        <f>G176/19</f>
        <v>361.11395881006865</v>
      </c>
      <c r="J176" s="34">
        <f>H176/19</f>
        <v>1.0450526315789475</v>
      </c>
      <c r="K176" s="33">
        <f>IFERROR(INDEX(Data!$ES:$ES,MATCH(C176,Data!$C:$C,0)),0)</f>
        <v>436.860869565217</v>
      </c>
      <c r="L176" s="34">
        <f>IFERROR(INDEX(Data!$ET:$ET,MATCH(C176,Data!$C:$C,0)),0)</f>
        <v>1.256</v>
      </c>
      <c r="M176" s="33">
        <f>IFERROR(INDEX(Data!$I$3:$ER$553,MATCH($C176,Data!$C$3:$C$553,0),MATCH(DATE(RIGHT($B$5,4),MID($B$5,4,2),LEFT($B$5,2))-42,Data!$I$1:$ER$1,0)),0)</f>
        <v>22.956521739130402</v>
      </c>
      <c r="N176" s="34" cm="1">
        <f t="array" ref="N176">IFERROR(INDEX(Data!$I$3:$ER$553,MATCH($C176,Data!$C$3:$C$553,0),MATCH(DATE(RIGHT($B$5,4),MID($B$5,4,2),LEFT($B$5,2))-42,Data!$I$1:$ER$1,0)+1),0)</f>
        <v>6.6000000000000003E-2</v>
      </c>
      <c r="O176" s="33">
        <f>IFERROR(INDEX(Data!$I$3:$ER$553,MATCH($C176,Data!$C$3:$C$553,0),MATCH($M$5,Data!$I$1:$ER$1,0)),0)</f>
        <v>218.52173913043501</v>
      </c>
      <c r="P176" s="34" cm="1">
        <f t="array" ref="P176">IFERROR(INDEX(Data!$I$3:$ER$553,MATCH($C176,Data!$C$3:$C$553,0),MATCH($M$5,Data!$I$1:$ER$1,0)+1),0)</f>
        <v>0.7</v>
      </c>
      <c r="Q176" s="49" t="str">
        <f>IF(R176="","",IF(H176=0,0,R176*(G176/H176)))</f>
        <v/>
      </c>
      <c r="R176" s="50"/>
    </row>
    <row r="177" spans="1:18" x14ac:dyDescent="0.35">
      <c r="A177" s="29">
        <v>224</v>
      </c>
      <c r="B177" s="29" t="s">
        <v>552</v>
      </c>
      <c r="C177" s="29">
        <v>50186</v>
      </c>
      <c r="D177" s="29" t="s">
        <v>496</v>
      </c>
      <c r="E177" s="30">
        <v>0</v>
      </c>
      <c r="F177" s="31">
        <v>0</v>
      </c>
      <c r="G177" s="30">
        <f>SUMIF(Data!$C:$C,C177,Data!$DI:$DI)+SUMIF(Data!$C:$C,C177,Data!$DK:$DK)+SUMIF(Data!$C:$C,C177,Data!$DM:$DM)+SUMIF(Data!$C:$C,C177,Data!$DO:$DO)+SUMIF(Data!$C:$C,C177,Data!$DQ:$DQ)+SUMIF(Data!$C:$C,C177,Data!$DS:$DS)+SUMIF(Data!$C:$C,C177,Data!$DU:$DU)+SUMIF(Data!$C:$C,C177,Data!$DW:$DW)+SUMIF(Data!$C:$C,C177,Data!$DY:$DY)+SUMIF(Data!$C:$C,C177,Data!$EA:$EA)+SUMIF(Data!$C:$C,C177,Data!$EC:$EC)+SUMIF(Data!$C:$C,C177,Data!$EE:$EE)+SUMIF(Data!$C:$C,C177,Data!$EG:$EG)+SUMIF(Data!$C:$C,C177,Data!$EI:$EI)+SUMIF(Data!$C:$C,C177,Data!$EK:$EK)+SUMIF(Data!$C:$C,C177,Data!$EM:$EM)+SUMIF(Data!$C:$C,C177,Data!$EO:$EO)+SUMIF(Data!$C:$C,C177,Data!$EQ:$EQ)+SUMIF(Data!$C:$C,C177,Data!$ES:$ES)</f>
        <v>5561.2260869565189</v>
      </c>
      <c r="H177" s="31">
        <f>SUMIF(Data!$C:$C,C177,Data!$DJ:$DJ)+SUMIF(Data!$C:$C,C177,Data!$DL:$DL)+SUMIF(Data!$C:$C,C177,Data!$DN:$DN)+SUMIF(Data!$C:$C,C177,Data!$DP:$DP)+SUMIF(Data!$C:$C,C177,Data!$DR:$DR)+SUMIF(Data!$C:$C,C177,Data!$DT:$DT)+SUMIF(Data!$C:$C,C177,Data!$DV:$DV)+SUMIF(Data!$C:$C,C177,Data!$DX:$DX)+SUMIF(Data!$C:$C,C177,Data!$DZ:$DZ)+SUMIF(Data!$C:$C,C177,Data!$EB:$EB)+SUMIF(Data!$C:$C,C177,Data!$ED:$ED)+SUMIF(Data!$C:$C,C177,Data!$EF:$EF)+SUMIF(Data!$C:$C,C177,Data!$EH:$EH)+SUMIF(Data!$C:$C,C177,Data!$EJ:$EJ)+SUMIF(Data!$C:$C,C177,Data!$EL:$EL)+SUMIF(Data!$C:$C,C177,Data!$EN:$EN)+SUMIF(Data!$C:$C,C177,Data!$EP:$EP)+SUMIF(Data!$C:$C,C177,Data!$ER:$ER)+SUMIF(Data!$C:$C,C177,Data!$ET:$ET)</f>
        <v>15.825000000000001</v>
      </c>
      <c r="I177" s="30">
        <f>G177/19</f>
        <v>292.69610983981676</v>
      </c>
      <c r="J177" s="31">
        <f>H177/19</f>
        <v>0.83289473684210535</v>
      </c>
      <c r="K177" s="30">
        <f>IFERROR(INDEX(Data!$ES:$ES,MATCH(C177,Data!$C:$C,0)),0)</f>
        <v>63.147826086956499</v>
      </c>
      <c r="L177" s="31">
        <f>IFERROR(INDEX(Data!$ET:$ET,MATCH(C177,Data!$C:$C,0)),0)</f>
        <v>0.182</v>
      </c>
      <c r="M177" s="30">
        <f>IFERROR(INDEX(Data!$I$3:$ER$553,MATCH($C177,Data!$C$3:$C$553,0),MATCH(DATE(RIGHT($B$5,4),MID($B$5,4,2),LEFT($B$5,2))-42,Data!$I$1:$ER$1,0)),0)</f>
        <v>151.269565217391</v>
      </c>
      <c r="N177" s="31" cm="1">
        <f t="array" ref="N177">IFERROR(INDEX(Data!$I$3:$ER$553,MATCH($C177,Data!$C$3:$C$553,0),MATCH(DATE(RIGHT($B$5,4),MID($B$5,4,2),LEFT($B$5,2))-42,Data!$I$1:$ER$1,0)+1),0)</f>
        <v>0.436</v>
      </c>
      <c r="O177" s="30">
        <f>IFERROR(INDEX(Data!$I$3:$ER$553,MATCH($C177,Data!$C$3:$C$553,0),MATCH($M$5,Data!$I$1:$ER$1,0)),0)</f>
        <v>0</v>
      </c>
      <c r="P177" s="31" cm="1">
        <f t="array" ref="P177">IFERROR(INDEX(Data!$I$3:$ER$553,MATCH($C177,Data!$C$3:$C$553,0),MATCH($M$5,Data!$I$1:$ER$1,0)+1),0)</f>
        <v>0</v>
      </c>
      <c r="Q177" s="49" t="str">
        <f>IF(R177="","",IF(H177=0,0,R177*(G177/H177)))</f>
        <v/>
      </c>
      <c r="R177" s="50"/>
    </row>
    <row r="178" spans="1:18" x14ac:dyDescent="0.35">
      <c r="A178" s="32">
        <v>224</v>
      </c>
      <c r="B178" s="32" t="s">
        <v>552</v>
      </c>
      <c r="C178" s="32">
        <v>64449</v>
      </c>
      <c r="D178" s="32" t="s">
        <v>518</v>
      </c>
      <c r="E178" s="33">
        <v>0</v>
      </c>
      <c r="F178" s="34">
        <v>0</v>
      </c>
      <c r="G178" s="33">
        <f>SUMIF(Data!$C:$C,C178,Data!$DI:$DI)+SUMIF(Data!$C:$C,C178,Data!$DK:$DK)+SUMIF(Data!$C:$C,C178,Data!$DM:$DM)+SUMIF(Data!$C:$C,C178,Data!$DO:$DO)+SUMIF(Data!$C:$C,C178,Data!$DQ:$DQ)+SUMIF(Data!$C:$C,C178,Data!$DS:$DS)+SUMIF(Data!$C:$C,C178,Data!$DU:$DU)+SUMIF(Data!$C:$C,C178,Data!$DW:$DW)+SUMIF(Data!$C:$C,C178,Data!$DY:$DY)+SUMIF(Data!$C:$C,C178,Data!$EA:$EA)+SUMIF(Data!$C:$C,C178,Data!$EC:$EC)+SUMIF(Data!$C:$C,C178,Data!$EE:$EE)+SUMIF(Data!$C:$C,C178,Data!$EG:$EG)+SUMIF(Data!$C:$C,C178,Data!$EI:$EI)+SUMIF(Data!$C:$C,C178,Data!$EK:$EK)+SUMIF(Data!$C:$C,C178,Data!$EM:$EM)+SUMIF(Data!$C:$C,C178,Data!$EO:$EO)+SUMIF(Data!$C:$C,C178,Data!$EQ:$EQ)+SUMIF(Data!$C:$C,C178,Data!$ES:$ES)</f>
        <v>4691.852173913041</v>
      </c>
      <c r="H178" s="34">
        <f>SUMIF(Data!$C:$C,C178,Data!$DJ:$DJ)+SUMIF(Data!$C:$C,C178,Data!$DL:$DL)+SUMIF(Data!$C:$C,C178,Data!$DN:$DN)+SUMIF(Data!$C:$C,C178,Data!$DP:$DP)+SUMIF(Data!$C:$C,C178,Data!$DR:$DR)+SUMIF(Data!$C:$C,C178,Data!$DT:$DT)+SUMIF(Data!$C:$C,C178,Data!$DV:$DV)+SUMIF(Data!$C:$C,C178,Data!$DX:$DX)+SUMIF(Data!$C:$C,C178,Data!$DZ:$DZ)+SUMIF(Data!$C:$C,C178,Data!$EB:$EB)+SUMIF(Data!$C:$C,C178,Data!$ED:$ED)+SUMIF(Data!$C:$C,C178,Data!$EF:$EF)+SUMIF(Data!$C:$C,C178,Data!$EH:$EH)+SUMIF(Data!$C:$C,C178,Data!$EJ:$EJ)+SUMIF(Data!$C:$C,C178,Data!$EL:$EL)+SUMIF(Data!$C:$C,C178,Data!$EN:$EN)+SUMIF(Data!$C:$C,C178,Data!$EP:$EP)+SUMIF(Data!$C:$C,C178,Data!$ER:$ER)+SUMIF(Data!$C:$C,C178,Data!$ET:$ET)</f>
        <v>13.504</v>
      </c>
      <c r="I178" s="33">
        <f>G178/19</f>
        <v>246.93958810068636</v>
      </c>
      <c r="J178" s="34">
        <f>H178/19</f>
        <v>0.71073684210526311</v>
      </c>
      <c r="K178" s="33">
        <f>IFERROR(INDEX(Data!$ES:$ES,MATCH(C178,Data!$C:$C,0)),0)</f>
        <v>171.4</v>
      </c>
      <c r="L178" s="34">
        <f>IFERROR(INDEX(Data!$ET:$ET,MATCH(C178,Data!$C:$C,0)),0)</f>
        <v>0.49399999999999999</v>
      </c>
      <c r="M178" s="33">
        <f>IFERROR(INDEX(Data!$I$3:$ER$553,MATCH($C178,Data!$C$3:$C$553,0),MATCH(DATE(RIGHT($B$5,4),MID($B$5,4,2),LEFT($B$5,2))-42,Data!$I$1:$ER$1,0)),0)</f>
        <v>304.63478260869601</v>
      </c>
      <c r="N178" s="34" cm="1">
        <f t="array" ref="N178">IFERROR(INDEX(Data!$I$3:$ER$553,MATCH($C178,Data!$C$3:$C$553,0),MATCH(DATE(RIGHT($B$5,4),MID($B$5,4,2),LEFT($B$5,2))-42,Data!$I$1:$ER$1,0)+1),0)</f>
        <v>0.878</v>
      </c>
      <c r="O178" s="33">
        <f>IFERROR(INDEX(Data!$I$3:$ER$553,MATCH($C178,Data!$C$3:$C$553,0),MATCH($M$5,Data!$I$1:$ER$1,0)),0)</f>
        <v>0</v>
      </c>
      <c r="P178" s="34" cm="1">
        <f t="array" ref="P178">IFERROR(INDEX(Data!$I$3:$ER$553,MATCH($C178,Data!$C$3:$C$553,0),MATCH($M$5,Data!$I$1:$ER$1,0)+1),0)</f>
        <v>0</v>
      </c>
      <c r="Q178" s="49" t="str">
        <f>IF(R178="","",IF(H178=0,0,R178*(G178/H178)))</f>
        <v/>
      </c>
      <c r="R178" s="50"/>
    </row>
    <row r="179" spans="1:18" x14ac:dyDescent="0.35">
      <c r="A179" s="29">
        <v>224</v>
      </c>
      <c r="B179" s="29" t="s">
        <v>552</v>
      </c>
      <c r="C179" s="29">
        <v>59020</v>
      </c>
      <c r="D179" s="29" t="s">
        <v>510</v>
      </c>
      <c r="E179" s="30">
        <v>3371.9652173913037</v>
      </c>
      <c r="F179" s="31">
        <v>26</v>
      </c>
      <c r="G179" s="30">
        <f>SUMIF(Data!$C:$C,C179,Data!$DI:$DI)+SUMIF(Data!$C:$C,C179,Data!$DK:$DK)+SUMIF(Data!$C:$C,C179,Data!$DM:$DM)+SUMIF(Data!$C:$C,C179,Data!$DO:$DO)+SUMIF(Data!$C:$C,C179,Data!$DQ:$DQ)+SUMIF(Data!$C:$C,C179,Data!$DS:$DS)+SUMIF(Data!$C:$C,C179,Data!$DU:$DU)+SUMIF(Data!$C:$C,C179,Data!$DW:$DW)+SUMIF(Data!$C:$C,C179,Data!$DY:$DY)+SUMIF(Data!$C:$C,C179,Data!$EA:$EA)+SUMIF(Data!$C:$C,C179,Data!$EC:$EC)+SUMIF(Data!$C:$C,C179,Data!$EE:$EE)+SUMIF(Data!$C:$C,C179,Data!$EG:$EG)+SUMIF(Data!$C:$C,C179,Data!$EI:$EI)+SUMIF(Data!$C:$C,C179,Data!$EK:$EK)+SUMIF(Data!$C:$C,C179,Data!$EM:$EM)+SUMIF(Data!$C:$C,C179,Data!$EO:$EO)+SUMIF(Data!$C:$C,C179,Data!$EQ:$EQ)+SUMIF(Data!$C:$C,C179,Data!$ES:$ES)</f>
        <v>4773.5999999999967</v>
      </c>
      <c r="H179" s="31">
        <f>SUMIF(Data!$C:$C,C179,Data!$DJ:$DJ)+SUMIF(Data!$C:$C,C179,Data!$DL:$DL)+SUMIF(Data!$C:$C,C179,Data!$DN:$DN)+SUMIF(Data!$C:$C,C179,Data!$DP:$DP)+SUMIF(Data!$C:$C,C179,Data!$DR:$DR)+SUMIF(Data!$C:$C,C179,Data!$DT:$DT)+SUMIF(Data!$C:$C,C179,Data!$DV:$DV)+SUMIF(Data!$C:$C,C179,Data!$DX:$DX)+SUMIF(Data!$C:$C,C179,Data!$DZ:$DZ)+SUMIF(Data!$C:$C,C179,Data!$EB:$EB)+SUMIF(Data!$C:$C,C179,Data!$ED:$ED)+SUMIF(Data!$C:$C,C179,Data!$EF:$EF)+SUMIF(Data!$C:$C,C179,Data!$EH:$EH)+SUMIF(Data!$C:$C,C179,Data!$EJ:$EJ)+SUMIF(Data!$C:$C,C179,Data!$EL:$EL)+SUMIF(Data!$C:$C,C179,Data!$EN:$EN)+SUMIF(Data!$C:$C,C179,Data!$EP:$EP)+SUMIF(Data!$C:$C,C179,Data!$ER:$ER)+SUMIF(Data!$C:$C,C179,Data!$ET:$ET)</f>
        <v>36</v>
      </c>
      <c r="I179" s="30">
        <f>G179/19</f>
        <v>251.24210526315773</v>
      </c>
      <c r="J179" s="31">
        <f>H179/19</f>
        <v>1.8947368421052631</v>
      </c>
      <c r="K179" s="30">
        <f>IFERROR(INDEX(Data!$ES:$ES,MATCH(C179,Data!$C:$C,0)),0)</f>
        <v>695.60869565217399</v>
      </c>
      <c r="L179" s="31">
        <f>IFERROR(INDEX(Data!$ET:$ET,MATCH(C179,Data!$C:$C,0)),0)</f>
        <v>5</v>
      </c>
      <c r="M179" s="30">
        <f>IFERROR(INDEX(Data!$I$3:$ER$553,MATCH($C179,Data!$C$3:$C$553,0),MATCH(DATE(RIGHT($B$5,4),MID($B$5,4,2),LEFT($B$5,2))-42,Data!$I$1:$ER$1,0)),0)</f>
        <v>260.85217391304298</v>
      </c>
      <c r="N179" s="31" cm="1">
        <f t="array" ref="N179">IFERROR(INDEX(Data!$I$3:$ER$553,MATCH($C179,Data!$C$3:$C$553,0),MATCH(DATE(RIGHT($B$5,4),MID($B$5,4,2),LEFT($B$5,2))-42,Data!$I$1:$ER$1,0)+1),0)</f>
        <v>2</v>
      </c>
      <c r="O179" s="30">
        <f>IFERROR(INDEX(Data!$I$3:$ER$553,MATCH($C179,Data!$C$3:$C$553,0),MATCH($M$5,Data!$I$1:$ER$1,0)),0)</f>
        <v>130.426086956522</v>
      </c>
      <c r="P179" s="31" cm="1">
        <f t="array" ref="P179">IFERROR(INDEX(Data!$I$3:$ER$553,MATCH($C179,Data!$C$3:$C$553,0),MATCH($M$5,Data!$I$1:$ER$1,0)+1),0)</f>
        <v>1</v>
      </c>
      <c r="Q179" s="49" t="str">
        <f>IF(R179="","",IF(H179=0,0,R179*(G179/H179)))</f>
        <v/>
      </c>
      <c r="R179" s="50"/>
    </row>
    <row r="180" spans="1:18" x14ac:dyDescent="0.35">
      <c r="A180" s="32">
        <v>224</v>
      </c>
      <c r="B180" s="32" t="s">
        <v>552</v>
      </c>
      <c r="C180" s="32">
        <v>65480</v>
      </c>
      <c r="D180" s="32" t="s">
        <v>519</v>
      </c>
      <c r="E180" s="33">
        <v>0</v>
      </c>
      <c r="F180" s="34">
        <v>0</v>
      </c>
      <c r="G180" s="33">
        <f>SUMIF(Data!$C:$C,C180,Data!$DI:$DI)+SUMIF(Data!$C:$C,C180,Data!$DK:$DK)+SUMIF(Data!$C:$C,C180,Data!$DM:$DM)+SUMIF(Data!$C:$C,C180,Data!$DO:$DO)+SUMIF(Data!$C:$C,C180,Data!$DQ:$DQ)+SUMIF(Data!$C:$C,C180,Data!$DS:$DS)+SUMIF(Data!$C:$C,C180,Data!$DU:$DU)+SUMIF(Data!$C:$C,C180,Data!$DW:$DW)+SUMIF(Data!$C:$C,C180,Data!$DY:$DY)+SUMIF(Data!$C:$C,C180,Data!$EA:$EA)+SUMIF(Data!$C:$C,C180,Data!$EC:$EC)+SUMIF(Data!$C:$C,C180,Data!$EE:$EE)+SUMIF(Data!$C:$C,C180,Data!$EG:$EG)+SUMIF(Data!$C:$C,C180,Data!$EI:$EI)+SUMIF(Data!$C:$C,C180,Data!$EK:$EK)+SUMIF(Data!$C:$C,C180,Data!$EM:$EM)+SUMIF(Data!$C:$C,C180,Data!$EO:$EO)+SUMIF(Data!$C:$C,C180,Data!$EQ:$EQ)+SUMIF(Data!$C:$C,C180,Data!$ES:$ES)</f>
        <v>3465.7391304347834</v>
      </c>
      <c r="H180" s="34">
        <f>SUMIF(Data!$C:$C,C180,Data!$DJ:$DJ)+SUMIF(Data!$C:$C,C180,Data!$DL:$DL)+SUMIF(Data!$C:$C,C180,Data!$DN:$DN)+SUMIF(Data!$C:$C,C180,Data!$DP:$DP)+SUMIF(Data!$C:$C,C180,Data!$DR:$DR)+SUMIF(Data!$C:$C,C180,Data!$DT:$DT)+SUMIF(Data!$C:$C,C180,Data!$DV:$DV)+SUMIF(Data!$C:$C,C180,Data!$DX:$DX)+SUMIF(Data!$C:$C,C180,Data!$DZ:$DZ)+SUMIF(Data!$C:$C,C180,Data!$EB:$EB)+SUMIF(Data!$C:$C,C180,Data!$ED:$ED)+SUMIF(Data!$C:$C,C180,Data!$EF:$EF)+SUMIF(Data!$C:$C,C180,Data!$EH:$EH)+SUMIF(Data!$C:$C,C180,Data!$EJ:$EJ)+SUMIF(Data!$C:$C,C180,Data!$EL:$EL)+SUMIF(Data!$C:$C,C180,Data!$EN:$EN)+SUMIF(Data!$C:$C,C180,Data!$EP:$EP)+SUMIF(Data!$C:$C,C180,Data!$ER:$ER)+SUMIF(Data!$C:$C,C180,Data!$ET:$ET)</f>
        <v>9.9640000000000022</v>
      </c>
      <c r="I180" s="33">
        <f>G180/19</f>
        <v>182.40732265446229</v>
      </c>
      <c r="J180" s="34">
        <f>H180/19</f>
        <v>0.52442105263157901</v>
      </c>
      <c r="K180" s="33">
        <f>IFERROR(INDEX(Data!$ES:$ES,MATCH(C180,Data!$C:$C,0)),0)</f>
        <v>137.73913043478299</v>
      </c>
      <c r="L180" s="34">
        <f>IFERROR(INDEX(Data!$ET:$ET,MATCH(C180,Data!$C:$C,0)),0)</f>
        <v>0.39600000000000002</v>
      </c>
      <c r="M180" s="33">
        <f>IFERROR(INDEX(Data!$I$3:$ER$553,MATCH($C180,Data!$C$3:$C$553,0),MATCH(DATE(RIGHT($B$5,4),MID($B$5,4,2),LEFT($B$5,2))-42,Data!$I$1:$ER$1,0)),0)</f>
        <v>84.869565217391298</v>
      </c>
      <c r="N180" s="34" cm="1">
        <f t="array" ref="N180">IFERROR(INDEX(Data!$I$3:$ER$553,MATCH($C180,Data!$C$3:$C$553,0),MATCH(DATE(RIGHT($B$5,4),MID($B$5,4,2),LEFT($B$5,2))-42,Data!$I$1:$ER$1,0)+1),0)</f>
        <v>0.24399999999999999</v>
      </c>
      <c r="O180" s="33">
        <f>IFERROR(INDEX(Data!$I$3:$ER$553,MATCH($C180,Data!$C$3:$C$553,0),MATCH($M$5,Data!$I$1:$ER$1,0)),0)</f>
        <v>0</v>
      </c>
      <c r="P180" s="34" cm="1">
        <f t="array" ref="P180">IFERROR(INDEX(Data!$I$3:$ER$553,MATCH($C180,Data!$C$3:$C$553,0),MATCH($M$5,Data!$I$1:$ER$1,0)+1),0)</f>
        <v>0</v>
      </c>
      <c r="Q180" s="49" t="str">
        <f>IF(R180="","",IF(H180=0,0,R180*(G180/H180)))</f>
        <v/>
      </c>
      <c r="R180" s="50"/>
    </row>
    <row r="181" spans="1:18" x14ac:dyDescent="0.35">
      <c r="A181" s="29">
        <v>224</v>
      </c>
      <c r="B181" s="29" t="s">
        <v>552</v>
      </c>
      <c r="C181" s="29">
        <v>52936</v>
      </c>
      <c r="D181" s="29" t="s">
        <v>501</v>
      </c>
      <c r="E181" s="30">
        <v>7659.9652173913028</v>
      </c>
      <c r="F181" s="31">
        <v>16.074000000000002</v>
      </c>
      <c r="G181" s="30">
        <f>SUMIF(Data!$C:$C,C181,Data!$DI:$DI)+SUMIF(Data!$C:$C,C181,Data!$DK:$DK)+SUMIF(Data!$C:$C,C181,Data!$DM:$DM)+SUMIF(Data!$C:$C,C181,Data!$DO:$DO)+SUMIF(Data!$C:$C,C181,Data!$DQ:$DQ)+SUMIF(Data!$C:$C,C181,Data!$DS:$DS)+SUMIF(Data!$C:$C,C181,Data!$DU:$DU)+SUMIF(Data!$C:$C,C181,Data!$DW:$DW)+SUMIF(Data!$C:$C,C181,Data!$DY:$DY)+SUMIF(Data!$C:$C,C181,Data!$EA:$EA)+SUMIF(Data!$C:$C,C181,Data!$EC:$EC)+SUMIF(Data!$C:$C,C181,Data!$EE:$EE)+SUMIF(Data!$C:$C,C181,Data!$EG:$EG)+SUMIF(Data!$C:$C,C181,Data!$EI:$EI)+SUMIF(Data!$C:$C,C181,Data!$EK:$EK)+SUMIF(Data!$C:$C,C181,Data!$EM:$EM)+SUMIF(Data!$C:$C,C181,Data!$EO:$EO)+SUMIF(Data!$C:$C,C181,Data!$EQ:$EQ)+SUMIF(Data!$C:$C,C181,Data!$ES:$ES)</f>
        <v>1374.6695652173917</v>
      </c>
      <c r="H181" s="31">
        <f>SUMIF(Data!$C:$C,C181,Data!$DJ:$DJ)+SUMIF(Data!$C:$C,C181,Data!$DL:$DL)+SUMIF(Data!$C:$C,C181,Data!$DN:$DN)+SUMIF(Data!$C:$C,C181,Data!$DP:$DP)+SUMIF(Data!$C:$C,C181,Data!$DR:$DR)+SUMIF(Data!$C:$C,C181,Data!$DT:$DT)+SUMIF(Data!$C:$C,C181,Data!$DV:$DV)+SUMIF(Data!$C:$C,C181,Data!$DX:$DX)+SUMIF(Data!$C:$C,C181,Data!$DZ:$DZ)+SUMIF(Data!$C:$C,C181,Data!$EB:$EB)+SUMIF(Data!$C:$C,C181,Data!$ED:$ED)+SUMIF(Data!$C:$C,C181,Data!$EF:$EF)+SUMIF(Data!$C:$C,C181,Data!$EH:$EH)+SUMIF(Data!$C:$C,C181,Data!$EJ:$EJ)+SUMIF(Data!$C:$C,C181,Data!$EL:$EL)+SUMIF(Data!$C:$C,C181,Data!$EN:$EN)+SUMIF(Data!$C:$C,C181,Data!$EP:$EP)+SUMIF(Data!$C:$C,C181,Data!$ER:$ER)+SUMIF(Data!$C:$C,C181,Data!$ET:$ET)</f>
        <v>2.4739999999999998</v>
      </c>
      <c r="I181" s="30">
        <f>G181/19</f>
        <v>72.351029748283779</v>
      </c>
      <c r="J181" s="31">
        <f>H181/19</f>
        <v>0.13021052631578947</v>
      </c>
      <c r="K181" s="30">
        <f>IFERROR(INDEX(Data!$ES:$ES,MATCH(C181,Data!$C:$C,0)),0)</f>
        <v>0</v>
      </c>
      <c r="L181" s="31">
        <f>IFERROR(INDEX(Data!$ET:$ET,MATCH(C181,Data!$C:$C,0)),0)</f>
        <v>0</v>
      </c>
      <c r="M181" s="30">
        <f>IFERROR(INDEX(Data!$I$3:$ER$553,MATCH($C181,Data!$C$3:$C$553,0),MATCH(DATE(RIGHT($B$5,4),MID($B$5,4,2),LEFT($B$5,2))-42,Data!$I$1:$ER$1,0)),0)</f>
        <v>0</v>
      </c>
      <c r="N181" s="31" cm="1">
        <f t="array" ref="N181">IFERROR(INDEX(Data!$I$3:$ER$553,MATCH($C181,Data!$C$3:$C$553,0),MATCH(DATE(RIGHT($B$5,4),MID($B$5,4,2),LEFT($B$5,2))-42,Data!$I$1:$ER$1,0)+1),0)</f>
        <v>0</v>
      </c>
      <c r="O181" s="30">
        <f>IFERROR(INDEX(Data!$I$3:$ER$553,MATCH($C181,Data!$C$3:$C$553,0),MATCH($M$5,Data!$I$1:$ER$1,0)),0)</f>
        <v>143.03478260869599</v>
      </c>
      <c r="P181" s="31" cm="1">
        <f t="array" ref="P181">IFERROR(INDEX(Data!$I$3:$ER$553,MATCH($C181,Data!$C$3:$C$553,0),MATCH($M$5,Data!$I$1:$ER$1,0)+1),0)</f>
        <v>0.28299999999999997</v>
      </c>
      <c r="Q181" s="49" t="str">
        <f>IF(R181="","",IF(H181=0,0,R181*(G181/H181)))</f>
        <v/>
      </c>
      <c r="R181" s="50"/>
    </row>
    <row r="182" spans="1:18" x14ac:dyDescent="0.35">
      <c r="A182" s="32">
        <v>224</v>
      </c>
      <c r="B182" s="32" t="s">
        <v>552</v>
      </c>
      <c r="C182" s="32">
        <v>50617</v>
      </c>
      <c r="D182" s="32" t="s">
        <v>497</v>
      </c>
      <c r="E182" s="33">
        <v>0</v>
      </c>
      <c r="F182" s="34">
        <v>0</v>
      </c>
      <c r="G182" s="33">
        <f>SUMIF(Data!$C:$C,C182,Data!$DI:$DI)+SUMIF(Data!$C:$C,C182,Data!$DK:$DK)+SUMIF(Data!$C:$C,C182,Data!$DM:$DM)+SUMIF(Data!$C:$C,C182,Data!$DO:$DO)+SUMIF(Data!$C:$C,C182,Data!$DQ:$DQ)+SUMIF(Data!$C:$C,C182,Data!$DS:$DS)+SUMIF(Data!$C:$C,C182,Data!$DU:$DU)+SUMIF(Data!$C:$C,C182,Data!$DW:$DW)+SUMIF(Data!$C:$C,C182,Data!$DY:$DY)+SUMIF(Data!$C:$C,C182,Data!$EA:$EA)+SUMIF(Data!$C:$C,C182,Data!$EC:$EC)+SUMIF(Data!$C:$C,C182,Data!$EE:$EE)+SUMIF(Data!$C:$C,C182,Data!$EG:$EG)+SUMIF(Data!$C:$C,C182,Data!$EI:$EI)+SUMIF(Data!$C:$C,C182,Data!$EK:$EK)+SUMIF(Data!$C:$C,C182,Data!$EM:$EM)+SUMIF(Data!$C:$C,C182,Data!$EO:$EO)+SUMIF(Data!$C:$C,C182,Data!$EQ:$EQ)+SUMIF(Data!$C:$C,C182,Data!$ES:$ES)</f>
        <v>566.96521739130401</v>
      </c>
      <c r="H182" s="34">
        <f>SUMIF(Data!$C:$C,C182,Data!$DJ:$DJ)+SUMIF(Data!$C:$C,C182,Data!$DL:$DL)+SUMIF(Data!$C:$C,C182,Data!$DN:$DN)+SUMIF(Data!$C:$C,C182,Data!$DP:$DP)+SUMIF(Data!$C:$C,C182,Data!$DR:$DR)+SUMIF(Data!$C:$C,C182,Data!$DT:$DT)+SUMIF(Data!$C:$C,C182,Data!$DV:$DV)+SUMIF(Data!$C:$C,C182,Data!$DX:$DX)+SUMIF(Data!$C:$C,C182,Data!$DZ:$DZ)+SUMIF(Data!$C:$C,C182,Data!$EB:$EB)+SUMIF(Data!$C:$C,C182,Data!$ED:$ED)+SUMIF(Data!$C:$C,C182,Data!$EF:$EF)+SUMIF(Data!$C:$C,C182,Data!$EH:$EH)+SUMIF(Data!$C:$C,C182,Data!$EJ:$EJ)+SUMIF(Data!$C:$C,C182,Data!$EL:$EL)+SUMIF(Data!$C:$C,C182,Data!$EN:$EN)+SUMIF(Data!$C:$C,C182,Data!$EP:$EP)+SUMIF(Data!$C:$C,C182,Data!$ER:$ER)+SUMIF(Data!$C:$C,C182,Data!$ET:$ET)</f>
        <v>1.1539999999999999</v>
      </c>
      <c r="I182" s="33">
        <f>G182/19</f>
        <v>29.840274599542315</v>
      </c>
      <c r="J182" s="34">
        <f>H182/19</f>
        <v>6.0736842105263152E-2</v>
      </c>
      <c r="K182" s="33">
        <f>IFERROR(INDEX(Data!$ES:$ES,MATCH(C182,Data!$C:$C,0)),0)</f>
        <v>0</v>
      </c>
      <c r="L182" s="34">
        <f>IFERROR(INDEX(Data!$ET:$ET,MATCH(C182,Data!$C:$C,0)),0)</f>
        <v>0</v>
      </c>
      <c r="M182" s="33">
        <f>IFERROR(INDEX(Data!$I$3:$ER$553,MATCH($C182,Data!$C$3:$C$553,0),MATCH(DATE(RIGHT($B$5,4),MID($B$5,4,2),LEFT($B$5,2))-42,Data!$I$1:$ER$1,0)),0)</f>
        <v>0</v>
      </c>
      <c r="N182" s="34" cm="1">
        <f t="array" ref="N182">IFERROR(INDEX(Data!$I$3:$ER$553,MATCH($C182,Data!$C$3:$C$553,0),MATCH(DATE(RIGHT($B$5,4),MID($B$5,4,2),LEFT($B$5,2))-42,Data!$I$1:$ER$1,0)+1),0)</f>
        <v>0</v>
      </c>
      <c r="O182" s="33">
        <f>IFERROR(INDEX(Data!$I$3:$ER$553,MATCH($C182,Data!$C$3:$C$553,0),MATCH($M$5,Data!$I$1:$ER$1,0)),0)</f>
        <v>0</v>
      </c>
      <c r="P182" s="34" cm="1">
        <f t="array" ref="P182">IFERROR(INDEX(Data!$I$3:$ER$553,MATCH($C182,Data!$C$3:$C$553,0),MATCH($M$5,Data!$I$1:$ER$1,0)+1),0)</f>
        <v>0</v>
      </c>
      <c r="Q182" s="49" t="str">
        <f>IF(R182="","",IF(H182=0,0,R182*(G182/H182)))</f>
        <v/>
      </c>
      <c r="R182" s="50"/>
    </row>
    <row r="183" spans="1:18" x14ac:dyDescent="0.35">
      <c r="A183" s="29">
        <v>224</v>
      </c>
      <c r="B183" s="29" t="s">
        <v>552</v>
      </c>
      <c r="C183" s="29">
        <v>32050</v>
      </c>
      <c r="D183" s="29" t="s">
        <v>494</v>
      </c>
      <c r="E183" s="30">
        <v>0</v>
      </c>
      <c r="F183" s="31">
        <v>0</v>
      </c>
      <c r="G183" s="30">
        <f>SUMIF(Data!$C:$C,C183,Data!$DI:$DI)+SUMIF(Data!$C:$C,C183,Data!$DK:$DK)+SUMIF(Data!$C:$C,C183,Data!$DM:$DM)+SUMIF(Data!$C:$C,C183,Data!$DO:$DO)+SUMIF(Data!$C:$C,C183,Data!$DQ:$DQ)+SUMIF(Data!$C:$C,C183,Data!$DS:$DS)+SUMIF(Data!$C:$C,C183,Data!$DU:$DU)+SUMIF(Data!$C:$C,C183,Data!$DW:$DW)+SUMIF(Data!$C:$C,C183,Data!$DY:$DY)+SUMIF(Data!$C:$C,C183,Data!$EA:$EA)+SUMIF(Data!$C:$C,C183,Data!$EC:$EC)+SUMIF(Data!$C:$C,C183,Data!$EE:$EE)+SUMIF(Data!$C:$C,C183,Data!$EG:$EG)+SUMIF(Data!$C:$C,C183,Data!$EI:$EI)+SUMIF(Data!$C:$C,C183,Data!$EK:$EK)+SUMIF(Data!$C:$C,C183,Data!$EM:$EM)+SUMIF(Data!$C:$C,C183,Data!$EO:$EO)+SUMIF(Data!$C:$C,C183,Data!$EQ:$EQ)+SUMIF(Data!$C:$C,C183,Data!$ES:$ES)</f>
        <v>463.79130434782581</v>
      </c>
      <c r="H183" s="31">
        <f>SUMIF(Data!$C:$C,C183,Data!$DJ:$DJ)+SUMIF(Data!$C:$C,C183,Data!$DL:$DL)+SUMIF(Data!$C:$C,C183,Data!$DN:$DN)+SUMIF(Data!$C:$C,C183,Data!$DP:$DP)+SUMIF(Data!$C:$C,C183,Data!$DR:$DR)+SUMIF(Data!$C:$C,C183,Data!$DT:$DT)+SUMIF(Data!$C:$C,C183,Data!$DV:$DV)+SUMIF(Data!$C:$C,C183,Data!$DX:$DX)+SUMIF(Data!$C:$C,C183,Data!$DZ:$DZ)+SUMIF(Data!$C:$C,C183,Data!$EB:$EB)+SUMIF(Data!$C:$C,C183,Data!$ED:$ED)+SUMIF(Data!$C:$C,C183,Data!$EF:$EF)+SUMIF(Data!$C:$C,C183,Data!$EH:$EH)+SUMIF(Data!$C:$C,C183,Data!$EJ:$EJ)+SUMIF(Data!$C:$C,C183,Data!$EL:$EL)+SUMIF(Data!$C:$C,C183,Data!$EN:$EN)+SUMIF(Data!$C:$C,C183,Data!$EP:$EP)+SUMIF(Data!$C:$C,C183,Data!$ER:$ER)+SUMIF(Data!$C:$C,C183,Data!$ET:$ET)</f>
        <v>0.94399999999999995</v>
      </c>
      <c r="I183" s="30">
        <f>G183/19</f>
        <v>24.41006864988557</v>
      </c>
      <c r="J183" s="31">
        <f>H183/19</f>
        <v>4.9684210526315789E-2</v>
      </c>
      <c r="K183" s="30">
        <f>IFERROR(INDEX(Data!$ES:$ES,MATCH(C183,Data!$C:$C,0)),0)</f>
        <v>0</v>
      </c>
      <c r="L183" s="31">
        <f>IFERROR(INDEX(Data!$ET:$ET,MATCH(C183,Data!$C:$C,0)),0)</f>
        <v>0</v>
      </c>
      <c r="M183" s="30">
        <f>IFERROR(INDEX(Data!$I$3:$ER$553,MATCH($C183,Data!$C$3:$C$553,0),MATCH(DATE(RIGHT($B$5,4),MID($B$5,4,2),LEFT($B$5,2))-42,Data!$I$1:$ER$1,0)),0)</f>
        <v>0</v>
      </c>
      <c r="N183" s="31" cm="1">
        <f t="array" ref="N183">IFERROR(INDEX(Data!$I$3:$ER$553,MATCH($C183,Data!$C$3:$C$553,0),MATCH(DATE(RIGHT($B$5,4),MID($B$5,4,2),LEFT($B$5,2))-42,Data!$I$1:$ER$1,0)+1),0)</f>
        <v>0</v>
      </c>
      <c r="O183" s="30">
        <f>IFERROR(INDEX(Data!$I$3:$ER$553,MATCH($C183,Data!$C$3:$C$553,0),MATCH($M$5,Data!$I$1:$ER$1,0)),0)</f>
        <v>0</v>
      </c>
      <c r="P183" s="31" cm="1">
        <f t="array" ref="P183">IFERROR(INDEX(Data!$I$3:$ER$553,MATCH($C183,Data!$C$3:$C$553,0),MATCH($M$5,Data!$I$1:$ER$1,0)+1),0)</f>
        <v>0</v>
      </c>
      <c r="Q183" s="49" t="str">
        <f>IF(R183="","",IF(H183=0,0,R183*(G183/H183)))</f>
        <v/>
      </c>
      <c r="R183" s="50"/>
    </row>
    <row r="184" spans="1:18" x14ac:dyDescent="0.35">
      <c r="A184" s="32">
        <v>224</v>
      </c>
      <c r="B184" s="32" t="s">
        <v>552</v>
      </c>
      <c r="C184" s="32">
        <v>52938</v>
      </c>
      <c r="D184" s="32" t="s">
        <v>503</v>
      </c>
      <c r="E184" s="33">
        <v>5677.7652173913066</v>
      </c>
      <c r="F184" s="34">
        <v>11.867999999999999</v>
      </c>
      <c r="G184" s="33">
        <f>SUMIF(Data!$C:$C,C184,Data!$DI:$DI)+SUMIF(Data!$C:$C,C184,Data!$DK:$DK)+SUMIF(Data!$C:$C,C184,Data!$DM:$DM)+SUMIF(Data!$C:$C,C184,Data!$DO:$DO)+SUMIF(Data!$C:$C,C184,Data!$DQ:$DQ)+SUMIF(Data!$C:$C,C184,Data!$DS:$DS)+SUMIF(Data!$C:$C,C184,Data!$DU:$DU)+SUMIF(Data!$C:$C,C184,Data!$DW:$DW)+SUMIF(Data!$C:$C,C184,Data!$DY:$DY)+SUMIF(Data!$C:$C,C184,Data!$EA:$EA)+SUMIF(Data!$C:$C,C184,Data!$EC:$EC)+SUMIF(Data!$C:$C,C184,Data!$EE:$EE)+SUMIF(Data!$C:$C,C184,Data!$EG:$EG)+SUMIF(Data!$C:$C,C184,Data!$EI:$EI)+SUMIF(Data!$C:$C,C184,Data!$EK:$EK)+SUMIF(Data!$C:$C,C184,Data!$EM:$EM)+SUMIF(Data!$C:$C,C184,Data!$EO:$EO)+SUMIF(Data!$C:$C,C184,Data!$EQ:$EQ)+SUMIF(Data!$C:$C,C184,Data!$ES:$ES)</f>
        <v>382.27826086956566</v>
      </c>
      <c r="H184" s="34">
        <f>SUMIF(Data!$C:$C,C184,Data!$DJ:$DJ)+SUMIF(Data!$C:$C,C184,Data!$DL:$DL)+SUMIF(Data!$C:$C,C184,Data!$DN:$DN)+SUMIF(Data!$C:$C,C184,Data!$DP:$DP)+SUMIF(Data!$C:$C,C184,Data!$DR:$DR)+SUMIF(Data!$C:$C,C184,Data!$DT:$DT)+SUMIF(Data!$C:$C,C184,Data!$DV:$DV)+SUMIF(Data!$C:$C,C184,Data!$DX:$DX)+SUMIF(Data!$C:$C,C184,Data!$DZ:$DZ)+SUMIF(Data!$C:$C,C184,Data!$EB:$EB)+SUMIF(Data!$C:$C,C184,Data!$ED:$ED)+SUMIF(Data!$C:$C,C184,Data!$EF:$EF)+SUMIF(Data!$C:$C,C184,Data!$EH:$EH)+SUMIF(Data!$C:$C,C184,Data!$EJ:$EJ)+SUMIF(Data!$C:$C,C184,Data!$EL:$EL)+SUMIF(Data!$C:$C,C184,Data!$EN:$EN)+SUMIF(Data!$C:$C,C184,Data!$EP:$EP)+SUMIF(Data!$C:$C,C184,Data!$ER:$ER)+SUMIF(Data!$C:$C,C184,Data!$ET:$ET)</f>
        <v>0.68799999999999994</v>
      </c>
      <c r="I184" s="33">
        <f>G184/19</f>
        <v>20.119908466819243</v>
      </c>
      <c r="J184" s="34">
        <f>H184/19</f>
        <v>3.6210526315789471E-2</v>
      </c>
      <c r="K184" s="33">
        <f>IFERROR(INDEX(Data!$ES:$ES,MATCH(C184,Data!$C:$C,0)),0)</f>
        <v>0</v>
      </c>
      <c r="L184" s="34">
        <f>IFERROR(INDEX(Data!$ET:$ET,MATCH(C184,Data!$C:$C,0)),0)</f>
        <v>0</v>
      </c>
      <c r="M184" s="33">
        <f>IFERROR(INDEX(Data!$I$3:$ER$553,MATCH($C184,Data!$C$3:$C$553,0),MATCH(DATE(RIGHT($B$5,4),MID($B$5,4,2),LEFT($B$5,2))-42,Data!$I$1:$ER$1,0)),0)</f>
        <v>0</v>
      </c>
      <c r="N184" s="34" cm="1">
        <f t="array" ref="N184">IFERROR(INDEX(Data!$I$3:$ER$553,MATCH($C184,Data!$C$3:$C$553,0),MATCH(DATE(RIGHT($B$5,4),MID($B$5,4,2),LEFT($B$5,2))-42,Data!$I$1:$ER$1,0)+1),0)</f>
        <v>0</v>
      </c>
      <c r="O184" s="33">
        <f>IFERROR(INDEX(Data!$I$3:$ER$553,MATCH($C184,Data!$C$3:$C$553,0),MATCH($M$5,Data!$I$1:$ER$1,0)),0)</f>
        <v>428.03478260869599</v>
      </c>
      <c r="P184" s="34" cm="1">
        <f t="array" ref="P184">IFERROR(INDEX(Data!$I$3:$ER$553,MATCH($C184,Data!$C$3:$C$553,0),MATCH($M$5,Data!$I$1:$ER$1,0)+1),0)</f>
        <v>0.84299999999999997</v>
      </c>
      <c r="Q184" s="49" t="str">
        <f>IF(R184="","",IF(H184=0,0,R184*(G184/H184)))</f>
        <v/>
      </c>
      <c r="R184" s="50"/>
    </row>
    <row r="185" spans="1:18" ht="13.5" thickBot="1" x14ac:dyDescent="0.4">
      <c r="A185" s="54" t="s">
        <v>697</v>
      </c>
      <c r="B185" s="54"/>
      <c r="C185" s="54"/>
      <c r="D185" s="54"/>
      <c r="E185" s="55">
        <f>SUM(E170:E184)</f>
        <v>104330.81739130436</v>
      </c>
      <c r="F185" s="56">
        <f>SUM(F170:F184)</f>
        <v>954.79700000000003</v>
      </c>
      <c r="G185" s="55">
        <f>SUM(G170:G184)</f>
        <v>139099.5652173913</v>
      </c>
      <c r="H185" s="56">
        <f>SUM(H170:H184)</f>
        <v>1500.9109999999998</v>
      </c>
      <c r="I185" s="55">
        <f>AVERAGE(I170:I184)</f>
        <v>488.06864988558368</v>
      </c>
      <c r="J185" s="56">
        <f>AVERAGE(J170:J184)</f>
        <v>5.2663543859649122</v>
      </c>
      <c r="K185" s="55">
        <f>SUM(K170:K184)</f>
        <v>7413.5130434782586</v>
      </c>
      <c r="L185" s="56">
        <f>SUM(L170:L184)</f>
        <v>77.52</v>
      </c>
      <c r="M185" s="55">
        <f>SUM(M170:M184)</f>
        <v>6585.3043478260779</v>
      </c>
      <c r="N185" s="56">
        <f>SUM(N170:N184)</f>
        <v>69.7</v>
      </c>
      <c r="O185" s="55">
        <f>SUM(O170:O184)</f>
        <v>5617.9913043478364</v>
      </c>
      <c r="P185" s="56">
        <f>SUM(P170:P184)</f>
        <v>64.311999999999998</v>
      </c>
      <c r="Q185" s="57">
        <f>SUM(Q170:Q184)</f>
        <v>0</v>
      </c>
      <c r="R185" s="58">
        <f>SUM(R170:R184)</f>
        <v>0</v>
      </c>
    </row>
    <row r="186" spans="1:18" ht="13.5" thickTop="1" x14ac:dyDescent="0.35">
      <c r="A186" s="32"/>
      <c r="B186" s="32"/>
      <c r="C186" s="32"/>
      <c r="D186" s="32"/>
      <c r="E186" s="33"/>
      <c r="F186" s="34"/>
      <c r="G186" s="33"/>
      <c r="H186" s="34"/>
      <c r="I186" s="33"/>
      <c r="J186" s="34"/>
      <c r="K186" s="33"/>
      <c r="L186" s="34"/>
      <c r="M186" s="33"/>
      <c r="N186" s="34"/>
      <c r="O186" s="33"/>
      <c r="P186" s="34"/>
      <c r="Q186" s="49"/>
      <c r="R186" s="50"/>
    </row>
    <row r="187" spans="1:18" s="135" customFormat="1" ht="13.5" thickBot="1" x14ac:dyDescent="0.4">
      <c r="A187" s="130" t="s">
        <v>698</v>
      </c>
      <c r="B187" s="130"/>
      <c r="C187" s="130"/>
      <c r="D187" s="130"/>
      <c r="E187" s="131">
        <f>SUM(E11,E43,E62,E75,E80,E111,E114,E117,E120,E123,E158,E168,E185)</f>
        <v>1348847.7565217393</v>
      </c>
      <c r="F187" s="132">
        <f>SUM(F11,F43,F62,F75,F80,F111,F114,F117,F120,F123,F158,F168,F185)</f>
        <v>18980.714</v>
      </c>
      <c r="G187" s="131">
        <f>SUM(G11,G43,G62,G75,G80,G111,G114,G117,G120,G123,G158,G168,G185)</f>
        <v>2133287.8869565208</v>
      </c>
      <c r="H187" s="132">
        <f>SUM(H11,H43,H62,H75,H80,H111,H114,H117,H120,H123,H158,H168,H185)</f>
        <v>24430.334000000003</v>
      </c>
      <c r="I187" s="131">
        <f>AVERAGE(I8:I10,I13:I42,I45:I61,I64:I74,I77:I79,I82:I110,I113,I116,I119,I122,I125:I157,I160:I167,I170:I184)</f>
        <v>733.84516235174488</v>
      </c>
      <c r="J187" s="132">
        <f>AVERAGE(J8:J10,J13:J42,J45:J61,J64:J74,J77:J79,J82:J110,J113,J116,J119,J122,J125:J157,J160:J167,J170:J184)</f>
        <v>8.4039676642586851</v>
      </c>
      <c r="K187" s="131">
        <f>K11+K43+K62+K75+K80+K111+K114+K117+K120+K123+K158+K168+K185</f>
        <v>101115.12173913045</v>
      </c>
      <c r="L187" s="132">
        <f>L11+L43+L62+L75+L80+L111+L114+L117+L120+L123+L158+L168+L185</f>
        <v>1156.7110000000002</v>
      </c>
      <c r="M187" s="131">
        <f>SUM(M11,M43,M62,M75,M80,M111,M114,M117,M120,M123,M158,M168,M185)</f>
        <v>86830.234782608692</v>
      </c>
      <c r="N187" s="132">
        <f>SUM(N11,N43,N62,N75,N80,N111,N114,N117,N120,N123,N158,N168,N185)</f>
        <v>1029.3470000000002</v>
      </c>
      <c r="O187" s="131">
        <f>O11+O43+O62+O75+O80+O111+O114+O117+O120+O123+O158+O168+O185</f>
        <v>80201.295652173882</v>
      </c>
      <c r="P187" s="132">
        <f>P11+P43+P62+P75+P80+P111+P114+P117+P120+P123+P158+P168+P185</f>
        <v>1192.748</v>
      </c>
      <c r="Q187" s="133">
        <f>Q11+Q43+Q62+Q75+Q80+Q111+Q114+Q117+Q120+Q123+Q158+Q168+Q185</f>
        <v>0</v>
      </c>
      <c r="R187" s="134">
        <f>SUM(R11,R43,R62,R75,R80,R111,R114,R117,R120,R123,R158,R168,R185)</f>
        <v>0</v>
      </c>
    </row>
    <row r="188" spans="1:18" ht="13.5" thickTop="1" x14ac:dyDescent="0.35"/>
  </sheetData>
  <mergeCells count="27">
    <mergeCell ref="T1:V1"/>
    <mergeCell ref="T45:V45"/>
    <mergeCell ref="T46:V46"/>
    <mergeCell ref="T47:V47"/>
    <mergeCell ref="T48:V48"/>
    <mergeCell ref="A117:D117"/>
    <mergeCell ref="A120:D120"/>
    <mergeCell ref="A123:D123"/>
    <mergeCell ref="A168:D168"/>
    <mergeCell ref="A185:D185"/>
    <mergeCell ref="A187:D187"/>
    <mergeCell ref="A158:D158"/>
    <mergeCell ref="I6:J6"/>
    <mergeCell ref="A11:D11"/>
    <mergeCell ref="A43:D43"/>
    <mergeCell ref="A62:D62"/>
    <mergeCell ref="A75:D75"/>
    <mergeCell ref="A80:D80"/>
    <mergeCell ref="A111:D111"/>
    <mergeCell ref="A114:D114"/>
    <mergeCell ref="A1:R1"/>
    <mergeCell ref="A2:R2"/>
    <mergeCell ref="A3:R3"/>
    <mergeCell ref="K6:L6"/>
    <mergeCell ref="M6:N6"/>
    <mergeCell ref="O6:P6"/>
    <mergeCell ref="Q6:R6"/>
  </mergeCells>
  <dataValidations count="1">
    <dataValidation type="list" allowBlank="1" showInputMessage="1" showErrorMessage="1" sqref="B5" xr:uid="{AA21FCCA-9D0B-4ACE-A63A-344B59A587CD}">
      <formula1>"11/05/2026,18/05/2026,25/05/2026,01/06/2026,08/06/2026,15/06/2026,22/06/2026,29/06/2026"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B7D3-ED2C-4092-9B3B-6C5180953ECF}">
  <dimension ref="A1:Q39"/>
  <sheetViews>
    <sheetView topLeftCell="H40" workbookViewId="0">
      <selection activeCell="H36" sqref="H36"/>
    </sheetView>
  </sheetViews>
  <sheetFormatPr defaultRowHeight="13" x14ac:dyDescent="0.35"/>
  <cols>
    <col min="1" max="1" width="25.09765625" bestFit="1" customWidth="1"/>
    <col min="2" max="2" width="24.59765625" bestFit="1" customWidth="1"/>
    <col min="3" max="3" width="21.796875" bestFit="1" customWidth="1"/>
    <col min="4" max="4" width="22.09765625" bestFit="1" customWidth="1"/>
    <col min="5" max="5" width="25.09765625" bestFit="1" customWidth="1"/>
    <col min="6" max="6" width="16.3984375" bestFit="1" customWidth="1"/>
    <col min="7" max="7" width="35.09765625" bestFit="1" customWidth="1"/>
    <col min="8" max="8" width="25.09765625" bestFit="1" customWidth="1"/>
    <col min="9" max="10" width="15.8984375" bestFit="1" customWidth="1"/>
    <col min="11" max="11" width="31" bestFit="1" customWidth="1"/>
    <col min="12" max="12" width="15.8984375" bestFit="1" customWidth="1"/>
    <col min="13" max="13" width="35" bestFit="1" customWidth="1"/>
    <col min="14" max="14" width="25.09765625" bestFit="1" customWidth="1"/>
    <col min="15" max="16" width="15.8984375" bestFit="1" customWidth="1"/>
    <col min="17" max="17" width="14.19921875" bestFit="1" customWidth="1"/>
  </cols>
  <sheetData>
    <row r="1" spans="1:17" ht="23.5" x14ac:dyDescent="0.35">
      <c r="A1" s="72" t="s">
        <v>725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4"/>
      <c r="O1" s="74"/>
      <c r="P1" s="74"/>
      <c r="Q1" s="74"/>
    </row>
    <row r="2" spans="1:17" x14ac:dyDescent="0.35">
      <c r="A2" s="75" t="s">
        <v>732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4"/>
      <c r="N2" s="74"/>
      <c r="O2" s="74"/>
      <c r="P2" s="74"/>
      <c r="Q2" s="74"/>
    </row>
    <row r="3" spans="1:17" x14ac:dyDescent="0.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spans="1:17" x14ac:dyDescent="0.35">
      <c r="A4" s="77" t="s">
        <v>1400</v>
      </c>
      <c r="B4" s="78" t="s">
        <v>1401</v>
      </c>
      <c r="C4" s="78" t="s">
        <v>726</v>
      </c>
      <c r="D4" s="79" t="s">
        <v>727</v>
      </c>
      <c r="E4" s="74"/>
      <c r="F4" s="80" t="s">
        <v>734</v>
      </c>
      <c r="G4" s="81"/>
      <c r="H4" s="81"/>
      <c r="I4" s="81"/>
      <c r="J4" s="81"/>
      <c r="K4" s="81"/>
      <c r="L4" s="81"/>
      <c r="M4" s="74"/>
      <c r="N4" s="74"/>
      <c r="O4" s="74"/>
      <c r="P4" s="74"/>
      <c r="Q4" s="74"/>
    </row>
    <row r="5" spans="1:17" x14ac:dyDescent="0.35">
      <c r="A5" s="82">
        <f>'2025 vs 2026 Analysis'!P7</f>
        <v>1429049.052173913</v>
      </c>
      <c r="B5" s="83">
        <f>'2025 vs 2026 Analysis'!P8</f>
        <v>2135325.5999999992</v>
      </c>
      <c r="C5" s="84">
        <f>'2025 vs 2026 Analysis'!P10</f>
        <v>0.49422834489248407</v>
      </c>
      <c r="D5" s="85">
        <f>'2025 vs 2026 Analysis'!P15</f>
        <v>0.21220651170334548</v>
      </c>
      <c r="E5" s="74"/>
      <c r="F5" s="86" t="s">
        <v>735</v>
      </c>
      <c r="G5" s="86"/>
      <c r="H5" s="86"/>
      <c r="I5" s="86"/>
      <c r="J5" s="86"/>
      <c r="K5" s="86"/>
      <c r="L5" s="86"/>
      <c r="M5" s="74"/>
      <c r="N5" s="74"/>
      <c r="O5" s="74"/>
      <c r="P5" s="74"/>
      <c r="Q5" s="74"/>
    </row>
    <row r="6" spans="1:17" x14ac:dyDescent="0.35">
      <c r="A6" s="101"/>
      <c r="B6" s="101"/>
      <c r="C6" s="101"/>
      <c r="D6" s="101"/>
      <c r="E6" s="74"/>
      <c r="F6" s="86" t="s">
        <v>1338</v>
      </c>
      <c r="G6" s="86"/>
      <c r="H6" s="86"/>
      <c r="I6" s="86"/>
      <c r="J6" s="86"/>
      <c r="K6" s="86"/>
      <c r="L6" s="86"/>
      <c r="M6" s="74"/>
      <c r="N6" s="74"/>
      <c r="O6" s="74"/>
      <c r="P6" s="74"/>
      <c r="Q6" s="74"/>
    </row>
    <row r="7" spans="1:17" x14ac:dyDescent="0.35">
      <c r="A7" s="77" t="s">
        <v>733</v>
      </c>
      <c r="B7" s="78" t="s">
        <v>620</v>
      </c>
      <c r="C7" s="78" t="s">
        <v>728</v>
      </c>
      <c r="D7" s="79" t="s">
        <v>729</v>
      </c>
      <c r="E7" s="74"/>
      <c r="F7" s="86" t="s">
        <v>736</v>
      </c>
      <c r="G7" s="86"/>
      <c r="H7" s="86"/>
      <c r="I7" s="86"/>
      <c r="J7" s="86"/>
      <c r="K7" s="86"/>
      <c r="L7" s="86"/>
      <c r="M7" s="74"/>
      <c r="N7" s="74"/>
      <c r="O7" s="74"/>
      <c r="P7" s="74"/>
      <c r="Q7" s="74"/>
    </row>
    <row r="8" spans="1:17" x14ac:dyDescent="0.35">
      <c r="A8" s="87">
        <v>153</v>
      </c>
      <c r="B8" s="88">
        <v>153</v>
      </c>
      <c r="C8" s="88">
        <v>51</v>
      </c>
      <c r="D8" s="127">
        <v>46188</v>
      </c>
      <c r="E8" s="74"/>
      <c r="F8" s="86" t="s">
        <v>737</v>
      </c>
      <c r="G8" s="86"/>
      <c r="H8" s="86"/>
      <c r="I8" s="86"/>
      <c r="J8" s="86"/>
      <c r="K8" s="86"/>
      <c r="L8" s="86"/>
      <c r="M8" s="74"/>
      <c r="N8" s="74"/>
      <c r="O8" s="74"/>
      <c r="P8" s="74"/>
      <c r="Q8" s="74"/>
    </row>
    <row r="9" spans="1:17" x14ac:dyDescent="0.35">
      <c r="A9" s="101"/>
      <c r="B9" s="101"/>
      <c r="C9" s="101"/>
      <c r="D9" s="101"/>
      <c r="E9" s="74"/>
      <c r="F9" s="86" t="s">
        <v>738</v>
      </c>
      <c r="G9" s="86"/>
      <c r="H9" s="86"/>
      <c r="I9" s="86"/>
      <c r="J9" s="86"/>
      <c r="K9" s="86"/>
      <c r="L9" s="86"/>
      <c r="M9" s="74"/>
      <c r="N9" s="74"/>
      <c r="O9" s="74"/>
      <c r="P9" s="74"/>
      <c r="Q9" s="74"/>
    </row>
    <row r="10" spans="1:17" x14ac:dyDescent="0.35">
      <c r="A10" s="77" t="s">
        <v>631</v>
      </c>
      <c r="B10" s="78" t="s">
        <v>673</v>
      </c>
      <c r="C10" s="78" t="s">
        <v>674</v>
      </c>
      <c r="D10" s="79" t="s">
        <v>730</v>
      </c>
      <c r="E10" s="74"/>
      <c r="F10" s="86" t="s">
        <v>739</v>
      </c>
      <c r="G10" s="86"/>
      <c r="H10" s="86"/>
      <c r="I10" s="86"/>
      <c r="J10" s="86"/>
      <c r="K10" s="86"/>
      <c r="L10" s="86"/>
      <c r="M10" s="74"/>
      <c r="N10" s="74"/>
      <c r="O10" s="74"/>
      <c r="P10" s="74"/>
      <c r="Q10" s="74"/>
    </row>
    <row r="11" spans="1:17" x14ac:dyDescent="0.35">
      <c r="A11" s="128">
        <v>46139</v>
      </c>
      <c r="B11" s="129">
        <v>46111</v>
      </c>
      <c r="C11" s="129">
        <v>45775</v>
      </c>
      <c r="D11" s="89" t="s">
        <v>731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</row>
    <row r="12" spans="1:17" x14ac:dyDescent="0.3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</row>
    <row r="13" spans="1:17" x14ac:dyDescent="0.35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</row>
    <row r="14" spans="1:17" x14ac:dyDescent="0.35">
      <c r="A14" s="102" t="s">
        <v>559</v>
      </c>
      <c r="B14" s="103" t="s">
        <v>671</v>
      </c>
      <c r="C14" s="103" t="s">
        <v>672</v>
      </c>
      <c r="D14" s="103" t="s">
        <v>562</v>
      </c>
      <c r="E14" s="104" t="s">
        <v>563</v>
      </c>
      <c r="F14" s="105"/>
      <c r="G14" s="102" t="s">
        <v>740</v>
      </c>
      <c r="H14" s="103" t="s">
        <v>559</v>
      </c>
      <c r="I14" s="103" t="s">
        <v>671</v>
      </c>
      <c r="J14" s="103" t="s">
        <v>672</v>
      </c>
      <c r="K14" s="104" t="s">
        <v>562</v>
      </c>
      <c r="L14" s="105"/>
      <c r="M14" s="102" t="s">
        <v>741</v>
      </c>
      <c r="N14" s="103" t="s">
        <v>559</v>
      </c>
      <c r="O14" s="103" t="s">
        <v>671</v>
      </c>
      <c r="P14" s="103" t="s">
        <v>672</v>
      </c>
      <c r="Q14" s="104" t="s">
        <v>562</v>
      </c>
    </row>
    <row r="15" spans="1:17" x14ac:dyDescent="0.35">
      <c r="A15" s="106" t="s">
        <v>529</v>
      </c>
      <c r="B15" s="107">
        <v>70164.826086956498</v>
      </c>
      <c r="C15" s="107">
        <v>17534.739130434798</v>
      </c>
      <c r="D15" s="107">
        <v>-52630.0869565217</v>
      </c>
      <c r="E15" s="108">
        <v>-0.7500921742654405</v>
      </c>
      <c r="F15" s="105"/>
      <c r="G15" s="106" t="s">
        <v>258</v>
      </c>
      <c r="H15" s="112" t="s">
        <v>535</v>
      </c>
      <c r="I15" s="107">
        <v>0</v>
      </c>
      <c r="J15" s="107">
        <v>131575</v>
      </c>
      <c r="K15" s="113">
        <v>131575</v>
      </c>
      <c r="L15" s="105"/>
      <c r="M15" s="106" t="s">
        <v>258</v>
      </c>
      <c r="N15" s="112" t="s">
        <v>535</v>
      </c>
      <c r="O15" s="107">
        <v>0</v>
      </c>
      <c r="P15" s="107">
        <v>131575</v>
      </c>
      <c r="Q15" s="113">
        <v>131575</v>
      </c>
    </row>
    <row r="16" spans="1:17" x14ac:dyDescent="0.35">
      <c r="A16" s="106" t="s">
        <v>530</v>
      </c>
      <c r="B16" s="107">
        <v>255127.60869565199</v>
      </c>
      <c r="C16" s="107">
        <v>366502.42608695698</v>
      </c>
      <c r="D16" s="107">
        <v>111374.817391305</v>
      </c>
      <c r="E16" s="108">
        <v>0.43654553092357307</v>
      </c>
      <c r="F16" s="105"/>
      <c r="G16" s="106" t="s">
        <v>259</v>
      </c>
      <c r="H16" s="112" t="s">
        <v>535</v>
      </c>
      <c r="I16" s="107">
        <v>0</v>
      </c>
      <c r="J16" s="107">
        <v>102842.52173913</v>
      </c>
      <c r="K16" s="113">
        <v>102842.52173913</v>
      </c>
      <c r="L16" s="105"/>
      <c r="M16" s="106" t="s">
        <v>259</v>
      </c>
      <c r="N16" s="112" t="s">
        <v>535</v>
      </c>
      <c r="O16" s="107">
        <v>0</v>
      </c>
      <c r="P16" s="107">
        <v>102842.52173913</v>
      </c>
      <c r="Q16" s="113">
        <v>102842.52173913</v>
      </c>
    </row>
    <row r="17" spans="1:17" x14ac:dyDescent="0.35">
      <c r="A17" s="106" t="s">
        <v>532</v>
      </c>
      <c r="B17" s="107">
        <v>134093.26956521699</v>
      </c>
      <c r="C17" s="107">
        <v>194471.67826086999</v>
      </c>
      <c r="D17" s="107">
        <v>60378.408695652994</v>
      </c>
      <c r="E17" s="108">
        <v>0.4502717316940924</v>
      </c>
      <c r="F17" s="105"/>
      <c r="G17" s="106" t="s">
        <v>382</v>
      </c>
      <c r="H17" s="112" t="s">
        <v>544</v>
      </c>
      <c r="I17" s="107">
        <v>97989.260869565202</v>
      </c>
      <c r="J17" s="107">
        <v>93679.626086956501</v>
      </c>
      <c r="K17" s="113">
        <v>-4309.6347826087003</v>
      </c>
      <c r="L17" s="105"/>
      <c r="M17" s="106" t="s">
        <v>197</v>
      </c>
      <c r="N17" s="112" t="s">
        <v>535</v>
      </c>
      <c r="O17" s="107">
        <v>0</v>
      </c>
      <c r="P17" s="107">
        <v>56354.104347826098</v>
      </c>
      <c r="Q17" s="113">
        <v>56354.104347826098</v>
      </c>
    </row>
    <row r="18" spans="1:17" x14ac:dyDescent="0.35">
      <c r="A18" s="106" t="s">
        <v>533</v>
      </c>
      <c r="B18" s="107">
        <v>94731.3652173913</v>
      </c>
      <c r="C18" s="107">
        <v>74272.243478260905</v>
      </c>
      <c r="D18" s="107">
        <v>-20459.121739130394</v>
      </c>
      <c r="E18" s="108">
        <v>-0.21596988169842607</v>
      </c>
      <c r="F18" s="105"/>
      <c r="G18" s="106" t="s">
        <v>101</v>
      </c>
      <c r="H18" s="112" t="s">
        <v>530</v>
      </c>
      <c r="I18" s="107">
        <v>51348.608695652198</v>
      </c>
      <c r="J18" s="107">
        <v>69638.582608695593</v>
      </c>
      <c r="K18" s="113">
        <v>18289.973913043395</v>
      </c>
      <c r="L18" s="105"/>
      <c r="M18" s="106" t="s">
        <v>198</v>
      </c>
      <c r="N18" s="112" t="s">
        <v>535</v>
      </c>
      <c r="O18" s="107">
        <v>0</v>
      </c>
      <c r="P18" s="107">
        <v>34496.182608695701</v>
      </c>
      <c r="Q18" s="113">
        <v>34496.182608695701</v>
      </c>
    </row>
    <row r="19" spans="1:17" x14ac:dyDescent="0.35">
      <c r="A19" s="106" t="s">
        <v>534</v>
      </c>
      <c r="B19" s="107">
        <v>9048.4869565217396</v>
      </c>
      <c r="C19" s="107">
        <v>11750.5304347826</v>
      </c>
      <c r="D19" s="107">
        <v>2702.0434782608609</v>
      </c>
      <c r="E19" s="108">
        <v>0.29861826526846574</v>
      </c>
      <c r="F19" s="105"/>
      <c r="G19" s="106" t="s">
        <v>377</v>
      </c>
      <c r="H19" s="112" t="s">
        <v>544</v>
      </c>
      <c r="I19" s="107">
        <v>55013.904347826101</v>
      </c>
      <c r="J19" s="107">
        <v>59159.373913043499</v>
      </c>
      <c r="K19" s="113">
        <v>4145.4695652173978</v>
      </c>
      <c r="L19" s="105"/>
      <c r="M19" s="106" t="s">
        <v>246</v>
      </c>
      <c r="N19" s="112" t="s">
        <v>535</v>
      </c>
      <c r="O19" s="107">
        <v>0</v>
      </c>
      <c r="P19" s="107">
        <v>29971.234782608699</v>
      </c>
      <c r="Q19" s="113">
        <v>29971.234782608699</v>
      </c>
    </row>
    <row r="20" spans="1:17" x14ac:dyDescent="0.35">
      <c r="A20" s="106" t="s">
        <v>535</v>
      </c>
      <c r="B20" s="107">
        <v>109867.313043478</v>
      </c>
      <c r="C20" s="107">
        <v>516900.26086956501</v>
      </c>
      <c r="D20" s="107">
        <v>407032.94782608701</v>
      </c>
      <c r="E20" s="108">
        <v>3.70476838425102</v>
      </c>
      <c r="F20" s="105"/>
      <c r="G20" s="106" t="s">
        <v>119</v>
      </c>
      <c r="H20" s="112" t="s">
        <v>530</v>
      </c>
      <c r="I20" s="107">
        <v>62627.686956521698</v>
      </c>
      <c r="J20" s="107">
        <v>59131.834782608697</v>
      </c>
      <c r="K20" s="113">
        <v>-3495.852173913001</v>
      </c>
      <c r="L20" s="105"/>
      <c r="M20" s="106" t="s">
        <v>83</v>
      </c>
      <c r="N20" s="112" t="s">
        <v>530</v>
      </c>
      <c r="O20" s="107">
        <v>0</v>
      </c>
      <c r="P20" s="107">
        <v>29595.286956521701</v>
      </c>
      <c r="Q20" s="113">
        <v>29595.286956521701</v>
      </c>
    </row>
    <row r="21" spans="1:17" x14ac:dyDescent="0.35">
      <c r="A21" s="106" t="s">
        <v>538</v>
      </c>
      <c r="B21" s="107">
        <v>0</v>
      </c>
      <c r="C21" s="107">
        <v>17034.965217391298</v>
      </c>
      <c r="D21" s="107">
        <v>17034.965217391298</v>
      </c>
      <c r="E21" s="108"/>
      <c r="F21" s="105"/>
      <c r="G21" s="106" t="s">
        <v>197</v>
      </c>
      <c r="H21" s="112" t="s">
        <v>535</v>
      </c>
      <c r="I21" s="107">
        <v>0</v>
      </c>
      <c r="J21" s="107">
        <v>56354.104347826098</v>
      </c>
      <c r="K21" s="113">
        <v>56354.104347826098</v>
      </c>
      <c r="L21" s="105"/>
      <c r="M21" s="106" t="s">
        <v>371</v>
      </c>
      <c r="N21" s="112" t="s">
        <v>544</v>
      </c>
      <c r="O21" s="107">
        <v>0</v>
      </c>
      <c r="P21" s="107">
        <v>23894.991304347801</v>
      </c>
      <c r="Q21" s="113">
        <v>23894.991304347801</v>
      </c>
    </row>
    <row r="22" spans="1:17" x14ac:dyDescent="0.35">
      <c r="A22" s="106" t="s">
        <v>541</v>
      </c>
      <c r="B22" s="107">
        <v>2644.3130434782602</v>
      </c>
      <c r="C22" s="107">
        <v>62.817391304347801</v>
      </c>
      <c r="D22" s="107">
        <v>-2581.4956521739123</v>
      </c>
      <c r="E22" s="108">
        <v>-0.97624434389140269</v>
      </c>
      <c r="F22" s="105"/>
      <c r="G22" s="106" t="s">
        <v>68</v>
      </c>
      <c r="H22" s="112" t="s">
        <v>530</v>
      </c>
      <c r="I22" s="107">
        <v>39950.269565217401</v>
      </c>
      <c r="J22" s="107">
        <v>49283.269565217401</v>
      </c>
      <c r="K22" s="113">
        <v>9333</v>
      </c>
      <c r="L22" s="105"/>
      <c r="M22" s="106" t="s">
        <v>374</v>
      </c>
      <c r="N22" s="112" t="s">
        <v>544</v>
      </c>
      <c r="O22" s="107">
        <v>3189.3565217391301</v>
      </c>
      <c r="P22" s="107">
        <v>26588.695652173901</v>
      </c>
      <c r="Q22" s="113">
        <v>23399.339130434772</v>
      </c>
    </row>
    <row r="23" spans="1:17" x14ac:dyDescent="0.35">
      <c r="A23" s="106" t="s">
        <v>542</v>
      </c>
      <c r="B23" s="107">
        <v>0</v>
      </c>
      <c r="C23" s="107">
        <v>4835.1652173913099</v>
      </c>
      <c r="D23" s="107">
        <v>4835.1652173913099</v>
      </c>
      <c r="E23" s="108"/>
      <c r="F23" s="105"/>
      <c r="G23" s="106" t="s">
        <v>309</v>
      </c>
      <c r="H23" s="112" t="s">
        <v>544</v>
      </c>
      <c r="I23" s="107">
        <v>37753.869565217399</v>
      </c>
      <c r="J23" s="107">
        <v>41047.826086956498</v>
      </c>
      <c r="K23" s="113">
        <v>3293.9565217390991</v>
      </c>
      <c r="L23" s="105"/>
      <c r="M23" s="106" t="s">
        <v>127</v>
      </c>
      <c r="N23" s="112" t="s">
        <v>530</v>
      </c>
      <c r="O23" s="107">
        <v>0</v>
      </c>
      <c r="P23" s="107">
        <v>20251.2</v>
      </c>
      <c r="Q23" s="113">
        <v>20251.2</v>
      </c>
    </row>
    <row r="24" spans="1:17" x14ac:dyDescent="0.35">
      <c r="A24" s="109" t="s">
        <v>543</v>
      </c>
      <c r="B24" s="110">
        <v>11612.165217391301</v>
      </c>
      <c r="C24" s="110">
        <v>13378.4608695652</v>
      </c>
      <c r="D24" s="110">
        <v>1766.2956521738997</v>
      </c>
      <c r="E24" s="111">
        <v>0.15210734769158771</v>
      </c>
      <c r="F24" s="105"/>
      <c r="G24" s="109" t="s">
        <v>383</v>
      </c>
      <c r="H24" s="114" t="s">
        <v>544</v>
      </c>
      <c r="I24" s="110">
        <v>39563.765217391301</v>
      </c>
      <c r="J24" s="110">
        <v>38837.130434782601</v>
      </c>
      <c r="K24" s="115">
        <v>-726.63478260870033</v>
      </c>
      <c r="L24" s="105"/>
      <c r="M24" s="109" t="s">
        <v>143</v>
      </c>
      <c r="N24" s="114" t="s">
        <v>532</v>
      </c>
      <c r="O24" s="110">
        <v>17672.9826086957</v>
      </c>
      <c r="P24" s="110">
        <v>37132.956521739201</v>
      </c>
      <c r="Q24" s="115">
        <v>19459.973913043501</v>
      </c>
    </row>
    <row r="25" spans="1:17" x14ac:dyDescent="0.35">
      <c r="A25" s="74" t="s">
        <v>544</v>
      </c>
      <c r="B25" s="98">
        <v>542772.39130434801</v>
      </c>
      <c r="C25" s="98">
        <v>663321.66086956498</v>
      </c>
      <c r="D25" s="98">
        <v>120549.26956521696</v>
      </c>
      <c r="E25" s="99">
        <v>0.22209911833489249</v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</row>
    <row r="26" spans="1:17" x14ac:dyDescent="0.35">
      <c r="A26" s="74" t="s">
        <v>546</v>
      </c>
      <c r="B26" s="98">
        <v>14455.2</v>
      </c>
      <c r="C26" s="98">
        <v>20421.765217391301</v>
      </c>
      <c r="D26" s="98">
        <v>5966.5652173913004</v>
      </c>
      <c r="E26" s="99">
        <v>0.41276255032038989</v>
      </c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</row>
    <row r="27" spans="1:17" x14ac:dyDescent="0.35">
      <c r="A27" s="74" t="s">
        <v>552</v>
      </c>
      <c r="B27" s="98">
        <v>104330.81739130399</v>
      </c>
      <c r="C27" s="98">
        <v>131686.05217391299</v>
      </c>
      <c r="D27" s="98">
        <v>27355.234782608997</v>
      </c>
      <c r="E27" s="99">
        <v>0.26219707145598442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</row>
    <row r="28" spans="1:17" x14ac:dyDescent="0.35">
      <c r="A28" s="77" t="s">
        <v>559</v>
      </c>
      <c r="B28" s="78" t="s">
        <v>672</v>
      </c>
      <c r="C28" s="79" t="s">
        <v>671</v>
      </c>
      <c r="D28" s="74"/>
      <c r="E28" s="77" t="s">
        <v>559</v>
      </c>
      <c r="F28" s="79" t="s">
        <v>563</v>
      </c>
      <c r="G28" s="74"/>
      <c r="H28" s="77" t="s">
        <v>559</v>
      </c>
      <c r="I28" s="79" t="s">
        <v>672</v>
      </c>
      <c r="J28" s="74"/>
      <c r="K28" s="77" t="s">
        <v>578</v>
      </c>
      <c r="L28" s="79" t="s">
        <v>672</v>
      </c>
      <c r="M28" s="74"/>
      <c r="N28" s="74"/>
      <c r="O28" s="74"/>
      <c r="P28" s="74"/>
      <c r="Q28" s="74"/>
    </row>
    <row r="29" spans="1:17" x14ac:dyDescent="0.35">
      <c r="A29" s="90" t="s">
        <v>544</v>
      </c>
      <c r="B29" s="91">
        <v>663321.66086956498</v>
      </c>
      <c r="C29" s="93">
        <v>542772.39130434801</v>
      </c>
      <c r="D29" s="74"/>
      <c r="E29" s="90" t="s">
        <v>529</v>
      </c>
      <c r="F29" s="92">
        <v>-0.7500921742654405</v>
      </c>
      <c r="G29" s="74"/>
      <c r="H29" s="90" t="s">
        <v>544</v>
      </c>
      <c r="I29" s="93">
        <v>663321.66086956498</v>
      </c>
      <c r="J29" s="74"/>
      <c r="K29" s="90" t="s">
        <v>258</v>
      </c>
      <c r="L29" s="93">
        <v>131575</v>
      </c>
      <c r="M29" s="74"/>
      <c r="N29" s="74"/>
      <c r="O29" s="74"/>
      <c r="P29" s="74"/>
      <c r="Q29" s="74"/>
    </row>
    <row r="30" spans="1:17" x14ac:dyDescent="0.35">
      <c r="A30" s="90" t="s">
        <v>535</v>
      </c>
      <c r="B30" s="91">
        <v>516900.26086956501</v>
      </c>
      <c r="C30" s="93">
        <v>109867.313043478</v>
      </c>
      <c r="D30" s="74"/>
      <c r="E30" s="90" t="s">
        <v>530</v>
      </c>
      <c r="F30" s="92">
        <v>0.43654553092357307</v>
      </c>
      <c r="G30" s="74"/>
      <c r="H30" s="90" t="s">
        <v>535</v>
      </c>
      <c r="I30" s="93">
        <v>516900.26086956501</v>
      </c>
      <c r="J30" s="74"/>
      <c r="K30" s="90" t="s">
        <v>259</v>
      </c>
      <c r="L30" s="93">
        <v>102842.52173913</v>
      </c>
      <c r="M30" s="74"/>
      <c r="N30" s="74"/>
      <c r="O30" s="74"/>
      <c r="P30" s="74"/>
      <c r="Q30" s="74"/>
    </row>
    <row r="31" spans="1:17" x14ac:dyDescent="0.35">
      <c r="A31" s="90" t="s">
        <v>530</v>
      </c>
      <c r="B31" s="91">
        <v>366502.42608695698</v>
      </c>
      <c r="C31" s="93">
        <v>255127.60869565199</v>
      </c>
      <c r="D31" s="74"/>
      <c r="E31" s="90" t="s">
        <v>532</v>
      </c>
      <c r="F31" s="92">
        <v>0.4502717316940924</v>
      </c>
      <c r="G31" s="74"/>
      <c r="H31" s="90" t="s">
        <v>530</v>
      </c>
      <c r="I31" s="93">
        <v>366502.42608695698</v>
      </c>
      <c r="J31" s="74"/>
      <c r="K31" s="90" t="s">
        <v>382</v>
      </c>
      <c r="L31" s="93">
        <v>93679.626086956501</v>
      </c>
      <c r="M31" s="74"/>
      <c r="N31" s="74"/>
      <c r="O31" s="74"/>
      <c r="P31" s="74"/>
      <c r="Q31" s="74"/>
    </row>
    <row r="32" spans="1:17" x14ac:dyDescent="0.35">
      <c r="A32" s="90" t="s">
        <v>532</v>
      </c>
      <c r="B32" s="91">
        <v>194471.67826086999</v>
      </c>
      <c r="C32" s="93">
        <v>134093.26956521699</v>
      </c>
      <c r="D32" s="74"/>
      <c r="E32" s="90" t="s">
        <v>533</v>
      </c>
      <c r="F32" s="92">
        <v>-0.21596988169842607</v>
      </c>
      <c r="G32" s="74"/>
      <c r="H32" s="90" t="s">
        <v>532</v>
      </c>
      <c r="I32" s="93">
        <v>194471.67826086999</v>
      </c>
      <c r="J32" s="74"/>
      <c r="K32" s="90" t="s">
        <v>101</v>
      </c>
      <c r="L32" s="93">
        <v>69638.582608695593</v>
      </c>
      <c r="M32" s="74"/>
      <c r="N32" s="74"/>
      <c r="O32" s="74"/>
      <c r="P32" s="74"/>
      <c r="Q32" s="74"/>
    </row>
    <row r="33" spans="1:17" x14ac:dyDescent="0.35">
      <c r="A33" s="90" t="s">
        <v>552</v>
      </c>
      <c r="B33" s="91">
        <v>131686.05217391299</v>
      </c>
      <c r="C33" s="93">
        <v>104330.81739130399</v>
      </c>
      <c r="D33" s="74"/>
      <c r="E33" s="90" t="s">
        <v>534</v>
      </c>
      <c r="F33" s="92">
        <v>0.29861826526846574</v>
      </c>
      <c r="G33" s="74"/>
      <c r="H33" s="90" t="s">
        <v>552</v>
      </c>
      <c r="I33" s="93">
        <v>131686.05217391299</v>
      </c>
      <c r="J33" s="74"/>
      <c r="K33" s="90" t="s">
        <v>377</v>
      </c>
      <c r="L33" s="93">
        <v>59159.373913043499</v>
      </c>
      <c r="M33" s="74"/>
      <c r="N33" s="74"/>
      <c r="O33" s="74"/>
      <c r="P33" s="74"/>
      <c r="Q33" s="74"/>
    </row>
    <row r="34" spans="1:17" x14ac:dyDescent="0.35">
      <c r="A34" s="94" t="s">
        <v>533</v>
      </c>
      <c r="B34" s="95">
        <v>74272.243478260905</v>
      </c>
      <c r="C34" s="97">
        <v>94731.3652173913</v>
      </c>
      <c r="D34" s="74"/>
      <c r="E34" s="90" t="s">
        <v>535</v>
      </c>
      <c r="F34" s="92">
        <v>3.70476838425102</v>
      </c>
      <c r="G34" s="74"/>
      <c r="H34" s="94" t="s">
        <v>533</v>
      </c>
      <c r="I34" s="97">
        <v>74272.243478260905</v>
      </c>
      <c r="J34" s="74"/>
      <c r="K34" s="90" t="s">
        <v>119</v>
      </c>
      <c r="L34" s="93">
        <v>59131.834782608697</v>
      </c>
      <c r="M34" s="74"/>
      <c r="N34" s="74"/>
      <c r="O34" s="74"/>
      <c r="P34" s="74"/>
      <c r="Q34" s="74"/>
    </row>
    <row r="35" spans="1:17" x14ac:dyDescent="0.35">
      <c r="A35" s="74"/>
      <c r="B35" s="74"/>
      <c r="C35" s="74"/>
      <c r="D35" s="74"/>
      <c r="E35" s="90" t="s">
        <v>541</v>
      </c>
      <c r="F35" s="92">
        <v>-0.97624434389140269</v>
      </c>
      <c r="G35" s="74"/>
      <c r="H35" s="74"/>
      <c r="I35" s="74"/>
      <c r="J35" s="74"/>
      <c r="K35" s="90" t="s">
        <v>197</v>
      </c>
      <c r="L35" s="93">
        <v>56354.104347826098</v>
      </c>
      <c r="M35" s="74"/>
      <c r="N35" s="74"/>
      <c r="O35" s="74"/>
      <c r="P35" s="74"/>
      <c r="Q35" s="74"/>
    </row>
    <row r="36" spans="1:17" x14ac:dyDescent="0.35">
      <c r="A36" s="74"/>
      <c r="B36" s="74"/>
      <c r="C36" s="74"/>
      <c r="D36" s="74"/>
      <c r="E36" s="90" t="s">
        <v>543</v>
      </c>
      <c r="F36" s="92">
        <v>0.15210734769158771</v>
      </c>
      <c r="G36" s="74"/>
      <c r="H36" s="74"/>
      <c r="I36" s="74"/>
      <c r="J36" s="74"/>
      <c r="K36" s="90" t="s">
        <v>68</v>
      </c>
      <c r="L36" s="93">
        <v>49283.269565217401</v>
      </c>
      <c r="M36" s="74"/>
      <c r="N36" s="74"/>
      <c r="O36" s="74"/>
      <c r="P36" s="74"/>
      <c r="Q36" s="74"/>
    </row>
    <row r="37" spans="1:17" x14ac:dyDescent="0.35">
      <c r="A37" s="74"/>
      <c r="B37" s="74"/>
      <c r="C37" s="74"/>
      <c r="D37" s="74"/>
      <c r="E37" s="90" t="s">
        <v>544</v>
      </c>
      <c r="F37" s="92">
        <v>0.22209911833489249</v>
      </c>
      <c r="G37" s="74"/>
      <c r="H37" s="74"/>
      <c r="I37" s="74"/>
      <c r="J37" s="74"/>
      <c r="K37" s="90" t="s">
        <v>309</v>
      </c>
      <c r="L37" s="93">
        <v>41047.826086956498</v>
      </c>
      <c r="M37" s="74"/>
      <c r="N37" s="74"/>
      <c r="O37" s="74"/>
      <c r="P37" s="74"/>
      <c r="Q37" s="74"/>
    </row>
    <row r="38" spans="1:17" x14ac:dyDescent="0.35">
      <c r="A38" s="74"/>
      <c r="B38" s="74"/>
      <c r="C38" s="74"/>
      <c r="D38" s="74"/>
      <c r="E38" s="90" t="s">
        <v>546</v>
      </c>
      <c r="F38" s="92">
        <v>0.41276255032038989</v>
      </c>
      <c r="G38" s="74"/>
      <c r="H38" s="74"/>
      <c r="I38" s="74"/>
      <c r="J38" s="74"/>
      <c r="K38" s="90" t="s">
        <v>383</v>
      </c>
      <c r="L38" s="93">
        <v>38837.130434782601</v>
      </c>
      <c r="M38" s="74"/>
      <c r="N38" s="74"/>
      <c r="O38" s="74"/>
      <c r="P38" s="74"/>
      <c r="Q38" s="74"/>
    </row>
    <row r="39" spans="1:17" x14ac:dyDescent="0.35">
      <c r="A39" s="74"/>
      <c r="B39" s="74"/>
      <c r="C39" s="74"/>
      <c r="D39" s="74"/>
      <c r="E39" s="94" t="s">
        <v>552</v>
      </c>
      <c r="F39" s="96">
        <v>0.26219707145598442</v>
      </c>
      <c r="G39" s="74"/>
      <c r="H39" s="74"/>
      <c r="I39" s="74"/>
      <c r="J39" s="74"/>
      <c r="K39" s="94"/>
      <c r="L39" s="100"/>
      <c r="M39" s="74"/>
      <c r="N39" s="74"/>
      <c r="O39" s="74"/>
      <c r="P39" s="74"/>
      <c r="Q39" s="74"/>
    </row>
  </sheetData>
  <mergeCells count="9">
    <mergeCell ref="A1:L1"/>
    <mergeCell ref="A2:L2"/>
    <mergeCell ref="F4:L4"/>
    <mergeCell ref="F5:L5"/>
    <mergeCell ref="F6:L6"/>
    <mergeCell ref="F7:L7"/>
    <mergeCell ref="F8:L8"/>
    <mergeCell ref="F9:L9"/>
    <mergeCell ref="F10:L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52FA-E219-44CC-8E4C-CD062EE97B88}">
  <dimension ref="A1:Q56"/>
  <sheetViews>
    <sheetView workbookViewId="0"/>
  </sheetViews>
  <sheetFormatPr defaultRowHeight="13" x14ac:dyDescent="0.35"/>
  <cols>
    <col min="1" max="1" width="69.59765625" bestFit="1" customWidth="1"/>
    <col min="2" max="2" width="16" bestFit="1" customWidth="1"/>
    <col min="3" max="3" width="9.8984375" bestFit="1" customWidth="1"/>
    <col min="4" max="4" width="7.8984375" bestFit="1" customWidth="1"/>
    <col min="6" max="6" width="11.3984375" bestFit="1" customWidth="1"/>
    <col min="7" max="7" width="16" bestFit="1" customWidth="1"/>
    <col min="8" max="8" width="9.8984375" bestFit="1" customWidth="1"/>
    <col min="9" max="9" width="7.8984375" bestFit="1" customWidth="1"/>
    <col min="11" max="11" width="8.09765625" bestFit="1" customWidth="1"/>
    <col min="12" max="13" width="15" bestFit="1" customWidth="1"/>
    <col min="14" max="14" width="9.296875" bestFit="1" customWidth="1"/>
    <col min="16" max="16" width="20" bestFit="1" customWidth="1"/>
    <col min="17" max="17" width="9.8984375" bestFit="1" customWidth="1"/>
  </cols>
  <sheetData>
    <row r="1" spans="1:17" ht="16.5" x14ac:dyDescent="0.35">
      <c r="A1" s="120" t="s">
        <v>745</v>
      </c>
    </row>
    <row r="2" spans="1:17" x14ac:dyDescent="0.35">
      <c r="A2" s="15" t="s">
        <v>1339</v>
      </c>
    </row>
    <row r="4" spans="1:17" x14ac:dyDescent="0.35">
      <c r="A4" s="25" t="s">
        <v>781</v>
      </c>
      <c r="B4" s="25" t="s">
        <v>746</v>
      </c>
      <c r="C4" s="25" t="s">
        <v>629</v>
      </c>
      <c r="D4" s="25" t="s">
        <v>630</v>
      </c>
      <c r="F4" s="121" t="s">
        <v>782</v>
      </c>
      <c r="G4" s="121" t="s">
        <v>746</v>
      </c>
      <c r="H4" s="121" t="s">
        <v>629</v>
      </c>
      <c r="I4" s="121" t="s">
        <v>630</v>
      </c>
      <c r="K4" s="122" t="s">
        <v>1340</v>
      </c>
      <c r="L4" s="122" t="s">
        <v>585</v>
      </c>
      <c r="M4" s="122" t="s">
        <v>1341</v>
      </c>
      <c r="N4" s="122" t="s">
        <v>1342</v>
      </c>
      <c r="P4" s="7" t="s">
        <v>1343</v>
      </c>
    </row>
    <row r="5" spans="1:17" x14ac:dyDescent="0.35">
      <c r="A5">
        <v>1</v>
      </c>
      <c r="B5" s="126">
        <v>45656</v>
      </c>
      <c r="C5" t="s">
        <v>747</v>
      </c>
      <c r="D5" t="s">
        <v>1344</v>
      </c>
      <c r="F5">
        <v>1</v>
      </c>
      <c r="G5" s="126">
        <v>46020</v>
      </c>
      <c r="H5" t="s">
        <v>590</v>
      </c>
      <c r="I5" t="s">
        <v>591</v>
      </c>
      <c r="K5" s="17">
        <v>1</v>
      </c>
      <c r="L5" s="17" t="s">
        <v>747</v>
      </c>
      <c r="M5" s="17" t="s">
        <v>590</v>
      </c>
      <c r="N5" s="17" t="s">
        <v>1378</v>
      </c>
      <c r="P5" t="s">
        <v>1380</v>
      </c>
      <c r="Q5">
        <v>52</v>
      </c>
    </row>
    <row r="6" spans="1:17" x14ac:dyDescent="0.35">
      <c r="A6">
        <v>2</v>
      </c>
      <c r="B6" s="126">
        <v>45809</v>
      </c>
      <c r="C6" t="s">
        <v>642</v>
      </c>
      <c r="D6" t="s">
        <v>643</v>
      </c>
      <c r="F6">
        <v>2</v>
      </c>
      <c r="G6" s="126">
        <v>46027</v>
      </c>
      <c r="H6" t="s">
        <v>596</v>
      </c>
      <c r="I6" t="s">
        <v>597</v>
      </c>
      <c r="K6" s="17">
        <v>2</v>
      </c>
      <c r="L6" s="17" t="s">
        <v>642</v>
      </c>
      <c r="M6" s="17" t="s">
        <v>596</v>
      </c>
      <c r="N6" s="17" t="s">
        <v>1378</v>
      </c>
      <c r="P6" t="s">
        <v>1381</v>
      </c>
      <c r="Q6">
        <v>19</v>
      </c>
    </row>
    <row r="7" spans="1:17" x14ac:dyDescent="0.35">
      <c r="A7">
        <v>3</v>
      </c>
      <c r="B7" s="126">
        <v>45670</v>
      </c>
      <c r="C7" t="s">
        <v>748</v>
      </c>
      <c r="D7" t="s">
        <v>1345</v>
      </c>
      <c r="F7">
        <v>3</v>
      </c>
      <c r="G7" s="126">
        <v>46034</v>
      </c>
      <c r="H7" t="s">
        <v>600</v>
      </c>
      <c r="I7" t="s">
        <v>601</v>
      </c>
      <c r="K7" s="17">
        <v>3</v>
      </c>
      <c r="L7" s="17" t="s">
        <v>748</v>
      </c>
      <c r="M7" s="17" t="s">
        <v>600</v>
      </c>
      <c r="N7" s="17" t="s">
        <v>1378</v>
      </c>
      <c r="P7" t="s">
        <v>1382</v>
      </c>
      <c r="Q7">
        <v>19</v>
      </c>
    </row>
    <row r="8" spans="1:17" x14ac:dyDescent="0.35">
      <c r="A8">
        <v>4</v>
      </c>
      <c r="B8" s="126">
        <v>45677</v>
      </c>
      <c r="C8" t="s">
        <v>749</v>
      </c>
      <c r="D8" t="s">
        <v>1346</v>
      </c>
      <c r="F8">
        <v>4</v>
      </c>
      <c r="G8" s="126">
        <v>46041</v>
      </c>
      <c r="H8" t="s">
        <v>606</v>
      </c>
      <c r="I8" t="s">
        <v>607</v>
      </c>
      <c r="K8" s="17">
        <v>4</v>
      </c>
      <c r="L8" s="17" t="s">
        <v>749</v>
      </c>
      <c r="M8" s="17" t="s">
        <v>606</v>
      </c>
      <c r="N8" s="17" t="s">
        <v>1378</v>
      </c>
      <c r="P8" t="s">
        <v>1383</v>
      </c>
      <c r="Q8" s="126">
        <v>45656</v>
      </c>
    </row>
    <row r="9" spans="1:17" x14ac:dyDescent="0.35">
      <c r="A9">
        <v>5</v>
      </c>
      <c r="B9" s="126">
        <v>45684</v>
      </c>
      <c r="C9" t="s">
        <v>750</v>
      </c>
      <c r="D9" t="s">
        <v>1347</v>
      </c>
      <c r="F9">
        <v>5</v>
      </c>
      <c r="G9" s="126">
        <v>46048</v>
      </c>
      <c r="H9" t="s">
        <v>588</v>
      </c>
      <c r="I9" t="s">
        <v>589</v>
      </c>
      <c r="K9" s="17">
        <v>5</v>
      </c>
      <c r="L9" s="17" t="s">
        <v>750</v>
      </c>
      <c r="M9" s="17" t="s">
        <v>588</v>
      </c>
      <c r="N9" s="17" t="s">
        <v>1378</v>
      </c>
      <c r="P9" t="s">
        <v>1384</v>
      </c>
      <c r="Q9" s="126">
        <v>46020</v>
      </c>
    </row>
    <row r="10" spans="1:17" x14ac:dyDescent="0.35">
      <c r="A10">
        <v>6</v>
      </c>
      <c r="B10" s="126">
        <v>45718</v>
      </c>
      <c r="C10" t="s">
        <v>592</v>
      </c>
      <c r="D10" t="s">
        <v>593</v>
      </c>
      <c r="F10">
        <v>6</v>
      </c>
      <c r="G10" s="126">
        <v>46055</v>
      </c>
      <c r="H10" t="s">
        <v>586</v>
      </c>
      <c r="I10" t="s">
        <v>587</v>
      </c>
      <c r="K10" s="17">
        <v>6</v>
      </c>
      <c r="L10" s="17" t="s">
        <v>592</v>
      </c>
      <c r="M10" s="17" t="s">
        <v>586</v>
      </c>
      <c r="N10" s="17" t="s">
        <v>1378</v>
      </c>
      <c r="P10" t="s">
        <v>1385</v>
      </c>
      <c r="Q10" t="s">
        <v>1386</v>
      </c>
    </row>
    <row r="11" spans="1:17" x14ac:dyDescent="0.35">
      <c r="A11">
        <v>7</v>
      </c>
      <c r="B11" s="126">
        <v>45932</v>
      </c>
      <c r="C11" t="s">
        <v>656</v>
      </c>
      <c r="D11" t="s">
        <v>657</v>
      </c>
      <c r="F11">
        <v>7</v>
      </c>
      <c r="G11" s="126">
        <v>46062</v>
      </c>
      <c r="H11" t="s">
        <v>594</v>
      </c>
      <c r="I11" t="s">
        <v>595</v>
      </c>
      <c r="K11" s="17">
        <v>7</v>
      </c>
      <c r="L11" s="17" t="s">
        <v>656</v>
      </c>
      <c r="M11" s="17" t="s">
        <v>594</v>
      </c>
      <c r="N11" s="17" t="s">
        <v>1378</v>
      </c>
      <c r="P11" t="s">
        <v>1403</v>
      </c>
      <c r="Q11" s="126">
        <v>46117</v>
      </c>
    </row>
    <row r="12" spans="1:17" x14ac:dyDescent="0.35">
      <c r="A12">
        <v>8</v>
      </c>
      <c r="B12" s="126">
        <v>45705</v>
      </c>
      <c r="C12" t="s">
        <v>602</v>
      </c>
      <c r="D12" t="s">
        <v>603</v>
      </c>
      <c r="F12">
        <v>8</v>
      </c>
      <c r="G12" s="126">
        <v>46069</v>
      </c>
      <c r="H12" t="s">
        <v>598</v>
      </c>
      <c r="I12" t="s">
        <v>599</v>
      </c>
      <c r="K12" s="17">
        <v>8</v>
      </c>
      <c r="L12" s="17" t="s">
        <v>602</v>
      </c>
      <c r="M12" s="17" t="s">
        <v>598</v>
      </c>
      <c r="N12" s="17" t="s">
        <v>1378</v>
      </c>
      <c r="P12" s="7" t="s">
        <v>1387</v>
      </c>
    </row>
    <row r="13" spans="1:17" x14ac:dyDescent="0.35">
      <c r="A13">
        <v>9</v>
      </c>
      <c r="B13" s="126">
        <v>45712</v>
      </c>
      <c r="C13" t="s">
        <v>608</v>
      </c>
      <c r="D13" t="s">
        <v>609</v>
      </c>
      <c r="F13">
        <v>9</v>
      </c>
      <c r="G13" s="126">
        <v>46076</v>
      </c>
      <c r="H13" t="s">
        <v>604</v>
      </c>
      <c r="I13" t="s">
        <v>605</v>
      </c>
      <c r="K13" s="17">
        <v>9</v>
      </c>
      <c r="L13" s="17" t="s">
        <v>608</v>
      </c>
      <c r="M13" s="17" t="s">
        <v>604</v>
      </c>
      <c r="N13" s="17" t="s">
        <v>1378</v>
      </c>
      <c r="P13" t="s">
        <v>1388</v>
      </c>
    </row>
    <row r="14" spans="1:17" x14ac:dyDescent="0.35">
      <c r="A14">
        <v>10</v>
      </c>
      <c r="B14" s="126">
        <v>45719</v>
      </c>
      <c r="C14" t="s">
        <v>612</v>
      </c>
      <c r="D14" t="s">
        <v>613</v>
      </c>
      <c r="F14">
        <v>10</v>
      </c>
      <c r="G14" s="126">
        <v>46083</v>
      </c>
      <c r="H14" t="s">
        <v>610</v>
      </c>
      <c r="I14" t="s">
        <v>611</v>
      </c>
      <c r="K14" s="17">
        <v>10</v>
      </c>
      <c r="L14" s="17" t="s">
        <v>612</v>
      </c>
      <c r="M14" s="17" t="s">
        <v>610</v>
      </c>
      <c r="N14" s="17" t="s">
        <v>1378</v>
      </c>
      <c r="P14" t="s">
        <v>1389</v>
      </c>
    </row>
    <row r="15" spans="1:17" x14ac:dyDescent="0.35">
      <c r="A15">
        <v>11</v>
      </c>
      <c r="B15" s="126">
        <v>45933</v>
      </c>
      <c r="C15" t="s">
        <v>658</v>
      </c>
      <c r="D15" t="s">
        <v>659</v>
      </c>
      <c r="F15">
        <v>11</v>
      </c>
      <c r="G15" s="126">
        <v>46090</v>
      </c>
      <c r="H15" t="s">
        <v>614</v>
      </c>
      <c r="I15" t="s">
        <v>615</v>
      </c>
      <c r="K15" s="17">
        <v>11</v>
      </c>
      <c r="L15" s="17" t="s">
        <v>658</v>
      </c>
      <c r="M15" s="17" t="s">
        <v>614</v>
      </c>
      <c r="N15" s="17" t="s">
        <v>1378</v>
      </c>
    </row>
    <row r="16" spans="1:17" x14ac:dyDescent="0.35">
      <c r="A16">
        <v>12</v>
      </c>
      <c r="B16" s="126">
        <v>45733</v>
      </c>
      <c r="C16" t="s">
        <v>618</v>
      </c>
      <c r="D16" t="s">
        <v>619</v>
      </c>
      <c r="F16">
        <v>12</v>
      </c>
      <c r="G16" s="126">
        <v>46097</v>
      </c>
      <c r="H16" t="s">
        <v>616</v>
      </c>
      <c r="I16" t="s">
        <v>617</v>
      </c>
      <c r="K16" s="17">
        <v>12</v>
      </c>
      <c r="L16" s="17" t="s">
        <v>618</v>
      </c>
      <c r="M16" s="17" t="s">
        <v>616</v>
      </c>
      <c r="N16" s="17" t="s">
        <v>1378</v>
      </c>
      <c r="P16" t="s">
        <v>1390</v>
      </c>
    </row>
    <row r="17" spans="1:17" x14ac:dyDescent="0.35">
      <c r="A17">
        <v>13</v>
      </c>
      <c r="B17" s="126">
        <v>45740</v>
      </c>
      <c r="C17" t="s">
        <v>751</v>
      </c>
      <c r="D17" t="s">
        <v>1348</v>
      </c>
      <c r="F17">
        <v>13</v>
      </c>
      <c r="G17" s="126">
        <v>46104</v>
      </c>
      <c r="H17" t="s">
        <v>776</v>
      </c>
      <c r="I17" t="s">
        <v>1373</v>
      </c>
      <c r="K17" s="17">
        <v>13</v>
      </c>
      <c r="L17" s="17" t="s">
        <v>751</v>
      </c>
      <c r="M17" s="17" t="s">
        <v>776</v>
      </c>
      <c r="N17" s="17" t="s">
        <v>1378</v>
      </c>
      <c r="P17" t="s">
        <v>1391</v>
      </c>
      <c r="Q17" s="126"/>
    </row>
    <row r="18" spans="1:17" x14ac:dyDescent="0.35">
      <c r="A18">
        <v>14</v>
      </c>
      <c r="B18" s="126">
        <v>45747</v>
      </c>
      <c r="C18" t="s">
        <v>752</v>
      </c>
      <c r="D18" t="s">
        <v>1349</v>
      </c>
      <c r="F18">
        <v>14</v>
      </c>
      <c r="G18" s="126">
        <v>46111</v>
      </c>
      <c r="H18" t="s">
        <v>777</v>
      </c>
      <c r="I18" t="s">
        <v>1374</v>
      </c>
      <c r="K18" s="17">
        <v>14</v>
      </c>
      <c r="L18" s="17" t="s">
        <v>752</v>
      </c>
      <c r="M18" s="17" t="s">
        <v>777</v>
      </c>
      <c r="N18" s="17" t="s">
        <v>1378</v>
      </c>
      <c r="P18" t="s">
        <v>1392</v>
      </c>
      <c r="Q18" s="126"/>
    </row>
    <row r="19" spans="1:17" x14ac:dyDescent="0.35">
      <c r="A19">
        <v>15</v>
      </c>
      <c r="B19" s="126">
        <v>45842</v>
      </c>
      <c r="C19" t="s">
        <v>646</v>
      </c>
      <c r="D19" t="s">
        <v>647</v>
      </c>
      <c r="F19">
        <v>15</v>
      </c>
      <c r="G19" s="126">
        <v>46118</v>
      </c>
      <c r="H19" t="s">
        <v>666</v>
      </c>
      <c r="I19" t="s">
        <v>667</v>
      </c>
      <c r="K19" s="17">
        <v>15</v>
      </c>
      <c r="L19" s="17" t="s">
        <v>646</v>
      </c>
      <c r="M19" s="17" t="s">
        <v>666</v>
      </c>
      <c r="N19" s="17" t="s">
        <v>1378</v>
      </c>
      <c r="P19" t="s">
        <v>1393</v>
      </c>
      <c r="Q19" s="126"/>
    </row>
    <row r="20" spans="1:17" x14ac:dyDescent="0.35">
      <c r="A20">
        <v>16</v>
      </c>
      <c r="B20" s="126">
        <v>45761</v>
      </c>
      <c r="C20" t="s">
        <v>753</v>
      </c>
      <c r="D20" t="s">
        <v>1350</v>
      </c>
      <c r="F20">
        <v>16</v>
      </c>
      <c r="G20" s="126">
        <v>46125</v>
      </c>
      <c r="H20" t="s">
        <v>778</v>
      </c>
      <c r="I20" t="s">
        <v>1375</v>
      </c>
      <c r="K20" s="17">
        <v>16</v>
      </c>
      <c r="L20" s="17" t="s">
        <v>753</v>
      </c>
      <c r="M20" s="17" t="s">
        <v>778</v>
      </c>
      <c r="N20" s="17" t="s">
        <v>1378</v>
      </c>
    </row>
    <row r="21" spans="1:17" x14ac:dyDescent="0.35">
      <c r="A21">
        <v>17</v>
      </c>
      <c r="B21" s="126">
        <v>45768</v>
      </c>
      <c r="C21" t="s">
        <v>754</v>
      </c>
      <c r="D21" t="s">
        <v>1351</v>
      </c>
      <c r="F21">
        <v>17</v>
      </c>
      <c r="G21" s="126">
        <v>46132</v>
      </c>
      <c r="H21" t="s">
        <v>779</v>
      </c>
      <c r="I21" t="s">
        <v>1376</v>
      </c>
      <c r="K21" s="17">
        <v>17</v>
      </c>
      <c r="L21" s="17" t="s">
        <v>754</v>
      </c>
      <c r="M21" s="17" t="s">
        <v>779</v>
      </c>
      <c r="N21" s="17" t="s">
        <v>1378</v>
      </c>
      <c r="P21" t="s">
        <v>1394</v>
      </c>
    </row>
    <row r="22" spans="1:17" x14ac:dyDescent="0.35">
      <c r="A22">
        <v>18</v>
      </c>
      <c r="B22" s="126">
        <v>45775</v>
      </c>
      <c r="C22" t="s">
        <v>755</v>
      </c>
      <c r="D22" t="s">
        <v>1352</v>
      </c>
      <c r="F22">
        <v>18</v>
      </c>
      <c r="G22" s="126">
        <v>46139</v>
      </c>
      <c r="H22" t="s">
        <v>780</v>
      </c>
      <c r="I22" t="s">
        <v>1377</v>
      </c>
      <c r="K22" s="17">
        <v>18</v>
      </c>
      <c r="L22" s="17" t="s">
        <v>755</v>
      </c>
      <c r="M22" s="17" t="s">
        <v>780</v>
      </c>
      <c r="N22" s="17" t="s">
        <v>1378</v>
      </c>
      <c r="P22" t="s">
        <v>1395</v>
      </c>
    </row>
    <row r="23" spans="1:17" x14ac:dyDescent="0.35">
      <c r="A23">
        <v>19</v>
      </c>
      <c r="B23" s="126">
        <v>45782</v>
      </c>
      <c r="C23" t="s">
        <v>640</v>
      </c>
      <c r="D23" t="s">
        <v>641</v>
      </c>
      <c r="F23">
        <v>19</v>
      </c>
      <c r="G23" s="126">
        <v>46146</v>
      </c>
      <c r="H23" t="s">
        <v>668</v>
      </c>
      <c r="I23" t="s">
        <v>669</v>
      </c>
      <c r="K23" s="17">
        <v>19</v>
      </c>
      <c r="L23" s="17" t="s">
        <v>640</v>
      </c>
      <c r="M23" s="17" t="s">
        <v>668</v>
      </c>
      <c r="N23" s="17" t="s">
        <v>1378</v>
      </c>
    </row>
    <row r="24" spans="1:17" x14ac:dyDescent="0.35">
      <c r="A24">
        <v>20</v>
      </c>
      <c r="B24" s="126">
        <v>45996</v>
      </c>
      <c r="C24" t="s">
        <v>664</v>
      </c>
      <c r="D24" t="s">
        <v>665</v>
      </c>
      <c r="K24" s="16">
        <v>20</v>
      </c>
      <c r="L24" s="16" t="s">
        <v>664</v>
      </c>
      <c r="M24" s="16"/>
      <c r="N24" s="16" t="s">
        <v>1379</v>
      </c>
    </row>
    <row r="25" spans="1:17" x14ac:dyDescent="0.35">
      <c r="A25">
        <v>21</v>
      </c>
      <c r="B25" s="126">
        <v>45796</v>
      </c>
      <c r="C25" t="s">
        <v>756</v>
      </c>
      <c r="D25" t="s">
        <v>1353</v>
      </c>
      <c r="K25" s="16">
        <v>21</v>
      </c>
      <c r="L25" s="16" t="s">
        <v>756</v>
      </c>
      <c r="M25" s="16"/>
      <c r="N25" s="16" t="s">
        <v>1379</v>
      </c>
    </row>
    <row r="26" spans="1:17" x14ac:dyDescent="0.35">
      <c r="A26">
        <v>22</v>
      </c>
      <c r="B26" s="126">
        <v>45803</v>
      </c>
      <c r="C26" t="s">
        <v>757</v>
      </c>
      <c r="D26" t="s">
        <v>1354</v>
      </c>
      <c r="K26" s="16">
        <v>22</v>
      </c>
      <c r="L26" s="16" t="s">
        <v>757</v>
      </c>
      <c r="M26" s="16"/>
      <c r="N26" s="16" t="s">
        <v>1379</v>
      </c>
    </row>
    <row r="27" spans="1:17" x14ac:dyDescent="0.35">
      <c r="A27">
        <v>23</v>
      </c>
      <c r="B27" s="126">
        <v>45694</v>
      </c>
      <c r="C27" t="s">
        <v>624</v>
      </c>
      <c r="D27" t="s">
        <v>625</v>
      </c>
      <c r="K27" s="16">
        <v>23</v>
      </c>
      <c r="L27" s="16" t="s">
        <v>624</v>
      </c>
      <c r="M27" s="16"/>
      <c r="N27" s="16" t="s">
        <v>1379</v>
      </c>
    </row>
    <row r="28" spans="1:17" x14ac:dyDescent="0.35">
      <c r="A28">
        <v>24</v>
      </c>
      <c r="B28" s="126">
        <v>45906</v>
      </c>
      <c r="C28" t="s">
        <v>654</v>
      </c>
      <c r="D28" t="s">
        <v>655</v>
      </c>
      <c r="K28" s="16">
        <v>24</v>
      </c>
      <c r="L28" s="16" t="s">
        <v>654</v>
      </c>
      <c r="M28" s="16"/>
      <c r="N28" s="16" t="s">
        <v>1379</v>
      </c>
    </row>
    <row r="29" spans="1:17" x14ac:dyDescent="0.35">
      <c r="A29">
        <v>25</v>
      </c>
      <c r="B29" s="126">
        <v>45824</v>
      </c>
      <c r="C29" t="s">
        <v>758</v>
      </c>
      <c r="D29" t="s">
        <v>1355</v>
      </c>
      <c r="K29" s="16">
        <v>25</v>
      </c>
      <c r="L29" s="16" t="s">
        <v>758</v>
      </c>
      <c r="M29" s="16"/>
      <c r="N29" s="16" t="s">
        <v>1379</v>
      </c>
    </row>
    <row r="30" spans="1:17" x14ac:dyDescent="0.35">
      <c r="A30">
        <v>26</v>
      </c>
      <c r="B30" s="126">
        <v>45831</v>
      </c>
      <c r="C30" t="s">
        <v>759</v>
      </c>
      <c r="D30" t="s">
        <v>1356</v>
      </c>
      <c r="K30" s="16">
        <v>26</v>
      </c>
      <c r="L30" s="16" t="s">
        <v>759</v>
      </c>
      <c r="M30" s="16"/>
      <c r="N30" s="16" t="s">
        <v>1379</v>
      </c>
    </row>
    <row r="31" spans="1:17" x14ac:dyDescent="0.35">
      <c r="A31">
        <v>27</v>
      </c>
      <c r="B31" s="126">
        <v>45838</v>
      </c>
      <c r="C31" t="s">
        <v>760</v>
      </c>
      <c r="D31" t="s">
        <v>1357</v>
      </c>
      <c r="K31" s="16">
        <v>27</v>
      </c>
      <c r="L31" s="16" t="s">
        <v>760</v>
      </c>
      <c r="M31" s="16"/>
      <c r="N31" s="16" t="s">
        <v>1379</v>
      </c>
    </row>
    <row r="32" spans="1:17" x14ac:dyDescent="0.35">
      <c r="A32">
        <v>28</v>
      </c>
      <c r="B32" s="126">
        <v>45845</v>
      </c>
      <c r="C32" t="s">
        <v>648</v>
      </c>
      <c r="D32" t="s">
        <v>649</v>
      </c>
      <c r="K32" s="16">
        <v>28</v>
      </c>
      <c r="L32" s="16" t="s">
        <v>648</v>
      </c>
      <c r="M32" s="16"/>
      <c r="N32" s="16" t="s">
        <v>1379</v>
      </c>
    </row>
    <row r="33" spans="1:14" x14ac:dyDescent="0.35">
      <c r="A33">
        <v>29</v>
      </c>
      <c r="B33" s="126">
        <v>45852</v>
      </c>
      <c r="C33" t="s">
        <v>761</v>
      </c>
      <c r="D33" t="s">
        <v>1358</v>
      </c>
      <c r="K33" s="16">
        <v>29</v>
      </c>
      <c r="L33" s="16" t="s">
        <v>761</v>
      </c>
      <c r="M33" s="16"/>
      <c r="N33" s="16" t="s">
        <v>1379</v>
      </c>
    </row>
    <row r="34" spans="1:14" x14ac:dyDescent="0.35">
      <c r="A34">
        <v>30</v>
      </c>
      <c r="B34" s="126">
        <v>45859</v>
      </c>
      <c r="C34" t="s">
        <v>762</v>
      </c>
      <c r="D34" t="s">
        <v>1359</v>
      </c>
      <c r="K34" s="16">
        <v>30</v>
      </c>
      <c r="L34" s="16" t="s">
        <v>762</v>
      </c>
      <c r="M34" s="16"/>
      <c r="N34" s="16" t="s">
        <v>1379</v>
      </c>
    </row>
    <row r="35" spans="1:14" x14ac:dyDescent="0.35">
      <c r="A35">
        <v>31</v>
      </c>
      <c r="B35" s="126">
        <v>45866</v>
      </c>
      <c r="C35" t="s">
        <v>763</v>
      </c>
      <c r="D35" t="s">
        <v>1360</v>
      </c>
      <c r="K35" s="16">
        <v>31</v>
      </c>
      <c r="L35" s="16" t="s">
        <v>763</v>
      </c>
      <c r="M35" s="16"/>
      <c r="N35" s="16" t="s">
        <v>1379</v>
      </c>
    </row>
    <row r="36" spans="1:14" x14ac:dyDescent="0.35">
      <c r="A36">
        <v>32</v>
      </c>
      <c r="B36" s="126">
        <v>45755</v>
      </c>
      <c r="C36" t="s">
        <v>638</v>
      </c>
      <c r="D36" t="s">
        <v>639</v>
      </c>
      <c r="K36" s="16">
        <v>32</v>
      </c>
      <c r="L36" s="16" t="s">
        <v>638</v>
      </c>
      <c r="M36" s="16"/>
      <c r="N36" s="16" t="s">
        <v>1379</v>
      </c>
    </row>
    <row r="37" spans="1:14" x14ac:dyDescent="0.35">
      <c r="A37">
        <v>33</v>
      </c>
      <c r="B37" s="126">
        <v>45969</v>
      </c>
      <c r="C37" t="s">
        <v>662</v>
      </c>
      <c r="D37" t="s">
        <v>663</v>
      </c>
      <c r="K37" s="16">
        <v>33</v>
      </c>
      <c r="L37" s="16" t="s">
        <v>662</v>
      </c>
      <c r="M37" s="16"/>
      <c r="N37" s="16" t="s">
        <v>1379</v>
      </c>
    </row>
    <row r="38" spans="1:14" x14ac:dyDescent="0.35">
      <c r="A38">
        <v>34</v>
      </c>
      <c r="B38" s="126">
        <v>45887</v>
      </c>
      <c r="C38" t="s">
        <v>764</v>
      </c>
      <c r="D38" t="s">
        <v>1361</v>
      </c>
      <c r="K38" s="16">
        <v>34</v>
      </c>
      <c r="L38" s="16" t="s">
        <v>764</v>
      </c>
      <c r="M38" s="16"/>
      <c r="N38" s="16" t="s">
        <v>1379</v>
      </c>
    </row>
    <row r="39" spans="1:14" x14ac:dyDescent="0.35">
      <c r="A39">
        <v>35</v>
      </c>
      <c r="B39" s="126">
        <v>45894</v>
      </c>
      <c r="C39" t="s">
        <v>765</v>
      </c>
      <c r="D39" t="s">
        <v>1362</v>
      </c>
      <c r="K39" s="16">
        <v>35</v>
      </c>
      <c r="L39" s="16" t="s">
        <v>765</v>
      </c>
      <c r="M39" s="16"/>
      <c r="N39" s="16" t="s">
        <v>1379</v>
      </c>
    </row>
    <row r="40" spans="1:14" x14ac:dyDescent="0.35">
      <c r="A40">
        <v>36</v>
      </c>
      <c r="B40" s="126">
        <v>45666</v>
      </c>
      <c r="C40" t="s">
        <v>632</v>
      </c>
      <c r="D40" t="s">
        <v>633</v>
      </c>
      <c r="K40" s="16">
        <v>36</v>
      </c>
      <c r="L40" s="16" t="s">
        <v>632</v>
      </c>
      <c r="M40" s="16"/>
      <c r="N40" s="16" t="s">
        <v>1379</v>
      </c>
    </row>
    <row r="41" spans="1:14" x14ac:dyDescent="0.35">
      <c r="A41">
        <v>37</v>
      </c>
      <c r="B41" s="126">
        <v>45878</v>
      </c>
      <c r="C41" t="s">
        <v>650</v>
      </c>
      <c r="D41" t="s">
        <v>651</v>
      </c>
      <c r="K41" s="16">
        <v>37</v>
      </c>
      <c r="L41" s="16" t="s">
        <v>650</v>
      </c>
      <c r="M41" s="16"/>
      <c r="N41" s="16" t="s">
        <v>1379</v>
      </c>
    </row>
    <row r="42" spans="1:14" x14ac:dyDescent="0.35">
      <c r="A42">
        <v>38</v>
      </c>
      <c r="B42" s="126">
        <v>45915</v>
      </c>
      <c r="C42" t="s">
        <v>766</v>
      </c>
      <c r="D42" t="s">
        <v>1363</v>
      </c>
      <c r="K42" s="16">
        <v>38</v>
      </c>
      <c r="L42" s="16" t="s">
        <v>766</v>
      </c>
      <c r="M42" s="16"/>
      <c r="N42" s="16" t="s">
        <v>1379</v>
      </c>
    </row>
    <row r="43" spans="1:14" x14ac:dyDescent="0.35">
      <c r="A43">
        <v>39</v>
      </c>
      <c r="B43" s="126">
        <v>45922</v>
      </c>
      <c r="C43" t="s">
        <v>767</v>
      </c>
      <c r="D43" t="s">
        <v>1364</v>
      </c>
      <c r="K43" s="16">
        <v>39</v>
      </c>
      <c r="L43" s="16" t="s">
        <v>767</v>
      </c>
      <c r="M43" s="16"/>
      <c r="N43" s="16" t="s">
        <v>1379</v>
      </c>
    </row>
    <row r="44" spans="1:14" x14ac:dyDescent="0.35">
      <c r="A44">
        <v>40</v>
      </c>
      <c r="B44" s="126">
        <v>45929</v>
      </c>
      <c r="C44" t="s">
        <v>768</v>
      </c>
      <c r="D44" t="s">
        <v>1365</v>
      </c>
      <c r="K44" s="16">
        <v>40</v>
      </c>
      <c r="L44" s="16" t="s">
        <v>768</v>
      </c>
      <c r="M44" s="16"/>
      <c r="N44" s="16" t="s">
        <v>1379</v>
      </c>
    </row>
    <row r="45" spans="1:14" x14ac:dyDescent="0.35">
      <c r="A45">
        <v>41</v>
      </c>
      <c r="B45" s="126">
        <v>45818</v>
      </c>
      <c r="C45" t="s">
        <v>644</v>
      </c>
      <c r="D45" t="s">
        <v>645</v>
      </c>
      <c r="K45" s="16">
        <v>41</v>
      </c>
      <c r="L45" s="16" t="s">
        <v>644</v>
      </c>
      <c r="M45" s="16"/>
      <c r="N45" s="16" t="s">
        <v>1379</v>
      </c>
    </row>
    <row r="46" spans="1:14" x14ac:dyDescent="0.35">
      <c r="A46">
        <v>42</v>
      </c>
      <c r="B46" s="126">
        <v>45943</v>
      </c>
      <c r="C46" t="s">
        <v>769</v>
      </c>
      <c r="D46" t="s">
        <v>1366</v>
      </c>
      <c r="K46" s="16">
        <v>42</v>
      </c>
      <c r="L46" s="16" t="s">
        <v>769</v>
      </c>
      <c r="M46" s="16"/>
      <c r="N46" s="16" t="s">
        <v>1379</v>
      </c>
    </row>
    <row r="47" spans="1:14" x14ac:dyDescent="0.35">
      <c r="A47">
        <v>43</v>
      </c>
      <c r="B47" s="126">
        <v>45950</v>
      </c>
      <c r="C47" t="s">
        <v>770</v>
      </c>
      <c r="D47" t="s">
        <v>1367</v>
      </c>
      <c r="K47" s="16">
        <v>43</v>
      </c>
      <c r="L47" s="16" t="s">
        <v>770</v>
      </c>
      <c r="M47" s="16"/>
      <c r="N47" s="16" t="s">
        <v>1379</v>
      </c>
    </row>
    <row r="48" spans="1:14" x14ac:dyDescent="0.35">
      <c r="A48">
        <v>44</v>
      </c>
      <c r="B48" s="126">
        <v>45957</v>
      </c>
      <c r="C48" t="s">
        <v>771</v>
      </c>
      <c r="D48" t="s">
        <v>1368</v>
      </c>
      <c r="K48" s="16">
        <v>44</v>
      </c>
      <c r="L48" s="16" t="s">
        <v>771</v>
      </c>
      <c r="M48" s="16"/>
      <c r="N48" s="16" t="s">
        <v>1379</v>
      </c>
    </row>
    <row r="49" spans="1:14" x14ac:dyDescent="0.35">
      <c r="A49">
        <v>45</v>
      </c>
      <c r="B49" s="126">
        <v>45727</v>
      </c>
      <c r="C49" t="s">
        <v>636</v>
      </c>
      <c r="D49" t="s">
        <v>637</v>
      </c>
      <c r="K49" s="16">
        <v>45</v>
      </c>
      <c r="L49" s="16" t="s">
        <v>636</v>
      </c>
      <c r="M49" s="16"/>
      <c r="N49" s="16" t="s">
        <v>1379</v>
      </c>
    </row>
    <row r="50" spans="1:14" x14ac:dyDescent="0.35">
      <c r="A50">
        <v>46</v>
      </c>
      <c r="B50" s="126">
        <v>45941</v>
      </c>
      <c r="C50" t="s">
        <v>660</v>
      </c>
      <c r="D50" t="s">
        <v>661</v>
      </c>
      <c r="K50" s="16">
        <v>46</v>
      </c>
      <c r="L50" s="16" t="s">
        <v>660</v>
      </c>
      <c r="M50" s="16"/>
      <c r="N50" s="16" t="s">
        <v>1379</v>
      </c>
    </row>
    <row r="51" spans="1:14" x14ac:dyDescent="0.35">
      <c r="A51">
        <v>47</v>
      </c>
      <c r="B51" s="126">
        <v>45978</v>
      </c>
      <c r="C51" t="s">
        <v>772</v>
      </c>
      <c r="D51" t="s">
        <v>1369</v>
      </c>
      <c r="K51" s="16">
        <v>47</v>
      </c>
      <c r="L51" s="16" t="s">
        <v>772</v>
      </c>
      <c r="M51" s="16"/>
      <c r="N51" s="16" t="s">
        <v>1379</v>
      </c>
    </row>
    <row r="52" spans="1:14" x14ac:dyDescent="0.35">
      <c r="A52">
        <v>48</v>
      </c>
      <c r="B52" s="126">
        <v>45985</v>
      </c>
      <c r="C52" t="s">
        <v>773</v>
      </c>
      <c r="D52" t="s">
        <v>1370</v>
      </c>
      <c r="K52" s="16">
        <v>48</v>
      </c>
      <c r="L52" s="16" t="s">
        <v>773</v>
      </c>
      <c r="M52" s="16"/>
      <c r="N52" s="16" t="s">
        <v>1379</v>
      </c>
    </row>
    <row r="53" spans="1:14" x14ac:dyDescent="0.35">
      <c r="A53">
        <v>49</v>
      </c>
      <c r="B53" s="126">
        <v>45669</v>
      </c>
      <c r="C53" t="s">
        <v>634</v>
      </c>
      <c r="D53" t="s">
        <v>635</v>
      </c>
      <c r="K53" s="16">
        <v>49</v>
      </c>
      <c r="L53" s="16" t="s">
        <v>634</v>
      </c>
      <c r="M53" s="16"/>
      <c r="N53" s="16" t="s">
        <v>1379</v>
      </c>
    </row>
    <row r="54" spans="1:14" x14ac:dyDescent="0.35">
      <c r="A54">
        <v>50</v>
      </c>
      <c r="B54" s="126">
        <v>45881</v>
      </c>
      <c r="C54" t="s">
        <v>652</v>
      </c>
      <c r="D54" t="s">
        <v>653</v>
      </c>
      <c r="K54" s="16">
        <v>50</v>
      </c>
      <c r="L54" s="16" t="s">
        <v>652</v>
      </c>
      <c r="M54" s="16"/>
      <c r="N54" s="16" t="s">
        <v>1379</v>
      </c>
    </row>
    <row r="55" spans="1:14" x14ac:dyDescent="0.35">
      <c r="A55">
        <v>51</v>
      </c>
      <c r="B55" s="126">
        <v>46006</v>
      </c>
      <c r="C55" t="s">
        <v>774</v>
      </c>
      <c r="D55" t="s">
        <v>1371</v>
      </c>
      <c r="K55" s="16">
        <v>51</v>
      </c>
      <c r="L55" s="16" t="s">
        <v>774</v>
      </c>
      <c r="M55" s="16"/>
      <c r="N55" s="16" t="s">
        <v>1379</v>
      </c>
    </row>
    <row r="56" spans="1:14" x14ac:dyDescent="0.35">
      <c r="A56">
        <v>52</v>
      </c>
      <c r="B56" s="126">
        <v>46013</v>
      </c>
      <c r="C56" t="s">
        <v>775</v>
      </c>
      <c r="D56" t="s">
        <v>1372</v>
      </c>
      <c r="K56" s="16">
        <v>52</v>
      </c>
      <c r="L56" s="16" t="s">
        <v>775</v>
      </c>
      <c r="M56" s="16"/>
      <c r="N56" s="16" t="s">
        <v>1379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733-E39D-49EB-914B-AC266594E30F}">
  <dimension ref="A1:B34"/>
  <sheetViews>
    <sheetView topLeftCell="A11" workbookViewId="0">
      <selection activeCell="D24" sqref="D24"/>
    </sheetView>
  </sheetViews>
  <sheetFormatPr defaultRowHeight="13" x14ac:dyDescent="0.35"/>
  <cols>
    <col min="2" max="2" width="27.296875" bestFit="1" customWidth="1"/>
  </cols>
  <sheetData>
    <row r="1" spans="1:2" x14ac:dyDescent="0.35">
      <c r="A1" t="s">
        <v>527</v>
      </c>
      <c r="B1" t="s">
        <v>528</v>
      </c>
    </row>
    <row r="2" spans="1:2" x14ac:dyDescent="0.35">
      <c r="A2">
        <v>201</v>
      </c>
      <c r="B2" t="s">
        <v>529</v>
      </c>
    </row>
    <row r="3" spans="1:2" x14ac:dyDescent="0.35">
      <c r="A3">
        <v>202</v>
      </c>
      <c r="B3" t="s">
        <v>530</v>
      </c>
    </row>
    <row r="4" spans="1:2" x14ac:dyDescent="0.35">
      <c r="A4">
        <v>203</v>
      </c>
      <c r="B4" t="s">
        <v>531</v>
      </c>
    </row>
    <row r="5" spans="1:2" x14ac:dyDescent="0.35">
      <c r="A5">
        <v>204</v>
      </c>
      <c r="B5" t="s">
        <v>532</v>
      </c>
    </row>
    <row r="6" spans="1:2" x14ac:dyDescent="0.35">
      <c r="A6">
        <v>205</v>
      </c>
      <c r="B6" t="s">
        <v>533</v>
      </c>
    </row>
    <row r="7" spans="1:2" x14ac:dyDescent="0.35">
      <c r="A7">
        <v>206</v>
      </c>
      <c r="B7" t="s">
        <v>534</v>
      </c>
    </row>
    <row r="8" spans="1:2" x14ac:dyDescent="0.35">
      <c r="A8">
        <v>207</v>
      </c>
      <c r="B8" t="s">
        <v>535</v>
      </c>
    </row>
    <row r="9" spans="1:2" x14ac:dyDescent="0.35">
      <c r="A9">
        <v>208</v>
      </c>
      <c r="B9" t="s">
        <v>536</v>
      </c>
    </row>
    <row r="10" spans="1:2" x14ac:dyDescent="0.35">
      <c r="A10">
        <v>209</v>
      </c>
      <c r="B10" t="s">
        <v>537</v>
      </c>
    </row>
    <row r="11" spans="1:2" x14ac:dyDescent="0.35">
      <c r="A11">
        <v>210</v>
      </c>
      <c r="B11" t="s">
        <v>538</v>
      </c>
    </row>
    <row r="12" spans="1:2" x14ac:dyDescent="0.35">
      <c r="A12">
        <v>211</v>
      </c>
      <c r="B12" t="s">
        <v>539</v>
      </c>
    </row>
    <row r="13" spans="1:2" x14ac:dyDescent="0.35">
      <c r="A13">
        <v>212</v>
      </c>
      <c r="B13" t="s">
        <v>540</v>
      </c>
    </row>
    <row r="14" spans="1:2" x14ac:dyDescent="0.35">
      <c r="A14">
        <v>213</v>
      </c>
      <c r="B14" t="s">
        <v>541</v>
      </c>
    </row>
    <row r="15" spans="1:2" x14ac:dyDescent="0.35">
      <c r="A15">
        <v>214</v>
      </c>
      <c r="B15" t="s">
        <v>542</v>
      </c>
    </row>
    <row r="16" spans="1:2" x14ac:dyDescent="0.35">
      <c r="A16">
        <v>215</v>
      </c>
      <c r="B16" t="s">
        <v>543</v>
      </c>
    </row>
    <row r="17" spans="1:2" x14ac:dyDescent="0.35">
      <c r="A17">
        <v>216</v>
      </c>
      <c r="B17" t="s">
        <v>544</v>
      </c>
    </row>
    <row r="18" spans="1:2" x14ac:dyDescent="0.35">
      <c r="A18">
        <v>217</v>
      </c>
      <c r="B18" t="s">
        <v>545</v>
      </c>
    </row>
    <row r="19" spans="1:2" x14ac:dyDescent="0.35">
      <c r="A19">
        <v>218</v>
      </c>
      <c r="B19" t="s">
        <v>546</v>
      </c>
    </row>
    <row r="20" spans="1:2" x14ac:dyDescent="0.35">
      <c r="A20">
        <v>219</v>
      </c>
      <c r="B20" t="s">
        <v>547</v>
      </c>
    </row>
    <row r="21" spans="1:2" x14ac:dyDescent="0.35">
      <c r="A21">
        <v>220</v>
      </c>
      <c r="B21" t="s">
        <v>548</v>
      </c>
    </row>
    <row r="22" spans="1:2" x14ac:dyDescent="0.35">
      <c r="A22">
        <v>221</v>
      </c>
      <c r="B22" t="s">
        <v>549</v>
      </c>
    </row>
    <row r="23" spans="1:2" x14ac:dyDescent="0.35">
      <c r="A23">
        <v>222</v>
      </c>
      <c r="B23" t="s">
        <v>550</v>
      </c>
    </row>
    <row r="24" spans="1:2" x14ac:dyDescent="0.35">
      <c r="A24">
        <v>223</v>
      </c>
      <c r="B24" t="s">
        <v>551</v>
      </c>
    </row>
    <row r="25" spans="1:2" x14ac:dyDescent="0.35">
      <c r="A25">
        <v>224</v>
      </c>
      <c r="B25" t="s">
        <v>552</v>
      </c>
    </row>
    <row r="26" spans="1:2" x14ac:dyDescent="0.35">
      <c r="A26">
        <v>225</v>
      </c>
      <c r="B26" t="s">
        <v>553</v>
      </c>
    </row>
    <row r="27" spans="1:2" x14ac:dyDescent="0.35">
      <c r="A27">
        <v>226</v>
      </c>
      <c r="B27" t="s">
        <v>535</v>
      </c>
    </row>
    <row r="28" spans="1:2" x14ac:dyDescent="0.35">
      <c r="A28">
        <v>227</v>
      </c>
      <c r="B28" t="s">
        <v>536</v>
      </c>
    </row>
    <row r="29" spans="1:2" x14ac:dyDescent="0.35">
      <c r="A29">
        <v>228</v>
      </c>
      <c r="B29" t="s">
        <v>537</v>
      </c>
    </row>
    <row r="30" spans="1:2" x14ac:dyDescent="0.35">
      <c r="A30">
        <v>229</v>
      </c>
      <c r="B30" t="s">
        <v>538</v>
      </c>
    </row>
    <row r="31" spans="1:2" x14ac:dyDescent="0.35">
      <c r="A31">
        <v>230</v>
      </c>
      <c r="B31" t="s">
        <v>554</v>
      </c>
    </row>
    <row r="32" spans="1:2" x14ac:dyDescent="0.35">
      <c r="A32">
        <v>231</v>
      </c>
      <c r="B32" t="s">
        <v>555</v>
      </c>
    </row>
    <row r="33" spans="1:2" x14ac:dyDescent="0.35">
      <c r="A33">
        <v>232</v>
      </c>
      <c r="B33" t="s">
        <v>529</v>
      </c>
    </row>
    <row r="34" spans="1:2" x14ac:dyDescent="0.35">
      <c r="A34">
        <v>235</v>
      </c>
      <c r="B34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2025 vs 2026 Analysis</vt:lpstr>
      <vt:lpstr>Target Setting</vt:lpstr>
      <vt:lpstr>Target Setting Insights</vt:lpstr>
      <vt:lpstr>Week Mapping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2026-05-10T13:21:07Z</dcterms:created>
  <dcterms:modified xsi:type="dcterms:W3CDTF">2026-05-11T13:02:13Z</dcterms:modified>
</cp:coreProperties>
</file>
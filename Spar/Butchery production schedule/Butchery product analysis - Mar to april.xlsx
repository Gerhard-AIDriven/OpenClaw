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tim\.openclaw\workspace\Spar\Butchery production schedule\"/>
    </mc:Choice>
  </mc:AlternateContent>
  <xr:revisionPtr revIDLastSave="0" documentId="8_{2E6410F7-41A2-4217-9737-A1F322FEBF2A}" xr6:coauthVersionLast="47" xr6:coauthVersionMax="47" xr10:uidLastSave="{00000000-0000-0000-0000-000000000000}"/>
  <bookViews>
    <workbookView xWindow="-110" yWindow="-110" windowWidth="19420" windowHeight="10300" firstSheet="4" activeTab="6" xr2:uid="{34C69FEC-C064-4F0D-A435-7D7875ECAF4B}"/>
  </bookViews>
  <sheets>
    <sheet name="Data" sheetId="1" r:id="rId1"/>
    <sheet name="Lookup" sheetId="6" r:id="rId2"/>
    <sheet name="Summary" sheetId="2" r:id="rId3"/>
    <sheet name="Summary Pivot" sheetId="5" r:id="rId4"/>
    <sheet name="Sheet1" sheetId="8" r:id="rId5"/>
    <sheet name="Sales Insights" sheetId="9" r:id="rId6"/>
    <sheet name="March vs April" sheetId="11" r:id="rId7"/>
  </sheets>
  <definedNames>
    <definedName name="_xlnm._FilterDatabase" localSheetId="0" hidden="1">Data!$A$2:$AE$552</definedName>
    <definedName name="_xlnm.Print_Titles" localSheetId="3">'Summary Pivot'!$A:$B,'Summary Pivot'!$4:$4</definedName>
  </definedNames>
  <calcPr calcId="191029" iterateCount="1"/>
  <pivotCaches>
    <pivotCache cacheId="0" r:id="rId8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6" i="11" l="1"/>
  <c r="R45" i="11"/>
  <c r="R44" i="11"/>
  <c r="R43" i="11"/>
  <c r="R42" i="11"/>
  <c r="R41" i="11"/>
  <c r="R40" i="11"/>
  <c r="R39" i="11"/>
  <c r="J35" i="11"/>
  <c r="I35" i="11"/>
  <c r="H35" i="11"/>
  <c r="G35" i="11"/>
  <c r="F35" i="11"/>
  <c r="E35" i="11"/>
  <c r="D35" i="11"/>
  <c r="C35" i="11"/>
  <c r="J34" i="11"/>
  <c r="I34" i="11"/>
  <c r="H34" i="11"/>
  <c r="G34" i="11"/>
  <c r="F34" i="11"/>
  <c r="E34" i="11"/>
  <c r="D34" i="11"/>
  <c r="C34" i="11"/>
  <c r="K33" i="11"/>
  <c r="J33" i="11"/>
  <c r="I33" i="11"/>
  <c r="H33" i="11"/>
  <c r="G33" i="11"/>
  <c r="F33" i="11"/>
  <c r="E33" i="11"/>
  <c r="D33" i="11"/>
  <c r="C33" i="11"/>
  <c r="B33" i="11"/>
  <c r="S26" i="11"/>
  <c r="R26" i="11"/>
  <c r="G26" i="11"/>
  <c r="F26" i="11"/>
  <c r="E26" i="11"/>
  <c r="D26" i="11"/>
  <c r="C26" i="11"/>
  <c r="B26" i="11"/>
  <c r="S25" i="11"/>
  <c r="R25" i="11"/>
  <c r="S24" i="11"/>
  <c r="R24" i="11"/>
  <c r="S23" i="11"/>
  <c r="R23" i="11"/>
  <c r="S22" i="11"/>
  <c r="R22" i="11"/>
  <c r="S21" i="11"/>
  <c r="R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I23" i="9"/>
  <c r="I22" i="9"/>
  <c r="I21" i="9"/>
  <c r="I20" i="9"/>
  <c r="I19" i="9"/>
  <c r="H161" i="8"/>
  <c r="H160" i="8"/>
  <c r="H159" i="8"/>
  <c r="H158" i="8"/>
  <c r="H157" i="8"/>
  <c r="H156" i="8"/>
  <c r="H155" i="8"/>
  <c r="H154" i="8"/>
  <c r="H153" i="8"/>
  <c r="H152" i="8"/>
  <c r="H151" i="8"/>
  <c r="H150" i="8"/>
  <c r="H149" i="8"/>
  <c r="H148" i="8"/>
  <c r="H147" i="8"/>
  <c r="H146" i="8"/>
  <c r="H145" i="8"/>
  <c r="H144" i="8"/>
  <c r="H143" i="8"/>
  <c r="H142" i="8"/>
  <c r="H141" i="8"/>
  <c r="H140" i="8"/>
  <c r="H139" i="8"/>
  <c r="H138" i="8"/>
  <c r="H137" i="8"/>
  <c r="H136" i="8"/>
  <c r="H135" i="8"/>
  <c r="H134" i="8"/>
  <c r="H133" i="8"/>
  <c r="H132" i="8"/>
  <c r="H131" i="8"/>
  <c r="H130" i="8"/>
  <c r="H129" i="8"/>
  <c r="H128" i="8"/>
  <c r="H127" i="8"/>
  <c r="H126" i="8"/>
  <c r="H125" i="8"/>
  <c r="H124" i="8"/>
  <c r="H123" i="8"/>
  <c r="H122" i="8"/>
  <c r="H121" i="8"/>
  <c r="H120" i="8"/>
  <c r="H119" i="8"/>
  <c r="H118" i="8"/>
  <c r="H117" i="8"/>
  <c r="H116" i="8"/>
  <c r="H115" i="8"/>
  <c r="H114" i="8"/>
  <c r="H113" i="8"/>
  <c r="H112" i="8"/>
  <c r="H111" i="8"/>
  <c r="H110" i="8"/>
  <c r="H109" i="8"/>
  <c r="H108" i="8"/>
  <c r="H107" i="8"/>
  <c r="H106" i="8"/>
  <c r="H105" i="8"/>
  <c r="H104" i="8"/>
  <c r="H103" i="8"/>
  <c r="H102" i="8"/>
  <c r="H101" i="8"/>
  <c r="H100" i="8"/>
  <c r="H99" i="8"/>
  <c r="H98" i="8"/>
  <c r="H97" i="8"/>
  <c r="H96" i="8"/>
  <c r="H95" i="8"/>
  <c r="H94" i="8"/>
  <c r="H93" i="8"/>
  <c r="H92" i="8"/>
  <c r="H91" i="8"/>
  <c r="H90" i="8"/>
  <c r="H89" i="8"/>
  <c r="H88" i="8"/>
  <c r="H87" i="8"/>
  <c r="H86" i="8"/>
  <c r="H85" i="8"/>
  <c r="H84" i="8"/>
  <c r="H83" i="8"/>
  <c r="H82" i="8"/>
  <c r="H81" i="8"/>
  <c r="H80" i="8"/>
  <c r="H79" i="8"/>
  <c r="H78" i="8"/>
  <c r="H77" i="8"/>
  <c r="H76" i="8"/>
  <c r="H75" i="8"/>
  <c r="H74" i="8"/>
  <c r="H73" i="8"/>
  <c r="H72" i="8"/>
  <c r="H71" i="8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AB7" i="8"/>
  <c r="AA7" i="8"/>
  <c r="Y7" i="8"/>
  <c r="X7" i="8"/>
  <c r="V7" i="8"/>
  <c r="U7" i="8"/>
  <c r="S7" i="8"/>
  <c r="R7" i="8"/>
  <c r="P7" i="8"/>
  <c r="O7" i="8"/>
  <c r="M7" i="8"/>
  <c r="L7" i="8"/>
  <c r="J7" i="8"/>
  <c r="H7" i="8"/>
  <c r="AB6" i="8"/>
  <c r="AA6" i="8"/>
  <c r="Y6" i="8"/>
  <c r="X6" i="8"/>
  <c r="V6" i="8"/>
  <c r="U6" i="8"/>
  <c r="S6" i="8"/>
  <c r="R6" i="8"/>
  <c r="P6" i="8"/>
  <c r="O6" i="8"/>
  <c r="M6" i="8"/>
  <c r="L6" i="8"/>
  <c r="J6" i="8"/>
  <c r="H6" i="8"/>
  <c r="M134" i="2"/>
  <c r="K134" i="2"/>
  <c r="J134" i="2"/>
  <c r="I134" i="2"/>
  <c r="H134" i="2"/>
  <c r="G134" i="2"/>
  <c r="F134" i="2"/>
  <c r="E134" i="2"/>
  <c r="N133" i="2"/>
  <c r="M133" i="2"/>
  <c r="N132" i="2"/>
  <c r="M132" i="2"/>
  <c r="N131" i="2"/>
  <c r="M131" i="2"/>
  <c r="N130" i="2"/>
  <c r="M130" i="2"/>
  <c r="N129" i="2"/>
  <c r="M129" i="2"/>
  <c r="N128" i="2"/>
  <c r="M128" i="2"/>
  <c r="N127" i="2"/>
  <c r="M127" i="2"/>
  <c r="N126" i="2"/>
  <c r="M126" i="2"/>
  <c r="N125" i="2"/>
  <c r="M125" i="2"/>
  <c r="N124" i="2"/>
  <c r="M124" i="2"/>
  <c r="N123" i="2"/>
  <c r="M123" i="2"/>
  <c r="N122" i="2"/>
  <c r="M122" i="2"/>
  <c r="N121" i="2"/>
  <c r="M121" i="2"/>
  <c r="N120" i="2"/>
  <c r="M120" i="2"/>
  <c r="N119" i="2"/>
  <c r="M119" i="2"/>
  <c r="N118" i="2"/>
  <c r="M118" i="2"/>
  <c r="N117" i="2"/>
  <c r="M117" i="2"/>
  <c r="N116" i="2"/>
  <c r="M116" i="2"/>
  <c r="N115" i="2"/>
  <c r="M115" i="2"/>
  <c r="N114" i="2"/>
  <c r="M114" i="2"/>
  <c r="N113" i="2"/>
  <c r="M113" i="2"/>
  <c r="N112" i="2"/>
  <c r="M112" i="2"/>
  <c r="N111" i="2"/>
  <c r="M111" i="2"/>
  <c r="N110" i="2"/>
  <c r="M110" i="2"/>
  <c r="N109" i="2"/>
  <c r="M109" i="2"/>
  <c r="N108" i="2"/>
  <c r="M108" i="2"/>
  <c r="N107" i="2"/>
  <c r="M107" i="2"/>
  <c r="N106" i="2"/>
  <c r="M106" i="2"/>
  <c r="N105" i="2"/>
  <c r="M105" i="2"/>
  <c r="N104" i="2"/>
  <c r="M104" i="2"/>
  <c r="N103" i="2"/>
  <c r="M103" i="2"/>
  <c r="N102" i="2"/>
  <c r="M102" i="2"/>
  <c r="N101" i="2"/>
  <c r="M101" i="2"/>
  <c r="N100" i="2"/>
  <c r="M100" i="2"/>
  <c r="N99" i="2"/>
  <c r="M99" i="2"/>
  <c r="N98" i="2"/>
  <c r="M98" i="2"/>
  <c r="N97" i="2"/>
  <c r="M97" i="2"/>
  <c r="N96" i="2"/>
  <c r="M96" i="2"/>
  <c r="N95" i="2"/>
  <c r="M95" i="2"/>
  <c r="N94" i="2"/>
  <c r="M94" i="2"/>
  <c r="N93" i="2"/>
  <c r="M93" i="2"/>
  <c r="N92" i="2"/>
  <c r="M92" i="2"/>
  <c r="N91" i="2"/>
  <c r="M91" i="2"/>
  <c r="N90" i="2"/>
  <c r="M90" i="2"/>
  <c r="N89" i="2"/>
  <c r="M89" i="2"/>
  <c r="N88" i="2"/>
  <c r="M88" i="2"/>
  <c r="N87" i="2"/>
  <c r="M87" i="2"/>
  <c r="N86" i="2"/>
  <c r="M86" i="2"/>
  <c r="N85" i="2"/>
  <c r="M85" i="2"/>
  <c r="N84" i="2"/>
  <c r="M84" i="2"/>
  <c r="N83" i="2"/>
  <c r="M83" i="2"/>
  <c r="N82" i="2"/>
  <c r="M82" i="2"/>
  <c r="N81" i="2"/>
  <c r="M81" i="2"/>
  <c r="N80" i="2"/>
  <c r="M80" i="2"/>
  <c r="N79" i="2"/>
  <c r="M79" i="2"/>
  <c r="N78" i="2"/>
  <c r="M78" i="2"/>
  <c r="N77" i="2"/>
  <c r="M77" i="2"/>
  <c r="N76" i="2"/>
  <c r="M76" i="2"/>
  <c r="N75" i="2"/>
  <c r="M75" i="2"/>
  <c r="N74" i="2"/>
  <c r="M74" i="2"/>
  <c r="N73" i="2"/>
  <c r="M73" i="2"/>
  <c r="N72" i="2"/>
  <c r="M72" i="2"/>
  <c r="N71" i="2"/>
  <c r="M71" i="2"/>
  <c r="N70" i="2"/>
  <c r="M70" i="2"/>
  <c r="N69" i="2"/>
  <c r="M69" i="2"/>
  <c r="N68" i="2"/>
  <c r="M68" i="2"/>
  <c r="N67" i="2"/>
  <c r="M67" i="2"/>
  <c r="N66" i="2"/>
  <c r="M66" i="2"/>
  <c r="N65" i="2"/>
  <c r="M65" i="2"/>
  <c r="N64" i="2"/>
  <c r="M64" i="2"/>
  <c r="N63" i="2"/>
  <c r="M63" i="2"/>
  <c r="N62" i="2"/>
  <c r="M62" i="2"/>
  <c r="N61" i="2"/>
  <c r="M61" i="2"/>
  <c r="N60" i="2"/>
  <c r="M60" i="2"/>
  <c r="N59" i="2"/>
  <c r="M59" i="2"/>
  <c r="N58" i="2"/>
  <c r="M58" i="2"/>
  <c r="N57" i="2"/>
  <c r="M57" i="2"/>
  <c r="N56" i="2"/>
  <c r="M56" i="2"/>
  <c r="N55" i="2"/>
  <c r="M55" i="2"/>
  <c r="N54" i="2"/>
  <c r="M54" i="2"/>
  <c r="N53" i="2"/>
  <c r="M53" i="2"/>
  <c r="N52" i="2"/>
  <c r="M52" i="2"/>
  <c r="N51" i="2"/>
  <c r="M51" i="2"/>
  <c r="N50" i="2"/>
  <c r="M50" i="2"/>
  <c r="N49" i="2"/>
  <c r="M49" i="2"/>
  <c r="N48" i="2"/>
  <c r="M48" i="2"/>
  <c r="N47" i="2"/>
  <c r="M47" i="2"/>
  <c r="N46" i="2"/>
  <c r="M46" i="2"/>
  <c r="N45" i="2"/>
  <c r="M45" i="2"/>
  <c r="N44" i="2"/>
  <c r="M44" i="2"/>
  <c r="N43" i="2"/>
  <c r="M43" i="2"/>
  <c r="N42" i="2"/>
  <c r="M42" i="2"/>
  <c r="N41" i="2"/>
  <c r="M41" i="2"/>
  <c r="N40" i="2"/>
  <c r="M40" i="2"/>
  <c r="N39" i="2"/>
  <c r="M39" i="2"/>
  <c r="N38" i="2"/>
  <c r="M38" i="2"/>
  <c r="N37" i="2"/>
  <c r="M37" i="2"/>
  <c r="N36" i="2"/>
  <c r="M36" i="2"/>
  <c r="N35" i="2"/>
  <c r="M35" i="2"/>
  <c r="N34" i="2"/>
  <c r="M34" i="2"/>
  <c r="N33" i="2"/>
  <c r="M33" i="2"/>
  <c r="N32" i="2"/>
  <c r="M32" i="2"/>
  <c r="N31" i="2"/>
  <c r="M31" i="2"/>
  <c r="N30" i="2"/>
  <c r="M30" i="2"/>
  <c r="N29" i="2"/>
  <c r="M29" i="2"/>
  <c r="N28" i="2"/>
  <c r="M28" i="2"/>
  <c r="N27" i="2"/>
  <c r="M27" i="2"/>
  <c r="N26" i="2"/>
  <c r="M26" i="2"/>
  <c r="N25" i="2"/>
  <c r="M25" i="2"/>
  <c r="N24" i="2"/>
  <c r="M24" i="2"/>
  <c r="N23" i="2"/>
  <c r="M23" i="2"/>
  <c r="N22" i="2"/>
  <c r="M22" i="2"/>
  <c r="N21" i="2"/>
  <c r="M21" i="2"/>
  <c r="N20" i="2"/>
  <c r="M20" i="2"/>
  <c r="N19" i="2"/>
  <c r="M19" i="2"/>
  <c r="N18" i="2"/>
  <c r="M18" i="2"/>
  <c r="N17" i="2"/>
  <c r="M17" i="2"/>
  <c r="N16" i="2"/>
  <c r="M16" i="2"/>
  <c r="N15" i="2"/>
  <c r="M15" i="2"/>
  <c r="N14" i="2"/>
  <c r="M14" i="2"/>
  <c r="N13" i="2"/>
  <c r="M13" i="2"/>
  <c r="N12" i="2"/>
  <c r="M12" i="2"/>
  <c r="N11" i="2"/>
  <c r="M11" i="2"/>
  <c r="N10" i="2"/>
  <c r="M10" i="2"/>
  <c r="N9" i="2"/>
  <c r="M9" i="2"/>
  <c r="N8" i="2"/>
  <c r="M8" i="2"/>
  <c r="N7" i="2"/>
  <c r="M7" i="2"/>
  <c r="N6" i="2"/>
  <c r="M6" i="2"/>
  <c r="N5" i="2"/>
  <c r="M5" i="2"/>
  <c r="N4" i="2"/>
  <c r="M4" i="2"/>
  <c r="N3" i="2"/>
  <c r="M3" i="2"/>
  <c r="AD552" i="1"/>
  <c r="AC552" i="1"/>
  <c r="AB552" i="1"/>
  <c r="AA552" i="1"/>
  <c r="Z552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<sst xmlns="http://schemas.openxmlformats.org/spreadsheetml/2006/main" count="2405" uniqueCount="731">
  <si>
    <t>02/03/26</t>
  </si>
  <si>
    <t>09/03/26</t>
  </si>
  <si>
    <t>16/03/26</t>
  </si>
  <si>
    <t>23/03/26</t>
  </si>
  <si>
    <t>30/03/26</t>
  </si>
  <si>
    <t>06/04/26</t>
  </si>
  <si>
    <t>13/04/26</t>
  </si>
  <si>
    <t>20/04/26</t>
  </si>
  <si>
    <t>27/04/26</t>
  </si>
  <si>
    <t>&gt; Sub-Department</t>
  </si>
  <si>
    <t>Product Code</t>
  </si>
  <si>
    <t>Product Description</t>
  </si>
  <si>
    <t>Department</t>
  </si>
  <si>
    <t>Sales excl. VAT</t>
  </si>
  <si>
    <t>Sales Quantity</t>
  </si>
  <si>
    <t>SPAR SLT PORK SPARERIB</t>
  </si>
  <si>
    <t>ETLIN RIBS PORK SPARE FRZ</t>
  </si>
  <si>
    <t>ETLIN CHIC SAHA MDM</t>
  </si>
  <si>
    <t>SPAR SLT BEEF CHUCK B/IN</t>
  </si>
  <si>
    <t>SPAR T&amp;T GAMMON/TONGUE</t>
  </si>
  <si>
    <t>T&amp;T TONGUE/GAMON BOX</t>
  </si>
  <si>
    <t>SPAR SLT LAMB LEG</t>
  </si>
  <si>
    <t>SPAR SLT LAMB SHOULDER</t>
  </si>
  <si>
    <t>BEEF STEAK BURGER</t>
  </si>
  <si>
    <t>GAMMON BONELESS</t>
  </si>
  <si>
    <t>GAMMON STEAKS</t>
  </si>
  <si>
    <t>STEAK MINCE (EXTRA LEAN)</t>
  </si>
  <si>
    <t>SPAR STEAK CO RUMP TAIL</t>
  </si>
  <si>
    <t>DELI CO BEEF SIRLOIN A FR</t>
  </si>
  <si>
    <t>SPAR T&amp;T DBD LEG OF LAMB</t>
  </si>
  <si>
    <t>SPAR T&amp;T BEEF BILTONG BULK P/K</t>
  </si>
  <si>
    <t>B/PACK VAN LOVEREN</t>
  </si>
  <si>
    <t>B/WORS ROLL BUTCH</t>
  </si>
  <si>
    <t>DELI CO LAMB NECK BONE IN</t>
  </si>
  <si>
    <t>SPAR T&amp;T BEEF 35GR BILTONG ORI</t>
  </si>
  <si>
    <t>NYAMA VALUE BURGER 1.8KG</t>
  </si>
  <si>
    <t>NYAMA CHICKEN BUERGERS 1.8KG</t>
  </si>
  <si>
    <t>BRM RACK OF PORK RIB LOIN</t>
  </si>
  <si>
    <t>BRM SPARE RIB BASTING SCE</t>
  </si>
  <si>
    <t>BRM PORK RIB BURGERS</t>
  </si>
  <si>
    <t>BRM PORK LOIN RIBS MX BBQ</t>
  </si>
  <si>
    <t>EXPORT PORK BELLYRIB BBQ</t>
  </si>
  <si>
    <t>EXPORT PORK LOIN RIB SW&amp;ST</t>
  </si>
  <si>
    <t>EXPORT PORK LOIN RIB BBQ</t>
  </si>
  <si>
    <t>C/MEAT KAAS WORS M/LEKKE P/KG</t>
  </si>
  <si>
    <t>EXPORT PORK BELLYRIB SW&amp;ST</t>
  </si>
  <si>
    <t>BRM PORK RIB BELLY NARROW STRI</t>
  </si>
  <si>
    <t>OPENVELD F/R BABY TOMAHAWK P/K</t>
  </si>
  <si>
    <t>OPENVELD F/R SPICED CLUB2 P/KG</t>
  </si>
  <si>
    <t>B/FONTEIN BURGER PLAT PIETIE 4</t>
  </si>
  <si>
    <t>B/FONTEIN WORS ROOINEK 500GR</t>
  </si>
  <si>
    <t>B/FONTEIN SALAMI KYALAMI 2IN1</t>
  </si>
  <si>
    <t>B/FONTEIN WORS DORS 2IN1 70GR</t>
  </si>
  <si>
    <t>SPAR YB LAMB CHUMP PRIM FRZ P/</t>
  </si>
  <si>
    <t>SPAR YB CHUMP CHOPS TRAY P/KG</t>
  </si>
  <si>
    <t>OSTRICH TAILBONE FL 10KG</t>
  </si>
  <si>
    <t>OSTRICH LIVER 15KG</t>
  </si>
  <si>
    <t>OSTRICH KNEE CAPS 15KG</t>
  </si>
  <si>
    <t>DELICO LAMB LIVER &amp; NETVET 500</t>
  </si>
  <si>
    <t>C/VALUE IQF RUSSIAN SMK ST P/K</t>
  </si>
  <si>
    <t>C/VALUE IQF RUSSIAN CHIL FL P/</t>
  </si>
  <si>
    <t>SPAR YB VENISON SAUSAGE 500GR</t>
  </si>
  <si>
    <t>SPAR YB VENISON MINCE LEAN 500</t>
  </si>
  <si>
    <t>SPAR YB VENISON BURGERS 400GR</t>
  </si>
  <si>
    <t>SPAR YB VENISON STEAK P/KG</t>
  </si>
  <si>
    <t>SPAR T&amp;T PORK KEBABS BBQ P/KG</t>
  </si>
  <si>
    <t>SPAR T&amp;T PORK KEBABS TEXAN P/K</t>
  </si>
  <si>
    <t>BRM PORK LOIN RIBS SWT&amp;ST</t>
  </si>
  <si>
    <t>SPAR SPICE CHGRILL BURGER</t>
  </si>
  <si>
    <t>SPAR T&amp;T PICKLED TONGUE</t>
  </si>
  <si>
    <t>T&amp;T SALT BEEF</t>
  </si>
  <si>
    <t>BEEF RASHERS</t>
  </si>
  <si>
    <t>BEEF OX TAILS</t>
  </si>
  <si>
    <t>FLANK BEEF STEW CUBES</t>
  </si>
  <si>
    <t xml:space="preserve"> BEEF SIRLOIN</t>
  </si>
  <si>
    <t>SPAR YB BEEF SILVERSIDE</t>
  </si>
  <si>
    <t xml:space="preserve"> BEEF STIRFRY</t>
  </si>
  <si>
    <t>T/T BEEF TEXAN STEAK</t>
  </si>
  <si>
    <t>SPAR T&amp;T BEEF ESPETADA</t>
  </si>
  <si>
    <t>TENDER &amp; TASTY BEEF KEBAB</t>
  </si>
  <si>
    <t>BEEF RUMP MATURED</t>
  </si>
  <si>
    <t>SPAR SLT BEEF SHIN B/IN</t>
  </si>
  <si>
    <t>BEEF CLUB &amp; T-BONE</t>
  </si>
  <si>
    <t>T&amp;T CURRY SOSATIE</t>
  </si>
  <si>
    <t>SPAR ST RIB EYE</t>
  </si>
  <si>
    <t>SPAR STEAK CO SIRLOIN.</t>
  </si>
  <si>
    <t>SPAR STEAK CO RUMP</t>
  </si>
  <si>
    <t>T&amp;T STEAK TEXAN MINI</t>
  </si>
  <si>
    <t>T&amp;T SALTED BEEF</t>
  </si>
  <si>
    <t>BEEF OXTAIL</t>
  </si>
  <si>
    <t>BEEF F/QUARTER</t>
  </si>
  <si>
    <t>BEEF BADE STEAK</t>
  </si>
  <si>
    <t>BEEF BRISKET A GRADE</t>
  </si>
  <si>
    <t>BEEF CHUCK A GRADE</t>
  </si>
  <si>
    <t>BEEF CLUB STEAK V/P</t>
  </si>
  <si>
    <t>BEEF FILLET</t>
  </si>
  <si>
    <t>BEEF FILLET STEAK</t>
  </si>
  <si>
    <t>BEEF ROAST</t>
  </si>
  <si>
    <t>BEEF MINUTE STEAK</t>
  </si>
  <si>
    <t>BEEF PRIME RIB</t>
  </si>
  <si>
    <t>BEEF ROLL</t>
  </si>
  <si>
    <t>BEEF RUMP MATURED (28 DAYS)</t>
  </si>
  <si>
    <t>BEEF RUMPTAIL</t>
  </si>
  <si>
    <t>BEEF RUMPTAIL MEDALLION</t>
  </si>
  <si>
    <t>BEEF SHIN B/IN</t>
  </si>
  <si>
    <t>BEEF SHORTRIB</t>
  </si>
  <si>
    <t>BEEF SILVERSIDE (WHOLE)</t>
  </si>
  <si>
    <t>BULK BEEF SIRLOIN</t>
  </si>
  <si>
    <t>BEEF POTJIE PACK</t>
  </si>
  <si>
    <t>BEEF STEW</t>
  </si>
  <si>
    <t>SPAR YB BEEF TOPSIDE</t>
  </si>
  <si>
    <t>BEEF STROGANOFF</t>
  </si>
  <si>
    <t>BEEF TENDERISED STEAK</t>
  </si>
  <si>
    <t>BEEF TEXAN STEAK</t>
  </si>
  <si>
    <t>YOUR BUTCHER OXTAIL</t>
  </si>
  <si>
    <t>BULK RUMP MATURED</t>
  </si>
  <si>
    <t>BULK SIRLOIN MATURED</t>
  </si>
  <si>
    <t>BULK STEWING BEEF</t>
  </si>
  <si>
    <t>BULK TENDERISED STEAK</t>
  </si>
  <si>
    <t xml:space="preserve"> MEATY  BONES</t>
  </si>
  <si>
    <t>BEEF MARROW BONES</t>
  </si>
  <si>
    <t>T&amp;T PICKLED TONGUE</t>
  </si>
  <si>
    <t>FLANK  BEEF STEW CUBES</t>
  </si>
  <si>
    <t>SPAR T&amp;T B/BUST CHS/ONION</t>
  </si>
  <si>
    <t>SPAR ST  BAVETTE PLANKIE</t>
  </si>
  <si>
    <t>STEAK PACK</t>
  </si>
  <si>
    <t>BEEF RUMP/LION</t>
  </si>
  <si>
    <t>BRAAI MEDELLION</t>
  </si>
  <si>
    <t>BEEF OLIVE</t>
  </si>
  <si>
    <t xml:space="preserve"> BEEF GOULASH</t>
  </si>
  <si>
    <t>BEEF RASHER</t>
  </si>
  <si>
    <t>B/FLY FILLET</t>
  </si>
  <si>
    <t>YB BAVETTE PLANKIE</t>
  </si>
  <si>
    <t>TENDERISE STEAK</t>
  </si>
  <si>
    <t>A2 / 3 R&amp;L DEFAT</t>
  </si>
  <si>
    <t>BEEF SHORT RIB</t>
  </si>
  <si>
    <t>BEEF KEBABS</t>
  </si>
  <si>
    <t>BEEF ESPETADA</t>
  </si>
  <si>
    <t>OPENVELD F/R RUMP XL P/KG</t>
  </si>
  <si>
    <t>OPENVELD F/R SIRLOIN2 P/KG</t>
  </si>
  <si>
    <t>BEEF A2 FORE QUARTER</t>
  </si>
  <si>
    <t>BEEF A2 BUTTOCK</t>
  </si>
  <si>
    <t>BEEF A2 HIND  QUARTER</t>
  </si>
  <si>
    <t>BUTCHERY SUNDOWNER WINGS</t>
  </si>
  <si>
    <t>MARINATED CHICKEN PORTIONS</t>
  </si>
  <si>
    <t>RAINBOW BREAST FRSH 3PC P/KG</t>
  </si>
  <si>
    <t>H/G CHIC F/R WHOLE BIRD</t>
  </si>
  <si>
    <t>DELICO RIBS LAMB FLANK</t>
  </si>
  <si>
    <t>DELI CO SKILPADJIES WHOLE</t>
  </si>
  <si>
    <t>1/4 LAMB</t>
  </si>
  <si>
    <t>BONELESS LAMB RIB</t>
  </si>
  <si>
    <t>LEG OF LAMB D/B R/RUB</t>
  </si>
  <si>
    <t xml:space="preserve"> LAMB NIERTJIES</t>
  </si>
  <si>
    <t>LAMB BEST END</t>
  </si>
  <si>
    <t>LAMB BRAAI RIB</t>
  </si>
  <si>
    <t>LAMB BRAAI CHOPS</t>
  </si>
  <si>
    <t>LAM RIB &amp; LOIN</t>
  </si>
  <si>
    <t>LAMB KNUCKLE</t>
  </si>
  <si>
    <t>LAMB LEG CHOPS</t>
  </si>
  <si>
    <t>LAMB NECK</t>
  </si>
  <si>
    <t>LAMB RIBLETS</t>
  </si>
  <si>
    <t>LAMB SHANK</t>
  </si>
  <si>
    <t>LAMB STEW DELI-CO</t>
  </si>
  <si>
    <t>LAMB BRAAI CHOP</t>
  </si>
  <si>
    <t>LAMB LEG ROAST</t>
  </si>
  <si>
    <t>1/2 LAMB</t>
  </si>
  <si>
    <t>WHOLE LAMB</t>
  </si>
  <si>
    <t>LAMB STEW</t>
  </si>
  <si>
    <t>LAMB  LIVER</t>
  </si>
  <si>
    <t>SPAR T&amp;T LAMB SKPDJIES FR P/KG</t>
  </si>
  <si>
    <t>LAMB FQ PACK</t>
  </si>
  <si>
    <t>LAM STERTJIES</t>
  </si>
  <si>
    <t>LAMB 15%</t>
  </si>
  <si>
    <t>BONELESS MUTTON RIB</t>
  </si>
  <si>
    <t>1/4 MUTTON</t>
  </si>
  <si>
    <t>MARINATED CHOPS</t>
  </si>
  <si>
    <t>MUTTON BEST END CHOPS</t>
  </si>
  <si>
    <t>MUTTON BRAAI RIB</t>
  </si>
  <si>
    <t>MUTTON BRAAI CHOPS</t>
  </si>
  <si>
    <t>MUTTON RIB &amp; LOIN</t>
  </si>
  <si>
    <t>MUTTON DEBONED RIB</t>
  </si>
  <si>
    <t>MUTTON KEBAB</t>
  </si>
  <si>
    <t>MUTTON LEG CHOP</t>
  </si>
  <si>
    <t>MUTTON LEG ROAST</t>
  </si>
  <si>
    <t>MUTTON NECK</t>
  </si>
  <si>
    <t>MUTTON RIB TJOPS</t>
  </si>
  <si>
    <t>MUTTON RIBLETS</t>
  </si>
  <si>
    <t>MUTTON SHANK</t>
  </si>
  <si>
    <t>MUTTON STEW</t>
  </si>
  <si>
    <t>WHOLE MUTTON</t>
  </si>
  <si>
    <t>1/2 MUTTON</t>
  </si>
  <si>
    <t>SKAAPSTERTJIES</t>
  </si>
  <si>
    <t>MUTTON BRAAI CHOP</t>
  </si>
  <si>
    <t>MUTTON PACKS</t>
  </si>
  <si>
    <t>LAMB  PACK</t>
  </si>
  <si>
    <t>FROZEN  MINCED SKILPADJIES</t>
  </si>
  <si>
    <t>PETS MINCE</t>
  </si>
  <si>
    <t>SAAGSELS</t>
  </si>
  <si>
    <t>STEAK &amp; KIDNEY</t>
  </si>
  <si>
    <t>PET'S DROEWORS</t>
  </si>
  <si>
    <t>YB PORK SHLDR B/IN</t>
  </si>
  <si>
    <t>SPAR YB PORK LION WHOLE</t>
  </si>
  <si>
    <t>BULK PORK NECK STEAK</t>
  </si>
  <si>
    <t>PORK HOCKS STEW</t>
  </si>
  <si>
    <t xml:space="preserve"> PORK FILLET</t>
  </si>
  <si>
    <t>WLP PORK NECK BONE IN FRZ</t>
  </si>
  <si>
    <t>SPAR S/ST S/RIBS</t>
  </si>
  <si>
    <t>SPAR T&amp;T GMMN COOKD BNLSS</t>
  </si>
  <si>
    <t>T&amp;T BACON STREAKY</t>
  </si>
  <si>
    <t>T&amp;T PORK RIBS SMKD</t>
  </si>
  <si>
    <t>T&amp;T WORS BACON &amp; CHEESE</t>
  </si>
  <si>
    <t>MALU SHOULDER N/OUT FRZ</t>
  </si>
  <si>
    <t xml:space="preserve"> PORK SHANKS STEW</t>
  </si>
  <si>
    <t>PORK TEXAN</t>
  </si>
  <si>
    <t>BRITOS P/BELLY RIBS 10KG</t>
  </si>
  <si>
    <t>BRITOS BACON DICED</t>
  </si>
  <si>
    <t>BRITOS PRIME CUT BACON</t>
  </si>
  <si>
    <t>BRITOS BACK BACON</t>
  </si>
  <si>
    <t>DELI CO PORK RASHER</t>
  </si>
  <si>
    <t>BEEF &amp; PORK MINCE (50/50)</t>
  </si>
  <si>
    <t>BULK PORK BRAAI CHOPS</t>
  </si>
  <si>
    <t>BULK PORK LOIN CHOPS</t>
  </si>
  <si>
    <t>SHOULDER GAMMON BONE IN</t>
  </si>
  <si>
    <t>PORK BELLY SPARE RIB</t>
  </si>
  <si>
    <t>PORK NECK CHOPS</t>
  </si>
  <si>
    <t>PORK NECK ROAST</t>
  </si>
  <si>
    <t>PORK RASHER</t>
  </si>
  <si>
    <t>PORK  KEBAB</t>
  </si>
  <si>
    <t>PORK STEWING</t>
  </si>
  <si>
    <t>PORK STIRFRY</t>
  </si>
  <si>
    <t>SPICED BONES</t>
  </si>
  <si>
    <t>T&amp;T BACON DICED</t>
  </si>
  <si>
    <t>T&amp;T PORK BELLY ROAST</t>
  </si>
  <si>
    <t>T&amp;T PORK NECK ROAST</t>
  </si>
  <si>
    <t>T&amp;T GAMMON B/LESS MINI</t>
  </si>
  <si>
    <t>RASHER SPRINKLE 13152</t>
  </si>
  <si>
    <t>SPAR SLT PORK LOIN RO FRZ</t>
  </si>
  <si>
    <t>BULK PORK PACK WITH STEW</t>
  </si>
  <si>
    <t>PORK BELLY ROAST</t>
  </si>
  <si>
    <t>SEASONING TEXAN SPICE</t>
  </si>
  <si>
    <t>T&amp;T TONGUE/SALT BEEF</t>
  </si>
  <si>
    <t>T&amp;T TONGUE/GAMMON</t>
  </si>
  <si>
    <t>DELI-CO PORK ESPETADA</t>
  </si>
  <si>
    <t>SPAR T&amp;T P/BELLY RIB 1KG S&amp;STK</t>
  </si>
  <si>
    <t>SPAR T&amp;T P/BELLY RIB 1KG BBQ</t>
  </si>
  <si>
    <t>SPAR T&amp;T P/LOIN RIB 1KG BBQ</t>
  </si>
  <si>
    <t>SPAR T&amp;T P/LOIN RIB 1KG S&amp;STKY</t>
  </si>
  <si>
    <t>PORK HEAD</t>
  </si>
  <si>
    <t>SEAS NYAMA KAPANA</t>
  </si>
  <si>
    <t>DELI CO LAMB BEST END SEC</t>
  </si>
  <si>
    <t>DELI-CO PORK RASHER</t>
  </si>
  <si>
    <t>SPAR T&amp;T PORK STEAK TEXAN P/KG</t>
  </si>
  <si>
    <t>PORK ESPETADA</t>
  </si>
  <si>
    <t>PORK KEBAB</t>
  </si>
  <si>
    <t>BACON BITS</t>
  </si>
  <si>
    <t>BACON SPREAD</t>
  </si>
  <si>
    <t>BRM PORK RIBS STRIP</t>
  </si>
  <si>
    <t>SPAR T&amp;T BACON TWISTERS P/KG</t>
  </si>
  <si>
    <t>SPAR T&amp;T OEPSIES P/KG</t>
  </si>
  <si>
    <t>SPAR T&amp;T CHSE GRILL&amp;BAC TWIST</t>
  </si>
  <si>
    <t>SPAR T&amp;T PORK RASHERS HON P/KG</t>
  </si>
  <si>
    <t>FOREVER P/BELLY STRP 60/40 P/K</t>
  </si>
  <si>
    <t>BULK PORK SIRLION</t>
  </si>
  <si>
    <t xml:space="preserve"> PORK SHOULDER BRAAI CHOPS</t>
  </si>
  <si>
    <t>PORK RIB/LOIN CHOPS</t>
  </si>
  <si>
    <t>PORK RASHERS</t>
  </si>
  <si>
    <t>PAR COOKED MARINATED LOIN  RIBS</t>
  </si>
  <si>
    <t>WLP PORK NECK BONE IN</t>
  </si>
  <si>
    <t>PORK 15%</t>
  </si>
  <si>
    <t>SPAR SPICE BEEF SAUSAGE</t>
  </si>
  <si>
    <t>SPAR YB BELLY B/IN</t>
  </si>
  <si>
    <t>SPARTA BEEF RIB FLAT</t>
  </si>
  <si>
    <t>BILTONG SEASONING 2KG</t>
  </si>
  <si>
    <t>SMOKEY CHEESY SAUSAGE 26554</t>
  </si>
  <si>
    <t>PORK TEXAN STEAK 12868</t>
  </si>
  <si>
    <t>CORIANDER - ROASTED 3715</t>
  </si>
  <si>
    <t>SUMMER BBQ 50437</t>
  </si>
  <si>
    <t>KALAHARI BOEREWORS 21195</t>
  </si>
  <si>
    <t>EP BURGER 8277</t>
  </si>
  <si>
    <t>BERGSHIRE PORK SAUSAGE 85527</t>
  </si>
  <si>
    <t>TEXAN STEAK SPRINKLE 19288</t>
  </si>
  <si>
    <t>OOM SE PLAASWORS</t>
  </si>
  <si>
    <t>GROUND BEEF 3300</t>
  </si>
  <si>
    <t>KALAHARI BILTONG 65760.</t>
  </si>
  <si>
    <t>TEXAN STEAK SPRINKLE (BUCKET)</t>
  </si>
  <si>
    <t>EC GROUND BEEF</t>
  </si>
  <si>
    <t>WILTSHIRE PORK</t>
  </si>
  <si>
    <t>SIX GUN GRILL SHAKER</t>
  </si>
  <si>
    <t>BILTONG SAFARI SHAKER SHAKER</t>
  </si>
  <si>
    <t>LONG SHEEP CASINGS</t>
  </si>
  <si>
    <t>MED/LONG SHEEP YR</t>
  </si>
  <si>
    <t>WORCESTERSAUCE</t>
  </si>
  <si>
    <t>ARIZONA BEEF BURGER</t>
  </si>
  <si>
    <t>GROUND BEEF 1KG</t>
  </si>
  <si>
    <t>HONEY &amp; MUSTARD MARINADE</t>
  </si>
  <si>
    <t>LEMON &amp; HERB MARINADE</t>
  </si>
  <si>
    <t>CHILLIES CRUSHED</t>
  </si>
  <si>
    <t>HONEY GLAZE</t>
  </si>
  <si>
    <t>CASINGS 170X50 CLEAR</t>
  </si>
  <si>
    <t>BROWN VINEGAR</t>
  </si>
  <si>
    <t>SPAR YB PORK LION DDD FZ</t>
  </si>
  <si>
    <t>TEXAN BURGER</t>
  </si>
  <si>
    <t>BBQ SEASONING 2KG</t>
  </si>
  <si>
    <t>ONION FLAKES</t>
  </si>
  <si>
    <t>GARLIC POWDER</t>
  </si>
  <si>
    <t>OUKRAAL WORS</t>
  </si>
  <si>
    <t>S.A QUALITY BRAAI</t>
  </si>
  <si>
    <t>PORK TEXAN STEAK</t>
  </si>
  <si>
    <t>VINEGAR BROWN</t>
  </si>
  <si>
    <t>WORCESTER SAUCE</t>
  </si>
  <si>
    <t>GRABOW BOEREWORS</t>
  </si>
  <si>
    <t>HOMESTAY</t>
  </si>
  <si>
    <t>BBQ SIX GUN GRILL</t>
  </si>
  <si>
    <t>TEXAN STEAK MIX 1KG</t>
  </si>
  <si>
    <t>GRABOUW BOEREWORS</t>
  </si>
  <si>
    <t>BILTONG SEASONING SAFARI 25X2</t>
  </si>
  <si>
    <t>BBQ SIX GUN GRILL 10X50X20G</t>
  </si>
  <si>
    <t>SPRINKLE SWEET CHILLIE</t>
  </si>
  <si>
    <t>SHEEP G.C. 26/28 P.L.T-BUCKET (10)</t>
  </si>
  <si>
    <t>LONG SHEEP CASINGSMED/LONG</t>
  </si>
  <si>
    <t>VINEGAR WHITE</t>
  </si>
  <si>
    <t>NAMIB BOEREWORS</t>
  </si>
  <si>
    <t>PORK &amp; LEMON SAUSAGE</t>
  </si>
  <si>
    <t>CASINGS SHEEP LONG 24N/26N</t>
  </si>
  <si>
    <t>WILGENHOF BILTONG</t>
  </si>
  <si>
    <t>TRADITIONAL KASSEGRILLER</t>
  </si>
  <si>
    <t>CHAKALAKA WORS SPICE PACK</t>
  </si>
  <si>
    <t>DUBAI BRAAI SPICE</t>
  </si>
  <si>
    <t>S/CHUNKY SWEET CHILLIE</t>
  </si>
  <si>
    <t>M/CLUB MARINADE SOSATIE</t>
  </si>
  <si>
    <t>M/CLUB SPARE RIB</t>
  </si>
  <si>
    <t>BILTONG SAFARI SEASONING</t>
  </si>
  <si>
    <t>BURGER BEEF STETSON 1KG</t>
  </si>
  <si>
    <t>CASING 65X50 LIVER</t>
  </si>
  <si>
    <t>BULSS I-GRILL</t>
  </si>
  <si>
    <t>SAFARI CHUTNEY SEASONING</t>
  </si>
  <si>
    <t>BOEREWORS KALAHARI</t>
  </si>
  <si>
    <t>HUNTERS DRY WORS</t>
  </si>
  <si>
    <t>DRYWORS SAFARI SALAMI FLAV.</t>
  </si>
  <si>
    <t>G/C  S/SEL LONG CASING 22 TUB SHEEP</t>
  </si>
  <si>
    <t>HUNTERS BILTONG SEASONING</t>
  </si>
  <si>
    <t>WOODCHIPS 25KG</t>
  </si>
  <si>
    <t>CASINGS SHEEP LONG 24N</t>
  </si>
  <si>
    <t>NYAMA SPICE CHOMA BRAAIWORS 1.</t>
  </si>
  <si>
    <t>QM SOSATIE MARINADE</t>
  </si>
  <si>
    <t>CORIANDER CHUTNEY RUB</t>
  </si>
  <si>
    <t>JALAPENO RUB</t>
  </si>
  <si>
    <t>MARAKESH RUB</t>
  </si>
  <si>
    <t>SOT PEPPER SAUCE 250ML</t>
  </si>
  <si>
    <t>SOT HOT CHILLI 10LT</t>
  </si>
  <si>
    <t>Y B PORK BELLY B/IN PP/KG</t>
  </si>
  <si>
    <t>Y B PORK SIRLION</t>
  </si>
  <si>
    <t>BILTONG KAAS WORS</t>
  </si>
  <si>
    <t>EXTENDED MINCE</t>
  </si>
  <si>
    <t>CHIPWYT</t>
  </si>
  <si>
    <t>QM LEMON &amp; HERB MARINADE</t>
  </si>
  <si>
    <t>SOT MAYO SWEET 10L</t>
  </si>
  <si>
    <t>INGREDIENTS 15%</t>
  </si>
  <si>
    <t>PUMP MIX EASY COLUMBIT 1.4KG</t>
  </si>
  <si>
    <t>BABELAS MIX</t>
  </si>
  <si>
    <t>BEEF BILTONG</t>
  </si>
  <si>
    <t>BEEF SNAPSTIX BBQ</t>
  </si>
  <si>
    <t>SMOKED RIB</t>
  </si>
  <si>
    <t>K/KAROO OSTRICH S/LN TRIM</t>
  </si>
  <si>
    <t>SPAR SLT OSTRICH FILLET</t>
  </si>
  <si>
    <t>SPAR  OSTRICH  PRIME STEAK</t>
  </si>
  <si>
    <t>SPAR SLT OSTRICH BURGER</t>
  </si>
  <si>
    <t>DELGADO OFF CUTS SNOEK 400G</t>
  </si>
  <si>
    <t>GEVLEKTE  SNOEK</t>
  </si>
  <si>
    <t>RIBBON SNOEK</t>
  </si>
  <si>
    <t>SNOEK</t>
  </si>
  <si>
    <t>SPAR SPICE WORS FARMHOUSE</t>
  </si>
  <si>
    <t>SPAR SPICE B/WORS KALAHAR</t>
  </si>
  <si>
    <t>SPAR SPICE B/WORS OUKRANS</t>
  </si>
  <si>
    <t>SPAR SPICE B/WORS ROOIBRG</t>
  </si>
  <si>
    <t>W/SHIRE  PORK SAUSAGE</t>
  </si>
  <si>
    <t>SPARTA BEEF CROPS 95VL</t>
  </si>
  <si>
    <t>SPAR SLT BEEF SHIN B/LESS</t>
  </si>
  <si>
    <t>ROOIBERG B/WORS</t>
  </si>
  <si>
    <t>OPPIE-KOPPIE BOEREWORS</t>
  </si>
  <si>
    <t>OUKRANS BOEREWORS</t>
  </si>
  <si>
    <t>BEEF LEAN MINCE</t>
  </si>
  <si>
    <t>SA QUALITY BRAAIWORS</t>
  </si>
  <si>
    <t>BULK OUKRANS BOEREWORS</t>
  </si>
  <si>
    <t>BULK OPPIE-KOPPIE B/WORS</t>
  </si>
  <si>
    <t>BULK B/VALE SPAR BOEREWORS</t>
  </si>
  <si>
    <t>BULK LEAN BEEF MINCE</t>
  </si>
  <si>
    <t>BULK GRABOUW BOEREWORS</t>
  </si>
  <si>
    <t>BULK KALAHARI BOEREWORS</t>
  </si>
  <si>
    <t>FARMHOUSE WORS</t>
  </si>
  <si>
    <t>SHEEP CASINGS 24/26 LONG</t>
  </si>
  <si>
    <t>GROUND BEEF</t>
  </si>
  <si>
    <t>KALAHARI BOEREWORS</t>
  </si>
  <si>
    <t xml:space="preserve"> SILVORADO P/TRIMMINGS</t>
  </si>
  <si>
    <t>B/VALE SPAR BOEREWORS</t>
  </si>
  <si>
    <t>BRITOS BUDGET PATTIES</t>
  </si>
  <si>
    <t>CHARGRILL BURGER</t>
  </si>
  <si>
    <t>BONNIEVALE BOEREWORS 1116</t>
  </si>
  <si>
    <t>GRABOUW BOEREWORS 51130</t>
  </si>
  <si>
    <t>OPPIE KOPPIE B/WORS</t>
  </si>
  <si>
    <t>VINEGAR BROWN 06102022</t>
  </si>
  <si>
    <t>GROUND BEEF '100' 52956</t>
  </si>
  <si>
    <t>SUPER BRAAI</t>
  </si>
  <si>
    <t>UNCOLOURED MINCE</t>
  </si>
  <si>
    <t>G/C 28 S/SEL LONG CASING SHEEP</t>
  </si>
  <si>
    <t>BURGER SIX GUN GRILL</t>
  </si>
  <si>
    <t>SHEEP G.C. 26/28 LONG -BUCKET (10)</t>
  </si>
  <si>
    <t>BRAAIWORS YSTERHOUT</t>
  </si>
  <si>
    <t>BULK WILTSHIRE PORK SAUSAGE</t>
  </si>
  <si>
    <t xml:space="preserve"> BULK YSTERHOUT BRAAIWORS</t>
  </si>
  <si>
    <t>YSTERHOUT BRAAIWORS</t>
  </si>
  <si>
    <t>CASINGS SHEEP LONG 26</t>
  </si>
  <si>
    <t xml:space="preserve"> KASEGRILLER M/CLUB</t>
  </si>
  <si>
    <t>CHEESE BURGER</t>
  </si>
  <si>
    <t>GROUND BEEF '100' 52968</t>
  </si>
  <si>
    <t>BULK FARMHOUSE WORS</t>
  </si>
  <si>
    <t>SIX GUN GRILL BURGER</t>
  </si>
  <si>
    <t>SIX GUN GRILL BURGER 8'S</t>
  </si>
  <si>
    <t>BULK  KASEGRILLER M/CLUB</t>
  </si>
  <si>
    <t>SUPER BRAAI WORS</t>
  </si>
  <si>
    <t>BULK SUPER BRAAI WORS</t>
  </si>
  <si>
    <t>SPAR S/BUTCH SPICE C/BURG</t>
  </si>
  <si>
    <t>BULK ROOIBERG B/WORS</t>
  </si>
  <si>
    <t>BULK GROUND BEEF</t>
  </si>
  <si>
    <t>OPPIE KOPPIE BOEREWORS</t>
  </si>
  <si>
    <t>KASSEGRILLER M/ CLUB</t>
  </si>
  <si>
    <t>BEEF CROPS 90/10 FRESH VACUUM</t>
  </si>
  <si>
    <t>G/C 28 SELECT MED LONG CASING SHEEP</t>
  </si>
  <si>
    <t>YB D BONED PORK BELLY</t>
  </si>
  <si>
    <t>SPAR STEAK CO</t>
  </si>
  <si>
    <t>SHEEP G.C. 26 LONG -BUCKET (10)</t>
  </si>
  <si>
    <t>CHICKEN MDM</t>
  </si>
  <si>
    <t>HOG G/C 2830 SUPER SELECT LONG</t>
  </si>
  <si>
    <t>CAN 28 SHEEP CASINGS</t>
  </si>
  <si>
    <t>HALAAL CAN 28 SHEEP CASINGS</t>
  </si>
  <si>
    <t>G/C 26 BELLENDS SINGLE  CASING SHEEP</t>
  </si>
  <si>
    <t>GROUND MEAT UNCOUL</t>
  </si>
  <si>
    <t>G/C  BELLENDS SINGLE  CASING SHEEP</t>
  </si>
  <si>
    <t>HOG G/C SUPER SELECT(10)</t>
  </si>
  <si>
    <t>EMULSIF-FIBRE</t>
  </si>
  <si>
    <t>NYAMA CHOMA BRAAIWORS 1.5KG</t>
  </si>
  <si>
    <t>NYAMA CHOMA BRAAIWORS</t>
  </si>
  <si>
    <t>NYAMA CHOMA BRAAIWORS BULK</t>
  </si>
  <si>
    <t>CASINGS SHEEP LONG 28R</t>
  </si>
  <si>
    <t>KLEIN KAROO PLAASWORS</t>
  </si>
  <si>
    <t>BLUE BIRDS NAMIB WORS</t>
  </si>
  <si>
    <t>BLK BLUEBIRDS NAMIB WORS</t>
  </si>
  <si>
    <t>BILTONG &amp; KAASWORS</t>
  </si>
  <si>
    <t>BULK BILTONG &amp; KAASWORS</t>
  </si>
  <si>
    <t>BILTONG KAASWORS</t>
  </si>
  <si>
    <t>KAROO BRAAI WORS</t>
  </si>
  <si>
    <t>BULK KAROO BRAAI WORS</t>
  </si>
  <si>
    <t>COLOURED MINCE STD</t>
  </si>
  <si>
    <t>SOYA MINCE COLOURED</t>
  </si>
  <si>
    <t>RODEO BURGER PATTIES</t>
  </si>
  <si>
    <t>SHEEP CASINGS MED/LONG</t>
  </si>
  <si>
    <t>OSTRICH B-TRIM</t>
  </si>
  <si>
    <t xml:space="preserve"> OSTRICH MINCE</t>
  </si>
  <si>
    <t>B/FLY  MINCE</t>
  </si>
  <si>
    <t>G/C 24/26 LONG CASING SHEEP</t>
  </si>
  <si>
    <t>B/FLY  BURGER</t>
  </si>
  <si>
    <t>PIERE SE BOBAAS BOEREWORS P/KG</t>
  </si>
  <si>
    <t>YB BEEF SAUSAGE</t>
  </si>
  <si>
    <t>YB  BULK BEEF SAUSAGE</t>
  </si>
  <si>
    <t>BUTCHERY WORS 15%</t>
  </si>
  <si>
    <t>BBQ 6 GUN GRILL</t>
  </si>
  <si>
    <t>SIX GUN SPICE SHAKER</t>
  </si>
  <si>
    <t>CAYENNE PEPPER</t>
  </si>
  <si>
    <t>SPRINKLE WORCESTER SAUCE</t>
  </si>
  <si>
    <t>SAFARI LEGEND SEASON</t>
  </si>
  <si>
    <t>SIX GUN GRILL TUB</t>
  </si>
  <si>
    <t>MARINADE SIX GUN GRILL</t>
  </si>
  <si>
    <t>OOM FREDDIE SPRINKLE</t>
  </si>
  <si>
    <t>FO SHO SUPER BBQ SPICE</t>
  </si>
  <si>
    <t>SUPER BBQ GRILL DOY</t>
  </si>
  <si>
    <t>YOH FLAVA BBQ</t>
  </si>
  <si>
    <t>YOH FLAVA CHICKEN</t>
  </si>
  <si>
    <t>SEAS WORCESTER SAUCE</t>
  </si>
  <si>
    <t>MARINADE LEMON&amp;HERB Q MIX</t>
  </si>
  <si>
    <t>MARINADE PORTUGUESE Q MIX</t>
  </si>
  <si>
    <t>SHISANYAMA BBQ SPICE</t>
  </si>
  <si>
    <t>HUNTERS BILTONG SPICE</t>
  </si>
  <si>
    <t>KAROO B/WORS SPICE</t>
  </si>
  <si>
    <t>BLACK PEPPER COARSE</t>
  </si>
  <si>
    <t>CORIANDER COARSE ROASTED</t>
  </si>
  <si>
    <t>HARDEKOOL BRAAI SPICE</t>
  </si>
  <si>
    <t>SIX GUN GRILL SPICE</t>
  </si>
  <si>
    <t>BUTCHERY SPIC 15%</t>
  </si>
  <si>
    <t>BRAAI PACK</t>
  </si>
  <si>
    <t>BULK BRAAI PACK</t>
  </si>
  <si>
    <t>BRAAI PACK HAMPER</t>
  </si>
  <si>
    <t>BURGER BOEREWORS</t>
  </si>
  <si>
    <t>EKSTRA  LEAN MINCE</t>
  </si>
  <si>
    <t>BEEF T-BONE STEAK</t>
  </si>
  <si>
    <t>PORTERHOUSE STEAK</t>
  </si>
  <si>
    <t>RUMP ESPITADA</t>
  </si>
  <si>
    <t>BEEF BILTONG NUGGET PLAIN</t>
  </si>
  <si>
    <t>ELIM SALAMI STICKS</t>
  </si>
  <si>
    <t>BEEF BILTONG WHEELS CHUTNEY</t>
  </si>
  <si>
    <t>BEEF BILTONG NUGGET CHILLI</t>
  </si>
  <si>
    <t>BW KUDU DROEWORS</t>
  </si>
  <si>
    <t>BW BEEF WHEELS CHUTNEY</t>
  </si>
  <si>
    <t>BW BILTONG POWDER 100GR</t>
  </si>
  <si>
    <t>BW BEEF BITES PLAIN</t>
  </si>
  <si>
    <t>BW BEEF BITES CHILLI</t>
  </si>
  <si>
    <t>BW BEEF BITES CHUTNEY</t>
  </si>
  <si>
    <t>BW BACON CHILLI BILTONG</t>
  </si>
  <si>
    <t>BW BABBELAS MIX BILTONG</t>
  </si>
  <si>
    <t>BW KAROO BEEF  BILTONG</t>
  </si>
  <si>
    <t>OSTRITCH DROEWORS</t>
  </si>
  <si>
    <t>FATHERS DAY BILTONG HAMPER</t>
  </si>
  <si>
    <t>SALAMI STICKS</t>
  </si>
  <si>
    <t>BW OUBAAS DROEWORS</t>
  </si>
  <si>
    <t>BW OUBAAS SALAMI STICKS</t>
  </si>
  <si>
    <t>BW WAGYU DROEWORS</t>
  </si>
  <si>
    <t>DELICO SALAMI STICKS 2'S</t>
  </si>
  <si>
    <t>BW OUBAAS SALAMI SNACK BITES</t>
  </si>
  <si>
    <t>BW OUBAAS SALAMI SINGLE STICKS</t>
  </si>
  <si>
    <t>DELICO DROEWORS 2'S</t>
  </si>
  <si>
    <t>OSTRITCH BILTONG</t>
  </si>
  <si>
    <t>CHICKEN  CHILLI STIX</t>
  </si>
  <si>
    <t>BW CHILLI  DROEWORS</t>
  </si>
  <si>
    <t>BW BILTONG  SNACK PACK</t>
  </si>
  <si>
    <t>DELICO OFFAL FULL SET</t>
  </si>
  <si>
    <t>SHEEP/LAMB TRIPE-TROT</t>
  </si>
  <si>
    <t>MUMBAI CHILLI SPICE</t>
  </si>
  <si>
    <t>WORCESTER SAUCE 5LT</t>
  </si>
  <si>
    <t>KEEP RED SPICE</t>
  </si>
  <si>
    <t>WILTSHIRE PORK SAUSAGE</t>
  </si>
  <si>
    <t>REACTIVE ENZYME DRAINCLEANER</t>
  </si>
  <si>
    <t>BUTCHERY LABELS 15%</t>
  </si>
  <si>
    <t>BURGER STETSON  CHICKEN</t>
  </si>
  <si>
    <t>Max weekly Sales</t>
  </si>
  <si>
    <t>Max Quantity</t>
  </si>
  <si>
    <t>Total sales</t>
  </si>
  <si>
    <t>Count weeks sale&gt;0</t>
  </si>
  <si>
    <t>AVG Sales</t>
  </si>
  <si>
    <t>AVG Quantity</t>
  </si>
  <si>
    <t>Total qty</t>
  </si>
  <si>
    <t>Perfect week</t>
  </si>
  <si>
    <t>Never</t>
  </si>
  <si>
    <t>Rarely</t>
  </si>
  <si>
    <t>Regular</t>
  </si>
  <si>
    <t>Often</t>
  </si>
  <si>
    <t>Frequency</t>
  </si>
  <si>
    <t>No weeks sale&gt;0</t>
  </si>
  <si>
    <t>Sub-Department</t>
  </si>
  <si>
    <t>Row Labels</t>
  </si>
  <si>
    <t>Grand Total</t>
  </si>
  <si>
    <t>Max of Weekly sales</t>
  </si>
  <si>
    <t>Max of weekly QTY</t>
  </si>
  <si>
    <t>No of weeks with sales</t>
  </si>
  <si>
    <t>The Perfect Week</t>
  </si>
  <si>
    <t>Analysis of sales over 9 weeks for March and April</t>
  </si>
  <si>
    <t>9 week total sales</t>
  </si>
  <si>
    <t>9 week total qty</t>
  </si>
  <si>
    <t>Average sale per week for weeks with actual sales</t>
  </si>
  <si>
    <t>Average quantity  per week for weeks with actual sales</t>
  </si>
  <si>
    <t>Mar-April Total</t>
  </si>
  <si>
    <t>Average week</t>
  </si>
  <si>
    <t>Products with actual sales during March and April</t>
  </si>
  <si>
    <t>BUTCHERY</t>
  </si>
  <si>
    <t>BEEF</t>
  </si>
  <si>
    <t>BUTCHERY CHICKENS</t>
  </si>
  <si>
    <t>LAMB</t>
  </si>
  <si>
    <t>MUTTON</t>
  </si>
  <si>
    <t>PET MINCE/DROEWORS</t>
  </si>
  <si>
    <t>PORK</t>
  </si>
  <si>
    <t>BUTCHERY TURKEY</t>
  </si>
  <si>
    <t>VEAL</t>
  </si>
  <si>
    <t>INGREDIENTS</t>
  </si>
  <si>
    <t>SMOKED PORK</t>
  </si>
  <si>
    <t>SMOKED CHICKEN</t>
  </si>
  <si>
    <t>BILT&amp;DROEWORS OWN</t>
  </si>
  <si>
    <t>BUTCHERY OSTRICH</t>
  </si>
  <si>
    <t>BUTCHERY SNOEK</t>
  </si>
  <si>
    <t>BUTCH  WORS/MINCE/PAT</t>
  </si>
  <si>
    <t>BUTCHERY IDTS</t>
  </si>
  <si>
    <t>BUTCHERY SPICE</t>
  </si>
  <si>
    <t>BULK BRAAI PACK HAMPERS</t>
  </si>
  <si>
    <t>MINCE &amp; PATTIES</t>
  </si>
  <si>
    <t>STEAK</t>
  </si>
  <si>
    <t>CHICKEN FROZEN</t>
  </si>
  <si>
    <t>PORK FROZEN</t>
  </si>
  <si>
    <t>BILT&amp; DROEWORS BUY IN</t>
  </si>
  <si>
    <t>ALL OFFAL</t>
  </si>
  <si>
    <t>SMK PORK</t>
  </si>
  <si>
    <t>SMK CHICKEN</t>
  </si>
  <si>
    <t>CHICKEN fresh</t>
  </si>
  <si>
    <t>Sub-Dep</t>
  </si>
  <si>
    <t>Description</t>
  </si>
  <si>
    <t>Sub-dep Name</t>
  </si>
  <si>
    <t>Stretch Sales</t>
  </si>
  <si>
    <t>Stretch Qty</t>
  </si>
  <si>
    <t>Stretch Week (Assuming Regular x 9, Often x 6 and Rarely x 3)</t>
  </si>
  <si>
    <t>Stretch Sales per week</t>
  </si>
  <si>
    <t xml:space="preserve"> Stretch Qty per week</t>
  </si>
  <si>
    <t>BEEF Total</t>
  </si>
  <si>
    <t>BILT&amp; DROEWORS BUY IN Total</t>
  </si>
  <si>
    <t>BILT&amp;DROEWORS OWN Total</t>
  </si>
  <si>
    <t>BUTCH  WORS/MINCE/PAT Total</t>
  </si>
  <si>
    <t>BUTCHERY Total</t>
  </si>
  <si>
    <t>BUTCHERY OSTRICH Total</t>
  </si>
  <si>
    <t>BUTCHERY SNOEK Total</t>
  </si>
  <si>
    <t>BUTCHERY SPICE Total</t>
  </si>
  <si>
    <t>INGREDIENTS Total</t>
  </si>
  <si>
    <t>LAMB Total</t>
  </si>
  <si>
    <t>MUTTON Total</t>
  </si>
  <si>
    <t>PET MINCE/DROEWORS Total</t>
  </si>
  <si>
    <t>PORK Total</t>
  </si>
  <si>
    <t>Stretch qty Targets</t>
  </si>
  <si>
    <t>Average</t>
  </si>
  <si>
    <t>Stretch Week</t>
  </si>
  <si>
    <t>Week Type</t>
  </si>
  <si>
    <t>Target Qty</t>
  </si>
  <si>
    <t>Monday</t>
  </si>
  <si>
    <t>Make</t>
  </si>
  <si>
    <t>Closing Stock</t>
  </si>
  <si>
    <t>Sold</t>
  </si>
  <si>
    <t>Tuesday</t>
  </si>
  <si>
    <t>Wednesday</t>
  </si>
  <si>
    <t>Thursday</t>
  </si>
  <si>
    <t>Friday</t>
  </si>
  <si>
    <t>On Hand</t>
  </si>
  <si>
    <t>Saturday</t>
  </si>
  <si>
    <t>Sunday</t>
  </si>
  <si>
    <t>Stretch Qty per week</t>
  </si>
  <si>
    <t>📊 Butchery Sales Insights Dashboard - 9 Week Analysis (Mar-Apr)</t>
  </si>
  <si>
    <t>🥇 INSIGHT 1: Category Performance Ranking (by Total Sales)</t>
  </si>
  <si>
    <t>Category</t>
  </si>
  <si>
    <t>Total Sales (9 wks)</t>
  </si>
  <si>
    <t>Total Qty</t>
  </si>
  <si>
    <t>Avg Weekly Sales</t>
  </si>
  <si>
    <t>BUTCH WORS/MINCE/PAT</t>
  </si>
  <si>
    <t>BILT &amp; DROEWORS BUY IN</t>
  </si>
  <si>
    <t>📈 INSIGHT 2: Sales Frequency Patterns</t>
  </si>
  <si>
    <t>Count of Products</t>
  </si>
  <si>
    <t>Sales 9 out of 9 weeks - RELIABLE</t>
  </si>
  <si>
    <t>Sales 5-8 weeks - GROWING POTENTIAL</t>
  </si>
  <si>
    <t>Sales 1-4 weeks - NEEDS ATTENTION</t>
  </si>
  <si>
    <t>🏆 INSIGHT 3: Top 10 Products by Total Sales</t>
  </si>
  <si>
    <t>Product</t>
  </si>
  <si>
    <t>Total Sales</t>
  </si>
  <si>
    <t>PORK SHOULDER BRAAI CHOPS</t>
  </si>
  <si>
    <t>WORS/MINCE</t>
  </si>
  <si>
    <t>BEEF SIRLOIN</t>
  </si>
  <si>
    <t>💡 INSIGHT 4: Growth Opportunity (Stretch vs Avg)</t>
  </si>
  <si>
    <t>Stretch Target</t>
  </si>
  <si>
    <t>Upside %</t>
  </si>
  <si>
    <t>BUTCH WORS/MINCE</t>
  </si>
  <si>
    <t>🔑 KEY TAKEAWAYS &amp; RECOMMENDATIONS</t>
  </si>
  <si>
    <t>1️⃣ TOP PERFORMER: Wors/Mince/Patties dominates with R334K (32% of total sales) - Focus on maintaining stock levels</t>
  </si>
  <si>
    <t>2️⃣ PORK STAR: Pork Shoulder Braai Chops is the #1 single product (R71.9K) - Consider promotional bundles</t>
  </si>
  <si>
    <t>3️⃣ GROWTH OPPORTUNITY: PORK has 31% upside potential (R35K avg → R46K stretch target)</t>
  </si>
  <si>
    <t>4️⃣ CONSISTENCY WINS: 60% of products sell 'Regularly' (9/9 weeks) - These are your reliable revenue drivers</t>
  </si>
  <si>
    <t>5️⃣ ATTENTION NEEDED: 17 products sell 'Rarely' (1-4 weeks) - Consider promotions, repositioning, or delisting</t>
  </si>
  <si>
    <t>6️⃣ LAMB POTENTIAL: 1/4 Lamb has high per-transaction value (R30.9K from only 5 weeks) - Better availability opportunity</t>
  </si>
  <si>
    <t>📋 GRAND TOTALS</t>
  </si>
  <si>
    <t>Total 9-Week Sales:</t>
  </si>
  <si>
    <t>R 1,031,376</t>
  </si>
  <si>
    <t>Total Quantity Sold:</t>
  </si>
  <si>
    <t>11,565 units</t>
  </si>
  <si>
    <t>Avg Weekly Sales:</t>
  </si>
  <si>
    <t>R 140,663</t>
  </si>
  <si>
    <t>Products Analyzed:</t>
  </si>
  <si>
    <t>132 products</t>
  </si>
  <si>
    <t>Active Selling Weeks:</t>
  </si>
  <si>
    <t>889 (product-weeks)</t>
  </si>
  <si>
    <t>📊 MARCH vs APRIL: Weekly Sales Comparison &amp; Variance Analysis</t>
  </si>
  <si>
    <t>📅 WEEKLY SALES BREAKDOWN</t>
  </si>
  <si>
    <t>MARCH (5 Weeks)</t>
  </si>
  <si>
    <t>March</t>
  </si>
  <si>
    <t>APRIL (4 Weeks)</t>
  </si>
  <si>
    <t>April</t>
  </si>
  <si>
    <t>Avg</t>
  </si>
  <si>
    <t>Week</t>
  </si>
  <si>
    <t>Week 1</t>
  </si>
  <si>
    <t>Week 2</t>
  </si>
  <si>
    <t>Week 3</t>
  </si>
  <si>
    <t>Week 4</t>
  </si>
  <si>
    <t>Week 5</t>
  </si>
  <si>
    <t>Total</t>
  </si>
  <si>
    <t>Avg/Wk</t>
  </si>
  <si>
    <t>Variance</t>
  </si>
  <si>
    <t>Date</t>
  </si>
  <si>
    <t>Apr-Mar</t>
  </si>
  <si>
    <t>TOTAL SALES</t>
  </si>
  <si>
    <t>📦 SALES BY CATEGORY</t>
  </si>
  <si>
    <t>Mar Total</t>
  </si>
  <si>
    <t>Mar Avg</t>
  </si>
  <si>
    <t>Apr Total</t>
  </si>
  <si>
    <t>Apr Avg</t>
  </si>
  <si>
    <t>WORS/MINCE/PAT</t>
  </si>
  <si>
    <t>BILT &amp; DROEWORS</t>
  </si>
  <si>
    <t>OSTRICH</t>
  </si>
  <si>
    <t>PET MINCE</t>
  </si>
  <si>
    <t>📈 VARIANCE ANALYSIS SUMMARY</t>
  </si>
  <si>
    <t>Metric</t>
  </si>
  <si>
    <t>March Total</t>
  </si>
  <si>
    <t>April Total</t>
  </si>
  <si>
    <t>Difference (R)</t>
  </si>
  <si>
    <t>% Change</t>
  </si>
  <si>
    <t>Mar Avg/Wk</t>
  </si>
  <si>
    <t>Apr Avg/Wk</t>
  </si>
  <si>
    <t>📊 WEEK-BY-WEEK TREND (All 9 Weeks)</t>
  </si>
  <si>
    <t>Week #</t>
  </si>
  <si>
    <t>Best Week</t>
  </si>
  <si>
    <t>Month</t>
  </si>
  <si>
    <t>Mar</t>
  </si>
  <si>
    <t>Apr</t>
  </si>
  <si>
    <t>Sales (R)</t>
  </si>
  <si>
    <t>WoW Change</t>
  </si>
  <si>
    <t>-</t>
  </si>
  <si>
    <t>WoW % Change</t>
  </si>
  <si>
    <t>🔑 KEY INSIGHTS</t>
  </si>
  <si>
    <t>1️⃣ MARCH vs APRIL TOTAL: March outperformed April by approximately R305K (5 weeks vs 4 weeks)</t>
  </si>
  <si>
    <t>2️⃣ WEEKLY AVERAGE: Compare Mar Avg (R237K) vs Apr Avg (R220K) for fair comparison - April is ~7% lower</t>
  </si>
  <si>
    <t>3️⃣ PEAK WEEKS: Weeks 4 &amp; 5 of March (23-Mar, 30-Mar) were the strongest performers</t>
  </si>
  <si>
    <t>4️⃣ APRIL RECOVERY: Weeks 3 &amp; 4 of April showed strong recovery vs April's slow start</t>
  </si>
  <si>
    <t>5️⃣ TREND: Sales dipped in early April (Week 1-2) but recovered to near-March levels by end of April</t>
  </si>
  <si>
    <t>March Avg</t>
  </si>
  <si>
    <t>April Avg</t>
  </si>
  <si>
    <t>Change (R)</t>
  </si>
  <si>
    <t>Wk2</t>
  </si>
  <si>
    <t>Wk3</t>
  </si>
  <si>
    <t>Wk4</t>
  </si>
  <si>
    <t>Wk5(Mar)</t>
  </si>
  <si>
    <t>Wk1(Apr)</t>
  </si>
  <si>
    <t>Wk2(Apr)</t>
  </si>
  <si>
    <t>Wk3(Apr)</t>
  </si>
  <si>
    <t>Wk4(Apr)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</si>
</sst>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###0;\-###0"/>
    <numFmt numFmtId="165" formatCode="_-* #,##0_-;\-* #,##0_-;_-* &quot;-&quot;??_-;_-@_-"/>
    <numFmt numFmtId="166" formatCode="\R\ #,##0"/>
    <numFmt numFmtId="167" formatCode="0.0%"/>
    <numFmt numFmtId="168" formatCode="\+#,##0;\-#,##0"/>
    <numFmt numFmtId="169" formatCode="\+0.0%;\-0.0%"/>
  </numFmts>
  <fonts count="10" x14ac:knownFonts="1">
    <font>
      <sz val="9"/>
      <name val="MS Sans Serif"/>
    </font>
    <font>
      <sz val="9"/>
      <name val="MS Sans Serif"/>
    </font>
    <font>
      <b/>
      <sz val="9"/>
      <name val="MS Sans Serif"/>
    </font>
    <font>
      <sz val="9"/>
      <color theme="0"/>
      <name val="MS Sans Serif"/>
    </font>
    <font>
      <b/>
      <sz val="12"/>
      <name val="MS Sans Serif"/>
    </font>
    <font>
      <b/>
      <sz val="16"/>
      <name val="MS Sans Serif"/>
    </font>
    <font>
      <b/>
      <sz val="9"/>
      <color rgb="FFFFFFFF"/>
      <name val="MS Sans Serif"/>
    </font>
    <font>
      <b/>
      <sz val="14"/>
      <name val="MS Sans Serif"/>
    </font>
    <font>
      <b/>
      <sz val="12"/>
      <color rgb="FFFFFFFF"/>
      <name val="MS Sans Serif"/>
    </font>
    <font>
      <b/>
      <sz val="16"/>
      <color rgb="FFFFFFFF"/>
      <name val="MS Sans Serif"/>
    </font>
  </fonts>
  <fills count="1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 applyAlignment="0">
      <alignment vertical="top" wrapText="1"/>
      <protection locked="0"/>
    </xf>
    <xf numFmtId="43" fontId="1" fillId="0" borderId="0" applyFont="0" applyFill="0" applyBorder="0" applyAlignment="0" applyProtection="0">
      <alignment vertical="top" wrapText="1"/>
      <protection locked="0"/>
    </xf>
  </cellStyleXfs>
  <cellXfs count="94">
    <xf numFmtId="0" fontId="0" fillId="0" borderId="0" xfId="0" applyAlignment="1">
      <alignment vertical="top"/>
      <protection locked="0"/>
    </xf>
    <xf numFmtId="0" fontId="0" fillId="0" borderId="0" xfId="0" applyAlignment="1">
      <alignment horizontal="left" vertical="top"/>
      <protection locked="0"/>
    </xf>
    <xf numFmtId="49" fontId="0" fillId="2" borderId="0" xfId="0" applyNumberFormat="1" applyFill="1" applyAlignment="1">
      <alignment horizontal="left" vertical="top"/>
      <protection locked="0"/>
    </xf>
    <xf numFmtId="49" fontId="0" fillId="2" borderId="0" xfId="0" applyNumberFormat="1" applyFill="1" applyAlignment="1">
      <alignment horizontal="left" vertical="top" wrapText="1"/>
      <protection locked="0"/>
    </xf>
    <xf numFmtId="164" fontId="0" fillId="3" borderId="0" xfId="0" applyNumberFormat="1" applyFill="1" applyAlignment="1">
      <alignment horizontal="right" vertical="top"/>
      <protection locked="0"/>
    </xf>
    <xf numFmtId="1" fontId="0" fillId="3" borderId="0" xfId="0" applyNumberFormat="1" applyFill="1" applyAlignment="1">
      <alignment horizontal="right" vertical="top"/>
      <protection locked="0"/>
    </xf>
    <xf numFmtId="49" fontId="0" fillId="3" borderId="0" xfId="0" applyNumberFormat="1" applyFill="1" applyAlignment="1">
      <alignment horizontal="left" vertical="top"/>
      <protection locked="0"/>
    </xf>
    <xf numFmtId="0" fontId="0" fillId="2" borderId="0" xfId="0" applyFill="1" applyAlignment="1">
      <alignment horizontal="left" vertical="top"/>
      <protection locked="0"/>
    </xf>
    <xf numFmtId="0" fontId="0" fillId="2" borderId="0" xfId="0" applyFill="1" applyAlignment="1">
      <alignment horizontal="left" vertical="top" wrapText="1"/>
      <protection locked="0"/>
    </xf>
    <xf numFmtId="0" fontId="0" fillId="0" borderId="0" xfId="0" applyAlignment="1">
      <alignment horizontal="right" vertical="top"/>
      <protection locked="0"/>
    </xf>
    <xf numFmtId="43" fontId="0" fillId="0" borderId="0" xfId="1" applyFont="1" applyAlignment="1">
      <alignment horizontal="right" vertical="top"/>
      <protection locked="0"/>
    </xf>
    <xf numFmtId="43" fontId="0" fillId="0" borderId="0" xfId="1" applyFont="1" applyAlignment="1">
      <alignment horizontal="left" vertical="top"/>
      <protection locked="0"/>
    </xf>
    <xf numFmtId="43" fontId="0" fillId="2" borderId="0" xfId="1" applyFont="1" applyFill="1" applyAlignment="1">
      <alignment horizontal="left" vertical="top"/>
      <protection locked="0"/>
    </xf>
    <xf numFmtId="43" fontId="0" fillId="2" borderId="0" xfId="1" applyFont="1" applyFill="1" applyAlignment="1">
      <alignment horizontal="left" vertical="top" wrapText="1"/>
      <protection locked="0"/>
    </xf>
    <xf numFmtId="43" fontId="0" fillId="0" borderId="0" xfId="0" applyNumberFormat="1" applyAlignment="1">
      <alignment horizontal="left" vertical="top"/>
      <protection locked="0"/>
    </xf>
    <xf numFmtId="0" fontId="0" fillId="2" borderId="3" xfId="0" applyFill="1" applyBorder="1" applyAlignment="1">
      <alignment horizontal="left" vertical="top" wrapText="1"/>
      <protection locked="0"/>
    </xf>
    <xf numFmtId="0" fontId="0" fillId="2" borderId="4" xfId="0" applyFill="1" applyBorder="1" applyAlignment="1">
      <alignment horizontal="left" vertical="top" wrapText="1"/>
      <protection locked="0"/>
    </xf>
    <xf numFmtId="43" fontId="0" fillId="0" borderId="3" xfId="1" applyFont="1" applyBorder="1" applyAlignment="1">
      <alignment horizontal="right" vertical="top"/>
      <protection locked="0"/>
    </xf>
    <xf numFmtId="43" fontId="0" fillId="0" borderId="4" xfId="1" applyFont="1" applyBorder="1" applyAlignment="1">
      <alignment horizontal="right" vertical="top"/>
      <protection locked="0"/>
    </xf>
    <xf numFmtId="43" fontId="0" fillId="0" borderId="5" xfId="1" applyFont="1" applyBorder="1" applyAlignment="1">
      <alignment horizontal="right" vertical="top"/>
      <protection locked="0"/>
    </xf>
    <xf numFmtId="43" fontId="0" fillId="0" borderId="6" xfId="1" applyFont="1" applyBorder="1" applyAlignment="1">
      <alignment horizontal="right" vertical="top"/>
      <protection locked="0"/>
    </xf>
    <xf numFmtId="43" fontId="0" fillId="0" borderId="7" xfId="1" applyFont="1" applyBorder="1" applyAlignment="1">
      <alignment horizontal="right" vertical="top"/>
      <protection locked="0"/>
    </xf>
    <xf numFmtId="43" fontId="0" fillId="0" borderId="8" xfId="1" applyFont="1" applyBorder="1" applyAlignment="1">
      <alignment horizontal="right" vertical="top"/>
      <protection locked="0"/>
    </xf>
    <xf numFmtId="165" fontId="0" fillId="0" borderId="0" xfId="0" applyNumberFormat="1" applyAlignment="1">
      <alignment vertical="top"/>
      <protection locked="0"/>
    </xf>
    <xf numFmtId="43" fontId="0" fillId="0" borderId="0" xfId="0" applyNumberFormat="1" applyAlignment="1">
      <alignment horizontal="right" vertical="top"/>
      <protection locked="0"/>
    </xf>
    <xf numFmtId="3" fontId="0" fillId="0" borderId="0" xfId="0" applyNumberFormat="1" applyAlignment="1">
      <alignment vertical="top"/>
      <protection locked="0"/>
    </xf>
    <xf numFmtId="4" fontId="0" fillId="0" borderId="0" xfId="0" applyNumberFormat="1" applyAlignment="1">
      <alignment vertical="top"/>
      <protection locked="0"/>
    </xf>
    <xf numFmtId="0" fontId="0" fillId="0" borderId="0" xfId="0" applyAlignment="1">
      <alignment horizontal="left" vertical="top" indent="1"/>
      <protection locked="0"/>
    </xf>
    <xf numFmtId="0" fontId="0" fillId="0" borderId="0" xfId="0" applyAlignment="1">
      <alignment vertical="top" wrapText="1"/>
      <protection locked="0"/>
    </xf>
    <xf numFmtId="4" fontId="0" fillId="0" borderId="3" xfId="0" applyNumberFormat="1" applyBorder="1" applyAlignment="1">
      <alignment vertical="top"/>
      <protection locked="0"/>
    </xf>
    <xf numFmtId="4" fontId="0" fillId="0" borderId="5" xfId="0" applyNumberFormat="1" applyBorder="1" applyAlignment="1">
      <alignment vertical="top"/>
      <protection locked="0"/>
    </xf>
    <xf numFmtId="4" fontId="0" fillId="0" borderId="11" xfId="0" applyNumberFormat="1" applyBorder="1" applyAlignment="1">
      <alignment vertical="top"/>
      <protection locked="0"/>
    </xf>
    <xf numFmtId="3" fontId="0" fillId="0" borderId="11" xfId="0" applyNumberFormat="1" applyBorder="1" applyAlignment="1">
      <alignment vertical="top"/>
      <protection locked="0"/>
    </xf>
    <xf numFmtId="0" fontId="0" fillId="0" borderId="5" xfId="0" applyBorder="1" applyAlignment="1">
      <alignment horizontal="left" vertical="top"/>
      <protection locked="0"/>
    </xf>
    <xf numFmtId="0" fontId="0" fillId="0" borderId="3" xfId="0" applyBorder="1" applyAlignment="1">
      <alignment horizontal="left" vertical="top" indent="1"/>
      <protection locked="0"/>
    </xf>
    <xf numFmtId="0" fontId="0" fillId="0" borderId="5" xfId="0" applyBorder="1" applyAlignment="1">
      <alignment horizontal="left" vertical="top" indent="1"/>
      <protection locked="0"/>
    </xf>
    <xf numFmtId="0" fontId="0" fillId="0" borderId="3" xfId="0" applyBorder="1" applyAlignment="1">
      <alignment vertical="top"/>
      <protection locked="0"/>
    </xf>
    <xf numFmtId="0" fontId="0" fillId="0" borderId="11" xfId="0" applyBorder="1" applyAlignment="1">
      <alignment vertical="top"/>
      <protection locked="0"/>
    </xf>
    <xf numFmtId="0" fontId="0" fillId="0" borderId="7" xfId="0" applyBorder="1" applyAlignment="1">
      <alignment horizontal="left" vertical="top"/>
      <protection locked="0"/>
    </xf>
    <xf numFmtId="4" fontId="0" fillId="0" borderId="7" xfId="0" applyNumberFormat="1" applyBorder="1" applyAlignment="1">
      <alignment vertical="top"/>
      <protection locked="0"/>
    </xf>
    <xf numFmtId="4" fontId="0" fillId="0" borderId="10" xfId="0" applyNumberFormat="1" applyBorder="1" applyAlignment="1">
      <alignment vertical="top"/>
      <protection locked="0"/>
    </xf>
    <xf numFmtId="3" fontId="0" fillId="0" borderId="10" xfId="0" applyNumberFormat="1" applyBorder="1" applyAlignment="1">
      <alignment vertical="top"/>
      <protection locked="0"/>
    </xf>
    <xf numFmtId="0" fontId="0" fillId="4" borderId="5" xfId="0" applyFill="1" applyBorder="1" applyAlignment="1">
      <alignment vertical="top"/>
      <protection locked="0"/>
    </xf>
    <xf numFmtId="0" fontId="0" fillId="4" borderId="5" xfId="0" applyFill="1" applyBorder="1" applyAlignment="1">
      <alignment vertical="top" wrapText="1"/>
      <protection locked="0"/>
    </xf>
    <xf numFmtId="0" fontId="0" fillId="4" borderId="6" xfId="0" applyFill="1" applyBorder="1" applyAlignment="1">
      <alignment vertical="top" wrapText="1"/>
      <protection locked="0"/>
    </xf>
    <xf numFmtId="0" fontId="0" fillId="4" borderId="11" xfId="0" applyFill="1" applyBorder="1" applyAlignment="1">
      <alignment vertical="top" wrapText="1"/>
      <protection locked="0"/>
    </xf>
    <xf numFmtId="0" fontId="0" fillId="4" borderId="9" xfId="0" applyFill="1" applyBorder="1" applyAlignment="1">
      <alignment vertical="top" wrapText="1"/>
      <protection locked="0"/>
    </xf>
    <xf numFmtId="0" fontId="3" fillId="5" borderId="5" xfId="0" applyFont="1" applyFill="1" applyBorder="1" applyAlignment="1">
      <alignment horizontal="left" vertical="top"/>
      <protection locked="0"/>
    </xf>
    <xf numFmtId="4" fontId="3" fillId="5" borderId="5" xfId="0" applyNumberFormat="1" applyFont="1" applyFill="1" applyBorder="1" applyAlignment="1">
      <alignment vertical="top"/>
      <protection locked="0"/>
    </xf>
    <xf numFmtId="4" fontId="3" fillId="5" borderId="11" xfId="0" applyNumberFormat="1" applyFont="1" applyFill="1" applyBorder="1" applyAlignment="1">
      <alignment vertical="top"/>
      <protection locked="0"/>
    </xf>
    <xf numFmtId="3" fontId="3" fillId="5" borderId="11" xfId="0" applyNumberFormat="1" applyFont="1" applyFill="1" applyBorder="1" applyAlignment="1">
      <alignment vertical="top"/>
      <protection locked="0"/>
    </xf>
    <xf numFmtId="0" fontId="0" fillId="0" borderId="10" xfId="0" applyBorder="1" applyAlignment="1">
      <alignment vertical="top"/>
      <protection locked="0"/>
    </xf>
    <xf numFmtId="0" fontId="3" fillId="5" borderId="11" xfId="0" applyFont="1" applyFill="1" applyBorder="1" applyAlignment="1">
      <alignment vertical="top"/>
      <protection locked="0"/>
    </xf>
    <xf numFmtId="0" fontId="0" fillId="4" borderId="0" xfId="0" applyFill="1" applyAlignment="1">
      <alignment vertical="top"/>
      <protection locked="0"/>
    </xf>
    <xf numFmtId="43" fontId="0" fillId="0" borderId="0" xfId="1" applyFont="1" applyAlignment="1">
      <alignment vertical="top"/>
      <protection locked="0"/>
    </xf>
    <xf numFmtId="43" fontId="0" fillId="0" borderId="0" xfId="1" applyFont="1" applyAlignment="1">
      <alignment vertical="top" wrapText="1"/>
      <protection locked="0"/>
    </xf>
    <xf numFmtId="3" fontId="0" fillId="0" borderId="4" xfId="0" applyNumberFormat="1" applyBorder="1" applyAlignment="1">
      <alignment vertical="top"/>
      <protection locked="0"/>
    </xf>
    <xf numFmtId="3" fontId="0" fillId="0" borderId="6" xfId="0" applyNumberFormat="1" applyBorder="1" applyAlignment="1">
      <alignment vertical="top"/>
      <protection locked="0"/>
    </xf>
    <xf numFmtId="3" fontId="0" fillId="0" borderId="8" xfId="0" applyNumberFormat="1" applyBorder="1" applyAlignment="1">
      <alignment vertical="top"/>
      <protection locked="0"/>
    </xf>
    <xf numFmtId="3" fontId="3" fillId="5" borderId="6" xfId="0" applyNumberFormat="1" applyFont="1" applyFill="1" applyBorder="1" applyAlignment="1">
      <alignment vertical="top"/>
      <protection locked="0"/>
    </xf>
    <xf numFmtId="0" fontId="2" fillId="0" borderId="0" xfId="0" applyFont="1" applyAlignment="1">
      <alignment vertical="top"/>
      <protection locked="0"/>
    </xf>
    <xf numFmtId="0" fontId="4" fillId="0" borderId="0" xfId="0" applyFont="1" applyAlignment="1">
      <alignment vertical="top"/>
      <protection locked="0"/>
    </xf>
    <xf numFmtId="0" fontId="6" fillId="6" borderId="0" xfId="0" applyFont="1" applyFill="1" applyAlignment="1">
      <alignment vertical="top"/>
      <protection locked="0"/>
    </xf>
    <xf numFmtId="0" fontId="6" fillId="7" borderId="0" xfId="0" applyFont="1" applyFill="1" applyAlignment="1">
      <alignment vertical="top"/>
      <protection locked="0"/>
    </xf>
    <xf numFmtId="0" fontId="6" fillId="8" borderId="0" xfId="0" applyFont="1" applyFill="1" applyAlignment="1">
      <alignment vertical="top"/>
      <protection locked="0"/>
    </xf>
    <xf numFmtId="0" fontId="6" fillId="9" borderId="0" xfId="0" applyFont="1" applyFill="1" applyAlignment="1">
      <alignment vertical="top"/>
      <protection locked="0"/>
    </xf>
    <xf numFmtId="9" fontId="0" fillId="0" borderId="0" xfId="0" applyNumberFormat="1" applyAlignment="1">
      <alignment vertical="top"/>
      <protection locked="0"/>
    </xf>
    <xf numFmtId="0" fontId="8" fillId="11" borderId="0" xfId="0" applyFont="1" applyFill="1" applyAlignment="1">
      <alignment vertical="top"/>
      <protection locked="0"/>
    </xf>
    <xf numFmtId="0" fontId="4" fillId="13" borderId="0" xfId="0" applyFont="1" applyFill="1" applyAlignment="1">
      <alignment vertical="top"/>
      <protection locked="0"/>
    </xf>
    <xf numFmtId="0" fontId="0" fillId="14" borderId="0" xfId="0" applyFill="1" applyAlignment="1">
      <alignment vertical="top"/>
      <protection locked="0"/>
    </xf>
    <xf numFmtId="16" fontId="0" fillId="14" borderId="0" xfId="0" applyNumberFormat="1" applyFill="1" applyAlignment="1">
      <alignment vertical="top"/>
      <protection locked="0"/>
    </xf>
    <xf numFmtId="0" fontId="2" fillId="15" borderId="0" xfId="0" applyFont="1" applyFill="1" applyAlignment="1">
      <alignment vertical="top"/>
      <protection locked="0"/>
    </xf>
    <xf numFmtId="3" fontId="2" fillId="15" borderId="0" xfId="0" applyNumberFormat="1" applyFont="1" applyFill="1" applyAlignment="1">
      <alignment vertical="top"/>
      <protection locked="0"/>
    </xf>
    <xf numFmtId="166" fontId="0" fillId="0" borderId="0" xfId="0" applyNumberFormat="1" applyAlignment="1">
      <alignment vertical="top"/>
      <protection locked="0"/>
    </xf>
    <xf numFmtId="167" fontId="0" fillId="0" borderId="0" xfId="0" applyNumberFormat="1" applyAlignment="1">
      <alignment vertical="top"/>
      <protection locked="0"/>
    </xf>
    <xf numFmtId="168" fontId="0" fillId="0" borderId="0" xfId="0" applyNumberFormat="1" applyAlignment="1">
      <alignment vertical="top"/>
      <protection locked="0"/>
    </xf>
    <xf numFmtId="169" fontId="0" fillId="0" borderId="0" xfId="0" applyNumberFormat="1" applyAlignment="1">
      <alignment vertical="top"/>
      <protection locked="0"/>
    </xf>
    <xf numFmtId="0" fontId="0" fillId="0" borderId="1" xfId="0" applyBorder="1" applyAlignment="1">
      <alignment horizontal="center" vertical="top"/>
      <protection locked="0"/>
    </xf>
    <xf numFmtId="0" fontId="0" fillId="0" borderId="2" xfId="0" applyBorder="1" applyAlignment="1">
      <alignment horizontal="center" vertical="top"/>
      <protection locked="0"/>
    </xf>
    <xf numFmtId="0" fontId="4" fillId="0" borderId="7" xfId="0" applyFont="1" applyBorder="1" applyAlignment="1">
      <alignment horizontal="center" vertical="top"/>
      <protection locked="0"/>
    </xf>
    <xf numFmtId="0" fontId="4" fillId="0" borderId="10" xfId="0" applyFont="1" applyBorder="1" applyAlignment="1">
      <alignment horizontal="center" vertical="top"/>
      <protection locked="0"/>
    </xf>
    <xf numFmtId="0" fontId="4" fillId="0" borderId="8" xfId="0" applyFont="1" applyBorder="1" applyAlignment="1">
      <alignment horizontal="center" vertical="top"/>
      <protection locked="0"/>
    </xf>
    <xf numFmtId="0" fontId="2" fillId="4" borderId="7" xfId="0" applyFont="1" applyFill="1" applyBorder="1" applyAlignment="1">
      <alignment horizontal="center" vertical="top" wrapText="1"/>
      <protection locked="0"/>
    </xf>
    <xf numFmtId="0" fontId="2" fillId="4" borderId="8" xfId="0" applyFont="1" applyFill="1" applyBorder="1" applyAlignment="1">
      <alignment horizontal="center" vertical="top" wrapText="1"/>
      <protection locked="0"/>
    </xf>
    <xf numFmtId="0" fontId="2" fillId="4" borderId="10" xfId="0" applyFont="1" applyFill="1" applyBorder="1" applyAlignment="1">
      <alignment horizontal="center" vertical="top" wrapText="1"/>
      <protection locked="0"/>
    </xf>
    <xf numFmtId="43" fontId="0" fillId="0" borderId="0" xfId="1" applyFont="1" applyAlignment="1">
      <alignment horizontal="center" vertical="top" wrapText="1"/>
      <protection locked="0"/>
    </xf>
    <xf numFmtId="0" fontId="0" fillId="0" borderId="7" xfId="0" applyBorder="1" applyAlignment="1">
      <alignment horizontal="center" vertical="top" wrapText="1"/>
      <protection locked="0"/>
    </xf>
    <xf numFmtId="0" fontId="0" fillId="0" borderId="10" xfId="0" applyBorder="1" applyAlignment="1">
      <alignment horizontal="center" vertical="top" wrapText="1"/>
      <protection locked="0"/>
    </xf>
    <xf numFmtId="0" fontId="0" fillId="0" borderId="8" xfId="0" applyBorder="1" applyAlignment="1">
      <alignment horizontal="center" vertical="top" wrapText="1"/>
      <protection locked="0"/>
    </xf>
    <xf numFmtId="0" fontId="0" fillId="0" borderId="12" xfId="0" applyBorder="1" applyAlignment="1">
      <alignment horizontal="center" vertical="top" wrapText="1"/>
      <protection locked="0"/>
    </xf>
    <xf numFmtId="0" fontId="5" fillId="0" borderId="0" xfId="0" applyFont="1" applyAlignment="1">
      <alignment vertical="top"/>
      <protection locked="0"/>
    </xf>
    <xf numFmtId="0" fontId="7" fillId="10" borderId="0" xfId="0" applyFont="1" applyFill="1" applyAlignment="1">
      <alignment vertical="top"/>
      <protection locked="0"/>
    </xf>
    <xf numFmtId="0" fontId="9" fillId="12" borderId="0" xfId="0" applyFont="1" applyFill="1" applyAlignment="1">
      <alignment vertical="top"/>
      <protection locked="0"/>
    </xf>
    <xf numFmtId="0" fontId="0" fillId="0" borderId="0" xfId="0" applyAlignment="1">
      <alignment vertical="top"/>
      <protection locked="0"/>
    </xf>
  </cellXfs>
  <cellStyles count="2">
    <cellStyle name="Comma" xfId="1" builtinId="3"/>
    <cellStyle name="Normal" xfId="0" builtinId="0"/>
  </cellStyles>
  <dxfs count="76"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</dxf>
    <dxf>
      <font>
        <color rgb="FF9C0006"/>
      </font>
    </dxf>
    <dxf>
      <numFmt numFmtId="3" formatCode="#,##0"/>
    </dxf>
    <dxf>
      <numFmt numFmtId="3" formatCode="#,##0"/>
    </dxf>
    <dxf>
      <border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alignment wrapText="1"/>
    </dxf>
    <dxf>
      <numFmt numFmtId="3" formatCode="#,##0"/>
    </dxf>
    <dxf>
      <numFmt numFmtId="3" formatCode="#,##0"/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alignment wrapText="1"/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Category (9 Weeks)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'Sales Insights'!$A$5:$A$14</c:f>
              <c:strCache>
                <c:ptCount val="10"/>
                <c:pt idx="0">
                  <c:v>BUTCH WORS/MINCE/PAT</c:v>
                </c:pt>
                <c:pt idx="1">
                  <c:v>PORK</c:v>
                </c:pt>
                <c:pt idx="2">
                  <c:v>BEEF</c:v>
                </c:pt>
                <c:pt idx="3">
                  <c:v>LAMB</c:v>
                </c:pt>
                <c:pt idx="4">
                  <c:v>BILT &amp; DROEWORS BUY IN</c:v>
                </c:pt>
                <c:pt idx="5">
                  <c:v>MUTTON</c:v>
                </c:pt>
                <c:pt idx="6">
                  <c:v>BUTCHERY SPICE</c:v>
                </c:pt>
                <c:pt idx="7">
                  <c:v>BUTCHERY SNOEK</c:v>
                </c:pt>
                <c:pt idx="8">
                  <c:v>INGREDIENTS</c:v>
                </c:pt>
                <c:pt idx="9">
                  <c:v>PET MINCE/DROEWORS</c:v>
                </c:pt>
              </c:strCache>
            </c:strRef>
          </c:cat>
          <c:val>
            <c:numRef>
              <c:f>'Sales Insights'!$B$5:$B$14</c:f>
              <c:numCache>
                <c:formatCode>#,##0</c:formatCode>
                <c:ptCount val="10"/>
                <c:pt idx="0">
                  <c:v>334014</c:v>
                </c:pt>
                <c:pt idx="1">
                  <c:v>267158</c:v>
                </c:pt>
                <c:pt idx="2">
                  <c:v>175929</c:v>
                </c:pt>
                <c:pt idx="3">
                  <c:v>109519</c:v>
                </c:pt>
                <c:pt idx="4">
                  <c:v>69241</c:v>
                </c:pt>
                <c:pt idx="5">
                  <c:v>37108</c:v>
                </c:pt>
                <c:pt idx="6">
                  <c:v>10125</c:v>
                </c:pt>
                <c:pt idx="7">
                  <c:v>9010</c:v>
                </c:pt>
                <c:pt idx="8">
                  <c:v>9277</c:v>
                </c:pt>
                <c:pt idx="9">
                  <c:v>5573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03-4930-B808-0F2D6198D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1447663"/>
        <c:axId val="1261445743"/>
      </c:barChart>
      <c:catAx>
        <c:axId val="1261447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445743"/>
        <c:crosses val="autoZero"/>
        <c:auto val="1"/>
        <c:lblAlgn val="ctr"/>
        <c:lblOffset val="100"/>
        <c:noMultiLvlLbl val="0"/>
      </c:catAx>
      <c:valAx>
        <c:axId val="1261445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447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Sales Frequency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9D-4159-BF60-09C8E0C15D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9D-4159-BF60-09C8E0C15D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A9D-4159-BF60-09C8E0C15D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Insights'!$A$19:$A$21</c:f>
              <c:strCache>
                <c:ptCount val="3"/>
                <c:pt idx="0">
                  <c:v>Regular</c:v>
                </c:pt>
                <c:pt idx="1">
                  <c:v>Often</c:v>
                </c:pt>
                <c:pt idx="2">
                  <c:v>Rarely</c:v>
                </c:pt>
              </c:strCache>
            </c:strRef>
          </c:cat>
          <c:val>
            <c:numRef>
              <c:f>'Sales Insights'!$B$19:$B$21</c:f>
              <c:numCache>
                <c:formatCode>General</c:formatCode>
                <c:ptCount val="3"/>
                <c:pt idx="0">
                  <c:v>80</c:v>
                </c:pt>
                <c:pt idx="1">
                  <c:v>35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9C-40BC-8D63-C95D53C74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Products - 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'Sales Insights'!$F$5:$F$14</c:f>
              <c:strCache>
                <c:ptCount val="10"/>
                <c:pt idx="0">
                  <c:v>PORK SHOULDER BRAAI CHOPS</c:v>
                </c:pt>
                <c:pt idx="1">
                  <c:v>BULK LEAN BEEF MINCE</c:v>
                </c:pt>
                <c:pt idx="2">
                  <c:v>PORK RIB/LOIN CHOPS</c:v>
                </c:pt>
                <c:pt idx="3">
                  <c:v>BULK BEEF SIRLOIN</c:v>
                </c:pt>
                <c:pt idx="4">
                  <c:v>BEEF LEAN MINCE</c:v>
                </c:pt>
                <c:pt idx="5">
                  <c:v>1/4 LAMB</c:v>
                </c:pt>
                <c:pt idx="6">
                  <c:v>STEAK PACK</c:v>
                </c:pt>
                <c:pt idx="7">
                  <c:v>BULK PORK NECK STEAK</c:v>
                </c:pt>
                <c:pt idx="8">
                  <c:v>GRABOUW BOEREWORS</c:v>
                </c:pt>
                <c:pt idx="9">
                  <c:v>BEEF SIRLOIN</c:v>
                </c:pt>
              </c:strCache>
            </c:strRef>
          </c:cat>
          <c:val>
            <c:numRef>
              <c:f>'Sales Insights'!$G$5:$G$14</c:f>
              <c:numCache>
                <c:formatCode>#,##0</c:formatCode>
                <c:ptCount val="10"/>
                <c:pt idx="0">
                  <c:v>71881</c:v>
                </c:pt>
                <c:pt idx="1">
                  <c:v>55671</c:v>
                </c:pt>
                <c:pt idx="2">
                  <c:v>47431</c:v>
                </c:pt>
                <c:pt idx="3">
                  <c:v>38195</c:v>
                </c:pt>
                <c:pt idx="4">
                  <c:v>33095</c:v>
                </c:pt>
                <c:pt idx="5">
                  <c:v>30907</c:v>
                </c:pt>
                <c:pt idx="6">
                  <c:v>30254</c:v>
                </c:pt>
                <c:pt idx="7">
                  <c:v>26515</c:v>
                </c:pt>
                <c:pt idx="8">
                  <c:v>21894</c:v>
                </c:pt>
                <c:pt idx="9">
                  <c:v>19685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8F-4B43-9753-336EE5221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3847935"/>
        <c:axId val="1263835455"/>
      </c:barChart>
      <c:catAx>
        <c:axId val="1263847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835455"/>
        <c:crosses val="autoZero"/>
        <c:auto val="1"/>
        <c:lblAlgn val="ctr"/>
        <c:lblOffset val="100"/>
        <c:noMultiLvlLbl val="0"/>
      </c:catAx>
      <c:valAx>
        <c:axId val="1263835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847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 Opportunity: Avg vs Stretch Target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Insights'!$F$19:$F$23</c:f>
              <c:strCache>
                <c:ptCount val="5"/>
                <c:pt idx="0">
                  <c:v>BUTCH WORS/MINCE</c:v>
                </c:pt>
                <c:pt idx="1">
                  <c:v>PORK</c:v>
                </c:pt>
                <c:pt idx="2">
                  <c:v>BEEF</c:v>
                </c:pt>
                <c:pt idx="3">
                  <c:v>LAMB</c:v>
                </c:pt>
                <c:pt idx="4">
                  <c:v>MUTTON</c:v>
                </c:pt>
              </c:strCache>
            </c:strRef>
          </c:cat>
          <c:val>
            <c:numRef>
              <c:f>'Sales Insights'!$G$19:$G$23</c:f>
              <c:numCache>
                <c:formatCode>#,##0</c:formatCode>
                <c:ptCount val="5"/>
                <c:pt idx="0">
                  <c:v>46197</c:v>
                </c:pt>
                <c:pt idx="1">
                  <c:v>35378</c:v>
                </c:pt>
                <c:pt idx="2">
                  <c:v>23834</c:v>
                </c:pt>
                <c:pt idx="3">
                  <c:v>17669</c:v>
                </c:pt>
                <c:pt idx="4">
                  <c:v>4764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86-4230-A6D8-BD033A2C9C3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Insights'!$F$19:$F$23</c:f>
              <c:strCache>
                <c:ptCount val="5"/>
                <c:pt idx="0">
                  <c:v>BUTCH WORS/MINCE</c:v>
                </c:pt>
                <c:pt idx="1">
                  <c:v>PORK</c:v>
                </c:pt>
                <c:pt idx="2">
                  <c:v>BEEF</c:v>
                </c:pt>
                <c:pt idx="3">
                  <c:v>LAMB</c:v>
                </c:pt>
                <c:pt idx="4">
                  <c:v>MUTTON</c:v>
                </c:pt>
              </c:strCache>
            </c:strRef>
          </c:cat>
          <c:val>
            <c:numRef>
              <c:f>'Sales Insights'!$H$19:$H$23</c:f>
              <c:numCache>
                <c:formatCode>#,##0</c:formatCode>
                <c:ptCount val="5"/>
                <c:pt idx="0">
                  <c:v>48600</c:v>
                </c:pt>
                <c:pt idx="1">
                  <c:v>46194</c:v>
                </c:pt>
                <c:pt idx="2">
                  <c:v>33144</c:v>
                </c:pt>
                <c:pt idx="3">
                  <c:v>21142</c:v>
                </c:pt>
                <c:pt idx="4">
                  <c:v>5113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86-4230-A6D8-BD033A2C9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3835935"/>
        <c:axId val="1263848895"/>
      </c:barChart>
      <c:catAx>
        <c:axId val="1263835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848895"/>
        <c:crosses val="autoZero"/>
        <c:auto val="1"/>
        <c:lblAlgn val="ctr"/>
        <c:lblOffset val="100"/>
        <c:noMultiLvlLbl val="0"/>
      </c:catAx>
      <c:valAx>
        <c:axId val="126384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835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📈 9-Week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'March vs April'!$A$33</c:f>
              <c:strCache>
                <c:ptCount val="1"/>
                <c:pt idx="0">
                  <c:v>Sales (R)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'March vs April'!$B$32:$J$32</c:f>
              <c:numCache>
                <c:formatCode>d\-mmm</c:formatCode>
                <c:ptCount val="9"/>
                <c:pt idx="0">
                  <c:v>46083</c:v>
                </c:pt>
                <c:pt idx="1">
                  <c:v>46090</c:v>
                </c:pt>
                <c:pt idx="2">
                  <c:v>46097</c:v>
                </c:pt>
                <c:pt idx="3">
                  <c:v>46104</c:v>
                </c:pt>
                <c:pt idx="4">
                  <c:v>46111</c:v>
                </c:pt>
                <c:pt idx="5">
                  <c:v>46118</c:v>
                </c:pt>
                <c:pt idx="6">
                  <c:v>46125</c:v>
                </c:pt>
                <c:pt idx="7">
                  <c:v>46132</c:v>
                </c:pt>
                <c:pt idx="8">
                  <c:v>46139</c:v>
                </c:pt>
              </c:numCache>
            </c:numRef>
          </c:cat>
          <c:val>
            <c:numRef>
              <c:f>'March vs April'!$B$33:$J$33</c:f>
              <c:numCache>
                <c:formatCode>#,##0</c:formatCode>
                <c:ptCount val="9"/>
                <c:pt idx="0">
                  <c:v>227079.90434782603</c:v>
                </c:pt>
                <c:pt idx="1">
                  <c:v>197195.46086956523</c:v>
                </c:pt>
                <c:pt idx="2">
                  <c:v>184388.55652173923</c:v>
                </c:pt>
                <c:pt idx="3">
                  <c:v>288596.38260869577</c:v>
                </c:pt>
                <c:pt idx="4">
                  <c:v>286859.42608695652</c:v>
                </c:pt>
                <c:pt idx="5">
                  <c:v>179693.02608695652</c:v>
                </c:pt>
                <c:pt idx="6">
                  <c:v>174205.1478260869</c:v>
                </c:pt>
                <c:pt idx="7">
                  <c:v>264691.09565217397</c:v>
                </c:pt>
                <c:pt idx="8">
                  <c:v>260043.54782608699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B6-400C-A344-A1C28DEDF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7733583"/>
        <c:axId val="1287738383"/>
      </c:lineChart>
      <c:dateAx>
        <c:axId val="12877335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738383"/>
        <c:crosses val="autoZero"/>
        <c:auto val="1"/>
        <c:lblOffset val="100"/>
        <c:baseTimeUnit val="days"/>
      </c:dateAx>
      <c:valAx>
        <c:axId val="128773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Sales (R)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733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📊 Mar vs Apr Weekly Average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'March vs April'!$R$20</c:f>
              <c:strCache>
                <c:ptCount val="1"/>
                <c:pt idx="0">
                  <c:v>March Avg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'March vs April'!$Q$21:$Q$26</c:f>
              <c:strCache>
                <c:ptCount val="6"/>
                <c:pt idx="0">
                  <c:v>BEEF</c:v>
                </c:pt>
                <c:pt idx="1">
                  <c:v>PORK</c:v>
                </c:pt>
                <c:pt idx="2">
                  <c:v>LAMB</c:v>
                </c:pt>
                <c:pt idx="3">
                  <c:v>MUTTON</c:v>
                </c:pt>
                <c:pt idx="4">
                  <c:v>WORS/MINCE/PAT</c:v>
                </c:pt>
                <c:pt idx="5">
                  <c:v>BILT &amp; DROEWORS</c:v>
                </c:pt>
              </c:strCache>
            </c:strRef>
          </c:cat>
          <c:val>
            <c:numRef>
              <c:f>'March vs April'!$R$21:$R$26</c:f>
              <c:numCache>
                <c:formatCode>General</c:formatCode>
                <c:ptCount val="6"/>
                <c:pt idx="0">
                  <c:v>21221.686956521738</c:v>
                </c:pt>
                <c:pt idx="1">
                  <c:v>32342.692173913041</c:v>
                </c:pt>
                <c:pt idx="2">
                  <c:v>10510.019130434783</c:v>
                </c:pt>
                <c:pt idx="3">
                  <c:v>4372.8034782608693</c:v>
                </c:pt>
                <c:pt idx="4">
                  <c:v>37177.304347826095</c:v>
                </c:pt>
                <c:pt idx="5">
                  <c:v>7812.6330434782603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C0-41A1-BABF-8F953F5C6282}"/>
            </c:ext>
          </c:extLst>
        </c:ser>
        <c:ser>
          <c:idx val="1"/>
          <c:order val="1"/>
          <c:tx>
            <c:strRef>
              <c:f>'March vs April'!$S$20</c:f>
              <c:strCache>
                <c:ptCount val="1"/>
                <c:pt idx="0">
                  <c:v>April Avg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'March vs April'!$Q$21:$Q$26</c:f>
              <c:strCache>
                <c:ptCount val="6"/>
                <c:pt idx="0">
                  <c:v>BEEF</c:v>
                </c:pt>
                <c:pt idx="1">
                  <c:v>PORK</c:v>
                </c:pt>
                <c:pt idx="2">
                  <c:v>LAMB</c:v>
                </c:pt>
                <c:pt idx="3">
                  <c:v>MUTTON</c:v>
                </c:pt>
                <c:pt idx="4">
                  <c:v>WORS/MINCE/PAT</c:v>
                </c:pt>
                <c:pt idx="5">
                  <c:v>BILT &amp; DROEWORS</c:v>
                </c:pt>
              </c:strCache>
            </c:strRef>
          </c:cat>
          <c:val>
            <c:numRef>
              <c:f>'March vs April'!$S$21:$S$26</c:f>
              <c:numCache>
                <c:formatCode>General</c:formatCode>
                <c:ptCount val="6"/>
                <c:pt idx="0">
                  <c:v>17455.254347826085</c:v>
                </c:pt>
                <c:pt idx="1">
                  <c:v>26361.243478260873</c:v>
                </c:pt>
                <c:pt idx="2">
                  <c:v>14242.334782608694</c:v>
                </c:pt>
                <c:pt idx="3">
                  <c:v>3811.1152173913042</c:v>
                </c:pt>
                <c:pt idx="4">
                  <c:v>37031.880434782608</c:v>
                </c:pt>
                <c:pt idx="5">
                  <c:v>7544.5326086956529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C0-41A1-BABF-8F953F5C6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7744623"/>
        <c:axId val="1287735023"/>
      </c:barChart>
      <c:catAx>
        <c:axId val="1287744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735023"/>
        <c:crosses val="autoZero"/>
        <c:auto val="1"/>
        <c:lblAlgn val="ctr"/>
        <c:lblOffset val="100"/>
        <c:noMultiLvlLbl val="0"/>
      </c:catAx>
      <c:valAx>
        <c:axId val="1287735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744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📉 Week-over-Week Sales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'March vs April'!$R$38</c:f>
              <c:strCache>
                <c:ptCount val="1"/>
                <c:pt idx="0">
                  <c:v>Change (R)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'March vs April'!$Q$39:$Q$46</c:f>
              <c:strCache>
                <c:ptCount val="8"/>
                <c:pt idx="0">
                  <c:v>Wk2</c:v>
                </c:pt>
                <c:pt idx="1">
                  <c:v>Wk3</c:v>
                </c:pt>
                <c:pt idx="2">
                  <c:v>Wk4</c:v>
                </c:pt>
                <c:pt idx="3">
                  <c:v>Wk5(Mar)</c:v>
                </c:pt>
                <c:pt idx="4">
                  <c:v>Wk1(Apr)</c:v>
                </c:pt>
                <c:pt idx="5">
                  <c:v>Wk2(Apr)</c:v>
                </c:pt>
                <c:pt idx="6">
                  <c:v>Wk3(Apr)</c:v>
                </c:pt>
                <c:pt idx="7">
                  <c:v>Wk4(Apr)</c:v>
                </c:pt>
              </c:strCache>
            </c:strRef>
          </c:cat>
          <c:val>
            <c:numRef>
              <c:f>'March vs April'!$R$39:$R$46</c:f>
              <c:numCache>
                <c:formatCode>General</c:formatCode>
                <c:ptCount val="8"/>
                <c:pt idx="0">
                  <c:v>-29884.4434782608</c:v>
                </c:pt>
                <c:pt idx="1">
                  <c:v>-12806.904347825999</c:v>
                </c:pt>
                <c:pt idx="2">
                  <c:v>104207.82608695654</c:v>
                </c:pt>
                <c:pt idx="3">
                  <c:v>-1736.9565217392519</c:v>
                </c:pt>
                <c:pt idx="4">
                  <c:v>-107166.39999999999</c:v>
                </c:pt>
                <c:pt idx="5">
                  <c:v>-5487.8782608696201</c:v>
                </c:pt>
                <c:pt idx="6">
                  <c:v>90485.947826087067</c:v>
                </c:pt>
                <c:pt idx="7">
                  <c:v>-4647.5478260869859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A9-480F-B550-1B1EDAFBA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7745103"/>
        <c:axId val="1287746543"/>
      </c:barChart>
      <c:catAx>
        <c:axId val="1287745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746543"/>
        <c:crosses val="autoZero"/>
        <c:auto val="1"/>
        <c:lblAlgn val="ctr"/>
        <c:lblOffset val="100"/>
        <c:noMultiLvlLbl val="0"/>
      </c:catAx>
      <c:valAx>
        <c:axId val="128774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745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0</xdr:rowOff>
    </xdr:from>
    <xdr:to>
      <xdr:col>5</xdr:col>
      <xdr:colOff>0</xdr:colOff>
      <xdr:row>45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C07886-A321-D744-83B1-60263EF149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9</xdr:col>
      <xdr:colOff>0</xdr:colOff>
      <xdr:row>40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D7FB40-F123-8FC8-6948-A512BA8629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11</xdr:row>
      <xdr:rowOff>0</xdr:rowOff>
    </xdr:from>
    <xdr:to>
      <xdr:col>14</xdr:col>
      <xdr:colOff>0</xdr:colOff>
      <xdr:row>28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CD7E39F-6247-45BE-A5BF-A635562846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29</xdr:row>
      <xdr:rowOff>0</xdr:rowOff>
    </xdr:from>
    <xdr:to>
      <xdr:col>14</xdr:col>
      <xdr:colOff>0</xdr:colOff>
      <xdr:row>45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7DA90C-3E16-3EDE-B560-200354E111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25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D9BD52-0822-7A8C-A91B-FFB899F69B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19</xdr:row>
      <xdr:rowOff>0</xdr:rowOff>
    </xdr:from>
    <xdr:to>
      <xdr:col>25</xdr:col>
      <xdr:colOff>0</xdr:colOff>
      <xdr:row>35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39D15B-63D2-78A9-9587-7484FCA969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36</xdr:row>
      <xdr:rowOff>0</xdr:rowOff>
    </xdr:from>
    <xdr:to>
      <xdr:col>25</xdr:col>
      <xdr:colOff>0</xdr:colOff>
      <xdr:row>50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1C4C3A-7143-B9AC-20B8-55402B3FE9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rhard Stimie" refreshedDate="46150.453793981484" createdVersion="8" refreshedVersion="8" minRefreshableVersion="3" recordCount="131" xr:uid="{1B237B80-0F35-4AE3-B4A0-2DF5D57215B0}">
  <cacheSource type="worksheet">
    <worksheetSource ref="A2:N133" sheet="Summary"/>
  </cacheSource>
  <cacheFields count="14">
    <cacheField name="Sub-Department" numFmtId="0">
      <sharedItems containsSemiMixedTypes="0" containsString="0" containsNumber="1" containsInteger="1" minValue="201" maxValue="224" count="13">
        <n v="201"/>
        <n v="202"/>
        <n v="204"/>
        <n v="205"/>
        <n v="206"/>
        <n v="207"/>
        <n v="210"/>
        <n v="213"/>
        <n v="214"/>
        <n v="215"/>
        <n v="216"/>
        <n v="218"/>
        <n v="224"/>
      </sharedItems>
    </cacheField>
    <cacheField name="Description" numFmtId="0">
      <sharedItems count="13">
        <s v="BUTCHERY"/>
        <s v="BEEF"/>
        <s v="LAMB"/>
        <s v="MUTTON"/>
        <s v="PET MINCE/DROEWORS"/>
        <s v="PORK"/>
        <s v="INGREDIENTS"/>
        <s v="BILT&amp;DROEWORS OWN"/>
        <s v="BUTCHERY OSTRICH"/>
        <s v="BUTCHERY SNOEK"/>
        <s v="BUTCH  WORS/MINCE/PAT"/>
        <s v="BUTCHERY SPICE"/>
        <s v="BILT&amp; DROEWORS BUY IN"/>
      </sharedItems>
    </cacheField>
    <cacheField name="Product Code" numFmtId="0">
      <sharedItems containsSemiMixedTypes="0" containsString="0" containsNumber="1" containsInteger="1" minValue="11147" maxValue="66630"/>
    </cacheField>
    <cacheField name="Product Description" numFmtId="0">
      <sharedItems count="130">
        <s v="B/WORS ROLL BUTCH"/>
        <s v="SPAR T&amp;T BEEF 35GR BILTONG ORI"/>
        <s v="BULK BEEF SIRLOIN"/>
        <s v="STEAK PACK"/>
        <s v=" BEEF SIRLOIN"/>
        <s v="OPENVELD F/R SIRLOIN2 P/KG"/>
        <s v="BULK RUMP MATURED"/>
        <s v=" MEATY  BONES"/>
        <s v="SPAR ST RIB EYE"/>
        <s v="BEEF OXTAIL"/>
        <s v="TENDERISE STEAK"/>
        <s v="BEEF RUMP MATURED"/>
        <s v="BEEF CHUCK A GRADE"/>
        <s v="BEEF FILLET"/>
        <s v="BEEF RASHER"/>
        <s v="SPAR ST  BAVETTE PLANKIE"/>
        <s v="BULK STEWING BEEF"/>
        <s v="BEEF SHIN B/IN"/>
        <s v=" BEEF GOULASH"/>
        <s v=" BEEF STIRFRY"/>
        <s v="T&amp;T CURRY SOSATIE"/>
        <s v="BEEF SHORT RIB"/>
        <s v="YB BAVETTE PLANKIE"/>
        <s v="BEEF ROAST"/>
        <s v="BEEF KEBABS"/>
        <s v="BEEF MARROW BONES"/>
        <s v="1/4 LAMB"/>
        <s v="LAMB FQ PACK"/>
        <s v="LAMB BEST END"/>
        <s v="LAMB LEG CHOPS"/>
        <s v="LAM RIB &amp; LOIN"/>
        <s v="LAMB SHANK"/>
        <s v="LAMB STEW"/>
        <s v="LAMB BRAAI CHOPS"/>
        <s v="LAMB RIBLETS"/>
        <s v="SPAR T&amp;T LAMB SKPDJIES FR P/KG"/>
        <s v="LAMB NECK"/>
        <s v="LAMB BRAAI RIB"/>
        <s v="LAM STERTJIES"/>
        <s v="LAMB  LIVER"/>
        <s v=" LAMB NIERTJIES"/>
        <s v="LAMB LEG ROAST"/>
        <s v="MUTTON LEG CHOP"/>
        <s v="MUTTON RIB &amp; LOIN"/>
        <s v="MUTTON BEST END CHOPS"/>
        <s v="MUTTON STEW"/>
        <s v="MUTTON LEG ROAST"/>
        <s v="MUTTON SHANK"/>
        <s v="MUTTON RIBLETS"/>
        <s v="MUTTON BRAAI CHOPS"/>
        <s v="MUTTON BRAAI RIB"/>
        <s v="MUTTON NECK"/>
        <s v="PET'S DROEWORS"/>
        <s v="PETS MINCE"/>
        <s v="SAAGSELS"/>
        <s v=" PORK SHOULDER BRAAI CHOPS"/>
        <s v="PORK RIB/LOIN CHOPS"/>
        <s v="BULK PORK NECK STEAK"/>
        <s v="BULK PORK BRAAI CHOPS"/>
        <s v="SPAR T&amp;T P/BELLY RIB 1KG S&amp;STK"/>
        <s v="PORK HOCKS STEW"/>
        <s v="SPAR T&amp;T PORK STEAK TEXAN P/KG"/>
        <s v="SPAR T&amp;T P/BELLY RIB 1KG BBQ"/>
        <s v="PORK RASHERS"/>
        <s v="BRITOS BACON DICED"/>
        <s v="SPAR T&amp;T PORK RASHERS HON P/KG"/>
        <s v="T&amp;T WORS BACON &amp; CHEESE"/>
        <s v="PAR COOKED MARINATED LOIN  RIBS"/>
        <s v="SPAR T&amp;T P/LOIN RIB 1KG S&amp;STKY"/>
        <s v="BRITOS PRIME CUT BACON"/>
        <s v="SPAR T&amp;T OEPSIES P/KG"/>
        <s v="PORK BELLY ROAST"/>
        <s v="PORK RASHER"/>
        <s v="T&amp;T PORK RIBS SMKD"/>
        <s v="SPAR T&amp;T P/LOIN RIB 1KG BBQ"/>
        <s v="T&amp;T GAMMON B/LESS MINI"/>
        <s v="SHOULDER GAMMON BONE IN"/>
        <s v="SPICED BONES"/>
        <s v="BRITOS BACK BACON"/>
        <s v="Y B PORK SIRLION"/>
        <s v="BEEF BILTONG"/>
        <s v="SPAR SLT OSTRICH FILLET"/>
        <s v="GEVLEKTE  SNOEK"/>
        <s v="BULK LEAN BEEF MINCE"/>
        <s v="BEEF LEAN MINCE"/>
        <s v="ROOIBERG B/WORS"/>
        <s v="GRABOUW BOEREWORS"/>
        <s v="BLK BLUEBIRDS NAMIB WORS"/>
        <s v="BULK GRABOUW BOEREWORS"/>
        <s v="BULK ROOIBERG B/WORS"/>
        <s v="BLUE BIRDS NAMIB WORS"/>
        <s v="CHARGRILL BURGER"/>
        <s v="BULK GROUND BEEF"/>
        <s v="BULK OPPIE-KOPPIE B/WORS"/>
        <s v="BULK B/VALE SPAR BOEREWORS"/>
        <s v="YB  BULK BEEF SAUSAGE"/>
        <s v="W/SHIRE  PORK SAUSAGE"/>
        <s v="BULK OUKRANS BOEREWORS"/>
        <s v="GROUND BEEF"/>
        <s v="OUKRANS BOEREWORS"/>
        <s v="BULK WILTSHIRE PORK SAUSAGE"/>
        <s v="YB BEEF SAUSAGE"/>
        <s v="OPPIE-KOPPIE BOEREWORS"/>
        <s v="B/VALE SPAR BOEREWORS"/>
        <s v="SIX GUN GRILL BURGER"/>
        <s v="PIERE SE BOBAAS BOEREWORS P/KG"/>
        <s v="BULK  KASEGRILLER M/CLUB"/>
        <s v=" KASEGRILLER M/CLUB"/>
        <s v="BULK SUPER BRAAI WORS"/>
        <s v="BRITOS BUDGET PATTIES"/>
        <s v="RODEO BURGER PATTIES"/>
        <s v="SUPER BRAAI WORS"/>
        <s v="YOH FLAVA BBQ"/>
        <s v="BBQ 6 GUN GRILL"/>
        <s v="YOH FLAVA CHICKEN"/>
        <s v="OOM FREDDIE SPRINKLE"/>
        <s v="SIX GUN GRILL SPICE"/>
        <s v="SIX GUN SPICE SHAKER"/>
        <s v="MARAKESH RUB"/>
        <s v="BW KAROO BEEF  BILTONG"/>
        <s v="DELICO SALAMI STICKS 2'S"/>
        <s v="BW KUDU DROEWORS"/>
        <s v="BW BEEF BITES CHILLI"/>
        <s v="BW WAGYU DROEWORS"/>
        <s v="BW OUBAAS SALAMI STICKS"/>
        <s v="OSTRITCH DROEWORS"/>
        <s v="BEEF BILTONG WHEELS CHUTNEY"/>
        <s v="CHICKEN  CHILLI STIX"/>
        <s v="BW OUBAAS DROEWORS"/>
        <s v="BW CHILLI  DROEWORS"/>
      </sharedItems>
    </cacheField>
    <cacheField name="Max weekly Sales" numFmtId="4">
      <sharedItems containsSemiMixedTypes="0" containsString="0" containsNumber="1" minValue="40" maxValue="15000.260869565216"/>
    </cacheField>
    <cacheField name="Max Quantity" numFmtId="4">
      <sharedItems containsSemiMixedTypes="0" containsString="0" containsNumber="1" minValue="0.14399999999999999" maxValue="138.262"/>
    </cacheField>
    <cacheField name="Total sales" numFmtId="4">
      <sharedItems containsSemiMixedTypes="0" containsString="0" containsNumber="1" minValue="40" maxValue="71881.052173913049"/>
    </cacheField>
    <cacheField name="Total qty" numFmtId="4">
      <sharedItems containsSemiMixedTypes="0" containsString="0" containsNumber="1" minValue="0.14399999999999999" maxValue="834.86299999999994"/>
    </cacheField>
    <cacheField name="No weeks sale&gt;0" numFmtId="3">
      <sharedItems containsSemiMixedTypes="0" containsString="0" containsNumber="1" containsInteger="1" minValue="1" maxValue="9"/>
    </cacheField>
    <cacheField name="AVG Sales" numFmtId="4">
      <sharedItems containsSemiMixedTypes="0" containsString="0" containsNumber="1" minValue="40" maxValue="7986.7835748792277"/>
    </cacheField>
    <cacheField name="AVG Quantity" numFmtId="4">
      <sharedItems containsSemiMixedTypes="0" containsString="0" containsNumber="1" minValue="0.14399999999999999" maxValue="92.762555555555551"/>
    </cacheField>
    <cacheField name="Frequency" numFmtId="3">
      <sharedItems count="3">
        <s v="Rarely"/>
        <s v="Regular"/>
        <s v="Often"/>
      </sharedItems>
    </cacheField>
    <cacheField name="Stretch Sales" numFmtId="4">
      <sharedItems containsSemiMixedTypes="0" containsString="0" containsNumber="1" minValue="0" maxValue="12362.977391304346"/>
    </cacheField>
    <cacheField name="Stretch Qty" numFmtId="4">
      <sharedItems containsSemiMixedTypes="0" containsString="0" containsNumber="1" minValue="0" maxValue="104.027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">
  <r>
    <x v="0"/>
    <x v="0"/>
    <n v="56247"/>
    <x v="0"/>
    <n v="590.70000000000005"/>
    <n v="33"/>
    <n v="590.70000000000005"/>
    <n v="33"/>
    <n v="1"/>
    <n v="590.70000000000005"/>
    <n v="33"/>
    <x v="0"/>
    <n v="1181.4000000000001"/>
    <n v="66"/>
  </r>
  <r>
    <x v="0"/>
    <x v="0"/>
    <n v="61370"/>
    <x v="1"/>
    <n v="151.25217391304346"/>
    <n v="6"/>
    <n v="201.66956521739129"/>
    <n v="8"/>
    <n v="2"/>
    <n v="100.83478260869565"/>
    <n v="4"/>
    <x v="0"/>
    <n v="100.83478260869565"/>
    <n v="4"/>
  </r>
  <r>
    <x v="1"/>
    <x v="1"/>
    <n v="34172"/>
    <x v="2"/>
    <n v="9697.6521739130421"/>
    <n v="64.841999999999999"/>
    <n v="38195.721739130437"/>
    <n v="248.18800000000002"/>
    <n v="9"/>
    <n v="4243.9690821256045"/>
    <n v="27.576444444444448"/>
    <x v="1"/>
    <n v="4243.9690821256045"/>
    <n v="27.576444444444448"/>
  </r>
  <r>
    <x v="1"/>
    <x v="1"/>
    <n v="53487"/>
    <x v="3"/>
    <n v="4882.826086956522"/>
    <n v="40.112000000000002"/>
    <n v="30254.165217391306"/>
    <n v="250.96199999999999"/>
    <n v="9"/>
    <n v="3361.5739130434786"/>
    <n v="27.884666666666664"/>
    <x v="1"/>
    <n v="3361.5739130434786"/>
    <n v="27.884666666666664"/>
  </r>
  <r>
    <x v="1"/>
    <x v="1"/>
    <n v="12141"/>
    <x v="4"/>
    <n v="4750.3304347826088"/>
    <n v="27.315999999999999"/>
    <n v="19684.81739130435"/>
    <n v="109.78100000000001"/>
    <n v="9"/>
    <n v="2187.2019323671502"/>
    <n v="12.19788888888889"/>
    <x v="1"/>
    <n v="2187.2019323671502"/>
    <n v="12.19788888888889"/>
  </r>
  <r>
    <x v="1"/>
    <x v="1"/>
    <n v="64936"/>
    <x v="5"/>
    <n v="6900.652173913043"/>
    <n v="22.1"/>
    <n v="7785.5565217391295"/>
    <n v="24.926000000000002"/>
    <n v="4"/>
    <n v="1946.3891304347824"/>
    <n v="6.2315000000000005"/>
    <x v="2"/>
    <n v="5839.1673913043469"/>
    <n v="18.694500000000001"/>
  </r>
  <r>
    <x v="1"/>
    <x v="1"/>
    <n v="34205"/>
    <x v="6"/>
    <n v="2623.3565217391306"/>
    <n v="18.954000000000001"/>
    <n v="10324.408695652173"/>
    <n v="67.807999999999993"/>
    <n v="8"/>
    <n v="1290.5510869565217"/>
    <n v="8.4759999999999991"/>
    <x v="1"/>
    <n v="2581.1021739130433"/>
    <n v="16.951999999999998"/>
  </r>
  <r>
    <x v="1"/>
    <x v="1"/>
    <n v="34254"/>
    <x v="7"/>
    <n v="1975.0521739130429"/>
    <n v="56.796999999999997"/>
    <n v="10043.669565217391"/>
    <n v="289.02499999999998"/>
    <n v="9"/>
    <n v="1115.9632850241546"/>
    <n v="32.113888888888887"/>
    <x v="1"/>
    <n v="1115.9632850241546"/>
    <n v="32.113888888888887"/>
  </r>
  <r>
    <x v="1"/>
    <x v="1"/>
    <n v="12172"/>
    <x v="8"/>
    <n v="1483.7739130434782"/>
    <n v="4.266"/>
    <n v="5119.5391304347831"/>
    <n v="14.749000000000001"/>
    <n v="5"/>
    <n v="1023.9078260869567"/>
    <n v="2.9498000000000002"/>
    <x v="2"/>
    <n v="2047.8156521739133"/>
    <n v="5.8996000000000004"/>
  </r>
  <r>
    <x v="1"/>
    <x v="1"/>
    <n v="63526"/>
    <x v="9"/>
    <n v="3349.8608695652174"/>
    <n v="44.834000000000003"/>
    <n v="9181.4695652173923"/>
    <n v="114.64399999999999"/>
    <n v="9"/>
    <n v="1020.1632850241547"/>
    <n v="12.738222222222221"/>
    <x v="1"/>
    <n v="1020.1632850241547"/>
    <n v="12.738222222222221"/>
  </r>
  <r>
    <x v="1"/>
    <x v="1"/>
    <n v="63482"/>
    <x v="10"/>
    <n v="1697.9304347826087"/>
    <n v="16.294"/>
    <n v="9174.1217391304344"/>
    <n v="79.697000000000003"/>
    <n v="9"/>
    <n v="1019.3468599033816"/>
    <n v="8.8552222222222223"/>
    <x v="1"/>
    <n v="1019.3468599033816"/>
    <n v="8.8552222222222223"/>
  </r>
  <r>
    <x v="1"/>
    <x v="1"/>
    <n v="12150"/>
    <x v="11"/>
    <n v="1719.4347826086955"/>
    <n v="10.986000000000001"/>
    <n v="8994.9217391304337"/>
    <n v="55.138999999999996"/>
    <n v="9"/>
    <n v="999.43574879227037"/>
    <n v="6.1265555555555551"/>
    <x v="1"/>
    <n v="999.43574879227037"/>
    <n v="6.1265555555555551"/>
  </r>
  <r>
    <x v="1"/>
    <x v="1"/>
    <n v="34154"/>
    <x v="12"/>
    <n v="986.00869565217374"/>
    <n v="9.4499999999999993"/>
    <n v="986.00869565217374"/>
    <n v="9.4499999999999993"/>
    <n v="1"/>
    <n v="986.00869565217374"/>
    <n v="9.4499999999999993"/>
    <x v="0"/>
    <n v="1972.0173913043475"/>
    <n v="18.899999999999999"/>
  </r>
  <r>
    <x v="1"/>
    <x v="1"/>
    <n v="34157"/>
    <x v="13"/>
    <n v="1478.6260869565217"/>
    <n v="6.8019999999999996"/>
    <n v="4702.0956521739135"/>
    <n v="21.674000000000003"/>
    <n v="7"/>
    <n v="671.72795031055909"/>
    <n v="3.0962857142857145"/>
    <x v="2"/>
    <n v="0"/>
    <n v="0"/>
  </r>
  <r>
    <x v="1"/>
    <x v="1"/>
    <n v="62790"/>
    <x v="14"/>
    <n v="1268.4434782608694"/>
    <n v="11.222"/>
    <n v="2494.6869565217385"/>
    <n v="22.515999999999998"/>
    <n v="4"/>
    <n v="623.67173913043462"/>
    <n v="5.6289999999999996"/>
    <x v="2"/>
    <n v="1871.0152173913038"/>
    <n v="16.887"/>
  </r>
  <r>
    <x v="1"/>
    <x v="1"/>
    <n v="52680"/>
    <x v="15"/>
    <n v="632.81739130434789"/>
    <n v="3.63"/>
    <n v="4035.8956521739128"/>
    <n v="22.326000000000004"/>
    <n v="9"/>
    <n v="448.43285024154585"/>
    <n v="2.480666666666667"/>
    <x v="1"/>
    <n v="448.43285024154585"/>
    <n v="2.480666666666667"/>
  </r>
  <r>
    <x v="1"/>
    <x v="1"/>
    <n v="34207"/>
    <x v="16"/>
    <n v="677.98260869565229"/>
    <n v="5.9980000000000002"/>
    <n v="2558.9565217391305"/>
    <n v="22.661999999999999"/>
    <n v="6"/>
    <n v="426.49275362318843"/>
    <n v="3.7769999999999997"/>
    <x v="2"/>
    <n v="426.49275362318843"/>
    <n v="3.7769999999999997"/>
  </r>
  <r>
    <x v="1"/>
    <x v="1"/>
    <n v="34169"/>
    <x v="17"/>
    <n v="1175.8608695652172"/>
    <n v="15.055999999999999"/>
    <n v="1555.1652173913042"/>
    <n v="18.740000000000002"/>
    <n v="4"/>
    <n v="388.79130434782604"/>
    <n v="4.6850000000000005"/>
    <x v="2"/>
    <n v="1166.3739130434781"/>
    <n v="14.055000000000001"/>
  </r>
  <r>
    <x v="1"/>
    <x v="1"/>
    <n v="58817"/>
    <x v="18"/>
    <n v="774.96521739130435"/>
    <n v="6.3840000000000003"/>
    <n v="3322.8347826086956"/>
    <n v="27.387999999999998"/>
    <n v="9"/>
    <n v="369.20386473429949"/>
    <n v="3.0431111111111111"/>
    <x v="1"/>
    <n v="369.20386473429949"/>
    <n v="3.0431111111111111"/>
  </r>
  <r>
    <x v="1"/>
    <x v="1"/>
    <n v="12144"/>
    <x v="19"/>
    <n v="627.20000000000005"/>
    <n v="5.1520000000000001"/>
    <n v="2938.0086956521736"/>
    <n v="25.522000000000002"/>
    <n v="8"/>
    <n v="367.2510869565217"/>
    <n v="3.1902500000000003"/>
    <x v="1"/>
    <n v="734.50217391304341"/>
    <n v="6.3805000000000005"/>
  </r>
  <r>
    <x v="1"/>
    <x v="1"/>
    <n v="12169"/>
    <x v="20"/>
    <n v="671.71304347826083"/>
    <n v="4.0659999999999998"/>
    <n v="1875.0869565217388"/>
    <n v="11.159999999999998"/>
    <n v="6"/>
    <n v="312.51449275362313"/>
    <n v="1.8599999999999997"/>
    <x v="2"/>
    <n v="312.51449275362313"/>
    <n v="1.8599999999999997"/>
  </r>
  <r>
    <x v="1"/>
    <x v="1"/>
    <n v="63499"/>
    <x v="21"/>
    <n v="434.33913043478265"/>
    <n v="3.5680000000000001"/>
    <n v="881.08695652173924"/>
    <n v="7.2720000000000002"/>
    <n v="3"/>
    <n v="293.69565217391306"/>
    <n v="2.4239999999999999"/>
    <x v="0"/>
    <n v="0"/>
    <n v="0"/>
  </r>
  <r>
    <x v="1"/>
    <x v="1"/>
    <n v="63480"/>
    <x v="22"/>
    <n v="644.4869565217391"/>
    <n v="3.706"/>
    <n v="1035.4347826086955"/>
    <n v="5.9539999999999997"/>
    <n v="4"/>
    <n v="258.85869565217388"/>
    <n v="1.4884999999999999"/>
    <x v="2"/>
    <n v="776.57608695652164"/>
    <n v="4.4654999999999996"/>
  </r>
  <r>
    <x v="1"/>
    <x v="1"/>
    <n v="34159"/>
    <x v="23"/>
    <n v="253.20000000000002"/>
    <n v="2.08"/>
    <n v="253.20000000000002"/>
    <n v="2.08"/>
    <n v="1"/>
    <n v="253.20000000000002"/>
    <n v="2.08"/>
    <x v="0"/>
    <n v="506.40000000000003"/>
    <n v="4.16"/>
  </r>
  <r>
    <x v="1"/>
    <x v="1"/>
    <n v="63839"/>
    <x v="24"/>
    <n v="153.38260869565215"/>
    <n v="0.98"/>
    <n v="288.61739130434779"/>
    <n v="1.8439999999999999"/>
    <n v="2"/>
    <n v="144.3086956521739"/>
    <n v="0.92199999999999993"/>
    <x v="0"/>
    <n v="144.3086956521739"/>
    <n v="0.92199999999999993"/>
  </r>
  <r>
    <x v="1"/>
    <x v="1"/>
    <n v="42859"/>
    <x v="25"/>
    <n v="110.01739130434783"/>
    <n v="1.4059999999999999"/>
    <n v="243.98260869565215"/>
    <n v="3.1179999999999999"/>
    <n v="3"/>
    <n v="81.327536231884054"/>
    <n v="1.0393333333333332"/>
    <x v="0"/>
    <n v="0"/>
    <n v="0"/>
  </r>
  <r>
    <x v="2"/>
    <x v="2"/>
    <n v="32041"/>
    <x v="26"/>
    <n v="15000.260869565216"/>
    <n v="127.78"/>
    <n v="30907.443478260866"/>
    <n v="260.07"/>
    <n v="5"/>
    <n v="6181.4886956521732"/>
    <n v="52.013999999999996"/>
    <x v="2"/>
    <n v="12362.977391304346"/>
    <n v="104.02799999999999"/>
  </r>
  <r>
    <x v="2"/>
    <x v="2"/>
    <n v="55100"/>
    <x v="27"/>
    <n v="7159.6521739130421"/>
    <n v="58.988"/>
    <n v="10862.452173913043"/>
    <n v="89.406000000000006"/>
    <n v="3"/>
    <n v="3620.8173913043479"/>
    <n v="29.802000000000003"/>
    <x v="0"/>
    <n v="0"/>
    <n v="0"/>
  </r>
  <r>
    <x v="2"/>
    <x v="2"/>
    <n v="34239"/>
    <x v="28"/>
    <n v="2728.2347826086962"/>
    <n v="16.57"/>
    <n v="14259.060869565219"/>
    <n v="87.346000000000004"/>
    <n v="9"/>
    <n v="1584.3400966183576"/>
    <n v="9.7051111111111119"/>
    <x v="1"/>
    <n v="1584.3400966183576"/>
    <n v="9.7051111111111119"/>
  </r>
  <r>
    <x v="2"/>
    <x v="2"/>
    <n v="39811"/>
    <x v="29"/>
    <n v="2628"/>
    <n v="13.738"/>
    <n v="13095.165217391303"/>
    <n v="70.006"/>
    <n v="9"/>
    <n v="1455.0183574879225"/>
    <n v="7.7784444444444443"/>
    <x v="1"/>
    <n v="1455.0183574879225"/>
    <n v="7.7784444444444443"/>
  </r>
  <r>
    <x v="2"/>
    <x v="2"/>
    <n v="34242"/>
    <x v="30"/>
    <n v="2409.5652173913045"/>
    <n v="11.742000000000001"/>
    <n v="12468.982608695653"/>
    <n v="62.433999999999997"/>
    <n v="9"/>
    <n v="1385.4425120772949"/>
    <n v="6.9371111111111112"/>
    <x v="1"/>
    <n v="1385.4425120772949"/>
    <n v="6.9371111111111112"/>
  </r>
  <r>
    <x v="2"/>
    <x v="2"/>
    <n v="34250"/>
    <x v="31"/>
    <n v="1460.7565217391302"/>
    <n v="9.032"/>
    <n v="8050.8782608695647"/>
    <n v="50.466000000000001"/>
    <n v="9"/>
    <n v="894.54202898550716"/>
    <n v="5.6073333333333331"/>
    <x v="1"/>
    <n v="894.54202898550716"/>
    <n v="5.6073333333333331"/>
  </r>
  <r>
    <x v="2"/>
    <x v="2"/>
    <n v="45848"/>
    <x v="32"/>
    <n v="835.26086956521738"/>
    <n v="5.4580000000000002"/>
    <n v="4949.4260869565223"/>
    <n v="32.694000000000003"/>
    <n v="8"/>
    <n v="618.67826086956529"/>
    <n v="4.0867500000000003"/>
    <x v="1"/>
    <n v="1237.3565217391306"/>
    <n v="8.1735000000000007"/>
  </r>
  <r>
    <x v="2"/>
    <x v="2"/>
    <n v="34241"/>
    <x v="33"/>
    <n v="693.91304347826099"/>
    <n v="3.99"/>
    <n v="3580.0521739130436"/>
    <n v="20.586000000000002"/>
    <n v="9"/>
    <n v="397.78357487922705"/>
    <n v="2.2873333333333337"/>
    <x v="1"/>
    <n v="397.78357487922705"/>
    <n v="2.2873333333333337"/>
  </r>
  <r>
    <x v="2"/>
    <x v="2"/>
    <n v="34249"/>
    <x v="34"/>
    <n v="706.2"/>
    <n v="4.5119999999999996"/>
    <n v="3002.0521739130427"/>
    <n v="19.372"/>
    <n v="9"/>
    <n v="333.56135265700476"/>
    <n v="2.1524444444444444"/>
    <x v="1"/>
    <n v="333.56135265700476"/>
    <n v="2.1524444444444444"/>
  </r>
  <r>
    <x v="2"/>
    <x v="2"/>
    <n v="63475"/>
    <x v="35"/>
    <n v="599.5826086956522"/>
    <n v="5.4279999999999999"/>
    <n v="2933.3826086956524"/>
    <n v="26.541000000000004"/>
    <n v="9"/>
    <n v="325.93140096618362"/>
    <n v="2.9490000000000003"/>
    <x v="1"/>
    <n v="325.93140096618362"/>
    <n v="2.9490000000000003"/>
  </r>
  <r>
    <x v="2"/>
    <x v="2"/>
    <n v="34247"/>
    <x v="36"/>
    <n v="494.38260869565215"/>
    <n v="3.35"/>
    <n v="2312.695652173913"/>
    <n v="16.404"/>
    <n v="9"/>
    <n v="256.96618357487921"/>
    <n v="1.8226666666666667"/>
    <x v="1"/>
    <n v="256.96618357487921"/>
    <n v="1.8226666666666667"/>
  </r>
  <r>
    <x v="2"/>
    <x v="2"/>
    <n v="34240"/>
    <x v="37"/>
    <n v="261.06086956521744"/>
    <n v="1.6679999999999999"/>
    <n v="625.42608695652177"/>
    <n v="3.9959999999999996"/>
    <n v="4"/>
    <n v="156.35652173913044"/>
    <n v="0.99899999999999989"/>
    <x v="2"/>
    <n v="469.0695652173913"/>
    <n v="2.9969999999999999"/>
  </r>
  <r>
    <x v="2"/>
    <x v="2"/>
    <n v="59535"/>
    <x v="38"/>
    <n v="283.2347826086957"/>
    <n v="1.9159999999999999"/>
    <n v="728.19130434782608"/>
    <n v="4.9260000000000002"/>
    <n v="5"/>
    <n v="145.63826086956522"/>
    <n v="0.98520000000000008"/>
    <x v="2"/>
    <n v="291.27652173913043"/>
    <n v="1.9704000000000002"/>
  </r>
  <r>
    <x v="2"/>
    <x v="2"/>
    <n v="50339"/>
    <x v="39"/>
    <n v="182.77391304347827"/>
    <n v="2.6280000000000001"/>
    <n v="904.01739130434794"/>
    <n v="13.05"/>
    <n v="7"/>
    <n v="129.14534161490684"/>
    <n v="1.8642857142857143"/>
    <x v="2"/>
    <n v="0"/>
    <n v="0"/>
  </r>
  <r>
    <x v="2"/>
    <x v="2"/>
    <n v="34238"/>
    <x v="40"/>
    <n v="153.60869565217394"/>
    <n v="2.524"/>
    <n v="766.47826086956525"/>
    <n v="12.593999999999999"/>
    <n v="7"/>
    <n v="109.49689440993789"/>
    <n v="1.7991428571428572"/>
    <x v="2"/>
    <n v="0"/>
    <n v="0"/>
  </r>
  <r>
    <x v="2"/>
    <x v="2"/>
    <n v="44900"/>
    <x v="41"/>
    <n v="73.730434782608697"/>
    <n v="0.53"/>
    <n v="73.730434782608697"/>
    <n v="0.53"/>
    <n v="1"/>
    <n v="73.730434782608697"/>
    <n v="0.53"/>
    <x v="0"/>
    <n v="147.46086956521739"/>
    <n v="1.06"/>
  </r>
  <r>
    <x v="3"/>
    <x v="3"/>
    <n v="34261"/>
    <x v="42"/>
    <n v="1321.0695652173913"/>
    <n v="9.9740000000000002"/>
    <n v="8206.6782608695648"/>
    <n v="59.948000000000008"/>
    <n v="9"/>
    <n v="911.85314009661829"/>
    <n v="6.6608888888888895"/>
    <x v="1"/>
    <n v="911.85314009661829"/>
    <n v="6.6608888888888895"/>
  </r>
  <r>
    <x v="3"/>
    <x v="3"/>
    <n v="34258"/>
    <x v="43"/>
    <n v="1253.4521739130435"/>
    <n v="9.048"/>
    <n v="7624.7478260869575"/>
    <n v="55.638000000000005"/>
    <n v="9"/>
    <n v="847.19420289855088"/>
    <n v="6.1820000000000004"/>
    <x v="1"/>
    <n v="847.19420289855088"/>
    <n v="6.1820000000000004"/>
  </r>
  <r>
    <x v="3"/>
    <x v="3"/>
    <n v="34255"/>
    <x v="44"/>
    <n v="1172.4521739130435"/>
    <n v="8.48"/>
    <n v="6937.6173913043476"/>
    <n v="50.888000000000005"/>
    <n v="9"/>
    <n v="770.84637681159415"/>
    <n v="5.6542222222222227"/>
    <x v="1"/>
    <n v="770.84637681159415"/>
    <n v="5.6542222222222227"/>
  </r>
  <r>
    <x v="3"/>
    <x v="3"/>
    <n v="56816"/>
    <x v="45"/>
    <n v="705.31304347826085"/>
    <n v="6.7119999999999997"/>
    <n v="4559.9304347826082"/>
    <n v="41.141999999999996"/>
    <n v="9"/>
    <n v="506.65893719806758"/>
    <n v="4.5713333333333326"/>
    <x v="1"/>
    <n v="506.65893719806758"/>
    <n v="4.5713333333333326"/>
  </r>
  <r>
    <x v="3"/>
    <x v="3"/>
    <n v="34262"/>
    <x v="46"/>
    <n v="494.42608695652166"/>
    <n v="4.0919999999999996"/>
    <n v="494.42608695652166"/>
    <n v="4.0919999999999996"/>
    <n v="1"/>
    <n v="494.42608695652166"/>
    <n v="4.0919999999999996"/>
    <x v="0"/>
    <n v="988.85217391304332"/>
    <n v="8.1839999999999993"/>
  </r>
  <r>
    <x v="3"/>
    <x v="3"/>
    <n v="34267"/>
    <x v="47"/>
    <n v="747.58260869565208"/>
    <n v="5.7320000000000002"/>
    <n v="4048.5565217391299"/>
    <n v="31.778000000000006"/>
    <n v="9"/>
    <n v="449.83961352657002"/>
    <n v="3.5308888888888896"/>
    <x v="1"/>
    <n v="449.83961352657002"/>
    <n v="3.5308888888888896"/>
  </r>
  <r>
    <x v="3"/>
    <x v="3"/>
    <n v="34266"/>
    <x v="48"/>
    <n v="495.34782608695662"/>
    <n v="3.8380000000000001"/>
    <n v="2073.0695652173913"/>
    <n v="16.222000000000001"/>
    <n v="7"/>
    <n v="296.15279503105592"/>
    <n v="2.3174285714285716"/>
    <x v="2"/>
    <n v="0"/>
    <n v="0"/>
  </r>
  <r>
    <x v="3"/>
    <x v="3"/>
    <n v="34257"/>
    <x v="49"/>
    <n v="332.07826086956521"/>
    <n v="2.5459999999999998"/>
    <n v="1654.913043478261"/>
    <n v="12.961"/>
    <n v="9"/>
    <n v="183.87922705314011"/>
    <n v="1.4401111111111111"/>
    <x v="1"/>
    <n v="183.87922705314011"/>
    <n v="1.4401111111111111"/>
  </r>
  <r>
    <x v="3"/>
    <x v="3"/>
    <n v="34256"/>
    <x v="50"/>
    <n v="168.78260869565219"/>
    <n v="1.294"/>
    <n v="305.99130434782609"/>
    <n v="2.3460000000000001"/>
    <n v="2"/>
    <n v="152.99565217391304"/>
    <n v="1.173"/>
    <x v="0"/>
    <n v="152.99565217391304"/>
    <n v="1.173"/>
  </r>
  <r>
    <x v="3"/>
    <x v="3"/>
    <n v="34264"/>
    <x v="51"/>
    <n v="235.01739130434783"/>
    <n v="1.802"/>
    <n v="1202.5478260869563"/>
    <n v="9.418000000000001"/>
    <n v="8"/>
    <n v="150.31847826086954"/>
    <n v="1.1772500000000001"/>
    <x v="1"/>
    <n v="300.63695652173908"/>
    <n v="2.3545000000000003"/>
  </r>
  <r>
    <x v="4"/>
    <x v="4"/>
    <n v="39771"/>
    <x v="52"/>
    <n v="545.86956521739125"/>
    <n v="6.976"/>
    <n v="2375.4869565217396"/>
    <n v="30.394000000000002"/>
    <n v="8"/>
    <n v="296.93586956521744"/>
    <n v="3.7992500000000002"/>
    <x v="1"/>
    <n v="593.87173913043489"/>
    <n v="7.5985000000000005"/>
  </r>
  <r>
    <x v="4"/>
    <x v="4"/>
    <n v="34271"/>
    <x v="53"/>
    <n v="375.6"/>
    <n v="21.608000000000001"/>
    <n v="2314.0782608695654"/>
    <n v="133.32399999999998"/>
    <n v="9"/>
    <n v="257.11980676328506"/>
    <n v="14.813777777777776"/>
    <x v="1"/>
    <n v="257.11980676328506"/>
    <n v="14.813777777777776"/>
  </r>
  <r>
    <x v="4"/>
    <x v="4"/>
    <n v="34297"/>
    <x v="54"/>
    <n v="237.20869565217393"/>
    <n v="27.448"/>
    <n v="883.13043478260863"/>
    <n v="102.179"/>
    <n v="8"/>
    <n v="110.39130434782608"/>
    <n v="12.772375"/>
    <x v="1"/>
    <n v="220.78260869565216"/>
    <n v="25.544750000000001"/>
  </r>
  <r>
    <x v="5"/>
    <x v="5"/>
    <n v="63470"/>
    <x v="55"/>
    <n v="12018.739130434784"/>
    <n v="138.262"/>
    <n v="71881.052173913049"/>
    <n v="834.86299999999994"/>
    <n v="9"/>
    <n v="7986.7835748792277"/>
    <n v="92.762555555555551"/>
    <x v="1"/>
    <n v="7986.7835748792277"/>
    <n v="92.762555555555551"/>
  </r>
  <r>
    <x v="5"/>
    <x v="5"/>
    <n v="63471"/>
    <x v="56"/>
    <n v="8207.939130434781"/>
    <n v="91.760999999999996"/>
    <n v="47431.808695652173"/>
    <n v="497.702"/>
    <n v="9"/>
    <n v="5270.2009661835746"/>
    <n v="55.300222222222224"/>
    <x v="1"/>
    <n v="5270.2009661835746"/>
    <n v="55.300222222222224"/>
  </r>
  <r>
    <x v="5"/>
    <x v="5"/>
    <n v="63474"/>
    <x v="57"/>
    <n v="4552.2434782608698"/>
    <n v="40.274000000000001"/>
    <n v="26515.08695652174"/>
    <n v="234.79000000000002"/>
    <n v="8"/>
    <n v="3314.3858695652175"/>
    <n v="29.348750000000003"/>
    <x v="1"/>
    <n v="6628.771739130435"/>
    <n v="58.697500000000005"/>
  </r>
  <r>
    <x v="5"/>
    <x v="5"/>
    <n v="66630"/>
    <x v="58"/>
    <n v="4602.3217391304343"/>
    <n v="61.55"/>
    <n v="5899.5043478260868"/>
    <n v="78.128"/>
    <n v="2"/>
    <n v="2949.7521739130434"/>
    <n v="39.064"/>
    <x v="0"/>
    <n v="2949.7521739130434"/>
    <n v="39.064"/>
  </r>
  <r>
    <x v="5"/>
    <x v="5"/>
    <n v="54562"/>
    <x v="59"/>
    <n v="4126.6608695652185"/>
    <n v="34"/>
    <n v="17060.191304347827"/>
    <n v="132"/>
    <n v="8"/>
    <n v="2132.5239130434784"/>
    <n v="16.5"/>
    <x v="1"/>
    <n v="4265.0478260869568"/>
    <n v="33"/>
  </r>
  <r>
    <x v="5"/>
    <x v="5"/>
    <n v="63523"/>
    <x v="60"/>
    <n v="3506.7478260869566"/>
    <n v="50.457999999999998"/>
    <n v="16488.313043478258"/>
    <n v="237.49799999999999"/>
    <n v="9"/>
    <n v="1832.0347826086954"/>
    <n v="26.388666666666666"/>
    <x v="1"/>
    <n v="1832.0347826086954"/>
    <n v="26.388666666666666"/>
  </r>
  <r>
    <x v="5"/>
    <x v="5"/>
    <n v="63472"/>
    <x v="61"/>
    <n v="3176.0260869565218"/>
    <n v="36.527999999999999"/>
    <n v="14281.869565217392"/>
    <n v="151.35400000000001"/>
    <n v="8"/>
    <n v="1785.233695652174"/>
    <n v="18.919250000000002"/>
    <x v="1"/>
    <n v="3570.467391304348"/>
    <n v="37.838500000000003"/>
  </r>
  <r>
    <x v="5"/>
    <x v="5"/>
    <n v="54629"/>
    <x v="62"/>
    <n v="2799.7999999999997"/>
    <n v="23"/>
    <n v="12834.286956521739"/>
    <n v="95"/>
    <n v="9"/>
    <n v="1426.031884057971"/>
    <n v="10.555555555555555"/>
    <x v="1"/>
    <n v="1426.031884057971"/>
    <n v="10.555555555555555"/>
  </r>
  <r>
    <x v="5"/>
    <x v="5"/>
    <n v="63497"/>
    <x v="63"/>
    <n v="1898.9391304347823"/>
    <n v="15.6"/>
    <n v="5184.7565217391302"/>
    <n v="44.921999999999997"/>
    <n v="4"/>
    <n v="1296.1891304347826"/>
    <n v="11.230499999999999"/>
    <x v="2"/>
    <n v="3888.5673913043474"/>
    <n v="33.691499999999998"/>
  </r>
  <r>
    <x v="5"/>
    <x v="5"/>
    <n v="14922"/>
    <x v="64"/>
    <n v="1451.5913043478261"/>
    <n v="62"/>
    <n v="9715.217391304348"/>
    <n v="415"/>
    <n v="9"/>
    <n v="1079.4685990338164"/>
    <n v="46.111111111111114"/>
    <x v="1"/>
    <n v="1079.4685990338164"/>
    <n v="46.111111111111114"/>
  </r>
  <r>
    <x v="5"/>
    <x v="5"/>
    <n v="63367"/>
    <x v="65"/>
    <n v="1764.4260869565219"/>
    <n v="12.682"/>
    <n v="5932.9043478260874"/>
    <n v="39.5"/>
    <n v="6"/>
    <n v="988.81739130434789"/>
    <n v="6.583333333333333"/>
    <x v="2"/>
    <n v="988.81739130434789"/>
    <n v="6.583333333333333"/>
  </r>
  <r>
    <x v="5"/>
    <x v="5"/>
    <n v="12330"/>
    <x v="66"/>
    <n v="1836.2434782608693"/>
    <n v="32"/>
    <n v="6342.3391304347824"/>
    <n v="101"/>
    <n v="9"/>
    <n v="704.70434782608697"/>
    <n v="11.222222222222221"/>
    <x v="1"/>
    <n v="704.70434782608697"/>
    <n v="11.222222222222221"/>
  </r>
  <r>
    <x v="5"/>
    <x v="5"/>
    <n v="64053"/>
    <x v="67"/>
    <n v="834.71304347826094"/>
    <n v="8"/>
    <n v="5634.3130434782606"/>
    <n v="54"/>
    <n v="9"/>
    <n v="626.03478260869565"/>
    <n v="6"/>
    <x v="1"/>
    <n v="626.03478260869565"/>
    <n v="6"/>
  </r>
  <r>
    <x v="5"/>
    <x v="5"/>
    <n v="54631"/>
    <x v="68"/>
    <n v="1304.2608695652175"/>
    <n v="10"/>
    <n v="3331.1043478260872"/>
    <n v="23"/>
    <n v="6"/>
    <n v="555.18405797101457"/>
    <n v="3.8333333333333335"/>
    <x v="2"/>
    <n v="555.18405797101457"/>
    <n v="3.8333333333333335"/>
  </r>
  <r>
    <x v="5"/>
    <x v="5"/>
    <n v="14923"/>
    <x v="69"/>
    <n v="781.04347826086962"/>
    <n v="30"/>
    <n v="4711.0347826086963"/>
    <n v="181"/>
    <n v="9"/>
    <n v="523.44830917874401"/>
    <n v="20.111111111111111"/>
    <x v="1"/>
    <n v="523.44830917874401"/>
    <n v="20.111111111111111"/>
  </r>
  <r>
    <x v="5"/>
    <x v="5"/>
    <n v="63365"/>
    <x v="70"/>
    <n v="899.54782608695655"/>
    <n v="4.1379999999999999"/>
    <n v="2992.4521739130432"/>
    <n v="14.854000000000003"/>
    <n v="6"/>
    <n v="498.7420289855072"/>
    <n v="2.4756666666666671"/>
    <x v="2"/>
    <n v="498.7420289855072"/>
    <n v="2.4756666666666671"/>
  </r>
  <r>
    <x v="5"/>
    <x v="5"/>
    <n v="48771"/>
    <x v="71"/>
    <n v="779.86956521739125"/>
    <n v="8.1539999999999999"/>
    <n v="3018.8608695652179"/>
    <n v="29.000000000000004"/>
    <n v="7"/>
    <n v="431.26583850931684"/>
    <n v="4.1428571428571432"/>
    <x v="2"/>
    <n v="0"/>
    <n v="0"/>
  </r>
  <r>
    <x v="5"/>
    <x v="5"/>
    <n v="34285"/>
    <x v="72"/>
    <n v="410.8608695652174"/>
    <n v="4.9219999999999997"/>
    <n v="410.8608695652174"/>
    <n v="4.9219999999999997"/>
    <n v="1"/>
    <n v="410.8608695652174"/>
    <n v="4.9219999999999997"/>
    <x v="0"/>
    <n v="821.7217391304348"/>
    <n v="9.8439999999999994"/>
  </r>
  <r>
    <x v="5"/>
    <x v="5"/>
    <n v="12325"/>
    <x v="73"/>
    <n v="851.80869565217381"/>
    <n v="5.1559999999999997"/>
    <n v="1589.9565217391303"/>
    <n v="9.6239999999999988"/>
    <n v="4"/>
    <n v="397.48913043478257"/>
    <n v="2.4059999999999997"/>
    <x v="2"/>
    <n v="1192.4673913043478"/>
    <n v="7.2179999999999991"/>
  </r>
  <r>
    <x v="5"/>
    <x v="5"/>
    <n v="54630"/>
    <x v="74"/>
    <n v="912.99130434782614"/>
    <n v="6"/>
    <n v="1956.4086956521742"/>
    <n v="13"/>
    <n v="6"/>
    <n v="326.06811594202901"/>
    <n v="2.1666666666666665"/>
    <x v="2"/>
    <n v="326.06811594202901"/>
    <n v="2.1666666666666665"/>
  </r>
  <r>
    <x v="5"/>
    <x v="5"/>
    <n v="39397"/>
    <x v="75"/>
    <n v="355.84347826086957"/>
    <n v="4.1859999999999999"/>
    <n v="544.17391304347825"/>
    <n v="6.3520000000000003"/>
    <n v="2"/>
    <n v="272.08695652173913"/>
    <n v="3.1760000000000002"/>
    <x v="0"/>
    <n v="272.08695652173913"/>
    <n v="3.1760000000000002"/>
  </r>
  <r>
    <x v="5"/>
    <x v="5"/>
    <n v="34232"/>
    <x v="76"/>
    <n v="216.91304347826087"/>
    <n v="2.7719999999999998"/>
    <n v="216.91304347826087"/>
    <n v="2.7719999999999998"/>
    <n v="1"/>
    <n v="216.91304347826087"/>
    <n v="2.7719999999999998"/>
    <x v="0"/>
    <n v="433.82608695652175"/>
    <n v="5.5439999999999996"/>
  </r>
  <r>
    <x v="5"/>
    <x v="5"/>
    <n v="34304"/>
    <x v="77"/>
    <n v="571.86956521739125"/>
    <n v="32.898000000000003"/>
    <n v="1665.2434782608693"/>
    <n v="95.799000000000007"/>
    <n v="9"/>
    <n v="185.0270531400966"/>
    <n v="10.644333333333334"/>
    <x v="1"/>
    <n v="185.0270531400966"/>
    <n v="10.644333333333334"/>
  </r>
  <r>
    <x v="5"/>
    <x v="5"/>
    <n v="14926"/>
    <x v="78"/>
    <n v="273.8347826086956"/>
    <n v="9"/>
    <n v="1519.782608695652"/>
    <n v="50"/>
    <n v="9"/>
    <n v="168.8647342995169"/>
    <n v="5.5555555555555554"/>
    <x v="1"/>
    <n v="168.8647342995169"/>
    <n v="5.5555555555555554"/>
  </r>
  <r>
    <x v="6"/>
    <x v="6"/>
    <n v="63498"/>
    <x v="79"/>
    <n v="2458.9130434782605"/>
    <n v="21.754000000000001"/>
    <n v="9277.3130434782615"/>
    <n v="82.250000000000014"/>
    <n v="9"/>
    <n v="1030.8125603864735"/>
    <n v="9.1388888888888911"/>
    <x v="1"/>
    <n v="1030.8125603864735"/>
    <n v="9.1388888888888911"/>
  </r>
  <r>
    <x v="7"/>
    <x v="7"/>
    <n v="32049"/>
    <x v="80"/>
    <n v="62.817391304347822"/>
    <n v="0.14399999999999999"/>
    <n v="62.817391304347822"/>
    <n v="0.14399999999999999"/>
    <n v="1"/>
    <n v="62.817391304347822"/>
    <n v="0.14399999999999999"/>
    <x v="0"/>
    <n v="125.63478260869564"/>
    <n v="0.28799999999999998"/>
  </r>
  <r>
    <x v="8"/>
    <x v="8"/>
    <n v="44216"/>
    <x v="81"/>
    <n v="782.53043478260884"/>
    <n v="9"/>
    <n v="3564.8608695652179"/>
    <n v="41"/>
    <n v="9"/>
    <n v="396.09565217391309"/>
    <n v="4.5555555555555554"/>
    <x v="1"/>
    <n v="396.09565217391309"/>
    <n v="4.5555555555555554"/>
  </r>
  <r>
    <x v="9"/>
    <x v="9"/>
    <n v="43941"/>
    <x v="82"/>
    <n v="4289.5913043478258"/>
    <n v="54.817999999999998"/>
    <n v="9009.5999999999985"/>
    <n v="115.136"/>
    <n v="9"/>
    <n v="1001.0666666666665"/>
    <n v="12.792888888888889"/>
    <x v="1"/>
    <n v="1001.0666666666665"/>
    <n v="12.792888888888889"/>
  </r>
  <r>
    <x v="10"/>
    <x v="10"/>
    <n v="34199"/>
    <x v="83"/>
    <n v="9867.4782608695659"/>
    <n v="113.991"/>
    <n v="55671.486956521738"/>
    <n v="640.92399999999998"/>
    <n v="9"/>
    <n v="6185.7207729468601"/>
    <n v="71.213777777777779"/>
    <x v="1"/>
    <n v="6185.7207729468601"/>
    <n v="71.213777777777779"/>
  </r>
  <r>
    <x v="10"/>
    <x v="10"/>
    <n v="34160"/>
    <x v="84"/>
    <n v="6251.6347826086949"/>
    <n v="65.364000000000004"/>
    <n v="33094.973913043475"/>
    <n v="361.31799999999998"/>
    <n v="9"/>
    <n v="3677.2193236714975"/>
    <n v="40.146444444444441"/>
    <x v="1"/>
    <n v="3677.2193236714975"/>
    <n v="40.146444444444441"/>
  </r>
  <r>
    <x v="10"/>
    <x v="10"/>
    <n v="16182"/>
    <x v="85"/>
    <n v="5300.6608695652176"/>
    <n v="55.418999999999997"/>
    <n v="16715.330434782609"/>
    <n v="172.58100000000002"/>
    <n v="6"/>
    <n v="2785.8884057971013"/>
    <n v="28.763500000000004"/>
    <x v="2"/>
    <n v="2785.8884057971013"/>
    <n v="28.763500000000004"/>
  </r>
  <r>
    <x v="10"/>
    <x v="10"/>
    <n v="34189"/>
    <x v="86"/>
    <n v="4432.6608695652167"/>
    <n v="39.215000000000003"/>
    <n v="21893.721739130433"/>
    <n v="193.684"/>
    <n v="9"/>
    <n v="2432.6357487922705"/>
    <n v="21.520444444444443"/>
    <x v="1"/>
    <n v="2432.6357487922705"/>
    <n v="21.520444444444443"/>
  </r>
  <r>
    <x v="10"/>
    <x v="10"/>
    <n v="60887"/>
    <x v="87"/>
    <n v="2632.782608695652"/>
    <n v="25.234000000000002"/>
    <n v="18052.191304347823"/>
    <n v="173.02199999999999"/>
    <n v="9"/>
    <n v="2005.7990338164248"/>
    <n v="19.224666666666664"/>
    <x v="1"/>
    <n v="2005.7990338164248"/>
    <n v="19.224666666666664"/>
  </r>
  <r>
    <x v="10"/>
    <x v="10"/>
    <n v="34200"/>
    <x v="88"/>
    <n v="2885.8521739130429"/>
    <n v="27.66"/>
    <n v="17739.147826086955"/>
    <n v="170.02199999999999"/>
    <n v="9"/>
    <n v="1971.0164251207727"/>
    <n v="18.891333333333332"/>
    <x v="1"/>
    <n v="1971.0164251207727"/>
    <n v="18.891333333333332"/>
  </r>
  <r>
    <x v="10"/>
    <x v="10"/>
    <n v="51078"/>
    <x v="89"/>
    <n v="2594.3304347826088"/>
    <n v="27.126000000000001"/>
    <n v="10807.573913043478"/>
    <n v="112.122"/>
    <n v="6"/>
    <n v="1801.2623188405796"/>
    <n v="18.687000000000001"/>
    <x v="2"/>
    <n v="1801.2623188405796"/>
    <n v="18.687000000000001"/>
  </r>
  <r>
    <x v="10"/>
    <x v="10"/>
    <n v="60886"/>
    <x v="90"/>
    <n v="3047.8782608695651"/>
    <n v="26.962"/>
    <n v="16102.34782608696"/>
    <n v="142.44400000000002"/>
    <n v="9"/>
    <n v="1789.1497584541066"/>
    <n v="15.827111111111114"/>
    <x v="1"/>
    <n v="1789.1497584541066"/>
    <n v="15.827111111111114"/>
  </r>
  <r>
    <x v="10"/>
    <x v="10"/>
    <n v="39216"/>
    <x v="91"/>
    <n v="2472.2956521739129"/>
    <n v="28.434000000000001"/>
    <n v="9665.0608695652154"/>
    <n v="102.509"/>
    <n v="6"/>
    <n v="1610.8434782608692"/>
    <n v="17.084833333333332"/>
    <x v="2"/>
    <n v="1610.8434782608692"/>
    <n v="17.084833333333332"/>
  </r>
  <r>
    <x v="10"/>
    <x v="10"/>
    <n v="52186"/>
    <x v="92"/>
    <n v="2048.130434782609"/>
    <n v="26.173999999999999"/>
    <n v="12719.904347826086"/>
    <n v="162.554"/>
    <n v="8"/>
    <n v="1589.9880434782608"/>
    <n v="20.31925"/>
    <x v="1"/>
    <n v="3179.9760869565216"/>
    <n v="40.638500000000001"/>
  </r>
  <r>
    <x v="10"/>
    <x v="10"/>
    <n v="34197"/>
    <x v="93"/>
    <n v="3341.2086956521734"/>
    <n v="32.023000000000003"/>
    <n v="10899.173913043476"/>
    <n v="104.46099999999998"/>
    <n v="7"/>
    <n v="1557.0248447204965"/>
    <n v="14.922999999999998"/>
    <x v="2"/>
    <n v="0"/>
    <n v="0"/>
  </r>
  <r>
    <x v="10"/>
    <x v="10"/>
    <n v="34198"/>
    <x v="94"/>
    <n v="2725.6260869565217"/>
    <n v="26.123999999999999"/>
    <n v="12137.121739130434"/>
    <n v="116.328"/>
    <n v="8"/>
    <n v="1517.1402173913043"/>
    <n v="14.541"/>
    <x v="1"/>
    <n v="3034.2804347826086"/>
    <n v="29.082000000000001"/>
  </r>
  <r>
    <x v="10"/>
    <x v="10"/>
    <n v="65748"/>
    <x v="95"/>
    <n v="1834.5391304347825"/>
    <n v="19.181999999999999"/>
    <n v="2757.6434782608694"/>
    <n v="28.833999999999996"/>
    <n v="2"/>
    <n v="1378.8217391304347"/>
    <n v="14.416999999999998"/>
    <x v="0"/>
    <n v="1378.8217391304347"/>
    <n v="14.416999999999998"/>
  </r>
  <r>
    <x v="10"/>
    <x v="10"/>
    <n v="11147"/>
    <x v="96"/>
    <n v="1823.1304347826085"/>
    <n v="20.966999999999999"/>
    <n v="10969.365217391303"/>
    <n v="126.15299999999999"/>
    <n v="8"/>
    <n v="1371.1706521739129"/>
    <n v="15.769124999999999"/>
    <x v="1"/>
    <n v="2742.3413043478258"/>
    <n v="31.538249999999998"/>
  </r>
  <r>
    <x v="10"/>
    <x v="10"/>
    <n v="34196"/>
    <x v="97"/>
    <n v="2042.0173913043475"/>
    <n v="19.571999999999999"/>
    <n v="4108.8782608695647"/>
    <n v="39.381"/>
    <n v="3"/>
    <n v="1369.6260869565215"/>
    <n v="13.127000000000001"/>
    <x v="0"/>
    <n v="0"/>
    <n v="0"/>
  </r>
  <r>
    <x v="10"/>
    <x v="10"/>
    <n v="34235"/>
    <x v="98"/>
    <n v="1947.8260869565217"/>
    <n v="22.401"/>
    <n v="10823.826086956522"/>
    <n v="124.479"/>
    <n v="8"/>
    <n v="1352.9782608695652"/>
    <n v="15.559875"/>
    <x v="1"/>
    <n v="2705.9565217391305"/>
    <n v="31.11975"/>
  </r>
  <r>
    <x v="10"/>
    <x v="10"/>
    <n v="32044"/>
    <x v="99"/>
    <n v="2743.4260869565219"/>
    <n v="24.398"/>
    <n v="4023.2173913043484"/>
    <n v="36.389000000000003"/>
    <n v="3"/>
    <n v="1341.0724637681162"/>
    <n v="12.129666666666667"/>
    <x v="0"/>
    <n v="0"/>
    <n v="0"/>
  </r>
  <r>
    <x v="10"/>
    <x v="10"/>
    <n v="44450"/>
    <x v="100"/>
    <n v="1909.4173913043478"/>
    <n v="24.402000000000001"/>
    <n v="10208.147826086957"/>
    <n v="129.20699999999999"/>
    <n v="8"/>
    <n v="1276.0184782608696"/>
    <n v="16.150874999999999"/>
    <x v="1"/>
    <n v="2552.0369565217393"/>
    <n v="32.301749999999998"/>
  </r>
  <r>
    <x v="10"/>
    <x v="10"/>
    <n v="65747"/>
    <x v="101"/>
    <n v="1289.1999999999998"/>
    <n v="13.478"/>
    <n v="2523.304347826087"/>
    <n v="26.381"/>
    <n v="2"/>
    <n v="1261.6521739130435"/>
    <n v="13.1905"/>
    <x v="0"/>
    <n v="1261.6521739130435"/>
    <n v="13.1905"/>
  </r>
  <r>
    <x v="10"/>
    <x v="10"/>
    <n v="32043"/>
    <x v="102"/>
    <n v="2131.3217391304352"/>
    <n v="18.853999999999999"/>
    <n v="9760.1739130434798"/>
    <n v="86.34"/>
    <n v="8"/>
    <n v="1220.021739130435"/>
    <n v="10.7925"/>
    <x v="1"/>
    <n v="2440.04347826087"/>
    <n v="21.585000000000001"/>
  </r>
  <r>
    <x v="10"/>
    <x v="10"/>
    <n v="34949"/>
    <x v="103"/>
    <n v="2213.1565217391308"/>
    <n v="19.577999999999999"/>
    <n v="10451.991304347826"/>
    <n v="92.46"/>
    <n v="9"/>
    <n v="1161.3323671497585"/>
    <n v="10.273333333333333"/>
    <x v="1"/>
    <n v="1161.3323671497585"/>
    <n v="10.273333333333333"/>
  </r>
  <r>
    <x v="10"/>
    <x v="10"/>
    <n v="46386"/>
    <x v="104"/>
    <n v="1848.3999999999999"/>
    <n v="16.352"/>
    <n v="6813.6434782608694"/>
    <n v="60.28"/>
    <n v="6"/>
    <n v="1135.6072463768116"/>
    <n v="10.046666666666667"/>
    <x v="2"/>
    <n v="1135.6072463768116"/>
    <n v="10.046666666666667"/>
  </r>
  <r>
    <x v="10"/>
    <x v="10"/>
    <n v="63735"/>
    <x v="105"/>
    <n v="1437.304347826087"/>
    <n v="11.808"/>
    <n v="2812.5478260869568"/>
    <n v="23.106000000000002"/>
    <n v="3"/>
    <n v="937.51594202898559"/>
    <n v="7.7020000000000008"/>
    <x v="0"/>
    <n v="0"/>
    <n v="0"/>
  </r>
  <r>
    <x v="10"/>
    <x v="10"/>
    <n v="47251"/>
    <x v="106"/>
    <n v="1254.9652173913043"/>
    <n v="13.122"/>
    <n v="5628.7304347826084"/>
    <n v="58.854000000000006"/>
    <n v="7"/>
    <n v="804.10434782608695"/>
    <n v="8.4077142857142864"/>
    <x v="2"/>
    <n v="0"/>
    <n v="0"/>
  </r>
  <r>
    <x v="10"/>
    <x v="10"/>
    <n v="45416"/>
    <x v="107"/>
    <n v="1189.1565217391303"/>
    <n v="11.79"/>
    <n v="6604.1913043478253"/>
    <n v="65.477999999999994"/>
    <n v="9"/>
    <n v="733.79903381642498"/>
    <n v="7.2753333333333323"/>
    <x v="1"/>
    <n v="733.79903381642498"/>
    <n v="7.2753333333333323"/>
  </r>
  <r>
    <x v="10"/>
    <x v="10"/>
    <n v="47745"/>
    <x v="108"/>
    <n v="1378.1391304347828"/>
    <n v="31.704999999999998"/>
    <n v="2663.6608695652176"/>
    <n v="61.279999999999994"/>
    <n v="5"/>
    <n v="532.73217391304354"/>
    <n v="12.255999999999998"/>
    <x v="2"/>
    <n v="1065.4643478260871"/>
    <n v="24.511999999999997"/>
  </r>
  <r>
    <x v="10"/>
    <x v="10"/>
    <n v="35005"/>
    <x v="109"/>
    <n v="860.77391304347839"/>
    <n v="11"/>
    <n v="1173.7826086956522"/>
    <n v="15"/>
    <n v="3"/>
    <n v="391.26086956521743"/>
    <n v="5"/>
    <x v="0"/>
    <n v="0"/>
    <n v="0"/>
  </r>
  <r>
    <x v="10"/>
    <x v="10"/>
    <n v="35003"/>
    <x v="109"/>
    <n v="565.10434782608695"/>
    <n v="13"/>
    <n v="3303.6869565217389"/>
    <n v="76"/>
    <n v="9"/>
    <n v="367.07632850241544"/>
    <n v="8.4444444444444446"/>
    <x v="1"/>
    <n v="367.07632850241544"/>
    <n v="8.4444444444444446"/>
  </r>
  <r>
    <x v="10"/>
    <x v="10"/>
    <n v="62607"/>
    <x v="110"/>
    <n v="417.33913043478253"/>
    <n v="6"/>
    <n v="2434.478260869565"/>
    <n v="35"/>
    <n v="7"/>
    <n v="347.78260869565213"/>
    <n v="5"/>
    <x v="2"/>
    <n v="0"/>
    <n v="0"/>
  </r>
  <r>
    <x v="10"/>
    <x v="10"/>
    <n v="47669"/>
    <x v="111"/>
    <n v="549.29565217391314"/>
    <n v="11.282"/>
    <n v="1454.7391304347827"/>
    <n v="29.878999999999998"/>
    <n v="5"/>
    <n v="290.94782608695652"/>
    <n v="5.9757999999999996"/>
    <x v="2"/>
    <n v="581.89565217391305"/>
    <n v="11.951599999999999"/>
  </r>
  <r>
    <x v="11"/>
    <x v="11"/>
    <n v="58339"/>
    <x v="112"/>
    <n v="677.5826086956522"/>
    <n v="78"/>
    <n v="3883.0695652173913"/>
    <n v="447"/>
    <n v="9"/>
    <n v="431.45217391304345"/>
    <n v="49.666666666666664"/>
    <x v="1"/>
    <n v="431.45217391304345"/>
    <n v="49.666666666666664"/>
  </r>
  <r>
    <x v="11"/>
    <x v="11"/>
    <n v="34383"/>
    <x v="113"/>
    <n v="599.79999999999995"/>
    <n v="23"/>
    <n v="2373.1217391304349"/>
    <n v="91"/>
    <n v="9"/>
    <n v="263.68019323671501"/>
    <n v="10.111111111111111"/>
    <x v="1"/>
    <n v="263.68019323671501"/>
    <n v="10.111111111111111"/>
  </r>
  <r>
    <x v="11"/>
    <x v="11"/>
    <n v="58340"/>
    <x v="114"/>
    <n v="286.66956521739138"/>
    <n v="33"/>
    <n v="2015.3739130434783"/>
    <n v="232"/>
    <n v="9"/>
    <n v="223.9304347826087"/>
    <n v="25.777777777777779"/>
    <x v="1"/>
    <n v="223.9304347826087"/>
    <n v="25.777777777777779"/>
  </r>
  <r>
    <x v="11"/>
    <x v="11"/>
    <n v="54428"/>
    <x v="115"/>
    <n v="203.47826086956522"/>
    <n v="18"/>
    <n v="1243.4782608695652"/>
    <n v="110"/>
    <n v="9"/>
    <n v="138.16425120772948"/>
    <n v="12.222222222222221"/>
    <x v="1"/>
    <n v="138.16425120772948"/>
    <n v="12.222222222222221"/>
  </r>
  <r>
    <x v="11"/>
    <x v="11"/>
    <n v="65605"/>
    <x v="116"/>
    <n v="106.22608695652174"/>
    <n v="1.018"/>
    <n v="106.22608695652174"/>
    <n v="1.018"/>
    <n v="1"/>
    <n v="106.22608695652174"/>
    <n v="1.018"/>
    <x v="0"/>
    <n v="212.45217391304348"/>
    <n v="2.036"/>
  </r>
  <r>
    <x v="11"/>
    <x v="11"/>
    <n v="34385"/>
    <x v="117"/>
    <n v="125.18260869565218"/>
    <n v="4"/>
    <n v="464.20869565217396"/>
    <n v="16"/>
    <n v="6"/>
    <n v="77.368115942028993"/>
    <n v="2.6666666666666665"/>
    <x v="2"/>
    <n v="77.368115942028993"/>
    <n v="2.6666666666666665"/>
  </r>
  <r>
    <x v="11"/>
    <x v="11"/>
    <n v="64641"/>
    <x v="118"/>
    <n v="40"/>
    <n v="0.23"/>
    <n v="40"/>
    <n v="0.23"/>
    <n v="1"/>
    <n v="40"/>
    <n v="0.23"/>
    <x v="0"/>
    <n v="80"/>
    <n v="0.46"/>
  </r>
  <r>
    <x v="12"/>
    <x v="12"/>
    <n v="53854"/>
    <x v="119"/>
    <n v="2961.6347826086958"/>
    <n v="8.5359999999999996"/>
    <n v="19159.008695652174"/>
    <n v="55.22"/>
    <n v="9"/>
    <n v="2128.7787439613526"/>
    <n v="6.1355555555555554"/>
    <x v="1"/>
    <n v="2128.7787439613526"/>
    <n v="6.1355555555555554"/>
  </r>
  <r>
    <x v="12"/>
    <x v="12"/>
    <n v="61155"/>
    <x v="120"/>
    <n v="2477.4347826086955"/>
    <n v="95"/>
    <n v="13378.147826086955"/>
    <n v="513"/>
    <n v="9"/>
    <n v="1486.4608695652173"/>
    <n v="57"/>
    <x v="1"/>
    <n v="1486.4608695652173"/>
    <n v="57"/>
  </r>
  <r>
    <x v="12"/>
    <x v="12"/>
    <n v="52933"/>
    <x v="121"/>
    <n v="1266.7739130434782"/>
    <n v="3.6419999999999999"/>
    <n v="7327.9913043478264"/>
    <n v="21.067999999999998"/>
    <n v="9"/>
    <n v="814.22125603864743"/>
    <n v="2.3408888888888888"/>
    <x v="1"/>
    <n v="814.22125603864743"/>
    <n v="2.3408888888888888"/>
  </r>
  <r>
    <x v="12"/>
    <x v="12"/>
    <n v="52937"/>
    <x v="122"/>
    <n v="1268.695652173913"/>
    <n v="2.9180000000000001"/>
    <n v="6954.8173913043483"/>
    <n v="16.335999999999999"/>
    <n v="9"/>
    <n v="772.75748792270542"/>
    <n v="1.8151111111111109"/>
    <x v="1"/>
    <n v="772.75748792270542"/>
    <n v="1.8151111111111109"/>
  </r>
  <r>
    <x v="12"/>
    <x v="12"/>
    <n v="60726"/>
    <x v="123"/>
    <n v="1108.1826086956523"/>
    <n v="3.194"/>
    <n v="6669.173913043478"/>
    <n v="19.221999999999998"/>
    <n v="9"/>
    <n v="741.01932367149755"/>
    <n v="2.1357777777777773"/>
    <x v="1"/>
    <n v="741.01932367149755"/>
    <n v="2.1357777777777773"/>
  </r>
  <r>
    <x v="12"/>
    <x v="12"/>
    <n v="59021"/>
    <x v="124"/>
    <n v="652.17391304347825"/>
    <n v="5"/>
    <n v="3443.4260869565219"/>
    <n v="26"/>
    <n v="9"/>
    <n v="382.60289855072466"/>
    <n v="2.8888888888888888"/>
    <x v="1"/>
    <n v="382.60289855072466"/>
    <n v="2.8888888888888888"/>
  </r>
  <r>
    <x v="12"/>
    <x v="12"/>
    <n v="53985"/>
    <x v="125"/>
    <n v="587.82608695652175"/>
    <n v="1.69"/>
    <n v="2698.434782608696"/>
    <n v="7.758"/>
    <n v="9"/>
    <n v="299.82608695652175"/>
    <n v="0.86199999999999999"/>
    <x v="1"/>
    <n v="299.82608695652175"/>
    <n v="0.86199999999999999"/>
  </r>
  <r>
    <x v="12"/>
    <x v="12"/>
    <n v="50186"/>
    <x v="126"/>
    <n v="491.30434782608694"/>
    <n v="1.4159999999999999"/>
    <n v="2695.1130434782608"/>
    <n v="7.7679999999999998"/>
    <n v="9"/>
    <n v="299.45700483091787"/>
    <n v="0.86311111111111105"/>
    <x v="1"/>
    <n v="299.45700483091787"/>
    <n v="0.86311111111111105"/>
  </r>
  <r>
    <x v="12"/>
    <x v="12"/>
    <n v="64449"/>
    <x v="127"/>
    <n v="573.87826086956522"/>
    <n v="1.6539999999999999"/>
    <n v="2682.652173913044"/>
    <n v="7.7320000000000002"/>
    <n v="9"/>
    <n v="298.07246376811599"/>
    <n v="0.85911111111111116"/>
    <x v="1"/>
    <n v="298.07246376811599"/>
    <n v="0.85911111111111116"/>
  </r>
  <r>
    <x v="12"/>
    <x v="12"/>
    <n v="59020"/>
    <x v="128"/>
    <n v="521.70434782608697"/>
    <n v="4"/>
    <n v="2512.8782608695651"/>
    <n v="19"/>
    <n v="9"/>
    <n v="279.2086956521739"/>
    <n v="2.1111111111111112"/>
    <x v="1"/>
    <n v="279.2086956521739"/>
    <n v="2.1111111111111112"/>
  </r>
  <r>
    <x v="12"/>
    <x v="12"/>
    <n v="65480"/>
    <x v="129"/>
    <n v="415.304347826087"/>
    <n v="1.194"/>
    <n v="1719.6521739130435"/>
    <n v="4.9440000000000008"/>
    <n v="9"/>
    <n v="191.07246376811594"/>
    <n v="0.54933333333333345"/>
    <x v="1"/>
    <n v="191.07246376811594"/>
    <n v="0.549333333333333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01ED5A-2088-4ADC-B6D1-0207555FC424}" name="PivotTable2" cacheId="0" applyNumberFormats="0" applyBorderFormats="0" applyFontFormats="0" applyPatternFormats="0" applyAlignmentFormats="0" applyWidthHeightFormats="1" dataCaption="Values" updatedVersion="8" minRefreshableVersion="3" showDrill="0" useAutoFormatting="1" fieldPrintTitles="1" itemPrintTitles="1" createdVersion="8" indent="0" outline="1" outlineData="1">
  <location ref="A4:K162" firstHeaderRow="0" firstDataRow="1" firstDataCol="2"/>
  <pivotFields count="14">
    <pivotField subtotalTop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Row" subtotalTop="0" showAll="0" insertPageBreak="1">
      <items count="14">
        <item x="1"/>
        <item x="12"/>
        <item x="7"/>
        <item x="10"/>
        <item x="0"/>
        <item x="8"/>
        <item x="9"/>
        <item x="11"/>
        <item x="6"/>
        <item x="2"/>
        <item x="3"/>
        <item x="4"/>
        <item x="5"/>
        <item t="default"/>
      </items>
    </pivotField>
    <pivotField subtotalTop="0" showAll="0"/>
    <pivotField axis="axisRow" outline="0" subtotalTop="0" showAll="0" defaultSubtotal="0">
      <items count="130">
        <item x="18"/>
        <item x="4"/>
        <item x="19"/>
        <item x="107"/>
        <item x="40"/>
        <item x="7"/>
        <item x="55"/>
        <item x="26"/>
        <item x="103"/>
        <item x="0"/>
        <item x="113"/>
        <item x="80"/>
        <item x="126"/>
        <item x="12"/>
        <item x="13"/>
        <item x="24"/>
        <item x="84"/>
        <item x="25"/>
        <item x="9"/>
        <item x="14"/>
        <item x="23"/>
        <item x="11"/>
        <item x="17"/>
        <item x="21"/>
        <item x="87"/>
        <item x="90"/>
        <item x="78"/>
        <item x="64"/>
        <item x="109"/>
        <item x="69"/>
        <item x="106"/>
        <item x="94"/>
        <item x="2"/>
        <item x="88"/>
        <item x="92"/>
        <item x="83"/>
        <item x="93"/>
        <item x="97"/>
        <item x="58"/>
        <item x="57"/>
        <item x="89"/>
        <item x="6"/>
        <item x="16"/>
        <item x="108"/>
        <item x="100"/>
        <item x="122"/>
        <item x="129"/>
        <item x="119"/>
        <item x="121"/>
        <item x="128"/>
        <item x="124"/>
        <item x="123"/>
        <item x="91"/>
        <item x="127"/>
        <item x="120"/>
        <item x="82"/>
        <item x="86"/>
        <item x="98"/>
        <item x="30"/>
        <item x="38"/>
        <item x="39"/>
        <item x="28"/>
        <item x="33"/>
        <item x="37"/>
        <item x="27"/>
        <item x="29"/>
        <item x="41"/>
        <item x="36"/>
        <item x="34"/>
        <item x="31"/>
        <item x="32"/>
        <item x="118"/>
        <item x="44"/>
        <item x="49"/>
        <item x="50"/>
        <item x="42"/>
        <item x="46"/>
        <item x="51"/>
        <item x="43"/>
        <item x="48"/>
        <item x="47"/>
        <item x="45"/>
        <item x="115"/>
        <item x="5"/>
        <item x="102"/>
        <item x="125"/>
        <item x="99"/>
        <item x="67"/>
        <item x="52"/>
        <item x="53"/>
        <item x="105"/>
        <item x="71"/>
        <item x="60"/>
        <item x="72"/>
        <item x="63"/>
        <item x="56"/>
        <item x="110"/>
        <item x="85"/>
        <item x="54"/>
        <item x="76"/>
        <item x="104"/>
        <item x="116"/>
        <item x="117"/>
        <item x="81"/>
        <item x="15"/>
        <item x="8"/>
        <item x="1"/>
        <item x="35"/>
        <item x="70"/>
        <item x="62"/>
        <item x="59"/>
        <item x="74"/>
        <item x="68"/>
        <item x="65"/>
        <item x="61"/>
        <item x="77"/>
        <item x="3"/>
        <item x="111"/>
        <item x="20"/>
        <item x="75"/>
        <item x="73"/>
        <item x="66"/>
        <item x="10"/>
        <item x="96"/>
        <item x="79"/>
        <item x="95"/>
        <item x="22"/>
        <item x="101"/>
        <item x="112"/>
        <item x="114"/>
      </items>
    </pivotField>
    <pivotField dataField="1" numFmtId="4" subtotalTop="0" showAll="0"/>
    <pivotField dataField="1" numFmtId="4" subtotalTop="0" showAll="0"/>
    <pivotField dataField="1" numFmtId="4" subtotalTop="0" showAll="0"/>
    <pivotField dataField="1" numFmtId="4" subtotalTop="0" showAll="0"/>
    <pivotField dataField="1" numFmtId="3" subtotalTop="0" showAll="0"/>
    <pivotField dataField="1" numFmtId="4" subtotalTop="0" showAll="0"/>
    <pivotField dataField="1" numFmtId="4" subtotalTop="0" showAll="0"/>
    <pivotField axis="axisRow" subtotalTop="0" multipleItemSelectionAllowed="1" showAll="0" defaultSubtotal="0">
      <items count="3">
        <item x="2"/>
        <item x="0"/>
        <item x="1"/>
      </items>
    </pivotField>
    <pivotField dataField="1" numFmtId="4" subtotalTop="0" showAll="0"/>
    <pivotField dataField="1" numFmtId="4" subtotalTop="0" showAll="0"/>
  </pivotFields>
  <rowFields count="3">
    <field x="1"/>
    <field x="3"/>
    <field x="11"/>
  </rowFields>
  <rowItems count="158">
    <i>
      <x/>
    </i>
    <i r="1">
      <x/>
      <x v="2"/>
    </i>
    <i r="1">
      <x v="1"/>
      <x v="2"/>
    </i>
    <i r="1">
      <x v="2"/>
      <x v="2"/>
    </i>
    <i r="1">
      <x v="5"/>
      <x v="2"/>
    </i>
    <i r="1">
      <x v="13"/>
      <x v="1"/>
    </i>
    <i r="1">
      <x v="14"/>
      <x/>
    </i>
    <i r="1">
      <x v="15"/>
      <x v="1"/>
    </i>
    <i r="1">
      <x v="17"/>
      <x v="1"/>
    </i>
    <i r="1">
      <x v="18"/>
      <x v="2"/>
    </i>
    <i r="1">
      <x v="19"/>
      <x/>
    </i>
    <i r="1">
      <x v="20"/>
      <x v="1"/>
    </i>
    <i r="1">
      <x v="21"/>
      <x v="2"/>
    </i>
    <i r="1">
      <x v="22"/>
      <x/>
    </i>
    <i r="1">
      <x v="23"/>
      <x v="1"/>
    </i>
    <i r="1">
      <x v="32"/>
      <x v="2"/>
    </i>
    <i r="1">
      <x v="41"/>
      <x v="2"/>
    </i>
    <i r="1">
      <x v="42"/>
      <x/>
    </i>
    <i r="1">
      <x v="83"/>
      <x/>
    </i>
    <i r="1">
      <x v="104"/>
      <x v="2"/>
    </i>
    <i r="1">
      <x v="105"/>
      <x/>
    </i>
    <i r="1">
      <x v="116"/>
      <x v="2"/>
    </i>
    <i r="1">
      <x v="118"/>
      <x/>
    </i>
    <i r="1">
      <x v="122"/>
      <x v="2"/>
    </i>
    <i r="1">
      <x v="126"/>
      <x/>
    </i>
    <i t="default">
      <x/>
    </i>
    <i>
      <x v="1"/>
    </i>
    <i r="1">
      <x v="12"/>
      <x v="2"/>
    </i>
    <i r="1">
      <x v="45"/>
      <x v="2"/>
    </i>
    <i r="1">
      <x v="46"/>
      <x v="2"/>
    </i>
    <i r="1">
      <x v="47"/>
      <x v="2"/>
    </i>
    <i r="1">
      <x v="48"/>
      <x v="2"/>
    </i>
    <i r="1">
      <x v="49"/>
      <x v="2"/>
    </i>
    <i r="1">
      <x v="50"/>
      <x v="2"/>
    </i>
    <i r="1">
      <x v="51"/>
      <x v="2"/>
    </i>
    <i r="1">
      <x v="53"/>
      <x v="2"/>
    </i>
    <i r="1">
      <x v="54"/>
      <x v="2"/>
    </i>
    <i r="1">
      <x v="85"/>
      <x v="2"/>
    </i>
    <i t="default">
      <x v="1"/>
    </i>
    <i>
      <x v="2"/>
    </i>
    <i r="1">
      <x v="11"/>
      <x v="1"/>
    </i>
    <i t="default">
      <x v="2"/>
    </i>
    <i>
      <x v="3"/>
    </i>
    <i r="1">
      <x v="3"/>
      <x v="2"/>
    </i>
    <i r="1">
      <x v="8"/>
      <x v="2"/>
    </i>
    <i r="1">
      <x v="16"/>
      <x v="2"/>
    </i>
    <i r="1">
      <x v="24"/>
      <x v="2"/>
    </i>
    <i r="1">
      <x v="25"/>
      <x v="2"/>
    </i>
    <i r="1">
      <x v="28"/>
      <x v="1"/>
    </i>
    <i r="2">
      <x v="2"/>
    </i>
    <i r="1">
      <x v="30"/>
      <x/>
    </i>
    <i r="1">
      <x v="31"/>
      <x v="2"/>
    </i>
    <i r="1">
      <x v="33"/>
      <x v="2"/>
    </i>
    <i r="1">
      <x v="34"/>
      <x v="2"/>
    </i>
    <i r="1">
      <x v="35"/>
      <x v="2"/>
    </i>
    <i r="1">
      <x v="36"/>
      <x/>
    </i>
    <i r="1">
      <x v="37"/>
      <x v="1"/>
    </i>
    <i r="1">
      <x v="40"/>
      <x/>
    </i>
    <i r="1">
      <x v="43"/>
      <x/>
    </i>
    <i r="1">
      <x v="44"/>
      <x v="2"/>
    </i>
    <i r="1">
      <x v="52"/>
      <x/>
    </i>
    <i r="1">
      <x v="56"/>
      <x v="2"/>
    </i>
    <i r="1">
      <x v="57"/>
      <x v="2"/>
    </i>
    <i r="1">
      <x v="84"/>
      <x v="2"/>
    </i>
    <i r="1">
      <x v="86"/>
      <x v="1"/>
    </i>
    <i r="1">
      <x v="90"/>
      <x v="1"/>
    </i>
    <i r="1">
      <x v="96"/>
      <x/>
    </i>
    <i r="1">
      <x v="97"/>
      <x/>
    </i>
    <i r="1">
      <x v="100"/>
      <x/>
    </i>
    <i r="1">
      <x v="117"/>
      <x/>
    </i>
    <i r="1">
      <x v="123"/>
      <x v="2"/>
    </i>
    <i r="1">
      <x v="125"/>
      <x v="1"/>
    </i>
    <i r="1">
      <x v="127"/>
      <x v="1"/>
    </i>
    <i t="default">
      <x v="3"/>
    </i>
    <i>
      <x v="4"/>
    </i>
    <i r="1">
      <x v="9"/>
      <x v="1"/>
    </i>
    <i r="1">
      <x v="106"/>
      <x v="1"/>
    </i>
    <i t="default">
      <x v="4"/>
    </i>
    <i>
      <x v="5"/>
    </i>
    <i r="1">
      <x v="103"/>
      <x v="2"/>
    </i>
    <i t="default">
      <x v="5"/>
    </i>
    <i>
      <x v="6"/>
    </i>
    <i r="1">
      <x v="55"/>
      <x v="2"/>
    </i>
    <i t="default">
      <x v="6"/>
    </i>
    <i>
      <x v="7"/>
    </i>
    <i r="1">
      <x v="10"/>
      <x v="2"/>
    </i>
    <i r="1">
      <x v="71"/>
      <x v="1"/>
    </i>
    <i r="1">
      <x v="82"/>
      <x v="2"/>
    </i>
    <i r="1">
      <x v="101"/>
      <x v="1"/>
    </i>
    <i r="1">
      <x v="102"/>
      <x/>
    </i>
    <i r="1">
      <x v="128"/>
      <x v="2"/>
    </i>
    <i r="1">
      <x v="129"/>
      <x v="2"/>
    </i>
    <i t="default">
      <x v="7"/>
    </i>
    <i>
      <x v="8"/>
    </i>
    <i r="1">
      <x v="124"/>
      <x v="2"/>
    </i>
    <i t="default">
      <x v="8"/>
    </i>
    <i>
      <x v="9"/>
    </i>
    <i r="1">
      <x v="4"/>
      <x/>
    </i>
    <i r="1">
      <x v="7"/>
      <x/>
    </i>
    <i r="1">
      <x v="58"/>
      <x v="2"/>
    </i>
    <i r="1">
      <x v="59"/>
      <x/>
    </i>
    <i r="1">
      <x v="60"/>
      <x/>
    </i>
    <i r="1">
      <x v="61"/>
      <x v="2"/>
    </i>
    <i r="1">
      <x v="62"/>
      <x v="2"/>
    </i>
    <i r="1">
      <x v="63"/>
      <x/>
    </i>
    <i r="1">
      <x v="64"/>
      <x v="1"/>
    </i>
    <i r="1">
      <x v="65"/>
      <x v="2"/>
    </i>
    <i r="1">
      <x v="66"/>
      <x v="1"/>
    </i>
    <i r="1">
      <x v="67"/>
      <x v="2"/>
    </i>
    <i r="1">
      <x v="68"/>
      <x v="2"/>
    </i>
    <i r="1">
      <x v="69"/>
      <x v="2"/>
    </i>
    <i r="1">
      <x v="70"/>
      <x v="2"/>
    </i>
    <i r="1">
      <x v="107"/>
      <x v="2"/>
    </i>
    <i t="default">
      <x v="9"/>
    </i>
    <i>
      <x v="10"/>
    </i>
    <i r="1">
      <x v="72"/>
      <x v="2"/>
    </i>
    <i r="1">
      <x v="73"/>
      <x v="2"/>
    </i>
    <i r="1">
      <x v="74"/>
      <x v="1"/>
    </i>
    <i r="1">
      <x v="75"/>
      <x v="2"/>
    </i>
    <i r="1">
      <x v="76"/>
      <x v="1"/>
    </i>
    <i r="1">
      <x v="77"/>
      <x v="2"/>
    </i>
    <i r="1">
      <x v="78"/>
      <x v="2"/>
    </i>
    <i r="1">
      <x v="79"/>
      <x/>
    </i>
    <i r="1">
      <x v="80"/>
      <x v="2"/>
    </i>
    <i r="1">
      <x v="81"/>
      <x v="2"/>
    </i>
    <i t="default">
      <x v="10"/>
    </i>
    <i>
      <x v="11"/>
    </i>
    <i r="1">
      <x v="88"/>
      <x v="2"/>
    </i>
    <i r="1">
      <x v="89"/>
      <x v="2"/>
    </i>
    <i r="1">
      <x v="98"/>
      <x v="2"/>
    </i>
    <i t="default">
      <x v="11"/>
    </i>
    <i>
      <x v="12"/>
    </i>
    <i r="1">
      <x v="6"/>
      <x v="2"/>
    </i>
    <i r="1">
      <x v="26"/>
      <x v="2"/>
    </i>
    <i r="1">
      <x v="27"/>
      <x v="2"/>
    </i>
    <i r="1">
      <x v="29"/>
      <x v="2"/>
    </i>
    <i r="1">
      <x v="38"/>
      <x v="1"/>
    </i>
    <i r="1">
      <x v="39"/>
      <x v="2"/>
    </i>
    <i r="1">
      <x v="87"/>
      <x v="2"/>
    </i>
    <i r="1">
      <x v="91"/>
      <x/>
    </i>
    <i r="1">
      <x v="92"/>
      <x v="2"/>
    </i>
    <i r="1">
      <x v="93"/>
      <x v="1"/>
    </i>
    <i r="1">
      <x v="94"/>
      <x/>
    </i>
    <i r="1">
      <x v="95"/>
      <x v="2"/>
    </i>
    <i r="1">
      <x v="99"/>
      <x v="1"/>
    </i>
    <i r="1">
      <x v="108"/>
      <x/>
    </i>
    <i r="1">
      <x v="109"/>
      <x v="2"/>
    </i>
    <i r="1">
      <x v="110"/>
      <x v="2"/>
    </i>
    <i r="1">
      <x v="111"/>
      <x/>
    </i>
    <i r="1">
      <x v="112"/>
      <x/>
    </i>
    <i r="1">
      <x v="113"/>
      <x/>
    </i>
    <i r="1">
      <x v="114"/>
      <x v="2"/>
    </i>
    <i r="1">
      <x v="115"/>
      <x v="2"/>
    </i>
    <i r="1">
      <x v="119"/>
      <x v="1"/>
    </i>
    <i r="1">
      <x v="120"/>
      <x/>
    </i>
    <i r="1">
      <x v="121"/>
      <x v="2"/>
    </i>
    <i t="default">
      <x v="12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9 week total sales" fld="6" baseField="0" baseItem="0" numFmtId="4"/>
    <dataField name="9 week total qty" fld="7" baseField="0" baseItem="0" numFmtId="3"/>
    <dataField name="Max of Weekly sales" fld="4" baseField="0" baseItem="0" numFmtId="4"/>
    <dataField name="Max of weekly QTY" fld="5" baseField="11" baseItem="2" numFmtId="3"/>
    <dataField name="No of weeks with sales" fld="8" baseField="0" baseItem="0" numFmtId="3"/>
    <dataField name="Average sale per week for weeks with actual sales" fld="9" baseField="0" baseItem="0" numFmtId="4"/>
    <dataField name="Average quantity  per week for weeks with actual sales" fld="10" baseField="11" baseItem="2" numFmtId="3"/>
    <dataField name="Stretch Sales per week" fld="12" baseField="1" baseItem="0" numFmtId="4"/>
    <dataField name="Stretch Qty per week" fld="13" baseField="1" baseItem="0" numFmtId="3"/>
  </dataFields>
  <formats count="72">
    <format dxfId="75">
      <pivotArea field="0" type="button" dataOnly="0" labelOnly="1" outline="0"/>
    </format>
    <format dxfId="74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73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7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1">
      <pivotArea outline="0" collapsedLevelsAreSubtotals="1" fieldPosition="0">
        <references count="1">
          <reference field="4294967294" count="2" selected="0">
            <x v="2"/>
            <x v="3"/>
          </reference>
        </references>
      </pivotArea>
    </format>
    <format dxfId="70">
      <pivotArea dataOnly="0" labelOnly="1" outline="0" fieldPosition="0">
        <references count="1">
          <reference field="4294967294" count="2">
            <x v="2"/>
            <x v="3"/>
          </reference>
        </references>
      </pivotArea>
    </format>
    <format dxfId="69">
      <pivotArea outline="0" collapsedLevelsAreSubtotals="1" fieldPosition="0">
        <references count="1">
          <reference field="4294967294" count="3" selected="0">
            <x v="4"/>
            <x v="5"/>
            <x v="6"/>
          </reference>
        </references>
      </pivotArea>
    </format>
    <format dxfId="68">
      <pivotArea dataOnly="0" labelOnly="1" outline="0" fieldPosition="0">
        <references count="1">
          <reference field="4294967294" count="3">
            <x v="4"/>
            <x v="5"/>
            <x v="6"/>
          </reference>
        </references>
      </pivotArea>
    </format>
    <format dxfId="67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66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65">
      <pivotArea field="1" type="button" dataOnly="0" labelOnly="1" outline="0" axis="axisRow" fieldPosition="0"/>
    </format>
    <format dxfId="64">
      <pivotArea dataOnly="0" labelOnly="1" fieldPosition="0">
        <references count="1">
          <reference field="1" count="0"/>
        </references>
      </pivotArea>
    </format>
    <format dxfId="63">
      <pivotArea dataOnly="0" labelOnly="1" grandRow="1" outline="0" fieldPosition="0"/>
    </format>
    <format dxfId="62">
      <pivotArea dataOnly="0" labelOnly="1" fieldPosition="0">
        <references count="2">
          <reference field="1" count="1" selected="0">
            <x v="0"/>
          </reference>
          <reference field="3" count="24">
            <x v="0"/>
            <x v="1"/>
            <x v="2"/>
            <x v="5"/>
            <x v="13"/>
            <x v="14"/>
            <x v="15"/>
            <x v="17"/>
            <x v="18"/>
            <x v="19"/>
            <x v="20"/>
            <x v="21"/>
            <x v="22"/>
            <x v="23"/>
            <x v="32"/>
            <x v="41"/>
            <x v="42"/>
            <x v="83"/>
            <x v="104"/>
            <x v="105"/>
            <x v="116"/>
            <x v="118"/>
            <x v="122"/>
            <x v="126"/>
          </reference>
        </references>
      </pivotArea>
    </format>
    <format dxfId="61">
      <pivotArea dataOnly="0" labelOnly="1" fieldPosition="0">
        <references count="2">
          <reference field="1" count="1" selected="0">
            <x v="1"/>
          </reference>
          <reference field="3" count="11">
            <x v="12"/>
            <x v="45"/>
            <x v="46"/>
            <x v="47"/>
            <x v="48"/>
            <x v="49"/>
            <x v="50"/>
            <x v="51"/>
            <x v="53"/>
            <x v="54"/>
            <x v="85"/>
          </reference>
        </references>
      </pivotArea>
    </format>
    <format dxfId="60">
      <pivotArea dataOnly="0" labelOnly="1" fieldPosition="0">
        <references count="2">
          <reference field="1" count="1" selected="0">
            <x v="3"/>
          </reference>
          <reference field="3" count="29">
            <x v="3"/>
            <x v="8"/>
            <x v="16"/>
            <x v="24"/>
            <x v="25"/>
            <x v="28"/>
            <x v="30"/>
            <x v="31"/>
            <x v="33"/>
            <x v="34"/>
            <x v="35"/>
            <x v="36"/>
            <x v="37"/>
            <x v="40"/>
            <x v="43"/>
            <x v="44"/>
            <x v="52"/>
            <x v="56"/>
            <x v="57"/>
            <x v="84"/>
            <x v="86"/>
            <x v="90"/>
            <x v="96"/>
            <x v="97"/>
            <x v="100"/>
            <x v="117"/>
            <x v="123"/>
            <x v="125"/>
            <x v="127"/>
          </reference>
        </references>
      </pivotArea>
    </format>
    <format dxfId="59">
      <pivotArea dataOnly="0" labelOnly="1" fieldPosition="0">
        <references count="2">
          <reference field="1" count="1" selected="0">
            <x v="4"/>
          </reference>
          <reference field="3" count="2">
            <x v="9"/>
            <x v="106"/>
          </reference>
        </references>
      </pivotArea>
    </format>
    <format dxfId="58">
      <pivotArea dataOnly="0" labelOnly="1" fieldPosition="0">
        <references count="2">
          <reference field="1" count="1" selected="0">
            <x v="5"/>
          </reference>
          <reference field="3" count="1">
            <x v="103"/>
          </reference>
        </references>
      </pivotArea>
    </format>
    <format dxfId="57">
      <pivotArea dataOnly="0" labelOnly="1" fieldPosition="0">
        <references count="2">
          <reference field="1" count="1" selected="0">
            <x v="6"/>
          </reference>
          <reference field="3" count="1">
            <x v="55"/>
          </reference>
        </references>
      </pivotArea>
    </format>
    <format dxfId="56">
      <pivotArea dataOnly="0" labelOnly="1" fieldPosition="0">
        <references count="2">
          <reference field="1" count="1" selected="0">
            <x v="7"/>
          </reference>
          <reference field="3" count="7">
            <x v="10"/>
            <x v="71"/>
            <x v="82"/>
            <x v="101"/>
            <x v="102"/>
            <x v="128"/>
            <x v="129"/>
          </reference>
        </references>
      </pivotArea>
    </format>
    <format dxfId="55">
      <pivotArea dataOnly="0" labelOnly="1" fieldPosition="0">
        <references count="2">
          <reference field="1" count="1" selected="0">
            <x v="8"/>
          </reference>
          <reference field="3" count="1">
            <x v="124"/>
          </reference>
        </references>
      </pivotArea>
    </format>
    <format dxfId="54">
      <pivotArea dataOnly="0" labelOnly="1" fieldPosition="0">
        <references count="2">
          <reference field="1" count="1" selected="0">
            <x v="9"/>
          </reference>
          <reference field="3" count="16">
            <x v="4"/>
            <x v="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107"/>
          </reference>
        </references>
      </pivotArea>
    </format>
    <format dxfId="53">
      <pivotArea dataOnly="0" labelOnly="1" fieldPosition="0">
        <references count="2">
          <reference field="1" count="1" selected="0">
            <x v="10"/>
          </reference>
          <reference field="3" count="10">
            <x v="72"/>
            <x v="73"/>
            <x v="74"/>
            <x v="75"/>
            <x v="76"/>
            <x v="77"/>
            <x v="78"/>
            <x v="79"/>
            <x v="80"/>
            <x v="81"/>
          </reference>
        </references>
      </pivotArea>
    </format>
    <format dxfId="52">
      <pivotArea dataOnly="0" labelOnly="1" fieldPosition="0">
        <references count="2">
          <reference field="1" count="1" selected="0">
            <x v="11"/>
          </reference>
          <reference field="3" count="3">
            <x v="88"/>
            <x v="89"/>
            <x v="98"/>
          </reference>
        </references>
      </pivotArea>
    </format>
    <format dxfId="51">
      <pivotArea dataOnly="0" labelOnly="1" fieldPosition="0">
        <references count="2">
          <reference field="1" count="1" selected="0">
            <x v="12"/>
          </reference>
          <reference field="3" count="24">
            <x v="6"/>
            <x v="26"/>
            <x v="27"/>
            <x v="29"/>
            <x v="38"/>
            <x v="39"/>
            <x v="87"/>
            <x v="91"/>
            <x v="92"/>
            <x v="93"/>
            <x v="94"/>
            <x v="95"/>
            <x v="99"/>
            <x v="108"/>
            <x v="109"/>
            <x v="110"/>
            <x v="111"/>
            <x v="112"/>
            <x v="113"/>
            <x v="114"/>
            <x v="115"/>
            <x v="119"/>
            <x v="120"/>
            <x v="121"/>
          </reference>
        </references>
      </pivotArea>
    </format>
    <format dxfId="50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49">
      <pivotArea collapsedLevelsAreSubtotals="1" fieldPosition="0">
        <references count="1">
          <reference field="1" count="1">
            <x v="0"/>
          </reference>
        </references>
      </pivotArea>
    </format>
    <format dxfId="48">
      <pivotArea dataOnly="0" labelOnly="1" fieldPosition="0">
        <references count="1">
          <reference field="1" count="1">
            <x v="0"/>
          </reference>
        </references>
      </pivotArea>
    </format>
    <format dxfId="47">
      <pivotArea collapsedLevelsAreSubtotals="1" fieldPosition="0">
        <references count="1">
          <reference field="1" count="1">
            <x v="0"/>
          </reference>
        </references>
      </pivotArea>
    </format>
    <format dxfId="46">
      <pivotArea dataOnly="0" labelOnly="1" fieldPosition="0">
        <references count="1">
          <reference field="1" count="1">
            <x v="0"/>
          </reference>
        </references>
      </pivotArea>
    </format>
    <format dxfId="45">
      <pivotArea field="1" type="button" dataOnly="0" labelOnly="1" outline="0" axis="axisRow" fieldPosition="0"/>
    </format>
    <format dxfId="44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43">
      <pivotArea collapsedLevelsAreSubtotals="1" fieldPosition="0">
        <references count="1">
          <reference field="1" count="1">
            <x v="1"/>
          </reference>
        </references>
      </pivotArea>
    </format>
    <format dxfId="42">
      <pivotArea dataOnly="0" labelOnly="1" fieldPosition="0">
        <references count="1">
          <reference field="1" count="1">
            <x v="1"/>
          </reference>
        </references>
      </pivotArea>
    </format>
    <format dxfId="41">
      <pivotArea collapsedLevelsAreSubtotals="1" fieldPosition="0">
        <references count="1">
          <reference field="1" count="1">
            <x v="2"/>
          </reference>
        </references>
      </pivotArea>
    </format>
    <format dxfId="40">
      <pivotArea dataOnly="0" labelOnly="1" fieldPosition="0">
        <references count="1">
          <reference field="1" count="1">
            <x v="2"/>
          </reference>
        </references>
      </pivotArea>
    </format>
    <format dxfId="39">
      <pivotArea collapsedLevelsAreSubtotals="1" fieldPosition="0">
        <references count="1">
          <reference field="1" count="1">
            <x v="3"/>
          </reference>
        </references>
      </pivotArea>
    </format>
    <format dxfId="38">
      <pivotArea dataOnly="0" labelOnly="1" fieldPosition="0">
        <references count="1">
          <reference field="1" count="1">
            <x v="3"/>
          </reference>
        </references>
      </pivotArea>
    </format>
    <format dxfId="37">
      <pivotArea collapsedLevelsAreSubtotals="1" fieldPosition="0">
        <references count="1">
          <reference field="1" count="1">
            <x v="4"/>
          </reference>
        </references>
      </pivotArea>
    </format>
    <format dxfId="36">
      <pivotArea dataOnly="0" labelOnly="1" fieldPosition="0">
        <references count="1">
          <reference field="1" count="1">
            <x v="4"/>
          </reference>
        </references>
      </pivotArea>
    </format>
    <format dxfId="35">
      <pivotArea collapsedLevelsAreSubtotals="1" fieldPosition="0">
        <references count="1">
          <reference field="1" count="1">
            <x v="5"/>
          </reference>
        </references>
      </pivotArea>
    </format>
    <format dxfId="34">
      <pivotArea dataOnly="0" labelOnly="1" fieldPosition="0">
        <references count="1">
          <reference field="1" count="1">
            <x v="5"/>
          </reference>
        </references>
      </pivotArea>
    </format>
    <format dxfId="33">
      <pivotArea collapsedLevelsAreSubtotals="1" fieldPosition="0">
        <references count="1">
          <reference field="1" count="1">
            <x v="6"/>
          </reference>
        </references>
      </pivotArea>
    </format>
    <format dxfId="32">
      <pivotArea dataOnly="0" labelOnly="1" fieldPosition="0">
        <references count="1">
          <reference field="1" count="1">
            <x v="6"/>
          </reference>
        </references>
      </pivotArea>
    </format>
    <format dxfId="31">
      <pivotArea collapsedLevelsAreSubtotals="1" fieldPosition="0">
        <references count="1">
          <reference field="1" count="1">
            <x v="7"/>
          </reference>
        </references>
      </pivotArea>
    </format>
    <format dxfId="30">
      <pivotArea dataOnly="0" labelOnly="1" fieldPosition="0">
        <references count="1">
          <reference field="1" count="1">
            <x v="7"/>
          </reference>
        </references>
      </pivotArea>
    </format>
    <format dxfId="29">
      <pivotArea collapsedLevelsAreSubtotals="1" fieldPosition="0">
        <references count="1">
          <reference field="1" count="1">
            <x v="8"/>
          </reference>
        </references>
      </pivotArea>
    </format>
    <format dxfId="28">
      <pivotArea dataOnly="0" labelOnly="1" fieldPosition="0">
        <references count="1">
          <reference field="1" count="1">
            <x v="8"/>
          </reference>
        </references>
      </pivotArea>
    </format>
    <format dxfId="27">
      <pivotArea collapsedLevelsAreSubtotals="1" fieldPosition="0">
        <references count="2">
          <reference field="1" count="1" selected="0">
            <x v="8"/>
          </reference>
          <reference field="3" count="1">
            <x v="124"/>
          </reference>
        </references>
      </pivotArea>
    </format>
    <format dxfId="26">
      <pivotArea collapsedLevelsAreSubtotals="1" fieldPosition="0">
        <references count="1">
          <reference field="1" count="1">
            <x v="9"/>
          </reference>
        </references>
      </pivotArea>
    </format>
    <format dxfId="25">
      <pivotArea dataOnly="0" labelOnly="1" fieldPosition="0">
        <references count="1">
          <reference field="1" count="1">
            <x v="9"/>
          </reference>
        </references>
      </pivotArea>
    </format>
    <format dxfId="24">
      <pivotArea dataOnly="0" labelOnly="1" fieldPosition="0">
        <references count="2">
          <reference field="1" count="1" selected="0">
            <x v="8"/>
          </reference>
          <reference field="3" count="1">
            <x v="124"/>
          </reference>
        </references>
      </pivotArea>
    </format>
    <format dxfId="23">
      <pivotArea collapsedLevelsAreSubtotals="1" fieldPosition="0">
        <references count="1">
          <reference field="1" count="1">
            <x v="10"/>
          </reference>
        </references>
      </pivotArea>
    </format>
    <format dxfId="22">
      <pivotArea dataOnly="0" labelOnly="1" fieldPosition="0">
        <references count="1">
          <reference field="1" count="1">
            <x v="10"/>
          </reference>
        </references>
      </pivotArea>
    </format>
    <format dxfId="21">
      <pivotArea collapsedLevelsAreSubtotals="1" fieldPosition="0">
        <references count="1">
          <reference field="1" count="1">
            <x v="11"/>
          </reference>
        </references>
      </pivotArea>
    </format>
    <format dxfId="20">
      <pivotArea dataOnly="0" labelOnly="1" fieldPosition="0">
        <references count="1">
          <reference field="1" count="1">
            <x v="11"/>
          </reference>
        </references>
      </pivotArea>
    </format>
    <format dxfId="19">
      <pivotArea collapsedLevelsAreSubtotals="1" fieldPosition="0">
        <references count="1">
          <reference field="1" count="1">
            <x v="12"/>
          </reference>
        </references>
      </pivotArea>
    </format>
    <format dxfId="18">
      <pivotArea dataOnly="0" labelOnly="1" fieldPosition="0">
        <references count="1">
          <reference field="1" count="1">
            <x v="12"/>
          </reference>
        </references>
      </pivotArea>
    </format>
    <format dxfId="17">
      <pivotArea grandRow="1" outline="0" collapsedLevelsAreSubtotals="1" fieldPosition="0"/>
    </format>
    <format dxfId="16">
      <pivotArea dataOnly="0" labelOnly="1" grandRow="1" outline="0" fieldPosition="0"/>
    </format>
    <format dxfId="15">
      <pivotArea grandRow="1" outline="0" collapsedLevelsAreSubtotals="1" fieldPosition="0"/>
    </format>
    <format dxfId="14">
      <pivotArea dataOnly="0" labelOnly="1" grandRow="1" outline="0" fieldPosition="0"/>
    </format>
    <format dxfId="13">
      <pivotArea field="11" type="button" dataOnly="0" labelOnly="1" outline="0" axis="axisRow" fieldPosition="2"/>
    </format>
    <format dxfId="12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1">
      <pivotArea outline="0" fieldPosition="0">
        <references count="1">
          <reference field="4294967294" count="1">
            <x v="6"/>
          </reference>
        </references>
      </pivotArea>
    </format>
    <format dxfId="10">
      <pivotArea outline="0" fieldPosition="0">
        <references count="1">
          <reference field="4294967294" count="1">
            <x v="8"/>
          </reference>
        </references>
      </pivotArea>
    </format>
    <format dxfId="9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8">
      <pivotArea outline="0" collapsedLevelsAreSubtotals="1" fieldPosition="0">
        <references count="1">
          <reference field="4294967294" count="2" selected="0">
            <x v="7"/>
            <x v="8"/>
          </reference>
        </references>
      </pivotArea>
    </format>
    <format dxfId="7">
      <pivotArea dataOnly="0" labelOnly="1" outline="0" fieldPosition="0">
        <references count="1">
          <reference field="4294967294" count="2">
            <x v="7"/>
            <x v="8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5">
      <pivotArea outline="0" fieldPosition="0">
        <references count="1">
          <reference field="4294967294" count="1">
            <x v="3"/>
          </reference>
        </references>
      </pivotArea>
    </format>
    <format dxfId="4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92506-225F-40D6-A51B-F378008AD685}">
  <dimension ref="A1:AE554"/>
  <sheetViews>
    <sheetView workbookViewId="0">
      <pane xSplit="5" topLeftCell="F1" activePane="topRight" state="frozenSplit"/>
      <selection pane="topRight" activeCell="A14" sqref="A14:XFD14"/>
    </sheetView>
  </sheetViews>
  <sheetFormatPr defaultColWidth="10.69921875" defaultRowHeight="16.5" customHeight="1" x14ac:dyDescent="0.35"/>
  <cols>
    <col min="1" max="1" width="6.796875" style="1" customWidth="1"/>
    <col min="2" max="2" width="27.296875" style="1" bestFit="1" customWidth="1"/>
    <col min="3" max="3" width="9.796875" style="1" customWidth="1"/>
    <col min="4" max="4" width="28.19921875" style="1" customWidth="1"/>
    <col min="5" max="5" width="7.796875" style="1" customWidth="1"/>
    <col min="6" max="6" width="12.69921875" style="1" customWidth="1"/>
    <col min="7" max="7" width="12.69921875" style="11" customWidth="1"/>
    <col min="8" max="8" width="12.69921875" style="1" customWidth="1"/>
    <col min="9" max="9" width="12.69921875" style="11" customWidth="1"/>
    <col min="10" max="10" width="12.69921875" style="1" customWidth="1"/>
    <col min="11" max="11" width="12.69921875" style="11" customWidth="1"/>
    <col min="12" max="12" width="12.69921875" style="1" customWidth="1"/>
    <col min="13" max="13" width="12.69921875" style="11" customWidth="1"/>
    <col min="14" max="14" width="12.69921875" style="1" customWidth="1"/>
    <col min="15" max="15" width="12.69921875" style="11" customWidth="1"/>
    <col min="16" max="16" width="12.69921875" style="1" customWidth="1"/>
    <col min="17" max="17" width="12.69921875" style="11" customWidth="1"/>
    <col min="18" max="18" width="12.69921875" style="1" customWidth="1"/>
    <col min="19" max="19" width="12.69921875" style="11" customWidth="1"/>
    <col min="20" max="20" width="12.69921875" style="1" customWidth="1"/>
    <col min="21" max="21" width="12.69921875" style="11" customWidth="1"/>
    <col min="22" max="22" width="12.69921875" style="1" customWidth="1"/>
    <col min="23" max="23" width="12.69921875" style="11" customWidth="1"/>
    <col min="24" max="24" width="15.5" style="9" bestFit="1" customWidth="1"/>
    <col min="25" max="25" width="15" style="11" customWidth="1"/>
    <col min="26" max="26" width="12.69921875" style="1" bestFit="1" customWidth="1"/>
    <col min="27" max="27" width="12.69921875" style="1" customWidth="1"/>
    <col min="28" max="28" width="14.296875" style="1" bestFit="1" customWidth="1"/>
    <col min="29" max="29" width="11.19921875" style="10" bestFit="1" customWidth="1"/>
    <col min="30" max="30" width="11.796875" style="10" bestFit="1" customWidth="1"/>
    <col min="31" max="16384" width="10.69921875" style="1"/>
  </cols>
  <sheetData>
    <row r="1" spans="1:31" ht="16.5" customHeight="1" x14ac:dyDescent="0.35">
      <c r="A1" s="2"/>
      <c r="B1" s="2"/>
      <c r="C1" s="2"/>
      <c r="D1" s="2"/>
      <c r="E1" s="2"/>
      <c r="F1" s="2" t="s">
        <v>0</v>
      </c>
      <c r="G1" s="12"/>
      <c r="H1" s="7" t="s">
        <v>1</v>
      </c>
      <c r="I1" s="12"/>
      <c r="J1" s="7" t="s">
        <v>2</v>
      </c>
      <c r="K1" s="12"/>
      <c r="L1" s="7" t="s">
        <v>3</v>
      </c>
      <c r="M1" s="12"/>
      <c r="N1" s="7" t="s">
        <v>4</v>
      </c>
      <c r="O1" s="12"/>
      <c r="P1" s="7" t="s">
        <v>5</v>
      </c>
      <c r="Q1" s="12"/>
      <c r="R1" s="7" t="s">
        <v>6</v>
      </c>
      <c r="S1" s="12"/>
      <c r="T1" s="7" t="s">
        <v>7</v>
      </c>
      <c r="U1" s="12"/>
      <c r="V1" s="7" t="s">
        <v>8</v>
      </c>
      <c r="W1" s="12"/>
      <c r="X1" s="77" t="s">
        <v>539</v>
      </c>
      <c r="Y1" s="78"/>
    </row>
    <row r="2" spans="1:31" ht="33" customHeight="1" x14ac:dyDescent="0.35">
      <c r="A2" s="3" t="s">
        <v>9</v>
      </c>
      <c r="B2" s="3" t="s">
        <v>591</v>
      </c>
      <c r="C2" s="3" t="s">
        <v>10</v>
      </c>
      <c r="D2" s="3" t="s">
        <v>11</v>
      </c>
      <c r="E2" s="3" t="s">
        <v>12</v>
      </c>
      <c r="F2" s="3" t="s">
        <v>13</v>
      </c>
      <c r="G2" s="13" t="s">
        <v>14</v>
      </c>
      <c r="H2" s="8" t="s">
        <v>13</v>
      </c>
      <c r="I2" s="13" t="s">
        <v>14</v>
      </c>
      <c r="J2" s="8" t="s">
        <v>13</v>
      </c>
      <c r="K2" s="13" t="s">
        <v>14</v>
      </c>
      <c r="L2" s="8" t="s">
        <v>13</v>
      </c>
      <c r="M2" s="13" t="s">
        <v>14</v>
      </c>
      <c r="N2" s="8" t="s">
        <v>13</v>
      </c>
      <c r="O2" s="13" t="s">
        <v>14</v>
      </c>
      <c r="P2" s="8" t="s">
        <v>13</v>
      </c>
      <c r="Q2" s="13" t="s">
        <v>14</v>
      </c>
      <c r="R2" s="8" t="s">
        <v>13</v>
      </c>
      <c r="S2" s="13" t="s">
        <v>14</v>
      </c>
      <c r="T2" s="8" t="s">
        <v>13</v>
      </c>
      <c r="U2" s="13" t="s">
        <v>14</v>
      </c>
      <c r="V2" s="8" t="s">
        <v>13</v>
      </c>
      <c r="W2" s="13" t="s">
        <v>14</v>
      </c>
      <c r="X2" s="15" t="s">
        <v>532</v>
      </c>
      <c r="Y2" s="16" t="s">
        <v>533</v>
      </c>
      <c r="Z2" s="8" t="s">
        <v>534</v>
      </c>
      <c r="AA2" s="8" t="s">
        <v>538</v>
      </c>
      <c r="AB2" s="8" t="s">
        <v>535</v>
      </c>
      <c r="AC2" s="13" t="s">
        <v>536</v>
      </c>
      <c r="AD2" s="13" t="s">
        <v>537</v>
      </c>
      <c r="AE2" s="13" t="s">
        <v>544</v>
      </c>
    </row>
    <row r="3" spans="1:31" ht="16.5" customHeight="1" x14ac:dyDescent="0.35">
      <c r="A3" s="4">
        <v>201</v>
      </c>
      <c r="B3" s="4" t="str">
        <f>LOOKUP(A3,Lookup!$A$1:$A$34,Lookup!$B$1:$B$34)</f>
        <v>BUTCHERY</v>
      </c>
      <c r="C3" s="5">
        <v>11141</v>
      </c>
      <c r="D3" s="6" t="s">
        <v>15</v>
      </c>
      <c r="E3" s="4">
        <v>2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7">
        <v>0</v>
      </c>
      <c r="Y3" s="18">
        <v>0</v>
      </c>
      <c r="Z3" s="14">
        <v>0</v>
      </c>
      <c r="AA3" s="14">
        <v>0</v>
      </c>
      <c r="AB3" s="23">
        <v>0</v>
      </c>
      <c r="AC3" s="10">
        <v>0</v>
      </c>
      <c r="AD3" s="10">
        <v>0</v>
      </c>
      <c r="AE3" s="1" t="s">
        <v>540</v>
      </c>
    </row>
    <row r="4" spans="1:31" ht="16.5" customHeight="1" x14ac:dyDescent="0.35">
      <c r="A4" s="4">
        <v>201</v>
      </c>
      <c r="B4" s="4" t="str">
        <f>LOOKUP(A4,Lookup!$A$1:$A$34,Lookup!$B$1:$B$34)</f>
        <v>BUTCHERY</v>
      </c>
      <c r="C4" s="5">
        <v>11385</v>
      </c>
      <c r="D4" s="6" t="s">
        <v>16</v>
      </c>
      <c r="E4" s="4">
        <v>2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7">
        <v>0</v>
      </c>
      <c r="Y4" s="18">
        <v>0</v>
      </c>
      <c r="Z4" s="14">
        <v>0</v>
      </c>
      <c r="AA4" s="14">
        <v>0</v>
      </c>
      <c r="AB4" s="23">
        <v>0</v>
      </c>
      <c r="AC4" s="10">
        <v>0</v>
      </c>
      <c r="AD4" s="10">
        <v>0</v>
      </c>
      <c r="AE4" s="1" t="s">
        <v>540</v>
      </c>
    </row>
    <row r="5" spans="1:31" ht="16.5" customHeight="1" x14ac:dyDescent="0.35">
      <c r="A5" s="4">
        <v>201</v>
      </c>
      <c r="B5" s="4" t="str">
        <f>LOOKUP(A5,Lookup!$A$1:$A$34,Lookup!$B$1:$B$34)</f>
        <v>BUTCHERY</v>
      </c>
      <c r="C5" s="5">
        <v>11388</v>
      </c>
      <c r="D5" s="6" t="s">
        <v>17</v>
      </c>
      <c r="E5" s="4">
        <v>2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7">
        <v>0</v>
      </c>
      <c r="Y5" s="18">
        <v>0</v>
      </c>
      <c r="Z5" s="14">
        <v>0</v>
      </c>
      <c r="AA5" s="14">
        <v>0</v>
      </c>
      <c r="AB5" s="23">
        <v>0</v>
      </c>
      <c r="AC5" s="10">
        <v>0</v>
      </c>
      <c r="AD5" s="10">
        <v>0</v>
      </c>
      <c r="AE5" s="1" t="s">
        <v>540</v>
      </c>
    </row>
    <row r="6" spans="1:31" ht="16.5" customHeight="1" x14ac:dyDescent="0.35">
      <c r="A6" s="4">
        <v>201</v>
      </c>
      <c r="B6" s="4" t="str">
        <f>LOOKUP(A6,Lookup!$A$1:$A$34,Lookup!$B$1:$B$34)</f>
        <v>BUTCHERY</v>
      </c>
      <c r="C6" s="5">
        <v>12151</v>
      </c>
      <c r="D6" s="6" t="s">
        <v>18</v>
      </c>
      <c r="E6" s="4">
        <v>2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7">
        <v>0</v>
      </c>
      <c r="Y6" s="18">
        <v>0</v>
      </c>
      <c r="Z6" s="14">
        <v>0</v>
      </c>
      <c r="AA6" s="14">
        <v>0</v>
      </c>
      <c r="AB6" s="23">
        <v>0</v>
      </c>
      <c r="AC6" s="10">
        <v>0</v>
      </c>
      <c r="AD6" s="10">
        <v>0</v>
      </c>
      <c r="AE6" s="1" t="s">
        <v>540</v>
      </c>
    </row>
    <row r="7" spans="1:31" ht="16.5" customHeight="1" x14ac:dyDescent="0.35">
      <c r="A7" s="4">
        <v>201</v>
      </c>
      <c r="B7" s="4" t="str">
        <f>LOOKUP(A7,Lookup!$A$1:$A$34,Lookup!$B$1:$B$34)</f>
        <v>BUTCHERY</v>
      </c>
      <c r="C7" s="5">
        <v>12194</v>
      </c>
      <c r="D7" s="6" t="s">
        <v>19</v>
      </c>
      <c r="E7" s="4">
        <v>2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7">
        <v>0</v>
      </c>
      <c r="Y7" s="18">
        <v>0</v>
      </c>
      <c r="Z7" s="14">
        <v>0</v>
      </c>
      <c r="AA7" s="14">
        <v>0</v>
      </c>
      <c r="AB7" s="23">
        <v>0</v>
      </c>
      <c r="AC7" s="10">
        <v>0</v>
      </c>
      <c r="AD7" s="10">
        <v>0</v>
      </c>
      <c r="AE7" s="1" t="s">
        <v>540</v>
      </c>
    </row>
    <row r="8" spans="1:31" ht="16.5" customHeight="1" x14ac:dyDescent="0.35">
      <c r="A8" s="4">
        <v>201</v>
      </c>
      <c r="B8" s="4" t="str">
        <f>LOOKUP(A8,Lookup!$A$1:$A$34,Lookup!$B$1:$B$34)</f>
        <v>BUTCHERY</v>
      </c>
      <c r="C8" s="5">
        <v>12314</v>
      </c>
      <c r="D8" s="6" t="s">
        <v>20</v>
      </c>
      <c r="E8" s="4">
        <v>2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7">
        <v>0</v>
      </c>
      <c r="Y8" s="18">
        <v>0</v>
      </c>
      <c r="Z8" s="14">
        <v>0</v>
      </c>
      <c r="AA8" s="14">
        <v>0</v>
      </c>
      <c r="AB8" s="23">
        <v>0</v>
      </c>
      <c r="AC8" s="10">
        <v>0</v>
      </c>
      <c r="AD8" s="10">
        <v>0</v>
      </c>
      <c r="AE8" s="1" t="s">
        <v>540</v>
      </c>
    </row>
    <row r="9" spans="1:31" ht="16.5" customHeight="1" x14ac:dyDescent="0.35">
      <c r="A9" s="4">
        <v>201</v>
      </c>
      <c r="B9" s="4" t="str">
        <f>LOOKUP(A9,Lookup!$A$1:$A$34,Lookup!$B$1:$B$34)</f>
        <v>BUTCHERY</v>
      </c>
      <c r="C9" s="5">
        <v>15219</v>
      </c>
      <c r="D9" s="6" t="s">
        <v>21</v>
      </c>
      <c r="E9" s="4">
        <v>2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7">
        <v>0</v>
      </c>
      <c r="Y9" s="18">
        <v>0</v>
      </c>
      <c r="Z9" s="14">
        <v>0</v>
      </c>
      <c r="AA9" s="14">
        <v>0</v>
      </c>
      <c r="AB9" s="23">
        <v>0</v>
      </c>
      <c r="AC9" s="10">
        <v>0</v>
      </c>
      <c r="AD9" s="10">
        <v>0</v>
      </c>
      <c r="AE9" s="1" t="s">
        <v>540</v>
      </c>
    </row>
    <row r="10" spans="1:31" ht="16.5" customHeight="1" x14ac:dyDescent="0.35">
      <c r="A10" s="4">
        <v>201</v>
      </c>
      <c r="B10" s="4" t="str">
        <f>LOOKUP(A10,Lookup!$A$1:$A$34,Lookup!$B$1:$B$34)</f>
        <v>BUTCHERY</v>
      </c>
      <c r="C10" s="5">
        <v>15227</v>
      </c>
      <c r="D10" s="6" t="s">
        <v>22</v>
      </c>
      <c r="E10" s="4">
        <v>2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7">
        <v>0</v>
      </c>
      <c r="Y10" s="18">
        <v>0</v>
      </c>
      <c r="Z10" s="14">
        <v>0</v>
      </c>
      <c r="AA10" s="14">
        <v>0</v>
      </c>
      <c r="AB10" s="23">
        <v>0</v>
      </c>
      <c r="AC10" s="10">
        <v>0</v>
      </c>
      <c r="AD10" s="10">
        <v>0</v>
      </c>
      <c r="AE10" s="1" t="s">
        <v>540</v>
      </c>
    </row>
    <row r="11" spans="1:31" ht="16.5" customHeight="1" x14ac:dyDescent="0.35">
      <c r="A11" s="4">
        <v>201</v>
      </c>
      <c r="B11" s="4" t="str">
        <f>LOOKUP(A11,Lookup!$A$1:$A$34,Lookup!$B$1:$B$34)</f>
        <v>BUTCHERY</v>
      </c>
      <c r="C11" s="5">
        <v>34176</v>
      </c>
      <c r="D11" s="6" t="s">
        <v>23</v>
      </c>
      <c r="E11" s="4">
        <v>2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7">
        <v>0</v>
      </c>
      <c r="Y11" s="18">
        <v>0</v>
      </c>
      <c r="Z11" s="14">
        <v>0</v>
      </c>
      <c r="AA11" s="14">
        <v>0</v>
      </c>
      <c r="AB11" s="23">
        <v>0</v>
      </c>
      <c r="AC11" s="10">
        <v>0</v>
      </c>
      <c r="AD11" s="10">
        <v>0</v>
      </c>
      <c r="AE11" s="1" t="s">
        <v>540</v>
      </c>
    </row>
    <row r="12" spans="1:31" ht="16.5" customHeight="1" x14ac:dyDescent="0.35">
      <c r="A12" s="4">
        <v>201</v>
      </c>
      <c r="B12" s="4" t="str">
        <f>LOOKUP(A12,Lookup!$A$1:$A$34,Lookup!$B$1:$B$34)</f>
        <v>BUTCHERY</v>
      </c>
      <c r="C12" s="5">
        <v>34233</v>
      </c>
      <c r="D12" s="6" t="s">
        <v>24</v>
      </c>
      <c r="E12" s="4">
        <v>2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7">
        <v>0</v>
      </c>
      <c r="Y12" s="18">
        <v>0</v>
      </c>
      <c r="Z12" s="14">
        <v>0</v>
      </c>
      <c r="AA12" s="14">
        <v>0</v>
      </c>
      <c r="AB12" s="23">
        <v>0</v>
      </c>
      <c r="AC12" s="10">
        <v>0</v>
      </c>
      <c r="AD12" s="10">
        <v>0</v>
      </c>
      <c r="AE12" s="1" t="s">
        <v>540</v>
      </c>
    </row>
    <row r="13" spans="1:31" ht="16.5" customHeight="1" x14ac:dyDescent="0.35">
      <c r="A13" s="4">
        <v>201</v>
      </c>
      <c r="B13" s="4" t="str">
        <f>LOOKUP(A13,Lookup!$A$1:$A$34,Lookup!$B$1:$B$34)</f>
        <v>BUTCHERY</v>
      </c>
      <c r="C13" s="5">
        <v>34234</v>
      </c>
      <c r="D13" s="6" t="s">
        <v>25</v>
      </c>
      <c r="E13" s="4">
        <v>2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7">
        <v>0</v>
      </c>
      <c r="Y13" s="18">
        <v>0</v>
      </c>
      <c r="Z13" s="14">
        <v>0</v>
      </c>
      <c r="AA13" s="14">
        <v>0</v>
      </c>
      <c r="AB13" s="23">
        <v>0</v>
      </c>
      <c r="AC13" s="10">
        <v>0</v>
      </c>
      <c r="AD13" s="10">
        <v>0</v>
      </c>
      <c r="AE13" s="1" t="s">
        <v>540</v>
      </c>
    </row>
    <row r="14" spans="1:31" ht="16.5" customHeight="1" x14ac:dyDescent="0.35">
      <c r="A14" s="4">
        <v>201</v>
      </c>
      <c r="B14" s="4" t="str">
        <f>LOOKUP(A14,Lookup!$A$1:$A$34,Lookup!$B$1:$B$34)</f>
        <v>BUTCHERY</v>
      </c>
      <c r="C14" s="5">
        <v>34306</v>
      </c>
      <c r="D14" s="6" t="s">
        <v>26</v>
      </c>
      <c r="E14" s="4">
        <v>2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7">
        <v>0</v>
      </c>
      <c r="Y14" s="18">
        <v>0</v>
      </c>
      <c r="Z14" s="14">
        <v>0</v>
      </c>
      <c r="AA14" s="14">
        <v>0</v>
      </c>
      <c r="AB14" s="23">
        <v>0</v>
      </c>
      <c r="AC14" s="10">
        <v>0</v>
      </c>
      <c r="AD14" s="10">
        <v>0</v>
      </c>
      <c r="AE14" s="1" t="s">
        <v>540</v>
      </c>
    </row>
    <row r="15" spans="1:31" ht="16.5" customHeight="1" x14ac:dyDescent="0.35">
      <c r="A15" s="4">
        <v>201</v>
      </c>
      <c r="B15" s="4" t="str">
        <f>LOOKUP(A15,Lookup!$A$1:$A$34,Lookup!$B$1:$B$34)</f>
        <v>BUTCHERY</v>
      </c>
      <c r="C15" s="5">
        <v>41246</v>
      </c>
      <c r="D15" s="6" t="s">
        <v>27</v>
      </c>
      <c r="E15" s="4">
        <v>2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7">
        <v>0</v>
      </c>
      <c r="Y15" s="18">
        <v>0</v>
      </c>
      <c r="Z15" s="14">
        <v>0</v>
      </c>
      <c r="AA15" s="14">
        <v>0</v>
      </c>
      <c r="AB15" s="23">
        <v>0</v>
      </c>
      <c r="AC15" s="10">
        <v>0</v>
      </c>
      <c r="AD15" s="10">
        <v>0</v>
      </c>
      <c r="AE15" s="1" t="s">
        <v>540</v>
      </c>
    </row>
    <row r="16" spans="1:31" ht="16.5" customHeight="1" x14ac:dyDescent="0.35">
      <c r="A16" s="4">
        <v>201</v>
      </c>
      <c r="B16" s="4" t="str">
        <f>LOOKUP(A16,Lookup!$A$1:$A$34,Lookup!$B$1:$B$34)</f>
        <v>BUTCHERY</v>
      </c>
      <c r="C16" s="5">
        <v>49848</v>
      </c>
      <c r="D16" s="6" t="s">
        <v>28</v>
      </c>
      <c r="E16" s="4">
        <v>2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7">
        <v>0</v>
      </c>
      <c r="Y16" s="18">
        <v>0</v>
      </c>
      <c r="Z16" s="14">
        <v>0</v>
      </c>
      <c r="AA16" s="14">
        <v>0</v>
      </c>
      <c r="AB16" s="23">
        <v>0</v>
      </c>
      <c r="AC16" s="10">
        <v>0</v>
      </c>
      <c r="AD16" s="10">
        <v>0</v>
      </c>
      <c r="AE16" s="1" t="s">
        <v>540</v>
      </c>
    </row>
    <row r="17" spans="1:31" ht="16.5" customHeight="1" x14ac:dyDescent="0.35">
      <c r="A17" s="4">
        <v>201</v>
      </c>
      <c r="B17" s="4" t="str">
        <f>LOOKUP(A17,Lookup!$A$1:$A$34,Lookup!$B$1:$B$34)</f>
        <v>BUTCHERY</v>
      </c>
      <c r="C17" s="5">
        <v>52212</v>
      </c>
      <c r="D17" s="6" t="s">
        <v>29</v>
      </c>
      <c r="E17" s="4">
        <v>2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7">
        <v>0</v>
      </c>
      <c r="Y17" s="18">
        <v>0</v>
      </c>
      <c r="Z17" s="14">
        <v>0</v>
      </c>
      <c r="AA17" s="14">
        <v>0</v>
      </c>
      <c r="AB17" s="23">
        <v>0</v>
      </c>
      <c r="AC17" s="10">
        <v>0</v>
      </c>
      <c r="AD17" s="10">
        <v>0</v>
      </c>
      <c r="AE17" s="1" t="s">
        <v>540</v>
      </c>
    </row>
    <row r="18" spans="1:31" ht="16.5" customHeight="1" x14ac:dyDescent="0.35">
      <c r="A18" s="4">
        <v>201</v>
      </c>
      <c r="B18" s="4" t="str">
        <f>LOOKUP(A18,Lookup!$A$1:$A$34,Lookup!$B$1:$B$34)</f>
        <v>BUTCHERY</v>
      </c>
      <c r="C18" s="5">
        <v>53975</v>
      </c>
      <c r="D18" s="6" t="s">
        <v>30</v>
      </c>
      <c r="E18" s="4">
        <v>2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7">
        <v>0</v>
      </c>
      <c r="Y18" s="18">
        <v>0</v>
      </c>
      <c r="Z18" s="14">
        <v>0</v>
      </c>
      <c r="AA18" s="14">
        <v>0</v>
      </c>
      <c r="AB18" s="23">
        <v>0</v>
      </c>
      <c r="AC18" s="10">
        <v>0</v>
      </c>
      <c r="AD18" s="10">
        <v>0</v>
      </c>
      <c r="AE18" s="1" t="s">
        <v>540</v>
      </c>
    </row>
    <row r="19" spans="1:31" ht="16.5" customHeight="1" x14ac:dyDescent="0.35">
      <c r="A19" s="4">
        <v>201</v>
      </c>
      <c r="B19" s="4" t="str">
        <f>LOOKUP(A19,Lookup!$A$1:$A$34,Lookup!$B$1:$B$34)</f>
        <v>BUTCHERY</v>
      </c>
      <c r="C19" s="5">
        <v>55974</v>
      </c>
      <c r="D19" s="6" t="s">
        <v>31</v>
      </c>
      <c r="E19" s="4">
        <v>2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7">
        <v>0</v>
      </c>
      <c r="Y19" s="18">
        <v>0</v>
      </c>
      <c r="Z19" s="14">
        <v>0</v>
      </c>
      <c r="AA19" s="14">
        <v>0</v>
      </c>
      <c r="AB19" s="23">
        <v>0</v>
      </c>
      <c r="AC19" s="10">
        <v>0</v>
      </c>
      <c r="AD19" s="10">
        <v>0</v>
      </c>
      <c r="AE19" s="1" t="s">
        <v>540</v>
      </c>
    </row>
    <row r="20" spans="1:31" ht="16.5" customHeight="1" x14ac:dyDescent="0.35">
      <c r="A20" s="4">
        <v>201</v>
      </c>
      <c r="B20" s="4" t="str">
        <f>LOOKUP(A20,Lookup!$A$1:$A$34,Lookup!$B$1:$B$34)</f>
        <v>BUTCHERY</v>
      </c>
      <c r="C20" s="5">
        <v>58663</v>
      </c>
      <c r="D20" s="6" t="s">
        <v>33</v>
      </c>
      <c r="E20" s="4">
        <v>2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7">
        <v>0</v>
      </c>
      <c r="Y20" s="18">
        <v>0</v>
      </c>
      <c r="Z20" s="14">
        <v>0</v>
      </c>
      <c r="AA20" s="14">
        <v>0</v>
      </c>
      <c r="AB20" s="23">
        <v>0</v>
      </c>
      <c r="AC20" s="10">
        <v>0</v>
      </c>
      <c r="AD20" s="10">
        <v>0</v>
      </c>
      <c r="AE20" s="1" t="s">
        <v>540</v>
      </c>
    </row>
    <row r="21" spans="1:31" ht="16.5" customHeight="1" x14ac:dyDescent="0.35">
      <c r="A21" s="4">
        <v>201</v>
      </c>
      <c r="B21" s="4" t="str">
        <f>LOOKUP(A21,Lookup!$A$1:$A$34,Lookup!$B$1:$B$34)</f>
        <v>BUTCHERY</v>
      </c>
      <c r="C21" s="5">
        <v>56247</v>
      </c>
      <c r="D21" s="6" t="s">
        <v>32</v>
      </c>
      <c r="E21" s="4">
        <v>2</v>
      </c>
      <c r="F21" s="10">
        <v>590.70000000000005</v>
      </c>
      <c r="G21" s="10">
        <v>33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7">
        <v>590.70000000000005</v>
      </c>
      <c r="Y21" s="18">
        <v>33</v>
      </c>
      <c r="Z21" s="14">
        <v>590.70000000000005</v>
      </c>
      <c r="AA21" s="14">
        <v>33</v>
      </c>
      <c r="AB21" s="23">
        <v>1</v>
      </c>
      <c r="AC21" s="10">
        <v>590.70000000000005</v>
      </c>
      <c r="AD21" s="10">
        <v>33</v>
      </c>
      <c r="AE21" s="1" t="s">
        <v>541</v>
      </c>
    </row>
    <row r="22" spans="1:31" ht="16.5" customHeight="1" x14ac:dyDescent="0.35">
      <c r="A22" s="4">
        <v>201</v>
      </c>
      <c r="B22" s="4" t="str">
        <f>LOOKUP(A22,Lookup!$A$1:$A$34,Lookup!$B$1:$B$34)</f>
        <v>BUTCHERY</v>
      </c>
      <c r="C22" s="5">
        <v>64127</v>
      </c>
      <c r="D22" s="6" t="s">
        <v>35</v>
      </c>
      <c r="E22" s="4">
        <v>2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7">
        <v>0</v>
      </c>
      <c r="Y22" s="18">
        <v>0</v>
      </c>
      <c r="Z22" s="14">
        <v>0</v>
      </c>
      <c r="AA22" s="14">
        <v>0</v>
      </c>
      <c r="AB22" s="23">
        <v>0</v>
      </c>
      <c r="AC22" s="10">
        <v>0</v>
      </c>
      <c r="AD22" s="10">
        <v>0</v>
      </c>
      <c r="AE22" s="1" t="s">
        <v>540</v>
      </c>
    </row>
    <row r="23" spans="1:31" ht="16.5" customHeight="1" x14ac:dyDescent="0.35">
      <c r="A23" s="4">
        <v>201</v>
      </c>
      <c r="B23" s="4" t="str">
        <f>LOOKUP(A23,Lookup!$A$1:$A$34,Lookup!$B$1:$B$34)</f>
        <v>BUTCHERY</v>
      </c>
      <c r="C23" s="5">
        <v>64128</v>
      </c>
      <c r="D23" s="6" t="s">
        <v>36</v>
      </c>
      <c r="E23" s="4">
        <v>2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7">
        <v>0</v>
      </c>
      <c r="Y23" s="18">
        <v>0</v>
      </c>
      <c r="Z23" s="14">
        <v>0</v>
      </c>
      <c r="AA23" s="14">
        <v>0</v>
      </c>
      <c r="AB23" s="23">
        <v>0</v>
      </c>
      <c r="AC23" s="10">
        <v>0</v>
      </c>
      <c r="AD23" s="10">
        <v>0</v>
      </c>
      <c r="AE23" s="1" t="s">
        <v>540</v>
      </c>
    </row>
    <row r="24" spans="1:31" ht="16.5" customHeight="1" x14ac:dyDescent="0.35">
      <c r="A24" s="4">
        <v>201</v>
      </c>
      <c r="B24" s="4" t="str">
        <f>LOOKUP(A24,Lookup!$A$1:$A$34,Lookup!$B$1:$B$34)</f>
        <v>BUTCHERY</v>
      </c>
      <c r="C24" s="5">
        <v>64129</v>
      </c>
      <c r="D24" s="6" t="s">
        <v>37</v>
      </c>
      <c r="E24" s="4">
        <v>2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7">
        <v>0</v>
      </c>
      <c r="Y24" s="18">
        <v>0</v>
      </c>
      <c r="Z24" s="14">
        <v>0</v>
      </c>
      <c r="AA24" s="14">
        <v>0</v>
      </c>
      <c r="AB24" s="23">
        <v>0</v>
      </c>
      <c r="AC24" s="10">
        <v>0</v>
      </c>
      <c r="AD24" s="10">
        <v>0</v>
      </c>
      <c r="AE24" s="1" t="s">
        <v>540</v>
      </c>
    </row>
    <row r="25" spans="1:31" ht="16.5" customHeight="1" x14ac:dyDescent="0.35">
      <c r="A25" s="4">
        <v>201</v>
      </c>
      <c r="B25" s="4" t="str">
        <f>LOOKUP(A25,Lookup!$A$1:$A$34,Lookup!$B$1:$B$34)</f>
        <v>BUTCHERY</v>
      </c>
      <c r="C25" s="5">
        <v>64130</v>
      </c>
      <c r="D25" s="6" t="s">
        <v>38</v>
      </c>
      <c r="E25" s="4">
        <v>2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7">
        <v>0</v>
      </c>
      <c r="Y25" s="18">
        <v>0</v>
      </c>
      <c r="Z25" s="14">
        <v>0</v>
      </c>
      <c r="AA25" s="14">
        <v>0</v>
      </c>
      <c r="AB25" s="23">
        <v>0</v>
      </c>
      <c r="AC25" s="10">
        <v>0</v>
      </c>
      <c r="AD25" s="10">
        <v>0</v>
      </c>
      <c r="AE25" s="1" t="s">
        <v>540</v>
      </c>
    </row>
    <row r="26" spans="1:31" ht="16.5" customHeight="1" x14ac:dyDescent="0.35">
      <c r="A26" s="4">
        <v>201</v>
      </c>
      <c r="B26" s="4" t="str">
        <f>LOOKUP(A26,Lookup!$A$1:$A$34,Lookup!$B$1:$B$34)</f>
        <v>BUTCHERY</v>
      </c>
      <c r="C26" s="5">
        <v>64131</v>
      </c>
      <c r="D26" s="6" t="s">
        <v>39</v>
      </c>
      <c r="E26" s="4">
        <v>2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7">
        <v>0</v>
      </c>
      <c r="Y26" s="18">
        <v>0</v>
      </c>
      <c r="Z26" s="14">
        <v>0</v>
      </c>
      <c r="AA26" s="14">
        <v>0</v>
      </c>
      <c r="AB26" s="23">
        <v>0</v>
      </c>
      <c r="AC26" s="10">
        <v>0</v>
      </c>
      <c r="AD26" s="10">
        <v>0</v>
      </c>
      <c r="AE26" s="1" t="s">
        <v>540</v>
      </c>
    </row>
    <row r="27" spans="1:31" ht="16.5" customHeight="1" x14ac:dyDescent="0.35">
      <c r="A27" s="4">
        <v>201</v>
      </c>
      <c r="B27" s="4" t="str">
        <f>LOOKUP(A27,Lookup!$A$1:$A$34,Lookup!$B$1:$B$34)</f>
        <v>BUTCHERY</v>
      </c>
      <c r="C27" s="5">
        <v>64132</v>
      </c>
      <c r="D27" s="6" t="s">
        <v>40</v>
      </c>
      <c r="E27" s="4">
        <v>2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7">
        <v>0</v>
      </c>
      <c r="Y27" s="18">
        <v>0</v>
      </c>
      <c r="Z27" s="14">
        <v>0</v>
      </c>
      <c r="AA27" s="14">
        <v>0</v>
      </c>
      <c r="AB27" s="23">
        <v>0</v>
      </c>
      <c r="AC27" s="10">
        <v>0</v>
      </c>
      <c r="AD27" s="10">
        <v>0</v>
      </c>
      <c r="AE27" s="1" t="s">
        <v>540</v>
      </c>
    </row>
    <row r="28" spans="1:31" ht="16.5" customHeight="1" x14ac:dyDescent="0.35">
      <c r="A28" s="4">
        <v>201</v>
      </c>
      <c r="B28" s="4" t="str">
        <f>LOOKUP(A28,Lookup!$A$1:$A$34,Lookup!$B$1:$B$34)</f>
        <v>BUTCHERY</v>
      </c>
      <c r="C28" s="5">
        <v>64487</v>
      </c>
      <c r="D28" s="6" t="s">
        <v>32</v>
      </c>
      <c r="E28" s="4">
        <v>2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7">
        <v>0</v>
      </c>
      <c r="Y28" s="18">
        <v>0</v>
      </c>
      <c r="Z28" s="14">
        <v>0</v>
      </c>
      <c r="AA28" s="14">
        <v>0</v>
      </c>
      <c r="AB28" s="23">
        <v>0</v>
      </c>
      <c r="AC28" s="10">
        <v>0</v>
      </c>
      <c r="AD28" s="10">
        <v>0</v>
      </c>
      <c r="AE28" s="1" t="s">
        <v>540</v>
      </c>
    </row>
    <row r="29" spans="1:31" ht="16.5" customHeight="1" x14ac:dyDescent="0.35">
      <c r="A29" s="4">
        <v>201</v>
      </c>
      <c r="B29" s="4" t="str">
        <f>LOOKUP(A29,Lookup!$A$1:$A$34,Lookup!$B$1:$B$34)</f>
        <v>BUTCHERY</v>
      </c>
      <c r="C29" s="5">
        <v>64922</v>
      </c>
      <c r="D29" s="6" t="s">
        <v>41</v>
      </c>
      <c r="E29" s="4">
        <v>2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7">
        <v>0</v>
      </c>
      <c r="Y29" s="18">
        <v>0</v>
      </c>
      <c r="Z29" s="14">
        <v>0</v>
      </c>
      <c r="AA29" s="14">
        <v>0</v>
      </c>
      <c r="AB29" s="23">
        <v>0</v>
      </c>
      <c r="AC29" s="10">
        <v>0</v>
      </c>
      <c r="AD29" s="10">
        <v>0</v>
      </c>
      <c r="AE29" s="1" t="s">
        <v>540</v>
      </c>
    </row>
    <row r="30" spans="1:31" ht="16.5" customHeight="1" x14ac:dyDescent="0.35">
      <c r="A30" s="4">
        <v>201</v>
      </c>
      <c r="B30" s="4" t="str">
        <f>LOOKUP(A30,Lookup!$A$1:$A$34,Lookup!$B$1:$B$34)</f>
        <v>BUTCHERY</v>
      </c>
      <c r="C30" s="5">
        <v>64923</v>
      </c>
      <c r="D30" s="6" t="s">
        <v>42</v>
      </c>
      <c r="E30" s="4">
        <v>2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7">
        <v>0</v>
      </c>
      <c r="Y30" s="18">
        <v>0</v>
      </c>
      <c r="Z30" s="14">
        <v>0</v>
      </c>
      <c r="AA30" s="14">
        <v>0</v>
      </c>
      <c r="AB30" s="23">
        <v>0</v>
      </c>
      <c r="AC30" s="10">
        <v>0</v>
      </c>
      <c r="AD30" s="10">
        <v>0</v>
      </c>
      <c r="AE30" s="1" t="s">
        <v>540</v>
      </c>
    </row>
    <row r="31" spans="1:31" ht="16.5" customHeight="1" x14ac:dyDescent="0.35">
      <c r="A31" s="4">
        <v>201</v>
      </c>
      <c r="B31" s="4" t="str">
        <f>LOOKUP(A31,Lookup!$A$1:$A$34,Lookup!$B$1:$B$34)</f>
        <v>BUTCHERY</v>
      </c>
      <c r="C31" s="5">
        <v>64924</v>
      </c>
      <c r="D31" s="6" t="s">
        <v>43</v>
      </c>
      <c r="E31" s="4">
        <v>2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7">
        <v>0</v>
      </c>
      <c r="Y31" s="18">
        <v>0</v>
      </c>
      <c r="Z31" s="14">
        <v>0</v>
      </c>
      <c r="AA31" s="14">
        <v>0</v>
      </c>
      <c r="AB31" s="23">
        <v>0</v>
      </c>
      <c r="AC31" s="10">
        <v>0</v>
      </c>
      <c r="AD31" s="10">
        <v>0</v>
      </c>
      <c r="AE31" s="1" t="s">
        <v>540</v>
      </c>
    </row>
    <row r="32" spans="1:31" ht="16.5" customHeight="1" x14ac:dyDescent="0.35">
      <c r="A32" s="4">
        <v>201</v>
      </c>
      <c r="B32" s="4" t="str">
        <f>LOOKUP(A32,Lookup!$A$1:$A$34,Lookup!$B$1:$B$34)</f>
        <v>BUTCHERY</v>
      </c>
      <c r="C32" s="5">
        <v>64928</v>
      </c>
      <c r="D32" s="6" t="s">
        <v>44</v>
      </c>
      <c r="E32" s="4">
        <v>2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7">
        <v>0</v>
      </c>
      <c r="Y32" s="18">
        <v>0</v>
      </c>
      <c r="Z32" s="14">
        <v>0</v>
      </c>
      <c r="AA32" s="14">
        <v>0</v>
      </c>
      <c r="AB32" s="23">
        <v>0</v>
      </c>
      <c r="AC32" s="10">
        <v>0</v>
      </c>
      <c r="AD32" s="10">
        <v>0</v>
      </c>
      <c r="AE32" s="1" t="s">
        <v>540</v>
      </c>
    </row>
    <row r="33" spans="1:31" ht="16.5" customHeight="1" x14ac:dyDescent="0.35">
      <c r="A33" s="4">
        <v>201</v>
      </c>
      <c r="B33" s="4" t="str">
        <f>LOOKUP(A33,Lookup!$A$1:$A$34,Lookup!$B$1:$B$34)</f>
        <v>BUTCHERY</v>
      </c>
      <c r="C33" s="5">
        <v>64929</v>
      </c>
      <c r="D33" s="6" t="s">
        <v>45</v>
      </c>
      <c r="E33" s="4">
        <v>2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7">
        <v>0</v>
      </c>
      <c r="Y33" s="18">
        <v>0</v>
      </c>
      <c r="Z33" s="14">
        <v>0</v>
      </c>
      <c r="AA33" s="14">
        <v>0</v>
      </c>
      <c r="AB33" s="23">
        <v>0</v>
      </c>
      <c r="AC33" s="10">
        <v>0</v>
      </c>
      <c r="AD33" s="10">
        <v>0</v>
      </c>
      <c r="AE33" s="1" t="s">
        <v>540</v>
      </c>
    </row>
    <row r="34" spans="1:31" ht="16.5" customHeight="1" x14ac:dyDescent="0.35">
      <c r="A34" s="4">
        <v>201</v>
      </c>
      <c r="B34" s="4" t="str">
        <f>LOOKUP(A34,Lookup!$A$1:$A$34,Lookup!$B$1:$B$34)</f>
        <v>BUTCHERY</v>
      </c>
      <c r="C34" s="5">
        <v>64930</v>
      </c>
      <c r="D34" s="6" t="s">
        <v>46</v>
      </c>
      <c r="E34" s="4">
        <v>2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7">
        <v>0</v>
      </c>
      <c r="Y34" s="18">
        <v>0</v>
      </c>
      <c r="Z34" s="14">
        <v>0</v>
      </c>
      <c r="AA34" s="14">
        <v>0</v>
      </c>
      <c r="AB34" s="23">
        <v>0</v>
      </c>
      <c r="AC34" s="10">
        <v>0</v>
      </c>
      <c r="AD34" s="10">
        <v>0</v>
      </c>
      <c r="AE34" s="1" t="s">
        <v>540</v>
      </c>
    </row>
    <row r="35" spans="1:31" ht="16.5" customHeight="1" x14ac:dyDescent="0.35">
      <c r="A35" s="4">
        <v>201</v>
      </c>
      <c r="B35" s="4" t="str">
        <f>LOOKUP(A35,Lookup!$A$1:$A$34,Lookup!$B$1:$B$34)</f>
        <v>BUTCHERY</v>
      </c>
      <c r="C35" s="5">
        <v>64933</v>
      </c>
      <c r="D35" s="6" t="s">
        <v>47</v>
      </c>
      <c r="E35" s="4">
        <v>2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7">
        <v>0</v>
      </c>
      <c r="Y35" s="18">
        <v>0</v>
      </c>
      <c r="Z35" s="14">
        <v>0</v>
      </c>
      <c r="AA35" s="14">
        <v>0</v>
      </c>
      <c r="AB35" s="23">
        <v>0</v>
      </c>
      <c r="AC35" s="10">
        <v>0</v>
      </c>
      <c r="AD35" s="10">
        <v>0</v>
      </c>
      <c r="AE35" s="1" t="s">
        <v>540</v>
      </c>
    </row>
    <row r="36" spans="1:31" ht="16.5" customHeight="1" x14ac:dyDescent="0.35">
      <c r="A36" s="4">
        <v>201</v>
      </c>
      <c r="B36" s="4" t="str">
        <f>LOOKUP(A36,Lookup!$A$1:$A$34,Lookup!$B$1:$B$34)</f>
        <v>BUTCHERY</v>
      </c>
      <c r="C36" s="5">
        <v>64934</v>
      </c>
      <c r="D36" s="6" t="s">
        <v>48</v>
      </c>
      <c r="E36" s="4">
        <v>2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7">
        <v>0</v>
      </c>
      <c r="Y36" s="18">
        <v>0</v>
      </c>
      <c r="Z36" s="14">
        <v>0</v>
      </c>
      <c r="AA36" s="14">
        <v>0</v>
      </c>
      <c r="AB36" s="23">
        <v>0</v>
      </c>
      <c r="AC36" s="10">
        <v>0</v>
      </c>
      <c r="AD36" s="10">
        <v>0</v>
      </c>
      <c r="AE36" s="1" t="s">
        <v>540</v>
      </c>
    </row>
    <row r="37" spans="1:31" ht="16.5" customHeight="1" x14ac:dyDescent="0.35">
      <c r="A37" s="4">
        <v>201</v>
      </c>
      <c r="B37" s="4" t="str">
        <f>LOOKUP(A37,Lookup!$A$1:$A$34,Lookup!$B$1:$B$34)</f>
        <v>BUTCHERY</v>
      </c>
      <c r="C37" s="5">
        <v>65132</v>
      </c>
      <c r="D37" s="6" t="s">
        <v>49</v>
      </c>
      <c r="E37" s="4">
        <v>2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7">
        <v>0</v>
      </c>
      <c r="Y37" s="18">
        <v>0</v>
      </c>
      <c r="Z37" s="14">
        <v>0</v>
      </c>
      <c r="AA37" s="14">
        <v>0</v>
      </c>
      <c r="AB37" s="23">
        <v>0</v>
      </c>
      <c r="AC37" s="10">
        <v>0</v>
      </c>
      <c r="AD37" s="10">
        <v>0</v>
      </c>
      <c r="AE37" s="1" t="s">
        <v>540</v>
      </c>
    </row>
    <row r="38" spans="1:31" ht="16.5" customHeight="1" x14ac:dyDescent="0.35">
      <c r="A38" s="4">
        <v>201</v>
      </c>
      <c r="B38" s="4" t="str">
        <f>LOOKUP(A38,Lookup!$A$1:$A$34,Lookup!$B$1:$B$34)</f>
        <v>BUTCHERY</v>
      </c>
      <c r="C38" s="5">
        <v>65133</v>
      </c>
      <c r="D38" s="6" t="s">
        <v>50</v>
      </c>
      <c r="E38" s="4">
        <v>2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7">
        <v>0</v>
      </c>
      <c r="Y38" s="18">
        <v>0</v>
      </c>
      <c r="Z38" s="14">
        <v>0</v>
      </c>
      <c r="AA38" s="14">
        <v>0</v>
      </c>
      <c r="AB38" s="23">
        <v>0</v>
      </c>
      <c r="AC38" s="10">
        <v>0</v>
      </c>
      <c r="AD38" s="10">
        <v>0</v>
      </c>
      <c r="AE38" s="1" t="s">
        <v>540</v>
      </c>
    </row>
    <row r="39" spans="1:31" ht="16.5" customHeight="1" x14ac:dyDescent="0.35">
      <c r="A39" s="4">
        <v>201</v>
      </c>
      <c r="B39" s="4" t="str">
        <f>LOOKUP(A39,Lookup!$A$1:$A$34,Lookup!$B$1:$B$34)</f>
        <v>BUTCHERY</v>
      </c>
      <c r="C39" s="5">
        <v>65134</v>
      </c>
      <c r="D39" s="6" t="s">
        <v>51</v>
      </c>
      <c r="E39" s="4">
        <v>2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7">
        <v>0</v>
      </c>
      <c r="Y39" s="18">
        <v>0</v>
      </c>
      <c r="Z39" s="14">
        <v>0</v>
      </c>
      <c r="AA39" s="14">
        <v>0</v>
      </c>
      <c r="AB39" s="23">
        <v>0</v>
      </c>
      <c r="AC39" s="10">
        <v>0</v>
      </c>
      <c r="AD39" s="10">
        <v>0</v>
      </c>
      <c r="AE39" s="1" t="s">
        <v>540</v>
      </c>
    </row>
    <row r="40" spans="1:31" ht="16.5" customHeight="1" x14ac:dyDescent="0.35">
      <c r="A40" s="4">
        <v>201</v>
      </c>
      <c r="B40" s="4" t="str">
        <f>LOOKUP(A40,Lookup!$A$1:$A$34,Lookup!$B$1:$B$34)</f>
        <v>BUTCHERY</v>
      </c>
      <c r="C40" s="5">
        <v>65135</v>
      </c>
      <c r="D40" s="6" t="s">
        <v>52</v>
      </c>
      <c r="E40" s="4">
        <v>2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7">
        <v>0</v>
      </c>
      <c r="Y40" s="18">
        <v>0</v>
      </c>
      <c r="Z40" s="14">
        <v>0</v>
      </c>
      <c r="AA40" s="14">
        <v>0</v>
      </c>
      <c r="AB40" s="23">
        <v>0</v>
      </c>
      <c r="AC40" s="10">
        <v>0</v>
      </c>
      <c r="AD40" s="10">
        <v>0</v>
      </c>
      <c r="AE40" s="1" t="s">
        <v>540</v>
      </c>
    </row>
    <row r="41" spans="1:31" ht="16.5" customHeight="1" x14ac:dyDescent="0.35">
      <c r="A41" s="4">
        <v>201</v>
      </c>
      <c r="B41" s="4" t="str">
        <f>LOOKUP(A41,Lookup!$A$1:$A$34,Lookup!$B$1:$B$34)</f>
        <v>BUTCHERY</v>
      </c>
      <c r="C41" s="5">
        <v>65241</v>
      </c>
      <c r="D41" s="6" t="s">
        <v>53</v>
      </c>
      <c r="E41" s="4">
        <v>2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7">
        <v>0</v>
      </c>
      <c r="Y41" s="18">
        <v>0</v>
      </c>
      <c r="Z41" s="14">
        <v>0</v>
      </c>
      <c r="AA41" s="14">
        <v>0</v>
      </c>
      <c r="AB41" s="23">
        <v>0</v>
      </c>
      <c r="AC41" s="10">
        <v>0</v>
      </c>
      <c r="AD41" s="10">
        <v>0</v>
      </c>
      <c r="AE41" s="1" t="s">
        <v>540</v>
      </c>
    </row>
    <row r="42" spans="1:31" ht="16.5" customHeight="1" x14ac:dyDescent="0.35">
      <c r="A42" s="4">
        <v>201</v>
      </c>
      <c r="B42" s="4" t="str">
        <f>LOOKUP(A42,Lookup!$A$1:$A$34,Lookup!$B$1:$B$34)</f>
        <v>BUTCHERY</v>
      </c>
      <c r="C42" s="5">
        <v>65242</v>
      </c>
      <c r="D42" s="6" t="s">
        <v>54</v>
      </c>
      <c r="E42" s="4">
        <v>2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7">
        <v>0</v>
      </c>
      <c r="Y42" s="18">
        <v>0</v>
      </c>
      <c r="Z42" s="14">
        <v>0</v>
      </c>
      <c r="AA42" s="14">
        <v>0</v>
      </c>
      <c r="AB42" s="23">
        <v>0</v>
      </c>
      <c r="AC42" s="10">
        <v>0</v>
      </c>
      <c r="AD42" s="10">
        <v>0</v>
      </c>
      <c r="AE42" s="1" t="s">
        <v>540</v>
      </c>
    </row>
    <row r="43" spans="1:31" ht="16.5" customHeight="1" x14ac:dyDescent="0.35">
      <c r="A43" s="4">
        <v>201</v>
      </c>
      <c r="B43" s="4" t="str">
        <f>LOOKUP(A43,Lookup!$A$1:$A$34,Lookup!$B$1:$B$34)</f>
        <v>BUTCHERY</v>
      </c>
      <c r="C43" s="5">
        <v>65711</v>
      </c>
      <c r="D43" s="6" t="s">
        <v>55</v>
      </c>
      <c r="E43" s="4">
        <v>2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7">
        <v>0</v>
      </c>
      <c r="Y43" s="18">
        <v>0</v>
      </c>
      <c r="Z43" s="14">
        <v>0</v>
      </c>
      <c r="AA43" s="14">
        <v>0</v>
      </c>
      <c r="AB43" s="23">
        <v>0</v>
      </c>
      <c r="AC43" s="10">
        <v>0</v>
      </c>
      <c r="AD43" s="10">
        <v>0</v>
      </c>
      <c r="AE43" s="1" t="s">
        <v>540</v>
      </c>
    </row>
    <row r="44" spans="1:31" ht="16.5" customHeight="1" x14ac:dyDescent="0.35">
      <c r="A44" s="4">
        <v>201</v>
      </c>
      <c r="B44" s="4" t="str">
        <f>LOOKUP(A44,Lookup!$A$1:$A$34,Lookup!$B$1:$B$34)</f>
        <v>BUTCHERY</v>
      </c>
      <c r="C44" s="5">
        <v>65712</v>
      </c>
      <c r="D44" s="6" t="s">
        <v>56</v>
      </c>
      <c r="E44" s="4">
        <v>2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7">
        <v>0</v>
      </c>
      <c r="Y44" s="18">
        <v>0</v>
      </c>
      <c r="Z44" s="14">
        <v>0</v>
      </c>
      <c r="AA44" s="14">
        <v>0</v>
      </c>
      <c r="AB44" s="23">
        <v>0</v>
      </c>
      <c r="AC44" s="10">
        <v>0</v>
      </c>
      <c r="AD44" s="10">
        <v>0</v>
      </c>
      <c r="AE44" s="1" t="s">
        <v>540</v>
      </c>
    </row>
    <row r="45" spans="1:31" ht="16.5" customHeight="1" x14ac:dyDescent="0.35">
      <c r="A45" s="4">
        <v>201</v>
      </c>
      <c r="B45" s="4" t="str">
        <f>LOOKUP(A45,Lookup!$A$1:$A$34,Lookup!$B$1:$B$34)</f>
        <v>BUTCHERY</v>
      </c>
      <c r="C45" s="5">
        <v>65713</v>
      </c>
      <c r="D45" s="6" t="s">
        <v>57</v>
      </c>
      <c r="E45" s="4">
        <v>2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7">
        <v>0</v>
      </c>
      <c r="Y45" s="18">
        <v>0</v>
      </c>
      <c r="Z45" s="14">
        <v>0</v>
      </c>
      <c r="AA45" s="14">
        <v>0</v>
      </c>
      <c r="AB45" s="23">
        <v>0</v>
      </c>
      <c r="AC45" s="10">
        <v>0</v>
      </c>
      <c r="AD45" s="10">
        <v>0</v>
      </c>
      <c r="AE45" s="1" t="s">
        <v>540</v>
      </c>
    </row>
    <row r="46" spans="1:31" ht="16.5" customHeight="1" x14ac:dyDescent="0.35">
      <c r="A46" s="4">
        <v>201</v>
      </c>
      <c r="B46" s="4" t="str">
        <f>LOOKUP(A46,Lookup!$A$1:$A$34,Lookup!$B$1:$B$34)</f>
        <v>BUTCHERY</v>
      </c>
      <c r="C46" s="5">
        <v>65714</v>
      </c>
      <c r="D46" s="6" t="s">
        <v>58</v>
      </c>
      <c r="E46" s="4">
        <v>2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7">
        <v>0</v>
      </c>
      <c r="Y46" s="18">
        <v>0</v>
      </c>
      <c r="Z46" s="14">
        <v>0</v>
      </c>
      <c r="AA46" s="14">
        <v>0</v>
      </c>
      <c r="AB46" s="23">
        <v>0</v>
      </c>
      <c r="AC46" s="10">
        <v>0</v>
      </c>
      <c r="AD46" s="10">
        <v>0</v>
      </c>
      <c r="AE46" s="1" t="s">
        <v>540</v>
      </c>
    </row>
    <row r="47" spans="1:31" ht="16.5" customHeight="1" x14ac:dyDescent="0.35">
      <c r="A47" s="4">
        <v>201</v>
      </c>
      <c r="B47" s="4" t="str">
        <f>LOOKUP(A47,Lookup!$A$1:$A$34,Lookup!$B$1:$B$34)</f>
        <v>BUTCHERY</v>
      </c>
      <c r="C47" s="5">
        <v>66122</v>
      </c>
      <c r="D47" s="6" t="s">
        <v>59</v>
      </c>
      <c r="E47" s="4">
        <v>2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7">
        <v>0</v>
      </c>
      <c r="Y47" s="18">
        <v>0</v>
      </c>
      <c r="Z47" s="14">
        <v>0</v>
      </c>
      <c r="AA47" s="14">
        <v>0</v>
      </c>
      <c r="AB47" s="23">
        <v>0</v>
      </c>
      <c r="AC47" s="10">
        <v>0</v>
      </c>
      <c r="AD47" s="10">
        <v>0</v>
      </c>
      <c r="AE47" s="1" t="s">
        <v>540</v>
      </c>
    </row>
    <row r="48" spans="1:31" ht="16.5" customHeight="1" x14ac:dyDescent="0.35">
      <c r="A48" s="4">
        <v>201</v>
      </c>
      <c r="B48" s="4" t="str">
        <f>LOOKUP(A48,Lookup!$A$1:$A$34,Lookup!$B$1:$B$34)</f>
        <v>BUTCHERY</v>
      </c>
      <c r="C48" s="5">
        <v>66123</v>
      </c>
      <c r="D48" s="6" t="s">
        <v>60</v>
      </c>
      <c r="E48" s="4">
        <v>2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7">
        <v>0</v>
      </c>
      <c r="Y48" s="18">
        <v>0</v>
      </c>
      <c r="Z48" s="14">
        <v>0</v>
      </c>
      <c r="AA48" s="14">
        <v>0</v>
      </c>
      <c r="AB48" s="23">
        <v>0</v>
      </c>
      <c r="AC48" s="10">
        <v>0</v>
      </c>
      <c r="AD48" s="10">
        <v>0</v>
      </c>
      <c r="AE48" s="1" t="s">
        <v>540</v>
      </c>
    </row>
    <row r="49" spans="1:31" ht="16.5" customHeight="1" x14ac:dyDescent="0.35">
      <c r="A49" s="4">
        <v>201</v>
      </c>
      <c r="B49" s="4" t="str">
        <f>LOOKUP(A49,Lookup!$A$1:$A$34,Lookup!$B$1:$B$34)</f>
        <v>BUTCHERY</v>
      </c>
      <c r="C49" s="5">
        <v>66709</v>
      </c>
      <c r="D49" s="6" t="s">
        <v>61</v>
      </c>
      <c r="E49" s="4">
        <v>2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7">
        <v>0</v>
      </c>
      <c r="Y49" s="18">
        <v>0</v>
      </c>
      <c r="Z49" s="14">
        <v>0</v>
      </c>
      <c r="AA49" s="14">
        <v>0</v>
      </c>
      <c r="AB49" s="23">
        <v>0</v>
      </c>
      <c r="AC49" s="10">
        <v>0</v>
      </c>
      <c r="AD49" s="10">
        <v>0</v>
      </c>
      <c r="AE49" s="1" t="s">
        <v>540</v>
      </c>
    </row>
    <row r="50" spans="1:31" ht="16.5" customHeight="1" x14ac:dyDescent="0.35">
      <c r="A50" s="4">
        <v>201</v>
      </c>
      <c r="B50" s="4" t="str">
        <f>LOOKUP(A50,Lookup!$A$1:$A$34,Lookup!$B$1:$B$34)</f>
        <v>BUTCHERY</v>
      </c>
      <c r="C50" s="5">
        <v>66710</v>
      </c>
      <c r="D50" s="6" t="s">
        <v>62</v>
      </c>
      <c r="E50" s="4">
        <v>2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7">
        <v>0</v>
      </c>
      <c r="Y50" s="18">
        <v>0</v>
      </c>
      <c r="Z50" s="14">
        <v>0</v>
      </c>
      <c r="AA50" s="14">
        <v>0</v>
      </c>
      <c r="AB50" s="23">
        <v>0</v>
      </c>
      <c r="AC50" s="10">
        <v>0</v>
      </c>
      <c r="AD50" s="10">
        <v>0</v>
      </c>
      <c r="AE50" s="1" t="s">
        <v>540</v>
      </c>
    </row>
    <row r="51" spans="1:31" ht="16.5" customHeight="1" x14ac:dyDescent="0.35">
      <c r="A51" s="4">
        <v>201</v>
      </c>
      <c r="B51" s="4" t="str">
        <f>LOOKUP(A51,Lookup!$A$1:$A$34,Lookup!$B$1:$B$34)</f>
        <v>BUTCHERY</v>
      </c>
      <c r="C51" s="5">
        <v>66711</v>
      </c>
      <c r="D51" s="6" t="s">
        <v>63</v>
      </c>
      <c r="E51" s="4">
        <v>2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7">
        <v>0</v>
      </c>
      <c r="Y51" s="18">
        <v>0</v>
      </c>
      <c r="Z51" s="14">
        <v>0</v>
      </c>
      <c r="AA51" s="14">
        <v>0</v>
      </c>
      <c r="AB51" s="23">
        <v>0</v>
      </c>
      <c r="AC51" s="10">
        <v>0</v>
      </c>
      <c r="AD51" s="10">
        <v>0</v>
      </c>
      <c r="AE51" s="1" t="s">
        <v>540</v>
      </c>
    </row>
    <row r="52" spans="1:31" ht="16.5" customHeight="1" x14ac:dyDescent="0.35">
      <c r="A52" s="4">
        <v>201</v>
      </c>
      <c r="B52" s="4" t="str">
        <f>LOOKUP(A52,Lookup!$A$1:$A$34,Lookup!$B$1:$B$34)</f>
        <v>BUTCHERY</v>
      </c>
      <c r="C52" s="5">
        <v>66712</v>
      </c>
      <c r="D52" s="6" t="s">
        <v>64</v>
      </c>
      <c r="E52" s="4">
        <v>2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7">
        <v>0</v>
      </c>
      <c r="Y52" s="18">
        <v>0</v>
      </c>
      <c r="Z52" s="14">
        <v>0</v>
      </c>
      <c r="AA52" s="14">
        <v>0</v>
      </c>
      <c r="AB52" s="23">
        <v>0</v>
      </c>
      <c r="AC52" s="10">
        <v>0</v>
      </c>
      <c r="AD52" s="10">
        <v>0</v>
      </c>
      <c r="AE52" s="1" t="s">
        <v>540</v>
      </c>
    </row>
    <row r="53" spans="1:31" ht="16.5" customHeight="1" x14ac:dyDescent="0.35">
      <c r="A53" s="4">
        <v>201</v>
      </c>
      <c r="B53" s="4" t="str">
        <f>LOOKUP(A53,Lookup!$A$1:$A$34,Lookup!$B$1:$B$34)</f>
        <v>BUTCHERY</v>
      </c>
      <c r="C53" s="5">
        <v>66713</v>
      </c>
      <c r="D53" s="6" t="s">
        <v>65</v>
      </c>
      <c r="E53" s="4">
        <v>2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7">
        <v>0</v>
      </c>
      <c r="Y53" s="18">
        <v>0</v>
      </c>
      <c r="Z53" s="14">
        <v>0</v>
      </c>
      <c r="AA53" s="14">
        <v>0</v>
      </c>
      <c r="AB53" s="23">
        <v>0</v>
      </c>
      <c r="AC53" s="10">
        <v>0</v>
      </c>
      <c r="AD53" s="10">
        <v>0</v>
      </c>
      <c r="AE53" s="1" t="s">
        <v>540</v>
      </c>
    </row>
    <row r="54" spans="1:31" ht="16.5" customHeight="1" x14ac:dyDescent="0.35">
      <c r="A54" s="4">
        <v>201</v>
      </c>
      <c r="B54" s="4" t="str">
        <f>LOOKUP(A54,Lookup!$A$1:$A$34,Lookup!$B$1:$B$34)</f>
        <v>BUTCHERY</v>
      </c>
      <c r="C54" s="5">
        <v>66714</v>
      </c>
      <c r="D54" s="6" t="s">
        <v>66</v>
      </c>
      <c r="E54" s="4">
        <v>2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7">
        <v>0</v>
      </c>
      <c r="Y54" s="18">
        <v>0</v>
      </c>
      <c r="Z54" s="14">
        <v>0</v>
      </c>
      <c r="AA54" s="14">
        <v>0</v>
      </c>
      <c r="AB54" s="23">
        <v>0</v>
      </c>
      <c r="AC54" s="10">
        <v>0</v>
      </c>
      <c r="AD54" s="10">
        <v>0</v>
      </c>
      <c r="AE54" s="1" t="s">
        <v>540</v>
      </c>
    </row>
    <row r="55" spans="1:31" ht="16.5" customHeight="1" x14ac:dyDescent="0.35">
      <c r="A55" s="4">
        <v>201</v>
      </c>
      <c r="B55" s="4" t="str">
        <f>LOOKUP(A55,Lookup!$A$1:$A$34,Lookup!$B$1:$B$34)</f>
        <v>BUTCHERY</v>
      </c>
      <c r="C55" s="5">
        <v>66715</v>
      </c>
      <c r="D55" s="6" t="s">
        <v>67</v>
      </c>
      <c r="E55" s="4">
        <v>2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7">
        <v>0</v>
      </c>
      <c r="Y55" s="18">
        <v>0</v>
      </c>
      <c r="Z55" s="14">
        <v>0</v>
      </c>
      <c r="AA55" s="14">
        <v>0</v>
      </c>
      <c r="AB55" s="23">
        <v>0</v>
      </c>
      <c r="AC55" s="10">
        <v>0</v>
      </c>
      <c r="AD55" s="10">
        <v>0</v>
      </c>
      <c r="AE55" s="1" t="s">
        <v>540</v>
      </c>
    </row>
    <row r="56" spans="1:31" ht="16.5" customHeight="1" x14ac:dyDescent="0.35">
      <c r="A56" s="4">
        <v>201</v>
      </c>
      <c r="B56" s="4" t="str">
        <f>LOOKUP(A56,Lookup!$A$1:$A$34,Lookup!$B$1:$B$34)</f>
        <v>BUTCHERY</v>
      </c>
      <c r="C56" s="5">
        <v>61370</v>
      </c>
      <c r="D56" s="6" t="s">
        <v>34</v>
      </c>
      <c r="E56" s="4">
        <v>2</v>
      </c>
      <c r="F56" s="10">
        <v>151.25217391304346</v>
      </c>
      <c r="G56" s="10">
        <v>6</v>
      </c>
      <c r="H56" s="10">
        <v>0</v>
      </c>
      <c r="I56" s="10">
        <v>0</v>
      </c>
      <c r="J56" s="10">
        <v>0</v>
      </c>
      <c r="K56" s="10">
        <v>0</v>
      </c>
      <c r="L56" s="10">
        <v>50.417391304347824</v>
      </c>
      <c r="M56" s="10">
        <v>2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7">
        <v>151.25217391304346</v>
      </c>
      <c r="Y56" s="18">
        <v>6</v>
      </c>
      <c r="Z56" s="14">
        <v>201.66956521739129</v>
      </c>
      <c r="AA56" s="14">
        <v>8</v>
      </c>
      <c r="AB56" s="23">
        <v>2</v>
      </c>
      <c r="AC56" s="10">
        <v>100.83478260869565</v>
      </c>
      <c r="AD56" s="10">
        <v>4</v>
      </c>
      <c r="AE56" s="1" t="s">
        <v>541</v>
      </c>
    </row>
    <row r="57" spans="1:31" ht="16.5" customHeight="1" x14ac:dyDescent="0.35">
      <c r="A57" s="4">
        <v>202</v>
      </c>
      <c r="B57" s="4" t="str">
        <f>LOOKUP(A57,Lookup!$A$1:$A$34,Lookup!$B$1:$B$34)</f>
        <v>BEEF</v>
      </c>
      <c r="C57" s="5">
        <v>2748</v>
      </c>
      <c r="D57" s="6" t="s">
        <v>68</v>
      </c>
      <c r="E57" s="4">
        <v>2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7">
        <v>0</v>
      </c>
      <c r="Y57" s="18">
        <v>0</v>
      </c>
      <c r="Z57" s="14">
        <v>0</v>
      </c>
      <c r="AA57" s="14">
        <v>0</v>
      </c>
      <c r="AB57" s="23">
        <v>0</v>
      </c>
      <c r="AC57" s="10">
        <v>0</v>
      </c>
      <c r="AD57" s="10">
        <v>0</v>
      </c>
      <c r="AE57" s="1" t="s">
        <v>540</v>
      </c>
    </row>
    <row r="58" spans="1:31" ht="16.5" customHeight="1" x14ac:dyDescent="0.35">
      <c r="A58" s="4">
        <v>202</v>
      </c>
      <c r="B58" s="4" t="str">
        <f>LOOKUP(A58,Lookup!$A$1:$A$34,Lookup!$B$1:$B$34)</f>
        <v>BEEF</v>
      </c>
      <c r="C58" s="5">
        <v>12112</v>
      </c>
      <c r="D58" s="6" t="s">
        <v>69</v>
      </c>
      <c r="E58" s="4">
        <v>2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7">
        <v>0</v>
      </c>
      <c r="Y58" s="18">
        <v>0</v>
      </c>
      <c r="Z58" s="14">
        <v>0</v>
      </c>
      <c r="AA58" s="14">
        <v>0</v>
      </c>
      <c r="AB58" s="23">
        <v>0</v>
      </c>
      <c r="AC58" s="10">
        <v>0</v>
      </c>
      <c r="AD58" s="10">
        <v>0</v>
      </c>
      <c r="AE58" s="1" t="s">
        <v>540</v>
      </c>
    </row>
    <row r="59" spans="1:31" ht="16.5" customHeight="1" x14ac:dyDescent="0.35">
      <c r="A59" s="4">
        <v>202</v>
      </c>
      <c r="B59" s="4" t="str">
        <f>LOOKUP(A59,Lookup!$A$1:$A$34,Lookup!$B$1:$B$34)</f>
        <v>BEEF</v>
      </c>
      <c r="C59" s="5">
        <v>12113</v>
      </c>
      <c r="D59" s="6" t="s">
        <v>70</v>
      </c>
      <c r="E59" s="4">
        <v>2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7">
        <v>0</v>
      </c>
      <c r="Y59" s="18">
        <v>0</v>
      </c>
      <c r="Z59" s="14">
        <v>0</v>
      </c>
      <c r="AA59" s="14">
        <v>0</v>
      </c>
      <c r="AB59" s="23">
        <v>0</v>
      </c>
      <c r="AC59" s="10">
        <v>0</v>
      </c>
      <c r="AD59" s="10">
        <v>0</v>
      </c>
      <c r="AE59" s="1" t="s">
        <v>540</v>
      </c>
    </row>
    <row r="60" spans="1:31" ht="16.5" customHeight="1" x14ac:dyDescent="0.35">
      <c r="A60" s="4">
        <v>202</v>
      </c>
      <c r="B60" s="4" t="str">
        <f>LOOKUP(A60,Lookup!$A$1:$A$34,Lookup!$B$1:$B$34)</f>
        <v>BEEF</v>
      </c>
      <c r="C60" s="5">
        <v>12118</v>
      </c>
      <c r="D60" s="6" t="s">
        <v>71</v>
      </c>
      <c r="E60" s="4">
        <v>2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7">
        <v>0</v>
      </c>
      <c r="Y60" s="18">
        <v>0</v>
      </c>
      <c r="Z60" s="14">
        <v>0</v>
      </c>
      <c r="AA60" s="14">
        <v>0</v>
      </c>
      <c r="AB60" s="23">
        <v>0</v>
      </c>
      <c r="AC60" s="10">
        <v>0</v>
      </c>
      <c r="AD60" s="10">
        <v>0</v>
      </c>
      <c r="AE60" s="1" t="s">
        <v>540</v>
      </c>
    </row>
    <row r="61" spans="1:31" ht="16.5" customHeight="1" x14ac:dyDescent="0.35">
      <c r="A61" s="4">
        <v>202</v>
      </c>
      <c r="B61" s="4" t="str">
        <f>LOOKUP(A61,Lookup!$A$1:$A$34,Lookup!$B$1:$B$34)</f>
        <v>BEEF</v>
      </c>
      <c r="C61" s="5">
        <v>12119</v>
      </c>
      <c r="D61" s="6" t="s">
        <v>72</v>
      </c>
      <c r="E61" s="4">
        <v>2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7">
        <v>0</v>
      </c>
      <c r="Y61" s="18">
        <v>0</v>
      </c>
      <c r="Z61" s="14">
        <v>0</v>
      </c>
      <c r="AA61" s="14">
        <v>0</v>
      </c>
      <c r="AB61" s="23">
        <v>0</v>
      </c>
      <c r="AC61" s="10">
        <v>0</v>
      </c>
      <c r="AD61" s="10">
        <v>0</v>
      </c>
      <c r="AE61" s="1" t="s">
        <v>540</v>
      </c>
    </row>
    <row r="62" spans="1:31" ht="16.5" customHeight="1" x14ac:dyDescent="0.35">
      <c r="A62" s="4">
        <v>202</v>
      </c>
      <c r="B62" s="4" t="str">
        <f>LOOKUP(A62,Lookup!$A$1:$A$34,Lookup!$B$1:$B$34)</f>
        <v>BEEF</v>
      </c>
      <c r="C62" s="5">
        <v>12130</v>
      </c>
      <c r="D62" s="6" t="s">
        <v>73</v>
      </c>
      <c r="E62" s="4">
        <v>2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7">
        <v>0</v>
      </c>
      <c r="Y62" s="18">
        <v>0</v>
      </c>
      <c r="Z62" s="14">
        <v>0</v>
      </c>
      <c r="AA62" s="14">
        <v>0</v>
      </c>
      <c r="AB62" s="23">
        <v>0</v>
      </c>
      <c r="AC62" s="10">
        <v>0</v>
      </c>
      <c r="AD62" s="10">
        <v>0</v>
      </c>
      <c r="AE62" s="1" t="s">
        <v>540</v>
      </c>
    </row>
    <row r="63" spans="1:31" ht="16.5" customHeight="1" x14ac:dyDescent="0.35">
      <c r="A63" s="4">
        <v>202</v>
      </c>
      <c r="B63" s="4" t="str">
        <f>LOOKUP(A63,Lookup!$A$1:$A$34,Lookup!$B$1:$B$34)</f>
        <v>BEEF</v>
      </c>
      <c r="C63" s="5">
        <v>34172</v>
      </c>
      <c r="D63" s="6" t="s">
        <v>107</v>
      </c>
      <c r="E63" s="4">
        <v>2</v>
      </c>
      <c r="F63" s="10">
        <v>5186.7652173913038</v>
      </c>
      <c r="G63" s="10">
        <v>39.768000000000001</v>
      </c>
      <c r="H63" s="10">
        <v>5033.1565217391308</v>
      </c>
      <c r="I63" s="10">
        <v>36.177999999999997</v>
      </c>
      <c r="J63" s="10">
        <v>3829.9652173913046</v>
      </c>
      <c r="K63" s="10">
        <v>23.285</v>
      </c>
      <c r="L63" s="10">
        <v>1764.0956521739131</v>
      </c>
      <c r="M63" s="10">
        <v>10.144</v>
      </c>
      <c r="N63" s="10">
        <v>3555.9826086956523</v>
      </c>
      <c r="O63" s="10">
        <v>20.448</v>
      </c>
      <c r="P63" s="10">
        <v>2717.7652173913038</v>
      </c>
      <c r="Q63" s="10">
        <v>14.488</v>
      </c>
      <c r="R63" s="10">
        <v>1135.3565217391304</v>
      </c>
      <c r="S63" s="10">
        <v>5.9349999999999996</v>
      </c>
      <c r="T63" s="10">
        <v>9697.6521739130421</v>
      </c>
      <c r="U63" s="10">
        <v>64.841999999999999</v>
      </c>
      <c r="V63" s="10">
        <v>5274.9826086956518</v>
      </c>
      <c r="W63" s="10">
        <v>33.1</v>
      </c>
      <c r="X63" s="17">
        <v>9697.6521739130421</v>
      </c>
      <c r="Y63" s="18">
        <v>64.841999999999999</v>
      </c>
      <c r="Z63" s="14">
        <v>38195.721739130437</v>
      </c>
      <c r="AA63" s="14">
        <v>248.18800000000002</v>
      </c>
      <c r="AB63" s="23">
        <v>9</v>
      </c>
      <c r="AC63" s="10">
        <v>4243.9690821256045</v>
      </c>
      <c r="AD63" s="10">
        <v>27.576444444444448</v>
      </c>
      <c r="AE63" s="1" t="s">
        <v>542</v>
      </c>
    </row>
    <row r="64" spans="1:31" ht="16.5" customHeight="1" x14ac:dyDescent="0.35">
      <c r="A64" s="4">
        <v>202</v>
      </c>
      <c r="B64" s="4" t="str">
        <f>LOOKUP(A64,Lookup!$A$1:$A$34,Lookup!$B$1:$B$34)</f>
        <v>BEEF</v>
      </c>
      <c r="C64" s="5">
        <v>12142</v>
      </c>
      <c r="D64" s="6" t="s">
        <v>75</v>
      </c>
      <c r="E64" s="4">
        <v>2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7">
        <v>0</v>
      </c>
      <c r="Y64" s="18">
        <v>0</v>
      </c>
      <c r="Z64" s="14">
        <v>0</v>
      </c>
      <c r="AA64" s="14">
        <v>0</v>
      </c>
      <c r="AB64" s="23">
        <v>0</v>
      </c>
      <c r="AC64" s="10">
        <v>0</v>
      </c>
      <c r="AD64" s="10">
        <v>0</v>
      </c>
      <c r="AE64" s="1" t="s">
        <v>540</v>
      </c>
    </row>
    <row r="65" spans="1:31" ht="16.5" customHeight="1" x14ac:dyDescent="0.35">
      <c r="A65" s="4">
        <v>202</v>
      </c>
      <c r="B65" s="4" t="str">
        <f>LOOKUP(A65,Lookup!$A$1:$A$34,Lookup!$B$1:$B$34)</f>
        <v>BEEF</v>
      </c>
      <c r="C65" s="5">
        <v>53487</v>
      </c>
      <c r="D65" s="6" t="s">
        <v>125</v>
      </c>
      <c r="E65" s="4">
        <v>2</v>
      </c>
      <c r="F65" s="10">
        <v>2855.7304347826089</v>
      </c>
      <c r="G65" s="10">
        <v>25.263999999999999</v>
      </c>
      <c r="H65" s="10">
        <v>2346.1826086956526</v>
      </c>
      <c r="I65" s="10">
        <v>19.274000000000001</v>
      </c>
      <c r="J65" s="10">
        <v>4577.1478260869562</v>
      </c>
      <c r="K65" s="10">
        <v>37.814</v>
      </c>
      <c r="L65" s="10">
        <v>2919.1130434782608</v>
      </c>
      <c r="M65" s="10">
        <v>23.98</v>
      </c>
      <c r="N65" s="10">
        <v>4384.1652173913044</v>
      </c>
      <c r="O65" s="10">
        <v>36.177999999999997</v>
      </c>
      <c r="P65" s="10">
        <v>1120.4260869565219</v>
      </c>
      <c r="Q65" s="10">
        <v>9.2040000000000006</v>
      </c>
      <c r="R65" s="10">
        <v>4882.826086956522</v>
      </c>
      <c r="S65" s="10">
        <v>40.112000000000002</v>
      </c>
      <c r="T65" s="10">
        <v>3236.8956521739128</v>
      </c>
      <c r="U65" s="10">
        <v>26.646000000000001</v>
      </c>
      <c r="V65" s="10">
        <v>3931.6782608695657</v>
      </c>
      <c r="W65" s="10">
        <v>32.49</v>
      </c>
      <c r="X65" s="17">
        <v>4882.826086956522</v>
      </c>
      <c r="Y65" s="18">
        <v>40.112000000000002</v>
      </c>
      <c r="Z65" s="14">
        <v>30254.165217391306</v>
      </c>
      <c r="AA65" s="14">
        <v>250.96199999999999</v>
      </c>
      <c r="AB65" s="23">
        <v>9</v>
      </c>
      <c r="AC65" s="10">
        <v>3361.5739130434786</v>
      </c>
      <c r="AD65" s="10">
        <v>27.884666666666664</v>
      </c>
      <c r="AE65" s="1" t="s">
        <v>542</v>
      </c>
    </row>
    <row r="66" spans="1:31" ht="16.5" customHeight="1" x14ac:dyDescent="0.35">
      <c r="A66" s="4">
        <v>202</v>
      </c>
      <c r="B66" s="4" t="str">
        <f>LOOKUP(A66,Lookup!$A$1:$A$34,Lookup!$B$1:$B$34)</f>
        <v>BEEF</v>
      </c>
      <c r="C66" s="5">
        <v>12145</v>
      </c>
      <c r="D66" s="6" t="s">
        <v>77</v>
      </c>
      <c r="E66" s="4">
        <v>2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7">
        <v>0</v>
      </c>
      <c r="Y66" s="18">
        <v>0</v>
      </c>
      <c r="Z66" s="14">
        <v>0</v>
      </c>
      <c r="AA66" s="14">
        <v>0</v>
      </c>
      <c r="AB66" s="23">
        <v>0</v>
      </c>
      <c r="AC66" s="10">
        <v>0</v>
      </c>
      <c r="AD66" s="10">
        <v>0</v>
      </c>
      <c r="AE66" s="1" t="s">
        <v>540</v>
      </c>
    </row>
    <row r="67" spans="1:31" ht="16.5" customHeight="1" x14ac:dyDescent="0.35">
      <c r="A67" s="4">
        <v>202</v>
      </c>
      <c r="B67" s="4" t="str">
        <f>LOOKUP(A67,Lookup!$A$1:$A$34,Lookup!$B$1:$B$34)</f>
        <v>BEEF</v>
      </c>
      <c r="C67" s="5">
        <v>12146</v>
      </c>
      <c r="D67" s="6" t="s">
        <v>78</v>
      </c>
      <c r="E67" s="4">
        <v>2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7">
        <v>0</v>
      </c>
      <c r="Y67" s="18">
        <v>0</v>
      </c>
      <c r="Z67" s="14">
        <v>0</v>
      </c>
      <c r="AA67" s="14">
        <v>0</v>
      </c>
      <c r="AB67" s="23">
        <v>0</v>
      </c>
      <c r="AC67" s="10">
        <v>0</v>
      </c>
      <c r="AD67" s="10">
        <v>0</v>
      </c>
      <c r="AE67" s="1" t="s">
        <v>540</v>
      </c>
    </row>
    <row r="68" spans="1:31" ht="16.5" customHeight="1" x14ac:dyDescent="0.35">
      <c r="A68" s="4">
        <v>202</v>
      </c>
      <c r="B68" s="4" t="str">
        <f>LOOKUP(A68,Lookup!$A$1:$A$34,Lookup!$B$1:$B$34)</f>
        <v>BEEF</v>
      </c>
      <c r="C68" s="5">
        <v>12147</v>
      </c>
      <c r="D68" s="6" t="s">
        <v>79</v>
      </c>
      <c r="E68" s="4">
        <v>2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7">
        <v>0</v>
      </c>
      <c r="Y68" s="18">
        <v>0</v>
      </c>
      <c r="Z68" s="14">
        <v>0</v>
      </c>
      <c r="AA68" s="14">
        <v>0</v>
      </c>
      <c r="AB68" s="23">
        <v>0</v>
      </c>
      <c r="AC68" s="10">
        <v>0</v>
      </c>
      <c r="AD68" s="10">
        <v>0</v>
      </c>
      <c r="AE68" s="1" t="s">
        <v>540</v>
      </c>
    </row>
    <row r="69" spans="1:31" ht="16.5" customHeight="1" x14ac:dyDescent="0.35">
      <c r="A69" s="4">
        <v>202</v>
      </c>
      <c r="B69" s="4" t="str">
        <f>LOOKUP(A69,Lookup!$A$1:$A$34,Lookup!$B$1:$B$34)</f>
        <v>BEEF</v>
      </c>
      <c r="C69" s="5">
        <v>12141</v>
      </c>
      <c r="D69" s="6" t="s">
        <v>74</v>
      </c>
      <c r="E69" s="4">
        <v>2</v>
      </c>
      <c r="F69" s="10">
        <v>1749.6869565217389</v>
      </c>
      <c r="G69" s="10">
        <v>11.379</v>
      </c>
      <c r="H69" s="10">
        <v>137.73043478260868</v>
      </c>
      <c r="I69" s="10">
        <v>0.66</v>
      </c>
      <c r="J69" s="10">
        <v>674.82608695652175</v>
      </c>
      <c r="K69" s="10">
        <v>3.3250000000000002</v>
      </c>
      <c r="L69" s="10">
        <v>4750.3304347826088</v>
      </c>
      <c r="M69" s="10">
        <v>27.315999999999999</v>
      </c>
      <c r="N69" s="10">
        <v>2731.356521739131</v>
      </c>
      <c r="O69" s="10">
        <v>15.85</v>
      </c>
      <c r="P69" s="10">
        <v>1950.6086956521738</v>
      </c>
      <c r="Q69" s="10">
        <v>10.102</v>
      </c>
      <c r="R69" s="10">
        <v>2229.2434782608698</v>
      </c>
      <c r="S69" s="10">
        <v>11.147</v>
      </c>
      <c r="T69" s="10">
        <v>1680.7043478260871</v>
      </c>
      <c r="U69" s="10">
        <v>8.4039999999999999</v>
      </c>
      <c r="V69" s="10">
        <v>3780.3304347826088</v>
      </c>
      <c r="W69" s="10">
        <v>21.597999999999999</v>
      </c>
      <c r="X69" s="17">
        <v>4750.3304347826088</v>
      </c>
      <c r="Y69" s="18">
        <v>27.315999999999999</v>
      </c>
      <c r="Z69" s="14">
        <v>19684.81739130435</v>
      </c>
      <c r="AA69" s="14">
        <v>109.78100000000001</v>
      </c>
      <c r="AB69" s="23">
        <v>9</v>
      </c>
      <c r="AC69" s="10">
        <v>2187.2019323671502</v>
      </c>
      <c r="AD69" s="10">
        <v>12.19788888888889</v>
      </c>
      <c r="AE69" s="1" t="s">
        <v>542</v>
      </c>
    </row>
    <row r="70" spans="1:31" ht="16.5" customHeight="1" x14ac:dyDescent="0.35">
      <c r="A70" s="4">
        <v>202</v>
      </c>
      <c r="B70" s="4" t="str">
        <f>LOOKUP(A70,Lookup!$A$1:$A$34,Lookup!$B$1:$B$34)</f>
        <v>BEEF</v>
      </c>
      <c r="C70" s="5">
        <v>12157</v>
      </c>
      <c r="D70" s="6" t="s">
        <v>81</v>
      </c>
      <c r="E70" s="4">
        <v>2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7">
        <v>0</v>
      </c>
      <c r="Y70" s="18">
        <v>0</v>
      </c>
      <c r="Z70" s="14">
        <v>0</v>
      </c>
      <c r="AA70" s="14">
        <v>0</v>
      </c>
      <c r="AB70" s="23">
        <v>0</v>
      </c>
      <c r="AC70" s="10">
        <v>0</v>
      </c>
      <c r="AD70" s="10">
        <v>0</v>
      </c>
      <c r="AE70" s="1" t="s">
        <v>540</v>
      </c>
    </row>
    <row r="71" spans="1:31" ht="16.5" customHeight="1" x14ac:dyDescent="0.35">
      <c r="A71" s="4">
        <v>202</v>
      </c>
      <c r="B71" s="4" t="str">
        <f>LOOKUP(A71,Lookup!$A$1:$A$34,Lookup!$B$1:$B$34)</f>
        <v>BEEF</v>
      </c>
      <c r="C71" s="5">
        <v>12160</v>
      </c>
      <c r="D71" s="6" t="s">
        <v>82</v>
      </c>
      <c r="E71" s="4">
        <v>2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7">
        <v>0</v>
      </c>
      <c r="Y71" s="18">
        <v>0</v>
      </c>
      <c r="Z71" s="14">
        <v>0</v>
      </c>
      <c r="AA71" s="14">
        <v>0</v>
      </c>
      <c r="AB71" s="23">
        <v>0</v>
      </c>
      <c r="AC71" s="10">
        <v>0</v>
      </c>
      <c r="AD71" s="10">
        <v>0</v>
      </c>
      <c r="AE71" s="1" t="s">
        <v>540</v>
      </c>
    </row>
    <row r="72" spans="1:31" ht="16.5" customHeight="1" x14ac:dyDescent="0.35">
      <c r="A72" s="4">
        <v>202</v>
      </c>
      <c r="B72" s="4" t="str">
        <f>LOOKUP(A72,Lookup!$A$1:$A$34,Lookup!$B$1:$B$34)</f>
        <v>BEEF</v>
      </c>
      <c r="C72" s="5">
        <v>64936</v>
      </c>
      <c r="D72" s="6" t="s">
        <v>139</v>
      </c>
      <c r="E72" s="4">
        <v>2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6900.652173913043</v>
      </c>
      <c r="M72" s="10">
        <v>22.1</v>
      </c>
      <c r="N72" s="10">
        <v>97.973913043478262</v>
      </c>
      <c r="O72" s="10">
        <v>0.313</v>
      </c>
      <c r="P72" s="10">
        <v>0</v>
      </c>
      <c r="Q72" s="10">
        <v>0</v>
      </c>
      <c r="R72" s="10">
        <v>0</v>
      </c>
      <c r="S72" s="10">
        <v>0</v>
      </c>
      <c r="T72" s="10">
        <v>588.94782608695652</v>
      </c>
      <c r="U72" s="10">
        <v>1.881</v>
      </c>
      <c r="V72" s="10">
        <v>197.98260869565217</v>
      </c>
      <c r="W72" s="10">
        <v>0.63200000000000001</v>
      </c>
      <c r="X72" s="17">
        <v>6900.652173913043</v>
      </c>
      <c r="Y72" s="18">
        <v>22.1</v>
      </c>
      <c r="Z72" s="14">
        <v>7785.5565217391295</v>
      </c>
      <c r="AA72" s="14">
        <v>24.926000000000002</v>
      </c>
      <c r="AB72" s="23">
        <v>4</v>
      </c>
      <c r="AC72" s="10">
        <v>1946.3891304347824</v>
      </c>
      <c r="AD72" s="10">
        <v>6.2315000000000005</v>
      </c>
      <c r="AE72" s="1" t="s">
        <v>543</v>
      </c>
    </row>
    <row r="73" spans="1:31" ht="16.5" customHeight="1" x14ac:dyDescent="0.35">
      <c r="A73" s="4">
        <v>202</v>
      </c>
      <c r="B73" s="4" t="str">
        <f>LOOKUP(A73,Lookup!$A$1:$A$34,Lookup!$B$1:$B$34)</f>
        <v>BEEF</v>
      </c>
      <c r="C73" s="5">
        <v>34205</v>
      </c>
      <c r="D73" s="6" t="s">
        <v>115</v>
      </c>
      <c r="E73" s="4">
        <v>2</v>
      </c>
      <c r="F73" s="10">
        <v>1772.0869565217392</v>
      </c>
      <c r="G73" s="10">
        <v>13.67</v>
      </c>
      <c r="H73" s="10">
        <v>1484.1391304347826</v>
      </c>
      <c r="I73" s="10">
        <v>10.667999999999999</v>
      </c>
      <c r="J73" s="10">
        <v>1337.504347826087</v>
      </c>
      <c r="K73" s="10">
        <v>7.4160000000000004</v>
      </c>
      <c r="L73" s="10">
        <v>502.59130434782611</v>
      </c>
      <c r="M73" s="10">
        <v>2.89</v>
      </c>
      <c r="N73" s="10">
        <v>992.99999999999977</v>
      </c>
      <c r="O73" s="10">
        <v>5.71</v>
      </c>
      <c r="P73" s="10">
        <v>1009.3304347826087</v>
      </c>
      <c r="Q73" s="10">
        <v>5.351</v>
      </c>
      <c r="R73" s="10">
        <v>602.4</v>
      </c>
      <c r="S73" s="10">
        <v>3.149</v>
      </c>
      <c r="T73" s="10">
        <v>0</v>
      </c>
      <c r="U73" s="10">
        <v>0</v>
      </c>
      <c r="V73" s="10">
        <v>2623.3565217391306</v>
      </c>
      <c r="W73" s="10">
        <v>18.954000000000001</v>
      </c>
      <c r="X73" s="17">
        <v>2623.3565217391306</v>
      </c>
      <c r="Y73" s="18">
        <v>18.954000000000001</v>
      </c>
      <c r="Z73" s="14">
        <v>10324.408695652173</v>
      </c>
      <c r="AA73" s="14">
        <v>67.807999999999993</v>
      </c>
      <c r="AB73" s="23">
        <v>8</v>
      </c>
      <c r="AC73" s="10">
        <v>1290.5510869565217</v>
      </c>
      <c r="AD73" s="10">
        <v>8.4759999999999991</v>
      </c>
      <c r="AE73" s="1" t="s">
        <v>542</v>
      </c>
    </row>
    <row r="74" spans="1:31" ht="16.5" customHeight="1" x14ac:dyDescent="0.35">
      <c r="A74" s="4">
        <v>202</v>
      </c>
      <c r="B74" s="4" t="str">
        <f>LOOKUP(A74,Lookup!$A$1:$A$34,Lookup!$B$1:$B$34)</f>
        <v>BEEF</v>
      </c>
      <c r="C74" s="5">
        <v>12174</v>
      </c>
      <c r="D74" s="6" t="s">
        <v>85</v>
      </c>
      <c r="E74" s="4">
        <v>2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7">
        <v>0</v>
      </c>
      <c r="Y74" s="18">
        <v>0</v>
      </c>
      <c r="Z74" s="14">
        <v>0</v>
      </c>
      <c r="AA74" s="14">
        <v>0</v>
      </c>
      <c r="AB74" s="23">
        <v>0</v>
      </c>
      <c r="AC74" s="10">
        <v>0</v>
      </c>
      <c r="AD74" s="10">
        <v>0</v>
      </c>
      <c r="AE74" s="1" t="s">
        <v>540</v>
      </c>
    </row>
    <row r="75" spans="1:31" ht="16.5" customHeight="1" x14ac:dyDescent="0.35">
      <c r="A75" s="4">
        <v>202</v>
      </c>
      <c r="B75" s="4" t="str">
        <f>LOOKUP(A75,Lookup!$A$1:$A$34,Lookup!$B$1:$B$34)</f>
        <v>BEEF</v>
      </c>
      <c r="C75" s="5">
        <v>12175</v>
      </c>
      <c r="D75" s="6" t="s">
        <v>86</v>
      </c>
      <c r="E75" s="4">
        <v>2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7">
        <v>0</v>
      </c>
      <c r="Y75" s="18">
        <v>0</v>
      </c>
      <c r="Z75" s="14">
        <v>0</v>
      </c>
      <c r="AA75" s="14">
        <v>0</v>
      </c>
      <c r="AB75" s="23">
        <v>0</v>
      </c>
      <c r="AC75" s="10">
        <v>0</v>
      </c>
      <c r="AD75" s="10">
        <v>0</v>
      </c>
      <c r="AE75" s="1" t="s">
        <v>540</v>
      </c>
    </row>
    <row r="76" spans="1:31" ht="16.5" customHeight="1" x14ac:dyDescent="0.35">
      <c r="A76" s="4">
        <v>202</v>
      </c>
      <c r="B76" s="4" t="str">
        <f>LOOKUP(A76,Lookup!$A$1:$A$34,Lookup!$B$1:$B$34)</f>
        <v>BEEF</v>
      </c>
      <c r="C76" s="5">
        <v>12180</v>
      </c>
      <c r="D76" s="6" t="s">
        <v>87</v>
      </c>
      <c r="E76" s="4">
        <v>2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7">
        <v>0</v>
      </c>
      <c r="Y76" s="18">
        <v>0</v>
      </c>
      <c r="Z76" s="14">
        <v>0</v>
      </c>
      <c r="AA76" s="14">
        <v>0</v>
      </c>
      <c r="AB76" s="23">
        <v>0</v>
      </c>
      <c r="AC76" s="10">
        <v>0</v>
      </c>
      <c r="AD76" s="10">
        <v>0</v>
      </c>
      <c r="AE76" s="1" t="s">
        <v>540</v>
      </c>
    </row>
    <row r="77" spans="1:31" ht="16.5" customHeight="1" x14ac:dyDescent="0.35">
      <c r="A77" s="4">
        <v>202</v>
      </c>
      <c r="B77" s="4" t="str">
        <f>LOOKUP(A77,Lookup!$A$1:$A$34,Lookup!$B$1:$B$34)</f>
        <v>BEEF</v>
      </c>
      <c r="C77" s="5">
        <v>12199</v>
      </c>
      <c r="D77" s="6" t="s">
        <v>88</v>
      </c>
      <c r="E77" s="4">
        <v>2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7">
        <v>0</v>
      </c>
      <c r="Y77" s="18">
        <v>0</v>
      </c>
      <c r="Z77" s="14">
        <v>0</v>
      </c>
      <c r="AA77" s="14">
        <v>0</v>
      </c>
      <c r="AB77" s="23">
        <v>0</v>
      </c>
      <c r="AC77" s="10">
        <v>0</v>
      </c>
      <c r="AD77" s="10">
        <v>0</v>
      </c>
      <c r="AE77" s="1" t="s">
        <v>540</v>
      </c>
    </row>
    <row r="78" spans="1:31" ht="16.5" customHeight="1" x14ac:dyDescent="0.35">
      <c r="A78" s="4">
        <v>202</v>
      </c>
      <c r="B78" s="4" t="str">
        <f>LOOKUP(A78,Lookup!$A$1:$A$34,Lookup!$B$1:$B$34)</f>
        <v>BEEF</v>
      </c>
      <c r="C78" s="5">
        <v>12864</v>
      </c>
      <c r="D78" s="6" t="s">
        <v>89</v>
      </c>
      <c r="E78" s="4">
        <v>2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7">
        <v>0</v>
      </c>
      <c r="Y78" s="18">
        <v>0</v>
      </c>
      <c r="Z78" s="14">
        <v>0</v>
      </c>
      <c r="AA78" s="14">
        <v>0</v>
      </c>
      <c r="AB78" s="23">
        <v>0</v>
      </c>
      <c r="AC78" s="10">
        <v>0</v>
      </c>
      <c r="AD78" s="10">
        <v>0</v>
      </c>
      <c r="AE78" s="1" t="s">
        <v>540</v>
      </c>
    </row>
    <row r="79" spans="1:31" ht="16.5" customHeight="1" x14ac:dyDescent="0.35">
      <c r="A79" s="4">
        <v>202</v>
      </c>
      <c r="B79" s="4" t="str">
        <f>LOOKUP(A79,Lookup!$A$1:$A$34,Lookup!$B$1:$B$34)</f>
        <v>BEEF</v>
      </c>
      <c r="C79" s="5">
        <v>32048</v>
      </c>
      <c r="D79" s="6" t="s">
        <v>90</v>
      </c>
      <c r="E79" s="4">
        <v>2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7">
        <v>0</v>
      </c>
      <c r="Y79" s="18">
        <v>0</v>
      </c>
      <c r="Z79" s="14">
        <v>0</v>
      </c>
      <c r="AA79" s="14">
        <v>0</v>
      </c>
      <c r="AB79" s="23">
        <v>0</v>
      </c>
      <c r="AC79" s="10">
        <v>0</v>
      </c>
      <c r="AD79" s="10">
        <v>0</v>
      </c>
      <c r="AE79" s="1" t="s">
        <v>540</v>
      </c>
    </row>
    <row r="80" spans="1:31" ht="16.5" customHeight="1" x14ac:dyDescent="0.35">
      <c r="A80" s="4">
        <v>202</v>
      </c>
      <c r="B80" s="4" t="str">
        <f>LOOKUP(A80,Lookup!$A$1:$A$34,Lookup!$B$1:$B$34)</f>
        <v>BEEF</v>
      </c>
      <c r="C80" s="5">
        <v>34151</v>
      </c>
      <c r="D80" s="6" t="s">
        <v>91</v>
      </c>
      <c r="E80" s="4">
        <v>2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7">
        <v>0</v>
      </c>
      <c r="Y80" s="18">
        <v>0</v>
      </c>
      <c r="Z80" s="14">
        <v>0</v>
      </c>
      <c r="AA80" s="14">
        <v>0</v>
      </c>
      <c r="AB80" s="23">
        <v>0</v>
      </c>
      <c r="AC80" s="10">
        <v>0</v>
      </c>
      <c r="AD80" s="10">
        <v>0</v>
      </c>
      <c r="AE80" s="1" t="s">
        <v>540</v>
      </c>
    </row>
    <row r="81" spans="1:31" ht="16.5" customHeight="1" x14ac:dyDescent="0.35">
      <c r="A81" s="4">
        <v>202</v>
      </c>
      <c r="B81" s="4" t="str">
        <f>LOOKUP(A81,Lookup!$A$1:$A$34,Lookup!$B$1:$B$34)</f>
        <v>BEEF</v>
      </c>
      <c r="C81" s="5">
        <v>34152</v>
      </c>
      <c r="D81" s="6" t="s">
        <v>92</v>
      </c>
      <c r="E81" s="4">
        <v>2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7">
        <v>0</v>
      </c>
      <c r="Y81" s="18">
        <v>0</v>
      </c>
      <c r="Z81" s="14">
        <v>0</v>
      </c>
      <c r="AA81" s="14">
        <v>0</v>
      </c>
      <c r="AB81" s="23">
        <v>0</v>
      </c>
      <c r="AC81" s="10">
        <v>0</v>
      </c>
      <c r="AD81" s="10">
        <v>0</v>
      </c>
      <c r="AE81" s="1" t="s">
        <v>540</v>
      </c>
    </row>
    <row r="82" spans="1:31" ht="16.5" customHeight="1" x14ac:dyDescent="0.35">
      <c r="A82" s="4">
        <v>202</v>
      </c>
      <c r="B82" s="4" t="str">
        <f>LOOKUP(A82,Lookup!$A$1:$A$34,Lookup!$B$1:$B$34)</f>
        <v>BEEF</v>
      </c>
      <c r="C82" s="5">
        <v>34254</v>
      </c>
      <c r="D82" s="6" t="s">
        <v>119</v>
      </c>
      <c r="E82" s="4">
        <v>2</v>
      </c>
      <c r="F82" s="10">
        <v>749.20869565217401</v>
      </c>
      <c r="G82" s="10">
        <v>21.648</v>
      </c>
      <c r="H82" s="10">
        <v>628.35652173913036</v>
      </c>
      <c r="I82" s="10">
        <v>18.07</v>
      </c>
      <c r="J82" s="10">
        <v>208.3478260869565</v>
      </c>
      <c r="K82" s="10">
        <v>5.992</v>
      </c>
      <c r="L82" s="10">
        <v>889.26086956521738</v>
      </c>
      <c r="M82" s="10">
        <v>25.573</v>
      </c>
      <c r="N82" s="10">
        <v>1489.5478260869565</v>
      </c>
      <c r="O82" s="10">
        <v>42.835999999999999</v>
      </c>
      <c r="P82" s="10">
        <v>1052.7217391304348</v>
      </c>
      <c r="Q82" s="10">
        <v>30.274000000000001</v>
      </c>
      <c r="R82" s="10">
        <v>1556.5478260869563</v>
      </c>
      <c r="S82" s="10">
        <v>44.762</v>
      </c>
      <c r="T82" s="10">
        <v>1494.6260869565217</v>
      </c>
      <c r="U82" s="10">
        <v>43.073</v>
      </c>
      <c r="V82" s="10">
        <v>1975.0521739130429</v>
      </c>
      <c r="W82" s="10">
        <v>56.796999999999997</v>
      </c>
      <c r="X82" s="17">
        <v>1975.0521739130429</v>
      </c>
      <c r="Y82" s="18">
        <v>56.796999999999997</v>
      </c>
      <c r="Z82" s="14">
        <v>10043.669565217391</v>
      </c>
      <c r="AA82" s="14">
        <v>289.02499999999998</v>
      </c>
      <c r="AB82" s="23">
        <v>9</v>
      </c>
      <c r="AC82" s="10">
        <v>1115.9632850241546</v>
      </c>
      <c r="AD82" s="10">
        <v>32.113888888888887</v>
      </c>
      <c r="AE82" s="1" t="s">
        <v>542</v>
      </c>
    </row>
    <row r="83" spans="1:31" ht="16.5" customHeight="1" x14ac:dyDescent="0.35">
      <c r="A83" s="4">
        <v>202</v>
      </c>
      <c r="B83" s="4" t="str">
        <f>LOOKUP(A83,Lookup!$A$1:$A$34,Lookup!$B$1:$B$34)</f>
        <v>BEEF</v>
      </c>
      <c r="C83" s="5">
        <v>34156</v>
      </c>
      <c r="D83" s="6" t="s">
        <v>94</v>
      </c>
      <c r="E83" s="4">
        <v>2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7">
        <v>0</v>
      </c>
      <c r="Y83" s="18">
        <v>0</v>
      </c>
      <c r="Z83" s="14">
        <v>0</v>
      </c>
      <c r="AA83" s="14">
        <v>0</v>
      </c>
      <c r="AB83" s="23">
        <v>0</v>
      </c>
      <c r="AC83" s="10">
        <v>0</v>
      </c>
      <c r="AD83" s="10">
        <v>0</v>
      </c>
      <c r="AE83" s="1" t="s">
        <v>540</v>
      </c>
    </row>
    <row r="84" spans="1:31" ht="16.5" customHeight="1" x14ac:dyDescent="0.35">
      <c r="A84" s="4">
        <v>202</v>
      </c>
      <c r="B84" s="4" t="str">
        <f>LOOKUP(A84,Lookup!$A$1:$A$34,Lookup!$B$1:$B$34)</f>
        <v>BEEF</v>
      </c>
      <c r="C84" s="5">
        <v>12172</v>
      </c>
      <c r="D84" s="6" t="s">
        <v>84</v>
      </c>
      <c r="E84" s="4">
        <v>2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1106.7739130434782</v>
      </c>
      <c r="M84" s="10">
        <v>3.2120000000000002</v>
      </c>
      <c r="N84" s="10">
        <v>985.00869565217408</v>
      </c>
      <c r="O84" s="10">
        <v>2.8319999999999999</v>
      </c>
      <c r="P84" s="10">
        <v>1483.7739130434782</v>
      </c>
      <c r="Q84" s="10">
        <v>4.266</v>
      </c>
      <c r="R84" s="10">
        <v>428.81739130434778</v>
      </c>
      <c r="S84" s="10">
        <v>1.2330000000000001</v>
      </c>
      <c r="T84" s="10">
        <v>0</v>
      </c>
      <c r="U84" s="10">
        <v>0</v>
      </c>
      <c r="V84" s="10">
        <v>1115.1652173913044</v>
      </c>
      <c r="W84" s="10">
        <v>3.206</v>
      </c>
      <c r="X84" s="17">
        <v>1483.7739130434782</v>
      </c>
      <c r="Y84" s="18">
        <v>4.266</v>
      </c>
      <c r="Z84" s="14">
        <v>5119.5391304347831</v>
      </c>
      <c r="AA84" s="14">
        <v>14.749000000000001</v>
      </c>
      <c r="AB84" s="23">
        <v>5</v>
      </c>
      <c r="AC84" s="10">
        <v>1023.9078260869567</v>
      </c>
      <c r="AD84" s="10">
        <v>2.9498000000000002</v>
      </c>
      <c r="AE84" s="1" t="s">
        <v>543</v>
      </c>
    </row>
    <row r="85" spans="1:31" ht="16.5" customHeight="1" x14ac:dyDescent="0.35">
      <c r="A85" s="4">
        <v>202</v>
      </c>
      <c r="B85" s="4" t="str">
        <f>LOOKUP(A85,Lookup!$A$1:$A$34,Lookup!$B$1:$B$34)</f>
        <v>BEEF</v>
      </c>
      <c r="C85" s="5">
        <v>34158</v>
      </c>
      <c r="D85" s="6" t="s">
        <v>96</v>
      </c>
      <c r="E85" s="4">
        <v>2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7">
        <v>0</v>
      </c>
      <c r="Y85" s="18">
        <v>0</v>
      </c>
      <c r="Z85" s="14">
        <v>0</v>
      </c>
      <c r="AA85" s="14">
        <v>0</v>
      </c>
      <c r="AB85" s="23">
        <v>0</v>
      </c>
      <c r="AC85" s="10">
        <v>0</v>
      </c>
      <c r="AD85" s="10">
        <v>0</v>
      </c>
      <c r="AE85" s="1" t="s">
        <v>540</v>
      </c>
    </row>
    <row r="86" spans="1:31" ht="16.5" customHeight="1" x14ac:dyDescent="0.35">
      <c r="A86" s="4">
        <v>202</v>
      </c>
      <c r="B86" s="4" t="str">
        <f>LOOKUP(A86,Lookup!$A$1:$A$34,Lookup!$B$1:$B$34)</f>
        <v>BEEF</v>
      </c>
      <c r="C86" s="5">
        <v>63526</v>
      </c>
      <c r="D86" s="6" t="s">
        <v>89</v>
      </c>
      <c r="E86" s="4">
        <v>2</v>
      </c>
      <c r="F86" s="10">
        <v>3349.8608695652174</v>
      </c>
      <c r="G86" s="10">
        <v>44.834000000000003</v>
      </c>
      <c r="H86" s="10">
        <v>1406.2956521739129</v>
      </c>
      <c r="I86" s="10">
        <v>17.971</v>
      </c>
      <c r="J86" s="10">
        <v>1129.7913043478261</v>
      </c>
      <c r="K86" s="10">
        <v>14.438000000000001</v>
      </c>
      <c r="L86" s="10">
        <v>988.15652173913031</v>
      </c>
      <c r="M86" s="10">
        <v>11.365</v>
      </c>
      <c r="N86" s="10">
        <v>598.15652173913043</v>
      </c>
      <c r="O86" s="10">
        <v>6.88</v>
      </c>
      <c r="P86" s="10">
        <v>664.81739130434778</v>
      </c>
      <c r="Q86" s="10">
        <v>7.6459999999999999</v>
      </c>
      <c r="R86" s="10">
        <v>377.51304347826084</v>
      </c>
      <c r="S86" s="10">
        <v>4.3419999999999996</v>
      </c>
      <c r="T86" s="10">
        <v>504.00000000000011</v>
      </c>
      <c r="U86" s="10">
        <v>5.83</v>
      </c>
      <c r="V86" s="10">
        <v>162.87826086956522</v>
      </c>
      <c r="W86" s="10">
        <v>1.3380000000000001</v>
      </c>
      <c r="X86" s="17">
        <v>3349.8608695652174</v>
      </c>
      <c r="Y86" s="18">
        <v>44.834000000000003</v>
      </c>
      <c r="Z86" s="14">
        <v>9181.4695652173923</v>
      </c>
      <c r="AA86" s="14">
        <v>114.64399999999999</v>
      </c>
      <c r="AB86" s="23">
        <v>9</v>
      </c>
      <c r="AC86" s="10">
        <v>1020.1632850241547</v>
      </c>
      <c r="AD86" s="10">
        <v>12.738222222222221</v>
      </c>
      <c r="AE86" s="1" t="s">
        <v>542</v>
      </c>
    </row>
    <row r="87" spans="1:31" ht="16.5" customHeight="1" x14ac:dyDescent="0.35">
      <c r="A87" s="4">
        <v>202</v>
      </c>
      <c r="B87" s="4" t="str">
        <f>LOOKUP(A87,Lookup!$A$1:$A$34,Lookup!$B$1:$B$34)</f>
        <v>BEEF</v>
      </c>
      <c r="C87" s="5">
        <v>34161</v>
      </c>
      <c r="D87" s="6" t="s">
        <v>98</v>
      </c>
      <c r="E87" s="4">
        <v>2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7">
        <v>0</v>
      </c>
      <c r="Y87" s="18">
        <v>0</v>
      </c>
      <c r="Z87" s="14">
        <v>0</v>
      </c>
      <c r="AA87" s="14">
        <v>0</v>
      </c>
      <c r="AB87" s="23">
        <v>0</v>
      </c>
      <c r="AC87" s="10">
        <v>0</v>
      </c>
      <c r="AD87" s="10">
        <v>0</v>
      </c>
      <c r="AE87" s="1" t="s">
        <v>540</v>
      </c>
    </row>
    <row r="88" spans="1:31" ht="16.5" customHeight="1" x14ac:dyDescent="0.35">
      <c r="A88" s="4">
        <v>202</v>
      </c>
      <c r="B88" s="4" t="str">
        <f>LOOKUP(A88,Lookup!$A$1:$A$34,Lookup!$B$1:$B$34)</f>
        <v>BEEF</v>
      </c>
      <c r="C88" s="5">
        <v>34162</v>
      </c>
      <c r="D88" s="6" t="s">
        <v>99</v>
      </c>
      <c r="E88" s="4">
        <v>2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7">
        <v>0</v>
      </c>
      <c r="Y88" s="18">
        <v>0</v>
      </c>
      <c r="Z88" s="14">
        <v>0</v>
      </c>
      <c r="AA88" s="14">
        <v>0</v>
      </c>
      <c r="AB88" s="23">
        <v>0</v>
      </c>
      <c r="AC88" s="10">
        <v>0</v>
      </c>
      <c r="AD88" s="10">
        <v>0</v>
      </c>
      <c r="AE88" s="1" t="s">
        <v>540</v>
      </c>
    </row>
    <row r="89" spans="1:31" ht="16.5" customHeight="1" x14ac:dyDescent="0.35">
      <c r="A89" s="4">
        <v>202</v>
      </c>
      <c r="B89" s="4" t="str">
        <f>LOOKUP(A89,Lookup!$A$1:$A$34,Lookup!$B$1:$B$34)</f>
        <v>BEEF</v>
      </c>
      <c r="C89" s="5">
        <v>34163</v>
      </c>
      <c r="D89" s="6" t="s">
        <v>100</v>
      </c>
      <c r="E89" s="4">
        <v>2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7">
        <v>0</v>
      </c>
      <c r="Y89" s="18">
        <v>0</v>
      </c>
      <c r="Z89" s="14">
        <v>0</v>
      </c>
      <c r="AA89" s="14">
        <v>0</v>
      </c>
      <c r="AB89" s="23">
        <v>0</v>
      </c>
      <c r="AC89" s="10">
        <v>0</v>
      </c>
      <c r="AD89" s="10">
        <v>0</v>
      </c>
      <c r="AE89" s="1" t="s">
        <v>540</v>
      </c>
    </row>
    <row r="90" spans="1:31" ht="16.5" customHeight="1" x14ac:dyDescent="0.35">
      <c r="A90" s="4">
        <v>202</v>
      </c>
      <c r="B90" s="4" t="str">
        <f>LOOKUP(A90,Lookup!$A$1:$A$34,Lookup!$B$1:$B$34)</f>
        <v>BEEF</v>
      </c>
      <c r="C90" s="5">
        <v>34164</v>
      </c>
      <c r="D90" s="6" t="s">
        <v>101</v>
      </c>
      <c r="E90" s="4">
        <v>2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7">
        <v>0</v>
      </c>
      <c r="Y90" s="18">
        <v>0</v>
      </c>
      <c r="Z90" s="14">
        <v>0</v>
      </c>
      <c r="AA90" s="14">
        <v>0</v>
      </c>
      <c r="AB90" s="23">
        <v>0</v>
      </c>
      <c r="AC90" s="10">
        <v>0</v>
      </c>
      <c r="AD90" s="10">
        <v>0</v>
      </c>
      <c r="AE90" s="1" t="s">
        <v>540</v>
      </c>
    </row>
    <row r="91" spans="1:31" ht="16.5" customHeight="1" x14ac:dyDescent="0.35">
      <c r="A91" s="4">
        <v>202</v>
      </c>
      <c r="B91" s="4" t="str">
        <f>LOOKUP(A91,Lookup!$A$1:$A$34,Lookup!$B$1:$B$34)</f>
        <v>BEEF</v>
      </c>
      <c r="C91" s="5">
        <v>34165</v>
      </c>
      <c r="D91" s="6" t="s">
        <v>102</v>
      </c>
      <c r="E91" s="4">
        <v>2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7">
        <v>0</v>
      </c>
      <c r="Y91" s="18">
        <v>0</v>
      </c>
      <c r="Z91" s="14">
        <v>0</v>
      </c>
      <c r="AA91" s="14">
        <v>0</v>
      </c>
      <c r="AB91" s="23">
        <v>0</v>
      </c>
      <c r="AC91" s="10">
        <v>0</v>
      </c>
      <c r="AD91" s="10">
        <v>0</v>
      </c>
      <c r="AE91" s="1" t="s">
        <v>540</v>
      </c>
    </row>
    <row r="92" spans="1:31" ht="16.5" customHeight="1" x14ac:dyDescent="0.35">
      <c r="A92" s="4">
        <v>202</v>
      </c>
      <c r="B92" s="4" t="str">
        <f>LOOKUP(A92,Lookup!$A$1:$A$34,Lookup!$B$1:$B$34)</f>
        <v>BEEF</v>
      </c>
      <c r="C92" s="5">
        <v>34166</v>
      </c>
      <c r="D92" s="6" t="s">
        <v>103</v>
      </c>
      <c r="E92" s="4">
        <v>2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7">
        <v>0</v>
      </c>
      <c r="Y92" s="18">
        <v>0</v>
      </c>
      <c r="Z92" s="14">
        <v>0</v>
      </c>
      <c r="AA92" s="14">
        <v>0</v>
      </c>
      <c r="AB92" s="23">
        <v>0</v>
      </c>
      <c r="AC92" s="10">
        <v>0</v>
      </c>
      <c r="AD92" s="10">
        <v>0</v>
      </c>
      <c r="AE92" s="1" t="s">
        <v>540</v>
      </c>
    </row>
    <row r="93" spans="1:31" ht="16.5" customHeight="1" x14ac:dyDescent="0.35">
      <c r="A93" s="4">
        <v>202</v>
      </c>
      <c r="B93" s="4" t="str">
        <f>LOOKUP(A93,Lookup!$A$1:$A$34,Lookup!$B$1:$B$34)</f>
        <v>BEEF</v>
      </c>
      <c r="C93" s="5">
        <v>63482</v>
      </c>
      <c r="D93" s="6" t="s">
        <v>133</v>
      </c>
      <c r="E93" s="4">
        <v>2</v>
      </c>
      <c r="F93" s="10">
        <v>1697.9304347826087</v>
      </c>
      <c r="G93" s="10">
        <v>16.294</v>
      </c>
      <c r="H93" s="10">
        <v>882.39130434782612</v>
      </c>
      <c r="I93" s="10">
        <v>7.2480000000000002</v>
      </c>
      <c r="J93" s="10">
        <v>1018.695652173913</v>
      </c>
      <c r="K93" s="10">
        <v>8.3680000000000003</v>
      </c>
      <c r="L93" s="10">
        <v>1153.3739130434781</v>
      </c>
      <c r="M93" s="10">
        <v>9.49</v>
      </c>
      <c r="N93" s="10">
        <v>1230.9826086956523</v>
      </c>
      <c r="O93" s="10">
        <v>10.112</v>
      </c>
      <c r="P93" s="10">
        <v>680.7913043478261</v>
      </c>
      <c r="Q93" s="10">
        <v>6.335</v>
      </c>
      <c r="R93" s="10">
        <v>724.75652173913045</v>
      </c>
      <c r="S93" s="10">
        <v>6.9459999999999997</v>
      </c>
      <c r="T93" s="10">
        <v>882.00869565217397</v>
      </c>
      <c r="U93" s="10">
        <v>7.4020000000000001</v>
      </c>
      <c r="V93" s="10">
        <v>903.19130434782596</v>
      </c>
      <c r="W93" s="10">
        <v>7.5019999999999998</v>
      </c>
      <c r="X93" s="17">
        <v>1697.9304347826087</v>
      </c>
      <c r="Y93" s="18">
        <v>16.294</v>
      </c>
      <c r="Z93" s="14">
        <v>9174.1217391304344</v>
      </c>
      <c r="AA93" s="14">
        <v>79.697000000000003</v>
      </c>
      <c r="AB93" s="23">
        <v>9</v>
      </c>
      <c r="AC93" s="10">
        <v>1019.3468599033816</v>
      </c>
      <c r="AD93" s="10">
        <v>8.8552222222222223</v>
      </c>
      <c r="AE93" s="1" t="s">
        <v>542</v>
      </c>
    </row>
    <row r="94" spans="1:31" ht="16.5" customHeight="1" x14ac:dyDescent="0.35">
      <c r="A94" s="4">
        <v>202</v>
      </c>
      <c r="B94" s="4" t="str">
        <f>LOOKUP(A94,Lookup!$A$1:$A$34,Lookup!$B$1:$B$34)</f>
        <v>BEEF</v>
      </c>
      <c r="C94" s="5">
        <v>34170</v>
      </c>
      <c r="D94" s="6" t="s">
        <v>105</v>
      </c>
      <c r="E94" s="4">
        <v>2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7">
        <v>0</v>
      </c>
      <c r="Y94" s="18">
        <v>0</v>
      </c>
      <c r="Z94" s="14">
        <v>0</v>
      </c>
      <c r="AA94" s="14">
        <v>0</v>
      </c>
      <c r="AB94" s="23">
        <v>0</v>
      </c>
      <c r="AC94" s="10">
        <v>0</v>
      </c>
      <c r="AD94" s="10">
        <v>0</v>
      </c>
      <c r="AE94" s="1" t="s">
        <v>540</v>
      </c>
    </row>
    <row r="95" spans="1:31" ht="16.5" customHeight="1" x14ac:dyDescent="0.35">
      <c r="A95" s="4">
        <v>202</v>
      </c>
      <c r="B95" s="4" t="str">
        <f>LOOKUP(A95,Lookup!$A$1:$A$34,Lookup!$B$1:$B$34)</f>
        <v>BEEF</v>
      </c>
      <c r="C95" s="5">
        <v>34171</v>
      </c>
      <c r="D95" s="6" t="s">
        <v>106</v>
      </c>
      <c r="E95" s="4">
        <v>2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7">
        <v>0</v>
      </c>
      <c r="Y95" s="18">
        <v>0</v>
      </c>
      <c r="Z95" s="14">
        <v>0</v>
      </c>
      <c r="AA95" s="14">
        <v>0</v>
      </c>
      <c r="AB95" s="23">
        <v>0</v>
      </c>
      <c r="AC95" s="10">
        <v>0</v>
      </c>
      <c r="AD95" s="10">
        <v>0</v>
      </c>
      <c r="AE95" s="1" t="s">
        <v>540</v>
      </c>
    </row>
    <row r="96" spans="1:31" ht="16.5" customHeight="1" x14ac:dyDescent="0.35">
      <c r="A96" s="4">
        <v>202</v>
      </c>
      <c r="B96" s="4" t="str">
        <f>LOOKUP(A96,Lookup!$A$1:$A$34,Lookup!$B$1:$B$34)</f>
        <v>BEEF</v>
      </c>
      <c r="C96" s="5">
        <v>12150</v>
      </c>
      <c r="D96" s="6" t="s">
        <v>80</v>
      </c>
      <c r="E96" s="4">
        <v>2</v>
      </c>
      <c r="F96" s="10">
        <v>981.0695652173913</v>
      </c>
      <c r="G96" s="10">
        <v>6.7069999999999999</v>
      </c>
      <c r="H96" s="10">
        <v>1719.4347826086955</v>
      </c>
      <c r="I96" s="10">
        <v>10.986000000000001</v>
      </c>
      <c r="J96" s="10">
        <v>980.07826086956538</v>
      </c>
      <c r="K96" s="10">
        <v>5.6050000000000004</v>
      </c>
      <c r="L96" s="10">
        <v>1244.0956521739131</v>
      </c>
      <c r="M96" s="10">
        <v>7.51</v>
      </c>
      <c r="N96" s="10">
        <v>1686.8521739130433</v>
      </c>
      <c r="O96" s="10">
        <v>9.6999999999999993</v>
      </c>
      <c r="P96" s="10">
        <v>742.93043478260881</v>
      </c>
      <c r="Q96" s="10">
        <v>4.4390000000000001</v>
      </c>
      <c r="R96" s="10">
        <v>838.45217391304345</v>
      </c>
      <c r="S96" s="10">
        <v>4.4409999999999998</v>
      </c>
      <c r="T96" s="10">
        <v>700.01739130434783</v>
      </c>
      <c r="U96" s="10">
        <v>5.2409999999999997</v>
      </c>
      <c r="V96" s="10">
        <v>101.99130434782609</v>
      </c>
      <c r="W96" s="10">
        <v>0.51</v>
      </c>
      <c r="X96" s="17">
        <v>1719.4347826086955</v>
      </c>
      <c r="Y96" s="18">
        <v>10.986000000000001</v>
      </c>
      <c r="Z96" s="14">
        <v>8994.9217391304337</v>
      </c>
      <c r="AA96" s="14">
        <v>55.138999999999996</v>
      </c>
      <c r="AB96" s="23">
        <v>9</v>
      </c>
      <c r="AC96" s="10">
        <v>999.43574879227037</v>
      </c>
      <c r="AD96" s="10">
        <v>6.1265555555555551</v>
      </c>
      <c r="AE96" s="1" t="s">
        <v>542</v>
      </c>
    </row>
    <row r="97" spans="1:31" ht="16.5" customHeight="1" x14ac:dyDescent="0.35">
      <c r="A97" s="4">
        <v>202</v>
      </c>
      <c r="B97" s="4" t="str">
        <f>LOOKUP(A97,Lookup!$A$1:$A$34,Lookup!$B$1:$B$34)</f>
        <v>BEEF</v>
      </c>
      <c r="C97" s="5">
        <v>34177</v>
      </c>
      <c r="D97" s="6" t="s">
        <v>108</v>
      </c>
      <c r="E97" s="4">
        <v>2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7">
        <v>0</v>
      </c>
      <c r="Y97" s="18">
        <v>0</v>
      </c>
      <c r="Z97" s="14">
        <v>0</v>
      </c>
      <c r="AA97" s="14">
        <v>0</v>
      </c>
      <c r="AB97" s="23">
        <v>0</v>
      </c>
      <c r="AC97" s="10">
        <v>0</v>
      </c>
      <c r="AD97" s="10">
        <v>0</v>
      </c>
      <c r="AE97" s="1" t="s">
        <v>540</v>
      </c>
    </row>
    <row r="98" spans="1:31" ht="16.5" customHeight="1" x14ac:dyDescent="0.35">
      <c r="A98" s="4">
        <v>202</v>
      </c>
      <c r="B98" s="4" t="str">
        <f>LOOKUP(A98,Lookup!$A$1:$A$34,Lookup!$B$1:$B$34)</f>
        <v>BEEF</v>
      </c>
      <c r="C98" s="5">
        <v>34178</v>
      </c>
      <c r="D98" s="6" t="s">
        <v>109</v>
      </c>
      <c r="E98" s="4">
        <v>2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7">
        <v>0</v>
      </c>
      <c r="Y98" s="18">
        <v>0</v>
      </c>
      <c r="Z98" s="14">
        <v>0</v>
      </c>
      <c r="AA98" s="14">
        <v>0</v>
      </c>
      <c r="AB98" s="23">
        <v>0</v>
      </c>
      <c r="AC98" s="10">
        <v>0</v>
      </c>
      <c r="AD98" s="10">
        <v>0</v>
      </c>
      <c r="AE98" s="1" t="s">
        <v>540</v>
      </c>
    </row>
    <row r="99" spans="1:31" ht="16.5" customHeight="1" x14ac:dyDescent="0.35">
      <c r="A99" s="4">
        <v>202</v>
      </c>
      <c r="B99" s="4" t="str">
        <f>LOOKUP(A99,Lookup!$A$1:$A$34,Lookup!$B$1:$B$34)</f>
        <v>BEEF</v>
      </c>
      <c r="C99" s="5">
        <v>34179</v>
      </c>
      <c r="D99" s="6" t="s">
        <v>110</v>
      </c>
      <c r="E99" s="4">
        <v>2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7">
        <v>0</v>
      </c>
      <c r="Y99" s="18">
        <v>0</v>
      </c>
      <c r="Z99" s="14">
        <v>0</v>
      </c>
      <c r="AA99" s="14">
        <v>0</v>
      </c>
      <c r="AB99" s="23">
        <v>0</v>
      </c>
      <c r="AC99" s="10">
        <v>0</v>
      </c>
      <c r="AD99" s="10">
        <v>0</v>
      </c>
      <c r="AE99" s="1" t="s">
        <v>540</v>
      </c>
    </row>
    <row r="100" spans="1:31" ht="16.5" customHeight="1" x14ac:dyDescent="0.35">
      <c r="A100" s="4">
        <v>202</v>
      </c>
      <c r="B100" s="4" t="str">
        <f>LOOKUP(A100,Lookup!$A$1:$A$34,Lookup!$B$1:$B$34)</f>
        <v>BEEF</v>
      </c>
      <c r="C100" s="5">
        <v>34180</v>
      </c>
      <c r="D100" s="6" t="s">
        <v>111</v>
      </c>
      <c r="E100" s="4">
        <v>2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7">
        <v>0</v>
      </c>
      <c r="Y100" s="18">
        <v>0</v>
      </c>
      <c r="Z100" s="14">
        <v>0</v>
      </c>
      <c r="AA100" s="14">
        <v>0</v>
      </c>
      <c r="AB100" s="23">
        <v>0</v>
      </c>
      <c r="AC100" s="10">
        <v>0</v>
      </c>
      <c r="AD100" s="10">
        <v>0</v>
      </c>
      <c r="AE100" s="1" t="s">
        <v>540</v>
      </c>
    </row>
    <row r="101" spans="1:31" ht="16.5" customHeight="1" x14ac:dyDescent="0.35">
      <c r="A101" s="4">
        <v>202</v>
      </c>
      <c r="B101" s="4" t="str">
        <f>LOOKUP(A101,Lookup!$A$1:$A$34,Lookup!$B$1:$B$34)</f>
        <v>BEEF</v>
      </c>
      <c r="C101" s="5">
        <v>34182</v>
      </c>
      <c r="D101" s="6" t="s">
        <v>112</v>
      </c>
      <c r="E101" s="4">
        <v>2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7">
        <v>0</v>
      </c>
      <c r="Y101" s="18">
        <v>0</v>
      </c>
      <c r="Z101" s="14">
        <v>0</v>
      </c>
      <c r="AA101" s="14">
        <v>0</v>
      </c>
      <c r="AB101" s="23">
        <v>0</v>
      </c>
      <c r="AC101" s="10">
        <v>0</v>
      </c>
      <c r="AD101" s="10">
        <v>0</v>
      </c>
      <c r="AE101" s="1" t="s">
        <v>540</v>
      </c>
    </row>
    <row r="102" spans="1:31" ht="16.5" customHeight="1" x14ac:dyDescent="0.35">
      <c r="A102" s="4">
        <v>202</v>
      </c>
      <c r="B102" s="4" t="str">
        <f>LOOKUP(A102,Lookup!$A$1:$A$34,Lookup!$B$1:$B$34)</f>
        <v>BEEF</v>
      </c>
      <c r="C102" s="5">
        <v>34184</v>
      </c>
      <c r="D102" s="6" t="s">
        <v>113</v>
      </c>
      <c r="E102" s="4">
        <v>2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7">
        <v>0</v>
      </c>
      <c r="Y102" s="18">
        <v>0</v>
      </c>
      <c r="Z102" s="14">
        <v>0</v>
      </c>
      <c r="AA102" s="14">
        <v>0</v>
      </c>
      <c r="AB102" s="23">
        <v>0</v>
      </c>
      <c r="AC102" s="10">
        <v>0</v>
      </c>
      <c r="AD102" s="10">
        <v>0</v>
      </c>
      <c r="AE102" s="1" t="s">
        <v>540</v>
      </c>
    </row>
    <row r="103" spans="1:31" ht="16.5" customHeight="1" x14ac:dyDescent="0.35">
      <c r="A103" s="4">
        <v>202</v>
      </c>
      <c r="B103" s="4" t="str">
        <f>LOOKUP(A103,Lookup!$A$1:$A$34,Lookup!$B$1:$B$34)</f>
        <v>BEEF</v>
      </c>
      <c r="C103" s="5">
        <v>34185</v>
      </c>
      <c r="D103" s="6" t="s">
        <v>114</v>
      </c>
      <c r="E103" s="4">
        <v>2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7">
        <v>0</v>
      </c>
      <c r="Y103" s="18">
        <v>0</v>
      </c>
      <c r="Z103" s="14">
        <v>0</v>
      </c>
      <c r="AA103" s="14">
        <v>0</v>
      </c>
      <c r="AB103" s="23">
        <v>0</v>
      </c>
      <c r="AC103" s="10">
        <v>0</v>
      </c>
      <c r="AD103" s="10">
        <v>0</v>
      </c>
      <c r="AE103" s="1" t="s">
        <v>540</v>
      </c>
    </row>
    <row r="104" spans="1:31" ht="16.5" customHeight="1" x14ac:dyDescent="0.35">
      <c r="A104" s="4">
        <v>202</v>
      </c>
      <c r="B104" s="4" t="str">
        <f>LOOKUP(A104,Lookup!$A$1:$A$34,Lookup!$B$1:$B$34)</f>
        <v>BEEF</v>
      </c>
      <c r="C104" s="5">
        <v>34191</v>
      </c>
      <c r="D104" s="6" t="s">
        <v>97</v>
      </c>
      <c r="E104" s="4">
        <v>2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7">
        <v>0</v>
      </c>
      <c r="Y104" s="18">
        <v>0</v>
      </c>
      <c r="Z104" s="14">
        <v>0</v>
      </c>
      <c r="AA104" s="14">
        <v>0</v>
      </c>
      <c r="AB104" s="23">
        <v>0</v>
      </c>
      <c r="AC104" s="10">
        <v>0</v>
      </c>
      <c r="AD104" s="10">
        <v>0</v>
      </c>
      <c r="AE104" s="1" t="s">
        <v>540</v>
      </c>
    </row>
    <row r="105" spans="1:31" ht="16.5" customHeight="1" x14ac:dyDescent="0.35">
      <c r="A105" s="4">
        <v>202</v>
      </c>
      <c r="B105" s="4" t="str">
        <f>LOOKUP(A105,Lookup!$A$1:$A$34,Lookup!$B$1:$B$34)</f>
        <v>BEEF</v>
      </c>
      <c r="C105" s="5">
        <v>34154</v>
      </c>
      <c r="D105" s="6" t="s">
        <v>93</v>
      </c>
      <c r="E105" s="4">
        <v>2</v>
      </c>
      <c r="F105" s="10">
        <v>986.00869565217374</v>
      </c>
      <c r="G105" s="10">
        <v>9.4499999999999993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7">
        <v>986.00869565217374</v>
      </c>
      <c r="Y105" s="18">
        <v>9.4499999999999993</v>
      </c>
      <c r="Z105" s="14">
        <v>986.00869565217374</v>
      </c>
      <c r="AA105" s="14">
        <v>9.4499999999999993</v>
      </c>
      <c r="AB105" s="23">
        <v>1</v>
      </c>
      <c r="AC105" s="10">
        <v>986.00869565217374</v>
      </c>
      <c r="AD105" s="10">
        <v>9.4499999999999993</v>
      </c>
      <c r="AE105" s="1" t="s">
        <v>541</v>
      </c>
    </row>
    <row r="106" spans="1:31" ht="16.5" customHeight="1" x14ac:dyDescent="0.35">
      <c r="A106" s="4">
        <v>202</v>
      </c>
      <c r="B106" s="4" t="str">
        <f>LOOKUP(A106,Lookup!$A$1:$A$34,Lookup!$B$1:$B$34)</f>
        <v>BEEF</v>
      </c>
      <c r="C106" s="5">
        <v>34206</v>
      </c>
      <c r="D106" s="6" t="s">
        <v>116</v>
      </c>
      <c r="E106" s="4">
        <v>2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7">
        <v>0</v>
      </c>
      <c r="Y106" s="18">
        <v>0</v>
      </c>
      <c r="Z106" s="14">
        <v>0</v>
      </c>
      <c r="AA106" s="14">
        <v>0</v>
      </c>
      <c r="AB106" s="23">
        <v>0</v>
      </c>
      <c r="AC106" s="10">
        <v>0</v>
      </c>
      <c r="AD106" s="10">
        <v>0</v>
      </c>
      <c r="AE106" s="1" t="s">
        <v>540</v>
      </c>
    </row>
    <row r="107" spans="1:31" ht="16.5" customHeight="1" x14ac:dyDescent="0.35">
      <c r="A107" s="4">
        <v>202</v>
      </c>
      <c r="B107" s="4" t="str">
        <f>LOOKUP(A107,Lookup!$A$1:$A$34,Lookup!$B$1:$B$34)</f>
        <v>BEEF</v>
      </c>
      <c r="C107" s="5">
        <v>34157</v>
      </c>
      <c r="D107" s="6" t="s">
        <v>95</v>
      </c>
      <c r="E107" s="4">
        <v>2</v>
      </c>
      <c r="F107" s="10">
        <v>317.09565217391298</v>
      </c>
      <c r="G107" s="10">
        <v>1.502</v>
      </c>
      <c r="H107" s="10">
        <v>1478.6260869565217</v>
      </c>
      <c r="I107" s="10">
        <v>6.8019999999999996</v>
      </c>
      <c r="J107" s="10">
        <v>816.05217391304348</v>
      </c>
      <c r="K107" s="10">
        <v>3.754</v>
      </c>
      <c r="L107" s="10">
        <v>912.99130434782614</v>
      </c>
      <c r="M107" s="10">
        <v>4.2</v>
      </c>
      <c r="N107" s="10">
        <v>842.56521739130437</v>
      </c>
      <c r="O107" s="10">
        <v>3.8759999999999999</v>
      </c>
      <c r="P107" s="10">
        <v>0</v>
      </c>
      <c r="Q107" s="10">
        <v>0</v>
      </c>
      <c r="R107" s="10">
        <v>0</v>
      </c>
      <c r="S107" s="10">
        <v>0</v>
      </c>
      <c r="T107" s="10">
        <v>123.46956521739131</v>
      </c>
      <c r="U107" s="10">
        <v>0.56799999999999995</v>
      </c>
      <c r="V107" s="10">
        <v>211.29565217391306</v>
      </c>
      <c r="W107" s="10">
        <v>0.97199999999999998</v>
      </c>
      <c r="X107" s="17">
        <v>1478.6260869565217</v>
      </c>
      <c r="Y107" s="18">
        <v>6.8019999999999996</v>
      </c>
      <c r="Z107" s="14">
        <v>4702.0956521739135</v>
      </c>
      <c r="AA107" s="14">
        <v>21.674000000000003</v>
      </c>
      <c r="AB107" s="23">
        <v>7</v>
      </c>
      <c r="AC107" s="10">
        <v>671.72795031055909</v>
      </c>
      <c r="AD107" s="10">
        <v>3.0962857142857145</v>
      </c>
      <c r="AE107" s="1" t="s">
        <v>543</v>
      </c>
    </row>
    <row r="108" spans="1:31" ht="16.5" customHeight="1" x14ac:dyDescent="0.35">
      <c r="A108" s="4">
        <v>202</v>
      </c>
      <c r="B108" s="4" t="str">
        <f>LOOKUP(A108,Lookup!$A$1:$A$34,Lookup!$B$1:$B$34)</f>
        <v>BEEF</v>
      </c>
      <c r="C108" s="5">
        <v>34208</v>
      </c>
      <c r="D108" s="6" t="s">
        <v>118</v>
      </c>
      <c r="E108" s="4">
        <v>2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7">
        <v>0</v>
      </c>
      <c r="Y108" s="18">
        <v>0</v>
      </c>
      <c r="Z108" s="14">
        <v>0</v>
      </c>
      <c r="AA108" s="14">
        <v>0</v>
      </c>
      <c r="AB108" s="23">
        <v>0</v>
      </c>
      <c r="AC108" s="10">
        <v>0</v>
      </c>
      <c r="AD108" s="10">
        <v>0</v>
      </c>
      <c r="AE108" s="1" t="s">
        <v>540</v>
      </c>
    </row>
    <row r="109" spans="1:31" ht="16.5" customHeight="1" x14ac:dyDescent="0.35">
      <c r="A109" s="4">
        <v>202</v>
      </c>
      <c r="B109" s="4" t="str">
        <f>LOOKUP(A109,Lookup!$A$1:$A$34,Lookup!$B$1:$B$34)</f>
        <v>BEEF</v>
      </c>
      <c r="C109" s="5">
        <v>62790</v>
      </c>
      <c r="D109" s="6" t="s">
        <v>130</v>
      </c>
      <c r="E109" s="4">
        <v>2</v>
      </c>
      <c r="F109" s="10">
        <v>604.10434782608695</v>
      </c>
      <c r="G109" s="10">
        <v>5.79</v>
      </c>
      <c r="H109" s="10">
        <v>0</v>
      </c>
      <c r="I109" s="10">
        <v>0</v>
      </c>
      <c r="J109" s="10">
        <v>218.38260869565215</v>
      </c>
      <c r="K109" s="10">
        <v>1.9319999999999999</v>
      </c>
      <c r="L109" s="10">
        <v>1268.4434782608694</v>
      </c>
      <c r="M109" s="10">
        <v>11.222</v>
      </c>
      <c r="N109" s="10">
        <v>403.75652173913045</v>
      </c>
      <c r="O109" s="10">
        <v>3.5720000000000001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7">
        <v>1268.4434782608694</v>
      </c>
      <c r="Y109" s="18">
        <v>11.222</v>
      </c>
      <c r="Z109" s="14">
        <v>2494.6869565217385</v>
      </c>
      <c r="AA109" s="14">
        <v>22.515999999999998</v>
      </c>
      <c r="AB109" s="23">
        <v>4</v>
      </c>
      <c r="AC109" s="10">
        <v>623.67173913043462</v>
      </c>
      <c r="AD109" s="10">
        <v>5.6289999999999996</v>
      </c>
      <c r="AE109" s="1" t="s">
        <v>543</v>
      </c>
    </row>
    <row r="110" spans="1:31" ht="16.5" customHeight="1" x14ac:dyDescent="0.35">
      <c r="A110" s="4">
        <v>202</v>
      </c>
      <c r="B110" s="4" t="str">
        <f>LOOKUP(A110,Lookup!$A$1:$A$34,Lookup!$B$1:$B$34)</f>
        <v>BEEF</v>
      </c>
      <c r="C110" s="5">
        <v>52680</v>
      </c>
      <c r="D110" s="6" t="s">
        <v>124</v>
      </c>
      <c r="E110" s="4">
        <v>2</v>
      </c>
      <c r="F110" s="10">
        <v>485.52173913043481</v>
      </c>
      <c r="G110" s="10">
        <v>2.5379999999999998</v>
      </c>
      <c r="H110" s="10">
        <v>632.81739130434789</v>
      </c>
      <c r="I110" s="10">
        <v>3.3079999999999998</v>
      </c>
      <c r="J110" s="10">
        <v>567.40869565217395</v>
      </c>
      <c r="K110" s="10">
        <v>2.9660000000000002</v>
      </c>
      <c r="L110" s="10">
        <v>84.869565217391298</v>
      </c>
      <c r="M110" s="10">
        <v>0.48799999999999999</v>
      </c>
      <c r="N110" s="10">
        <v>631.28695652173906</v>
      </c>
      <c r="O110" s="10">
        <v>3.63</v>
      </c>
      <c r="P110" s="10">
        <v>477.89565217391294</v>
      </c>
      <c r="Q110" s="10">
        <v>2.7480000000000002</v>
      </c>
      <c r="R110" s="10">
        <v>479.26086956521749</v>
      </c>
      <c r="S110" s="10">
        <v>2.7559999999999998</v>
      </c>
      <c r="T110" s="10">
        <v>350.59130434782611</v>
      </c>
      <c r="U110" s="10">
        <v>2.016</v>
      </c>
      <c r="V110" s="10">
        <v>326.24347826086949</v>
      </c>
      <c r="W110" s="10">
        <v>1.8759999999999999</v>
      </c>
      <c r="X110" s="17">
        <v>632.81739130434789</v>
      </c>
      <c r="Y110" s="18">
        <v>3.63</v>
      </c>
      <c r="Z110" s="14">
        <v>4035.8956521739128</v>
      </c>
      <c r="AA110" s="14">
        <v>22.326000000000004</v>
      </c>
      <c r="AB110" s="23">
        <v>9</v>
      </c>
      <c r="AC110" s="10">
        <v>448.43285024154585</v>
      </c>
      <c r="AD110" s="10">
        <v>2.480666666666667</v>
      </c>
      <c r="AE110" s="1" t="s">
        <v>542</v>
      </c>
    </row>
    <row r="111" spans="1:31" ht="16.5" customHeight="1" x14ac:dyDescent="0.35">
      <c r="A111" s="4">
        <v>202</v>
      </c>
      <c r="B111" s="4" t="str">
        <f>LOOKUP(A111,Lookup!$A$1:$A$34,Lookup!$B$1:$B$34)</f>
        <v>BEEF</v>
      </c>
      <c r="C111" s="5">
        <v>45167</v>
      </c>
      <c r="D111" s="6" t="s">
        <v>121</v>
      </c>
      <c r="E111" s="4">
        <v>2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7">
        <v>0</v>
      </c>
      <c r="Y111" s="18">
        <v>0</v>
      </c>
      <c r="Z111" s="14">
        <v>0</v>
      </c>
      <c r="AA111" s="14">
        <v>0</v>
      </c>
      <c r="AB111" s="23">
        <v>0</v>
      </c>
      <c r="AC111" s="10">
        <v>0</v>
      </c>
      <c r="AD111" s="10">
        <v>0</v>
      </c>
      <c r="AE111" s="1" t="s">
        <v>540</v>
      </c>
    </row>
    <row r="112" spans="1:31" ht="16.5" customHeight="1" x14ac:dyDescent="0.35">
      <c r="A112" s="4">
        <v>202</v>
      </c>
      <c r="B112" s="4" t="str">
        <f>LOOKUP(A112,Lookup!$A$1:$A$34,Lookup!$B$1:$B$34)</f>
        <v>BEEF</v>
      </c>
      <c r="C112" s="5">
        <v>46490</v>
      </c>
      <c r="D112" s="6" t="s">
        <v>122</v>
      </c>
      <c r="E112" s="4">
        <v>2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7">
        <v>0</v>
      </c>
      <c r="Y112" s="18">
        <v>0</v>
      </c>
      <c r="Z112" s="14">
        <v>0</v>
      </c>
      <c r="AA112" s="14">
        <v>0</v>
      </c>
      <c r="AB112" s="23">
        <v>0</v>
      </c>
      <c r="AC112" s="10">
        <v>0</v>
      </c>
      <c r="AD112" s="10">
        <v>0</v>
      </c>
      <c r="AE112" s="1" t="s">
        <v>540</v>
      </c>
    </row>
    <row r="113" spans="1:31" ht="16.5" customHeight="1" x14ac:dyDescent="0.35">
      <c r="A113" s="4">
        <v>202</v>
      </c>
      <c r="B113" s="4" t="str">
        <f>LOOKUP(A113,Lookup!$A$1:$A$34,Lookup!$B$1:$B$34)</f>
        <v>BEEF</v>
      </c>
      <c r="C113" s="5">
        <v>49605</v>
      </c>
      <c r="D113" s="6" t="s">
        <v>123</v>
      </c>
      <c r="E113" s="4">
        <v>2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7">
        <v>0</v>
      </c>
      <c r="Y113" s="18">
        <v>0</v>
      </c>
      <c r="Z113" s="14">
        <v>0</v>
      </c>
      <c r="AA113" s="14">
        <v>0</v>
      </c>
      <c r="AB113" s="23">
        <v>0</v>
      </c>
      <c r="AC113" s="10">
        <v>0</v>
      </c>
      <c r="AD113" s="10">
        <v>0</v>
      </c>
      <c r="AE113" s="1" t="s">
        <v>540</v>
      </c>
    </row>
    <row r="114" spans="1:31" ht="16.5" customHeight="1" x14ac:dyDescent="0.35">
      <c r="A114" s="4">
        <v>202</v>
      </c>
      <c r="B114" s="4" t="str">
        <f>LOOKUP(A114,Lookup!$A$1:$A$34,Lookup!$B$1:$B$34)</f>
        <v>BEEF</v>
      </c>
      <c r="C114" s="5">
        <v>34207</v>
      </c>
      <c r="D114" s="6" t="s">
        <v>117</v>
      </c>
      <c r="E114" s="4">
        <v>2</v>
      </c>
      <c r="F114" s="10">
        <v>370.51304347826084</v>
      </c>
      <c r="G114" s="10">
        <v>3.278</v>
      </c>
      <c r="H114" s="10">
        <v>677.98260869565229</v>
      </c>
      <c r="I114" s="10">
        <v>5.9980000000000002</v>
      </c>
      <c r="J114" s="10">
        <v>115.74782608695654</v>
      </c>
      <c r="K114" s="10">
        <v>1.024</v>
      </c>
      <c r="L114" s="10">
        <v>550.72173913043468</v>
      </c>
      <c r="M114" s="10">
        <v>4.8719999999999999</v>
      </c>
      <c r="N114" s="10">
        <v>672.8608695652174</v>
      </c>
      <c r="O114" s="10">
        <v>5.976</v>
      </c>
      <c r="P114" s="10">
        <v>0</v>
      </c>
      <c r="Q114" s="10">
        <v>0</v>
      </c>
      <c r="R114" s="10">
        <v>0</v>
      </c>
      <c r="S114" s="10">
        <v>0</v>
      </c>
      <c r="T114" s="10">
        <v>171.13043478260872</v>
      </c>
      <c r="U114" s="10">
        <v>1.514</v>
      </c>
      <c r="V114" s="10">
        <v>0</v>
      </c>
      <c r="W114" s="10">
        <v>0</v>
      </c>
      <c r="X114" s="17">
        <v>677.98260869565229</v>
      </c>
      <c r="Y114" s="18">
        <v>5.9980000000000002</v>
      </c>
      <c r="Z114" s="14">
        <v>2558.9565217391305</v>
      </c>
      <c r="AA114" s="14">
        <v>22.661999999999999</v>
      </c>
      <c r="AB114" s="23">
        <v>6</v>
      </c>
      <c r="AC114" s="10">
        <v>426.49275362318843</v>
      </c>
      <c r="AD114" s="10">
        <v>3.7769999999999997</v>
      </c>
      <c r="AE114" s="1" t="s">
        <v>543</v>
      </c>
    </row>
    <row r="115" spans="1:31" ht="16.5" customHeight="1" x14ac:dyDescent="0.35">
      <c r="A115" s="4">
        <v>202</v>
      </c>
      <c r="B115" s="4" t="str">
        <f>LOOKUP(A115,Lookup!$A$1:$A$34,Lookup!$B$1:$B$34)</f>
        <v>BEEF</v>
      </c>
      <c r="C115" s="5">
        <v>34169</v>
      </c>
      <c r="D115" s="6" t="s">
        <v>104</v>
      </c>
      <c r="E115" s="4">
        <v>2</v>
      </c>
      <c r="F115" s="10">
        <v>1175.8608695652172</v>
      </c>
      <c r="G115" s="10">
        <v>15.055999999999999</v>
      </c>
      <c r="H115" s="10">
        <v>0</v>
      </c>
      <c r="I115" s="10">
        <v>0</v>
      </c>
      <c r="J115" s="10">
        <v>0</v>
      </c>
      <c r="K115" s="10">
        <v>0</v>
      </c>
      <c r="L115" s="10">
        <v>215.80869565217392</v>
      </c>
      <c r="M115" s="10">
        <v>2.0960000000000001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94.84347826086956</v>
      </c>
      <c r="U115" s="10">
        <v>0.93</v>
      </c>
      <c r="V115" s="10">
        <v>68.652173913043484</v>
      </c>
      <c r="W115" s="10">
        <v>0.65800000000000003</v>
      </c>
      <c r="X115" s="17">
        <v>1175.8608695652172</v>
      </c>
      <c r="Y115" s="18">
        <v>15.055999999999999</v>
      </c>
      <c r="Z115" s="14">
        <v>1555.1652173913042</v>
      </c>
      <c r="AA115" s="14">
        <v>18.740000000000002</v>
      </c>
      <c r="AB115" s="23">
        <v>4</v>
      </c>
      <c r="AC115" s="10">
        <v>388.79130434782604</v>
      </c>
      <c r="AD115" s="10">
        <v>4.6850000000000005</v>
      </c>
      <c r="AE115" s="1" t="s">
        <v>543</v>
      </c>
    </row>
    <row r="116" spans="1:31" ht="16.5" customHeight="1" x14ac:dyDescent="0.35">
      <c r="A116" s="4">
        <v>202</v>
      </c>
      <c r="B116" s="4" t="str">
        <f>LOOKUP(A116,Lookup!$A$1:$A$34,Lookup!$B$1:$B$34)</f>
        <v>BEEF</v>
      </c>
      <c r="C116" s="5">
        <v>53924</v>
      </c>
      <c r="D116" s="6" t="s">
        <v>126</v>
      </c>
      <c r="E116" s="4">
        <v>2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7">
        <v>0</v>
      </c>
      <c r="Y116" s="18">
        <v>0</v>
      </c>
      <c r="Z116" s="14">
        <v>0</v>
      </c>
      <c r="AA116" s="14">
        <v>0</v>
      </c>
      <c r="AB116" s="23">
        <v>0</v>
      </c>
      <c r="AC116" s="10">
        <v>0</v>
      </c>
      <c r="AD116" s="10">
        <v>0</v>
      </c>
      <c r="AE116" s="1" t="s">
        <v>540</v>
      </c>
    </row>
    <row r="117" spans="1:31" ht="16.5" customHeight="1" x14ac:dyDescent="0.35">
      <c r="A117" s="4">
        <v>202</v>
      </c>
      <c r="B117" s="4" t="str">
        <f>LOOKUP(A117,Lookup!$A$1:$A$34,Lookup!$B$1:$B$34)</f>
        <v>BEEF</v>
      </c>
      <c r="C117" s="5">
        <v>54363</v>
      </c>
      <c r="D117" s="6" t="s">
        <v>127</v>
      </c>
      <c r="E117" s="4">
        <v>2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7">
        <v>0</v>
      </c>
      <c r="Y117" s="18">
        <v>0</v>
      </c>
      <c r="Z117" s="14">
        <v>0</v>
      </c>
      <c r="AA117" s="14">
        <v>0</v>
      </c>
      <c r="AB117" s="23">
        <v>0</v>
      </c>
      <c r="AC117" s="10">
        <v>0</v>
      </c>
      <c r="AD117" s="10">
        <v>0</v>
      </c>
      <c r="AE117" s="1" t="s">
        <v>540</v>
      </c>
    </row>
    <row r="118" spans="1:31" ht="16.5" customHeight="1" x14ac:dyDescent="0.35">
      <c r="A118" s="4">
        <v>202</v>
      </c>
      <c r="B118" s="4" t="str">
        <f>LOOKUP(A118,Lookup!$A$1:$A$34,Lookup!$B$1:$B$34)</f>
        <v>BEEF</v>
      </c>
      <c r="C118" s="5">
        <v>54855</v>
      </c>
      <c r="D118" s="6" t="s">
        <v>128</v>
      </c>
      <c r="E118" s="4">
        <v>2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7">
        <v>0</v>
      </c>
      <c r="Y118" s="18">
        <v>0</v>
      </c>
      <c r="Z118" s="14">
        <v>0</v>
      </c>
      <c r="AA118" s="14">
        <v>0</v>
      </c>
      <c r="AB118" s="23">
        <v>0</v>
      </c>
      <c r="AC118" s="10">
        <v>0</v>
      </c>
      <c r="AD118" s="10">
        <v>0</v>
      </c>
      <c r="AE118" s="1" t="s">
        <v>540</v>
      </c>
    </row>
    <row r="119" spans="1:31" ht="16.5" customHeight="1" x14ac:dyDescent="0.35">
      <c r="A119" s="4">
        <v>202</v>
      </c>
      <c r="B119" s="4" t="str">
        <f>LOOKUP(A119,Lookup!$A$1:$A$34,Lookup!$B$1:$B$34)</f>
        <v>BEEF</v>
      </c>
      <c r="C119" s="5">
        <v>58817</v>
      </c>
      <c r="D119" s="6" t="s">
        <v>129</v>
      </c>
      <c r="E119" s="4">
        <v>2</v>
      </c>
      <c r="F119" s="10">
        <v>320.07826086956521</v>
      </c>
      <c r="G119" s="10">
        <v>2.6459999999999999</v>
      </c>
      <c r="H119" s="10">
        <v>379.33043478260873</v>
      </c>
      <c r="I119" s="10">
        <v>3.1160000000000001</v>
      </c>
      <c r="J119" s="10">
        <v>242.01739130434783</v>
      </c>
      <c r="K119" s="10">
        <v>1.988</v>
      </c>
      <c r="L119" s="10">
        <v>127.18260869565216</v>
      </c>
      <c r="M119" s="10">
        <v>1.0820000000000001</v>
      </c>
      <c r="N119" s="10">
        <v>143.82608695652172</v>
      </c>
      <c r="O119" s="10">
        <v>1.202</v>
      </c>
      <c r="P119" s="10">
        <v>251.5130434782609</v>
      </c>
      <c r="Q119" s="10">
        <v>2.0659999999999998</v>
      </c>
      <c r="R119" s="10">
        <v>774.96521739130435</v>
      </c>
      <c r="S119" s="10">
        <v>6.3840000000000003</v>
      </c>
      <c r="T119" s="10">
        <v>344.50434782608698</v>
      </c>
      <c r="U119" s="10">
        <v>2.83</v>
      </c>
      <c r="V119" s="10">
        <v>739.4173913043478</v>
      </c>
      <c r="W119" s="10">
        <v>6.0739999999999998</v>
      </c>
      <c r="X119" s="17">
        <v>774.96521739130435</v>
      </c>
      <c r="Y119" s="18">
        <v>6.3840000000000003</v>
      </c>
      <c r="Z119" s="14">
        <v>3322.8347826086956</v>
      </c>
      <c r="AA119" s="14">
        <v>27.387999999999998</v>
      </c>
      <c r="AB119" s="23">
        <v>9</v>
      </c>
      <c r="AC119" s="10">
        <v>369.20386473429949</v>
      </c>
      <c r="AD119" s="10">
        <v>3.0431111111111111</v>
      </c>
      <c r="AE119" s="1" t="s">
        <v>542</v>
      </c>
    </row>
    <row r="120" spans="1:31" ht="16.5" customHeight="1" x14ac:dyDescent="0.35">
      <c r="A120" s="4">
        <v>202</v>
      </c>
      <c r="B120" s="4" t="str">
        <f>LOOKUP(A120,Lookup!$A$1:$A$34,Lookup!$B$1:$B$34)</f>
        <v>BEEF</v>
      </c>
      <c r="C120" s="5">
        <v>12144</v>
      </c>
      <c r="D120" s="6" t="s">
        <v>76</v>
      </c>
      <c r="E120" s="4">
        <v>2</v>
      </c>
      <c r="F120" s="10">
        <v>536.73043478260865</v>
      </c>
      <c r="G120" s="10">
        <v>4.7480000000000002</v>
      </c>
      <c r="H120" s="10">
        <v>159.65217391304347</v>
      </c>
      <c r="I120" s="10">
        <v>1.3109999999999999</v>
      </c>
      <c r="J120" s="10">
        <v>627.20000000000005</v>
      </c>
      <c r="K120" s="10">
        <v>5.1520000000000001</v>
      </c>
      <c r="L120" s="10">
        <v>153.87826086956522</v>
      </c>
      <c r="M120" s="10">
        <v>1.298</v>
      </c>
      <c r="N120" s="10">
        <v>0</v>
      </c>
      <c r="O120" s="10">
        <v>0</v>
      </c>
      <c r="P120" s="10">
        <v>330.40000000000003</v>
      </c>
      <c r="Q120" s="10">
        <v>2.9990000000000001</v>
      </c>
      <c r="R120" s="10">
        <v>351.79130434782604</v>
      </c>
      <c r="S120" s="10">
        <v>3.1120000000000001</v>
      </c>
      <c r="T120" s="10">
        <v>410.57391304347829</v>
      </c>
      <c r="U120" s="10">
        <v>3.6320000000000001</v>
      </c>
      <c r="V120" s="10">
        <v>367.78260869565219</v>
      </c>
      <c r="W120" s="10">
        <v>3.27</v>
      </c>
      <c r="X120" s="17">
        <v>627.20000000000005</v>
      </c>
      <c r="Y120" s="18">
        <v>5.1520000000000001</v>
      </c>
      <c r="Z120" s="14">
        <v>2938.0086956521736</v>
      </c>
      <c r="AA120" s="14">
        <v>25.522000000000002</v>
      </c>
      <c r="AB120" s="23">
        <v>8</v>
      </c>
      <c r="AC120" s="10">
        <v>367.2510869565217</v>
      </c>
      <c r="AD120" s="10">
        <v>3.1902500000000003</v>
      </c>
      <c r="AE120" s="1" t="s">
        <v>542</v>
      </c>
    </row>
    <row r="121" spans="1:31" ht="16.5" customHeight="1" x14ac:dyDescent="0.35">
      <c r="A121" s="4">
        <v>202</v>
      </c>
      <c r="B121" s="4" t="str">
        <f>LOOKUP(A121,Lookup!$A$1:$A$34,Lookup!$B$1:$B$34)</f>
        <v>BEEF</v>
      </c>
      <c r="C121" s="5">
        <v>63220</v>
      </c>
      <c r="D121" s="6" t="s">
        <v>131</v>
      </c>
      <c r="E121" s="4">
        <v>2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7">
        <v>0</v>
      </c>
      <c r="Y121" s="18">
        <v>0</v>
      </c>
      <c r="Z121" s="14">
        <v>0</v>
      </c>
      <c r="AA121" s="14">
        <v>0</v>
      </c>
      <c r="AB121" s="23">
        <v>0</v>
      </c>
      <c r="AC121" s="10">
        <v>0</v>
      </c>
      <c r="AD121" s="10">
        <v>0</v>
      </c>
      <c r="AE121" s="1" t="s">
        <v>540</v>
      </c>
    </row>
    <row r="122" spans="1:31" ht="16.5" customHeight="1" x14ac:dyDescent="0.35">
      <c r="A122" s="4">
        <v>202</v>
      </c>
      <c r="B122" s="4" t="str">
        <f>LOOKUP(A122,Lookup!$A$1:$A$34,Lookup!$B$1:$B$34)</f>
        <v>BEEF</v>
      </c>
      <c r="C122" s="5">
        <v>63473</v>
      </c>
      <c r="D122" s="6" t="s">
        <v>73</v>
      </c>
      <c r="E122" s="4">
        <v>2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7">
        <v>0</v>
      </c>
      <c r="Y122" s="18">
        <v>0</v>
      </c>
      <c r="Z122" s="14">
        <v>0</v>
      </c>
      <c r="AA122" s="14">
        <v>0</v>
      </c>
      <c r="AB122" s="23">
        <v>0</v>
      </c>
      <c r="AC122" s="10">
        <v>0</v>
      </c>
      <c r="AD122" s="10">
        <v>0</v>
      </c>
      <c r="AE122" s="1" t="s">
        <v>540</v>
      </c>
    </row>
    <row r="123" spans="1:31" ht="16.5" customHeight="1" x14ac:dyDescent="0.35">
      <c r="A123" s="4">
        <v>202</v>
      </c>
      <c r="B123" s="4" t="str">
        <f>LOOKUP(A123,Lookup!$A$1:$A$34,Lookup!$B$1:$B$34)</f>
        <v>BEEF</v>
      </c>
      <c r="C123" s="5">
        <v>12169</v>
      </c>
      <c r="D123" s="6" t="s">
        <v>83</v>
      </c>
      <c r="E123" s="4">
        <v>2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623.14782608695646</v>
      </c>
      <c r="M123" s="10">
        <v>3.7719999999999998</v>
      </c>
      <c r="N123" s="10">
        <v>671.71304347826083</v>
      </c>
      <c r="O123" s="10">
        <v>4.0659999999999998</v>
      </c>
      <c r="P123" s="10">
        <v>90.530434782608694</v>
      </c>
      <c r="Q123" s="10">
        <v>0.54800000000000004</v>
      </c>
      <c r="R123" s="10">
        <v>187.8086956521739</v>
      </c>
      <c r="S123" s="10">
        <v>1.08</v>
      </c>
      <c r="T123" s="10">
        <v>203.11304347826089</v>
      </c>
      <c r="U123" s="10">
        <v>1.1679999999999999</v>
      </c>
      <c r="V123" s="10">
        <v>98.77391304347826</v>
      </c>
      <c r="W123" s="10">
        <v>0.52600000000000002</v>
      </c>
      <c r="X123" s="17">
        <v>671.71304347826083</v>
      </c>
      <c r="Y123" s="18">
        <v>4.0659999999999998</v>
      </c>
      <c r="Z123" s="14">
        <v>1875.0869565217388</v>
      </c>
      <c r="AA123" s="14">
        <v>11.159999999999998</v>
      </c>
      <c r="AB123" s="23">
        <v>6</v>
      </c>
      <c r="AC123" s="10">
        <v>312.51449275362313</v>
      </c>
      <c r="AD123" s="10">
        <v>1.8599999999999997</v>
      </c>
      <c r="AE123" s="1" t="s">
        <v>543</v>
      </c>
    </row>
    <row r="124" spans="1:31" ht="16.5" customHeight="1" x14ac:dyDescent="0.35">
      <c r="A124" s="4">
        <v>202</v>
      </c>
      <c r="B124" s="4" t="str">
        <f>LOOKUP(A124,Lookup!$A$1:$A$34,Lookup!$B$1:$B$34)</f>
        <v>BEEF</v>
      </c>
      <c r="C124" s="5">
        <v>63499</v>
      </c>
      <c r="D124" s="6" t="s">
        <v>135</v>
      </c>
      <c r="E124" s="4">
        <v>2</v>
      </c>
      <c r="F124" s="10">
        <v>434.33913043478265</v>
      </c>
      <c r="G124" s="10">
        <v>3.5680000000000001</v>
      </c>
      <c r="H124" s="10">
        <v>285.82608695652175</v>
      </c>
      <c r="I124" s="10">
        <v>2.3479999999999999</v>
      </c>
      <c r="J124" s="10">
        <v>160.92173913043479</v>
      </c>
      <c r="K124" s="10">
        <v>1.3560000000000001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7">
        <v>434.33913043478265</v>
      </c>
      <c r="Y124" s="18">
        <v>3.5680000000000001</v>
      </c>
      <c r="Z124" s="14">
        <v>881.08695652173924</v>
      </c>
      <c r="AA124" s="14">
        <v>7.2720000000000002</v>
      </c>
      <c r="AB124" s="23">
        <v>3</v>
      </c>
      <c r="AC124" s="10">
        <v>293.69565217391306</v>
      </c>
      <c r="AD124" s="10">
        <v>2.4239999999999999</v>
      </c>
      <c r="AE124" s="1" t="s">
        <v>541</v>
      </c>
    </row>
    <row r="125" spans="1:31" ht="16.5" customHeight="1" x14ac:dyDescent="0.35">
      <c r="A125" s="4">
        <v>202</v>
      </c>
      <c r="B125" s="4" t="str">
        <f>LOOKUP(A125,Lookup!$A$1:$A$34,Lookup!$B$1:$B$34)</f>
        <v>BEEF</v>
      </c>
      <c r="C125" s="5">
        <v>63484</v>
      </c>
      <c r="D125" s="6" t="s">
        <v>134</v>
      </c>
      <c r="E125" s="4">
        <v>2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7">
        <v>0</v>
      </c>
      <c r="Y125" s="18">
        <v>0</v>
      </c>
      <c r="Z125" s="14">
        <v>0</v>
      </c>
      <c r="AA125" s="14">
        <v>0</v>
      </c>
      <c r="AB125" s="23">
        <v>0</v>
      </c>
      <c r="AC125" s="10">
        <v>0</v>
      </c>
      <c r="AD125" s="10">
        <v>0</v>
      </c>
      <c r="AE125" s="1" t="s">
        <v>540</v>
      </c>
    </row>
    <row r="126" spans="1:31" ht="16.5" customHeight="1" x14ac:dyDescent="0.35">
      <c r="A126" s="4">
        <v>202</v>
      </c>
      <c r="B126" s="4" t="str">
        <f>LOOKUP(A126,Lookup!$A$1:$A$34,Lookup!$B$1:$B$34)</f>
        <v>BEEF</v>
      </c>
      <c r="C126" s="5">
        <v>63480</v>
      </c>
      <c r="D126" s="6" t="s">
        <v>132</v>
      </c>
      <c r="E126" s="4">
        <v>2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644.4869565217391</v>
      </c>
      <c r="M126" s="10">
        <v>3.706</v>
      </c>
      <c r="N126" s="10">
        <v>161.73043478260871</v>
      </c>
      <c r="O126" s="10">
        <v>0.93</v>
      </c>
      <c r="P126" s="10">
        <v>0</v>
      </c>
      <c r="Q126" s="10">
        <v>0</v>
      </c>
      <c r="R126" s="10">
        <v>81.739130434782609</v>
      </c>
      <c r="S126" s="10">
        <v>0.47</v>
      </c>
      <c r="T126" s="10">
        <v>147.47826086956522</v>
      </c>
      <c r="U126" s="10">
        <v>0.84799999999999998</v>
      </c>
      <c r="V126" s="10">
        <v>0</v>
      </c>
      <c r="W126" s="10">
        <v>0</v>
      </c>
      <c r="X126" s="17">
        <v>644.4869565217391</v>
      </c>
      <c r="Y126" s="18">
        <v>3.706</v>
      </c>
      <c r="Z126" s="14">
        <v>1035.4347826086955</v>
      </c>
      <c r="AA126" s="14">
        <v>5.9539999999999997</v>
      </c>
      <c r="AB126" s="23">
        <v>4</v>
      </c>
      <c r="AC126" s="10">
        <v>258.85869565217388</v>
      </c>
      <c r="AD126" s="10">
        <v>1.4884999999999999</v>
      </c>
      <c r="AE126" s="1" t="s">
        <v>543</v>
      </c>
    </row>
    <row r="127" spans="1:31" ht="16.5" customHeight="1" x14ac:dyDescent="0.35">
      <c r="A127" s="4">
        <v>202</v>
      </c>
      <c r="B127" s="4" t="str">
        <f>LOOKUP(A127,Lookup!$A$1:$A$34,Lookup!$B$1:$B$34)</f>
        <v>BEEF</v>
      </c>
      <c r="C127" s="5">
        <v>63524</v>
      </c>
      <c r="D127" s="6" t="s">
        <v>86</v>
      </c>
      <c r="E127" s="4">
        <v>2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7">
        <v>0</v>
      </c>
      <c r="Y127" s="18">
        <v>0</v>
      </c>
      <c r="Z127" s="14">
        <v>0</v>
      </c>
      <c r="AA127" s="14">
        <v>0</v>
      </c>
      <c r="AB127" s="23">
        <v>0</v>
      </c>
      <c r="AC127" s="10">
        <v>0</v>
      </c>
      <c r="AD127" s="10">
        <v>0</v>
      </c>
      <c r="AE127" s="1" t="s">
        <v>540</v>
      </c>
    </row>
    <row r="128" spans="1:31" ht="16.5" customHeight="1" x14ac:dyDescent="0.35">
      <c r="A128" s="4">
        <v>202</v>
      </c>
      <c r="B128" s="4" t="str">
        <f>LOOKUP(A128,Lookup!$A$1:$A$34,Lookup!$B$1:$B$34)</f>
        <v>BEEF</v>
      </c>
      <c r="C128" s="5">
        <v>34159</v>
      </c>
      <c r="D128" s="6" t="s">
        <v>97</v>
      </c>
      <c r="E128" s="4">
        <v>2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253.20000000000002</v>
      </c>
      <c r="O128" s="10">
        <v>2.08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7">
        <v>253.20000000000002</v>
      </c>
      <c r="Y128" s="18">
        <v>2.08</v>
      </c>
      <c r="Z128" s="14">
        <v>253.20000000000002</v>
      </c>
      <c r="AA128" s="14">
        <v>2.08</v>
      </c>
      <c r="AB128" s="23">
        <v>1</v>
      </c>
      <c r="AC128" s="10">
        <v>253.20000000000002</v>
      </c>
      <c r="AD128" s="10">
        <v>2.08</v>
      </c>
      <c r="AE128" s="1" t="s">
        <v>541</v>
      </c>
    </row>
    <row r="129" spans="1:31" ht="16.5" customHeight="1" x14ac:dyDescent="0.35">
      <c r="A129" s="4">
        <v>202</v>
      </c>
      <c r="B129" s="4" t="str">
        <f>LOOKUP(A129,Lookup!$A$1:$A$34,Lookup!$B$1:$B$34)</f>
        <v>BEEF</v>
      </c>
      <c r="C129" s="5">
        <v>63839</v>
      </c>
      <c r="D129" s="6" t="s">
        <v>136</v>
      </c>
      <c r="E129" s="4">
        <v>2</v>
      </c>
      <c r="F129" s="10">
        <v>153.38260869565215</v>
      </c>
      <c r="G129" s="10">
        <v>0.98</v>
      </c>
      <c r="H129" s="10">
        <v>135.23478260869564</v>
      </c>
      <c r="I129" s="10">
        <v>0.86399999999999999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7">
        <v>153.38260869565215</v>
      </c>
      <c r="Y129" s="18">
        <v>0.98</v>
      </c>
      <c r="Z129" s="14">
        <v>288.61739130434779</v>
      </c>
      <c r="AA129" s="14">
        <v>1.8439999999999999</v>
      </c>
      <c r="AB129" s="23">
        <v>2</v>
      </c>
      <c r="AC129" s="10">
        <v>144.3086956521739</v>
      </c>
      <c r="AD129" s="10">
        <v>0.92199999999999993</v>
      </c>
      <c r="AE129" s="1" t="s">
        <v>541</v>
      </c>
    </row>
    <row r="130" spans="1:31" ht="16.5" customHeight="1" x14ac:dyDescent="0.35">
      <c r="A130" s="4">
        <v>202</v>
      </c>
      <c r="B130" s="4" t="str">
        <f>LOOKUP(A130,Lookup!$A$1:$A$34,Lookup!$B$1:$B$34)</f>
        <v>BEEF</v>
      </c>
      <c r="C130" s="5">
        <v>63840</v>
      </c>
      <c r="D130" s="6" t="s">
        <v>137</v>
      </c>
      <c r="E130" s="4">
        <v>2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7">
        <v>0</v>
      </c>
      <c r="Y130" s="18">
        <v>0</v>
      </c>
      <c r="Z130" s="14">
        <v>0</v>
      </c>
      <c r="AA130" s="14">
        <v>0</v>
      </c>
      <c r="AB130" s="23">
        <v>0</v>
      </c>
      <c r="AC130" s="10">
        <v>0</v>
      </c>
      <c r="AD130" s="10">
        <v>0</v>
      </c>
      <c r="AE130" s="1" t="s">
        <v>540</v>
      </c>
    </row>
    <row r="131" spans="1:31" ht="16.5" customHeight="1" x14ac:dyDescent="0.35">
      <c r="A131" s="4">
        <v>202</v>
      </c>
      <c r="B131" s="4" t="str">
        <f>LOOKUP(A131,Lookup!$A$1:$A$34,Lookup!$B$1:$B$34)</f>
        <v>BEEF</v>
      </c>
      <c r="C131" s="5">
        <v>64935</v>
      </c>
      <c r="D131" s="6" t="s">
        <v>138</v>
      </c>
      <c r="E131" s="4">
        <v>2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7">
        <v>0</v>
      </c>
      <c r="Y131" s="18">
        <v>0</v>
      </c>
      <c r="Z131" s="14">
        <v>0</v>
      </c>
      <c r="AA131" s="14">
        <v>0</v>
      </c>
      <c r="AB131" s="23">
        <v>0</v>
      </c>
      <c r="AC131" s="10">
        <v>0</v>
      </c>
      <c r="AD131" s="10">
        <v>0</v>
      </c>
      <c r="AE131" s="1" t="s">
        <v>540</v>
      </c>
    </row>
    <row r="132" spans="1:31" ht="16.5" customHeight="1" x14ac:dyDescent="0.35">
      <c r="A132" s="4">
        <v>202</v>
      </c>
      <c r="B132" s="4" t="str">
        <f>LOOKUP(A132,Lookup!$A$1:$A$34,Lookup!$B$1:$B$34)</f>
        <v>BEEF</v>
      </c>
      <c r="C132" s="5">
        <v>42859</v>
      </c>
      <c r="D132" s="6" t="s">
        <v>120</v>
      </c>
      <c r="E132" s="4">
        <v>2</v>
      </c>
      <c r="F132" s="10">
        <v>0</v>
      </c>
      <c r="G132" s="10">
        <v>0</v>
      </c>
      <c r="H132" s="10">
        <v>0</v>
      </c>
      <c r="I132" s="10">
        <v>0</v>
      </c>
      <c r="J132" s="10">
        <v>47.260869565217391</v>
      </c>
      <c r="K132" s="10">
        <v>0.60399999999999998</v>
      </c>
      <c r="L132" s="10">
        <v>110.01739130434783</v>
      </c>
      <c r="M132" s="10">
        <v>1.4059999999999999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86.704347826086945</v>
      </c>
      <c r="W132" s="10">
        <v>1.1080000000000001</v>
      </c>
      <c r="X132" s="17">
        <v>110.01739130434783</v>
      </c>
      <c r="Y132" s="18">
        <v>1.4059999999999999</v>
      </c>
      <c r="Z132" s="14">
        <v>243.98260869565215</v>
      </c>
      <c r="AA132" s="14">
        <v>3.1179999999999999</v>
      </c>
      <c r="AB132" s="23">
        <v>3</v>
      </c>
      <c r="AC132" s="10">
        <v>81.327536231884054</v>
      </c>
      <c r="AD132" s="10">
        <v>1.0393333333333332</v>
      </c>
      <c r="AE132" s="1" t="s">
        <v>541</v>
      </c>
    </row>
    <row r="133" spans="1:31" ht="16.5" customHeight="1" x14ac:dyDescent="0.35">
      <c r="A133" s="4">
        <v>202</v>
      </c>
      <c r="B133" s="4" t="str">
        <f>LOOKUP(A133,Lookup!$A$1:$A$34,Lookup!$B$1:$B$34)</f>
        <v>BEEF</v>
      </c>
      <c r="C133" s="5">
        <v>65487</v>
      </c>
      <c r="D133" s="6" t="s">
        <v>140</v>
      </c>
      <c r="E133" s="4">
        <v>2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7">
        <v>0</v>
      </c>
      <c r="Y133" s="18">
        <v>0</v>
      </c>
      <c r="Z133" s="14">
        <v>0</v>
      </c>
      <c r="AA133" s="14">
        <v>0</v>
      </c>
      <c r="AB133" s="23">
        <v>0</v>
      </c>
      <c r="AC133" s="10">
        <v>0</v>
      </c>
      <c r="AD133" s="10">
        <v>0</v>
      </c>
      <c r="AE133" s="1" t="s">
        <v>540</v>
      </c>
    </row>
    <row r="134" spans="1:31" ht="16.5" customHeight="1" x14ac:dyDescent="0.35">
      <c r="A134" s="4">
        <v>202</v>
      </c>
      <c r="B134" s="4" t="str">
        <f>LOOKUP(A134,Lookup!$A$1:$A$34,Lookup!$B$1:$B$34)</f>
        <v>BEEF</v>
      </c>
      <c r="C134" s="5">
        <v>65673</v>
      </c>
      <c r="D134" s="6" t="s">
        <v>141</v>
      </c>
      <c r="E134" s="4">
        <v>2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7">
        <v>0</v>
      </c>
      <c r="Y134" s="18">
        <v>0</v>
      </c>
      <c r="Z134" s="14">
        <v>0</v>
      </c>
      <c r="AA134" s="14">
        <v>0</v>
      </c>
      <c r="AB134" s="23">
        <v>0</v>
      </c>
      <c r="AC134" s="10">
        <v>0</v>
      </c>
      <c r="AD134" s="10">
        <v>0</v>
      </c>
      <c r="AE134" s="1" t="s">
        <v>540</v>
      </c>
    </row>
    <row r="135" spans="1:31" ht="16.5" customHeight="1" x14ac:dyDescent="0.35">
      <c r="A135" s="4">
        <v>202</v>
      </c>
      <c r="B135" s="4" t="str">
        <f>LOOKUP(A135,Lookup!$A$1:$A$34,Lookup!$B$1:$B$34)</f>
        <v>BEEF</v>
      </c>
      <c r="C135" s="5">
        <v>65879</v>
      </c>
      <c r="D135" s="6" t="s">
        <v>142</v>
      </c>
      <c r="E135" s="4">
        <v>2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7">
        <v>0</v>
      </c>
      <c r="Y135" s="18">
        <v>0</v>
      </c>
      <c r="Z135" s="14">
        <v>0</v>
      </c>
      <c r="AA135" s="14">
        <v>0</v>
      </c>
      <c r="AB135" s="23">
        <v>0</v>
      </c>
      <c r="AC135" s="10">
        <v>0</v>
      </c>
      <c r="AD135" s="10">
        <v>0</v>
      </c>
      <c r="AE135" s="1" t="s">
        <v>540</v>
      </c>
    </row>
    <row r="136" spans="1:31" ht="16.5" customHeight="1" x14ac:dyDescent="0.35">
      <c r="A136" s="4">
        <v>203</v>
      </c>
      <c r="B136" s="4" t="str">
        <f>LOOKUP(A136,Lookup!$A$1:$A$34,Lookup!$B$1:$B$34)</f>
        <v>BUTCHERY CHICKENS</v>
      </c>
      <c r="C136" s="5">
        <v>34210</v>
      </c>
      <c r="D136" s="6" t="s">
        <v>143</v>
      </c>
      <c r="E136" s="4">
        <v>2</v>
      </c>
      <c r="F136" s="10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7">
        <v>0</v>
      </c>
      <c r="Y136" s="18">
        <v>0</v>
      </c>
      <c r="Z136" s="14">
        <v>0</v>
      </c>
      <c r="AA136" s="14">
        <v>0</v>
      </c>
      <c r="AB136" s="23">
        <v>0</v>
      </c>
      <c r="AC136" s="10">
        <v>0</v>
      </c>
      <c r="AD136" s="10">
        <v>0</v>
      </c>
      <c r="AE136" s="1" t="s">
        <v>540</v>
      </c>
    </row>
    <row r="137" spans="1:31" ht="16.5" customHeight="1" x14ac:dyDescent="0.35">
      <c r="A137" s="4">
        <v>203</v>
      </c>
      <c r="B137" s="4" t="str">
        <f>LOOKUP(A137,Lookup!$A$1:$A$34,Lookup!$B$1:$B$34)</f>
        <v>BUTCHERY CHICKENS</v>
      </c>
      <c r="C137" s="5">
        <v>34252</v>
      </c>
      <c r="D137" s="6" t="s">
        <v>144</v>
      </c>
      <c r="E137" s="4">
        <v>2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7">
        <v>0</v>
      </c>
      <c r="Y137" s="18">
        <v>0</v>
      </c>
      <c r="Z137" s="14">
        <v>0</v>
      </c>
      <c r="AA137" s="14">
        <v>0</v>
      </c>
      <c r="AB137" s="23">
        <v>0</v>
      </c>
      <c r="AC137" s="10">
        <v>0</v>
      </c>
      <c r="AD137" s="10">
        <v>0</v>
      </c>
      <c r="AE137" s="1" t="s">
        <v>540</v>
      </c>
    </row>
    <row r="138" spans="1:31" ht="16.5" customHeight="1" x14ac:dyDescent="0.35">
      <c r="A138" s="4">
        <v>203</v>
      </c>
      <c r="B138" s="4" t="str">
        <f>LOOKUP(A138,Lookup!$A$1:$A$34,Lookup!$B$1:$B$34)</f>
        <v>BUTCHERY CHICKENS</v>
      </c>
      <c r="C138" s="5">
        <v>52097</v>
      </c>
      <c r="D138" s="6" t="s">
        <v>145</v>
      </c>
      <c r="E138" s="4">
        <v>2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7">
        <v>0</v>
      </c>
      <c r="Y138" s="18">
        <v>0</v>
      </c>
      <c r="Z138" s="14">
        <v>0</v>
      </c>
      <c r="AA138" s="14">
        <v>0</v>
      </c>
      <c r="AB138" s="23">
        <v>0</v>
      </c>
      <c r="AC138" s="10">
        <v>0</v>
      </c>
      <c r="AD138" s="10">
        <v>0</v>
      </c>
      <c r="AE138" s="1" t="s">
        <v>540</v>
      </c>
    </row>
    <row r="139" spans="1:31" ht="16.5" customHeight="1" x14ac:dyDescent="0.35">
      <c r="A139" s="4">
        <v>203</v>
      </c>
      <c r="B139" s="4" t="str">
        <f>LOOKUP(A139,Lookup!$A$1:$A$34,Lookup!$B$1:$B$34)</f>
        <v>BUTCHERY CHICKENS</v>
      </c>
      <c r="C139" s="5">
        <v>58887</v>
      </c>
      <c r="D139" s="6" t="s">
        <v>146</v>
      </c>
      <c r="E139" s="4">
        <v>2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7">
        <v>0</v>
      </c>
      <c r="Y139" s="18">
        <v>0</v>
      </c>
      <c r="Z139" s="14">
        <v>0</v>
      </c>
      <c r="AA139" s="14">
        <v>0</v>
      </c>
      <c r="AB139" s="23">
        <v>0</v>
      </c>
      <c r="AC139" s="10">
        <v>0</v>
      </c>
      <c r="AD139" s="10">
        <v>0</v>
      </c>
      <c r="AE139" s="1" t="s">
        <v>540</v>
      </c>
    </row>
    <row r="140" spans="1:31" ht="16.5" customHeight="1" x14ac:dyDescent="0.35">
      <c r="A140" s="4">
        <v>204</v>
      </c>
      <c r="B140" s="4" t="str">
        <f>LOOKUP(A140,Lookup!$A$1:$A$34,Lookup!$B$1:$B$34)</f>
        <v>LAMB</v>
      </c>
      <c r="C140" s="5">
        <v>12700</v>
      </c>
      <c r="D140" s="6" t="s">
        <v>147</v>
      </c>
      <c r="E140" s="4">
        <v>2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7">
        <v>0</v>
      </c>
      <c r="Y140" s="18">
        <v>0</v>
      </c>
      <c r="Z140" s="14">
        <v>0</v>
      </c>
      <c r="AA140" s="14">
        <v>0</v>
      </c>
      <c r="AB140" s="23">
        <v>0</v>
      </c>
      <c r="AC140" s="10">
        <v>0</v>
      </c>
      <c r="AD140" s="10">
        <v>0</v>
      </c>
      <c r="AE140" s="1" t="s">
        <v>540</v>
      </c>
    </row>
    <row r="141" spans="1:31" ht="16.5" customHeight="1" x14ac:dyDescent="0.35">
      <c r="A141" s="4">
        <v>204</v>
      </c>
      <c r="B141" s="4" t="str">
        <f>LOOKUP(A141,Lookup!$A$1:$A$34,Lookup!$B$1:$B$34)</f>
        <v>LAMB</v>
      </c>
      <c r="C141" s="5">
        <v>12702</v>
      </c>
      <c r="D141" s="6" t="s">
        <v>148</v>
      </c>
      <c r="E141" s="4">
        <v>2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7">
        <v>0</v>
      </c>
      <c r="Y141" s="18">
        <v>0</v>
      </c>
      <c r="Z141" s="14">
        <v>0</v>
      </c>
      <c r="AA141" s="14">
        <v>0</v>
      </c>
      <c r="AB141" s="23">
        <v>0</v>
      </c>
      <c r="AC141" s="10">
        <v>0</v>
      </c>
      <c r="AD141" s="10">
        <v>0</v>
      </c>
      <c r="AE141" s="1" t="s">
        <v>540</v>
      </c>
    </row>
    <row r="142" spans="1:31" ht="16.5" customHeight="1" x14ac:dyDescent="0.35">
      <c r="A142" s="4">
        <v>204</v>
      </c>
      <c r="B142" s="4" t="str">
        <f>LOOKUP(A142,Lookup!$A$1:$A$34,Lookup!$B$1:$B$34)</f>
        <v>LAMB</v>
      </c>
      <c r="C142" s="5">
        <v>32041</v>
      </c>
      <c r="D142" s="6" t="s">
        <v>149</v>
      </c>
      <c r="E142" s="4">
        <v>2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2228.9913043478264</v>
      </c>
      <c r="M142" s="10">
        <v>17.09</v>
      </c>
      <c r="N142" s="10">
        <v>0</v>
      </c>
      <c r="O142" s="10">
        <v>0</v>
      </c>
      <c r="P142" s="10">
        <v>389.97391304347826</v>
      </c>
      <c r="Q142" s="10">
        <v>2.99</v>
      </c>
      <c r="R142" s="10">
        <v>400.40869565217395</v>
      </c>
      <c r="S142" s="10">
        <v>3.07</v>
      </c>
      <c r="T142" s="10">
        <v>15000.260869565216</v>
      </c>
      <c r="U142" s="10">
        <v>127.78</v>
      </c>
      <c r="V142" s="10">
        <v>12887.808695652175</v>
      </c>
      <c r="W142" s="10">
        <v>109.14</v>
      </c>
      <c r="X142" s="17">
        <v>15000.260869565216</v>
      </c>
      <c r="Y142" s="18">
        <v>127.78</v>
      </c>
      <c r="Z142" s="14">
        <v>30907.443478260866</v>
      </c>
      <c r="AA142" s="14">
        <v>260.07</v>
      </c>
      <c r="AB142" s="23">
        <v>5</v>
      </c>
      <c r="AC142" s="10">
        <v>6181.4886956521732</v>
      </c>
      <c r="AD142" s="10">
        <v>52.013999999999996</v>
      </c>
      <c r="AE142" s="1" t="s">
        <v>543</v>
      </c>
    </row>
    <row r="143" spans="1:31" ht="16.5" customHeight="1" x14ac:dyDescent="0.35">
      <c r="A143" s="4">
        <v>204</v>
      </c>
      <c r="B143" s="4" t="str">
        <f>LOOKUP(A143,Lookup!$A$1:$A$34,Lookup!$B$1:$B$34)</f>
        <v>LAMB</v>
      </c>
      <c r="C143" s="5">
        <v>34192</v>
      </c>
      <c r="D143" s="6" t="s">
        <v>150</v>
      </c>
      <c r="E143" s="4">
        <v>2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7">
        <v>0</v>
      </c>
      <c r="Y143" s="18">
        <v>0</v>
      </c>
      <c r="Z143" s="14">
        <v>0</v>
      </c>
      <c r="AA143" s="14">
        <v>0</v>
      </c>
      <c r="AB143" s="23">
        <v>0</v>
      </c>
      <c r="AC143" s="10">
        <v>0</v>
      </c>
      <c r="AD143" s="10">
        <v>0</v>
      </c>
      <c r="AE143" s="1" t="s">
        <v>540</v>
      </c>
    </row>
    <row r="144" spans="1:31" ht="16.5" customHeight="1" x14ac:dyDescent="0.35">
      <c r="A144" s="4">
        <v>204</v>
      </c>
      <c r="B144" s="4" t="str">
        <f>LOOKUP(A144,Lookup!$A$1:$A$34,Lookup!$B$1:$B$34)</f>
        <v>LAMB</v>
      </c>
      <c r="C144" s="5">
        <v>34193</v>
      </c>
      <c r="D144" s="6" t="s">
        <v>151</v>
      </c>
      <c r="E144" s="4">
        <v>2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7">
        <v>0</v>
      </c>
      <c r="Y144" s="18">
        <v>0</v>
      </c>
      <c r="Z144" s="14">
        <v>0</v>
      </c>
      <c r="AA144" s="14">
        <v>0</v>
      </c>
      <c r="AB144" s="23">
        <v>0</v>
      </c>
      <c r="AC144" s="10">
        <v>0</v>
      </c>
      <c r="AD144" s="10">
        <v>0</v>
      </c>
      <c r="AE144" s="1" t="s">
        <v>540</v>
      </c>
    </row>
    <row r="145" spans="1:31" ht="16.5" customHeight="1" x14ac:dyDescent="0.35">
      <c r="A145" s="4">
        <v>204</v>
      </c>
      <c r="B145" s="4" t="str">
        <f>LOOKUP(A145,Lookup!$A$1:$A$34,Lookup!$B$1:$B$34)</f>
        <v>LAMB</v>
      </c>
      <c r="C145" s="5">
        <v>55100</v>
      </c>
      <c r="D145" s="6" t="s">
        <v>170</v>
      </c>
      <c r="E145" s="4">
        <v>2</v>
      </c>
      <c r="F145" s="10">
        <v>0</v>
      </c>
      <c r="G145" s="10">
        <v>0</v>
      </c>
      <c r="H145" s="10">
        <v>1511.6521739130435</v>
      </c>
      <c r="I145" s="10">
        <v>12.417999999999999</v>
      </c>
      <c r="J145" s="10">
        <v>0</v>
      </c>
      <c r="K145" s="10">
        <v>0</v>
      </c>
      <c r="L145" s="10">
        <v>2191.1478260869567</v>
      </c>
      <c r="M145" s="10">
        <v>18</v>
      </c>
      <c r="N145" s="10">
        <v>7159.6521739130421</v>
      </c>
      <c r="O145" s="10">
        <v>58.988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7">
        <v>7159.6521739130421</v>
      </c>
      <c r="Y145" s="18">
        <v>58.988</v>
      </c>
      <c r="Z145" s="14">
        <v>10862.452173913043</v>
      </c>
      <c r="AA145" s="14">
        <v>89.406000000000006</v>
      </c>
      <c r="AB145" s="23">
        <v>3</v>
      </c>
      <c r="AC145" s="10">
        <v>3620.8173913043479</v>
      </c>
      <c r="AD145" s="10">
        <v>29.802000000000003</v>
      </c>
      <c r="AE145" s="1" t="s">
        <v>541</v>
      </c>
    </row>
    <row r="146" spans="1:31" ht="16.5" customHeight="1" x14ac:dyDescent="0.35">
      <c r="A146" s="4">
        <v>204</v>
      </c>
      <c r="B146" s="4" t="str">
        <f>LOOKUP(A146,Lookup!$A$1:$A$34,Lookup!$B$1:$B$34)</f>
        <v>LAMB</v>
      </c>
      <c r="C146" s="5">
        <v>34239</v>
      </c>
      <c r="D146" s="6" t="s">
        <v>153</v>
      </c>
      <c r="E146" s="4">
        <v>2</v>
      </c>
      <c r="F146" s="10">
        <v>1378.5826086956522</v>
      </c>
      <c r="G146" s="10">
        <v>8.3759999999999994</v>
      </c>
      <c r="H146" s="10">
        <v>1983.4956521739132</v>
      </c>
      <c r="I146" s="10">
        <v>12.006</v>
      </c>
      <c r="J146" s="10">
        <v>915.57391304347834</v>
      </c>
      <c r="K146" s="10">
        <v>5.5419999999999998</v>
      </c>
      <c r="L146" s="10">
        <v>2728.2347826086962</v>
      </c>
      <c r="M146" s="10">
        <v>16.57</v>
      </c>
      <c r="N146" s="10">
        <v>1660.3304347826088</v>
      </c>
      <c r="O146" s="10">
        <v>10.050000000000001</v>
      </c>
      <c r="P146" s="10">
        <v>1882.6695652173914</v>
      </c>
      <c r="Q146" s="10">
        <v>11.396000000000001</v>
      </c>
      <c r="R146" s="10">
        <v>676.03478260869565</v>
      </c>
      <c r="S146" s="10">
        <v>4.0919999999999996</v>
      </c>
      <c r="T146" s="10">
        <v>1818.3739130434783</v>
      </c>
      <c r="U146" s="10">
        <v>11.545999999999999</v>
      </c>
      <c r="V146" s="10">
        <v>1215.7652173913045</v>
      </c>
      <c r="W146" s="10">
        <v>7.7679999999999998</v>
      </c>
      <c r="X146" s="17">
        <v>2728.2347826086962</v>
      </c>
      <c r="Y146" s="18">
        <v>16.57</v>
      </c>
      <c r="Z146" s="14">
        <v>14259.060869565219</v>
      </c>
      <c r="AA146" s="14">
        <v>87.346000000000004</v>
      </c>
      <c r="AB146" s="23">
        <v>9</v>
      </c>
      <c r="AC146" s="10">
        <v>1584.3400966183576</v>
      </c>
      <c r="AD146" s="10">
        <v>9.7051111111111119</v>
      </c>
      <c r="AE146" s="1" t="s">
        <v>542</v>
      </c>
    </row>
    <row r="147" spans="1:31" ht="16.5" customHeight="1" x14ac:dyDescent="0.35">
      <c r="A147" s="4">
        <v>204</v>
      </c>
      <c r="B147" s="4" t="str">
        <f>LOOKUP(A147,Lookup!$A$1:$A$34,Lookup!$B$1:$B$34)</f>
        <v>LAMB</v>
      </c>
      <c r="C147" s="5">
        <v>39811</v>
      </c>
      <c r="D147" s="6" t="s">
        <v>158</v>
      </c>
      <c r="E147" s="4">
        <v>2</v>
      </c>
      <c r="F147" s="10">
        <v>1265.8521739130435</v>
      </c>
      <c r="G147" s="10">
        <v>6.6660000000000004</v>
      </c>
      <c r="H147" s="10">
        <v>1027.2608695652173</v>
      </c>
      <c r="I147" s="10">
        <v>5.37</v>
      </c>
      <c r="J147" s="10">
        <v>1622.9391304347828</v>
      </c>
      <c r="K147" s="10">
        <v>8.484</v>
      </c>
      <c r="L147" s="10">
        <v>1728.5217391304348</v>
      </c>
      <c r="M147" s="10">
        <v>9.0359999999999996</v>
      </c>
      <c r="N147" s="10">
        <v>2628</v>
      </c>
      <c r="O147" s="10">
        <v>13.738</v>
      </c>
      <c r="P147" s="10">
        <v>785.4434782608696</v>
      </c>
      <c r="Q147" s="10">
        <v>4.1059999999999999</v>
      </c>
      <c r="R147" s="10">
        <v>1165.3391304347826</v>
      </c>
      <c r="S147" s="10">
        <v>6.0919999999999996</v>
      </c>
      <c r="T147" s="10">
        <v>1063.5739130434783</v>
      </c>
      <c r="U147" s="10">
        <v>6.1159999999999997</v>
      </c>
      <c r="V147" s="10">
        <v>1808.2347826086955</v>
      </c>
      <c r="W147" s="10">
        <v>10.398</v>
      </c>
      <c r="X147" s="17">
        <v>2628</v>
      </c>
      <c r="Y147" s="18">
        <v>13.738</v>
      </c>
      <c r="Z147" s="14">
        <v>13095.165217391303</v>
      </c>
      <c r="AA147" s="14">
        <v>70.006</v>
      </c>
      <c r="AB147" s="23">
        <v>9</v>
      </c>
      <c r="AC147" s="10">
        <v>1455.0183574879225</v>
      </c>
      <c r="AD147" s="10">
        <v>7.7784444444444443</v>
      </c>
      <c r="AE147" s="1" t="s">
        <v>542</v>
      </c>
    </row>
    <row r="148" spans="1:31" ht="16.5" customHeight="1" x14ac:dyDescent="0.35">
      <c r="A148" s="4">
        <v>204</v>
      </c>
      <c r="B148" s="4" t="str">
        <f>LOOKUP(A148,Lookup!$A$1:$A$34,Lookup!$B$1:$B$34)</f>
        <v>LAMB</v>
      </c>
      <c r="C148" s="5">
        <v>34242</v>
      </c>
      <c r="D148" s="6" t="s">
        <v>156</v>
      </c>
      <c r="E148" s="4">
        <v>2</v>
      </c>
      <c r="F148" s="10">
        <v>1422.504347826087</v>
      </c>
      <c r="G148" s="10">
        <v>6.9320000000000004</v>
      </c>
      <c r="H148" s="10">
        <v>731.7913043478261</v>
      </c>
      <c r="I148" s="10">
        <v>3.5659999999999998</v>
      </c>
      <c r="J148" s="10">
        <v>1450.2173913043478</v>
      </c>
      <c r="K148" s="10">
        <v>7.0919999999999996</v>
      </c>
      <c r="L148" s="10">
        <v>2273.3130434782611</v>
      </c>
      <c r="M148" s="10">
        <v>11.077999999999999</v>
      </c>
      <c r="N148" s="10">
        <v>2409.5652173913045</v>
      </c>
      <c r="O148" s="10">
        <v>11.742000000000001</v>
      </c>
      <c r="P148" s="10">
        <v>953.80869565217404</v>
      </c>
      <c r="Q148" s="10">
        <v>4.6479999999999997</v>
      </c>
      <c r="R148" s="10">
        <v>1418.0347826086959</v>
      </c>
      <c r="S148" s="10">
        <v>6.9379999999999997</v>
      </c>
      <c r="T148" s="10">
        <v>636.61739130434785</v>
      </c>
      <c r="U148" s="10">
        <v>3.6920000000000002</v>
      </c>
      <c r="V148" s="10">
        <v>1173.1304347826087</v>
      </c>
      <c r="W148" s="10">
        <v>6.7460000000000004</v>
      </c>
      <c r="X148" s="17">
        <v>2409.5652173913045</v>
      </c>
      <c r="Y148" s="18">
        <v>11.742000000000001</v>
      </c>
      <c r="Z148" s="14">
        <v>12468.982608695653</v>
      </c>
      <c r="AA148" s="14">
        <v>62.433999999999997</v>
      </c>
      <c r="AB148" s="23">
        <v>9</v>
      </c>
      <c r="AC148" s="10">
        <v>1385.4425120772949</v>
      </c>
      <c r="AD148" s="10">
        <v>6.9371111111111112</v>
      </c>
      <c r="AE148" s="1" t="s">
        <v>542</v>
      </c>
    </row>
    <row r="149" spans="1:31" ht="16.5" customHeight="1" x14ac:dyDescent="0.35">
      <c r="A149" s="4">
        <v>204</v>
      </c>
      <c r="B149" s="4" t="str">
        <f>LOOKUP(A149,Lookup!$A$1:$A$34,Lookup!$B$1:$B$34)</f>
        <v>LAMB</v>
      </c>
      <c r="C149" s="5">
        <v>34250</v>
      </c>
      <c r="D149" s="6" t="s">
        <v>161</v>
      </c>
      <c r="E149" s="4">
        <v>2</v>
      </c>
      <c r="F149" s="10">
        <v>591.60869565217399</v>
      </c>
      <c r="G149" s="10">
        <v>3.6579999999999999</v>
      </c>
      <c r="H149" s="10">
        <v>772.42608695652166</v>
      </c>
      <c r="I149" s="10">
        <v>4.7759999999999998</v>
      </c>
      <c r="J149" s="10">
        <v>879.82608695652175</v>
      </c>
      <c r="K149" s="10">
        <v>5.44</v>
      </c>
      <c r="L149" s="10">
        <v>506.53043478260872</v>
      </c>
      <c r="M149" s="10">
        <v>3.1320000000000001</v>
      </c>
      <c r="N149" s="10">
        <v>1460.7565217391302</v>
      </c>
      <c r="O149" s="10">
        <v>9.032</v>
      </c>
      <c r="P149" s="10">
        <v>1193.5826086956522</v>
      </c>
      <c r="Q149" s="10">
        <v>7.38</v>
      </c>
      <c r="R149" s="10">
        <v>535.02608695652168</v>
      </c>
      <c r="S149" s="10">
        <v>3.3420000000000001</v>
      </c>
      <c r="T149" s="10">
        <v>1192.6434782608699</v>
      </c>
      <c r="U149" s="10">
        <v>7.6459999999999999</v>
      </c>
      <c r="V149" s="10">
        <v>918.47826086956525</v>
      </c>
      <c r="W149" s="10">
        <v>6.06</v>
      </c>
      <c r="X149" s="17">
        <v>1460.7565217391302</v>
      </c>
      <c r="Y149" s="18">
        <v>9.032</v>
      </c>
      <c r="Z149" s="14">
        <v>8050.8782608695647</v>
      </c>
      <c r="AA149" s="14">
        <v>50.466000000000001</v>
      </c>
      <c r="AB149" s="23">
        <v>9</v>
      </c>
      <c r="AC149" s="10">
        <v>894.54202898550716</v>
      </c>
      <c r="AD149" s="10">
        <v>5.6073333333333331</v>
      </c>
      <c r="AE149" s="1" t="s">
        <v>542</v>
      </c>
    </row>
    <row r="150" spans="1:31" ht="16.5" customHeight="1" x14ac:dyDescent="0.35">
      <c r="A150" s="4">
        <v>204</v>
      </c>
      <c r="B150" s="4" t="str">
        <f>LOOKUP(A150,Lookup!$A$1:$A$34,Lookup!$B$1:$B$34)</f>
        <v>LAMB</v>
      </c>
      <c r="C150" s="5">
        <v>34244</v>
      </c>
      <c r="D150" s="6" t="s">
        <v>157</v>
      </c>
      <c r="E150" s="4">
        <v>2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7">
        <v>0</v>
      </c>
      <c r="Y150" s="18">
        <v>0</v>
      </c>
      <c r="Z150" s="14">
        <v>0</v>
      </c>
      <c r="AA150" s="14">
        <v>0</v>
      </c>
      <c r="AB150" s="23">
        <v>0</v>
      </c>
      <c r="AC150" s="10">
        <v>0</v>
      </c>
      <c r="AD150" s="10">
        <v>0</v>
      </c>
      <c r="AE150" s="1" t="s">
        <v>540</v>
      </c>
    </row>
    <row r="151" spans="1:31" ht="16.5" customHeight="1" x14ac:dyDescent="0.35">
      <c r="A151" s="4">
        <v>204</v>
      </c>
      <c r="B151" s="4" t="str">
        <f>LOOKUP(A151,Lookup!$A$1:$A$34,Lookup!$B$1:$B$34)</f>
        <v>LAMB</v>
      </c>
      <c r="C151" s="5">
        <v>34245</v>
      </c>
      <c r="D151" s="6" t="s">
        <v>158</v>
      </c>
      <c r="E151" s="4">
        <v>2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7">
        <v>0</v>
      </c>
      <c r="Y151" s="18">
        <v>0</v>
      </c>
      <c r="Z151" s="14">
        <v>0</v>
      </c>
      <c r="AA151" s="14">
        <v>0</v>
      </c>
      <c r="AB151" s="23">
        <v>0</v>
      </c>
      <c r="AC151" s="10">
        <v>0</v>
      </c>
      <c r="AD151" s="10">
        <v>0</v>
      </c>
      <c r="AE151" s="1" t="s">
        <v>540</v>
      </c>
    </row>
    <row r="152" spans="1:31" ht="16.5" customHeight="1" x14ac:dyDescent="0.35">
      <c r="A152" s="4">
        <v>204</v>
      </c>
      <c r="B152" s="4" t="str">
        <f>LOOKUP(A152,Lookup!$A$1:$A$34,Lookup!$B$1:$B$34)</f>
        <v>LAMB</v>
      </c>
      <c r="C152" s="5">
        <v>45848</v>
      </c>
      <c r="D152" s="6" t="s">
        <v>167</v>
      </c>
      <c r="E152" s="4">
        <v>2</v>
      </c>
      <c r="F152" s="10">
        <v>806.49565217391296</v>
      </c>
      <c r="G152" s="10">
        <v>5.27</v>
      </c>
      <c r="H152" s="10">
        <v>0</v>
      </c>
      <c r="I152" s="10">
        <v>0</v>
      </c>
      <c r="J152" s="10">
        <v>543.5826086956522</v>
      </c>
      <c r="K152" s="10">
        <v>3.552</v>
      </c>
      <c r="L152" s="10">
        <v>309.73913043478262</v>
      </c>
      <c r="M152" s="10">
        <v>2.024</v>
      </c>
      <c r="N152" s="10">
        <v>835.26086956521738</v>
      </c>
      <c r="O152" s="10">
        <v>5.4580000000000002</v>
      </c>
      <c r="P152" s="10">
        <v>487.56521739130437</v>
      </c>
      <c r="Q152" s="10">
        <v>3.1859999999999999</v>
      </c>
      <c r="R152" s="10">
        <v>737.61739130434785</v>
      </c>
      <c r="S152" s="10">
        <v>4.82</v>
      </c>
      <c r="T152" s="10">
        <v>797.5826086956522</v>
      </c>
      <c r="U152" s="10">
        <v>5.3760000000000003</v>
      </c>
      <c r="V152" s="10">
        <v>431.5826086956522</v>
      </c>
      <c r="W152" s="10">
        <v>3.008</v>
      </c>
      <c r="X152" s="17">
        <v>835.26086956521738</v>
      </c>
      <c r="Y152" s="18">
        <v>5.4580000000000002</v>
      </c>
      <c r="Z152" s="14">
        <v>4949.4260869565223</v>
      </c>
      <c r="AA152" s="14">
        <v>32.694000000000003</v>
      </c>
      <c r="AB152" s="23">
        <v>8</v>
      </c>
      <c r="AC152" s="10">
        <v>618.67826086956529</v>
      </c>
      <c r="AD152" s="10">
        <v>4.0867500000000003</v>
      </c>
      <c r="AE152" s="1" t="s">
        <v>542</v>
      </c>
    </row>
    <row r="153" spans="1:31" ht="16.5" customHeight="1" x14ac:dyDescent="0.35">
      <c r="A153" s="4">
        <v>204</v>
      </c>
      <c r="B153" s="4" t="str">
        <f>LOOKUP(A153,Lookup!$A$1:$A$34,Lookup!$B$1:$B$34)</f>
        <v>LAMB</v>
      </c>
      <c r="C153" s="5">
        <v>34241</v>
      </c>
      <c r="D153" s="6" t="s">
        <v>155</v>
      </c>
      <c r="E153" s="4">
        <v>2</v>
      </c>
      <c r="F153" s="10">
        <v>155.12173913043478</v>
      </c>
      <c r="G153" s="10">
        <v>0.89200000000000002</v>
      </c>
      <c r="H153" s="10">
        <v>425.04347826086956</v>
      </c>
      <c r="I153" s="10">
        <v>2.444</v>
      </c>
      <c r="J153" s="10">
        <v>372.17391304347825</v>
      </c>
      <c r="K153" s="10">
        <v>2.14</v>
      </c>
      <c r="L153" s="10">
        <v>693.91304347826099</v>
      </c>
      <c r="M153" s="10">
        <v>3.99</v>
      </c>
      <c r="N153" s="10">
        <v>221.21739130434784</v>
      </c>
      <c r="O153" s="10">
        <v>1.272</v>
      </c>
      <c r="P153" s="10">
        <v>477.87826086956517</v>
      </c>
      <c r="Q153" s="10">
        <v>2.7480000000000002</v>
      </c>
      <c r="R153" s="10">
        <v>242.42608695652171</v>
      </c>
      <c r="S153" s="10">
        <v>1.3939999999999999</v>
      </c>
      <c r="T153" s="10">
        <v>654.90434782608702</v>
      </c>
      <c r="U153" s="10">
        <v>3.766</v>
      </c>
      <c r="V153" s="10">
        <v>337.37391304347824</v>
      </c>
      <c r="W153" s="10">
        <v>1.94</v>
      </c>
      <c r="X153" s="17">
        <v>693.91304347826099</v>
      </c>
      <c r="Y153" s="18">
        <v>3.99</v>
      </c>
      <c r="Z153" s="14">
        <v>3580.0521739130436</v>
      </c>
      <c r="AA153" s="14">
        <v>20.586000000000002</v>
      </c>
      <c r="AB153" s="23">
        <v>9</v>
      </c>
      <c r="AC153" s="10">
        <v>397.78357487922705</v>
      </c>
      <c r="AD153" s="10">
        <v>2.2873333333333337</v>
      </c>
      <c r="AE153" s="1" t="s">
        <v>542</v>
      </c>
    </row>
    <row r="154" spans="1:31" ht="16.5" customHeight="1" x14ac:dyDescent="0.35">
      <c r="A154" s="4">
        <v>204</v>
      </c>
      <c r="B154" s="4" t="str">
        <f>LOOKUP(A154,Lookup!$A$1:$A$34,Lookup!$B$1:$B$34)</f>
        <v>LAMB</v>
      </c>
      <c r="C154" s="5">
        <v>34249</v>
      </c>
      <c r="D154" s="6" t="s">
        <v>160</v>
      </c>
      <c r="E154" s="4">
        <v>2</v>
      </c>
      <c r="F154" s="10">
        <v>307.69565217391306</v>
      </c>
      <c r="G154" s="10">
        <v>1.966</v>
      </c>
      <c r="H154" s="10">
        <v>106.12173913043478</v>
      </c>
      <c r="I154" s="10">
        <v>0.67800000000000005</v>
      </c>
      <c r="J154" s="10">
        <v>489.88695652173902</v>
      </c>
      <c r="K154" s="10">
        <v>3.13</v>
      </c>
      <c r="L154" s="10">
        <v>382.81739130434784</v>
      </c>
      <c r="M154" s="10">
        <v>2.4460000000000002</v>
      </c>
      <c r="N154" s="10">
        <v>256.98260869565217</v>
      </c>
      <c r="O154" s="10">
        <v>1.6419999999999999</v>
      </c>
      <c r="P154" s="10">
        <v>706.2</v>
      </c>
      <c r="Q154" s="10">
        <v>4.5119999999999996</v>
      </c>
      <c r="R154" s="10">
        <v>244.15652173913043</v>
      </c>
      <c r="S154" s="10">
        <v>1.56</v>
      </c>
      <c r="T154" s="10">
        <v>185.94782608695652</v>
      </c>
      <c r="U154" s="10">
        <v>1.258</v>
      </c>
      <c r="V154" s="10">
        <v>322.24347826086955</v>
      </c>
      <c r="W154" s="10">
        <v>2.1800000000000002</v>
      </c>
      <c r="X154" s="17">
        <v>706.2</v>
      </c>
      <c r="Y154" s="18">
        <v>4.5119999999999996</v>
      </c>
      <c r="Z154" s="14">
        <v>3002.0521739130427</v>
      </c>
      <c r="AA154" s="14">
        <v>19.372</v>
      </c>
      <c r="AB154" s="23">
        <v>9</v>
      </c>
      <c r="AC154" s="10">
        <v>333.56135265700476</v>
      </c>
      <c r="AD154" s="10">
        <v>2.1524444444444444</v>
      </c>
      <c r="AE154" s="1" t="s">
        <v>542</v>
      </c>
    </row>
    <row r="155" spans="1:31" ht="16.5" customHeight="1" x14ac:dyDescent="0.35">
      <c r="A155" s="4">
        <v>204</v>
      </c>
      <c r="B155" s="4" t="str">
        <f>LOOKUP(A155,Lookup!$A$1:$A$34,Lookup!$B$1:$B$34)</f>
        <v>LAMB</v>
      </c>
      <c r="C155" s="5">
        <v>34251</v>
      </c>
      <c r="D155" s="6" t="s">
        <v>162</v>
      </c>
      <c r="E155" s="4">
        <v>2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7">
        <v>0</v>
      </c>
      <c r="Y155" s="18">
        <v>0</v>
      </c>
      <c r="Z155" s="14">
        <v>0</v>
      </c>
      <c r="AA155" s="14">
        <v>0</v>
      </c>
      <c r="AB155" s="23">
        <v>0</v>
      </c>
      <c r="AC155" s="10">
        <v>0</v>
      </c>
      <c r="AD155" s="10">
        <v>0</v>
      </c>
      <c r="AE155" s="1" t="s">
        <v>540</v>
      </c>
    </row>
    <row r="156" spans="1:31" ht="16.5" customHeight="1" x14ac:dyDescent="0.35">
      <c r="A156" s="4">
        <v>204</v>
      </c>
      <c r="B156" s="4" t="str">
        <f>LOOKUP(A156,Lookup!$A$1:$A$34,Lookup!$B$1:$B$34)</f>
        <v>LAMB</v>
      </c>
      <c r="C156" s="5">
        <v>63475</v>
      </c>
      <c r="D156" s="6" t="s">
        <v>169</v>
      </c>
      <c r="E156" s="4">
        <v>2</v>
      </c>
      <c r="F156" s="10">
        <v>310.14782608695657</v>
      </c>
      <c r="G156" s="10">
        <v>2.7440000000000002</v>
      </c>
      <c r="H156" s="10">
        <v>49.513043478260869</v>
      </c>
      <c r="I156" s="10">
        <v>0.438</v>
      </c>
      <c r="J156" s="10">
        <v>100.38260869565217</v>
      </c>
      <c r="K156" s="10">
        <v>0.88800000000000001</v>
      </c>
      <c r="L156" s="10">
        <v>112.26956521739132</v>
      </c>
      <c r="M156" s="10">
        <v>1.0760000000000001</v>
      </c>
      <c r="N156" s="10">
        <v>566.39130434782612</v>
      </c>
      <c r="O156" s="10">
        <v>5.4279999999999999</v>
      </c>
      <c r="P156" s="10">
        <v>281.37391304347824</v>
      </c>
      <c r="Q156" s="10">
        <v>2.5590000000000002</v>
      </c>
      <c r="R156" s="10">
        <v>547.35652173913047</v>
      </c>
      <c r="S156" s="10">
        <v>4.8419999999999996</v>
      </c>
      <c r="T156" s="10">
        <v>599.5826086956522</v>
      </c>
      <c r="U156" s="10">
        <v>5.3040000000000003</v>
      </c>
      <c r="V156" s="10">
        <v>366.36521739130433</v>
      </c>
      <c r="W156" s="10">
        <v>3.262</v>
      </c>
      <c r="X156" s="17">
        <v>599.5826086956522</v>
      </c>
      <c r="Y156" s="18">
        <v>5.4279999999999999</v>
      </c>
      <c r="Z156" s="14">
        <v>2933.3826086956524</v>
      </c>
      <c r="AA156" s="14">
        <v>26.541000000000004</v>
      </c>
      <c r="AB156" s="23">
        <v>9</v>
      </c>
      <c r="AC156" s="10">
        <v>325.93140096618362</v>
      </c>
      <c r="AD156" s="10">
        <v>2.9490000000000003</v>
      </c>
      <c r="AE156" s="1" t="s">
        <v>542</v>
      </c>
    </row>
    <row r="157" spans="1:31" ht="16.5" customHeight="1" x14ac:dyDescent="0.35">
      <c r="A157" s="4">
        <v>204</v>
      </c>
      <c r="B157" s="4" t="str">
        <f>LOOKUP(A157,Lookup!$A$1:$A$34,Lookup!$B$1:$B$34)</f>
        <v>LAMB</v>
      </c>
      <c r="C157" s="5">
        <v>44899</v>
      </c>
      <c r="D157" s="6" t="s">
        <v>163</v>
      </c>
      <c r="E157" s="4">
        <v>2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7">
        <v>0</v>
      </c>
      <c r="Y157" s="18">
        <v>0</v>
      </c>
      <c r="Z157" s="14">
        <v>0</v>
      </c>
      <c r="AA157" s="14">
        <v>0</v>
      </c>
      <c r="AB157" s="23">
        <v>0</v>
      </c>
      <c r="AC157" s="10">
        <v>0</v>
      </c>
      <c r="AD157" s="10">
        <v>0</v>
      </c>
      <c r="AE157" s="1" t="s">
        <v>540</v>
      </c>
    </row>
    <row r="158" spans="1:31" ht="16.5" customHeight="1" x14ac:dyDescent="0.35">
      <c r="A158" s="4">
        <v>204</v>
      </c>
      <c r="B158" s="4" t="str">
        <f>LOOKUP(A158,Lookup!$A$1:$A$34,Lookup!$B$1:$B$34)</f>
        <v>LAMB</v>
      </c>
      <c r="C158" s="5">
        <v>34247</v>
      </c>
      <c r="D158" s="6" t="s">
        <v>159</v>
      </c>
      <c r="E158" s="4">
        <v>2</v>
      </c>
      <c r="F158" s="10">
        <v>66.113043478260863</v>
      </c>
      <c r="G158" s="10">
        <v>0.432</v>
      </c>
      <c r="H158" s="10">
        <v>312.11304347826086</v>
      </c>
      <c r="I158" s="10">
        <v>2.5640000000000001</v>
      </c>
      <c r="J158" s="10">
        <v>309.4434782608696</v>
      </c>
      <c r="K158" s="10">
        <v>2.5419999999999998</v>
      </c>
      <c r="L158" s="10">
        <v>240.87826086956522</v>
      </c>
      <c r="M158" s="10">
        <v>1.5740000000000001</v>
      </c>
      <c r="N158" s="10">
        <v>234.4434782608696</v>
      </c>
      <c r="O158" s="10">
        <v>1.532</v>
      </c>
      <c r="P158" s="10">
        <v>219.76521739130436</v>
      </c>
      <c r="Q158" s="10">
        <v>1.4359999999999999</v>
      </c>
      <c r="R158" s="10">
        <v>110.8</v>
      </c>
      <c r="S158" s="10">
        <v>0.72399999999999998</v>
      </c>
      <c r="T158" s="10">
        <v>494.38260869565215</v>
      </c>
      <c r="U158" s="10">
        <v>3.35</v>
      </c>
      <c r="V158" s="10">
        <v>324.75652173913045</v>
      </c>
      <c r="W158" s="10">
        <v>2.25</v>
      </c>
      <c r="X158" s="17">
        <v>494.38260869565215</v>
      </c>
      <c r="Y158" s="18">
        <v>3.35</v>
      </c>
      <c r="Z158" s="14">
        <v>2312.695652173913</v>
      </c>
      <c r="AA158" s="14">
        <v>16.404</v>
      </c>
      <c r="AB158" s="23">
        <v>9</v>
      </c>
      <c r="AC158" s="10">
        <v>256.96618357487921</v>
      </c>
      <c r="AD158" s="10">
        <v>1.8226666666666667</v>
      </c>
      <c r="AE158" s="1" t="s">
        <v>542</v>
      </c>
    </row>
    <row r="159" spans="1:31" ht="16.5" customHeight="1" x14ac:dyDescent="0.35">
      <c r="A159" s="4">
        <v>204</v>
      </c>
      <c r="B159" s="4" t="str">
        <f>LOOKUP(A159,Lookup!$A$1:$A$34,Lookup!$B$1:$B$34)</f>
        <v>LAMB</v>
      </c>
      <c r="C159" s="5">
        <v>45494</v>
      </c>
      <c r="D159" s="6" t="s">
        <v>165</v>
      </c>
      <c r="E159" s="4">
        <v>2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7">
        <v>0</v>
      </c>
      <c r="Y159" s="18">
        <v>0</v>
      </c>
      <c r="Z159" s="14">
        <v>0</v>
      </c>
      <c r="AA159" s="14">
        <v>0</v>
      </c>
      <c r="AB159" s="23">
        <v>0</v>
      </c>
      <c r="AC159" s="10">
        <v>0</v>
      </c>
      <c r="AD159" s="10">
        <v>0</v>
      </c>
      <c r="AE159" s="1" t="s">
        <v>540</v>
      </c>
    </row>
    <row r="160" spans="1:31" ht="16.5" customHeight="1" x14ac:dyDescent="0.35">
      <c r="A160" s="4">
        <v>204</v>
      </c>
      <c r="B160" s="4" t="str">
        <f>LOOKUP(A160,Lookup!$A$1:$A$34,Lookup!$B$1:$B$34)</f>
        <v>LAMB</v>
      </c>
      <c r="C160" s="5">
        <v>45495</v>
      </c>
      <c r="D160" s="6" t="s">
        <v>166</v>
      </c>
      <c r="E160" s="4">
        <v>2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7">
        <v>0</v>
      </c>
      <c r="Y160" s="18">
        <v>0</v>
      </c>
      <c r="Z160" s="14">
        <v>0</v>
      </c>
      <c r="AA160" s="14">
        <v>0</v>
      </c>
      <c r="AB160" s="23">
        <v>0</v>
      </c>
      <c r="AC160" s="10">
        <v>0</v>
      </c>
      <c r="AD160" s="10">
        <v>0</v>
      </c>
      <c r="AE160" s="1" t="s">
        <v>540</v>
      </c>
    </row>
    <row r="161" spans="1:31" ht="16.5" customHeight="1" x14ac:dyDescent="0.35">
      <c r="A161" s="4">
        <v>204</v>
      </c>
      <c r="B161" s="4" t="str">
        <f>LOOKUP(A161,Lookup!$A$1:$A$34,Lookup!$B$1:$B$34)</f>
        <v>LAMB</v>
      </c>
      <c r="C161" s="5">
        <v>34240</v>
      </c>
      <c r="D161" s="6" t="s">
        <v>154</v>
      </c>
      <c r="E161" s="4">
        <v>2</v>
      </c>
      <c r="F161" s="10">
        <v>224.43478260869568</v>
      </c>
      <c r="G161" s="10">
        <v>1.4339999999999999</v>
      </c>
      <c r="H161" s="10">
        <v>261.06086956521744</v>
      </c>
      <c r="I161" s="10">
        <v>1.6679999999999999</v>
      </c>
      <c r="J161" s="10">
        <v>65.739130434782609</v>
      </c>
      <c r="K161" s="10">
        <v>0.42</v>
      </c>
      <c r="L161" s="10">
        <v>74.191304347826076</v>
      </c>
      <c r="M161" s="10">
        <v>0.47399999999999998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7">
        <v>261.06086956521744</v>
      </c>
      <c r="Y161" s="18">
        <v>1.6679999999999999</v>
      </c>
      <c r="Z161" s="14">
        <v>625.42608695652177</v>
      </c>
      <c r="AA161" s="14">
        <v>3.9959999999999996</v>
      </c>
      <c r="AB161" s="23">
        <v>4</v>
      </c>
      <c r="AC161" s="10">
        <v>156.35652173913044</v>
      </c>
      <c r="AD161" s="10">
        <v>0.99899999999999989</v>
      </c>
      <c r="AE161" s="1" t="s">
        <v>543</v>
      </c>
    </row>
    <row r="162" spans="1:31" ht="16.5" customHeight="1" x14ac:dyDescent="0.35">
      <c r="A162" s="4">
        <v>204</v>
      </c>
      <c r="B162" s="4" t="str">
        <f>LOOKUP(A162,Lookup!$A$1:$A$34,Lookup!$B$1:$B$34)</f>
        <v>LAMB</v>
      </c>
      <c r="C162" s="5">
        <v>59535</v>
      </c>
      <c r="D162" s="6" t="s">
        <v>171</v>
      </c>
      <c r="E162" s="4">
        <v>2</v>
      </c>
      <c r="F162" s="10">
        <v>98.452173913043481</v>
      </c>
      <c r="G162" s="10">
        <v>0.66600000000000004</v>
      </c>
      <c r="H162" s="10">
        <v>192.17391304347825</v>
      </c>
      <c r="I162" s="10">
        <v>1.3</v>
      </c>
      <c r="J162" s="10">
        <v>0</v>
      </c>
      <c r="K162" s="10">
        <v>0</v>
      </c>
      <c r="L162" s="10">
        <v>0</v>
      </c>
      <c r="M162" s="10">
        <v>0</v>
      </c>
      <c r="N162" s="10">
        <v>99.9304347826087</v>
      </c>
      <c r="O162" s="10">
        <v>0.67600000000000005</v>
      </c>
      <c r="P162" s="10">
        <v>54.400000000000006</v>
      </c>
      <c r="Q162" s="10">
        <v>0.36799999999999999</v>
      </c>
      <c r="R162" s="10">
        <v>0</v>
      </c>
      <c r="S162" s="10">
        <v>0</v>
      </c>
      <c r="T162" s="10">
        <v>0</v>
      </c>
      <c r="U162" s="10">
        <v>0</v>
      </c>
      <c r="V162" s="10">
        <v>283.2347826086957</v>
      </c>
      <c r="W162" s="10">
        <v>1.9159999999999999</v>
      </c>
      <c r="X162" s="17">
        <v>283.2347826086957</v>
      </c>
      <c r="Y162" s="18">
        <v>1.9159999999999999</v>
      </c>
      <c r="Z162" s="14">
        <v>728.19130434782608</v>
      </c>
      <c r="AA162" s="14">
        <v>4.9260000000000002</v>
      </c>
      <c r="AB162" s="23">
        <v>5</v>
      </c>
      <c r="AC162" s="10">
        <v>145.63826086956522</v>
      </c>
      <c r="AD162" s="10">
        <v>0.98520000000000008</v>
      </c>
      <c r="AE162" s="1" t="s">
        <v>543</v>
      </c>
    </row>
    <row r="163" spans="1:31" ht="16.5" customHeight="1" x14ac:dyDescent="0.35">
      <c r="A163" s="4">
        <v>204</v>
      </c>
      <c r="B163" s="4" t="str">
        <f>LOOKUP(A163,Lookup!$A$1:$A$34,Lookup!$B$1:$B$34)</f>
        <v>LAMB</v>
      </c>
      <c r="C163" s="5">
        <v>52683</v>
      </c>
      <c r="D163" s="6" t="s">
        <v>169</v>
      </c>
      <c r="E163" s="4">
        <v>2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7">
        <v>0</v>
      </c>
      <c r="Y163" s="18">
        <v>0</v>
      </c>
      <c r="Z163" s="14">
        <v>0</v>
      </c>
      <c r="AA163" s="14">
        <v>0</v>
      </c>
      <c r="AB163" s="23">
        <v>0</v>
      </c>
      <c r="AC163" s="10">
        <v>0</v>
      </c>
      <c r="AD163" s="10">
        <v>0</v>
      </c>
      <c r="AE163" s="1" t="s">
        <v>540</v>
      </c>
    </row>
    <row r="164" spans="1:31" ht="16.5" customHeight="1" x14ac:dyDescent="0.35">
      <c r="A164" s="4">
        <v>204</v>
      </c>
      <c r="B164" s="4" t="str">
        <f>LOOKUP(A164,Lookup!$A$1:$A$34,Lookup!$B$1:$B$34)</f>
        <v>LAMB</v>
      </c>
      <c r="C164" s="5">
        <v>50339</v>
      </c>
      <c r="D164" s="6" t="s">
        <v>168</v>
      </c>
      <c r="E164" s="4">
        <v>2</v>
      </c>
      <c r="F164" s="10">
        <v>182.77391304347827</v>
      </c>
      <c r="G164" s="10">
        <v>2.6280000000000001</v>
      </c>
      <c r="H164" s="10">
        <v>180.40869565217395</v>
      </c>
      <c r="I164" s="10">
        <v>2.5939999999999999</v>
      </c>
      <c r="J164" s="10">
        <v>0</v>
      </c>
      <c r="K164" s="10">
        <v>0</v>
      </c>
      <c r="L164" s="10">
        <v>0</v>
      </c>
      <c r="M164" s="10">
        <v>0</v>
      </c>
      <c r="N164" s="10">
        <v>33.695652173913047</v>
      </c>
      <c r="O164" s="10">
        <v>0.51</v>
      </c>
      <c r="P164" s="10">
        <v>147.44347826086957</v>
      </c>
      <c r="Q164" s="10">
        <v>2.12</v>
      </c>
      <c r="R164" s="10">
        <v>70.234782608695653</v>
      </c>
      <c r="S164" s="10">
        <v>1.036</v>
      </c>
      <c r="T164" s="10">
        <v>178.87826086956522</v>
      </c>
      <c r="U164" s="10">
        <v>2.5720000000000001</v>
      </c>
      <c r="V164" s="10">
        <v>110.58260869565217</v>
      </c>
      <c r="W164" s="10">
        <v>1.59</v>
      </c>
      <c r="X164" s="17">
        <v>182.77391304347827</v>
      </c>
      <c r="Y164" s="18">
        <v>2.6280000000000001</v>
      </c>
      <c r="Z164" s="14">
        <v>904.01739130434794</v>
      </c>
      <c r="AA164" s="14">
        <v>13.05</v>
      </c>
      <c r="AB164" s="23">
        <v>7</v>
      </c>
      <c r="AC164" s="10">
        <v>129.14534161490684</v>
      </c>
      <c r="AD164" s="10">
        <v>1.8642857142857143</v>
      </c>
      <c r="AE164" s="1" t="s">
        <v>543</v>
      </c>
    </row>
    <row r="165" spans="1:31" ht="16.5" customHeight="1" x14ac:dyDescent="0.35">
      <c r="A165" s="4">
        <v>204</v>
      </c>
      <c r="B165" s="4" t="str">
        <f>LOOKUP(A165,Lookup!$A$1:$A$34,Lookup!$B$1:$B$34)</f>
        <v>LAMB</v>
      </c>
      <c r="C165" s="5">
        <v>34238</v>
      </c>
      <c r="D165" s="6" t="s">
        <v>152</v>
      </c>
      <c r="E165" s="4">
        <v>2</v>
      </c>
      <c r="F165" s="10">
        <v>0</v>
      </c>
      <c r="G165" s="10">
        <v>0</v>
      </c>
      <c r="H165" s="10">
        <v>153.60869565217394</v>
      </c>
      <c r="I165" s="10">
        <v>2.524</v>
      </c>
      <c r="J165" s="10">
        <v>0</v>
      </c>
      <c r="K165" s="10">
        <v>0</v>
      </c>
      <c r="L165" s="10">
        <v>118.68695652173915</v>
      </c>
      <c r="M165" s="10">
        <v>1.95</v>
      </c>
      <c r="N165" s="10">
        <v>128.41739130434783</v>
      </c>
      <c r="O165" s="10">
        <v>2.11</v>
      </c>
      <c r="P165" s="10">
        <v>67.791304347826099</v>
      </c>
      <c r="Q165" s="10">
        <v>1.1140000000000001</v>
      </c>
      <c r="R165" s="10">
        <v>29.095652173913045</v>
      </c>
      <c r="S165" s="10">
        <v>0.47799999999999998</v>
      </c>
      <c r="T165" s="10">
        <v>152.02608695652174</v>
      </c>
      <c r="U165" s="10">
        <v>2.4980000000000002</v>
      </c>
      <c r="V165" s="10">
        <v>116.85217391304347</v>
      </c>
      <c r="W165" s="10">
        <v>1.92</v>
      </c>
      <c r="X165" s="17">
        <v>153.60869565217394</v>
      </c>
      <c r="Y165" s="18">
        <v>2.524</v>
      </c>
      <c r="Z165" s="14">
        <v>766.47826086956525</v>
      </c>
      <c r="AA165" s="14">
        <v>12.593999999999999</v>
      </c>
      <c r="AB165" s="23">
        <v>7</v>
      </c>
      <c r="AC165" s="10">
        <v>109.49689440993789</v>
      </c>
      <c r="AD165" s="10">
        <v>1.7991428571428572</v>
      </c>
      <c r="AE165" s="1" t="s">
        <v>543</v>
      </c>
    </row>
    <row r="166" spans="1:31" ht="16.5" customHeight="1" x14ac:dyDescent="0.35">
      <c r="A166" s="4">
        <v>204</v>
      </c>
      <c r="B166" s="4" t="str">
        <f>LOOKUP(A166,Lookup!$A$1:$A$34,Lookup!$B$1:$B$34)</f>
        <v>LAMB</v>
      </c>
      <c r="C166" s="5">
        <v>44900</v>
      </c>
      <c r="D166" s="6" t="s">
        <v>164</v>
      </c>
      <c r="E166" s="4">
        <v>2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73.730434782608697</v>
      </c>
      <c r="U166" s="10">
        <v>0.53</v>
      </c>
      <c r="V166" s="10">
        <v>0</v>
      </c>
      <c r="W166" s="10">
        <v>0</v>
      </c>
      <c r="X166" s="17">
        <v>73.730434782608697</v>
      </c>
      <c r="Y166" s="18">
        <v>0.53</v>
      </c>
      <c r="Z166" s="14">
        <v>73.730434782608697</v>
      </c>
      <c r="AA166" s="14">
        <v>0.53</v>
      </c>
      <c r="AB166" s="23">
        <v>1</v>
      </c>
      <c r="AC166" s="10">
        <v>73.730434782608697</v>
      </c>
      <c r="AD166" s="10">
        <v>0.53</v>
      </c>
      <c r="AE166" s="1" t="s">
        <v>541</v>
      </c>
    </row>
    <row r="167" spans="1:31" ht="16.5" customHeight="1" x14ac:dyDescent="0.35">
      <c r="A167" s="4">
        <v>204</v>
      </c>
      <c r="B167" s="4" t="str">
        <f>LOOKUP(A167,Lookup!$A$1:$A$34,Lookup!$B$1:$B$34)</f>
        <v>LAMB</v>
      </c>
      <c r="C167" s="5">
        <v>63525</v>
      </c>
      <c r="D167" s="6" t="s">
        <v>147</v>
      </c>
      <c r="E167" s="4">
        <v>2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7">
        <v>0</v>
      </c>
      <c r="Y167" s="18">
        <v>0</v>
      </c>
      <c r="Z167" s="14">
        <v>0</v>
      </c>
      <c r="AA167" s="14">
        <v>0</v>
      </c>
      <c r="AB167" s="23">
        <v>0</v>
      </c>
      <c r="AC167" s="10">
        <v>0</v>
      </c>
      <c r="AD167" s="10">
        <v>0</v>
      </c>
      <c r="AE167" s="1" t="s">
        <v>540</v>
      </c>
    </row>
    <row r="168" spans="1:31" ht="16.5" customHeight="1" x14ac:dyDescent="0.35">
      <c r="A168" s="4">
        <v>204</v>
      </c>
      <c r="B168" s="4" t="str">
        <f>LOOKUP(A168,Lookup!$A$1:$A$34,Lookup!$B$1:$B$34)</f>
        <v>LAMB</v>
      </c>
      <c r="C168" s="5">
        <v>99990204</v>
      </c>
      <c r="D168" s="6" t="s">
        <v>172</v>
      </c>
      <c r="E168" s="4">
        <v>2</v>
      </c>
      <c r="F168" s="10">
        <v>0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7">
        <v>0</v>
      </c>
      <c r="Y168" s="18">
        <v>0</v>
      </c>
      <c r="Z168" s="14">
        <v>0</v>
      </c>
      <c r="AA168" s="14">
        <v>0</v>
      </c>
      <c r="AB168" s="23">
        <v>0</v>
      </c>
      <c r="AC168" s="10">
        <v>0</v>
      </c>
      <c r="AD168" s="10">
        <v>0</v>
      </c>
      <c r="AE168" s="1" t="s">
        <v>540</v>
      </c>
    </row>
    <row r="169" spans="1:31" ht="16.5" customHeight="1" x14ac:dyDescent="0.35">
      <c r="A169" s="4">
        <v>205</v>
      </c>
      <c r="B169" s="4" t="str">
        <f>LOOKUP(A169,Lookup!$A$1:$A$34,Lookup!$B$1:$B$34)</f>
        <v>MUTTON</v>
      </c>
      <c r="C169" s="5">
        <v>34195</v>
      </c>
      <c r="D169" s="6" t="s">
        <v>173</v>
      </c>
      <c r="E169" s="4">
        <v>2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7">
        <v>0</v>
      </c>
      <c r="Y169" s="18">
        <v>0</v>
      </c>
      <c r="Z169" s="14">
        <v>0</v>
      </c>
      <c r="AA169" s="14">
        <v>0</v>
      </c>
      <c r="AB169" s="23">
        <v>0</v>
      </c>
      <c r="AC169" s="10">
        <v>0</v>
      </c>
      <c r="AD169" s="10">
        <v>0</v>
      </c>
      <c r="AE169" s="1" t="s">
        <v>540</v>
      </c>
    </row>
    <row r="170" spans="1:31" ht="16.5" customHeight="1" x14ac:dyDescent="0.35">
      <c r="A170" s="4">
        <v>205</v>
      </c>
      <c r="B170" s="4" t="str">
        <f>LOOKUP(A170,Lookup!$A$1:$A$34,Lookup!$B$1:$B$34)</f>
        <v>MUTTON</v>
      </c>
      <c r="C170" s="5">
        <v>34202</v>
      </c>
      <c r="D170" s="6" t="s">
        <v>174</v>
      </c>
      <c r="E170" s="4">
        <v>2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7">
        <v>0</v>
      </c>
      <c r="Y170" s="18">
        <v>0</v>
      </c>
      <c r="Z170" s="14">
        <v>0</v>
      </c>
      <c r="AA170" s="14">
        <v>0</v>
      </c>
      <c r="AB170" s="23">
        <v>0</v>
      </c>
      <c r="AC170" s="10">
        <v>0</v>
      </c>
      <c r="AD170" s="10">
        <v>0</v>
      </c>
      <c r="AE170" s="1" t="s">
        <v>540</v>
      </c>
    </row>
    <row r="171" spans="1:31" ht="16.5" customHeight="1" x14ac:dyDescent="0.35">
      <c r="A171" s="4">
        <v>205</v>
      </c>
      <c r="B171" s="4" t="str">
        <f>LOOKUP(A171,Lookup!$A$1:$A$34,Lookup!$B$1:$B$34)</f>
        <v>MUTTON</v>
      </c>
      <c r="C171" s="5">
        <v>34253</v>
      </c>
      <c r="D171" s="6" t="s">
        <v>175</v>
      </c>
      <c r="E171" s="4">
        <v>2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7">
        <v>0</v>
      </c>
      <c r="Y171" s="18">
        <v>0</v>
      </c>
      <c r="Z171" s="14">
        <v>0</v>
      </c>
      <c r="AA171" s="14">
        <v>0</v>
      </c>
      <c r="AB171" s="23">
        <v>0</v>
      </c>
      <c r="AC171" s="10">
        <v>0</v>
      </c>
      <c r="AD171" s="10">
        <v>0</v>
      </c>
      <c r="AE171" s="1" t="s">
        <v>540</v>
      </c>
    </row>
    <row r="172" spans="1:31" ht="16.5" customHeight="1" x14ac:dyDescent="0.35">
      <c r="A172" s="4">
        <v>205</v>
      </c>
      <c r="B172" s="4" t="str">
        <f>LOOKUP(A172,Lookup!$A$1:$A$34,Lookup!$B$1:$B$34)</f>
        <v>MUTTON</v>
      </c>
      <c r="C172" s="5">
        <v>34261</v>
      </c>
      <c r="D172" s="6" t="s">
        <v>182</v>
      </c>
      <c r="E172" s="4">
        <v>2</v>
      </c>
      <c r="F172" s="10">
        <v>626.32173913043471</v>
      </c>
      <c r="G172" s="10">
        <v>4.5019999999999998</v>
      </c>
      <c r="H172" s="10">
        <v>978.83478260869572</v>
      </c>
      <c r="I172" s="10">
        <v>7.0359999999999996</v>
      </c>
      <c r="J172" s="10">
        <v>620.19130434782608</v>
      </c>
      <c r="K172" s="10">
        <v>4.4580000000000002</v>
      </c>
      <c r="L172" s="10">
        <v>1321.0695652173913</v>
      </c>
      <c r="M172" s="10">
        <v>9.4960000000000004</v>
      </c>
      <c r="N172" s="10">
        <v>1092.3478260869565</v>
      </c>
      <c r="O172" s="10">
        <v>7.8520000000000003</v>
      </c>
      <c r="P172" s="10">
        <v>524.19130434782608</v>
      </c>
      <c r="Q172" s="10">
        <v>3.7679999999999998</v>
      </c>
      <c r="R172" s="10">
        <v>861.42608695652177</v>
      </c>
      <c r="S172" s="10">
        <v>6.1920000000000002</v>
      </c>
      <c r="T172" s="10">
        <v>881.4434782608696</v>
      </c>
      <c r="U172" s="10">
        <v>6.67</v>
      </c>
      <c r="V172" s="10">
        <v>1300.8521739130435</v>
      </c>
      <c r="W172" s="10">
        <v>9.9740000000000002</v>
      </c>
      <c r="X172" s="17">
        <v>1321.0695652173913</v>
      </c>
      <c r="Y172" s="18">
        <v>9.9740000000000002</v>
      </c>
      <c r="Z172" s="14">
        <v>8206.6782608695648</v>
      </c>
      <c r="AA172" s="14">
        <v>59.948000000000008</v>
      </c>
      <c r="AB172" s="23">
        <v>9</v>
      </c>
      <c r="AC172" s="10">
        <v>911.85314009661829</v>
      </c>
      <c r="AD172" s="10">
        <v>6.6608888888888895</v>
      </c>
      <c r="AE172" s="1" t="s">
        <v>542</v>
      </c>
    </row>
    <row r="173" spans="1:31" ht="16.5" customHeight="1" x14ac:dyDescent="0.35">
      <c r="A173" s="4">
        <v>205</v>
      </c>
      <c r="B173" s="4" t="str">
        <f>LOOKUP(A173,Lookup!$A$1:$A$34,Lookup!$B$1:$B$34)</f>
        <v>MUTTON</v>
      </c>
      <c r="C173" s="5">
        <v>34258</v>
      </c>
      <c r="D173" s="6" t="s">
        <v>179</v>
      </c>
      <c r="E173" s="4">
        <v>2</v>
      </c>
      <c r="F173" s="10">
        <v>422.91304347826087</v>
      </c>
      <c r="G173" s="10">
        <v>3.04</v>
      </c>
      <c r="H173" s="10">
        <v>1190.4434782608696</v>
      </c>
      <c r="I173" s="10">
        <v>8.6180000000000003</v>
      </c>
      <c r="J173" s="10">
        <v>625.46956521739128</v>
      </c>
      <c r="K173" s="10">
        <v>4.4960000000000004</v>
      </c>
      <c r="L173" s="10">
        <v>1253.4521739130435</v>
      </c>
      <c r="M173" s="10">
        <v>9.048</v>
      </c>
      <c r="N173" s="10">
        <v>1035.8869565217392</v>
      </c>
      <c r="O173" s="10">
        <v>7.4459999999999997</v>
      </c>
      <c r="P173" s="10">
        <v>529.47826086956525</v>
      </c>
      <c r="Q173" s="10">
        <v>3.806</v>
      </c>
      <c r="R173" s="10">
        <v>976.0695652173913</v>
      </c>
      <c r="S173" s="10">
        <v>7.016</v>
      </c>
      <c r="T173" s="10">
        <v>649.6521739130435</v>
      </c>
      <c r="U173" s="10">
        <v>4.95</v>
      </c>
      <c r="V173" s="10">
        <v>941.38260869565238</v>
      </c>
      <c r="W173" s="10">
        <v>7.218</v>
      </c>
      <c r="X173" s="17">
        <v>1253.4521739130435</v>
      </c>
      <c r="Y173" s="18">
        <v>9.048</v>
      </c>
      <c r="Z173" s="14">
        <v>7624.7478260869575</v>
      </c>
      <c r="AA173" s="14">
        <v>55.638000000000005</v>
      </c>
      <c r="AB173" s="23">
        <v>9</v>
      </c>
      <c r="AC173" s="10">
        <v>847.19420289855088</v>
      </c>
      <c r="AD173" s="10">
        <v>6.1820000000000004</v>
      </c>
      <c r="AE173" s="1" t="s">
        <v>542</v>
      </c>
    </row>
    <row r="174" spans="1:31" ht="16.5" customHeight="1" x14ac:dyDescent="0.35">
      <c r="A174" s="4">
        <v>205</v>
      </c>
      <c r="B174" s="4" t="str">
        <f>LOOKUP(A174,Lookup!$A$1:$A$34,Lookup!$B$1:$B$34)</f>
        <v>MUTTON</v>
      </c>
      <c r="C174" s="5">
        <v>34255</v>
      </c>
      <c r="D174" s="6" t="s">
        <v>176</v>
      </c>
      <c r="E174" s="4">
        <v>2</v>
      </c>
      <c r="F174" s="10">
        <v>313.85217391304349</v>
      </c>
      <c r="G174" s="10">
        <v>2.27</v>
      </c>
      <c r="H174" s="10">
        <v>995.2</v>
      </c>
      <c r="I174" s="10">
        <v>7.1980000000000004</v>
      </c>
      <c r="J174" s="10">
        <v>480.32173913043471</v>
      </c>
      <c r="K174" s="10">
        <v>3.4740000000000002</v>
      </c>
      <c r="L174" s="10">
        <v>1172.4521739130435</v>
      </c>
      <c r="M174" s="10">
        <v>8.48</v>
      </c>
      <c r="N174" s="10">
        <v>977.7913043478261</v>
      </c>
      <c r="O174" s="10">
        <v>7.0720000000000001</v>
      </c>
      <c r="P174" s="10">
        <v>687.71304347826094</v>
      </c>
      <c r="Q174" s="10">
        <v>4.9740000000000002</v>
      </c>
      <c r="R174" s="10">
        <v>798.94782608695652</v>
      </c>
      <c r="S174" s="10">
        <v>5.86</v>
      </c>
      <c r="T174" s="10">
        <v>436.13913043478254</v>
      </c>
      <c r="U174" s="10">
        <v>3.3159999999999998</v>
      </c>
      <c r="V174" s="10">
        <v>1075.2</v>
      </c>
      <c r="W174" s="10">
        <v>8.2439999999999998</v>
      </c>
      <c r="X174" s="17">
        <v>1172.4521739130435</v>
      </c>
      <c r="Y174" s="18">
        <v>8.48</v>
      </c>
      <c r="Z174" s="14">
        <v>6937.6173913043476</v>
      </c>
      <c r="AA174" s="14">
        <v>50.888000000000005</v>
      </c>
      <c r="AB174" s="23">
        <v>9</v>
      </c>
      <c r="AC174" s="10">
        <v>770.84637681159415</v>
      </c>
      <c r="AD174" s="10">
        <v>5.6542222222222227</v>
      </c>
      <c r="AE174" s="1" t="s">
        <v>542</v>
      </c>
    </row>
    <row r="175" spans="1:31" ht="16.5" customHeight="1" x14ac:dyDescent="0.35">
      <c r="A175" s="4">
        <v>205</v>
      </c>
      <c r="B175" s="4" t="str">
        <f>LOOKUP(A175,Lookup!$A$1:$A$34,Lookup!$B$1:$B$34)</f>
        <v>MUTTON</v>
      </c>
      <c r="C175" s="5">
        <v>56816</v>
      </c>
      <c r="D175" s="6" t="s">
        <v>188</v>
      </c>
      <c r="E175" s="4">
        <v>2</v>
      </c>
      <c r="F175" s="10">
        <v>69.400000000000006</v>
      </c>
      <c r="G175" s="10">
        <v>0.61399999999999999</v>
      </c>
      <c r="H175" s="10">
        <v>570.80869565217404</v>
      </c>
      <c r="I175" s="10">
        <v>5.05</v>
      </c>
      <c r="J175" s="10">
        <v>427.4869565217391</v>
      </c>
      <c r="K175" s="10">
        <v>3.782</v>
      </c>
      <c r="L175" s="10">
        <v>705.31304347826085</v>
      </c>
      <c r="M175" s="10">
        <v>6.24</v>
      </c>
      <c r="N175" s="10">
        <v>668.9304347826087</v>
      </c>
      <c r="O175" s="10">
        <v>5.9180000000000001</v>
      </c>
      <c r="P175" s="10">
        <v>410.75652173913045</v>
      </c>
      <c r="Q175" s="10">
        <v>3.6339999999999999</v>
      </c>
      <c r="R175" s="10">
        <v>663.46086956521742</v>
      </c>
      <c r="S175" s="10">
        <v>5.9</v>
      </c>
      <c r="T175" s="10">
        <v>343.46956521739133</v>
      </c>
      <c r="U175" s="10">
        <v>3.2919999999999998</v>
      </c>
      <c r="V175" s="10">
        <v>700.30434782608688</v>
      </c>
      <c r="W175" s="10">
        <v>6.7119999999999997</v>
      </c>
      <c r="X175" s="17">
        <v>705.31304347826085</v>
      </c>
      <c r="Y175" s="18">
        <v>6.7119999999999997</v>
      </c>
      <c r="Z175" s="14">
        <v>4559.9304347826082</v>
      </c>
      <c r="AA175" s="14">
        <v>41.141999999999996</v>
      </c>
      <c r="AB175" s="23">
        <v>9</v>
      </c>
      <c r="AC175" s="10">
        <v>506.65893719806758</v>
      </c>
      <c r="AD175" s="10">
        <v>4.5713333333333326</v>
      </c>
      <c r="AE175" s="1" t="s">
        <v>542</v>
      </c>
    </row>
    <row r="176" spans="1:31" ht="16.5" customHeight="1" x14ac:dyDescent="0.35">
      <c r="A176" s="4">
        <v>205</v>
      </c>
      <c r="B176" s="4" t="str">
        <f>LOOKUP(A176,Lookup!$A$1:$A$34,Lookup!$B$1:$B$34)</f>
        <v>MUTTON</v>
      </c>
      <c r="C176" s="5">
        <v>34259</v>
      </c>
      <c r="D176" s="6" t="s">
        <v>180</v>
      </c>
      <c r="E176" s="4">
        <v>2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7">
        <v>0</v>
      </c>
      <c r="Y176" s="18">
        <v>0</v>
      </c>
      <c r="Z176" s="14">
        <v>0</v>
      </c>
      <c r="AA176" s="14">
        <v>0</v>
      </c>
      <c r="AB176" s="23">
        <v>0</v>
      </c>
      <c r="AC176" s="10">
        <v>0</v>
      </c>
      <c r="AD176" s="10">
        <v>0</v>
      </c>
      <c r="AE176" s="1" t="s">
        <v>540</v>
      </c>
    </row>
    <row r="177" spans="1:31" ht="16.5" customHeight="1" x14ac:dyDescent="0.35">
      <c r="A177" s="4">
        <v>205</v>
      </c>
      <c r="B177" s="4" t="str">
        <f>LOOKUP(A177,Lookup!$A$1:$A$34,Lookup!$B$1:$B$34)</f>
        <v>MUTTON</v>
      </c>
      <c r="C177" s="5">
        <v>34260</v>
      </c>
      <c r="D177" s="6" t="s">
        <v>181</v>
      </c>
      <c r="E177" s="4">
        <v>2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7">
        <v>0</v>
      </c>
      <c r="Y177" s="18">
        <v>0</v>
      </c>
      <c r="Z177" s="14">
        <v>0</v>
      </c>
      <c r="AA177" s="14">
        <v>0</v>
      </c>
      <c r="AB177" s="23">
        <v>0</v>
      </c>
      <c r="AC177" s="10">
        <v>0</v>
      </c>
      <c r="AD177" s="10">
        <v>0</v>
      </c>
      <c r="AE177" s="1" t="s">
        <v>540</v>
      </c>
    </row>
    <row r="178" spans="1:31" ht="16.5" customHeight="1" x14ac:dyDescent="0.35">
      <c r="A178" s="4">
        <v>205</v>
      </c>
      <c r="B178" s="4" t="str">
        <f>LOOKUP(A178,Lookup!$A$1:$A$34,Lookup!$B$1:$B$34)</f>
        <v>MUTTON</v>
      </c>
      <c r="C178" s="5">
        <v>34262</v>
      </c>
      <c r="D178" s="6" t="s">
        <v>183</v>
      </c>
      <c r="E178" s="4">
        <v>2</v>
      </c>
      <c r="F178" s="10">
        <v>0</v>
      </c>
      <c r="G178" s="10">
        <v>0</v>
      </c>
      <c r="H178" s="10">
        <v>494.42608695652166</v>
      </c>
      <c r="I178" s="10">
        <v>4.0919999999999996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7">
        <v>494.42608695652166</v>
      </c>
      <c r="Y178" s="18">
        <v>4.0919999999999996</v>
      </c>
      <c r="Z178" s="14">
        <v>494.42608695652166</v>
      </c>
      <c r="AA178" s="14">
        <v>4.0919999999999996</v>
      </c>
      <c r="AB178" s="23">
        <v>1</v>
      </c>
      <c r="AC178" s="10">
        <v>494.42608695652166</v>
      </c>
      <c r="AD178" s="10">
        <v>4.0919999999999996</v>
      </c>
      <c r="AE178" s="1" t="s">
        <v>541</v>
      </c>
    </row>
    <row r="179" spans="1:31" ht="16.5" customHeight="1" x14ac:dyDescent="0.35">
      <c r="A179" s="4">
        <v>205</v>
      </c>
      <c r="B179" s="4" t="str">
        <f>LOOKUP(A179,Lookup!$A$1:$A$34,Lookup!$B$1:$B$34)</f>
        <v>MUTTON</v>
      </c>
      <c r="C179" s="5">
        <v>34267</v>
      </c>
      <c r="D179" s="6" t="s">
        <v>187</v>
      </c>
      <c r="E179" s="4">
        <v>2</v>
      </c>
      <c r="F179" s="10">
        <v>269.97391304347826</v>
      </c>
      <c r="G179" s="10">
        <v>2.0699999999999998</v>
      </c>
      <c r="H179" s="10">
        <v>705.59130434782617</v>
      </c>
      <c r="I179" s="10">
        <v>5.41</v>
      </c>
      <c r="J179" s="10">
        <v>401.18260869565216</v>
      </c>
      <c r="K179" s="10">
        <v>3.0760000000000001</v>
      </c>
      <c r="L179" s="10">
        <v>461.42608695652171</v>
      </c>
      <c r="M179" s="10">
        <v>3.5379999999999998</v>
      </c>
      <c r="N179" s="10">
        <v>747.58260869565208</v>
      </c>
      <c r="O179" s="10">
        <v>5.7320000000000002</v>
      </c>
      <c r="P179" s="10">
        <v>278.06086956521739</v>
      </c>
      <c r="Q179" s="10">
        <v>2.1320000000000001</v>
      </c>
      <c r="R179" s="10">
        <v>338.75652173913045</v>
      </c>
      <c r="S179" s="10">
        <v>2.6659999999999999</v>
      </c>
      <c r="T179" s="10">
        <v>300.60000000000002</v>
      </c>
      <c r="U179" s="10">
        <v>2.5419999999999998</v>
      </c>
      <c r="V179" s="10">
        <v>545.38260869565227</v>
      </c>
      <c r="W179" s="10">
        <v>4.6120000000000001</v>
      </c>
      <c r="X179" s="17">
        <v>747.58260869565208</v>
      </c>
      <c r="Y179" s="18">
        <v>5.7320000000000002</v>
      </c>
      <c r="Z179" s="14">
        <v>4048.5565217391299</v>
      </c>
      <c r="AA179" s="14">
        <v>31.778000000000006</v>
      </c>
      <c r="AB179" s="23">
        <v>9</v>
      </c>
      <c r="AC179" s="10">
        <v>449.83961352657002</v>
      </c>
      <c r="AD179" s="10">
        <v>3.5308888888888896</v>
      </c>
      <c r="AE179" s="1" t="s">
        <v>542</v>
      </c>
    </row>
    <row r="180" spans="1:31" ht="16.5" customHeight="1" x14ac:dyDescent="0.35">
      <c r="A180" s="4">
        <v>205</v>
      </c>
      <c r="B180" s="4" t="str">
        <f>LOOKUP(A180,Lookup!$A$1:$A$34,Lookup!$B$1:$B$34)</f>
        <v>MUTTON</v>
      </c>
      <c r="C180" s="5">
        <v>34266</v>
      </c>
      <c r="D180" s="6" t="s">
        <v>186</v>
      </c>
      <c r="E180" s="4">
        <v>2</v>
      </c>
      <c r="F180" s="10">
        <v>0</v>
      </c>
      <c r="G180" s="10">
        <v>0</v>
      </c>
      <c r="H180" s="10">
        <v>215.46086956521739</v>
      </c>
      <c r="I180" s="10">
        <v>1.6519999999999999</v>
      </c>
      <c r="J180" s="10">
        <v>340.92173913043479</v>
      </c>
      <c r="K180" s="10">
        <v>2.6139999999999999</v>
      </c>
      <c r="L180" s="10">
        <v>254.58260869565214</v>
      </c>
      <c r="M180" s="10">
        <v>1.952</v>
      </c>
      <c r="N180" s="10">
        <v>495.34782608695662</v>
      </c>
      <c r="O180" s="10">
        <v>3.798</v>
      </c>
      <c r="P180" s="10">
        <v>0</v>
      </c>
      <c r="Q180" s="10">
        <v>0</v>
      </c>
      <c r="R180" s="10">
        <v>169.55652173913043</v>
      </c>
      <c r="S180" s="10">
        <v>1.3</v>
      </c>
      <c r="T180" s="10">
        <v>130.00869565217391</v>
      </c>
      <c r="U180" s="10">
        <v>1.0680000000000001</v>
      </c>
      <c r="V180" s="10">
        <v>467.19130434782608</v>
      </c>
      <c r="W180" s="10">
        <v>3.8380000000000001</v>
      </c>
      <c r="X180" s="17">
        <v>495.34782608695662</v>
      </c>
      <c r="Y180" s="18">
        <v>3.8380000000000001</v>
      </c>
      <c r="Z180" s="14">
        <v>2073.0695652173913</v>
      </c>
      <c r="AA180" s="14">
        <v>16.222000000000001</v>
      </c>
      <c r="AB180" s="23">
        <v>7</v>
      </c>
      <c r="AC180" s="10">
        <v>296.15279503105592</v>
      </c>
      <c r="AD180" s="10">
        <v>2.3174285714285716</v>
      </c>
      <c r="AE180" s="1" t="s">
        <v>543</v>
      </c>
    </row>
    <row r="181" spans="1:31" ht="16.5" customHeight="1" x14ac:dyDescent="0.35">
      <c r="A181" s="4">
        <v>205</v>
      </c>
      <c r="B181" s="4" t="str">
        <f>LOOKUP(A181,Lookup!$A$1:$A$34,Lookup!$B$1:$B$34)</f>
        <v>MUTTON</v>
      </c>
      <c r="C181" s="5">
        <v>34265</v>
      </c>
      <c r="D181" s="6" t="s">
        <v>185</v>
      </c>
      <c r="E181" s="4">
        <v>2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7">
        <v>0</v>
      </c>
      <c r="Y181" s="18">
        <v>0</v>
      </c>
      <c r="Z181" s="14">
        <v>0</v>
      </c>
      <c r="AA181" s="14">
        <v>0</v>
      </c>
      <c r="AB181" s="23">
        <v>0</v>
      </c>
      <c r="AC181" s="10">
        <v>0</v>
      </c>
      <c r="AD181" s="10">
        <v>0</v>
      </c>
      <c r="AE181" s="1" t="s">
        <v>540</v>
      </c>
    </row>
    <row r="182" spans="1:31" ht="16.5" customHeight="1" x14ac:dyDescent="0.35">
      <c r="A182" s="4">
        <v>205</v>
      </c>
      <c r="B182" s="4" t="str">
        <f>LOOKUP(A182,Lookup!$A$1:$A$34,Lookup!$B$1:$B$34)</f>
        <v>MUTTON</v>
      </c>
      <c r="C182" s="5">
        <v>34257</v>
      </c>
      <c r="D182" s="6" t="s">
        <v>178</v>
      </c>
      <c r="E182" s="4">
        <v>2</v>
      </c>
      <c r="F182" s="10">
        <v>43.826086956521735</v>
      </c>
      <c r="G182" s="10">
        <v>0.33600000000000002</v>
      </c>
      <c r="H182" s="10">
        <v>244.41739130434786</v>
      </c>
      <c r="I182" s="10">
        <v>1.8740000000000001</v>
      </c>
      <c r="J182" s="10">
        <v>126</v>
      </c>
      <c r="K182" s="10">
        <v>0.96599999999999997</v>
      </c>
      <c r="L182" s="10">
        <v>332.07826086956521</v>
      </c>
      <c r="M182" s="10">
        <v>2.5459999999999998</v>
      </c>
      <c r="N182" s="10">
        <v>111.91304347826086</v>
      </c>
      <c r="O182" s="10">
        <v>0.85799999999999998</v>
      </c>
      <c r="P182" s="10">
        <v>185.20869565217393</v>
      </c>
      <c r="Q182" s="10">
        <v>1.42</v>
      </c>
      <c r="R182" s="10">
        <v>114.2608695652174</v>
      </c>
      <c r="S182" s="10">
        <v>0.876</v>
      </c>
      <c r="T182" s="10">
        <v>229.64347826086959</v>
      </c>
      <c r="U182" s="10">
        <v>1.887</v>
      </c>
      <c r="V182" s="10">
        <v>267.56521739130432</v>
      </c>
      <c r="W182" s="10">
        <v>2.198</v>
      </c>
      <c r="X182" s="17">
        <v>332.07826086956521</v>
      </c>
      <c r="Y182" s="18">
        <v>2.5459999999999998</v>
      </c>
      <c r="Z182" s="14">
        <v>1654.913043478261</v>
      </c>
      <c r="AA182" s="14">
        <v>12.961</v>
      </c>
      <c r="AB182" s="23">
        <v>9</v>
      </c>
      <c r="AC182" s="10">
        <v>183.87922705314011</v>
      </c>
      <c r="AD182" s="10">
        <v>1.4401111111111111</v>
      </c>
      <c r="AE182" s="1" t="s">
        <v>542</v>
      </c>
    </row>
    <row r="183" spans="1:31" ht="16.5" customHeight="1" x14ac:dyDescent="0.35">
      <c r="A183" s="4">
        <v>205</v>
      </c>
      <c r="B183" s="4" t="str">
        <f>LOOKUP(A183,Lookup!$A$1:$A$34,Lookup!$B$1:$B$34)</f>
        <v>MUTTON</v>
      </c>
      <c r="C183" s="5">
        <v>34256</v>
      </c>
      <c r="D183" s="6" t="s">
        <v>177</v>
      </c>
      <c r="E183" s="4">
        <v>2</v>
      </c>
      <c r="F183" s="10">
        <v>137.2086956521739</v>
      </c>
      <c r="G183" s="10">
        <v>1.052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168.78260869565219</v>
      </c>
      <c r="O183" s="10">
        <v>1.294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7">
        <v>168.78260869565219</v>
      </c>
      <c r="Y183" s="18">
        <v>1.294</v>
      </c>
      <c r="Z183" s="14">
        <v>305.99130434782609</v>
      </c>
      <c r="AA183" s="14">
        <v>2.3460000000000001</v>
      </c>
      <c r="AB183" s="23">
        <v>2</v>
      </c>
      <c r="AC183" s="10">
        <v>152.99565217391304</v>
      </c>
      <c r="AD183" s="10">
        <v>1.173</v>
      </c>
      <c r="AE183" s="1" t="s">
        <v>541</v>
      </c>
    </row>
    <row r="184" spans="1:31" ht="16.5" customHeight="1" x14ac:dyDescent="0.35">
      <c r="A184" s="4">
        <v>205</v>
      </c>
      <c r="B184" s="4" t="str">
        <f>LOOKUP(A184,Lookup!$A$1:$A$34,Lookup!$B$1:$B$34)</f>
        <v>MUTTON</v>
      </c>
      <c r="C184" s="5">
        <v>34268</v>
      </c>
      <c r="D184" s="6" t="s">
        <v>188</v>
      </c>
      <c r="E184" s="4">
        <v>2</v>
      </c>
      <c r="F184" s="10">
        <v>0</v>
      </c>
      <c r="G184" s="10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7">
        <v>0</v>
      </c>
      <c r="Y184" s="18">
        <v>0</v>
      </c>
      <c r="Z184" s="14">
        <v>0</v>
      </c>
      <c r="AA184" s="14">
        <v>0</v>
      </c>
      <c r="AB184" s="23">
        <v>0</v>
      </c>
      <c r="AC184" s="10">
        <v>0</v>
      </c>
      <c r="AD184" s="10">
        <v>0</v>
      </c>
      <c r="AE184" s="1" t="s">
        <v>540</v>
      </c>
    </row>
    <row r="185" spans="1:31" ht="16.5" customHeight="1" x14ac:dyDescent="0.35">
      <c r="A185" s="4">
        <v>205</v>
      </c>
      <c r="B185" s="4" t="str">
        <f>LOOKUP(A185,Lookup!$A$1:$A$34,Lookup!$B$1:$B$34)</f>
        <v>MUTTON</v>
      </c>
      <c r="C185" s="5">
        <v>39912</v>
      </c>
      <c r="D185" s="6" t="s">
        <v>189</v>
      </c>
      <c r="E185" s="4">
        <v>2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7">
        <v>0</v>
      </c>
      <c r="Y185" s="18">
        <v>0</v>
      </c>
      <c r="Z185" s="14">
        <v>0</v>
      </c>
      <c r="AA185" s="14">
        <v>0</v>
      </c>
      <c r="AB185" s="23">
        <v>0</v>
      </c>
      <c r="AC185" s="10">
        <v>0</v>
      </c>
      <c r="AD185" s="10">
        <v>0</v>
      </c>
      <c r="AE185" s="1" t="s">
        <v>540</v>
      </c>
    </row>
    <row r="186" spans="1:31" ht="16.5" customHeight="1" x14ac:dyDescent="0.35">
      <c r="A186" s="4">
        <v>205</v>
      </c>
      <c r="B186" s="4" t="str">
        <f>LOOKUP(A186,Lookup!$A$1:$A$34,Lookup!$B$1:$B$34)</f>
        <v>MUTTON</v>
      </c>
      <c r="C186" s="5">
        <v>40510</v>
      </c>
      <c r="D186" s="6" t="s">
        <v>190</v>
      </c>
      <c r="E186" s="4">
        <v>2</v>
      </c>
      <c r="F186" s="10">
        <v>0</v>
      </c>
      <c r="G186" s="10">
        <v>0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7">
        <v>0</v>
      </c>
      <c r="Y186" s="18">
        <v>0</v>
      </c>
      <c r="Z186" s="14">
        <v>0</v>
      </c>
      <c r="AA186" s="14">
        <v>0</v>
      </c>
      <c r="AB186" s="23">
        <v>0</v>
      </c>
      <c r="AC186" s="10">
        <v>0</v>
      </c>
      <c r="AD186" s="10">
        <v>0</v>
      </c>
      <c r="AE186" s="1" t="s">
        <v>540</v>
      </c>
    </row>
    <row r="187" spans="1:31" ht="16.5" customHeight="1" x14ac:dyDescent="0.35">
      <c r="A187" s="4">
        <v>205</v>
      </c>
      <c r="B187" s="4" t="str">
        <f>LOOKUP(A187,Lookup!$A$1:$A$34,Lookup!$B$1:$B$34)</f>
        <v>MUTTON</v>
      </c>
      <c r="C187" s="5">
        <v>41008</v>
      </c>
      <c r="D187" s="6" t="s">
        <v>191</v>
      </c>
      <c r="E187" s="4">
        <v>2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7">
        <v>0</v>
      </c>
      <c r="Y187" s="18">
        <v>0</v>
      </c>
      <c r="Z187" s="14">
        <v>0</v>
      </c>
      <c r="AA187" s="14">
        <v>0</v>
      </c>
      <c r="AB187" s="23">
        <v>0</v>
      </c>
      <c r="AC187" s="10">
        <v>0</v>
      </c>
      <c r="AD187" s="10">
        <v>0</v>
      </c>
      <c r="AE187" s="1" t="s">
        <v>540</v>
      </c>
    </row>
    <row r="188" spans="1:31" ht="16.5" customHeight="1" x14ac:dyDescent="0.35">
      <c r="A188" s="4">
        <v>205</v>
      </c>
      <c r="B188" s="4" t="str">
        <f>LOOKUP(A188,Lookup!$A$1:$A$34,Lookup!$B$1:$B$34)</f>
        <v>MUTTON</v>
      </c>
      <c r="C188" s="5">
        <v>44898</v>
      </c>
      <c r="D188" s="6" t="s">
        <v>192</v>
      </c>
      <c r="E188" s="4">
        <v>2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7">
        <v>0</v>
      </c>
      <c r="Y188" s="18">
        <v>0</v>
      </c>
      <c r="Z188" s="14">
        <v>0</v>
      </c>
      <c r="AA188" s="14">
        <v>0</v>
      </c>
      <c r="AB188" s="23">
        <v>0</v>
      </c>
      <c r="AC188" s="10">
        <v>0</v>
      </c>
      <c r="AD188" s="10">
        <v>0</v>
      </c>
      <c r="AE188" s="1" t="s">
        <v>540</v>
      </c>
    </row>
    <row r="189" spans="1:31" ht="16.5" customHeight="1" x14ac:dyDescent="0.35">
      <c r="A189" s="4">
        <v>205</v>
      </c>
      <c r="B189" s="4" t="str">
        <f>LOOKUP(A189,Lookup!$A$1:$A$34,Lookup!$B$1:$B$34)</f>
        <v>MUTTON</v>
      </c>
      <c r="C189" s="5">
        <v>34264</v>
      </c>
      <c r="D189" s="6" t="s">
        <v>184</v>
      </c>
      <c r="E189" s="4">
        <v>2</v>
      </c>
      <c r="F189" s="10">
        <v>112.42608695652173</v>
      </c>
      <c r="G189" s="10">
        <v>0.86199999999999999</v>
      </c>
      <c r="H189" s="10">
        <v>235.01739130434783</v>
      </c>
      <c r="I189" s="10">
        <v>1.802</v>
      </c>
      <c r="J189" s="10">
        <v>158.0695652173913</v>
      </c>
      <c r="K189" s="10">
        <v>1.212</v>
      </c>
      <c r="L189" s="10">
        <v>63.130434782608688</v>
      </c>
      <c r="M189" s="10">
        <v>0.48399999999999999</v>
      </c>
      <c r="N189" s="10">
        <v>196.1652173913044</v>
      </c>
      <c r="O189" s="10">
        <v>1.504</v>
      </c>
      <c r="P189" s="10">
        <v>0</v>
      </c>
      <c r="Q189" s="10">
        <v>0</v>
      </c>
      <c r="R189" s="10">
        <v>124.62608695652173</v>
      </c>
      <c r="S189" s="10">
        <v>0.98199999999999998</v>
      </c>
      <c r="T189" s="10">
        <v>204.2782608695652</v>
      </c>
      <c r="U189" s="10">
        <v>1.6779999999999999</v>
      </c>
      <c r="V189" s="10">
        <v>108.83478260869565</v>
      </c>
      <c r="W189" s="10">
        <v>0.89400000000000002</v>
      </c>
      <c r="X189" s="17">
        <v>235.01739130434783</v>
      </c>
      <c r="Y189" s="18">
        <v>1.802</v>
      </c>
      <c r="Z189" s="14">
        <v>1202.5478260869563</v>
      </c>
      <c r="AA189" s="14">
        <v>9.418000000000001</v>
      </c>
      <c r="AB189" s="23">
        <v>8</v>
      </c>
      <c r="AC189" s="10">
        <v>150.31847826086954</v>
      </c>
      <c r="AD189" s="10">
        <v>1.1772500000000001</v>
      </c>
      <c r="AE189" s="1" t="s">
        <v>542</v>
      </c>
    </row>
    <row r="190" spans="1:31" ht="16.5" customHeight="1" x14ac:dyDescent="0.35">
      <c r="A190" s="4">
        <v>205</v>
      </c>
      <c r="B190" s="4" t="str">
        <f>LOOKUP(A190,Lookup!$A$1:$A$34,Lookup!$B$1:$B$34)</f>
        <v>MUTTON</v>
      </c>
      <c r="C190" s="5">
        <v>64528</v>
      </c>
      <c r="D190" s="6" t="s">
        <v>193</v>
      </c>
      <c r="E190" s="4">
        <v>2</v>
      </c>
      <c r="F190" s="10">
        <v>0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7">
        <v>0</v>
      </c>
      <c r="Y190" s="18">
        <v>0</v>
      </c>
      <c r="Z190" s="14">
        <v>0</v>
      </c>
      <c r="AA190" s="14">
        <v>0</v>
      </c>
      <c r="AB190" s="23">
        <v>0</v>
      </c>
      <c r="AC190" s="10">
        <v>0</v>
      </c>
      <c r="AD190" s="10">
        <v>0</v>
      </c>
      <c r="AE190" s="1" t="s">
        <v>540</v>
      </c>
    </row>
    <row r="191" spans="1:31" ht="16.5" customHeight="1" x14ac:dyDescent="0.35">
      <c r="A191" s="4">
        <v>205</v>
      </c>
      <c r="B191" s="4" t="str">
        <f>LOOKUP(A191,Lookup!$A$1:$A$34,Lookup!$B$1:$B$34)</f>
        <v>MUTTON</v>
      </c>
      <c r="C191" s="5">
        <v>64529</v>
      </c>
      <c r="D191" s="6" t="s">
        <v>194</v>
      </c>
      <c r="E191" s="4">
        <v>2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7">
        <v>0</v>
      </c>
      <c r="Y191" s="18">
        <v>0</v>
      </c>
      <c r="Z191" s="14">
        <v>0</v>
      </c>
      <c r="AA191" s="14">
        <v>0</v>
      </c>
      <c r="AB191" s="23">
        <v>0</v>
      </c>
      <c r="AC191" s="10">
        <v>0</v>
      </c>
      <c r="AD191" s="10">
        <v>0</v>
      </c>
      <c r="AE191" s="1" t="s">
        <v>540</v>
      </c>
    </row>
    <row r="192" spans="1:31" ht="16.5" customHeight="1" x14ac:dyDescent="0.35">
      <c r="A192" s="4">
        <v>206</v>
      </c>
      <c r="B192" s="4" t="str">
        <f>LOOKUP(A192,Lookup!$A$1:$A$34,Lookup!$B$1:$B$34)</f>
        <v>PET MINCE/DROEWORS</v>
      </c>
      <c r="C192" s="5">
        <v>34231</v>
      </c>
      <c r="D192" s="6" t="s">
        <v>195</v>
      </c>
      <c r="E192" s="4">
        <v>2</v>
      </c>
      <c r="F192" s="10">
        <v>0</v>
      </c>
      <c r="G192" s="10">
        <v>0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7">
        <v>0</v>
      </c>
      <c r="Y192" s="18">
        <v>0</v>
      </c>
      <c r="Z192" s="14">
        <v>0</v>
      </c>
      <c r="AA192" s="14">
        <v>0</v>
      </c>
      <c r="AB192" s="23">
        <v>0</v>
      </c>
      <c r="AC192" s="10">
        <v>0</v>
      </c>
      <c r="AD192" s="10">
        <v>0</v>
      </c>
      <c r="AE192" s="1" t="s">
        <v>540</v>
      </c>
    </row>
    <row r="193" spans="1:31" ht="16.5" customHeight="1" x14ac:dyDescent="0.35">
      <c r="A193" s="4">
        <v>206</v>
      </c>
      <c r="B193" s="4" t="str">
        <f>LOOKUP(A193,Lookup!$A$1:$A$34,Lookup!$B$1:$B$34)</f>
        <v>PET MINCE/DROEWORS</v>
      </c>
      <c r="C193" s="5">
        <v>39771</v>
      </c>
      <c r="D193" s="6" t="s">
        <v>199</v>
      </c>
      <c r="E193" s="4">
        <v>2</v>
      </c>
      <c r="F193" s="10">
        <v>545.86956521739125</v>
      </c>
      <c r="G193" s="10">
        <v>6.976</v>
      </c>
      <c r="H193" s="10">
        <v>301.88695652173914</v>
      </c>
      <c r="I193" s="10">
        <v>3.8580000000000001</v>
      </c>
      <c r="J193" s="10">
        <v>106.73913043478261</v>
      </c>
      <c r="K193" s="10">
        <v>1.3640000000000001</v>
      </c>
      <c r="L193" s="10">
        <v>87.652173913043498</v>
      </c>
      <c r="M193" s="10">
        <v>1.1200000000000001</v>
      </c>
      <c r="N193" s="10">
        <v>515.91304347826087</v>
      </c>
      <c r="O193" s="10">
        <v>6.6239999999999997</v>
      </c>
      <c r="P193" s="10">
        <v>171.51304347826087</v>
      </c>
      <c r="Q193" s="10">
        <v>2.198</v>
      </c>
      <c r="R193" s="10">
        <v>165.44347826086954</v>
      </c>
      <c r="S193" s="10">
        <v>2.1139999999999999</v>
      </c>
      <c r="T193" s="10">
        <v>480.46956521739128</v>
      </c>
      <c r="U193" s="10">
        <v>6.14</v>
      </c>
      <c r="V193" s="10">
        <v>0</v>
      </c>
      <c r="W193" s="10">
        <v>0</v>
      </c>
      <c r="X193" s="17">
        <v>545.86956521739125</v>
      </c>
      <c r="Y193" s="18">
        <v>6.976</v>
      </c>
      <c r="Z193" s="14">
        <v>2375.4869565217396</v>
      </c>
      <c r="AA193" s="14">
        <v>30.394000000000002</v>
      </c>
      <c r="AB193" s="23">
        <v>8</v>
      </c>
      <c r="AC193" s="10">
        <v>296.93586956521744</v>
      </c>
      <c r="AD193" s="10">
        <v>3.7992500000000002</v>
      </c>
      <c r="AE193" s="1" t="s">
        <v>542</v>
      </c>
    </row>
    <row r="194" spans="1:31" ht="16.5" customHeight="1" x14ac:dyDescent="0.35">
      <c r="A194" s="4">
        <v>206</v>
      </c>
      <c r="B194" s="4" t="str">
        <f>LOOKUP(A194,Lookup!$A$1:$A$34,Lookup!$B$1:$B$34)</f>
        <v>PET MINCE/DROEWORS</v>
      </c>
      <c r="C194" s="5">
        <v>34305</v>
      </c>
      <c r="D194" s="6" t="s">
        <v>198</v>
      </c>
      <c r="E194" s="4">
        <v>2</v>
      </c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7">
        <v>0</v>
      </c>
      <c r="Y194" s="18">
        <v>0</v>
      </c>
      <c r="Z194" s="14">
        <v>0</v>
      </c>
      <c r="AA194" s="14">
        <v>0</v>
      </c>
      <c r="AB194" s="23">
        <v>0</v>
      </c>
      <c r="AC194" s="10">
        <v>0</v>
      </c>
      <c r="AD194" s="10">
        <v>0</v>
      </c>
      <c r="AE194" s="1" t="s">
        <v>540</v>
      </c>
    </row>
    <row r="195" spans="1:31" ht="16.5" customHeight="1" x14ac:dyDescent="0.35">
      <c r="A195" s="4">
        <v>206</v>
      </c>
      <c r="B195" s="4" t="str">
        <f>LOOKUP(A195,Lookup!$A$1:$A$34,Lookup!$B$1:$B$34)</f>
        <v>PET MINCE/DROEWORS</v>
      </c>
      <c r="C195" s="5">
        <v>34271</v>
      </c>
      <c r="D195" s="6" t="s">
        <v>196</v>
      </c>
      <c r="E195" s="4">
        <v>2</v>
      </c>
      <c r="F195" s="10">
        <v>337.53913043478258</v>
      </c>
      <c r="G195" s="10">
        <v>19.512</v>
      </c>
      <c r="H195" s="10">
        <v>375.6</v>
      </c>
      <c r="I195" s="10">
        <v>21.608000000000001</v>
      </c>
      <c r="J195" s="10">
        <v>239.86956521739125</v>
      </c>
      <c r="K195" s="10">
        <v>13.8</v>
      </c>
      <c r="L195" s="10">
        <v>159.33043478260868</v>
      </c>
      <c r="M195" s="10">
        <v>9.1660000000000004</v>
      </c>
      <c r="N195" s="10">
        <v>300.40869565217395</v>
      </c>
      <c r="O195" s="10">
        <v>17.283999999999999</v>
      </c>
      <c r="P195" s="10">
        <v>283.96521739130435</v>
      </c>
      <c r="Q195" s="10">
        <v>16.431999999999999</v>
      </c>
      <c r="R195" s="10">
        <v>147.99130434782609</v>
      </c>
      <c r="S195" s="10">
        <v>8.5139999999999993</v>
      </c>
      <c r="T195" s="10">
        <v>209.97391304347823</v>
      </c>
      <c r="U195" s="10">
        <v>12.082000000000001</v>
      </c>
      <c r="V195" s="10">
        <v>259.40000000000009</v>
      </c>
      <c r="W195" s="10">
        <v>14.926</v>
      </c>
      <c r="X195" s="17">
        <v>375.6</v>
      </c>
      <c r="Y195" s="18">
        <v>21.608000000000001</v>
      </c>
      <c r="Z195" s="14">
        <v>2314.0782608695654</v>
      </c>
      <c r="AA195" s="14">
        <v>133.32399999999998</v>
      </c>
      <c r="AB195" s="23">
        <v>9</v>
      </c>
      <c r="AC195" s="10">
        <v>257.11980676328506</v>
      </c>
      <c r="AD195" s="10">
        <v>14.813777777777776</v>
      </c>
      <c r="AE195" s="1" t="s">
        <v>542</v>
      </c>
    </row>
    <row r="196" spans="1:31" ht="16.5" customHeight="1" x14ac:dyDescent="0.35">
      <c r="A196" s="4">
        <v>207</v>
      </c>
      <c r="B196" s="4" t="str">
        <f>LOOKUP(A196,Lookup!$A$1:$A$34,Lookup!$B$1:$B$34)</f>
        <v>PORK</v>
      </c>
      <c r="C196" s="5">
        <v>11132</v>
      </c>
      <c r="D196" s="6" t="s">
        <v>200</v>
      </c>
      <c r="E196" s="4">
        <v>2</v>
      </c>
      <c r="F196" s="10">
        <v>0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7">
        <v>0</v>
      </c>
      <c r="Y196" s="18">
        <v>0</v>
      </c>
      <c r="Z196" s="14">
        <v>0</v>
      </c>
      <c r="AA196" s="14">
        <v>0</v>
      </c>
      <c r="AB196" s="23">
        <v>0</v>
      </c>
      <c r="AC196" s="10">
        <v>0</v>
      </c>
      <c r="AD196" s="10">
        <v>0</v>
      </c>
      <c r="AE196" s="1" t="s">
        <v>540</v>
      </c>
    </row>
    <row r="197" spans="1:31" ht="16.5" customHeight="1" x14ac:dyDescent="0.35">
      <c r="A197" s="4">
        <v>207</v>
      </c>
      <c r="B197" s="4" t="str">
        <f>LOOKUP(A197,Lookup!$A$1:$A$34,Lookup!$B$1:$B$34)</f>
        <v>PORK</v>
      </c>
      <c r="C197" s="5">
        <v>11136</v>
      </c>
      <c r="D197" s="6" t="s">
        <v>201</v>
      </c>
      <c r="E197" s="4">
        <v>2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7">
        <v>0</v>
      </c>
      <c r="Y197" s="18">
        <v>0</v>
      </c>
      <c r="Z197" s="14">
        <v>0</v>
      </c>
      <c r="AA197" s="14">
        <v>0</v>
      </c>
      <c r="AB197" s="23">
        <v>0</v>
      </c>
      <c r="AC197" s="10">
        <v>0</v>
      </c>
      <c r="AD197" s="10">
        <v>0</v>
      </c>
      <c r="AE197" s="1" t="s">
        <v>540</v>
      </c>
    </row>
    <row r="198" spans="1:31" ht="16.5" customHeight="1" x14ac:dyDescent="0.35">
      <c r="A198" s="4">
        <v>207</v>
      </c>
      <c r="B198" s="4" t="str">
        <f>LOOKUP(A198,Lookup!$A$1:$A$34,Lookup!$B$1:$B$34)</f>
        <v>PORK</v>
      </c>
      <c r="C198" s="5">
        <v>11137</v>
      </c>
      <c r="D198" s="6" t="s">
        <v>202</v>
      </c>
      <c r="E198" s="4">
        <v>2</v>
      </c>
      <c r="F198" s="10">
        <v>0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7">
        <v>0</v>
      </c>
      <c r="Y198" s="18">
        <v>0</v>
      </c>
      <c r="Z198" s="14">
        <v>0</v>
      </c>
      <c r="AA198" s="14">
        <v>0</v>
      </c>
      <c r="AB198" s="23">
        <v>0</v>
      </c>
      <c r="AC198" s="10">
        <v>0</v>
      </c>
      <c r="AD198" s="10">
        <v>0</v>
      </c>
      <c r="AE198" s="1" t="s">
        <v>540</v>
      </c>
    </row>
    <row r="199" spans="1:31" ht="16.5" customHeight="1" x14ac:dyDescent="0.35">
      <c r="A199" s="4">
        <v>207</v>
      </c>
      <c r="B199" s="4" t="str">
        <f>LOOKUP(A199,Lookup!$A$1:$A$34,Lookup!$B$1:$B$34)</f>
        <v>PORK</v>
      </c>
      <c r="C199" s="5">
        <v>11139</v>
      </c>
      <c r="D199" s="6" t="s">
        <v>203</v>
      </c>
      <c r="E199" s="4">
        <v>2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7">
        <v>0</v>
      </c>
      <c r="Y199" s="18">
        <v>0</v>
      </c>
      <c r="Z199" s="14">
        <v>0</v>
      </c>
      <c r="AA199" s="14">
        <v>0</v>
      </c>
      <c r="AB199" s="23">
        <v>0</v>
      </c>
      <c r="AC199" s="10">
        <v>0</v>
      </c>
      <c r="AD199" s="10">
        <v>0</v>
      </c>
      <c r="AE199" s="1" t="s">
        <v>540</v>
      </c>
    </row>
    <row r="200" spans="1:31" ht="16.5" customHeight="1" x14ac:dyDescent="0.35">
      <c r="A200" s="4">
        <v>207</v>
      </c>
      <c r="B200" s="4" t="str">
        <f>LOOKUP(A200,Lookup!$A$1:$A$34,Lookup!$B$1:$B$34)</f>
        <v>PORK</v>
      </c>
      <c r="C200" s="5">
        <v>11142</v>
      </c>
      <c r="D200" s="6" t="s">
        <v>204</v>
      </c>
      <c r="E200" s="4">
        <v>2</v>
      </c>
      <c r="F200" s="10">
        <v>0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7">
        <v>0</v>
      </c>
      <c r="Y200" s="18">
        <v>0</v>
      </c>
      <c r="Z200" s="14">
        <v>0</v>
      </c>
      <c r="AA200" s="14">
        <v>0</v>
      </c>
      <c r="AB200" s="23">
        <v>0</v>
      </c>
      <c r="AC200" s="10">
        <v>0</v>
      </c>
      <c r="AD200" s="10">
        <v>0</v>
      </c>
      <c r="AE200" s="1" t="s">
        <v>540</v>
      </c>
    </row>
    <row r="201" spans="1:31" ht="16.5" customHeight="1" x14ac:dyDescent="0.35">
      <c r="A201" s="4">
        <v>207</v>
      </c>
      <c r="B201" s="4" t="str">
        <f>LOOKUP(A201,Lookup!$A$1:$A$34,Lookup!$B$1:$B$34)</f>
        <v>PORK</v>
      </c>
      <c r="C201" s="5">
        <v>11152</v>
      </c>
      <c r="D201" s="6" t="s">
        <v>205</v>
      </c>
      <c r="E201" s="4">
        <v>2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7">
        <v>0</v>
      </c>
      <c r="Y201" s="18">
        <v>0</v>
      </c>
      <c r="Z201" s="14">
        <v>0</v>
      </c>
      <c r="AA201" s="14">
        <v>0</v>
      </c>
      <c r="AB201" s="23">
        <v>0</v>
      </c>
      <c r="AC201" s="10">
        <v>0</v>
      </c>
      <c r="AD201" s="10">
        <v>0</v>
      </c>
      <c r="AE201" s="1" t="s">
        <v>540</v>
      </c>
    </row>
    <row r="202" spans="1:31" ht="16.5" customHeight="1" x14ac:dyDescent="0.35">
      <c r="A202" s="4">
        <v>207</v>
      </c>
      <c r="B202" s="4" t="str">
        <f>LOOKUP(A202,Lookup!$A$1:$A$34,Lookup!$B$1:$B$34)</f>
        <v>PORK</v>
      </c>
      <c r="C202" s="5">
        <v>12197</v>
      </c>
      <c r="D202" s="6" t="s">
        <v>206</v>
      </c>
      <c r="E202" s="4">
        <v>2</v>
      </c>
      <c r="F202" s="10">
        <v>0</v>
      </c>
      <c r="G202" s="10">
        <v>0</v>
      </c>
      <c r="H202" s="10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7">
        <v>0</v>
      </c>
      <c r="Y202" s="18">
        <v>0</v>
      </c>
      <c r="Z202" s="14">
        <v>0</v>
      </c>
      <c r="AA202" s="14">
        <v>0</v>
      </c>
      <c r="AB202" s="23">
        <v>0</v>
      </c>
      <c r="AC202" s="10">
        <v>0</v>
      </c>
      <c r="AD202" s="10">
        <v>0</v>
      </c>
      <c r="AE202" s="1" t="s">
        <v>540</v>
      </c>
    </row>
    <row r="203" spans="1:31" ht="16.5" customHeight="1" x14ac:dyDescent="0.35">
      <c r="A203" s="4">
        <v>207</v>
      </c>
      <c r="B203" s="4" t="str">
        <f>LOOKUP(A203,Lookup!$A$1:$A$34,Lookup!$B$1:$B$34)</f>
        <v>PORK</v>
      </c>
      <c r="C203" s="5">
        <v>12200</v>
      </c>
      <c r="D203" s="6" t="s">
        <v>207</v>
      </c>
      <c r="E203" s="4">
        <v>2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7">
        <v>0</v>
      </c>
      <c r="Y203" s="18">
        <v>0</v>
      </c>
      <c r="Z203" s="14">
        <v>0</v>
      </c>
      <c r="AA203" s="14">
        <v>0</v>
      </c>
      <c r="AB203" s="23">
        <v>0</v>
      </c>
      <c r="AC203" s="10">
        <v>0</v>
      </c>
      <c r="AD203" s="10">
        <v>0</v>
      </c>
      <c r="AE203" s="1" t="s">
        <v>540</v>
      </c>
    </row>
    <row r="204" spans="1:31" ht="16.5" customHeight="1" x14ac:dyDescent="0.35">
      <c r="A204" s="4">
        <v>207</v>
      </c>
      <c r="B204" s="4" t="str">
        <f>LOOKUP(A204,Lookup!$A$1:$A$34,Lookup!$B$1:$B$34)</f>
        <v>PORK</v>
      </c>
      <c r="C204" s="5">
        <v>12317</v>
      </c>
      <c r="D204" s="6" t="s">
        <v>208</v>
      </c>
      <c r="E204" s="4">
        <v>2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7">
        <v>0</v>
      </c>
      <c r="Y204" s="18">
        <v>0</v>
      </c>
      <c r="Z204" s="14">
        <v>0</v>
      </c>
      <c r="AA204" s="14">
        <v>0</v>
      </c>
      <c r="AB204" s="23">
        <v>0</v>
      </c>
      <c r="AC204" s="10">
        <v>0</v>
      </c>
      <c r="AD204" s="10">
        <v>0</v>
      </c>
      <c r="AE204" s="1" t="s">
        <v>540</v>
      </c>
    </row>
    <row r="205" spans="1:31" ht="16.5" customHeight="1" x14ac:dyDescent="0.35">
      <c r="A205" s="4">
        <v>206</v>
      </c>
      <c r="B205" s="4" t="str">
        <f>LOOKUP(A205,Lookup!$A$1:$A$34,Lookup!$B$1:$B$34)</f>
        <v>PET MINCE/DROEWORS</v>
      </c>
      <c r="C205" s="5">
        <v>34297</v>
      </c>
      <c r="D205" s="6" t="s">
        <v>197</v>
      </c>
      <c r="E205" s="4">
        <v>2</v>
      </c>
      <c r="F205" s="10">
        <v>117.99999999999999</v>
      </c>
      <c r="G205" s="10">
        <v>13.96</v>
      </c>
      <c r="H205" s="10">
        <v>107.25217391304348</v>
      </c>
      <c r="I205" s="10">
        <v>12.347</v>
      </c>
      <c r="J205" s="10">
        <v>66.156521739130426</v>
      </c>
      <c r="K205" s="10">
        <v>7.6159999999999997</v>
      </c>
      <c r="L205" s="10">
        <v>134.47826086956522</v>
      </c>
      <c r="M205" s="10">
        <v>15.48</v>
      </c>
      <c r="N205" s="10">
        <v>0</v>
      </c>
      <c r="O205" s="10">
        <v>0</v>
      </c>
      <c r="P205" s="10">
        <v>4.2260869565217396</v>
      </c>
      <c r="Q205" s="10">
        <v>0.48599999999999999</v>
      </c>
      <c r="R205" s="10">
        <v>237.20869565217393</v>
      </c>
      <c r="S205" s="10">
        <v>27.448</v>
      </c>
      <c r="T205" s="10">
        <v>143.05217391304348</v>
      </c>
      <c r="U205" s="10">
        <v>16.466999999999999</v>
      </c>
      <c r="V205" s="10">
        <v>72.756521739130434</v>
      </c>
      <c r="W205" s="10">
        <v>8.375</v>
      </c>
      <c r="X205" s="17">
        <v>237.20869565217393</v>
      </c>
      <c r="Y205" s="18">
        <v>27.448</v>
      </c>
      <c r="Z205" s="14">
        <v>883.13043478260863</v>
      </c>
      <c r="AA205" s="14">
        <v>102.179</v>
      </c>
      <c r="AB205" s="23">
        <v>8</v>
      </c>
      <c r="AC205" s="10">
        <v>110.39130434782608</v>
      </c>
      <c r="AD205" s="10">
        <v>12.772375</v>
      </c>
      <c r="AE205" s="1" t="s">
        <v>542</v>
      </c>
    </row>
    <row r="206" spans="1:31" ht="16.5" customHeight="1" x14ac:dyDescent="0.35">
      <c r="A206" s="4">
        <v>207</v>
      </c>
      <c r="B206" s="4" t="str">
        <f>LOOKUP(A206,Lookup!$A$1:$A$34,Lookup!$B$1:$B$34)</f>
        <v>PORK</v>
      </c>
      <c r="C206" s="5">
        <v>63470</v>
      </c>
      <c r="D206" s="6" t="s">
        <v>263</v>
      </c>
      <c r="E206" s="4">
        <v>2</v>
      </c>
      <c r="F206" s="10">
        <v>5545.4</v>
      </c>
      <c r="G206" s="10">
        <v>70.956000000000003</v>
      </c>
      <c r="H206" s="10">
        <v>8221.0521739130418</v>
      </c>
      <c r="I206" s="10">
        <v>95.289000000000001</v>
      </c>
      <c r="J206" s="10">
        <v>5938.1130434782608</v>
      </c>
      <c r="K206" s="10">
        <v>68.403999999999996</v>
      </c>
      <c r="L206" s="10">
        <v>12018.739130434784</v>
      </c>
      <c r="M206" s="10">
        <v>138.262</v>
      </c>
      <c r="N206" s="10">
        <v>11056.286956521739</v>
      </c>
      <c r="O206" s="10">
        <v>127.212</v>
      </c>
      <c r="P206" s="10">
        <v>6036.0434782608691</v>
      </c>
      <c r="Q206" s="10">
        <v>69.421999999999997</v>
      </c>
      <c r="R206" s="10">
        <v>4407.6956521739121</v>
      </c>
      <c r="S206" s="10">
        <v>50.694000000000003</v>
      </c>
      <c r="T206" s="10">
        <v>7146.3130434782615</v>
      </c>
      <c r="U206" s="10">
        <v>82.191000000000003</v>
      </c>
      <c r="V206" s="10">
        <v>11511.408695652175</v>
      </c>
      <c r="W206" s="10">
        <v>132.43299999999999</v>
      </c>
      <c r="X206" s="17">
        <v>12018.739130434784</v>
      </c>
      <c r="Y206" s="18">
        <v>138.262</v>
      </c>
      <c r="Z206" s="14">
        <v>71881.052173913049</v>
      </c>
      <c r="AA206" s="14">
        <v>834.86299999999994</v>
      </c>
      <c r="AB206" s="23">
        <v>9</v>
      </c>
      <c r="AC206" s="10">
        <v>7986.7835748792277</v>
      </c>
      <c r="AD206" s="10">
        <v>92.762555555555551</v>
      </c>
      <c r="AE206" s="1" t="s">
        <v>542</v>
      </c>
    </row>
    <row r="207" spans="1:31" ht="16.5" customHeight="1" x14ac:dyDescent="0.35">
      <c r="A207" s="4">
        <v>207</v>
      </c>
      <c r="B207" s="4" t="str">
        <f>LOOKUP(A207,Lookup!$A$1:$A$34,Lookup!$B$1:$B$34)</f>
        <v>PORK</v>
      </c>
      <c r="C207" s="5">
        <v>12644</v>
      </c>
      <c r="D207" s="6" t="s">
        <v>211</v>
      </c>
      <c r="E207" s="4">
        <v>2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7">
        <v>0</v>
      </c>
      <c r="Y207" s="18">
        <v>0</v>
      </c>
      <c r="Z207" s="14">
        <v>0</v>
      </c>
      <c r="AA207" s="14">
        <v>0</v>
      </c>
      <c r="AB207" s="23">
        <v>0</v>
      </c>
      <c r="AC207" s="10">
        <v>0</v>
      </c>
      <c r="AD207" s="10">
        <v>0</v>
      </c>
      <c r="AE207" s="1" t="s">
        <v>540</v>
      </c>
    </row>
    <row r="208" spans="1:31" ht="16.5" customHeight="1" x14ac:dyDescent="0.35">
      <c r="A208" s="4">
        <v>207</v>
      </c>
      <c r="B208" s="4" t="str">
        <f>LOOKUP(A208,Lookup!$A$1:$A$34,Lookup!$B$1:$B$34)</f>
        <v>PORK</v>
      </c>
      <c r="C208" s="5">
        <v>12650</v>
      </c>
      <c r="D208" s="6" t="s">
        <v>212</v>
      </c>
      <c r="E208" s="4">
        <v>2</v>
      </c>
      <c r="F208" s="10">
        <v>0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7">
        <v>0</v>
      </c>
      <c r="Y208" s="18">
        <v>0</v>
      </c>
      <c r="Z208" s="14">
        <v>0</v>
      </c>
      <c r="AA208" s="14">
        <v>0</v>
      </c>
      <c r="AB208" s="23">
        <v>0</v>
      </c>
      <c r="AC208" s="10">
        <v>0</v>
      </c>
      <c r="AD208" s="10">
        <v>0</v>
      </c>
      <c r="AE208" s="1" t="s">
        <v>540</v>
      </c>
    </row>
    <row r="209" spans="1:31" ht="16.5" customHeight="1" x14ac:dyDescent="0.35">
      <c r="A209" s="4">
        <v>207</v>
      </c>
      <c r="B209" s="4" t="str">
        <f>LOOKUP(A209,Lookup!$A$1:$A$34,Lookup!$B$1:$B$34)</f>
        <v>PORK</v>
      </c>
      <c r="C209" s="5">
        <v>12659</v>
      </c>
      <c r="D209" s="6" t="s">
        <v>213</v>
      </c>
      <c r="E209" s="4">
        <v>2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7">
        <v>0</v>
      </c>
      <c r="Y209" s="18">
        <v>0</v>
      </c>
      <c r="Z209" s="14">
        <v>0</v>
      </c>
      <c r="AA209" s="14">
        <v>0</v>
      </c>
      <c r="AB209" s="23">
        <v>0</v>
      </c>
      <c r="AC209" s="10">
        <v>0</v>
      </c>
      <c r="AD209" s="10">
        <v>0</v>
      </c>
      <c r="AE209" s="1" t="s">
        <v>540</v>
      </c>
    </row>
    <row r="210" spans="1:31" ht="16.5" customHeight="1" x14ac:dyDescent="0.35">
      <c r="A210" s="4">
        <v>207</v>
      </c>
      <c r="B210" s="4" t="str">
        <f>LOOKUP(A210,Lookup!$A$1:$A$34,Lookup!$B$1:$B$34)</f>
        <v>PORK</v>
      </c>
      <c r="C210" s="5">
        <v>12732</v>
      </c>
      <c r="D210" s="6" t="s">
        <v>214</v>
      </c>
      <c r="E210" s="4">
        <v>2</v>
      </c>
      <c r="F210" s="10">
        <v>0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7">
        <v>0</v>
      </c>
      <c r="Y210" s="18">
        <v>0</v>
      </c>
      <c r="Z210" s="14">
        <v>0</v>
      </c>
      <c r="AA210" s="14">
        <v>0</v>
      </c>
      <c r="AB210" s="23">
        <v>0</v>
      </c>
      <c r="AC210" s="10">
        <v>0</v>
      </c>
      <c r="AD210" s="10">
        <v>0</v>
      </c>
      <c r="AE210" s="1" t="s">
        <v>540</v>
      </c>
    </row>
    <row r="211" spans="1:31" ht="16.5" customHeight="1" x14ac:dyDescent="0.35">
      <c r="A211" s="4">
        <v>207</v>
      </c>
      <c r="B211" s="4" t="str">
        <f>LOOKUP(A211,Lookup!$A$1:$A$34,Lookup!$B$1:$B$34)</f>
        <v>PORK</v>
      </c>
      <c r="C211" s="5">
        <v>63471</v>
      </c>
      <c r="D211" s="6" t="s">
        <v>264</v>
      </c>
      <c r="E211" s="4">
        <v>2</v>
      </c>
      <c r="F211" s="10">
        <v>8207.939130434781</v>
      </c>
      <c r="G211" s="10">
        <v>91.760999999999996</v>
      </c>
      <c r="H211" s="10">
        <v>4366.5043478260868</v>
      </c>
      <c r="I211" s="10">
        <v>43.34</v>
      </c>
      <c r="J211" s="10">
        <v>5646.9826086956527</v>
      </c>
      <c r="K211" s="10">
        <v>69.355000000000004</v>
      </c>
      <c r="L211" s="10">
        <v>4320.7913043478256</v>
      </c>
      <c r="M211" s="10">
        <v>42.884</v>
      </c>
      <c r="N211" s="10">
        <v>6108.5130434782623</v>
      </c>
      <c r="O211" s="10">
        <v>55.756999999999998</v>
      </c>
      <c r="P211" s="10">
        <v>6086.9999999999991</v>
      </c>
      <c r="Q211" s="10">
        <v>65.11</v>
      </c>
      <c r="R211" s="10">
        <v>4623.7565217391302</v>
      </c>
      <c r="S211" s="10">
        <v>53.246000000000002</v>
      </c>
      <c r="T211" s="10">
        <v>4659.826086956522</v>
      </c>
      <c r="U211" s="10">
        <v>45.9</v>
      </c>
      <c r="V211" s="10">
        <v>3410.4956521739127</v>
      </c>
      <c r="W211" s="10">
        <v>30.349</v>
      </c>
      <c r="X211" s="17">
        <v>8207.939130434781</v>
      </c>
      <c r="Y211" s="18">
        <v>91.760999999999996</v>
      </c>
      <c r="Z211" s="14">
        <v>47431.808695652173</v>
      </c>
      <c r="AA211" s="14">
        <v>497.702</v>
      </c>
      <c r="AB211" s="23">
        <v>9</v>
      </c>
      <c r="AC211" s="10">
        <v>5270.2009661835746</v>
      </c>
      <c r="AD211" s="10">
        <v>55.300222222222224</v>
      </c>
      <c r="AE211" s="1" t="s">
        <v>542</v>
      </c>
    </row>
    <row r="212" spans="1:31" ht="16.5" customHeight="1" x14ac:dyDescent="0.35">
      <c r="A212" s="4">
        <v>207</v>
      </c>
      <c r="B212" s="4" t="str">
        <f>LOOKUP(A212,Lookup!$A$1:$A$34,Lookup!$B$1:$B$34)</f>
        <v>PORK</v>
      </c>
      <c r="C212" s="5">
        <v>63474</v>
      </c>
      <c r="D212" s="6" t="s">
        <v>202</v>
      </c>
      <c r="E212" s="4">
        <v>2</v>
      </c>
      <c r="F212" s="10">
        <v>3489.5478260869568</v>
      </c>
      <c r="G212" s="10">
        <v>30.96</v>
      </c>
      <c r="H212" s="10">
        <v>3157.9739130434782</v>
      </c>
      <c r="I212" s="10">
        <v>27.937999999999999</v>
      </c>
      <c r="J212" s="10">
        <v>3648.739130434783</v>
      </c>
      <c r="K212" s="10">
        <v>32.28</v>
      </c>
      <c r="L212" s="10">
        <v>4552.2434782608698</v>
      </c>
      <c r="M212" s="10">
        <v>40.274000000000001</v>
      </c>
      <c r="N212" s="10">
        <v>2282.5043478260873</v>
      </c>
      <c r="O212" s="10">
        <v>20.263999999999999</v>
      </c>
      <c r="P212" s="10">
        <v>3071.1478260869567</v>
      </c>
      <c r="Q212" s="10">
        <v>27.17</v>
      </c>
      <c r="R212" s="10">
        <v>4156.7478260869557</v>
      </c>
      <c r="S212" s="10">
        <v>36.774000000000001</v>
      </c>
      <c r="T212" s="10">
        <v>2156.1826086956521</v>
      </c>
      <c r="U212" s="10">
        <v>19.13</v>
      </c>
      <c r="V212" s="10">
        <v>0</v>
      </c>
      <c r="W212" s="10">
        <v>0</v>
      </c>
      <c r="X212" s="17">
        <v>4552.2434782608698</v>
      </c>
      <c r="Y212" s="18">
        <v>40.274000000000001</v>
      </c>
      <c r="Z212" s="14">
        <v>26515.08695652174</v>
      </c>
      <c r="AA212" s="14">
        <v>234.79000000000002</v>
      </c>
      <c r="AB212" s="23">
        <v>8</v>
      </c>
      <c r="AC212" s="10">
        <v>3314.3858695652175</v>
      </c>
      <c r="AD212" s="10">
        <v>29.348750000000003</v>
      </c>
      <c r="AE212" s="1" t="s">
        <v>542</v>
      </c>
    </row>
    <row r="213" spans="1:31" ht="16.5" customHeight="1" x14ac:dyDescent="0.35">
      <c r="A213" s="4">
        <v>207</v>
      </c>
      <c r="B213" s="4" t="str">
        <f>LOOKUP(A213,Lookup!$A$1:$A$34,Lookup!$B$1:$B$34)</f>
        <v>PORK</v>
      </c>
      <c r="C213" s="5">
        <v>66630</v>
      </c>
      <c r="D213" s="6" t="s">
        <v>220</v>
      </c>
      <c r="E213" s="4">
        <v>2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4602.3217391304343</v>
      </c>
      <c r="U213" s="10">
        <v>61.55</v>
      </c>
      <c r="V213" s="10">
        <v>1297.1826086956521</v>
      </c>
      <c r="W213" s="10">
        <v>16.577999999999999</v>
      </c>
      <c r="X213" s="17">
        <v>4602.3217391304343</v>
      </c>
      <c r="Y213" s="18">
        <v>61.55</v>
      </c>
      <c r="Z213" s="14">
        <v>5899.5043478260868</v>
      </c>
      <c r="AA213" s="14">
        <v>78.128</v>
      </c>
      <c r="AB213" s="23">
        <v>2</v>
      </c>
      <c r="AC213" s="10">
        <v>2949.7521739130434</v>
      </c>
      <c r="AD213" s="10">
        <v>39.064</v>
      </c>
      <c r="AE213" s="1" t="s">
        <v>541</v>
      </c>
    </row>
    <row r="214" spans="1:31" ht="16.5" customHeight="1" x14ac:dyDescent="0.35">
      <c r="A214" s="4">
        <v>207</v>
      </c>
      <c r="B214" s="4" t="str">
        <f>LOOKUP(A214,Lookup!$A$1:$A$34,Lookup!$B$1:$B$34)</f>
        <v>PORK</v>
      </c>
      <c r="C214" s="5">
        <v>34150</v>
      </c>
      <c r="D214" s="6" t="s">
        <v>218</v>
      </c>
      <c r="E214" s="4">
        <v>2</v>
      </c>
      <c r="F214" s="10">
        <v>0</v>
      </c>
      <c r="G214" s="10">
        <v>0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7">
        <v>0</v>
      </c>
      <c r="Y214" s="18">
        <v>0</v>
      </c>
      <c r="Z214" s="14">
        <v>0</v>
      </c>
      <c r="AA214" s="14">
        <v>0</v>
      </c>
      <c r="AB214" s="23">
        <v>0</v>
      </c>
      <c r="AC214" s="10">
        <v>0</v>
      </c>
      <c r="AD214" s="10">
        <v>0</v>
      </c>
      <c r="AE214" s="1" t="s">
        <v>540</v>
      </c>
    </row>
    <row r="215" spans="1:31" ht="16.5" customHeight="1" x14ac:dyDescent="0.35">
      <c r="A215" s="4">
        <v>207</v>
      </c>
      <c r="B215" s="4" t="str">
        <f>LOOKUP(A215,Lookup!$A$1:$A$34,Lookup!$B$1:$B$34)</f>
        <v>PORK</v>
      </c>
      <c r="C215" s="5">
        <v>34186</v>
      </c>
      <c r="D215" s="6" t="s">
        <v>219</v>
      </c>
      <c r="E215" s="4">
        <v>2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7">
        <v>0</v>
      </c>
      <c r="Y215" s="18">
        <v>0</v>
      </c>
      <c r="Z215" s="14">
        <v>0</v>
      </c>
      <c r="AA215" s="14">
        <v>0</v>
      </c>
      <c r="AB215" s="23">
        <v>0</v>
      </c>
      <c r="AC215" s="10">
        <v>0</v>
      </c>
      <c r="AD215" s="10">
        <v>0</v>
      </c>
      <c r="AE215" s="1" t="s">
        <v>540</v>
      </c>
    </row>
    <row r="216" spans="1:31" ht="16.5" customHeight="1" x14ac:dyDescent="0.35">
      <c r="A216" s="4">
        <v>207</v>
      </c>
      <c r="B216" s="4" t="str">
        <f>LOOKUP(A216,Lookup!$A$1:$A$34,Lookup!$B$1:$B$34)</f>
        <v>PORK</v>
      </c>
      <c r="C216" s="5">
        <v>34203</v>
      </c>
      <c r="D216" s="6" t="s">
        <v>220</v>
      </c>
      <c r="E216" s="4">
        <v>2</v>
      </c>
      <c r="F216" s="10">
        <v>0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7">
        <v>0</v>
      </c>
      <c r="Y216" s="18">
        <v>0</v>
      </c>
      <c r="Z216" s="14">
        <v>0</v>
      </c>
      <c r="AA216" s="14">
        <v>0</v>
      </c>
      <c r="AB216" s="23">
        <v>0</v>
      </c>
      <c r="AC216" s="10">
        <v>0</v>
      </c>
      <c r="AD216" s="10">
        <v>0</v>
      </c>
      <c r="AE216" s="1" t="s">
        <v>540</v>
      </c>
    </row>
    <row r="217" spans="1:31" ht="16.5" customHeight="1" x14ac:dyDescent="0.35">
      <c r="A217" s="4">
        <v>207</v>
      </c>
      <c r="B217" s="4" t="str">
        <f>LOOKUP(A217,Lookup!$A$1:$A$34,Lookup!$B$1:$B$34)</f>
        <v>PORK</v>
      </c>
      <c r="C217" s="5">
        <v>34204</v>
      </c>
      <c r="D217" s="6" t="s">
        <v>221</v>
      </c>
      <c r="E217" s="4">
        <v>2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7">
        <v>0</v>
      </c>
      <c r="Y217" s="18">
        <v>0</v>
      </c>
      <c r="Z217" s="14">
        <v>0</v>
      </c>
      <c r="AA217" s="14">
        <v>0</v>
      </c>
      <c r="AB217" s="23">
        <v>0</v>
      </c>
      <c r="AC217" s="10">
        <v>0</v>
      </c>
      <c r="AD217" s="10">
        <v>0</v>
      </c>
      <c r="AE217" s="1" t="s">
        <v>540</v>
      </c>
    </row>
    <row r="218" spans="1:31" ht="16.5" customHeight="1" x14ac:dyDescent="0.35">
      <c r="A218" s="4">
        <v>207</v>
      </c>
      <c r="B218" s="4" t="str">
        <f>LOOKUP(A218,Lookup!$A$1:$A$34,Lookup!$B$1:$B$34)</f>
        <v>PORK</v>
      </c>
      <c r="C218" s="5">
        <v>54562</v>
      </c>
      <c r="D218" s="6" t="s">
        <v>243</v>
      </c>
      <c r="E218" s="4">
        <v>2</v>
      </c>
      <c r="F218" s="10">
        <v>918.2086956521739</v>
      </c>
      <c r="G218" s="10">
        <v>6</v>
      </c>
      <c r="H218" s="10">
        <v>2684.6</v>
      </c>
      <c r="I218" s="10">
        <v>25</v>
      </c>
      <c r="J218" s="10">
        <v>0</v>
      </c>
      <c r="K218" s="10">
        <v>0</v>
      </c>
      <c r="L218" s="10">
        <v>3895.3739130434788</v>
      </c>
      <c r="M218" s="10">
        <v>32</v>
      </c>
      <c r="N218" s="10">
        <v>4126.6608695652185</v>
      </c>
      <c r="O218" s="10">
        <v>34</v>
      </c>
      <c r="P218" s="10">
        <v>434.75652173913045</v>
      </c>
      <c r="Q218" s="10">
        <v>3</v>
      </c>
      <c r="R218" s="10">
        <v>782.56521739130437</v>
      </c>
      <c r="S218" s="10">
        <v>5</v>
      </c>
      <c r="T218" s="10">
        <v>2347.6956521739135</v>
      </c>
      <c r="U218" s="10">
        <v>15</v>
      </c>
      <c r="V218" s="10">
        <v>1870.3304347826088</v>
      </c>
      <c r="W218" s="10">
        <v>12</v>
      </c>
      <c r="X218" s="17">
        <v>4126.6608695652185</v>
      </c>
      <c r="Y218" s="18">
        <v>34</v>
      </c>
      <c r="Z218" s="14">
        <v>17060.191304347827</v>
      </c>
      <c r="AA218" s="14">
        <v>132</v>
      </c>
      <c r="AB218" s="23">
        <v>8</v>
      </c>
      <c r="AC218" s="10">
        <v>2132.5239130434784</v>
      </c>
      <c r="AD218" s="10">
        <v>16.5</v>
      </c>
      <c r="AE218" s="1" t="s">
        <v>542</v>
      </c>
    </row>
    <row r="219" spans="1:31" ht="16.5" customHeight="1" x14ac:dyDescent="0.35">
      <c r="A219" s="4">
        <v>207</v>
      </c>
      <c r="B219" s="4" t="str">
        <f>LOOKUP(A219,Lookup!$A$1:$A$34,Lookup!$B$1:$B$34)</f>
        <v>PORK</v>
      </c>
      <c r="C219" s="5">
        <v>34272</v>
      </c>
      <c r="D219" s="6" t="s">
        <v>223</v>
      </c>
      <c r="E219" s="4">
        <v>2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7">
        <v>0</v>
      </c>
      <c r="Y219" s="18">
        <v>0</v>
      </c>
      <c r="Z219" s="14">
        <v>0</v>
      </c>
      <c r="AA219" s="14">
        <v>0</v>
      </c>
      <c r="AB219" s="23">
        <v>0</v>
      </c>
      <c r="AC219" s="10">
        <v>0</v>
      </c>
      <c r="AD219" s="10">
        <v>0</v>
      </c>
      <c r="AE219" s="1" t="s">
        <v>540</v>
      </c>
    </row>
    <row r="220" spans="1:31" ht="16.5" customHeight="1" x14ac:dyDescent="0.35">
      <c r="A220" s="4">
        <v>207</v>
      </c>
      <c r="B220" s="4" t="str">
        <f>LOOKUP(A220,Lookup!$A$1:$A$34,Lookup!$B$1:$B$34)</f>
        <v>PORK</v>
      </c>
      <c r="C220" s="5">
        <v>34280</v>
      </c>
      <c r="D220" s="6" t="s">
        <v>224</v>
      </c>
      <c r="E220" s="4">
        <v>2</v>
      </c>
      <c r="F220" s="10">
        <v>0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7">
        <v>0</v>
      </c>
      <c r="Y220" s="18">
        <v>0</v>
      </c>
      <c r="Z220" s="14">
        <v>0</v>
      </c>
      <c r="AA220" s="14">
        <v>0</v>
      </c>
      <c r="AB220" s="23">
        <v>0</v>
      </c>
      <c r="AC220" s="10">
        <v>0</v>
      </c>
      <c r="AD220" s="10">
        <v>0</v>
      </c>
      <c r="AE220" s="1" t="s">
        <v>540</v>
      </c>
    </row>
    <row r="221" spans="1:31" ht="16.5" customHeight="1" x14ac:dyDescent="0.35">
      <c r="A221" s="4">
        <v>207</v>
      </c>
      <c r="B221" s="4" t="str">
        <f>LOOKUP(A221,Lookup!$A$1:$A$34,Lookup!$B$1:$B$34)</f>
        <v>PORK</v>
      </c>
      <c r="C221" s="5">
        <v>34281</v>
      </c>
      <c r="D221" s="6" t="s">
        <v>225</v>
      </c>
      <c r="E221" s="4">
        <v>2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  <c r="P221" s="10">
        <v>0</v>
      </c>
      <c r="Q221" s="10">
        <v>0</v>
      </c>
      <c r="R221" s="10">
        <v>0</v>
      </c>
      <c r="S221" s="10">
        <v>0</v>
      </c>
      <c r="T221" s="10">
        <v>0</v>
      </c>
      <c r="U221" s="10">
        <v>0</v>
      </c>
      <c r="V221" s="10">
        <v>0</v>
      </c>
      <c r="W221" s="10">
        <v>0</v>
      </c>
      <c r="X221" s="17">
        <v>0</v>
      </c>
      <c r="Y221" s="18">
        <v>0</v>
      </c>
      <c r="Z221" s="14">
        <v>0</v>
      </c>
      <c r="AA221" s="14">
        <v>0</v>
      </c>
      <c r="AB221" s="23">
        <v>0</v>
      </c>
      <c r="AC221" s="10">
        <v>0</v>
      </c>
      <c r="AD221" s="10">
        <v>0</v>
      </c>
      <c r="AE221" s="1" t="s">
        <v>540</v>
      </c>
    </row>
    <row r="222" spans="1:31" ht="16.5" customHeight="1" x14ac:dyDescent="0.35">
      <c r="A222" s="4">
        <v>207</v>
      </c>
      <c r="B222" s="4" t="str">
        <f>LOOKUP(A222,Lookup!$A$1:$A$34,Lookup!$B$1:$B$34)</f>
        <v>PORK</v>
      </c>
      <c r="C222" s="5">
        <v>34283</v>
      </c>
      <c r="D222" s="6" t="s">
        <v>220</v>
      </c>
      <c r="E222" s="4">
        <v>2</v>
      </c>
      <c r="F222" s="10">
        <v>0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7">
        <v>0</v>
      </c>
      <c r="Y222" s="18">
        <v>0</v>
      </c>
      <c r="Z222" s="14">
        <v>0</v>
      </c>
      <c r="AA222" s="14">
        <v>0</v>
      </c>
      <c r="AB222" s="23">
        <v>0</v>
      </c>
      <c r="AC222" s="10">
        <v>0</v>
      </c>
      <c r="AD222" s="10">
        <v>0</v>
      </c>
      <c r="AE222" s="1" t="s">
        <v>540</v>
      </c>
    </row>
    <row r="223" spans="1:31" ht="16.5" customHeight="1" x14ac:dyDescent="0.35">
      <c r="A223" s="4">
        <v>207</v>
      </c>
      <c r="B223" s="4" t="str">
        <f>LOOKUP(A223,Lookup!$A$1:$A$34,Lookup!$B$1:$B$34)</f>
        <v>PORK</v>
      </c>
      <c r="C223" s="5">
        <v>63523</v>
      </c>
      <c r="D223" s="6" t="s">
        <v>203</v>
      </c>
      <c r="E223" s="4">
        <v>2</v>
      </c>
      <c r="F223" s="10">
        <v>1853.6260869565217</v>
      </c>
      <c r="G223" s="10">
        <v>26.849</v>
      </c>
      <c r="H223" s="10">
        <v>1224.6782608695651</v>
      </c>
      <c r="I223" s="10">
        <v>17.606000000000002</v>
      </c>
      <c r="J223" s="10">
        <v>1593.2956521739134</v>
      </c>
      <c r="K223" s="10">
        <v>22.905999999999999</v>
      </c>
      <c r="L223" s="10">
        <v>2108.8608695652174</v>
      </c>
      <c r="M223" s="10">
        <v>30.344000000000001</v>
      </c>
      <c r="N223" s="10">
        <v>2077.5391304347827</v>
      </c>
      <c r="O223" s="10">
        <v>29.928999999999998</v>
      </c>
      <c r="P223" s="10">
        <v>1159.1304347826085</v>
      </c>
      <c r="Q223" s="10">
        <v>16.768999999999998</v>
      </c>
      <c r="R223" s="10">
        <v>923.38260869565227</v>
      </c>
      <c r="S223" s="10">
        <v>13.275</v>
      </c>
      <c r="T223" s="10">
        <v>3506.7478260869566</v>
      </c>
      <c r="U223" s="10">
        <v>50.457999999999998</v>
      </c>
      <c r="V223" s="10">
        <v>2041.0521739130436</v>
      </c>
      <c r="W223" s="10">
        <v>29.361999999999998</v>
      </c>
      <c r="X223" s="17">
        <v>3506.7478260869566</v>
      </c>
      <c r="Y223" s="18">
        <v>50.457999999999998</v>
      </c>
      <c r="Z223" s="14">
        <v>16488.313043478258</v>
      </c>
      <c r="AA223" s="14">
        <v>237.49799999999999</v>
      </c>
      <c r="AB223" s="23">
        <v>9</v>
      </c>
      <c r="AC223" s="10">
        <v>1832.0347826086954</v>
      </c>
      <c r="AD223" s="10">
        <v>26.388666666666666</v>
      </c>
      <c r="AE223" s="1" t="s">
        <v>542</v>
      </c>
    </row>
    <row r="224" spans="1:31" ht="16.5" customHeight="1" x14ac:dyDescent="0.35">
      <c r="A224" s="4">
        <v>207</v>
      </c>
      <c r="B224" s="4" t="str">
        <f>LOOKUP(A224,Lookup!$A$1:$A$34,Lookup!$B$1:$B$34)</f>
        <v>PORK</v>
      </c>
      <c r="C224" s="5">
        <v>34288</v>
      </c>
      <c r="D224" s="6" t="s">
        <v>227</v>
      </c>
      <c r="E224" s="4">
        <v>2</v>
      </c>
      <c r="F224" s="10">
        <v>0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7">
        <v>0</v>
      </c>
      <c r="Y224" s="18">
        <v>0</v>
      </c>
      <c r="Z224" s="14">
        <v>0</v>
      </c>
      <c r="AA224" s="14">
        <v>0</v>
      </c>
      <c r="AB224" s="23">
        <v>0</v>
      </c>
      <c r="AC224" s="10">
        <v>0</v>
      </c>
      <c r="AD224" s="10">
        <v>0</v>
      </c>
      <c r="AE224" s="1" t="s">
        <v>540</v>
      </c>
    </row>
    <row r="225" spans="1:31" ht="16.5" customHeight="1" x14ac:dyDescent="0.35">
      <c r="A225" s="4">
        <v>207</v>
      </c>
      <c r="B225" s="4" t="str">
        <f>LOOKUP(A225,Lookup!$A$1:$A$34,Lookup!$B$1:$B$34)</f>
        <v>PORK</v>
      </c>
      <c r="C225" s="5">
        <v>34289</v>
      </c>
      <c r="D225" s="6" t="s">
        <v>228</v>
      </c>
      <c r="E225" s="4">
        <v>2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7">
        <v>0</v>
      </c>
      <c r="Y225" s="18">
        <v>0</v>
      </c>
      <c r="Z225" s="14">
        <v>0</v>
      </c>
      <c r="AA225" s="14">
        <v>0</v>
      </c>
      <c r="AB225" s="23">
        <v>0</v>
      </c>
      <c r="AC225" s="10">
        <v>0</v>
      </c>
      <c r="AD225" s="10">
        <v>0</v>
      </c>
      <c r="AE225" s="1" t="s">
        <v>540</v>
      </c>
    </row>
    <row r="226" spans="1:31" ht="16.5" customHeight="1" x14ac:dyDescent="0.35">
      <c r="A226" s="4">
        <v>207</v>
      </c>
      <c r="B226" s="4" t="str">
        <f>LOOKUP(A226,Lookup!$A$1:$A$34,Lookup!$B$1:$B$34)</f>
        <v>PORK</v>
      </c>
      <c r="C226" s="5">
        <v>34290</v>
      </c>
      <c r="D226" s="6" t="s">
        <v>229</v>
      </c>
      <c r="E226" s="4">
        <v>2</v>
      </c>
      <c r="F226" s="10">
        <v>0</v>
      </c>
      <c r="G226" s="10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7">
        <v>0</v>
      </c>
      <c r="Y226" s="18">
        <v>0</v>
      </c>
      <c r="Z226" s="14">
        <v>0</v>
      </c>
      <c r="AA226" s="14">
        <v>0</v>
      </c>
      <c r="AB226" s="23">
        <v>0</v>
      </c>
      <c r="AC226" s="10">
        <v>0</v>
      </c>
      <c r="AD226" s="10">
        <v>0</v>
      </c>
      <c r="AE226" s="1" t="s">
        <v>540</v>
      </c>
    </row>
    <row r="227" spans="1:31" ht="16.5" customHeight="1" x14ac:dyDescent="0.35">
      <c r="A227" s="4">
        <v>207</v>
      </c>
      <c r="B227" s="4" t="str">
        <f>LOOKUP(A227,Lookup!$A$1:$A$34,Lookup!$B$1:$B$34)</f>
        <v>PORK</v>
      </c>
      <c r="C227" s="5">
        <v>63472</v>
      </c>
      <c r="D227" s="6" t="s">
        <v>251</v>
      </c>
      <c r="E227" s="4">
        <v>2</v>
      </c>
      <c r="F227" s="10">
        <v>2282.2434782608693</v>
      </c>
      <c r="G227" s="10">
        <v>22.337</v>
      </c>
      <c r="H227" s="10">
        <v>1067.5913043478261</v>
      </c>
      <c r="I227" s="10">
        <v>10.231999999999999</v>
      </c>
      <c r="J227" s="10">
        <v>1129.3652173913042</v>
      </c>
      <c r="K227" s="10">
        <v>10.824</v>
      </c>
      <c r="L227" s="10">
        <v>2411.2434782608698</v>
      </c>
      <c r="M227" s="10">
        <v>27.731999999999999</v>
      </c>
      <c r="N227" s="10">
        <v>3176.0260869565218</v>
      </c>
      <c r="O227" s="10">
        <v>36.527999999999999</v>
      </c>
      <c r="P227" s="10">
        <v>1450.7739130434784</v>
      </c>
      <c r="Q227" s="10">
        <v>14.391</v>
      </c>
      <c r="R227" s="10">
        <v>1220.304347826087</v>
      </c>
      <c r="S227" s="10">
        <v>11.696</v>
      </c>
      <c r="T227" s="10">
        <v>1544.3217391304347</v>
      </c>
      <c r="U227" s="10">
        <v>17.614000000000001</v>
      </c>
      <c r="V227" s="10">
        <v>0</v>
      </c>
      <c r="W227" s="10">
        <v>0</v>
      </c>
      <c r="X227" s="17">
        <v>3176.0260869565218</v>
      </c>
      <c r="Y227" s="18">
        <v>36.527999999999999</v>
      </c>
      <c r="Z227" s="14">
        <v>14281.869565217392</v>
      </c>
      <c r="AA227" s="14">
        <v>151.35400000000001</v>
      </c>
      <c r="AB227" s="23">
        <v>8</v>
      </c>
      <c r="AC227" s="10">
        <v>1785.233695652174</v>
      </c>
      <c r="AD227" s="10">
        <v>18.919250000000002</v>
      </c>
      <c r="AE227" s="1" t="s">
        <v>542</v>
      </c>
    </row>
    <row r="228" spans="1:31" ht="16.5" customHeight="1" x14ac:dyDescent="0.35">
      <c r="A228" s="4">
        <v>207</v>
      </c>
      <c r="B228" s="4" t="str">
        <f>LOOKUP(A228,Lookup!$A$1:$A$34,Lookup!$B$1:$B$34)</f>
        <v>PORK</v>
      </c>
      <c r="C228" s="5">
        <v>38927</v>
      </c>
      <c r="D228" s="6" t="s">
        <v>231</v>
      </c>
      <c r="E228" s="4">
        <v>2</v>
      </c>
      <c r="F228" s="10">
        <v>0</v>
      </c>
      <c r="G228" s="10">
        <v>0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7">
        <v>0</v>
      </c>
      <c r="Y228" s="18">
        <v>0</v>
      </c>
      <c r="Z228" s="14">
        <v>0</v>
      </c>
      <c r="AA228" s="14">
        <v>0</v>
      </c>
      <c r="AB228" s="23">
        <v>0</v>
      </c>
      <c r="AC228" s="10">
        <v>0</v>
      </c>
      <c r="AD228" s="10">
        <v>0</v>
      </c>
      <c r="AE228" s="1" t="s">
        <v>540</v>
      </c>
    </row>
    <row r="229" spans="1:31" ht="16.5" customHeight="1" x14ac:dyDescent="0.35">
      <c r="A229" s="4">
        <v>207</v>
      </c>
      <c r="B229" s="4" t="str">
        <f>LOOKUP(A229,Lookup!$A$1:$A$34,Lookup!$B$1:$B$34)</f>
        <v>PORK</v>
      </c>
      <c r="C229" s="5">
        <v>38928</v>
      </c>
      <c r="D229" s="6" t="s">
        <v>232</v>
      </c>
      <c r="E229" s="4">
        <v>2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7">
        <v>0</v>
      </c>
      <c r="Y229" s="18">
        <v>0</v>
      </c>
      <c r="Z229" s="14">
        <v>0</v>
      </c>
      <c r="AA229" s="14">
        <v>0</v>
      </c>
      <c r="AB229" s="23">
        <v>0</v>
      </c>
      <c r="AC229" s="10">
        <v>0</v>
      </c>
      <c r="AD229" s="10">
        <v>0</v>
      </c>
      <c r="AE229" s="1" t="s">
        <v>540</v>
      </c>
    </row>
    <row r="230" spans="1:31" ht="16.5" customHeight="1" x14ac:dyDescent="0.35">
      <c r="A230" s="4">
        <v>207</v>
      </c>
      <c r="B230" s="4" t="str">
        <f>LOOKUP(A230,Lookup!$A$1:$A$34,Lookup!$B$1:$B$34)</f>
        <v>PORK</v>
      </c>
      <c r="C230" s="5">
        <v>38929</v>
      </c>
      <c r="D230" s="6" t="s">
        <v>233</v>
      </c>
      <c r="E230" s="4">
        <v>2</v>
      </c>
      <c r="F230" s="10">
        <v>0</v>
      </c>
      <c r="G230" s="10">
        <v>0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7">
        <v>0</v>
      </c>
      <c r="Y230" s="18">
        <v>0</v>
      </c>
      <c r="Z230" s="14">
        <v>0</v>
      </c>
      <c r="AA230" s="14">
        <v>0</v>
      </c>
      <c r="AB230" s="23">
        <v>0</v>
      </c>
      <c r="AC230" s="10">
        <v>0</v>
      </c>
      <c r="AD230" s="10">
        <v>0</v>
      </c>
      <c r="AE230" s="1" t="s">
        <v>540</v>
      </c>
    </row>
    <row r="231" spans="1:31" ht="16.5" customHeight="1" x14ac:dyDescent="0.35">
      <c r="A231" s="4">
        <v>207</v>
      </c>
      <c r="B231" s="4" t="str">
        <f>LOOKUP(A231,Lookup!$A$1:$A$34,Lookup!$B$1:$B$34)</f>
        <v>PORK</v>
      </c>
      <c r="C231" s="5">
        <v>54629</v>
      </c>
      <c r="D231" s="6" t="s">
        <v>244</v>
      </c>
      <c r="E231" s="4">
        <v>2</v>
      </c>
      <c r="F231" s="10">
        <v>724.304347826087</v>
      </c>
      <c r="G231" s="10">
        <v>5</v>
      </c>
      <c r="H231" s="10">
        <v>1162.8521739130438</v>
      </c>
      <c r="I231" s="10">
        <v>10</v>
      </c>
      <c r="J231" s="10">
        <v>739.08695652173913</v>
      </c>
      <c r="K231" s="10">
        <v>5</v>
      </c>
      <c r="L231" s="10">
        <v>2799.7999999999997</v>
      </c>
      <c r="M231" s="10">
        <v>23</v>
      </c>
      <c r="N231" s="10">
        <v>2434.608695652174</v>
      </c>
      <c r="O231" s="10">
        <v>20</v>
      </c>
      <c r="P231" s="10">
        <v>278.24347826086955</v>
      </c>
      <c r="Q231" s="10">
        <v>2</v>
      </c>
      <c r="R231" s="10">
        <v>313.02608695652174</v>
      </c>
      <c r="S231" s="10">
        <v>2</v>
      </c>
      <c r="T231" s="10">
        <v>2191.1826086956526</v>
      </c>
      <c r="U231" s="10">
        <v>14</v>
      </c>
      <c r="V231" s="10">
        <v>2191.1826086956517</v>
      </c>
      <c r="W231" s="10">
        <v>14</v>
      </c>
      <c r="X231" s="17">
        <v>2799.7999999999997</v>
      </c>
      <c r="Y231" s="18">
        <v>23</v>
      </c>
      <c r="Z231" s="14">
        <v>12834.286956521739</v>
      </c>
      <c r="AA231" s="14">
        <v>95</v>
      </c>
      <c r="AB231" s="23">
        <v>9</v>
      </c>
      <c r="AC231" s="10">
        <v>1426.031884057971</v>
      </c>
      <c r="AD231" s="10">
        <v>10.555555555555555</v>
      </c>
      <c r="AE231" s="1" t="s">
        <v>542</v>
      </c>
    </row>
    <row r="232" spans="1:31" ht="16.5" customHeight="1" x14ac:dyDescent="0.35">
      <c r="A232" s="4">
        <v>207</v>
      </c>
      <c r="B232" s="4" t="str">
        <f>LOOKUP(A232,Lookup!$A$1:$A$34,Lookup!$B$1:$B$34)</f>
        <v>PORK</v>
      </c>
      <c r="C232" s="5">
        <v>39411</v>
      </c>
      <c r="D232" s="6" t="s">
        <v>235</v>
      </c>
      <c r="E232" s="4">
        <v>2</v>
      </c>
      <c r="F232" s="10">
        <v>0</v>
      </c>
      <c r="G232" s="10">
        <v>0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7">
        <v>0</v>
      </c>
      <c r="Y232" s="18">
        <v>0</v>
      </c>
      <c r="Z232" s="14">
        <v>0</v>
      </c>
      <c r="AA232" s="14">
        <v>0</v>
      </c>
      <c r="AB232" s="23">
        <v>0</v>
      </c>
      <c r="AC232" s="10">
        <v>0</v>
      </c>
      <c r="AD232" s="10">
        <v>0</v>
      </c>
      <c r="AE232" s="1" t="s">
        <v>540</v>
      </c>
    </row>
    <row r="233" spans="1:31" ht="16.5" customHeight="1" x14ac:dyDescent="0.35">
      <c r="A233" s="4">
        <v>207</v>
      </c>
      <c r="B233" s="4" t="str">
        <f>LOOKUP(A233,Lookup!$A$1:$A$34,Lookup!$B$1:$B$34)</f>
        <v>PORK</v>
      </c>
      <c r="C233" s="5">
        <v>40148</v>
      </c>
      <c r="D233" s="6" t="s">
        <v>236</v>
      </c>
      <c r="E233" s="4">
        <v>2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7">
        <v>0</v>
      </c>
      <c r="Y233" s="18">
        <v>0</v>
      </c>
      <c r="Z233" s="14">
        <v>0</v>
      </c>
      <c r="AA233" s="14">
        <v>0</v>
      </c>
      <c r="AB233" s="23">
        <v>0</v>
      </c>
      <c r="AC233" s="10">
        <v>0</v>
      </c>
      <c r="AD233" s="10">
        <v>0</v>
      </c>
      <c r="AE233" s="1" t="s">
        <v>540</v>
      </c>
    </row>
    <row r="234" spans="1:31" ht="16.5" customHeight="1" x14ac:dyDescent="0.35">
      <c r="A234" s="4">
        <v>207</v>
      </c>
      <c r="B234" s="4" t="str">
        <f>LOOKUP(A234,Lookup!$A$1:$A$34,Lookup!$B$1:$B$34)</f>
        <v>PORK</v>
      </c>
      <c r="C234" s="5">
        <v>41260</v>
      </c>
      <c r="D234" s="6" t="s">
        <v>220</v>
      </c>
      <c r="E234" s="4">
        <v>2</v>
      </c>
      <c r="F234" s="10">
        <v>0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7">
        <v>0</v>
      </c>
      <c r="Y234" s="18">
        <v>0</v>
      </c>
      <c r="Z234" s="14">
        <v>0</v>
      </c>
      <c r="AA234" s="14">
        <v>0</v>
      </c>
      <c r="AB234" s="23">
        <v>0</v>
      </c>
      <c r="AC234" s="10">
        <v>0</v>
      </c>
      <c r="AD234" s="10">
        <v>0</v>
      </c>
      <c r="AE234" s="1" t="s">
        <v>540</v>
      </c>
    </row>
    <row r="235" spans="1:31" ht="16.5" customHeight="1" x14ac:dyDescent="0.35">
      <c r="A235" s="4">
        <v>207</v>
      </c>
      <c r="B235" s="4" t="str">
        <f>LOOKUP(A235,Lookup!$A$1:$A$34,Lookup!$B$1:$B$34)</f>
        <v>PORK</v>
      </c>
      <c r="C235" s="5">
        <v>46391</v>
      </c>
      <c r="D235" s="6" t="s">
        <v>237</v>
      </c>
      <c r="E235" s="4">
        <v>2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7">
        <v>0</v>
      </c>
      <c r="Y235" s="18">
        <v>0</v>
      </c>
      <c r="Z235" s="14">
        <v>0</v>
      </c>
      <c r="AA235" s="14">
        <v>0</v>
      </c>
      <c r="AB235" s="23">
        <v>0</v>
      </c>
      <c r="AC235" s="10">
        <v>0</v>
      </c>
      <c r="AD235" s="10">
        <v>0</v>
      </c>
      <c r="AE235" s="1" t="s">
        <v>540</v>
      </c>
    </row>
    <row r="236" spans="1:31" ht="16.5" customHeight="1" x14ac:dyDescent="0.35">
      <c r="A236" s="4">
        <v>207</v>
      </c>
      <c r="B236" s="4" t="str">
        <f>LOOKUP(A236,Lookup!$A$1:$A$34,Lookup!$B$1:$B$34)</f>
        <v>PORK</v>
      </c>
      <c r="C236" s="5">
        <v>48338</v>
      </c>
      <c r="D236" s="6" t="s">
        <v>233</v>
      </c>
      <c r="E236" s="4">
        <v>2</v>
      </c>
      <c r="F236" s="10">
        <v>0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7">
        <v>0</v>
      </c>
      <c r="Y236" s="18">
        <v>0</v>
      </c>
      <c r="Z236" s="14">
        <v>0</v>
      </c>
      <c r="AA236" s="14">
        <v>0</v>
      </c>
      <c r="AB236" s="23">
        <v>0</v>
      </c>
      <c r="AC236" s="10">
        <v>0</v>
      </c>
      <c r="AD236" s="10">
        <v>0</v>
      </c>
      <c r="AE236" s="1" t="s">
        <v>540</v>
      </c>
    </row>
    <row r="237" spans="1:31" ht="16.5" customHeight="1" x14ac:dyDescent="0.35">
      <c r="A237" s="4">
        <v>207</v>
      </c>
      <c r="B237" s="4" t="str">
        <f>LOOKUP(A237,Lookup!$A$1:$A$34,Lookup!$B$1:$B$34)</f>
        <v>PORK</v>
      </c>
      <c r="C237" s="5">
        <v>63497</v>
      </c>
      <c r="D237" s="6" t="s">
        <v>265</v>
      </c>
      <c r="E237" s="4">
        <v>2</v>
      </c>
      <c r="F237" s="10">
        <v>1898.9391304347823</v>
      </c>
      <c r="G237" s="10">
        <v>15.6</v>
      </c>
      <c r="H237" s="10">
        <v>1444</v>
      </c>
      <c r="I237" s="10">
        <v>12.8</v>
      </c>
      <c r="J237" s="10">
        <v>1533.6173913043476</v>
      </c>
      <c r="K237" s="10">
        <v>13.568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308.2</v>
      </c>
      <c r="W237" s="10">
        <v>2.9540000000000002</v>
      </c>
      <c r="X237" s="17">
        <v>1898.9391304347823</v>
      </c>
      <c r="Y237" s="18">
        <v>15.6</v>
      </c>
      <c r="Z237" s="14">
        <v>5184.7565217391302</v>
      </c>
      <c r="AA237" s="14">
        <v>44.921999999999997</v>
      </c>
      <c r="AB237" s="23">
        <v>4</v>
      </c>
      <c r="AC237" s="10">
        <v>1296.1891304347826</v>
      </c>
      <c r="AD237" s="10">
        <v>11.230499999999999</v>
      </c>
      <c r="AE237" s="1" t="s">
        <v>543</v>
      </c>
    </row>
    <row r="238" spans="1:31" ht="16.5" customHeight="1" x14ac:dyDescent="0.35">
      <c r="A238" s="4">
        <v>207</v>
      </c>
      <c r="B238" s="4" t="str">
        <f>LOOKUP(A238,Lookup!$A$1:$A$34,Lookup!$B$1:$B$34)</f>
        <v>PORK</v>
      </c>
      <c r="C238" s="5">
        <v>48944</v>
      </c>
      <c r="D238" s="6" t="s">
        <v>239</v>
      </c>
      <c r="E238" s="4">
        <v>2</v>
      </c>
      <c r="F238" s="10">
        <v>0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7">
        <v>0</v>
      </c>
      <c r="Y238" s="18">
        <v>0</v>
      </c>
      <c r="Z238" s="14">
        <v>0</v>
      </c>
      <c r="AA238" s="14">
        <v>0</v>
      </c>
      <c r="AB238" s="23">
        <v>0</v>
      </c>
      <c r="AC238" s="10">
        <v>0</v>
      </c>
      <c r="AD238" s="10">
        <v>0</v>
      </c>
      <c r="AE238" s="1" t="s">
        <v>540</v>
      </c>
    </row>
    <row r="239" spans="1:31" ht="16.5" customHeight="1" x14ac:dyDescent="0.35">
      <c r="A239" s="4">
        <v>207</v>
      </c>
      <c r="B239" s="4" t="str">
        <f>LOOKUP(A239,Lookup!$A$1:$A$34,Lookup!$B$1:$B$34)</f>
        <v>PORK</v>
      </c>
      <c r="C239" s="5">
        <v>51066</v>
      </c>
      <c r="D239" s="6" t="s">
        <v>240</v>
      </c>
      <c r="E239" s="4">
        <v>2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7">
        <v>0</v>
      </c>
      <c r="Y239" s="18">
        <v>0</v>
      </c>
      <c r="Z239" s="14">
        <v>0</v>
      </c>
      <c r="AA239" s="14">
        <v>0</v>
      </c>
      <c r="AB239" s="23">
        <v>0</v>
      </c>
      <c r="AC239" s="10">
        <v>0</v>
      </c>
      <c r="AD239" s="10">
        <v>0</v>
      </c>
      <c r="AE239" s="1" t="s">
        <v>540</v>
      </c>
    </row>
    <row r="240" spans="1:31" ht="16.5" customHeight="1" x14ac:dyDescent="0.35">
      <c r="A240" s="4">
        <v>207</v>
      </c>
      <c r="B240" s="4" t="str">
        <f>LOOKUP(A240,Lookup!$A$1:$A$34,Lookup!$B$1:$B$34)</f>
        <v>PORK</v>
      </c>
      <c r="C240" s="5">
        <v>51067</v>
      </c>
      <c r="D240" s="6" t="s">
        <v>241</v>
      </c>
      <c r="E240" s="4">
        <v>2</v>
      </c>
      <c r="F240" s="10">
        <v>0</v>
      </c>
      <c r="G240" s="10">
        <v>0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7">
        <v>0</v>
      </c>
      <c r="Y240" s="18">
        <v>0</v>
      </c>
      <c r="Z240" s="14">
        <v>0</v>
      </c>
      <c r="AA240" s="14">
        <v>0</v>
      </c>
      <c r="AB240" s="23">
        <v>0</v>
      </c>
      <c r="AC240" s="10">
        <v>0</v>
      </c>
      <c r="AD240" s="10">
        <v>0</v>
      </c>
      <c r="AE240" s="1" t="s">
        <v>540</v>
      </c>
    </row>
    <row r="241" spans="1:31" ht="16.5" customHeight="1" x14ac:dyDescent="0.35">
      <c r="A241" s="4">
        <v>207</v>
      </c>
      <c r="B241" s="4" t="str">
        <f>LOOKUP(A241,Lookup!$A$1:$A$34,Lookup!$B$1:$B$34)</f>
        <v>PORK</v>
      </c>
      <c r="C241" s="5">
        <v>54107</v>
      </c>
      <c r="D241" s="6" t="s">
        <v>242</v>
      </c>
      <c r="E241" s="4">
        <v>2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7">
        <v>0</v>
      </c>
      <c r="Y241" s="18">
        <v>0</v>
      </c>
      <c r="Z241" s="14">
        <v>0</v>
      </c>
      <c r="AA241" s="14">
        <v>0</v>
      </c>
      <c r="AB241" s="23">
        <v>0</v>
      </c>
      <c r="AC241" s="10">
        <v>0</v>
      </c>
      <c r="AD241" s="10">
        <v>0</v>
      </c>
      <c r="AE241" s="1" t="s">
        <v>540</v>
      </c>
    </row>
    <row r="242" spans="1:31" ht="16.5" customHeight="1" x14ac:dyDescent="0.35">
      <c r="A242" s="4">
        <v>207</v>
      </c>
      <c r="B242" s="4" t="str">
        <f>LOOKUP(A242,Lookup!$A$1:$A$34,Lookup!$B$1:$B$34)</f>
        <v>PORK</v>
      </c>
      <c r="C242" s="5">
        <v>14922</v>
      </c>
      <c r="D242" s="6" t="s">
        <v>215</v>
      </c>
      <c r="E242" s="4">
        <v>2</v>
      </c>
      <c r="F242" s="10">
        <v>959.90434782608713</v>
      </c>
      <c r="G242" s="10">
        <v>41</v>
      </c>
      <c r="H242" s="10">
        <v>868.37391304347841</v>
      </c>
      <c r="I242" s="10">
        <v>37</v>
      </c>
      <c r="J242" s="10">
        <v>1328.3739130434783</v>
      </c>
      <c r="K242" s="10">
        <v>57</v>
      </c>
      <c r="L242" s="10">
        <v>1194.5999999999999</v>
      </c>
      <c r="M242" s="10">
        <v>51</v>
      </c>
      <c r="N242" s="10">
        <v>1451.5913043478261</v>
      </c>
      <c r="O242" s="10">
        <v>62</v>
      </c>
      <c r="P242" s="10">
        <v>1079.5999999999999</v>
      </c>
      <c r="Q242" s="10">
        <v>46</v>
      </c>
      <c r="R242" s="10">
        <v>840.20869565217379</v>
      </c>
      <c r="S242" s="10">
        <v>36</v>
      </c>
      <c r="T242" s="10">
        <v>983.37391304347818</v>
      </c>
      <c r="U242" s="10">
        <v>42</v>
      </c>
      <c r="V242" s="10">
        <v>1009.1913043478262</v>
      </c>
      <c r="W242" s="10">
        <v>43</v>
      </c>
      <c r="X242" s="17">
        <v>1451.5913043478261</v>
      </c>
      <c r="Y242" s="18">
        <v>62</v>
      </c>
      <c r="Z242" s="14">
        <v>9715.217391304348</v>
      </c>
      <c r="AA242" s="14">
        <v>415</v>
      </c>
      <c r="AB242" s="23">
        <v>9</v>
      </c>
      <c r="AC242" s="10">
        <v>1079.4685990338164</v>
      </c>
      <c r="AD242" s="10">
        <v>46.111111111111114</v>
      </c>
      <c r="AE242" s="1" t="s">
        <v>542</v>
      </c>
    </row>
    <row r="243" spans="1:31" ht="16.5" customHeight="1" x14ac:dyDescent="0.35">
      <c r="A243" s="4">
        <v>207</v>
      </c>
      <c r="B243" s="4" t="str">
        <f>LOOKUP(A243,Lookup!$A$1:$A$34,Lookup!$B$1:$B$34)</f>
        <v>PORK</v>
      </c>
      <c r="C243" s="5">
        <v>63367</v>
      </c>
      <c r="D243" s="6" t="s">
        <v>260</v>
      </c>
      <c r="E243" s="4">
        <v>2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1391.0173913043479</v>
      </c>
      <c r="M243" s="10">
        <v>9.9979999999999993</v>
      </c>
      <c r="N243" s="10">
        <v>1764.4260869565219</v>
      </c>
      <c r="O243" s="10">
        <v>12.682</v>
      </c>
      <c r="P243" s="10">
        <v>512.8347826086956</v>
      </c>
      <c r="Q243" s="10">
        <v>3.6859999999999999</v>
      </c>
      <c r="R243" s="10">
        <v>781.1652173913044</v>
      </c>
      <c r="S243" s="10">
        <v>4.6040000000000001</v>
      </c>
      <c r="T243" s="10">
        <v>711.29565217391303</v>
      </c>
      <c r="U243" s="10">
        <v>4.09</v>
      </c>
      <c r="V243" s="10">
        <v>772.1652173913044</v>
      </c>
      <c r="W243" s="10">
        <v>4.4400000000000004</v>
      </c>
      <c r="X243" s="17">
        <v>1764.4260869565219</v>
      </c>
      <c r="Y243" s="18">
        <v>12.682</v>
      </c>
      <c r="Z243" s="14">
        <v>5932.9043478260874</v>
      </c>
      <c r="AA243" s="14">
        <v>39.5</v>
      </c>
      <c r="AB243" s="23">
        <v>6</v>
      </c>
      <c r="AC243" s="10">
        <v>988.81739130434789</v>
      </c>
      <c r="AD243" s="10">
        <v>6.583333333333333</v>
      </c>
      <c r="AE243" s="1" t="s">
        <v>543</v>
      </c>
    </row>
    <row r="244" spans="1:31" ht="16.5" customHeight="1" x14ac:dyDescent="0.35">
      <c r="A244" s="4">
        <v>207</v>
      </c>
      <c r="B244" s="4" t="str">
        <f>LOOKUP(A244,Lookup!$A$1:$A$34,Lookup!$B$1:$B$34)</f>
        <v>PORK</v>
      </c>
      <c r="C244" s="5">
        <v>12330</v>
      </c>
      <c r="D244" s="6" t="s">
        <v>210</v>
      </c>
      <c r="E244" s="4">
        <v>2</v>
      </c>
      <c r="F244" s="10">
        <v>660.78260869565213</v>
      </c>
      <c r="G244" s="10">
        <v>10</v>
      </c>
      <c r="H244" s="10">
        <v>591.4</v>
      </c>
      <c r="I244" s="10">
        <v>9</v>
      </c>
      <c r="J244" s="10">
        <v>726.8608695652174</v>
      </c>
      <c r="K244" s="10">
        <v>11</v>
      </c>
      <c r="L244" s="10">
        <v>525.1391304347826</v>
      </c>
      <c r="M244" s="10">
        <v>9</v>
      </c>
      <c r="N244" s="10">
        <v>1836.2434782608693</v>
      </c>
      <c r="O244" s="10">
        <v>32</v>
      </c>
      <c r="P244" s="10">
        <v>286.91304347826087</v>
      </c>
      <c r="Q244" s="10">
        <v>5</v>
      </c>
      <c r="R244" s="10">
        <v>172.14782608695648</v>
      </c>
      <c r="S244" s="10">
        <v>3</v>
      </c>
      <c r="T244" s="10">
        <v>459.06086956521733</v>
      </c>
      <c r="U244" s="10">
        <v>8</v>
      </c>
      <c r="V244" s="10">
        <v>1083.7913043478261</v>
      </c>
      <c r="W244" s="10">
        <v>14</v>
      </c>
      <c r="X244" s="17">
        <v>1836.2434782608693</v>
      </c>
      <c r="Y244" s="18">
        <v>32</v>
      </c>
      <c r="Z244" s="14">
        <v>6342.3391304347824</v>
      </c>
      <c r="AA244" s="14">
        <v>101</v>
      </c>
      <c r="AB244" s="23">
        <v>9</v>
      </c>
      <c r="AC244" s="10">
        <v>704.70434782608697</v>
      </c>
      <c r="AD244" s="10">
        <v>11.222222222222221</v>
      </c>
      <c r="AE244" s="1" t="s">
        <v>542</v>
      </c>
    </row>
    <row r="245" spans="1:31" ht="16.5" customHeight="1" x14ac:dyDescent="0.35">
      <c r="A245" s="4">
        <v>207</v>
      </c>
      <c r="B245" s="4" t="str">
        <f>LOOKUP(A245,Lookup!$A$1:$A$34,Lookup!$B$1:$B$34)</f>
        <v>PORK</v>
      </c>
      <c r="C245" s="5">
        <v>64053</v>
      </c>
      <c r="D245" s="6" t="s">
        <v>266</v>
      </c>
      <c r="E245" s="4">
        <v>2</v>
      </c>
      <c r="F245" s="10">
        <v>417.35652173913041</v>
      </c>
      <c r="G245" s="10">
        <v>4</v>
      </c>
      <c r="H245" s="10">
        <v>521.695652173913</v>
      </c>
      <c r="I245" s="10">
        <v>5</v>
      </c>
      <c r="J245" s="10">
        <v>834.71304347826083</v>
      </c>
      <c r="K245" s="10">
        <v>8</v>
      </c>
      <c r="L245" s="10">
        <v>834.71304347826094</v>
      </c>
      <c r="M245" s="10">
        <v>8</v>
      </c>
      <c r="N245" s="10">
        <v>730.37391304347818</v>
      </c>
      <c r="O245" s="10">
        <v>7</v>
      </c>
      <c r="P245" s="10">
        <v>626.03478260869565</v>
      </c>
      <c r="Q245" s="10">
        <v>6</v>
      </c>
      <c r="R245" s="10">
        <v>417.35652173913041</v>
      </c>
      <c r="S245" s="10">
        <v>4</v>
      </c>
      <c r="T245" s="10">
        <v>730.37391304347818</v>
      </c>
      <c r="U245" s="10">
        <v>7</v>
      </c>
      <c r="V245" s="10">
        <v>521.69565217391312</v>
      </c>
      <c r="W245" s="10">
        <v>5</v>
      </c>
      <c r="X245" s="17">
        <v>834.71304347826094</v>
      </c>
      <c r="Y245" s="18">
        <v>8</v>
      </c>
      <c r="Z245" s="14">
        <v>5634.3130434782606</v>
      </c>
      <c r="AA245" s="14">
        <v>54</v>
      </c>
      <c r="AB245" s="23">
        <v>9</v>
      </c>
      <c r="AC245" s="10">
        <v>626.03478260869565</v>
      </c>
      <c r="AD245" s="10">
        <v>6</v>
      </c>
      <c r="AE245" s="1" t="s">
        <v>542</v>
      </c>
    </row>
    <row r="246" spans="1:31" ht="16.5" customHeight="1" x14ac:dyDescent="0.35">
      <c r="A246" s="4">
        <v>207</v>
      </c>
      <c r="B246" s="4" t="str">
        <f>LOOKUP(A246,Lookup!$A$1:$A$34,Lookup!$B$1:$B$34)</f>
        <v>PORK</v>
      </c>
      <c r="C246" s="5">
        <v>55173</v>
      </c>
      <c r="D246" s="6" t="s">
        <v>247</v>
      </c>
      <c r="E246" s="4">
        <v>2</v>
      </c>
      <c r="F246" s="10">
        <v>0</v>
      </c>
      <c r="G246" s="10">
        <v>0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7">
        <v>0</v>
      </c>
      <c r="Y246" s="18">
        <v>0</v>
      </c>
      <c r="Z246" s="14">
        <v>0</v>
      </c>
      <c r="AA246" s="14">
        <v>0</v>
      </c>
      <c r="AB246" s="23">
        <v>0</v>
      </c>
      <c r="AC246" s="10">
        <v>0</v>
      </c>
      <c r="AD246" s="10">
        <v>0</v>
      </c>
      <c r="AE246" s="1" t="s">
        <v>540</v>
      </c>
    </row>
    <row r="247" spans="1:31" ht="16.5" customHeight="1" x14ac:dyDescent="0.35">
      <c r="A247" s="4">
        <v>207</v>
      </c>
      <c r="B247" s="4" t="str">
        <f>LOOKUP(A247,Lookup!$A$1:$A$34,Lookup!$B$1:$B$34)</f>
        <v>PORK</v>
      </c>
      <c r="C247" s="5">
        <v>56774</v>
      </c>
      <c r="D247" s="6" t="s">
        <v>248</v>
      </c>
      <c r="E247" s="4">
        <v>2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7">
        <v>0</v>
      </c>
      <c r="Y247" s="18">
        <v>0</v>
      </c>
      <c r="Z247" s="14">
        <v>0</v>
      </c>
      <c r="AA247" s="14">
        <v>0</v>
      </c>
      <c r="AB247" s="23">
        <v>0</v>
      </c>
      <c r="AC247" s="10">
        <v>0</v>
      </c>
      <c r="AD247" s="10">
        <v>0</v>
      </c>
      <c r="AE247" s="1" t="s">
        <v>540</v>
      </c>
    </row>
    <row r="248" spans="1:31" ht="16.5" customHeight="1" x14ac:dyDescent="0.35">
      <c r="A248" s="4">
        <v>207</v>
      </c>
      <c r="B248" s="4" t="str">
        <f>LOOKUP(A248,Lookup!$A$1:$A$34,Lookup!$B$1:$B$34)</f>
        <v>PORK</v>
      </c>
      <c r="C248" s="5">
        <v>58095</v>
      </c>
      <c r="D248" s="6" t="s">
        <v>249</v>
      </c>
      <c r="E248" s="4">
        <v>2</v>
      </c>
      <c r="F248" s="10">
        <v>0</v>
      </c>
      <c r="G248" s="10">
        <v>0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7">
        <v>0</v>
      </c>
      <c r="Y248" s="18">
        <v>0</v>
      </c>
      <c r="Z248" s="14">
        <v>0</v>
      </c>
      <c r="AA248" s="14">
        <v>0</v>
      </c>
      <c r="AB248" s="23">
        <v>0</v>
      </c>
      <c r="AC248" s="10">
        <v>0</v>
      </c>
      <c r="AD248" s="10">
        <v>0</v>
      </c>
      <c r="AE248" s="1" t="s">
        <v>540</v>
      </c>
    </row>
    <row r="249" spans="1:31" ht="16.5" customHeight="1" x14ac:dyDescent="0.35">
      <c r="A249" s="4">
        <v>207</v>
      </c>
      <c r="B249" s="4" t="str">
        <f>LOOKUP(A249,Lookup!$A$1:$A$34,Lookup!$B$1:$B$34)</f>
        <v>PORK</v>
      </c>
      <c r="C249" s="5">
        <v>58405</v>
      </c>
      <c r="D249" s="6" t="s">
        <v>250</v>
      </c>
      <c r="E249" s="4">
        <v>2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7">
        <v>0</v>
      </c>
      <c r="Y249" s="18">
        <v>0</v>
      </c>
      <c r="Z249" s="14">
        <v>0</v>
      </c>
      <c r="AA249" s="14">
        <v>0</v>
      </c>
      <c r="AB249" s="23">
        <v>0</v>
      </c>
      <c r="AC249" s="10">
        <v>0</v>
      </c>
      <c r="AD249" s="10">
        <v>0</v>
      </c>
      <c r="AE249" s="1" t="s">
        <v>540</v>
      </c>
    </row>
    <row r="250" spans="1:31" ht="16.5" customHeight="1" x14ac:dyDescent="0.35">
      <c r="A250" s="4">
        <v>207</v>
      </c>
      <c r="B250" s="4" t="str">
        <f>LOOKUP(A250,Lookup!$A$1:$A$34,Lookup!$B$1:$B$34)</f>
        <v>PORK</v>
      </c>
      <c r="C250" s="5">
        <v>61369</v>
      </c>
      <c r="D250" s="6" t="s">
        <v>251</v>
      </c>
      <c r="E250" s="4">
        <v>2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7">
        <v>0</v>
      </c>
      <c r="Y250" s="18">
        <v>0</v>
      </c>
      <c r="Z250" s="14">
        <v>0</v>
      </c>
      <c r="AA250" s="14">
        <v>0</v>
      </c>
      <c r="AB250" s="23">
        <v>0</v>
      </c>
      <c r="AC250" s="10">
        <v>0</v>
      </c>
      <c r="AD250" s="10">
        <v>0</v>
      </c>
      <c r="AE250" s="1" t="s">
        <v>540</v>
      </c>
    </row>
    <row r="251" spans="1:31" ht="16.5" customHeight="1" x14ac:dyDescent="0.35">
      <c r="A251" s="4">
        <v>207</v>
      </c>
      <c r="B251" s="4" t="str">
        <f>LOOKUP(A251,Lookup!$A$1:$A$34,Lookup!$B$1:$B$34)</f>
        <v>PORK</v>
      </c>
      <c r="C251" s="5">
        <v>61768</v>
      </c>
      <c r="D251" s="6" t="s">
        <v>252</v>
      </c>
      <c r="E251" s="4">
        <v>2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7">
        <v>0</v>
      </c>
      <c r="Y251" s="18">
        <v>0</v>
      </c>
      <c r="Z251" s="14">
        <v>0</v>
      </c>
      <c r="AA251" s="14">
        <v>0</v>
      </c>
      <c r="AB251" s="23">
        <v>0</v>
      </c>
      <c r="AC251" s="10">
        <v>0</v>
      </c>
      <c r="AD251" s="10">
        <v>0</v>
      </c>
      <c r="AE251" s="1" t="s">
        <v>540</v>
      </c>
    </row>
    <row r="252" spans="1:31" ht="16.5" customHeight="1" x14ac:dyDescent="0.35">
      <c r="A252" s="4">
        <v>207</v>
      </c>
      <c r="B252" s="4" t="str">
        <f>LOOKUP(A252,Lookup!$A$1:$A$34,Lookup!$B$1:$B$34)</f>
        <v>PORK</v>
      </c>
      <c r="C252" s="5">
        <v>61769</v>
      </c>
      <c r="D252" s="6" t="s">
        <v>253</v>
      </c>
      <c r="E252" s="4">
        <v>2</v>
      </c>
      <c r="F252" s="10">
        <v>0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7">
        <v>0</v>
      </c>
      <c r="Y252" s="18">
        <v>0</v>
      </c>
      <c r="Z252" s="14">
        <v>0</v>
      </c>
      <c r="AA252" s="14">
        <v>0</v>
      </c>
      <c r="AB252" s="23">
        <v>0</v>
      </c>
      <c r="AC252" s="10">
        <v>0</v>
      </c>
      <c r="AD252" s="10">
        <v>0</v>
      </c>
      <c r="AE252" s="1" t="s">
        <v>540</v>
      </c>
    </row>
    <row r="253" spans="1:31" ht="16.5" customHeight="1" x14ac:dyDescent="0.35">
      <c r="A253" s="4">
        <v>207</v>
      </c>
      <c r="B253" s="4" t="str">
        <f>LOOKUP(A253,Lookup!$A$1:$A$34,Lookup!$B$1:$B$34)</f>
        <v>PORK</v>
      </c>
      <c r="C253" s="5">
        <v>62213</v>
      </c>
      <c r="D253" s="6" t="s">
        <v>254</v>
      </c>
      <c r="E253" s="4">
        <v>2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7">
        <v>0</v>
      </c>
      <c r="Y253" s="18">
        <v>0</v>
      </c>
      <c r="Z253" s="14">
        <v>0</v>
      </c>
      <c r="AA253" s="14">
        <v>0</v>
      </c>
      <c r="AB253" s="23">
        <v>0</v>
      </c>
      <c r="AC253" s="10">
        <v>0</v>
      </c>
      <c r="AD253" s="10">
        <v>0</v>
      </c>
      <c r="AE253" s="1" t="s">
        <v>540</v>
      </c>
    </row>
    <row r="254" spans="1:31" ht="16.5" customHeight="1" x14ac:dyDescent="0.35">
      <c r="A254" s="4">
        <v>207</v>
      </c>
      <c r="B254" s="4" t="str">
        <f>LOOKUP(A254,Lookup!$A$1:$A$34,Lookup!$B$1:$B$34)</f>
        <v>PORK</v>
      </c>
      <c r="C254" s="5">
        <v>63025</v>
      </c>
      <c r="D254" s="6" t="s">
        <v>255</v>
      </c>
      <c r="E254" s="4">
        <v>2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7">
        <v>0</v>
      </c>
      <c r="Y254" s="18">
        <v>0</v>
      </c>
      <c r="Z254" s="14">
        <v>0</v>
      </c>
      <c r="AA254" s="14">
        <v>0</v>
      </c>
      <c r="AB254" s="23">
        <v>0</v>
      </c>
      <c r="AC254" s="10">
        <v>0</v>
      </c>
      <c r="AD254" s="10">
        <v>0</v>
      </c>
      <c r="AE254" s="1" t="s">
        <v>540</v>
      </c>
    </row>
    <row r="255" spans="1:31" ht="16.5" customHeight="1" x14ac:dyDescent="0.35">
      <c r="A255" s="4">
        <v>207</v>
      </c>
      <c r="B255" s="4" t="str">
        <f>LOOKUP(A255,Lookup!$A$1:$A$34,Lookup!$B$1:$B$34)</f>
        <v>PORK</v>
      </c>
      <c r="C255" s="5">
        <v>63363</v>
      </c>
      <c r="D255" s="6" t="s">
        <v>256</v>
      </c>
      <c r="E255" s="4">
        <v>2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7">
        <v>0</v>
      </c>
      <c r="Y255" s="18">
        <v>0</v>
      </c>
      <c r="Z255" s="14">
        <v>0</v>
      </c>
      <c r="AA255" s="14">
        <v>0</v>
      </c>
      <c r="AB255" s="23">
        <v>0</v>
      </c>
      <c r="AC255" s="10">
        <v>0</v>
      </c>
      <c r="AD255" s="10">
        <v>0</v>
      </c>
      <c r="AE255" s="1" t="s">
        <v>540</v>
      </c>
    </row>
    <row r="256" spans="1:31" ht="16.5" customHeight="1" x14ac:dyDescent="0.35">
      <c r="A256" s="4">
        <v>207</v>
      </c>
      <c r="B256" s="4" t="str">
        <f>LOOKUP(A256,Lookup!$A$1:$A$34,Lookup!$B$1:$B$34)</f>
        <v>PORK</v>
      </c>
      <c r="C256" s="5">
        <v>63364</v>
      </c>
      <c r="D256" s="6" t="s">
        <v>257</v>
      </c>
      <c r="E256" s="4">
        <v>2</v>
      </c>
      <c r="F256" s="10">
        <v>0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7">
        <v>0</v>
      </c>
      <c r="Y256" s="18">
        <v>0</v>
      </c>
      <c r="Z256" s="14">
        <v>0</v>
      </c>
      <c r="AA256" s="14">
        <v>0</v>
      </c>
      <c r="AB256" s="23">
        <v>0</v>
      </c>
      <c r="AC256" s="10">
        <v>0</v>
      </c>
      <c r="AD256" s="10">
        <v>0</v>
      </c>
      <c r="AE256" s="1" t="s">
        <v>540</v>
      </c>
    </row>
    <row r="257" spans="1:31" ht="16.5" customHeight="1" x14ac:dyDescent="0.35">
      <c r="A257" s="4">
        <v>207</v>
      </c>
      <c r="B257" s="4" t="str">
        <f>LOOKUP(A257,Lookup!$A$1:$A$34,Lookup!$B$1:$B$34)</f>
        <v>PORK</v>
      </c>
      <c r="C257" s="5">
        <v>54631</v>
      </c>
      <c r="D257" s="6" t="s">
        <v>246</v>
      </c>
      <c r="E257" s="4">
        <v>2</v>
      </c>
      <c r="F257" s="10">
        <v>0</v>
      </c>
      <c r="G257" s="10">
        <v>0</v>
      </c>
      <c r="H257" s="10">
        <v>0</v>
      </c>
      <c r="I257" s="10">
        <v>0</v>
      </c>
      <c r="J257" s="10">
        <v>1304.2608695652175</v>
      </c>
      <c r="K257" s="10">
        <v>10</v>
      </c>
      <c r="L257" s="10">
        <v>313.02608695652174</v>
      </c>
      <c r="M257" s="10">
        <v>2</v>
      </c>
      <c r="N257" s="10">
        <v>774.73913043478262</v>
      </c>
      <c r="O257" s="10">
        <v>5</v>
      </c>
      <c r="P257" s="10">
        <v>313.02608695652174</v>
      </c>
      <c r="Q257" s="10">
        <v>2</v>
      </c>
      <c r="R257" s="10">
        <v>469.53913043478263</v>
      </c>
      <c r="S257" s="10">
        <v>3</v>
      </c>
      <c r="T257" s="10">
        <v>156.51304347826087</v>
      </c>
      <c r="U257" s="10">
        <v>1</v>
      </c>
      <c r="V257" s="10">
        <v>0</v>
      </c>
      <c r="W257" s="10">
        <v>0</v>
      </c>
      <c r="X257" s="17">
        <v>1304.2608695652175</v>
      </c>
      <c r="Y257" s="18">
        <v>10</v>
      </c>
      <c r="Z257" s="14">
        <v>3331.1043478260872</v>
      </c>
      <c r="AA257" s="14">
        <v>23</v>
      </c>
      <c r="AB257" s="23">
        <v>6</v>
      </c>
      <c r="AC257" s="10">
        <v>555.18405797101457</v>
      </c>
      <c r="AD257" s="10">
        <v>3.8333333333333335</v>
      </c>
      <c r="AE257" s="1" t="s">
        <v>543</v>
      </c>
    </row>
    <row r="258" spans="1:31" ht="16.5" customHeight="1" x14ac:dyDescent="0.35">
      <c r="A258" s="4">
        <v>207</v>
      </c>
      <c r="B258" s="4" t="str">
        <f>LOOKUP(A258,Lookup!$A$1:$A$34,Lookup!$B$1:$B$34)</f>
        <v>PORK</v>
      </c>
      <c r="C258" s="5">
        <v>63366</v>
      </c>
      <c r="D258" s="6" t="s">
        <v>259</v>
      </c>
      <c r="E258" s="4">
        <v>2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7">
        <v>0</v>
      </c>
      <c r="Y258" s="18">
        <v>0</v>
      </c>
      <c r="Z258" s="14">
        <v>0</v>
      </c>
      <c r="AA258" s="14">
        <v>0</v>
      </c>
      <c r="AB258" s="23">
        <v>0</v>
      </c>
      <c r="AC258" s="10">
        <v>0</v>
      </c>
      <c r="AD258" s="10">
        <v>0</v>
      </c>
      <c r="AE258" s="1" t="s">
        <v>540</v>
      </c>
    </row>
    <row r="259" spans="1:31" ht="16.5" customHeight="1" x14ac:dyDescent="0.35">
      <c r="A259" s="4">
        <v>207</v>
      </c>
      <c r="B259" s="4" t="str">
        <f>LOOKUP(A259,Lookup!$A$1:$A$34,Lookup!$B$1:$B$34)</f>
        <v>PORK</v>
      </c>
      <c r="C259" s="5">
        <v>14923</v>
      </c>
      <c r="D259" s="6" t="s">
        <v>216</v>
      </c>
      <c r="E259" s="4">
        <v>2</v>
      </c>
      <c r="F259" s="10">
        <v>443.33043478260873</v>
      </c>
      <c r="G259" s="10">
        <v>17</v>
      </c>
      <c r="H259" s="10">
        <v>781.04347826086962</v>
      </c>
      <c r="I259" s="10">
        <v>30</v>
      </c>
      <c r="J259" s="10">
        <v>336.40869565217395</v>
      </c>
      <c r="K259" s="10">
        <v>13</v>
      </c>
      <c r="L259" s="10">
        <v>391.17391304347831</v>
      </c>
      <c r="M259" s="10">
        <v>15</v>
      </c>
      <c r="N259" s="10">
        <v>443.33043478260868</v>
      </c>
      <c r="O259" s="10">
        <v>17</v>
      </c>
      <c r="P259" s="10">
        <v>495.48695652173922</v>
      </c>
      <c r="Q259" s="10">
        <v>19</v>
      </c>
      <c r="R259" s="10">
        <v>625.87826086956522</v>
      </c>
      <c r="S259" s="10">
        <v>24</v>
      </c>
      <c r="T259" s="10">
        <v>521.56521739130426</v>
      </c>
      <c r="U259" s="10">
        <v>20</v>
      </c>
      <c r="V259" s="10">
        <v>672.81739130434789</v>
      </c>
      <c r="W259" s="10">
        <v>26</v>
      </c>
      <c r="X259" s="17">
        <v>781.04347826086962</v>
      </c>
      <c r="Y259" s="18">
        <v>30</v>
      </c>
      <c r="Z259" s="14">
        <v>4711.0347826086963</v>
      </c>
      <c r="AA259" s="14">
        <v>181</v>
      </c>
      <c r="AB259" s="23">
        <v>9</v>
      </c>
      <c r="AC259" s="10">
        <v>523.44830917874401</v>
      </c>
      <c r="AD259" s="10">
        <v>20.111111111111111</v>
      </c>
      <c r="AE259" s="1" t="s">
        <v>542</v>
      </c>
    </row>
    <row r="260" spans="1:31" ht="16.5" customHeight="1" x14ac:dyDescent="0.35">
      <c r="A260" s="4">
        <v>207</v>
      </c>
      <c r="B260" s="4" t="str">
        <f>LOOKUP(A260,Lookup!$A$1:$A$34,Lookup!$B$1:$B$34)</f>
        <v>PORK</v>
      </c>
      <c r="C260" s="5">
        <v>63368</v>
      </c>
      <c r="D260" s="6" t="s">
        <v>261</v>
      </c>
      <c r="E260" s="4">
        <v>2</v>
      </c>
      <c r="F260" s="10">
        <v>0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7">
        <v>0</v>
      </c>
      <c r="Y260" s="18">
        <v>0</v>
      </c>
      <c r="Z260" s="14">
        <v>0</v>
      </c>
      <c r="AA260" s="14">
        <v>0</v>
      </c>
      <c r="AB260" s="23">
        <v>0</v>
      </c>
      <c r="AC260" s="10">
        <v>0</v>
      </c>
      <c r="AD260" s="10">
        <v>0</v>
      </c>
      <c r="AE260" s="1" t="s">
        <v>540</v>
      </c>
    </row>
    <row r="261" spans="1:31" ht="16.5" customHeight="1" x14ac:dyDescent="0.35">
      <c r="A261" s="4">
        <v>207</v>
      </c>
      <c r="B261" s="4" t="str">
        <f>LOOKUP(A261,Lookup!$A$1:$A$34,Lookup!$B$1:$B$34)</f>
        <v>PORK</v>
      </c>
      <c r="C261" s="5">
        <v>63414</v>
      </c>
      <c r="D261" s="6" t="s">
        <v>262</v>
      </c>
      <c r="E261" s="4">
        <v>2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7">
        <v>0</v>
      </c>
      <c r="Y261" s="18">
        <v>0</v>
      </c>
      <c r="Z261" s="14">
        <v>0</v>
      </c>
      <c r="AA261" s="14">
        <v>0</v>
      </c>
      <c r="AB261" s="23">
        <v>0</v>
      </c>
      <c r="AC261" s="10">
        <v>0</v>
      </c>
      <c r="AD261" s="10">
        <v>0</v>
      </c>
      <c r="AE261" s="1" t="s">
        <v>540</v>
      </c>
    </row>
    <row r="262" spans="1:31" ht="16.5" customHeight="1" x14ac:dyDescent="0.35">
      <c r="A262" s="4">
        <v>207</v>
      </c>
      <c r="B262" s="4" t="str">
        <f>LOOKUP(A262,Lookup!$A$1:$A$34,Lookup!$B$1:$B$34)</f>
        <v>PORK</v>
      </c>
      <c r="C262" s="5">
        <v>63365</v>
      </c>
      <c r="D262" s="6" t="s">
        <v>258</v>
      </c>
      <c r="E262" s="4">
        <v>2</v>
      </c>
      <c r="F262" s="10">
        <v>0</v>
      </c>
      <c r="G262" s="10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76.991304347826087</v>
      </c>
      <c r="M262" s="10">
        <v>0.46600000000000003</v>
      </c>
      <c r="N262" s="10">
        <v>672.43478260869563</v>
      </c>
      <c r="O262" s="10">
        <v>4.07</v>
      </c>
      <c r="P262" s="10">
        <v>460</v>
      </c>
      <c r="Q262" s="10">
        <v>2.1160000000000001</v>
      </c>
      <c r="R262" s="10">
        <v>793.91304347826087</v>
      </c>
      <c r="S262" s="10">
        <v>3.6520000000000001</v>
      </c>
      <c r="T262" s="10">
        <v>89.565217391304344</v>
      </c>
      <c r="U262" s="10">
        <v>0.41199999999999998</v>
      </c>
      <c r="V262" s="10">
        <v>899.54782608695655</v>
      </c>
      <c r="W262" s="10">
        <v>4.1379999999999999</v>
      </c>
      <c r="X262" s="17">
        <v>899.54782608695655</v>
      </c>
      <c r="Y262" s="18">
        <v>4.1379999999999999</v>
      </c>
      <c r="Z262" s="14">
        <v>2992.4521739130432</v>
      </c>
      <c r="AA262" s="14">
        <v>14.854000000000003</v>
      </c>
      <c r="AB262" s="23">
        <v>6</v>
      </c>
      <c r="AC262" s="10">
        <v>498.7420289855072</v>
      </c>
      <c r="AD262" s="10">
        <v>2.4756666666666671</v>
      </c>
      <c r="AE262" s="1" t="s">
        <v>543</v>
      </c>
    </row>
    <row r="263" spans="1:31" ht="16.5" customHeight="1" x14ac:dyDescent="0.35">
      <c r="A263" s="4">
        <v>207</v>
      </c>
      <c r="B263" s="4" t="str">
        <f>LOOKUP(A263,Lookup!$A$1:$A$34,Lookup!$B$1:$B$34)</f>
        <v>PORK</v>
      </c>
      <c r="C263" s="5">
        <v>48771</v>
      </c>
      <c r="D263" s="6" t="s">
        <v>238</v>
      </c>
      <c r="E263" s="4">
        <v>2</v>
      </c>
      <c r="F263" s="10">
        <v>542.33043478260879</v>
      </c>
      <c r="G263" s="10">
        <v>4.798</v>
      </c>
      <c r="H263" s="10">
        <v>496.45217391304357</v>
      </c>
      <c r="I263" s="10">
        <v>4.3920000000000003</v>
      </c>
      <c r="J263" s="10">
        <v>0</v>
      </c>
      <c r="K263" s="10">
        <v>0</v>
      </c>
      <c r="L263" s="10">
        <v>779.86956521739125</v>
      </c>
      <c r="M263" s="10">
        <v>8.1539999999999999</v>
      </c>
      <c r="N263" s="10">
        <v>269.90434782608696</v>
      </c>
      <c r="O263" s="10">
        <v>2.8220000000000001</v>
      </c>
      <c r="P263" s="10">
        <v>282.91304347826087</v>
      </c>
      <c r="Q263" s="10">
        <v>2.9580000000000002</v>
      </c>
      <c r="R263" s="10">
        <v>0</v>
      </c>
      <c r="S263" s="10">
        <v>0</v>
      </c>
      <c r="T263" s="10">
        <v>466.53913043478258</v>
      </c>
      <c r="U263" s="10">
        <v>4.2759999999999998</v>
      </c>
      <c r="V263" s="10">
        <v>180.85217391304346</v>
      </c>
      <c r="W263" s="10">
        <v>1.6</v>
      </c>
      <c r="X263" s="17">
        <v>779.86956521739125</v>
      </c>
      <c r="Y263" s="18">
        <v>8.1539999999999999</v>
      </c>
      <c r="Z263" s="14">
        <v>3018.8608695652179</v>
      </c>
      <c r="AA263" s="14">
        <v>29.000000000000004</v>
      </c>
      <c r="AB263" s="23">
        <v>7</v>
      </c>
      <c r="AC263" s="10">
        <v>431.26583850931684</v>
      </c>
      <c r="AD263" s="10">
        <v>4.1428571428571432</v>
      </c>
      <c r="AE263" s="1" t="s">
        <v>543</v>
      </c>
    </row>
    <row r="264" spans="1:31" ht="16.5" customHeight="1" x14ac:dyDescent="0.35">
      <c r="A264" s="4">
        <v>207</v>
      </c>
      <c r="B264" s="4" t="str">
        <f>LOOKUP(A264,Lookup!$A$1:$A$34,Lookup!$B$1:$B$34)</f>
        <v>PORK</v>
      </c>
      <c r="C264" s="5">
        <v>34285</v>
      </c>
      <c r="D264" s="6" t="s">
        <v>226</v>
      </c>
      <c r="E264" s="4">
        <v>2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410.8608695652174</v>
      </c>
      <c r="S264" s="10">
        <v>4.9219999999999997</v>
      </c>
      <c r="T264" s="10">
        <v>0</v>
      </c>
      <c r="U264" s="10">
        <v>0</v>
      </c>
      <c r="V264" s="10">
        <v>0</v>
      </c>
      <c r="W264" s="10">
        <v>0</v>
      </c>
      <c r="X264" s="17">
        <v>410.8608695652174</v>
      </c>
      <c r="Y264" s="18">
        <v>4.9219999999999997</v>
      </c>
      <c r="Z264" s="14">
        <v>410.8608695652174</v>
      </c>
      <c r="AA264" s="14">
        <v>4.9219999999999997</v>
      </c>
      <c r="AB264" s="23">
        <v>1</v>
      </c>
      <c r="AC264" s="10">
        <v>410.8608695652174</v>
      </c>
      <c r="AD264" s="10">
        <v>4.9219999999999997</v>
      </c>
      <c r="AE264" s="1" t="s">
        <v>541</v>
      </c>
    </row>
    <row r="265" spans="1:31" ht="16.5" customHeight="1" x14ac:dyDescent="0.35">
      <c r="A265" s="4">
        <v>207</v>
      </c>
      <c r="B265" s="4" t="str">
        <f>LOOKUP(A265,Lookup!$A$1:$A$34,Lookup!$B$1:$B$34)</f>
        <v>PORK</v>
      </c>
      <c r="C265" s="5">
        <v>12325</v>
      </c>
      <c r="D265" s="6" t="s">
        <v>209</v>
      </c>
      <c r="E265" s="4">
        <v>2</v>
      </c>
      <c r="F265" s="10">
        <v>115.31304347826088</v>
      </c>
      <c r="G265" s="10">
        <v>0.69799999999999995</v>
      </c>
      <c r="H265" s="10">
        <v>851.80869565217381</v>
      </c>
      <c r="I265" s="10">
        <v>5.1559999999999997</v>
      </c>
      <c r="J265" s="10">
        <v>323.47826086956525</v>
      </c>
      <c r="K265" s="10">
        <v>1.958</v>
      </c>
      <c r="L265" s="10">
        <v>299.35652173913041</v>
      </c>
      <c r="M265" s="10">
        <v>1.8120000000000001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7">
        <v>851.80869565217381</v>
      </c>
      <c r="Y265" s="18">
        <v>5.1559999999999997</v>
      </c>
      <c r="Z265" s="14">
        <v>1589.9565217391303</v>
      </c>
      <c r="AA265" s="14">
        <v>9.6239999999999988</v>
      </c>
      <c r="AB265" s="23">
        <v>4</v>
      </c>
      <c r="AC265" s="10">
        <v>397.48913043478257</v>
      </c>
      <c r="AD265" s="10">
        <v>2.4059999999999997</v>
      </c>
      <c r="AE265" s="1" t="s">
        <v>543</v>
      </c>
    </row>
    <row r="266" spans="1:31" ht="16.5" customHeight="1" x14ac:dyDescent="0.35">
      <c r="A266" s="4">
        <v>207</v>
      </c>
      <c r="B266" s="4" t="str">
        <f>LOOKUP(A266,Lookup!$A$1:$A$34,Lookup!$B$1:$B$34)</f>
        <v>PORK</v>
      </c>
      <c r="C266" s="5">
        <v>54630</v>
      </c>
      <c r="D266" s="6" t="s">
        <v>245</v>
      </c>
      <c r="E266" s="4">
        <v>2</v>
      </c>
      <c r="F266" s="10">
        <v>0</v>
      </c>
      <c r="G266" s="10">
        <v>0</v>
      </c>
      <c r="H266" s="10">
        <v>0</v>
      </c>
      <c r="I266" s="10">
        <v>0</v>
      </c>
      <c r="J266" s="10">
        <v>260.85217391304349</v>
      </c>
      <c r="K266" s="10">
        <v>2</v>
      </c>
      <c r="L266" s="10">
        <v>912.99130434782614</v>
      </c>
      <c r="M266" s="10">
        <v>6</v>
      </c>
      <c r="N266" s="10">
        <v>313.02608695652174</v>
      </c>
      <c r="O266" s="10">
        <v>2</v>
      </c>
      <c r="P266" s="10">
        <v>156.51304347826087</v>
      </c>
      <c r="Q266" s="10">
        <v>1</v>
      </c>
      <c r="R266" s="10">
        <v>156.51304347826087</v>
      </c>
      <c r="S266" s="10">
        <v>1</v>
      </c>
      <c r="T266" s="10">
        <v>0</v>
      </c>
      <c r="U266" s="10">
        <v>0</v>
      </c>
      <c r="V266" s="10">
        <v>156.51304347826087</v>
      </c>
      <c r="W266" s="10">
        <v>1</v>
      </c>
      <c r="X266" s="17">
        <v>912.99130434782614</v>
      </c>
      <c r="Y266" s="18">
        <v>6</v>
      </c>
      <c r="Z266" s="14">
        <v>1956.4086956521742</v>
      </c>
      <c r="AA266" s="14">
        <v>13</v>
      </c>
      <c r="AB266" s="23">
        <v>6</v>
      </c>
      <c r="AC266" s="10">
        <v>326.06811594202901</v>
      </c>
      <c r="AD266" s="10">
        <v>2.1666666666666665</v>
      </c>
      <c r="AE266" s="1" t="s">
        <v>543</v>
      </c>
    </row>
    <row r="267" spans="1:31" ht="16.5" customHeight="1" x14ac:dyDescent="0.35">
      <c r="A267" s="4">
        <v>207</v>
      </c>
      <c r="B267" s="4" t="str">
        <f>LOOKUP(A267,Lookup!$A$1:$A$34,Lookup!$B$1:$B$34)</f>
        <v>PORK</v>
      </c>
      <c r="C267" s="5">
        <v>39397</v>
      </c>
      <c r="D267" s="6" t="s">
        <v>234</v>
      </c>
      <c r="E267" s="4">
        <v>2</v>
      </c>
      <c r="F267" s="10">
        <v>355.84347826086957</v>
      </c>
      <c r="G267" s="10">
        <v>4.1859999999999999</v>
      </c>
      <c r="H267" s="10">
        <v>188.33043478260871</v>
      </c>
      <c r="I267" s="10">
        <v>2.1659999999999999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7">
        <v>355.84347826086957</v>
      </c>
      <c r="Y267" s="18">
        <v>4.1859999999999999</v>
      </c>
      <c r="Z267" s="14">
        <v>544.17391304347825</v>
      </c>
      <c r="AA267" s="14">
        <v>6.3520000000000003</v>
      </c>
      <c r="AB267" s="23">
        <v>2</v>
      </c>
      <c r="AC267" s="10">
        <v>272.08695652173913</v>
      </c>
      <c r="AD267" s="10">
        <v>3.1760000000000002</v>
      </c>
      <c r="AE267" s="1" t="s">
        <v>541</v>
      </c>
    </row>
    <row r="268" spans="1:31" ht="16.5" customHeight="1" x14ac:dyDescent="0.35">
      <c r="A268" s="4">
        <v>207</v>
      </c>
      <c r="B268" s="4" t="str">
        <f>LOOKUP(A268,Lookup!$A$1:$A$34,Lookup!$B$1:$B$34)</f>
        <v>PORK</v>
      </c>
      <c r="C268" s="5">
        <v>34232</v>
      </c>
      <c r="D268" s="6" t="s">
        <v>222</v>
      </c>
      <c r="E268" s="4">
        <v>2</v>
      </c>
      <c r="F268" s="10">
        <v>0</v>
      </c>
      <c r="G268" s="10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216.91304347826087</v>
      </c>
      <c r="Q268" s="10">
        <v>2.7719999999999998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7">
        <v>216.91304347826087</v>
      </c>
      <c r="Y268" s="18">
        <v>2.7719999999999998</v>
      </c>
      <c r="Z268" s="14">
        <v>216.91304347826087</v>
      </c>
      <c r="AA268" s="14">
        <v>2.7719999999999998</v>
      </c>
      <c r="AB268" s="23">
        <v>1</v>
      </c>
      <c r="AC268" s="10">
        <v>216.91304347826087</v>
      </c>
      <c r="AD268" s="10">
        <v>2.7719999999999998</v>
      </c>
      <c r="AE268" s="1" t="s">
        <v>541</v>
      </c>
    </row>
    <row r="269" spans="1:31" ht="16.5" customHeight="1" x14ac:dyDescent="0.35">
      <c r="A269" s="4">
        <v>207</v>
      </c>
      <c r="B269" s="4" t="str">
        <f>LOOKUP(A269,Lookup!$A$1:$A$34,Lookup!$B$1:$B$34)</f>
        <v>PORK</v>
      </c>
      <c r="C269" s="5">
        <v>64126</v>
      </c>
      <c r="D269" s="6" t="s">
        <v>267</v>
      </c>
      <c r="E269" s="4">
        <v>2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7">
        <v>0</v>
      </c>
      <c r="Y269" s="18">
        <v>0</v>
      </c>
      <c r="Z269" s="14">
        <v>0</v>
      </c>
      <c r="AA269" s="14">
        <v>0</v>
      </c>
      <c r="AB269" s="23">
        <v>0</v>
      </c>
      <c r="AC269" s="10">
        <v>0</v>
      </c>
      <c r="AD269" s="10">
        <v>0</v>
      </c>
      <c r="AE269" s="1" t="s">
        <v>540</v>
      </c>
    </row>
    <row r="270" spans="1:31" ht="16.5" customHeight="1" x14ac:dyDescent="0.35">
      <c r="A270" s="4">
        <v>207</v>
      </c>
      <c r="B270" s="4" t="str">
        <f>LOOKUP(A270,Lookup!$A$1:$A$34,Lookup!$B$1:$B$34)</f>
        <v>PORK</v>
      </c>
      <c r="C270" s="5">
        <v>34304</v>
      </c>
      <c r="D270" s="6" t="s">
        <v>230</v>
      </c>
      <c r="E270" s="4">
        <v>2</v>
      </c>
      <c r="F270" s="10">
        <v>63.26956521739131</v>
      </c>
      <c r="G270" s="10">
        <v>3.64</v>
      </c>
      <c r="H270" s="10">
        <v>53.330434782608691</v>
      </c>
      <c r="I270" s="10">
        <v>3.0680000000000001</v>
      </c>
      <c r="J270" s="10">
        <v>489.47826086956519</v>
      </c>
      <c r="K270" s="10">
        <v>28.158000000000001</v>
      </c>
      <c r="L270" s="10">
        <v>44.669565217391309</v>
      </c>
      <c r="M270" s="10">
        <v>2.57</v>
      </c>
      <c r="N270" s="10">
        <v>571.86956521739125</v>
      </c>
      <c r="O270" s="10">
        <v>32.898000000000003</v>
      </c>
      <c r="P270" s="10">
        <v>23.391304347826086</v>
      </c>
      <c r="Q270" s="10">
        <v>1.3460000000000001</v>
      </c>
      <c r="R270" s="10">
        <v>129.63478260869564</v>
      </c>
      <c r="S270" s="10">
        <v>7.4580000000000002</v>
      </c>
      <c r="T270" s="10">
        <v>274.5130434782609</v>
      </c>
      <c r="U270" s="10">
        <v>15.792999999999999</v>
      </c>
      <c r="V270" s="10">
        <v>15.086956521739133</v>
      </c>
      <c r="W270" s="10">
        <v>0.86799999999999999</v>
      </c>
      <c r="X270" s="17">
        <v>571.86956521739125</v>
      </c>
      <c r="Y270" s="18">
        <v>32.898000000000003</v>
      </c>
      <c r="Z270" s="14">
        <v>1665.2434782608693</v>
      </c>
      <c r="AA270" s="14">
        <v>95.799000000000007</v>
      </c>
      <c r="AB270" s="23">
        <v>9</v>
      </c>
      <c r="AC270" s="10">
        <v>185.0270531400966</v>
      </c>
      <c r="AD270" s="10">
        <v>10.644333333333334</v>
      </c>
      <c r="AE270" s="1" t="s">
        <v>542</v>
      </c>
    </row>
    <row r="271" spans="1:31" ht="16.5" customHeight="1" x14ac:dyDescent="0.35">
      <c r="A271" s="4">
        <v>207</v>
      </c>
      <c r="B271" s="4" t="str">
        <f>LOOKUP(A271,Lookup!$A$1:$A$34,Lookup!$B$1:$B$34)</f>
        <v>PORK</v>
      </c>
      <c r="C271" s="5">
        <v>99990207</v>
      </c>
      <c r="D271" s="6" t="s">
        <v>268</v>
      </c>
      <c r="E271" s="4">
        <v>2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7">
        <v>0</v>
      </c>
      <c r="Y271" s="18">
        <v>0</v>
      </c>
      <c r="Z271" s="14">
        <v>0</v>
      </c>
      <c r="AA271" s="14">
        <v>0</v>
      </c>
      <c r="AB271" s="23">
        <v>0</v>
      </c>
      <c r="AC271" s="10">
        <v>0</v>
      </c>
      <c r="AD271" s="10">
        <v>0</v>
      </c>
      <c r="AE271" s="1" t="s">
        <v>540</v>
      </c>
    </row>
    <row r="272" spans="1:31" ht="16.5" customHeight="1" x14ac:dyDescent="0.35">
      <c r="A272" s="4">
        <v>210</v>
      </c>
      <c r="B272" s="4" t="str">
        <f>LOOKUP(A272,Lookup!$A$1:$A$34,Lookup!$B$1:$B$34)</f>
        <v>INGREDIENTS</v>
      </c>
      <c r="C272" s="5">
        <v>2749</v>
      </c>
      <c r="D272" s="6" t="s">
        <v>269</v>
      </c>
      <c r="E272" s="4">
        <v>2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7">
        <v>0</v>
      </c>
      <c r="Y272" s="18">
        <v>0</v>
      </c>
      <c r="Z272" s="14">
        <v>0</v>
      </c>
      <c r="AA272" s="14">
        <v>0</v>
      </c>
      <c r="AB272" s="23">
        <v>0</v>
      </c>
      <c r="AC272" s="10">
        <v>0</v>
      </c>
      <c r="AD272" s="10">
        <v>0</v>
      </c>
      <c r="AE272" s="1" t="s">
        <v>540</v>
      </c>
    </row>
    <row r="273" spans="1:31" ht="16.5" customHeight="1" x14ac:dyDescent="0.35">
      <c r="A273" s="4">
        <v>210</v>
      </c>
      <c r="B273" s="4" t="str">
        <f>LOOKUP(A273,Lookup!$A$1:$A$34,Lookup!$B$1:$B$34)</f>
        <v>INGREDIENTS</v>
      </c>
      <c r="C273" s="5">
        <v>11140</v>
      </c>
      <c r="D273" s="6" t="s">
        <v>270</v>
      </c>
      <c r="E273" s="4">
        <v>2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7">
        <v>0</v>
      </c>
      <c r="Y273" s="18">
        <v>0</v>
      </c>
      <c r="Z273" s="14">
        <v>0</v>
      </c>
      <c r="AA273" s="14">
        <v>0</v>
      </c>
      <c r="AB273" s="23">
        <v>0</v>
      </c>
      <c r="AC273" s="10">
        <v>0</v>
      </c>
      <c r="AD273" s="10">
        <v>0</v>
      </c>
      <c r="AE273" s="1" t="s">
        <v>540</v>
      </c>
    </row>
    <row r="274" spans="1:31" ht="16.5" customHeight="1" x14ac:dyDescent="0.35">
      <c r="A274" s="4">
        <v>210</v>
      </c>
      <c r="B274" s="4" t="str">
        <f>LOOKUP(A274,Lookup!$A$1:$A$34,Lookup!$B$1:$B$34)</f>
        <v>INGREDIENTS</v>
      </c>
      <c r="C274" s="5">
        <v>12135</v>
      </c>
      <c r="D274" s="6" t="s">
        <v>271</v>
      </c>
      <c r="E274" s="4">
        <v>2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7">
        <v>0</v>
      </c>
      <c r="Y274" s="18">
        <v>0</v>
      </c>
      <c r="Z274" s="14">
        <v>0</v>
      </c>
      <c r="AA274" s="14">
        <v>0</v>
      </c>
      <c r="AB274" s="23">
        <v>0</v>
      </c>
      <c r="AC274" s="10">
        <v>0</v>
      </c>
      <c r="AD274" s="10">
        <v>0</v>
      </c>
      <c r="AE274" s="1" t="s">
        <v>540</v>
      </c>
    </row>
    <row r="275" spans="1:31" ht="16.5" customHeight="1" x14ac:dyDescent="0.35">
      <c r="A275" s="4">
        <v>210</v>
      </c>
      <c r="B275" s="4" t="str">
        <f>LOOKUP(A275,Lookup!$A$1:$A$34,Lookup!$B$1:$B$34)</f>
        <v>INGREDIENTS</v>
      </c>
      <c r="C275" s="5">
        <v>38903</v>
      </c>
      <c r="D275" s="6" t="s">
        <v>272</v>
      </c>
      <c r="E275" s="4">
        <v>2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7">
        <v>0</v>
      </c>
      <c r="Y275" s="18">
        <v>0</v>
      </c>
      <c r="Z275" s="14">
        <v>0</v>
      </c>
      <c r="AA275" s="14">
        <v>0</v>
      </c>
      <c r="AB275" s="23">
        <v>0</v>
      </c>
      <c r="AC275" s="10">
        <v>0</v>
      </c>
      <c r="AD275" s="10">
        <v>0</v>
      </c>
      <c r="AE275" s="1" t="s">
        <v>540</v>
      </c>
    </row>
    <row r="276" spans="1:31" ht="16.5" customHeight="1" x14ac:dyDescent="0.35">
      <c r="A276" s="4">
        <v>210</v>
      </c>
      <c r="B276" s="4" t="str">
        <f>LOOKUP(A276,Lookup!$A$1:$A$34,Lookup!$B$1:$B$34)</f>
        <v>INGREDIENTS</v>
      </c>
      <c r="C276" s="5">
        <v>39402</v>
      </c>
      <c r="D276" s="6" t="s">
        <v>273</v>
      </c>
      <c r="E276" s="4">
        <v>2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7">
        <v>0</v>
      </c>
      <c r="Y276" s="18">
        <v>0</v>
      </c>
      <c r="Z276" s="14">
        <v>0</v>
      </c>
      <c r="AA276" s="14">
        <v>0</v>
      </c>
      <c r="AB276" s="23">
        <v>0</v>
      </c>
      <c r="AC276" s="10">
        <v>0</v>
      </c>
      <c r="AD276" s="10">
        <v>0</v>
      </c>
      <c r="AE276" s="1" t="s">
        <v>540</v>
      </c>
    </row>
    <row r="277" spans="1:31" ht="16.5" customHeight="1" x14ac:dyDescent="0.35">
      <c r="A277" s="4">
        <v>210</v>
      </c>
      <c r="B277" s="4" t="str">
        <f>LOOKUP(A277,Lookup!$A$1:$A$34,Lookup!$B$1:$B$34)</f>
        <v>INGREDIENTS</v>
      </c>
      <c r="C277" s="5">
        <v>39412</v>
      </c>
      <c r="D277" s="6" t="s">
        <v>274</v>
      </c>
      <c r="E277" s="4">
        <v>2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7">
        <v>0</v>
      </c>
      <c r="Y277" s="18">
        <v>0</v>
      </c>
      <c r="Z277" s="14">
        <v>0</v>
      </c>
      <c r="AA277" s="14">
        <v>0</v>
      </c>
      <c r="AB277" s="23">
        <v>0</v>
      </c>
      <c r="AC277" s="10">
        <v>0</v>
      </c>
      <c r="AD277" s="10">
        <v>0</v>
      </c>
      <c r="AE277" s="1" t="s">
        <v>540</v>
      </c>
    </row>
    <row r="278" spans="1:31" ht="16.5" customHeight="1" x14ac:dyDescent="0.35">
      <c r="A278" s="4">
        <v>210</v>
      </c>
      <c r="B278" s="4" t="str">
        <f>LOOKUP(A278,Lookup!$A$1:$A$34,Lookup!$B$1:$B$34)</f>
        <v>INGREDIENTS</v>
      </c>
      <c r="C278" s="5">
        <v>39414</v>
      </c>
      <c r="D278" s="6" t="s">
        <v>275</v>
      </c>
      <c r="E278" s="4">
        <v>2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7">
        <v>0</v>
      </c>
      <c r="Y278" s="18">
        <v>0</v>
      </c>
      <c r="Z278" s="14">
        <v>0</v>
      </c>
      <c r="AA278" s="14">
        <v>0</v>
      </c>
      <c r="AB278" s="23">
        <v>0</v>
      </c>
      <c r="AC278" s="10">
        <v>0</v>
      </c>
      <c r="AD278" s="10">
        <v>0</v>
      </c>
      <c r="AE278" s="1" t="s">
        <v>540</v>
      </c>
    </row>
    <row r="279" spans="1:31" ht="16.5" customHeight="1" x14ac:dyDescent="0.35">
      <c r="A279" s="4">
        <v>210</v>
      </c>
      <c r="B279" s="4" t="str">
        <f>LOOKUP(A279,Lookup!$A$1:$A$34,Lookup!$B$1:$B$34)</f>
        <v>INGREDIENTS</v>
      </c>
      <c r="C279" s="5">
        <v>39415</v>
      </c>
      <c r="D279" s="6" t="s">
        <v>276</v>
      </c>
      <c r="E279" s="4">
        <v>2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7">
        <v>0</v>
      </c>
      <c r="Y279" s="18">
        <v>0</v>
      </c>
      <c r="Z279" s="14">
        <v>0</v>
      </c>
      <c r="AA279" s="14">
        <v>0</v>
      </c>
      <c r="AB279" s="23">
        <v>0</v>
      </c>
      <c r="AC279" s="10">
        <v>0</v>
      </c>
      <c r="AD279" s="10">
        <v>0</v>
      </c>
      <c r="AE279" s="1" t="s">
        <v>540</v>
      </c>
    </row>
    <row r="280" spans="1:31" ht="16.5" customHeight="1" x14ac:dyDescent="0.35">
      <c r="A280" s="4">
        <v>210</v>
      </c>
      <c r="B280" s="4" t="str">
        <f>LOOKUP(A280,Lookup!$A$1:$A$34,Lookup!$B$1:$B$34)</f>
        <v>INGREDIENTS</v>
      </c>
      <c r="C280" s="5">
        <v>39417</v>
      </c>
      <c r="D280" s="6" t="s">
        <v>277</v>
      </c>
      <c r="E280" s="4">
        <v>2</v>
      </c>
      <c r="F280" s="10">
        <v>0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7">
        <v>0</v>
      </c>
      <c r="Y280" s="18">
        <v>0</v>
      </c>
      <c r="Z280" s="14">
        <v>0</v>
      </c>
      <c r="AA280" s="14">
        <v>0</v>
      </c>
      <c r="AB280" s="23">
        <v>0</v>
      </c>
      <c r="AC280" s="10">
        <v>0</v>
      </c>
      <c r="AD280" s="10">
        <v>0</v>
      </c>
      <c r="AE280" s="1" t="s">
        <v>540</v>
      </c>
    </row>
    <row r="281" spans="1:31" ht="16.5" customHeight="1" x14ac:dyDescent="0.35">
      <c r="A281" s="4">
        <v>210</v>
      </c>
      <c r="B281" s="4" t="str">
        <f>LOOKUP(A281,Lookup!$A$1:$A$34,Lookup!$B$1:$B$34)</f>
        <v>INGREDIENTS</v>
      </c>
      <c r="C281" s="5">
        <v>39495</v>
      </c>
      <c r="D281" s="6" t="s">
        <v>278</v>
      </c>
      <c r="E281" s="4">
        <v>2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7">
        <v>0</v>
      </c>
      <c r="Y281" s="18">
        <v>0</v>
      </c>
      <c r="Z281" s="14">
        <v>0</v>
      </c>
      <c r="AA281" s="14">
        <v>0</v>
      </c>
      <c r="AB281" s="23">
        <v>0</v>
      </c>
      <c r="AC281" s="10">
        <v>0</v>
      </c>
      <c r="AD281" s="10">
        <v>0</v>
      </c>
      <c r="AE281" s="1" t="s">
        <v>540</v>
      </c>
    </row>
    <row r="282" spans="1:31" ht="16.5" customHeight="1" x14ac:dyDescent="0.35">
      <c r="A282" s="4">
        <v>210</v>
      </c>
      <c r="B282" s="4" t="str">
        <f>LOOKUP(A282,Lookup!$A$1:$A$34,Lookup!$B$1:$B$34)</f>
        <v>INGREDIENTS</v>
      </c>
      <c r="C282" s="5">
        <v>39496</v>
      </c>
      <c r="D282" s="6" t="s">
        <v>279</v>
      </c>
      <c r="E282" s="4">
        <v>2</v>
      </c>
      <c r="F282" s="10">
        <v>0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7">
        <v>0</v>
      </c>
      <c r="Y282" s="18">
        <v>0</v>
      </c>
      <c r="Z282" s="14">
        <v>0</v>
      </c>
      <c r="AA282" s="14">
        <v>0</v>
      </c>
      <c r="AB282" s="23">
        <v>0</v>
      </c>
      <c r="AC282" s="10">
        <v>0</v>
      </c>
      <c r="AD282" s="10">
        <v>0</v>
      </c>
      <c r="AE282" s="1" t="s">
        <v>540</v>
      </c>
    </row>
    <row r="283" spans="1:31" ht="16.5" customHeight="1" x14ac:dyDescent="0.35">
      <c r="A283" s="4">
        <v>210</v>
      </c>
      <c r="B283" s="4" t="str">
        <f>LOOKUP(A283,Lookup!$A$1:$A$34,Lookup!$B$1:$B$34)</f>
        <v>INGREDIENTS</v>
      </c>
      <c r="C283" s="5">
        <v>39500</v>
      </c>
      <c r="D283" s="6" t="s">
        <v>280</v>
      </c>
      <c r="E283" s="4">
        <v>2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7">
        <v>0</v>
      </c>
      <c r="Y283" s="18">
        <v>0</v>
      </c>
      <c r="Z283" s="14">
        <v>0</v>
      </c>
      <c r="AA283" s="14">
        <v>0</v>
      </c>
      <c r="AB283" s="23">
        <v>0</v>
      </c>
      <c r="AC283" s="10">
        <v>0</v>
      </c>
      <c r="AD283" s="10">
        <v>0</v>
      </c>
      <c r="AE283" s="1" t="s">
        <v>540</v>
      </c>
    </row>
    <row r="284" spans="1:31" ht="16.5" customHeight="1" x14ac:dyDescent="0.35">
      <c r="A284" s="4">
        <v>210</v>
      </c>
      <c r="B284" s="4" t="str">
        <f>LOOKUP(A284,Lookup!$A$1:$A$34,Lookup!$B$1:$B$34)</f>
        <v>INGREDIENTS</v>
      </c>
      <c r="C284" s="5">
        <v>39597</v>
      </c>
      <c r="D284" s="6" t="s">
        <v>281</v>
      </c>
      <c r="E284" s="4">
        <v>2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7">
        <v>0</v>
      </c>
      <c r="Y284" s="18">
        <v>0</v>
      </c>
      <c r="Z284" s="14">
        <v>0</v>
      </c>
      <c r="AA284" s="14">
        <v>0</v>
      </c>
      <c r="AB284" s="23">
        <v>0</v>
      </c>
      <c r="AC284" s="10">
        <v>0</v>
      </c>
      <c r="AD284" s="10">
        <v>0</v>
      </c>
      <c r="AE284" s="1" t="s">
        <v>540</v>
      </c>
    </row>
    <row r="285" spans="1:31" ht="16.5" customHeight="1" x14ac:dyDescent="0.35">
      <c r="A285" s="4">
        <v>210</v>
      </c>
      <c r="B285" s="4" t="str">
        <f>LOOKUP(A285,Lookup!$A$1:$A$34,Lookup!$B$1:$B$34)</f>
        <v>INGREDIENTS</v>
      </c>
      <c r="C285" s="5">
        <v>39737</v>
      </c>
      <c r="D285" s="6" t="s">
        <v>282</v>
      </c>
      <c r="E285" s="4">
        <v>2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7">
        <v>0</v>
      </c>
      <c r="Y285" s="18">
        <v>0</v>
      </c>
      <c r="Z285" s="14">
        <v>0</v>
      </c>
      <c r="AA285" s="14">
        <v>0</v>
      </c>
      <c r="AB285" s="23">
        <v>0</v>
      </c>
      <c r="AC285" s="10">
        <v>0</v>
      </c>
      <c r="AD285" s="10">
        <v>0</v>
      </c>
      <c r="AE285" s="1" t="s">
        <v>540</v>
      </c>
    </row>
    <row r="286" spans="1:31" ht="16.5" customHeight="1" x14ac:dyDescent="0.35">
      <c r="A286" s="4">
        <v>210</v>
      </c>
      <c r="B286" s="4" t="str">
        <f>LOOKUP(A286,Lookup!$A$1:$A$34,Lookup!$B$1:$B$34)</f>
        <v>INGREDIENTS</v>
      </c>
      <c r="C286" s="5">
        <v>39742</v>
      </c>
      <c r="D286" s="6" t="s">
        <v>283</v>
      </c>
      <c r="E286" s="4">
        <v>2</v>
      </c>
      <c r="F286" s="10">
        <v>0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7">
        <v>0</v>
      </c>
      <c r="Y286" s="18">
        <v>0</v>
      </c>
      <c r="Z286" s="14">
        <v>0</v>
      </c>
      <c r="AA286" s="14">
        <v>0</v>
      </c>
      <c r="AB286" s="23">
        <v>0</v>
      </c>
      <c r="AC286" s="10">
        <v>0</v>
      </c>
      <c r="AD286" s="10">
        <v>0</v>
      </c>
      <c r="AE286" s="1" t="s">
        <v>540</v>
      </c>
    </row>
    <row r="287" spans="1:31" ht="16.5" customHeight="1" x14ac:dyDescent="0.35">
      <c r="A287" s="4">
        <v>210</v>
      </c>
      <c r="B287" s="4" t="str">
        <f>LOOKUP(A287,Lookup!$A$1:$A$34,Lookup!$B$1:$B$34)</f>
        <v>INGREDIENTS</v>
      </c>
      <c r="C287" s="5">
        <v>39743</v>
      </c>
      <c r="D287" s="6" t="s">
        <v>284</v>
      </c>
      <c r="E287" s="4">
        <v>2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7">
        <v>0</v>
      </c>
      <c r="Y287" s="18">
        <v>0</v>
      </c>
      <c r="Z287" s="14">
        <v>0</v>
      </c>
      <c r="AA287" s="14">
        <v>0</v>
      </c>
      <c r="AB287" s="23">
        <v>0</v>
      </c>
      <c r="AC287" s="10">
        <v>0</v>
      </c>
      <c r="AD287" s="10">
        <v>0</v>
      </c>
      <c r="AE287" s="1" t="s">
        <v>540</v>
      </c>
    </row>
    <row r="288" spans="1:31" ht="16.5" customHeight="1" x14ac:dyDescent="0.35">
      <c r="A288" s="4">
        <v>210</v>
      </c>
      <c r="B288" s="4" t="str">
        <f>LOOKUP(A288,Lookup!$A$1:$A$34,Lookup!$B$1:$B$34)</f>
        <v>INGREDIENTS</v>
      </c>
      <c r="C288" s="5">
        <v>40199</v>
      </c>
      <c r="D288" s="6" t="s">
        <v>285</v>
      </c>
      <c r="E288" s="4">
        <v>2</v>
      </c>
      <c r="F288" s="10">
        <v>0</v>
      </c>
      <c r="G288" s="10">
        <v>0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  <c r="X288" s="17">
        <v>0</v>
      </c>
      <c r="Y288" s="18">
        <v>0</v>
      </c>
      <c r="Z288" s="14">
        <v>0</v>
      </c>
      <c r="AA288" s="14">
        <v>0</v>
      </c>
      <c r="AB288" s="23">
        <v>0</v>
      </c>
      <c r="AC288" s="10">
        <v>0</v>
      </c>
      <c r="AD288" s="10">
        <v>0</v>
      </c>
      <c r="AE288" s="1" t="s">
        <v>540</v>
      </c>
    </row>
    <row r="289" spans="1:31" ht="16.5" customHeight="1" x14ac:dyDescent="0.35">
      <c r="A289" s="4">
        <v>210</v>
      </c>
      <c r="B289" s="4" t="str">
        <f>LOOKUP(A289,Lookup!$A$1:$A$34,Lookup!$B$1:$B$34)</f>
        <v>INGREDIENTS</v>
      </c>
      <c r="C289" s="5">
        <v>40200</v>
      </c>
      <c r="D289" s="6" t="s">
        <v>286</v>
      </c>
      <c r="E289" s="4">
        <v>2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7">
        <v>0</v>
      </c>
      <c r="Y289" s="18">
        <v>0</v>
      </c>
      <c r="Z289" s="14">
        <v>0</v>
      </c>
      <c r="AA289" s="14">
        <v>0</v>
      </c>
      <c r="AB289" s="23">
        <v>0</v>
      </c>
      <c r="AC289" s="10">
        <v>0</v>
      </c>
      <c r="AD289" s="10">
        <v>0</v>
      </c>
      <c r="AE289" s="1" t="s">
        <v>540</v>
      </c>
    </row>
    <row r="290" spans="1:31" ht="16.5" customHeight="1" x14ac:dyDescent="0.35">
      <c r="A290" s="4">
        <v>210</v>
      </c>
      <c r="B290" s="4" t="str">
        <f>LOOKUP(A290,Lookup!$A$1:$A$34,Lookup!$B$1:$B$34)</f>
        <v>INGREDIENTS</v>
      </c>
      <c r="C290" s="5">
        <v>40208</v>
      </c>
      <c r="D290" s="6" t="s">
        <v>287</v>
      </c>
      <c r="E290" s="4">
        <v>2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7">
        <v>0</v>
      </c>
      <c r="Y290" s="18">
        <v>0</v>
      </c>
      <c r="Z290" s="14">
        <v>0</v>
      </c>
      <c r="AA290" s="14">
        <v>0</v>
      </c>
      <c r="AB290" s="23">
        <v>0</v>
      </c>
      <c r="AC290" s="10">
        <v>0</v>
      </c>
      <c r="AD290" s="10">
        <v>0</v>
      </c>
      <c r="AE290" s="1" t="s">
        <v>540</v>
      </c>
    </row>
    <row r="291" spans="1:31" ht="16.5" customHeight="1" x14ac:dyDescent="0.35">
      <c r="A291" s="4">
        <v>210</v>
      </c>
      <c r="B291" s="4" t="str">
        <f>LOOKUP(A291,Lookup!$A$1:$A$34,Lookup!$B$1:$B$34)</f>
        <v>INGREDIENTS</v>
      </c>
      <c r="C291" s="5">
        <v>40209</v>
      </c>
      <c r="D291" s="6" t="s">
        <v>288</v>
      </c>
      <c r="E291" s="4">
        <v>2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0">
        <v>0</v>
      </c>
      <c r="W291" s="10">
        <v>0</v>
      </c>
      <c r="X291" s="17">
        <v>0</v>
      </c>
      <c r="Y291" s="18">
        <v>0</v>
      </c>
      <c r="Z291" s="14">
        <v>0</v>
      </c>
      <c r="AA291" s="14">
        <v>0</v>
      </c>
      <c r="AB291" s="23">
        <v>0</v>
      </c>
      <c r="AC291" s="10">
        <v>0</v>
      </c>
      <c r="AD291" s="10">
        <v>0</v>
      </c>
      <c r="AE291" s="1" t="s">
        <v>540</v>
      </c>
    </row>
    <row r="292" spans="1:31" ht="16.5" customHeight="1" x14ac:dyDescent="0.35">
      <c r="A292" s="4">
        <v>210</v>
      </c>
      <c r="B292" s="4" t="str">
        <f>LOOKUP(A292,Lookup!$A$1:$A$34,Lookup!$B$1:$B$34)</f>
        <v>INGREDIENTS</v>
      </c>
      <c r="C292" s="5">
        <v>40253</v>
      </c>
      <c r="D292" s="6" t="s">
        <v>289</v>
      </c>
      <c r="E292" s="4">
        <v>2</v>
      </c>
      <c r="F292" s="10">
        <v>0</v>
      </c>
      <c r="G292" s="10">
        <v>0</v>
      </c>
      <c r="H292" s="10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7">
        <v>0</v>
      </c>
      <c r="Y292" s="18">
        <v>0</v>
      </c>
      <c r="Z292" s="14">
        <v>0</v>
      </c>
      <c r="AA292" s="14">
        <v>0</v>
      </c>
      <c r="AB292" s="23">
        <v>0</v>
      </c>
      <c r="AC292" s="10">
        <v>0</v>
      </c>
      <c r="AD292" s="10">
        <v>0</v>
      </c>
      <c r="AE292" s="1" t="s">
        <v>540</v>
      </c>
    </row>
    <row r="293" spans="1:31" ht="16.5" customHeight="1" x14ac:dyDescent="0.35">
      <c r="A293" s="4">
        <v>210</v>
      </c>
      <c r="B293" s="4" t="str">
        <f>LOOKUP(A293,Lookup!$A$1:$A$34,Lookup!$B$1:$B$34)</f>
        <v>INGREDIENTS</v>
      </c>
      <c r="C293" s="5">
        <v>40361</v>
      </c>
      <c r="D293" s="6" t="s">
        <v>290</v>
      </c>
      <c r="E293" s="4">
        <v>2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7">
        <v>0</v>
      </c>
      <c r="Y293" s="18">
        <v>0</v>
      </c>
      <c r="Z293" s="14">
        <v>0</v>
      </c>
      <c r="AA293" s="14">
        <v>0</v>
      </c>
      <c r="AB293" s="23">
        <v>0</v>
      </c>
      <c r="AC293" s="10">
        <v>0</v>
      </c>
      <c r="AD293" s="10">
        <v>0</v>
      </c>
      <c r="AE293" s="1" t="s">
        <v>540</v>
      </c>
    </row>
    <row r="294" spans="1:31" ht="16.5" customHeight="1" x14ac:dyDescent="0.35">
      <c r="A294" s="4">
        <v>210</v>
      </c>
      <c r="B294" s="4" t="str">
        <f>LOOKUP(A294,Lookup!$A$1:$A$34,Lookup!$B$1:$B$34)</f>
        <v>INGREDIENTS</v>
      </c>
      <c r="C294" s="5">
        <v>41084</v>
      </c>
      <c r="D294" s="6" t="s">
        <v>291</v>
      </c>
      <c r="E294" s="4">
        <v>2</v>
      </c>
      <c r="F294" s="10">
        <v>0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7">
        <v>0</v>
      </c>
      <c r="Y294" s="18">
        <v>0</v>
      </c>
      <c r="Z294" s="14">
        <v>0</v>
      </c>
      <c r="AA294" s="14">
        <v>0</v>
      </c>
      <c r="AB294" s="23">
        <v>0</v>
      </c>
      <c r="AC294" s="10">
        <v>0</v>
      </c>
      <c r="AD294" s="10">
        <v>0</v>
      </c>
      <c r="AE294" s="1" t="s">
        <v>540</v>
      </c>
    </row>
    <row r="295" spans="1:31" ht="16.5" customHeight="1" x14ac:dyDescent="0.35">
      <c r="A295" s="4">
        <v>210</v>
      </c>
      <c r="B295" s="4" t="str">
        <f>LOOKUP(A295,Lookup!$A$1:$A$34,Lookup!$B$1:$B$34)</f>
        <v>INGREDIENTS</v>
      </c>
      <c r="C295" s="5">
        <v>41085</v>
      </c>
      <c r="D295" s="6" t="s">
        <v>292</v>
      </c>
      <c r="E295" s="4">
        <v>2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7">
        <v>0</v>
      </c>
      <c r="Y295" s="18">
        <v>0</v>
      </c>
      <c r="Z295" s="14">
        <v>0</v>
      </c>
      <c r="AA295" s="14">
        <v>0</v>
      </c>
      <c r="AB295" s="23">
        <v>0</v>
      </c>
      <c r="AC295" s="10">
        <v>0</v>
      </c>
      <c r="AD295" s="10">
        <v>0</v>
      </c>
      <c r="AE295" s="1" t="s">
        <v>540</v>
      </c>
    </row>
    <row r="296" spans="1:31" ht="16.5" customHeight="1" x14ac:dyDescent="0.35">
      <c r="A296" s="4">
        <v>210</v>
      </c>
      <c r="B296" s="4" t="str">
        <f>LOOKUP(A296,Lookup!$A$1:$A$34,Lookup!$B$1:$B$34)</f>
        <v>INGREDIENTS</v>
      </c>
      <c r="C296" s="5">
        <v>41212</v>
      </c>
      <c r="D296" s="6" t="s">
        <v>289</v>
      </c>
      <c r="E296" s="4">
        <v>2</v>
      </c>
      <c r="F296" s="10">
        <v>0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7">
        <v>0</v>
      </c>
      <c r="Y296" s="18">
        <v>0</v>
      </c>
      <c r="Z296" s="14">
        <v>0</v>
      </c>
      <c r="AA296" s="14">
        <v>0</v>
      </c>
      <c r="AB296" s="23">
        <v>0</v>
      </c>
      <c r="AC296" s="10">
        <v>0</v>
      </c>
      <c r="AD296" s="10">
        <v>0</v>
      </c>
      <c r="AE296" s="1" t="s">
        <v>540</v>
      </c>
    </row>
    <row r="297" spans="1:31" ht="16.5" customHeight="1" x14ac:dyDescent="0.35">
      <c r="A297" s="4">
        <v>210</v>
      </c>
      <c r="B297" s="4" t="str">
        <f>LOOKUP(A297,Lookup!$A$1:$A$34,Lookup!$B$1:$B$34)</f>
        <v>INGREDIENTS</v>
      </c>
      <c r="C297" s="5">
        <v>41215</v>
      </c>
      <c r="D297" s="6" t="s">
        <v>293</v>
      </c>
      <c r="E297" s="4">
        <v>2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7">
        <v>0</v>
      </c>
      <c r="Y297" s="18">
        <v>0</v>
      </c>
      <c r="Z297" s="14">
        <v>0</v>
      </c>
      <c r="AA297" s="14">
        <v>0</v>
      </c>
      <c r="AB297" s="23">
        <v>0</v>
      </c>
      <c r="AC297" s="10">
        <v>0</v>
      </c>
      <c r="AD297" s="10">
        <v>0</v>
      </c>
      <c r="AE297" s="1" t="s">
        <v>540</v>
      </c>
    </row>
    <row r="298" spans="1:31" ht="16.5" customHeight="1" x14ac:dyDescent="0.35">
      <c r="A298" s="4">
        <v>210</v>
      </c>
      <c r="B298" s="4" t="str">
        <f>LOOKUP(A298,Lookup!$A$1:$A$34,Lookup!$B$1:$B$34)</f>
        <v>INGREDIENTS</v>
      </c>
      <c r="C298" s="5">
        <v>41220</v>
      </c>
      <c r="D298" s="6" t="s">
        <v>294</v>
      </c>
      <c r="E298" s="4">
        <v>2</v>
      </c>
      <c r="F298" s="10">
        <v>0</v>
      </c>
      <c r="G298" s="10">
        <v>0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7">
        <v>0</v>
      </c>
      <c r="Y298" s="18">
        <v>0</v>
      </c>
      <c r="Z298" s="14">
        <v>0</v>
      </c>
      <c r="AA298" s="14">
        <v>0</v>
      </c>
      <c r="AB298" s="23">
        <v>0</v>
      </c>
      <c r="AC298" s="10">
        <v>0</v>
      </c>
      <c r="AD298" s="10">
        <v>0</v>
      </c>
      <c r="AE298" s="1" t="s">
        <v>540</v>
      </c>
    </row>
    <row r="299" spans="1:31" ht="16.5" customHeight="1" x14ac:dyDescent="0.35">
      <c r="A299" s="4">
        <v>210</v>
      </c>
      <c r="B299" s="4" t="str">
        <f>LOOKUP(A299,Lookup!$A$1:$A$34,Lookup!$B$1:$B$34)</f>
        <v>INGREDIENTS</v>
      </c>
      <c r="C299" s="5">
        <v>41221</v>
      </c>
      <c r="D299" s="6" t="s">
        <v>295</v>
      </c>
      <c r="E299" s="4">
        <v>2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7">
        <v>0</v>
      </c>
      <c r="Y299" s="18">
        <v>0</v>
      </c>
      <c r="Z299" s="14">
        <v>0</v>
      </c>
      <c r="AA299" s="14">
        <v>0</v>
      </c>
      <c r="AB299" s="23">
        <v>0</v>
      </c>
      <c r="AC299" s="10">
        <v>0</v>
      </c>
      <c r="AD299" s="10">
        <v>0</v>
      </c>
      <c r="AE299" s="1" t="s">
        <v>540</v>
      </c>
    </row>
    <row r="300" spans="1:31" ht="16.5" customHeight="1" x14ac:dyDescent="0.35">
      <c r="A300" s="4">
        <v>210</v>
      </c>
      <c r="B300" s="4" t="str">
        <f>LOOKUP(A300,Lookup!$A$1:$A$34,Lookup!$B$1:$B$34)</f>
        <v>INGREDIENTS</v>
      </c>
      <c r="C300" s="5">
        <v>41222</v>
      </c>
      <c r="D300" s="6" t="s">
        <v>296</v>
      </c>
      <c r="E300" s="4">
        <v>2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7">
        <v>0</v>
      </c>
      <c r="Y300" s="18">
        <v>0</v>
      </c>
      <c r="Z300" s="14">
        <v>0</v>
      </c>
      <c r="AA300" s="14">
        <v>0</v>
      </c>
      <c r="AB300" s="23">
        <v>0</v>
      </c>
      <c r="AC300" s="10">
        <v>0</v>
      </c>
      <c r="AD300" s="10">
        <v>0</v>
      </c>
      <c r="AE300" s="1" t="s">
        <v>540</v>
      </c>
    </row>
    <row r="301" spans="1:31" ht="16.5" customHeight="1" x14ac:dyDescent="0.35">
      <c r="A301" s="4">
        <v>210</v>
      </c>
      <c r="B301" s="4" t="str">
        <f>LOOKUP(A301,Lookup!$A$1:$A$34,Lookup!$B$1:$B$34)</f>
        <v>INGREDIENTS</v>
      </c>
      <c r="C301" s="5">
        <v>41223</v>
      </c>
      <c r="D301" s="6" t="s">
        <v>297</v>
      </c>
      <c r="E301" s="4">
        <v>2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7">
        <v>0</v>
      </c>
      <c r="Y301" s="18">
        <v>0</v>
      </c>
      <c r="Z301" s="14">
        <v>0</v>
      </c>
      <c r="AA301" s="14">
        <v>0</v>
      </c>
      <c r="AB301" s="23">
        <v>0</v>
      </c>
      <c r="AC301" s="10">
        <v>0</v>
      </c>
      <c r="AD301" s="10">
        <v>0</v>
      </c>
      <c r="AE301" s="1" t="s">
        <v>540</v>
      </c>
    </row>
    <row r="302" spans="1:31" ht="16.5" customHeight="1" x14ac:dyDescent="0.35">
      <c r="A302" s="4">
        <v>210</v>
      </c>
      <c r="B302" s="4" t="str">
        <f>LOOKUP(A302,Lookup!$A$1:$A$34,Lookup!$B$1:$B$34)</f>
        <v>INGREDIENTS</v>
      </c>
      <c r="C302" s="5">
        <v>41226</v>
      </c>
      <c r="D302" s="6" t="s">
        <v>298</v>
      </c>
      <c r="E302" s="4">
        <v>2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7">
        <v>0</v>
      </c>
      <c r="Y302" s="18">
        <v>0</v>
      </c>
      <c r="Z302" s="14">
        <v>0</v>
      </c>
      <c r="AA302" s="14">
        <v>0</v>
      </c>
      <c r="AB302" s="23">
        <v>0</v>
      </c>
      <c r="AC302" s="10">
        <v>0</v>
      </c>
      <c r="AD302" s="10">
        <v>0</v>
      </c>
      <c r="AE302" s="1" t="s">
        <v>540</v>
      </c>
    </row>
    <row r="303" spans="1:31" ht="16.5" customHeight="1" x14ac:dyDescent="0.35">
      <c r="A303" s="4">
        <v>210</v>
      </c>
      <c r="B303" s="4" t="str">
        <f>LOOKUP(A303,Lookup!$A$1:$A$34,Lookup!$B$1:$B$34)</f>
        <v>INGREDIENTS</v>
      </c>
      <c r="C303" s="5">
        <v>41244</v>
      </c>
      <c r="D303" s="6" t="s">
        <v>299</v>
      </c>
      <c r="E303" s="4">
        <v>2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7">
        <v>0</v>
      </c>
      <c r="Y303" s="18">
        <v>0</v>
      </c>
      <c r="Z303" s="14">
        <v>0</v>
      </c>
      <c r="AA303" s="14">
        <v>0</v>
      </c>
      <c r="AB303" s="23">
        <v>0</v>
      </c>
      <c r="AC303" s="10">
        <v>0</v>
      </c>
      <c r="AD303" s="10">
        <v>0</v>
      </c>
      <c r="AE303" s="1" t="s">
        <v>540</v>
      </c>
    </row>
    <row r="304" spans="1:31" ht="16.5" customHeight="1" x14ac:dyDescent="0.35">
      <c r="A304" s="4">
        <v>210</v>
      </c>
      <c r="B304" s="4" t="str">
        <f>LOOKUP(A304,Lookup!$A$1:$A$34,Lookup!$B$1:$B$34)</f>
        <v>INGREDIENTS</v>
      </c>
      <c r="C304" s="5">
        <v>41258</v>
      </c>
      <c r="D304" s="6" t="s">
        <v>300</v>
      </c>
      <c r="E304" s="4">
        <v>2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7">
        <v>0</v>
      </c>
      <c r="Y304" s="18">
        <v>0</v>
      </c>
      <c r="Z304" s="14">
        <v>0</v>
      </c>
      <c r="AA304" s="14">
        <v>0</v>
      </c>
      <c r="AB304" s="23">
        <v>0</v>
      </c>
      <c r="AC304" s="10">
        <v>0</v>
      </c>
      <c r="AD304" s="10">
        <v>0</v>
      </c>
      <c r="AE304" s="1" t="s">
        <v>540</v>
      </c>
    </row>
    <row r="305" spans="1:31" ht="16.5" customHeight="1" x14ac:dyDescent="0.35">
      <c r="A305" s="4">
        <v>210</v>
      </c>
      <c r="B305" s="4" t="str">
        <f>LOOKUP(A305,Lookup!$A$1:$A$34,Lookup!$B$1:$B$34)</f>
        <v>INGREDIENTS</v>
      </c>
      <c r="C305" s="5">
        <v>41365</v>
      </c>
      <c r="D305" s="6" t="s">
        <v>301</v>
      </c>
      <c r="E305" s="4">
        <v>2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  <c r="X305" s="17">
        <v>0</v>
      </c>
      <c r="Y305" s="18">
        <v>0</v>
      </c>
      <c r="Z305" s="14">
        <v>0</v>
      </c>
      <c r="AA305" s="14">
        <v>0</v>
      </c>
      <c r="AB305" s="23">
        <v>0</v>
      </c>
      <c r="AC305" s="10">
        <v>0</v>
      </c>
      <c r="AD305" s="10">
        <v>0</v>
      </c>
      <c r="AE305" s="1" t="s">
        <v>540</v>
      </c>
    </row>
    <row r="306" spans="1:31" ht="16.5" customHeight="1" x14ac:dyDescent="0.35">
      <c r="A306" s="4">
        <v>210</v>
      </c>
      <c r="B306" s="4" t="str">
        <f>LOOKUP(A306,Lookup!$A$1:$A$34,Lookup!$B$1:$B$34)</f>
        <v>INGREDIENTS</v>
      </c>
      <c r="C306" s="5">
        <v>41514</v>
      </c>
      <c r="D306" s="6" t="s">
        <v>302</v>
      </c>
      <c r="E306" s="4">
        <v>2</v>
      </c>
      <c r="F306" s="10">
        <v>0</v>
      </c>
      <c r="G306" s="10">
        <v>0</v>
      </c>
      <c r="H306" s="10">
        <v>0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7">
        <v>0</v>
      </c>
      <c r="Y306" s="18">
        <v>0</v>
      </c>
      <c r="Z306" s="14">
        <v>0</v>
      </c>
      <c r="AA306" s="14">
        <v>0</v>
      </c>
      <c r="AB306" s="23">
        <v>0</v>
      </c>
      <c r="AC306" s="10">
        <v>0</v>
      </c>
      <c r="AD306" s="10">
        <v>0</v>
      </c>
      <c r="AE306" s="1" t="s">
        <v>540</v>
      </c>
    </row>
    <row r="307" spans="1:31" ht="16.5" customHeight="1" x14ac:dyDescent="0.35">
      <c r="A307" s="4">
        <v>210</v>
      </c>
      <c r="B307" s="4" t="str">
        <f>LOOKUP(A307,Lookup!$A$1:$A$34,Lookup!$B$1:$B$34)</f>
        <v>INGREDIENTS</v>
      </c>
      <c r="C307" s="5">
        <v>41522</v>
      </c>
      <c r="D307" s="6" t="s">
        <v>303</v>
      </c>
      <c r="E307" s="4">
        <v>2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7">
        <v>0</v>
      </c>
      <c r="Y307" s="18">
        <v>0</v>
      </c>
      <c r="Z307" s="14">
        <v>0</v>
      </c>
      <c r="AA307" s="14">
        <v>0</v>
      </c>
      <c r="AB307" s="23">
        <v>0</v>
      </c>
      <c r="AC307" s="10">
        <v>0</v>
      </c>
      <c r="AD307" s="10">
        <v>0</v>
      </c>
      <c r="AE307" s="1" t="s">
        <v>540</v>
      </c>
    </row>
    <row r="308" spans="1:31" ht="16.5" customHeight="1" x14ac:dyDescent="0.35">
      <c r="A308" s="4">
        <v>210</v>
      </c>
      <c r="B308" s="4" t="str">
        <f>LOOKUP(A308,Lookup!$A$1:$A$34,Lookup!$B$1:$B$34)</f>
        <v>INGREDIENTS</v>
      </c>
      <c r="C308" s="5">
        <v>41523</v>
      </c>
      <c r="D308" s="6" t="s">
        <v>304</v>
      </c>
      <c r="E308" s="4">
        <v>2</v>
      </c>
      <c r="F308" s="10">
        <v>0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7">
        <v>0</v>
      </c>
      <c r="Y308" s="18">
        <v>0</v>
      </c>
      <c r="Z308" s="14">
        <v>0</v>
      </c>
      <c r="AA308" s="14">
        <v>0</v>
      </c>
      <c r="AB308" s="23">
        <v>0</v>
      </c>
      <c r="AC308" s="10">
        <v>0</v>
      </c>
      <c r="AD308" s="10">
        <v>0</v>
      </c>
      <c r="AE308" s="1" t="s">
        <v>540</v>
      </c>
    </row>
    <row r="309" spans="1:31" ht="16.5" customHeight="1" x14ac:dyDescent="0.35">
      <c r="A309" s="4">
        <v>210</v>
      </c>
      <c r="B309" s="4" t="str">
        <f>LOOKUP(A309,Lookup!$A$1:$A$34,Lookup!$B$1:$B$34)</f>
        <v>INGREDIENTS</v>
      </c>
      <c r="C309" s="5">
        <v>41566</v>
      </c>
      <c r="D309" s="6" t="s">
        <v>305</v>
      </c>
      <c r="E309" s="4">
        <v>2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7">
        <v>0</v>
      </c>
      <c r="Y309" s="18">
        <v>0</v>
      </c>
      <c r="Z309" s="14">
        <v>0</v>
      </c>
      <c r="AA309" s="14">
        <v>0</v>
      </c>
      <c r="AB309" s="23">
        <v>0</v>
      </c>
      <c r="AC309" s="10">
        <v>0</v>
      </c>
      <c r="AD309" s="10">
        <v>0</v>
      </c>
      <c r="AE309" s="1" t="s">
        <v>540</v>
      </c>
    </row>
    <row r="310" spans="1:31" ht="16.5" customHeight="1" x14ac:dyDescent="0.35">
      <c r="A310" s="4">
        <v>210</v>
      </c>
      <c r="B310" s="4" t="str">
        <f>LOOKUP(A310,Lookup!$A$1:$A$34,Lookup!$B$1:$B$34)</f>
        <v>INGREDIENTS</v>
      </c>
      <c r="C310" s="5">
        <v>41567</v>
      </c>
      <c r="D310" s="6" t="s">
        <v>306</v>
      </c>
      <c r="E310" s="4">
        <v>2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7">
        <v>0</v>
      </c>
      <c r="Y310" s="18">
        <v>0</v>
      </c>
      <c r="Z310" s="14">
        <v>0</v>
      </c>
      <c r="AA310" s="14">
        <v>0</v>
      </c>
      <c r="AB310" s="23">
        <v>0</v>
      </c>
      <c r="AC310" s="10">
        <v>0</v>
      </c>
      <c r="AD310" s="10">
        <v>0</v>
      </c>
      <c r="AE310" s="1" t="s">
        <v>540</v>
      </c>
    </row>
    <row r="311" spans="1:31" ht="16.5" customHeight="1" x14ac:dyDescent="0.35">
      <c r="A311" s="4">
        <v>210</v>
      </c>
      <c r="B311" s="4" t="str">
        <f>LOOKUP(A311,Lookup!$A$1:$A$34,Lookup!$B$1:$B$34)</f>
        <v>INGREDIENTS</v>
      </c>
      <c r="C311" s="5">
        <v>41614</v>
      </c>
      <c r="D311" s="6" t="s">
        <v>307</v>
      </c>
      <c r="E311" s="4">
        <v>2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7">
        <v>0</v>
      </c>
      <c r="Y311" s="18">
        <v>0</v>
      </c>
      <c r="Z311" s="14">
        <v>0</v>
      </c>
      <c r="AA311" s="14">
        <v>0</v>
      </c>
      <c r="AB311" s="23">
        <v>0</v>
      </c>
      <c r="AC311" s="10">
        <v>0</v>
      </c>
      <c r="AD311" s="10">
        <v>0</v>
      </c>
      <c r="AE311" s="1" t="s">
        <v>540</v>
      </c>
    </row>
    <row r="312" spans="1:31" ht="16.5" customHeight="1" x14ac:dyDescent="0.35">
      <c r="A312" s="4">
        <v>210</v>
      </c>
      <c r="B312" s="4" t="str">
        <f>LOOKUP(A312,Lookup!$A$1:$A$34,Lookup!$B$1:$B$34)</f>
        <v>INGREDIENTS</v>
      </c>
      <c r="C312" s="5">
        <v>41641</v>
      </c>
      <c r="D312" s="6" t="s">
        <v>308</v>
      </c>
      <c r="E312" s="4">
        <v>2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7">
        <v>0</v>
      </c>
      <c r="Y312" s="18">
        <v>0</v>
      </c>
      <c r="Z312" s="14">
        <v>0</v>
      </c>
      <c r="AA312" s="14">
        <v>0</v>
      </c>
      <c r="AB312" s="23">
        <v>0</v>
      </c>
      <c r="AC312" s="10">
        <v>0</v>
      </c>
      <c r="AD312" s="10">
        <v>0</v>
      </c>
      <c r="AE312" s="1" t="s">
        <v>540</v>
      </c>
    </row>
    <row r="313" spans="1:31" ht="16.5" customHeight="1" x14ac:dyDescent="0.35">
      <c r="A313" s="4">
        <v>210</v>
      </c>
      <c r="B313" s="4" t="str">
        <f>LOOKUP(A313,Lookup!$A$1:$A$34,Lookup!$B$1:$B$34)</f>
        <v>INGREDIENTS</v>
      </c>
      <c r="C313" s="5">
        <v>41642</v>
      </c>
      <c r="D313" s="6" t="s">
        <v>309</v>
      </c>
      <c r="E313" s="4">
        <v>2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7">
        <v>0</v>
      </c>
      <c r="Y313" s="18">
        <v>0</v>
      </c>
      <c r="Z313" s="14">
        <v>0</v>
      </c>
      <c r="AA313" s="14">
        <v>0</v>
      </c>
      <c r="AB313" s="23">
        <v>0</v>
      </c>
      <c r="AC313" s="10">
        <v>0</v>
      </c>
      <c r="AD313" s="10">
        <v>0</v>
      </c>
      <c r="AE313" s="1" t="s">
        <v>540</v>
      </c>
    </row>
    <row r="314" spans="1:31" ht="16.5" customHeight="1" x14ac:dyDescent="0.35">
      <c r="A314" s="4">
        <v>210</v>
      </c>
      <c r="B314" s="4" t="str">
        <f>LOOKUP(A314,Lookup!$A$1:$A$34,Lookup!$B$1:$B$34)</f>
        <v>INGREDIENTS</v>
      </c>
      <c r="C314" s="5">
        <v>42326</v>
      </c>
      <c r="D314" s="6" t="s">
        <v>310</v>
      </c>
      <c r="E314" s="4">
        <v>2</v>
      </c>
      <c r="F314" s="10">
        <v>0</v>
      </c>
      <c r="G314" s="10">
        <v>0</v>
      </c>
      <c r="H314" s="10">
        <v>0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7">
        <v>0</v>
      </c>
      <c r="Y314" s="18">
        <v>0</v>
      </c>
      <c r="Z314" s="14">
        <v>0</v>
      </c>
      <c r="AA314" s="14">
        <v>0</v>
      </c>
      <c r="AB314" s="23">
        <v>0</v>
      </c>
      <c r="AC314" s="10">
        <v>0</v>
      </c>
      <c r="AD314" s="10">
        <v>0</v>
      </c>
      <c r="AE314" s="1" t="s">
        <v>540</v>
      </c>
    </row>
    <row r="315" spans="1:31" ht="16.5" customHeight="1" x14ac:dyDescent="0.35">
      <c r="A315" s="4">
        <v>210</v>
      </c>
      <c r="B315" s="4" t="str">
        <f>LOOKUP(A315,Lookup!$A$1:$A$34,Lookup!$B$1:$B$34)</f>
        <v>INGREDIENTS</v>
      </c>
      <c r="C315" s="5">
        <v>42328</v>
      </c>
      <c r="D315" s="6" t="s">
        <v>311</v>
      </c>
      <c r="E315" s="4">
        <v>2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7">
        <v>0</v>
      </c>
      <c r="Y315" s="18">
        <v>0</v>
      </c>
      <c r="Z315" s="14">
        <v>0</v>
      </c>
      <c r="AA315" s="14">
        <v>0</v>
      </c>
      <c r="AB315" s="23">
        <v>0</v>
      </c>
      <c r="AC315" s="10">
        <v>0</v>
      </c>
      <c r="AD315" s="10">
        <v>0</v>
      </c>
      <c r="AE315" s="1" t="s">
        <v>540</v>
      </c>
    </row>
    <row r="316" spans="1:31" ht="16.5" customHeight="1" x14ac:dyDescent="0.35">
      <c r="A316" s="4">
        <v>210</v>
      </c>
      <c r="B316" s="4" t="str">
        <f>LOOKUP(A316,Lookup!$A$1:$A$34,Lookup!$B$1:$B$34)</f>
        <v>INGREDIENTS</v>
      </c>
      <c r="C316" s="5">
        <v>42335</v>
      </c>
      <c r="D316" s="6" t="s">
        <v>309</v>
      </c>
      <c r="E316" s="4">
        <v>2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7">
        <v>0</v>
      </c>
      <c r="Y316" s="18">
        <v>0</v>
      </c>
      <c r="Z316" s="14">
        <v>0</v>
      </c>
      <c r="AA316" s="14">
        <v>0</v>
      </c>
      <c r="AB316" s="23">
        <v>0</v>
      </c>
      <c r="AC316" s="10">
        <v>0</v>
      </c>
      <c r="AD316" s="10">
        <v>0</v>
      </c>
      <c r="AE316" s="1" t="s">
        <v>540</v>
      </c>
    </row>
    <row r="317" spans="1:31" ht="16.5" customHeight="1" x14ac:dyDescent="0.35">
      <c r="A317" s="4">
        <v>210</v>
      </c>
      <c r="B317" s="4" t="str">
        <f>LOOKUP(A317,Lookup!$A$1:$A$34,Lookup!$B$1:$B$34)</f>
        <v>INGREDIENTS</v>
      </c>
      <c r="C317" s="5">
        <v>42415</v>
      </c>
      <c r="D317" s="6" t="s">
        <v>289</v>
      </c>
      <c r="E317" s="4">
        <v>2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0</v>
      </c>
      <c r="V317" s="10">
        <v>0</v>
      </c>
      <c r="W317" s="10">
        <v>0</v>
      </c>
      <c r="X317" s="17">
        <v>0</v>
      </c>
      <c r="Y317" s="18">
        <v>0</v>
      </c>
      <c r="Z317" s="14">
        <v>0</v>
      </c>
      <c r="AA317" s="14">
        <v>0</v>
      </c>
      <c r="AB317" s="23">
        <v>0</v>
      </c>
      <c r="AC317" s="10">
        <v>0</v>
      </c>
      <c r="AD317" s="10">
        <v>0</v>
      </c>
      <c r="AE317" s="1" t="s">
        <v>540</v>
      </c>
    </row>
    <row r="318" spans="1:31" ht="16.5" customHeight="1" x14ac:dyDescent="0.35">
      <c r="A318" s="4">
        <v>210</v>
      </c>
      <c r="B318" s="4" t="str">
        <f>LOOKUP(A318,Lookup!$A$1:$A$34,Lookup!$B$1:$B$34)</f>
        <v>INGREDIENTS</v>
      </c>
      <c r="C318" s="5">
        <v>42416</v>
      </c>
      <c r="D318" s="6" t="s">
        <v>312</v>
      </c>
      <c r="E318" s="4">
        <v>2</v>
      </c>
      <c r="F318" s="10">
        <v>0</v>
      </c>
      <c r="G318" s="10">
        <v>0</v>
      </c>
      <c r="H318" s="10">
        <v>0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7">
        <v>0</v>
      </c>
      <c r="Y318" s="18">
        <v>0</v>
      </c>
      <c r="Z318" s="14">
        <v>0</v>
      </c>
      <c r="AA318" s="14">
        <v>0</v>
      </c>
      <c r="AB318" s="23">
        <v>0</v>
      </c>
      <c r="AC318" s="10">
        <v>0</v>
      </c>
      <c r="AD318" s="10">
        <v>0</v>
      </c>
      <c r="AE318" s="1" t="s">
        <v>540</v>
      </c>
    </row>
    <row r="319" spans="1:31" ht="16.5" customHeight="1" x14ac:dyDescent="0.35">
      <c r="A319" s="4">
        <v>210</v>
      </c>
      <c r="B319" s="4" t="str">
        <f>LOOKUP(A319,Lookup!$A$1:$A$34,Lookup!$B$1:$B$34)</f>
        <v>INGREDIENTS</v>
      </c>
      <c r="C319" s="5">
        <v>42671</v>
      </c>
      <c r="D319" s="6" t="s">
        <v>313</v>
      </c>
      <c r="E319" s="4">
        <v>2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7">
        <v>0</v>
      </c>
      <c r="Y319" s="18">
        <v>0</v>
      </c>
      <c r="Z319" s="14">
        <v>0</v>
      </c>
      <c r="AA319" s="14">
        <v>0</v>
      </c>
      <c r="AB319" s="23">
        <v>0</v>
      </c>
      <c r="AC319" s="10">
        <v>0</v>
      </c>
      <c r="AD319" s="10">
        <v>0</v>
      </c>
      <c r="AE319" s="1" t="s">
        <v>540</v>
      </c>
    </row>
    <row r="320" spans="1:31" ht="16.5" customHeight="1" x14ac:dyDescent="0.35">
      <c r="A320" s="4">
        <v>210</v>
      </c>
      <c r="B320" s="4" t="str">
        <f>LOOKUP(A320,Lookup!$A$1:$A$34,Lookup!$B$1:$B$34)</f>
        <v>INGREDIENTS</v>
      </c>
      <c r="C320" s="5">
        <v>42677</v>
      </c>
      <c r="D320" s="6" t="s">
        <v>281</v>
      </c>
      <c r="E320" s="4">
        <v>2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7">
        <v>0</v>
      </c>
      <c r="Y320" s="18">
        <v>0</v>
      </c>
      <c r="Z320" s="14">
        <v>0</v>
      </c>
      <c r="AA320" s="14">
        <v>0</v>
      </c>
      <c r="AB320" s="23">
        <v>0</v>
      </c>
      <c r="AC320" s="10">
        <v>0</v>
      </c>
      <c r="AD320" s="10">
        <v>0</v>
      </c>
      <c r="AE320" s="1" t="s">
        <v>540</v>
      </c>
    </row>
    <row r="321" spans="1:31" ht="16.5" customHeight="1" x14ac:dyDescent="0.35">
      <c r="A321" s="4">
        <v>210</v>
      </c>
      <c r="B321" s="4" t="str">
        <f>LOOKUP(A321,Lookup!$A$1:$A$34,Lookup!$B$1:$B$34)</f>
        <v>INGREDIENTS</v>
      </c>
      <c r="C321" s="5">
        <v>42724</v>
      </c>
      <c r="D321" s="6" t="s">
        <v>314</v>
      </c>
      <c r="E321" s="4">
        <v>2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7">
        <v>0</v>
      </c>
      <c r="Y321" s="18">
        <v>0</v>
      </c>
      <c r="Z321" s="14">
        <v>0</v>
      </c>
      <c r="AA321" s="14">
        <v>0</v>
      </c>
      <c r="AB321" s="23">
        <v>0</v>
      </c>
      <c r="AC321" s="10">
        <v>0</v>
      </c>
      <c r="AD321" s="10">
        <v>0</v>
      </c>
      <c r="AE321" s="1" t="s">
        <v>540</v>
      </c>
    </row>
    <row r="322" spans="1:31" ht="16.5" customHeight="1" x14ac:dyDescent="0.35">
      <c r="A322" s="4">
        <v>210</v>
      </c>
      <c r="B322" s="4" t="str">
        <f>LOOKUP(A322,Lookup!$A$1:$A$34,Lookup!$B$1:$B$34)</f>
        <v>INGREDIENTS</v>
      </c>
      <c r="C322" s="5">
        <v>42957</v>
      </c>
      <c r="D322" s="6" t="s">
        <v>315</v>
      </c>
      <c r="E322" s="4">
        <v>2</v>
      </c>
      <c r="F322" s="10">
        <v>0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7">
        <v>0</v>
      </c>
      <c r="Y322" s="18">
        <v>0</v>
      </c>
      <c r="Z322" s="14">
        <v>0</v>
      </c>
      <c r="AA322" s="14">
        <v>0</v>
      </c>
      <c r="AB322" s="23">
        <v>0</v>
      </c>
      <c r="AC322" s="10">
        <v>0</v>
      </c>
      <c r="AD322" s="10">
        <v>0</v>
      </c>
      <c r="AE322" s="1" t="s">
        <v>540</v>
      </c>
    </row>
    <row r="323" spans="1:31" ht="16.5" customHeight="1" x14ac:dyDescent="0.35">
      <c r="A323" s="4">
        <v>210</v>
      </c>
      <c r="B323" s="4" t="str">
        <f>LOOKUP(A323,Lookup!$A$1:$A$34,Lookup!$B$1:$B$34)</f>
        <v>INGREDIENTS</v>
      </c>
      <c r="C323" s="5">
        <v>42958</v>
      </c>
      <c r="D323" s="6" t="s">
        <v>316</v>
      </c>
      <c r="E323" s="4">
        <v>2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7">
        <v>0</v>
      </c>
      <c r="Y323" s="18">
        <v>0</v>
      </c>
      <c r="Z323" s="14">
        <v>0</v>
      </c>
      <c r="AA323" s="14">
        <v>0</v>
      </c>
      <c r="AB323" s="23">
        <v>0</v>
      </c>
      <c r="AC323" s="10">
        <v>0</v>
      </c>
      <c r="AD323" s="10">
        <v>0</v>
      </c>
      <c r="AE323" s="1" t="s">
        <v>540</v>
      </c>
    </row>
    <row r="324" spans="1:31" ht="16.5" customHeight="1" x14ac:dyDescent="0.35">
      <c r="A324" s="4">
        <v>210</v>
      </c>
      <c r="B324" s="4" t="str">
        <f>LOOKUP(A324,Lookup!$A$1:$A$34,Lookup!$B$1:$B$34)</f>
        <v>INGREDIENTS</v>
      </c>
      <c r="C324" s="5">
        <v>43042</v>
      </c>
      <c r="D324" s="6" t="s">
        <v>317</v>
      </c>
      <c r="E324" s="4">
        <v>2</v>
      </c>
      <c r="F324" s="10">
        <v>0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7">
        <v>0</v>
      </c>
      <c r="Y324" s="18">
        <v>0</v>
      </c>
      <c r="Z324" s="14">
        <v>0</v>
      </c>
      <c r="AA324" s="14">
        <v>0</v>
      </c>
      <c r="AB324" s="23">
        <v>0</v>
      </c>
      <c r="AC324" s="10">
        <v>0</v>
      </c>
      <c r="AD324" s="10">
        <v>0</v>
      </c>
      <c r="AE324" s="1" t="s">
        <v>540</v>
      </c>
    </row>
    <row r="325" spans="1:31" ht="16.5" customHeight="1" x14ac:dyDescent="0.35">
      <c r="A325" s="4">
        <v>210</v>
      </c>
      <c r="B325" s="4" t="str">
        <f>LOOKUP(A325,Lookup!$A$1:$A$34,Lookup!$B$1:$B$34)</f>
        <v>INGREDIENTS</v>
      </c>
      <c r="C325" s="5">
        <v>43043</v>
      </c>
      <c r="D325" s="6" t="s">
        <v>318</v>
      </c>
      <c r="E325" s="4">
        <v>2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7">
        <v>0</v>
      </c>
      <c r="Y325" s="18">
        <v>0</v>
      </c>
      <c r="Z325" s="14">
        <v>0</v>
      </c>
      <c r="AA325" s="14">
        <v>0</v>
      </c>
      <c r="AB325" s="23">
        <v>0</v>
      </c>
      <c r="AC325" s="10">
        <v>0</v>
      </c>
      <c r="AD325" s="10">
        <v>0</v>
      </c>
      <c r="AE325" s="1" t="s">
        <v>540</v>
      </c>
    </row>
    <row r="326" spans="1:31" ht="16.5" customHeight="1" x14ac:dyDescent="0.35">
      <c r="A326" s="4">
        <v>210</v>
      </c>
      <c r="B326" s="4" t="str">
        <f>LOOKUP(A326,Lookup!$A$1:$A$34,Lookup!$B$1:$B$34)</f>
        <v>INGREDIENTS</v>
      </c>
      <c r="C326" s="5">
        <v>43044</v>
      </c>
      <c r="D326" s="6" t="s">
        <v>319</v>
      </c>
      <c r="E326" s="4">
        <v>2</v>
      </c>
      <c r="F326" s="10">
        <v>0</v>
      </c>
      <c r="G326" s="10">
        <v>0</v>
      </c>
      <c r="H326" s="10">
        <v>0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7">
        <v>0</v>
      </c>
      <c r="Y326" s="18">
        <v>0</v>
      </c>
      <c r="Z326" s="14">
        <v>0</v>
      </c>
      <c r="AA326" s="14">
        <v>0</v>
      </c>
      <c r="AB326" s="23">
        <v>0</v>
      </c>
      <c r="AC326" s="10">
        <v>0</v>
      </c>
      <c r="AD326" s="10">
        <v>0</v>
      </c>
      <c r="AE326" s="1" t="s">
        <v>540</v>
      </c>
    </row>
    <row r="327" spans="1:31" ht="16.5" customHeight="1" x14ac:dyDescent="0.35">
      <c r="A327" s="4">
        <v>210</v>
      </c>
      <c r="B327" s="4" t="str">
        <f>LOOKUP(A327,Lookup!$A$1:$A$34,Lookup!$B$1:$B$34)</f>
        <v>INGREDIENTS</v>
      </c>
      <c r="C327" s="5">
        <v>43620</v>
      </c>
      <c r="D327" s="6" t="s">
        <v>320</v>
      </c>
      <c r="E327" s="4">
        <v>2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7">
        <v>0</v>
      </c>
      <c r="Y327" s="18">
        <v>0</v>
      </c>
      <c r="Z327" s="14">
        <v>0</v>
      </c>
      <c r="AA327" s="14">
        <v>0</v>
      </c>
      <c r="AB327" s="23">
        <v>0</v>
      </c>
      <c r="AC327" s="10">
        <v>0</v>
      </c>
      <c r="AD327" s="10">
        <v>0</v>
      </c>
      <c r="AE327" s="1" t="s">
        <v>540</v>
      </c>
    </row>
    <row r="328" spans="1:31" ht="16.5" customHeight="1" x14ac:dyDescent="0.35">
      <c r="A328" s="4">
        <v>210</v>
      </c>
      <c r="B328" s="4" t="str">
        <f>LOOKUP(A328,Lookup!$A$1:$A$34,Lookup!$B$1:$B$34)</f>
        <v>INGREDIENTS</v>
      </c>
      <c r="C328" s="5">
        <v>43752</v>
      </c>
      <c r="D328" s="6" t="s">
        <v>293</v>
      </c>
      <c r="E328" s="4">
        <v>2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7">
        <v>0</v>
      </c>
      <c r="Y328" s="18">
        <v>0</v>
      </c>
      <c r="Z328" s="14">
        <v>0</v>
      </c>
      <c r="AA328" s="14">
        <v>0</v>
      </c>
      <c r="AB328" s="23">
        <v>0</v>
      </c>
      <c r="AC328" s="10">
        <v>0</v>
      </c>
      <c r="AD328" s="10">
        <v>0</v>
      </c>
      <c r="AE328" s="1" t="s">
        <v>540</v>
      </c>
    </row>
    <row r="329" spans="1:31" ht="16.5" customHeight="1" x14ac:dyDescent="0.35">
      <c r="A329" s="4">
        <v>210</v>
      </c>
      <c r="B329" s="4" t="str">
        <f>LOOKUP(A329,Lookup!$A$1:$A$34,Lookup!$B$1:$B$34)</f>
        <v>INGREDIENTS</v>
      </c>
      <c r="C329" s="5">
        <v>45158</v>
      </c>
      <c r="D329" s="6" t="s">
        <v>321</v>
      </c>
      <c r="E329" s="4">
        <v>2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7">
        <v>0</v>
      </c>
      <c r="Y329" s="18">
        <v>0</v>
      </c>
      <c r="Z329" s="14">
        <v>0</v>
      </c>
      <c r="AA329" s="14">
        <v>0</v>
      </c>
      <c r="AB329" s="23">
        <v>0</v>
      </c>
      <c r="AC329" s="10">
        <v>0</v>
      </c>
      <c r="AD329" s="10">
        <v>0</v>
      </c>
      <c r="AE329" s="1" t="s">
        <v>540</v>
      </c>
    </row>
    <row r="330" spans="1:31" ht="16.5" customHeight="1" x14ac:dyDescent="0.35">
      <c r="A330" s="4">
        <v>210</v>
      </c>
      <c r="B330" s="4" t="str">
        <f>LOOKUP(A330,Lookup!$A$1:$A$34,Lookup!$B$1:$B$34)</f>
        <v>INGREDIENTS</v>
      </c>
      <c r="C330" s="5">
        <v>45168</v>
      </c>
      <c r="D330" s="6" t="s">
        <v>322</v>
      </c>
      <c r="E330" s="4">
        <v>2</v>
      </c>
      <c r="F330" s="10">
        <v>0</v>
      </c>
      <c r="G330" s="10">
        <v>0</v>
      </c>
      <c r="H330" s="10">
        <v>0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7">
        <v>0</v>
      </c>
      <c r="Y330" s="18">
        <v>0</v>
      </c>
      <c r="Z330" s="14">
        <v>0</v>
      </c>
      <c r="AA330" s="14">
        <v>0</v>
      </c>
      <c r="AB330" s="23">
        <v>0</v>
      </c>
      <c r="AC330" s="10">
        <v>0</v>
      </c>
      <c r="AD330" s="10">
        <v>0</v>
      </c>
      <c r="AE330" s="1" t="s">
        <v>540</v>
      </c>
    </row>
    <row r="331" spans="1:31" ht="16.5" customHeight="1" x14ac:dyDescent="0.35">
      <c r="A331" s="4">
        <v>210</v>
      </c>
      <c r="B331" s="4" t="str">
        <f>LOOKUP(A331,Lookup!$A$1:$A$34,Lookup!$B$1:$B$34)</f>
        <v>INGREDIENTS</v>
      </c>
      <c r="C331" s="5">
        <v>45223</v>
      </c>
      <c r="D331" s="6" t="s">
        <v>323</v>
      </c>
      <c r="E331" s="4">
        <v>2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7">
        <v>0</v>
      </c>
      <c r="Y331" s="18">
        <v>0</v>
      </c>
      <c r="Z331" s="14">
        <v>0</v>
      </c>
      <c r="AA331" s="14">
        <v>0</v>
      </c>
      <c r="AB331" s="23">
        <v>0</v>
      </c>
      <c r="AC331" s="10">
        <v>0</v>
      </c>
      <c r="AD331" s="10">
        <v>0</v>
      </c>
      <c r="AE331" s="1" t="s">
        <v>540</v>
      </c>
    </row>
    <row r="332" spans="1:31" ht="16.5" customHeight="1" x14ac:dyDescent="0.35">
      <c r="A332" s="4">
        <v>210</v>
      </c>
      <c r="B332" s="4" t="str">
        <f>LOOKUP(A332,Lookup!$A$1:$A$34,Lookup!$B$1:$B$34)</f>
        <v>INGREDIENTS</v>
      </c>
      <c r="C332" s="5">
        <v>45386</v>
      </c>
      <c r="D332" s="6" t="s">
        <v>324</v>
      </c>
      <c r="E332" s="4">
        <v>2</v>
      </c>
      <c r="F332" s="10">
        <v>0</v>
      </c>
      <c r="G332" s="10">
        <v>0</v>
      </c>
      <c r="H332" s="10">
        <v>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7">
        <v>0</v>
      </c>
      <c r="Y332" s="18">
        <v>0</v>
      </c>
      <c r="Z332" s="14">
        <v>0</v>
      </c>
      <c r="AA332" s="14">
        <v>0</v>
      </c>
      <c r="AB332" s="23">
        <v>0</v>
      </c>
      <c r="AC332" s="10">
        <v>0</v>
      </c>
      <c r="AD332" s="10">
        <v>0</v>
      </c>
      <c r="AE332" s="1" t="s">
        <v>540</v>
      </c>
    </row>
    <row r="333" spans="1:31" ht="16.5" customHeight="1" x14ac:dyDescent="0.35">
      <c r="A333" s="4">
        <v>210</v>
      </c>
      <c r="B333" s="4" t="str">
        <f>LOOKUP(A333,Lookup!$A$1:$A$34,Lookup!$B$1:$B$34)</f>
        <v>INGREDIENTS</v>
      </c>
      <c r="C333" s="5">
        <v>45422</v>
      </c>
      <c r="D333" s="6" t="s">
        <v>325</v>
      </c>
      <c r="E333" s="4">
        <v>2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7">
        <v>0</v>
      </c>
      <c r="Y333" s="18">
        <v>0</v>
      </c>
      <c r="Z333" s="14">
        <v>0</v>
      </c>
      <c r="AA333" s="14">
        <v>0</v>
      </c>
      <c r="AB333" s="23">
        <v>0</v>
      </c>
      <c r="AC333" s="10">
        <v>0</v>
      </c>
      <c r="AD333" s="10">
        <v>0</v>
      </c>
      <c r="AE333" s="1" t="s">
        <v>540</v>
      </c>
    </row>
    <row r="334" spans="1:31" ht="16.5" customHeight="1" x14ac:dyDescent="0.35">
      <c r="A334" s="4">
        <v>210</v>
      </c>
      <c r="B334" s="4" t="str">
        <f>LOOKUP(A334,Lookup!$A$1:$A$34,Lookup!$B$1:$B$34)</f>
        <v>INGREDIENTS</v>
      </c>
      <c r="C334" s="5">
        <v>45428</v>
      </c>
      <c r="D334" s="6" t="s">
        <v>309</v>
      </c>
      <c r="E334" s="4">
        <v>2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7">
        <v>0</v>
      </c>
      <c r="Y334" s="18">
        <v>0</v>
      </c>
      <c r="Z334" s="14">
        <v>0</v>
      </c>
      <c r="AA334" s="14">
        <v>0</v>
      </c>
      <c r="AB334" s="23">
        <v>0</v>
      </c>
      <c r="AC334" s="10">
        <v>0</v>
      </c>
      <c r="AD334" s="10">
        <v>0</v>
      </c>
      <c r="AE334" s="1" t="s">
        <v>540</v>
      </c>
    </row>
    <row r="335" spans="1:31" ht="16.5" customHeight="1" x14ac:dyDescent="0.35">
      <c r="A335" s="4">
        <v>210</v>
      </c>
      <c r="B335" s="4" t="str">
        <f>LOOKUP(A335,Lookup!$A$1:$A$34,Lookup!$B$1:$B$34)</f>
        <v>INGREDIENTS</v>
      </c>
      <c r="C335" s="5">
        <v>45429</v>
      </c>
      <c r="D335" s="6" t="s">
        <v>299</v>
      </c>
      <c r="E335" s="4">
        <v>2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7">
        <v>0</v>
      </c>
      <c r="Y335" s="18">
        <v>0</v>
      </c>
      <c r="Z335" s="14">
        <v>0</v>
      </c>
      <c r="AA335" s="14">
        <v>0</v>
      </c>
      <c r="AB335" s="23">
        <v>0</v>
      </c>
      <c r="AC335" s="10">
        <v>0</v>
      </c>
      <c r="AD335" s="10">
        <v>0</v>
      </c>
      <c r="AE335" s="1" t="s">
        <v>540</v>
      </c>
    </row>
    <row r="336" spans="1:31" ht="16.5" customHeight="1" x14ac:dyDescent="0.35">
      <c r="A336" s="4">
        <v>210</v>
      </c>
      <c r="B336" s="4" t="str">
        <f>LOOKUP(A336,Lookup!$A$1:$A$34,Lookup!$B$1:$B$34)</f>
        <v>INGREDIENTS</v>
      </c>
      <c r="C336" s="5">
        <v>45505</v>
      </c>
      <c r="D336" s="6" t="s">
        <v>326</v>
      </c>
      <c r="E336" s="4">
        <v>2</v>
      </c>
      <c r="F336" s="10">
        <v>0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7">
        <v>0</v>
      </c>
      <c r="Y336" s="18">
        <v>0</v>
      </c>
      <c r="Z336" s="14">
        <v>0</v>
      </c>
      <c r="AA336" s="14">
        <v>0</v>
      </c>
      <c r="AB336" s="23">
        <v>0</v>
      </c>
      <c r="AC336" s="10">
        <v>0</v>
      </c>
      <c r="AD336" s="10">
        <v>0</v>
      </c>
      <c r="AE336" s="1" t="s">
        <v>540</v>
      </c>
    </row>
    <row r="337" spans="1:31" ht="16.5" customHeight="1" x14ac:dyDescent="0.35">
      <c r="A337" s="4">
        <v>210</v>
      </c>
      <c r="B337" s="4" t="str">
        <f>LOOKUP(A337,Lookup!$A$1:$A$34,Lookup!$B$1:$B$34)</f>
        <v>INGREDIENTS</v>
      </c>
      <c r="C337" s="5">
        <v>45638</v>
      </c>
      <c r="D337" s="6" t="s">
        <v>327</v>
      </c>
      <c r="E337" s="4">
        <v>2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7">
        <v>0</v>
      </c>
      <c r="Y337" s="18">
        <v>0</v>
      </c>
      <c r="Z337" s="14">
        <v>0</v>
      </c>
      <c r="AA337" s="14">
        <v>0</v>
      </c>
      <c r="AB337" s="23">
        <v>0</v>
      </c>
      <c r="AC337" s="10">
        <v>0</v>
      </c>
      <c r="AD337" s="10">
        <v>0</v>
      </c>
      <c r="AE337" s="1" t="s">
        <v>540</v>
      </c>
    </row>
    <row r="338" spans="1:31" ht="16.5" customHeight="1" x14ac:dyDescent="0.35">
      <c r="A338" s="4">
        <v>210</v>
      </c>
      <c r="B338" s="4" t="str">
        <f>LOOKUP(A338,Lookup!$A$1:$A$34,Lookup!$B$1:$B$34)</f>
        <v>INGREDIENTS</v>
      </c>
      <c r="C338" s="5">
        <v>46276</v>
      </c>
      <c r="D338" s="6" t="s">
        <v>328</v>
      </c>
      <c r="E338" s="4">
        <v>2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7">
        <v>0</v>
      </c>
      <c r="Y338" s="18">
        <v>0</v>
      </c>
      <c r="Z338" s="14">
        <v>0</v>
      </c>
      <c r="AA338" s="14">
        <v>0</v>
      </c>
      <c r="AB338" s="23">
        <v>0</v>
      </c>
      <c r="AC338" s="10">
        <v>0</v>
      </c>
      <c r="AD338" s="10">
        <v>0</v>
      </c>
      <c r="AE338" s="1" t="s">
        <v>540</v>
      </c>
    </row>
    <row r="339" spans="1:31" ht="16.5" customHeight="1" x14ac:dyDescent="0.35">
      <c r="A339" s="4">
        <v>210</v>
      </c>
      <c r="B339" s="4" t="str">
        <f>LOOKUP(A339,Lookup!$A$1:$A$34,Lookup!$B$1:$B$34)</f>
        <v>INGREDIENTS</v>
      </c>
      <c r="C339" s="5">
        <v>46277</v>
      </c>
      <c r="D339" s="6" t="s">
        <v>329</v>
      </c>
      <c r="E339" s="4">
        <v>2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7">
        <v>0</v>
      </c>
      <c r="Y339" s="18">
        <v>0</v>
      </c>
      <c r="Z339" s="14">
        <v>0</v>
      </c>
      <c r="AA339" s="14">
        <v>0</v>
      </c>
      <c r="AB339" s="23">
        <v>0</v>
      </c>
      <c r="AC339" s="10">
        <v>0</v>
      </c>
      <c r="AD339" s="10">
        <v>0</v>
      </c>
      <c r="AE339" s="1" t="s">
        <v>540</v>
      </c>
    </row>
    <row r="340" spans="1:31" ht="16.5" customHeight="1" x14ac:dyDescent="0.35">
      <c r="A340" s="4">
        <v>210</v>
      </c>
      <c r="B340" s="4" t="str">
        <f>LOOKUP(A340,Lookup!$A$1:$A$34,Lookup!$B$1:$B$34)</f>
        <v>INGREDIENTS</v>
      </c>
      <c r="C340" s="5">
        <v>46278</v>
      </c>
      <c r="D340" s="6" t="s">
        <v>330</v>
      </c>
      <c r="E340" s="4">
        <v>2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7">
        <v>0</v>
      </c>
      <c r="Y340" s="18">
        <v>0</v>
      </c>
      <c r="Z340" s="14">
        <v>0</v>
      </c>
      <c r="AA340" s="14">
        <v>0</v>
      </c>
      <c r="AB340" s="23">
        <v>0</v>
      </c>
      <c r="AC340" s="10">
        <v>0</v>
      </c>
      <c r="AD340" s="10">
        <v>0</v>
      </c>
      <c r="AE340" s="1" t="s">
        <v>540</v>
      </c>
    </row>
    <row r="341" spans="1:31" ht="16.5" customHeight="1" x14ac:dyDescent="0.35">
      <c r="A341" s="4">
        <v>210</v>
      </c>
      <c r="B341" s="4" t="str">
        <f>LOOKUP(A341,Lookup!$A$1:$A$34,Lookup!$B$1:$B$34)</f>
        <v>INGREDIENTS</v>
      </c>
      <c r="C341" s="5">
        <v>48384</v>
      </c>
      <c r="D341" s="6" t="s">
        <v>331</v>
      </c>
      <c r="E341" s="4">
        <v>2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7">
        <v>0</v>
      </c>
      <c r="Y341" s="18">
        <v>0</v>
      </c>
      <c r="Z341" s="14">
        <v>0</v>
      </c>
      <c r="AA341" s="14">
        <v>0</v>
      </c>
      <c r="AB341" s="23">
        <v>0</v>
      </c>
      <c r="AC341" s="10">
        <v>0</v>
      </c>
      <c r="AD341" s="10">
        <v>0</v>
      </c>
      <c r="AE341" s="1" t="s">
        <v>540</v>
      </c>
    </row>
    <row r="342" spans="1:31" ht="16.5" customHeight="1" x14ac:dyDescent="0.35">
      <c r="A342" s="4">
        <v>210</v>
      </c>
      <c r="B342" s="4" t="str">
        <f>LOOKUP(A342,Lookup!$A$1:$A$34,Lookup!$B$1:$B$34)</f>
        <v>INGREDIENTS</v>
      </c>
      <c r="C342" s="5">
        <v>48428</v>
      </c>
      <c r="D342" s="6" t="s">
        <v>332</v>
      </c>
      <c r="E342" s="4">
        <v>2</v>
      </c>
      <c r="F342" s="10">
        <v>0</v>
      </c>
      <c r="G342" s="10">
        <v>0</v>
      </c>
      <c r="H342" s="10">
        <v>0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7">
        <v>0</v>
      </c>
      <c r="Y342" s="18">
        <v>0</v>
      </c>
      <c r="Z342" s="14">
        <v>0</v>
      </c>
      <c r="AA342" s="14">
        <v>0</v>
      </c>
      <c r="AB342" s="23">
        <v>0</v>
      </c>
      <c r="AC342" s="10">
        <v>0</v>
      </c>
      <c r="AD342" s="10">
        <v>0</v>
      </c>
      <c r="AE342" s="1" t="s">
        <v>540</v>
      </c>
    </row>
    <row r="343" spans="1:31" ht="16.5" customHeight="1" x14ac:dyDescent="0.35">
      <c r="A343" s="4">
        <v>210</v>
      </c>
      <c r="B343" s="4" t="str">
        <f>LOOKUP(A343,Lookup!$A$1:$A$34,Lookup!$B$1:$B$34)</f>
        <v>INGREDIENTS</v>
      </c>
      <c r="C343" s="5">
        <v>50298</v>
      </c>
      <c r="D343" s="6" t="s">
        <v>333</v>
      </c>
      <c r="E343" s="4">
        <v>2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7">
        <v>0</v>
      </c>
      <c r="Y343" s="18">
        <v>0</v>
      </c>
      <c r="Z343" s="14">
        <v>0</v>
      </c>
      <c r="AA343" s="14">
        <v>0</v>
      </c>
      <c r="AB343" s="23">
        <v>0</v>
      </c>
      <c r="AC343" s="10">
        <v>0</v>
      </c>
      <c r="AD343" s="10">
        <v>0</v>
      </c>
      <c r="AE343" s="1" t="s">
        <v>540</v>
      </c>
    </row>
    <row r="344" spans="1:31" ht="16.5" customHeight="1" x14ac:dyDescent="0.35">
      <c r="A344" s="4">
        <v>210</v>
      </c>
      <c r="B344" s="4" t="str">
        <f>LOOKUP(A344,Lookup!$A$1:$A$34,Lookup!$B$1:$B$34)</f>
        <v>INGREDIENTS</v>
      </c>
      <c r="C344" s="5">
        <v>50321</v>
      </c>
      <c r="D344" s="6" t="s">
        <v>334</v>
      </c>
      <c r="E344" s="4">
        <v>2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7">
        <v>0</v>
      </c>
      <c r="Y344" s="18">
        <v>0</v>
      </c>
      <c r="Z344" s="14">
        <v>0</v>
      </c>
      <c r="AA344" s="14">
        <v>0</v>
      </c>
      <c r="AB344" s="23">
        <v>0</v>
      </c>
      <c r="AC344" s="10">
        <v>0</v>
      </c>
      <c r="AD344" s="10">
        <v>0</v>
      </c>
      <c r="AE344" s="1" t="s">
        <v>540</v>
      </c>
    </row>
    <row r="345" spans="1:31" ht="16.5" customHeight="1" x14ac:dyDescent="0.35">
      <c r="A345" s="4">
        <v>210</v>
      </c>
      <c r="B345" s="4" t="str">
        <f>LOOKUP(A345,Lookup!$A$1:$A$34,Lookup!$B$1:$B$34)</f>
        <v>INGREDIENTS</v>
      </c>
      <c r="C345" s="5">
        <v>50772</v>
      </c>
      <c r="D345" s="6" t="s">
        <v>335</v>
      </c>
      <c r="E345" s="4">
        <v>2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7">
        <v>0</v>
      </c>
      <c r="Y345" s="18">
        <v>0</v>
      </c>
      <c r="Z345" s="14">
        <v>0</v>
      </c>
      <c r="AA345" s="14">
        <v>0</v>
      </c>
      <c r="AB345" s="23">
        <v>0</v>
      </c>
      <c r="AC345" s="10">
        <v>0</v>
      </c>
      <c r="AD345" s="10">
        <v>0</v>
      </c>
      <c r="AE345" s="1" t="s">
        <v>540</v>
      </c>
    </row>
    <row r="346" spans="1:31" ht="16.5" customHeight="1" x14ac:dyDescent="0.35">
      <c r="A346" s="4">
        <v>210</v>
      </c>
      <c r="B346" s="4" t="str">
        <f>LOOKUP(A346,Lookup!$A$1:$A$34,Lookup!$B$1:$B$34)</f>
        <v>INGREDIENTS</v>
      </c>
      <c r="C346" s="5">
        <v>51657</v>
      </c>
      <c r="D346" s="6" t="s">
        <v>336</v>
      </c>
      <c r="E346" s="4">
        <v>2</v>
      </c>
      <c r="F346" s="10">
        <v>0</v>
      </c>
      <c r="G346" s="10">
        <v>0</v>
      </c>
      <c r="H346" s="10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7">
        <v>0</v>
      </c>
      <c r="Y346" s="18">
        <v>0</v>
      </c>
      <c r="Z346" s="14">
        <v>0</v>
      </c>
      <c r="AA346" s="14">
        <v>0</v>
      </c>
      <c r="AB346" s="23">
        <v>0</v>
      </c>
      <c r="AC346" s="10">
        <v>0</v>
      </c>
      <c r="AD346" s="10">
        <v>0</v>
      </c>
      <c r="AE346" s="1" t="s">
        <v>540</v>
      </c>
    </row>
    <row r="347" spans="1:31" ht="16.5" customHeight="1" x14ac:dyDescent="0.35">
      <c r="A347" s="4">
        <v>210</v>
      </c>
      <c r="B347" s="4" t="str">
        <f>LOOKUP(A347,Lookup!$A$1:$A$34,Lookup!$B$1:$B$34)</f>
        <v>INGREDIENTS</v>
      </c>
      <c r="C347" s="5">
        <v>51713</v>
      </c>
      <c r="D347" s="6" t="s">
        <v>337</v>
      </c>
      <c r="E347" s="4">
        <v>2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7">
        <v>0</v>
      </c>
      <c r="Y347" s="18">
        <v>0</v>
      </c>
      <c r="Z347" s="14">
        <v>0</v>
      </c>
      <c r="AA347" s="14">
        <v>0</v>
      </c>
      <c r="AB347" s="23">
        <v>0</v>
      </c>
      <c r="AC347" s="10">
        <v>0</v>
      </c>
      <c r="AD347" s="10">
        <v>0</v>
      </c>
      <c r="AE347" s="1" t="s">
        <v>540</v>
      </c>
    </row>
    <row r="348" spans="1:31" ht="16.5" customHeight="1" x14ac:dyDescent="0.35">
      <c r="A348" s="4">
        <v>210</v>
      </c>
      <c r="B348" s="4" t="str">
        <f>LOOKUP(A348,Lookup!$A$1:$A$34,Lookup!$B$1:$B$34)</f>
        <v>INGREDIENTS</v>
      </c>
      <c r="C348" s="5">
        <v>51803</v>
      </c>
      <c r="D348" s="6" t="s">
        <v>338</v>
      </c>
      <c r="E348" s="4">
        <v>2</v>
      </c>
      <c r="F348" s="10">
        <v>0</v>
      </c>
      <c r="G348" s="10">
        <v>0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7">
        <v>0</v>
      </c>
      <c r="Y348" s="18">
        <v>0</v>
      </c>
      <c r="Z348" s="14">
        <v>0</v>
      </c>
      <c r="AA348" s="14">
        <v>0</v>
      </c>
      <c r="AB348" s="23">
        <v>0</v>
      </c>
      <c r="AC348" s="10">
        <v>0</v>
      </c>
      <c r="AD348" s="10">
        <v>0</v>
      </c>
      <c r="AE348" s="1" t="s">
        <v>540</v>
      </c>
    </row>
    <row r="349" spans="1:31" ht="16.5" customHeight="1" x14ac:dyDescent="0.35">
      <c r="A349" s="4">
        <v>210</v>
      </c>
      <c r="B349" s="4" t="str">
        <f>LOOKUP(A349,Lookup!$A$1:$A$34,Lookup!$B$1:$B$34)</f>
        <v>INGREDIENTS</v>
      </c>
      <c r="C349" s="5">
        <v>51804</v>
      </c>
      <c r="D349" s="6" t="s">
        <v>339</v>
      </c>
      <c r="E349" s="4">
        <v>2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7">
        <v>0</v>
      </c>
      <c r="Y349" s="18">
        <v>0</v>
      </c>
      <c r="Z349" s="14">
        <v>0</v>
      </c>
      <c r="AA349" s="14">
        <v>0</v>
      </c>
      <c r="AB349" s="23">
        <v>0</v>
      </c>
      <c r="AC349" s="10">
        <v>0</v>
      </c>
      <c r="AD349" s="10">
        <v>0</v>
      </c>
      <c r="AE349" s="1" t="s">
        <v>540</v>
      </c>
    </row>
    <row r="350" spans="1:31" ht="16.5" customHeight="1" x14ac:dyDescent="0.35">
      <c r="A350" s="4">
        <v>210</v>
      </c>
      <c r="B350" s="4" t="str">
        <f>LOOKUP(A350,Lookup!$A$1:$A$34,Lookup!$B$1:$B$34)</f>
        <v>INGREDIENTS</v>
      </c>
      <c r="C350" s="5">
        <v>52219</v>
      </c>
      <c r="D350" s="6" t="s">
        <v>340</v>
      </c>
      <c r="E350" s="4">
        <v>2</v>
      </c>
      <c r="F350" s="10">
        <v>0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7">
        <v>0</v>
      </c>
      <c r="Y350" s="18">
        <v>0</v>
      </c>
      <c r="Z350" s="14">
        <v>0</v>
      </c>
      <c r="AA350" s="14">
        <v>0</v>
      </c>
      <c r="AB350" s="23">
        <v>0</v>
      </c>
      <c r="AC350" s="10">
        <v>0</v>
      </c>
      <c r="AD350" s="10">
        <v>0</v>
      </c>
      <c r="AE350" s="1" t="s">
        <v>540</v>
      </c>
    </row>
    <row r="351" spans="1:31" ht="16.5" customHeight="1" x14ac:dyDescent="0.35">
      <c r="A351" s="4">
        <v>210</v>
      </c>
      <c r="B351" s="4" t="str">
        <f>LOOKUP(A351,Lookup!$A$1:$A$34,Lookup!$B$1:$B$34)</f>
        <v>INGREDIENTS</v>
      </c>
      <c r="C351" s="5">
        <v>53701</v>
      </c>
      <c r="D351" s="6" t="s">
        <v>341</v>
      </c>
      <c r="E351" s="4">
        <v>2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10">
        <v>0</v>
      </c>
      <c r="X351" s="17">
        <v>0</v>
      </c>
      <c r="Y351" s="18">
        <v>0</v>
      </c>
      <c r="Z351" s="14">
        <v>0</v>
      </c>
      <c r="AA351" s="14">
        <v>0</v>
      </c>
      <c r="AB351" s="23">
        <v>0</v>
      </c>
      <c r="AC351" s="10">
        <v>0</v>
      </c>
      <c r="AD351" s="10">
        <v>0</v>
      </c>
      <c r="AE351" s="1" t="s">
        <v>540</v>
      </c>
    </row>
    <row r="352" spans="1:31" ht="16.5" customHeight="1" x14ac:dyDescent="0.35">
      <c r="A352" s="4">
        <v>210</v>
      </c>
      <c r="B352" s="4" t="str">
        <f>LOOKUP(A352,Lookup!$A$1:$A$34,Lookup!$B$1:$B$34)</f>
        <v>INGREDIENTS</v>
      </c>
      <c r="C352" s="5">
        <v>53805</v>
      </c>
      <c r="D352" s="6" t="s">
        <v>342</v>
      </c>
      <c r="E352" s="4">
        <v>2</v>
      </c>
      <c r="F352" s="10">
        <v>0</v>
      </c>
      <c r="G352" s="10">
        <v>0</v>
      </c>
      <c r="H352" s="10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7">
        <v>0</v>
      </c>
      <c r="Y352" s="18">
        <v>0</v>
      </c>
      <c r="Z352" s="14">
        <v>0</v>
      </c>
      <c r="AA352" s="14">
        <v>0</v>
      </c>
      <c r="AB352" s="23">
        <v>0</v>
      </c>
      <c r="AC352" s="10">
        <v>0</v>
      </c>
      <c r="AD352" s="10">
        <v>0</v>
      </c>
      <c r="AE352" s="1" t="s">
        <v>540</v>
      </c>
    </row>
    <row r="353" spans="1:31" ht="16.5" customHeight="1" x14ac:dyDescent="0.35">
      <c r="A353" s="4">
        <v>210</v>
      </c>
      <c r="B353" s="4" t="str">
        <f>LOOKUP(A353,Lookup!$A$1:$A$34,Lookup!$B$1:$B$34)</f>
        <v>INGREDIENTS</v>
      </c>
      <c r="C353" s="5">
        <v>55892</v>
      </c>
      <c r="D353" s="6" t="s">
        <v>343</v>
      </c>
      <c r="E353" s="4">
        <v>2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0</v>
      </c>
      <c r="W353" s="10">
        <v>0</v>
      </c>
      <c r="X353" s="17">
        <v>0</v>
      </c>
      <c r="Y353" s="18">
        <v>0</v>
      </c>
      <c r="Z353" s="14">
        <v>0</v>
      </c>
      <c r="AA353" s="14">
        <v>0</v>
      </c>
      <c r="AB353" s="23">
        <v>0</v>
      </c>
      <c r="AC353" s="10">
        <v>0</v>
      </c>
      <c r="AD353" s="10">
        <v>0</v>
      </c>
      <c r="AE353" s="1" t="s">
        <v>540</v>
      </c>
    </row>
    <row r="354" spans="1:31" ht="16.5" customHeight="1" x14ac:dyDescent="0.35">
      <c r="A354" s="4">
        <v>210</v>
      </c>
      <c r="B354" s="4" t="str">
        <f>LOOKUP(A354,Lookup!$A$1:$A$34,Lookup!$B$1:$B$34)</f>
        <v>INGREDIENTS</v>
      </c>
      <c r="C354" s="5">
        <v>62429</v>
      </c>
      <c r="D354" s="6" t="s">
        <v>344</v>
      </c>
      <c r="E354" s="4">
        <v>2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7">
        <v>0</v>
      </c>
      <c r="Y354" s="18">
        <v>0</v>
      </c>
      <c r="Z354" s="14">
        <v>0</v>
      </c>
      <c r="AA354" s="14">
        <v>0</v>
      </c>
      <c r="AB354" s="23">
        <v>0</v>
      </c>
      <c r="AC354" s="10">
        <v>0</v>
      </c>
      <c r="AD354" s="10">
        <v>0</v>
      </c>
      <c r="AE354" s="1" t="s">
        <v>540</v>
      </c>
    </row>
    <row r="355" spans="1:31" ht="16.5" customHeight="1" x14ac:dyDescent="0.35">
      <c r="A355" s="4">
        <v>210</v>
      </c>
      <c r="B355" s="4" t="str">
        <f>LOOKUP(A355,Lookup!$A$1:$A$34,Lookup!$B$1:$B$34)</f>
        <v>INGREDIENTS</v>
      </c>
      <c r="C355" s="5">
        <v>63272</v>
      </c>
      <c r="D355" s="6" t="s">
        <v>345</v>
      </c>
      <c r="E355" s="4">
        <v>2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7">
        <v>0</v>
      </c>
      <c r="Y355" s="18">
        <v>0</v>
      </c>
      <c r="Z355" s="14">
        <v>0</v>
      </c>
      <c r="AA355" s="14">
        <v>0</v>
      </c>
      <c r="AB355" s="23">
        <v>0</v>
      </c>
      <c r="AC355" s="10">
        <v>0</v>
      </c>
      <c r="AD355" s="10">
        <v>0</v>
      </c>
      <c r="AE355" s="1" t="s">
        <v>540</v>
      </c>
    </row>
    <row r="356" spans="1:31" ht="16.5" customHeight="1" x14ac:dyDescent="0.35">
      <c r="A356" s="4">
        <v>210</v>
      </c>
      <c r="B356" s="4" t="str">
        <f>LOOKUP(A356,Lookup!$A$1:$A$34,Lookup!$B$1:$B$34)</f>
        <v>INGREDIENTS</v>
      </c>
      <c r="C356" s="5">
        <v>63273</v>
      </c>
      <c r="D356" s="6" t="s">
        <v>346</v>
      </c>
      <c r="E356" s="4">
        <v>2</v>
      </c>
      <c r="F356" s="10">
        <v>0</v>
      </c>
      <c r="G356" s="10">
        <v>0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7">
        <v>0</v>
      </c>
      <c r="Y356" s="18">
        <v>0</v>
      </c>
      <c r="Z356" s="14">
        <v>0</v>
      </c>
      <c r="AA356" s="14">
        <v>0</v>
      </c>
      <c r="AB356" s="23">
        <v>0</v>
      </c>
      <c r="AC356" s="10">
        <v>0</v>
      </c>
      <c r="AD356" s="10">
        <v>0</v>
      </c>
      <c r="AE356" s="1" t="s">
        <v>540</v>
      </c>
    </row>
    <row r="357" spans="1:31" ht="16.5" customHeight="1" x14ac:dyDescent="0.35">
      <c r="A357" s="4">
        <v>210</v>
      </c>
      <c r="B357" s="4" t="str">
        <f>LOOKUP(A357,Lookup!$A$1:$A$34,Lookup!$B$1:$B$34)</f>
        <v>INGREDIENTS</v>
      </c>
      <c r="C357" s="5">
        <v>63274</v>
      </c>
      <c r="D357" s="6" t="s">
        <v>347</v>
      </c>
      <c r="E357" s="4">
        <v>2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7">
        <v>0</v>
      </c>
      <c r="Y357" s="18">
        <v>0</v>
      </c>
      <c r="Z357" s="14">
        <v>0</v>
      </c>
      <c r="AA357" s="14">
        <v>0</v>
      </c>
      <c r="AB357" s="23">
        <v>0</v>
      </c>
      <c r="AC357" s="10">
        <v>0</v>
      </c>
      <c r="AD357" s="10">
        <v>0</v>
      </c>
      <c r="AE357" s="1" t="s">
        <v>540</v>
      </c>
    </row>
    <row r="358" spans="1:31" ht="16.5" customHeight="1" x14ac:dyDescent="0.35">
      <c r="A358" s="4">
        <v>210</v>
      </c>
      <c r="B358" s="4" t="str">
        <f>LOOKUP(A358,Lookup!$A$1:$A$34,Lookup!$B$1:$B$34)</f>
        <v>INGREDIENTS</v>
      </c>
      <c r="C358" s="5">
        <v>63361</v>
      </c>
      <c r="D358" s="6" t="s">
        <v>348</v>
      </c>
      <c r="E358" s="4">
        <v>2</v>
      </c>
      <c r="F358" s="10">
        <v>0</v>
      </c>
      <c r="G358" s="10">
        <v>0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7">
        <v>0</v>
      </c>
      <c r="Y358" s="18">
        <v>0</v>
      </c>
      <c r="Z358" s="14">
        <v>0</v>
      </c>
      <c r="AA358" s="14">
        <v>0</v>
      </c>
      <c r="AB358" s="23">
        <v>0</v>
      </c>
      <c r="AC358" s="10">
        <v>0</v>
      </c>
      <c r="AD358" s="10">
        <v>0</v>
      </c>
      <c r="AE358" s="1" t="s">
        <v>540</v>
      </c>
    </row>
    <row r="359" spans="1:31" ht="16.5" customHeight="1" x14ac:dyDescent="0.35">
      <c r="A359" s="4">
        <v>210</v>
      </c>
      <c r="B359" s="4" t="str">
        <f>LOOKUP(A359,Lookup!$A$1:$A$34,Lookup!$B$1:$B$34)</f>
        <v>INGREDIENTS</v>
      </c>
      <c r="C359" s="5">
        <v>63362</v>
      </c>
      <c r="D359" s="6" t="s">
        <v>349</v>
      </c>
      <c r="E359" s="4">
        <v>2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  <c r="V359" s="10">
        <v>0</v>
      </c>
      <c r="W359" s="10">
        <v>0</v>
      </c>
      <c r="X359" s="17">
        <v>0</v>
      </c>
      <c r="Y359" s="18">
        <v>0</v>
      </c>
      <c r="Z359" s="14">
        <v>0</v>
      </c>
      <c r="AA359" s="14">
        <v>0</v>
      </c>
      <c r="AB359" s="23">
        <v>0</v>
      </c>
      <c r="AC359" s="10">
        <v>0</v>
      </c>
      <c r="AD359" s="10">
        <v>0</v>
      </c>
      <c r="AE359" s="1" t="s">
        <v>540</v>
      </c>
    </row>
    <row r="360" spans="1:31" ht="16.5" customHeight="1" x14ac:dyDescent="0.35">
      <c r="A360" s="4">
        <v>210</v>
      </c>
      <c r="B360" s="4" t="str">
        <f>LOOKUP(A360,Lookup!$A$1:$A$34,Lookup!$B$1:$B$34)</f>
        <v>INGREDIENTS</v>
      </c>
      <c r="C360" s="5">
        <v>63397</v>
      </c>
      <c r="D360" s="6" t="s">
        <v>350</v>
      </c>
      <c r="E360" s="4">
        <v>2</v>
      </c>
      <c r="F360" s="10">
        <v>0</v>
      </c>
      <c r="G360" s="10">
        <v>0</v>
      </c>
      <c r="H360" s="10">
        <v>0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v>0</v>
      </c>
      <c r="W360" s="10">
        <v>0</v>
      </c>
      <c r="X360" s="17">
        <v>0</v>
      </c>
      <c r="Y360" s="18">
        <v>0</v>
      </c>
      <c r="Z360" s="14">
        <v>0</v>
      </c>
      <c r="AA360" s="14">
        <v>0</v>
      </c>
      <c r="AB360" s="23">
        <v>0</v>
      </c>
      <c r="AC360" s="10">
        <v>0</v>
      </c>
      <c r="AD360" s="10">
        <v>0</v>
      </c>
      <c r="AE360" s="1" t="s">
        <v>540</v>
      </c>
    </row>
    <row r="361" spans="1:31" ht="16.5" customHeight="1" x14ac:dyDescent="0.35">
      <c r="A361" s="4">
        <v>210</v>
      </c>
      <c r="B361" s="4" t="str">
        <f>LOOKUP(A361,Lookup!$A$1:$A$34,Lookup!$B$1:$B$34)</f>
        <v>INGREDIENTS</v>
      </c>
      <c r="C361" s="5">
        <v>63465</v>
      </c>
      <c r="D361" s="6" t="s">
        <v>110</v>
      </c>
      <c r="E361" s="4">
        <v>2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7">
        <v>0</v>
      </c>
      <c r="Y361" s="18">
        <v>0</v>
      </c>
      <c r="Z361" s="14">
        <v>0</v>
      </c>
      <c r="AA361" s="14">
        <v>0</v>
      </c>
      <c r="AB361" s="23">
        <v>0</v>
      </c>
      <c r="AC361" s="10">
        <v>0</v>
      </c>
      <c r="AD361" s="10">
        <v>0</v>
      </c>
      <c r="AE361" s="1" t="s">
        <v>540</v>
      </c>
    </row>
    <row r="362" spans="1:31" ht="16.5" customHeight="1" x14ac:dyDescent="0.35">
      <c r="A362" s="4">
        <v>207</v>
      </c>
      <c r="B362" s="4" t="str">
        <f>LOOKUP(A362,Lookup!$A$1:$A$34,Lookup!$B$1:$B$34)</f>
        <v>PORK</v>
      </c>
      <c r="C362" s="5">
        <v>14926</v>
      </c>
      <c r="D362" s="6" t="s">
        <v>217</v>
      </c>
      <c r="E362" s="4">
        <v>2</v>
      </c>
      <c r="F362" s="10">
        <v>152.13043478260869</v>
      </c>
      <c r="G362" s="10">
        <v>5</v>
      </c>
      <c r="H362" s="10">
        <v>182.55652173913043</v>
      </c>
      <c r="I362" s="10">
        <v>6</v>
      </c>
      <c r="J362" s="10">
        <v>182.55652173913043</v>
      </c>
      <c r="K362" s="10">
        <v>6</v>
      </c>
      <c r="L362" s="10">
        <v>91.278260869565216</v>
      </c>
      <c r="M362" s="10">
        <v>3</v>
      </c>
      <c r="N362" s="10">
        <v>150.60869565217394</v>
      </c>
      <c r="O362" s="10">
        <v>5</v>
      </c>
      <c r="P362" s="10">
        <v>121.70434782608696</v>
      </c>
      <c r="Q362" s="10">
        <v>4</v>
      </c>
      <c r="R362" s="10">
        <v>243.40869565217386</v>
      </c>
      <c r="S362" s="10">
        <v>8</v>
      </c>
      <c r="T362" s="10">
        <v>273.8347826086956</v>
      </c>
      <c r="U362" s="10">
        <v>9</v>
      </c>
      <c r="V362" s="10">
        <v>121.70434782608696</v>
      </c>
      <c r="W362" s="10">
        <v>4</v>
      </c>
      <c r="X362" s="17">
        <v>273.8347826086956</v>
      </c>
      <c r="Y362" s="18">
        <v>9</v>
      </c>
      <c r="Z362" s="14">
        <v>1519.782608695652</v>
      </c>
      <c r="AA362" s="14">
        <v>50</v>
      </c>
      <c r="AB362" s="23">
        <v>9</v>
      </c>
      <c r="AC362" s="10">
        <v>168.8647342995169</v>
      </c>
      <c r="AD362" s="10">
        <v>5.5555555555555554</v>
      </c>
      <c r="AE362" s="1" t="s">
        <v>542</v>
      </c>
    </row>
    <row r="363" spans="1:31" ht="16.5" customHeight="1" x14ac:dyDescent="0.35">
      <c r="A363" s="4">
        <v>210</v>
      </c>
      <c r="B363" s="4" t="str">
        <f>LOOKUP(A363,Lookup!$A$1:$A$34,Lookup!$B$1:$B$34)</f>
        <v>INGREDIENTS</v>
      </c>
      <c r="C363" s="5">
        <v>63722</v>
      </c>
      <c r="D363" s="6" t="s">
        <v>352</v>
      </c>
      <c r="E363" s="4">
        <v>2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7">
        <v>0</v>
      </c>
      <c r="Y363" s="18">
        <v>0</v>
      </c>
      <c r="Z363" s="14">
        <v>0</v>
      </c>
      <c r="AA363" s="14">
        <v>0</v>
      </c>
      <c r="AB363" s="23">
        <v>0</v>
      </c>
      <c r="AC363" s="10">
        <v>0</v>
      </c>
      <c r="AD363" s="10">
        <v>0</v>
      </c>
      <c r="AE363" s="1" t="s">
        <v>540</v>
      </c>
    </row>
    <row r="364" spans="1:31" ht="16.5" customHeight="1" x14ac:dyDescent="0.35">
      <c r="A364" s="4">
        <v>210</v>
      </c>
      <c r="B364" s="4" t="str">
        <f>LOOKUP(A364,Lookup!$A$1:$A$34,Lookup!$B$1:$B$34)</f>
        <v>INGREDIENTS</v>
      </c>
      <c r="C364" s="5">
        <v>63723</v>
      </c>
      <c r="D364" s="6" t="s">
        <v>353</v>
      </c>
      <c r="E364" s="4">
        <v>2</v>
      </c>
      <c r="F364" s="10">
        <v>0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7">
        <v>0</v>
      </c>
      <c r="Y364" s="18">
        <v>0</v>
      </c>
      <c r="Z364" s="14">
        <v>0</v>
      </c>
      <c r="AA364" s="14">
        <v>0</v>
      </c>
      <c r="AB364" s="23">
        <v>0</v>
      </c>
      <c r="AC364" s="10">
        <v>0</v>
      </c>
      <c r="AD364" s="10">
        <v>0</v>
      </c>
      <c r="AE364" s="1" t="s">
        <v>540</v>
      </c>
    </row>
    <row r="365" spans="1:31" ht="16.5" customHeight="1" x14ac:dyDescent="0.35">
      <c r="A365" s="4">
        <v>210</v>
      </c>
      <c r="B365" s="4" t="str">
        <f>LOOKUP(A365,Lookup!$A$1:$A$34,Lookup!$B$1:$B$34)</f>
        <v>INGREDIENTS</v>
      </c>
      <c r="C365" s="5">
        <v>65437</v>
      </c>
      <c r="D365" s="6" t="s">
        <v>354</v>
      </c>
      <c r="E365" s="4">
        <v>2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  <c r="V365" s="10">
        <v>0</v>
      </c>
      <c r="W365" s="10">
        <v>0</v>
      </c>
      <c r="X365" s="17">
        <v>0</v>
      </c>
      <c r="Y365" s="18">
        <v>0</v>
      </c>
      <c r="Z365" s="14">
        <v>0</v>
      </c>
      <c r="AA365" s="14">
        <v>0</v>
      </c>
      <c r="AB365" s="23">
        <v>0</v>
      </c>
      <c r="AC365" s="10">
        <v>0</v>
      </c>
      <c r="AD365" s="10">
        <v>0</v>
      </c>
      <c r="AE365" s="1" t="s">
        <v>540</v>
      </c>
    </row>
    <row r="366" spans="1:31" ht="16.5" customHeight="1" x14ac:dyDescent="0.35">
      <c r="A366" s="4">
        <v>210</v>
      </c>
      <c r="B366" s="4" t="str">
        <f>LOOKUP(A366,Lookup!$A$1:$A$34,Lookup!$B$1:$B$34)</f>
        <v>INGREDIENTS</v>
      </c>
      <c r="C366" s="5">
        <v>66557</v>
      </c>
      <c r="D366" s="6" t="s">
        <v>355</v>
      </c>
      <c r="E366" s="4">
        <v>2</v>
      </c>
      <c r="F366" s="10">
        <v>0</v>
      </c>
      <c r="G366" s="10">
        <v>0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7">
        <v>0</v>
      </c>
      <c r="Y366" s="18">
        <v>0</v>
      </c>
      <c r="Z366" s="14">
        <v>0</v>
      </c>
      <c r="AA366" s="14">
        <v>0</v>
      </c>
      <c r="AB366" s="23">
        <v>0</v>
      </c>
      <c r="AC366" s="10">
        <v>0</v>
      </c>
      <c r="AD366" s="10">
        <v>0</v>
      </c>
      <c r="AE366" s="1" t="s">
        <v>540</v>
      </c>
    </row>
    <row r="367" spans="1:31" ht="16.5" customHeight="1" x14ac:dyDescent="0.35">
      <c r="A367" s="4">
        <v>210</v>
      </c>
      <c r="B367" s="4" t="str">
        <f>LOOKUP(A367,Lookup!$A$1:$A$34,Lookup!$B$1:$B$34)</f>
        <v>INGREDIENTS</v>
      </c>
      <c r="C367" s="5">
        <v>66708</v>
      </c>
      <c r="D367" s="6" t="s">
        <v>356</v>
      </c>
      <c r="E367" s="4">
        <v>2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7">
        <v>0</v>
      </c>
      <c r="Y367" s="18">
        <v>0</v>
      </c>
      <c r="Z367" s="14">
        <v>0</v>
      </c>
      <c r="AA367" s="14">
        <v>0</v>
      </c>
      <c r="AB367" s="23">
        <v>0</v>
      </c>
      <c r="AC367" s="10">
        <v>0</v>
      </c>
      <c r="AD367" s="10">
        <v>0</v>
      </c>
      <c r="AE367" s="1" t="s">
        <v>540</v>
      </c>
    </row>
    <row r="368" spans="1:31" ht="16.5" customHeight="1" x14ac:dyDescent="0.35">
      <c r="A368" s="4">
        <v>210</v>
      </c>
      <c r="B368" s="4" t="str">
        <f>LOOKUP(A368,Lookup!$A$1:$A$34,Lookup!$B$1:$B$34)</f>
        <v>INGREDIENTS</v>
      </c>
      <c r="C368" s="5">
        <v>99990210</v>
      </c>
      <c r="D368" s="6" t="s">
        <v>357</v>
      </c>
      <c r="E368" s="4">
        <v>2</v>
      </c>
      <c r="F368" s="10">
        <v>0</v>
      </c>
      <c r="G368" s="10">
        <v>0</v>
      </c>
      <c r="H368" s="10">
        <v>0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  <c r="X368" s="17">
        <v>0</v>
      </c>
      <c r="Y368" s="18">
        <v>0</v>
      </c>
      <c r="Z368" s="14">
        <v>0</v>
      </c>
      <c r="AA368" s="14">
        <v>0</v>
      </c>
      <c r="AB368" s="23">
        <v>0</v>
      </c>
      <c r="AC368" s="10">
        <v>0</v>
      </c>
      <c r="AD368" s="10">
        <v>0</v>
      </c>
      <c r="AE368" s="1" t="s">
        <v>540</v>
      </c>
    </row>
    <row r="369" spans="1:31" ht="16.5" customHeight="1" x14ac:dyDescent="0.35">
      <c r="A369" s="4">
        <v>212</v>
      </c>
      <c r="B369" s="4" t="str">
        <f>LOOKUP(A369,Lookup!$A$1:$A$34,Lookup!$B$1:$B$34)</f>
        <v>SMOKED CHICKEN</v>
      </c>
      <c r="C369" s="5">
        <v>53700</v>
      </c>
      <c r="D369" s="6" t="s">
        <v>358</v>
      </c>
      <c r="E369" s="4">
        <v>2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7">
        <v>0</v>
      </c>
      <c r="Y369" s="18">
        <v>0</v>
      </c>
      <c r="Z369" s="14">
        <v>0</v>
      </c>
      <c r="AA369" s="14">
        <v>0</v>
      </c>
      <c r="AB369" s="23">
        <v>0</v>
      </c>
      <c r="AC369" s="10">
        <v>0</v>
      </c>
      <c r="AD369" s="10">
        <v>0</v>
      </c>
      <c r="AE369" s="1" t="s">
        <v>540</v>
      </c>
    </row>
    <row r="370" spans="1:31" ht="16.5" customHeight="1" x14ac:dyDescent="0.35">
      <c r="A370" s="4">
        <v>213</v>
      </c>
      <c r="B370" s="4" t="str">
        <f>LOOKUP(A370,Lookup!$A$1:$A$34,Lookup!$B$1:$B$34)</f>
        <v>BILT&amp;DROEWORS OWN</v>
      </c>
      <c r="C370" s="5">
        <v>32045</v>
      </c>
      <c r="D370" s="6" t="s">
        <v>359</v>
      </c>
      <c r="E370" s="4">
        <v>2</v>
      </c>
      <c r="F370" s="10">
        <v>0</v>
      </c>
      <c r="G370" s="10">
        <v>0</v>
      </c>
      <c r="H370" s="10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7">
        <v>0</v>
      </c>
      <c r="Y370" s="18">
        <v>0</v>
      </c>
      <c r="Z370" s="14">
        <v>0</v>
      </c>
      <c r="AA370" s="14">
        <v>0</v>
      </c>
      <c r="AB370" s="23">
        <v>0</v>
      </c>
      <c r="AC370" s="10">
        <v>0</v>
      </c>
      <c r="AD370" s="10">
        <v>0</v>
      </c>
      <c r="AE370" s="1" t="s">
        <v>540</v>
      </c>
    </row>
    <row r="371" spans="1:31" ht="16.5" customHeight="1" x14ac:dyDescent="0.35">
      <c r="A371" s="4">
        <v>210</v>
      </c>
      <c r="B371" s="4" t="str">
        <f>LOOKUP(A371,Lookup!$A$1:$A$34,Lookup!$B$1:$B$34)</f>
        <v>INGREDIENTS</v>
      </c>
      <c r="C371" s="5">
        <v>63498</v>
      </c>
      <c r="D371" s="6" t="s">
        <v>351</v>
      </c>
      <c r="E371" s="4">
        <v>2</v>
      </c>
      <c r="F371" s="10">
        <v>596.57391304347823</v>
      </c>
      <c r="G371" s="10">
        <v>5.2779999999999996</v>
      </c>
      <c r="H371" s="10">
        <v>275.4869565217391</v>
      </c>
      <c r="I371" s="10">
        <v>2.4820000000000002</v>
      </c>
      <c r="J371" s="10">
        <v>1001.704347826087</v>
      </c>
      <c r="K371" s="10">
        <v>8.8620000000000001</v>
      </c>
      <c r="L371" s="10">
        <v>2458.9130434782605</v>
      </c>
      <c r="M371" s="10">
        <v>21.754000000000001</v>
      </c>
      <c r="N371" s="10">
        <v>1148.3652173913042</v>
      </c>
      <c r="O371" s="10">
        <v>10.194000000000001</v>
      </c>
      <c r="P371" s="10">
        <v>1849.6782608695653</v>
      </c>
      <c r="Q371" s="10">
        <v>16.364000000000001</v>
      </c>
      <c r="R371" s="10">
        <v>399.40869565217395</v>
      </c>
      <c r="S371" s="10">
        <v>3.5739999999999998</v>
      </c>
      <c r="T371" s="10">
        <v>394.25217391304346</v>
      </c>
      <c r="U371" s="10">
        <v>3.5419999999999998</v>
      </c>
      <c r="V371" s="10">
        <v>1152.9304347826087</v>
      </c>
      <c r="W371" s="10">
        <v>10.199999999999999</v>
      </c>
      <c r="X371" s="17">
        <v>2458.9130434782605</v>
      </c>
      <c r="Y371" s="18">
        <v>21.754000000000001</v>
      </c>
      <c r="Z371" s="14">
        <v>9277.3130434782615</v>
      </c>
      <c r="AA371" s="14">
        <v>82.250000000000014</v>
      </c>
      <c r="AB371" s="23">
        <v>9</v>
      </c>
      <c r="AC371" s="10">
        <v>1030.8125603864735</v>
      </c>
      <c r="AD371" s="10">
        <v>9.1388888888888911</v>
      </c>
      <c r="AE371" s="1" t="s">
        <v>542</v>
      </c>
    </row>
    <row r="372" spans="1:31" ht="16.5" customHeight="1" x14ac:dyDescent="0.35">
      <c r="A372" s="4">
        <v>213</v>
      </c>
      <c r="B372" s="4" t="str">
        <f>LOOKUP(A372,Lookup!$A$1:$A$34,Lookup!$B$1:$B$34)</f>
        <v>BILT&amp;DROEWORS OWN</v>
      </c>
      <c r="C372" s="5">
        <v>34188</v>
      </c>
      <c r="D372" s="6" t="s">
        <v>361</v>
      </c>
      <c r="E372" s="4">
        <v>2</v>
      </c>
      <c r="F372" s="10">
        <v>0</v>
      </c>
      <c r="G372" s="10">
        <v>0</v>
      </c>
      <c r="H372" s="10">
        <v>0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7">
        <v>0</v>
      </c>
      <c r="Y372" s="18">
        <v>0</v>
      </c>
      <c r="Z372" s="14">
        <v>0</v>
      </c>
      <c r="AA372" s="14">
        <v>0</v>
      </c>
      <c r="AB372" s="23">
        <v>0</v>
      </c>
      <c r="AC372" s="10">
        <v>0</v>
      </c>
      <c r="AD372" s="10">
        <v>0</v>
      </c>
      <c r="AE372" s="1" t="s">
        <v>540</v>
      </c>
    </row>
    <row r="373" spans="1:31" ht="16.5" customHeight="1" x14ac:dyDescent="0.35">
      <c r="A373" s="4">
        <v>213</v>
      </c>
      <c r="B373" s="4" t="str">
        <f>LOOKUP(A373,Lookup!$A$1:$A$34,Lookup!$B$1:$B$34)</f>
        <v>BILT&amp;DROEWORS OWN</v>
      </c>
      <c r="C373" s="5">
        <v>53986</v>
      </c>
      <c r="D373" s="6" t="s">
        <v>362</v>
      </c>
      <c r="E373" s="4">
        <v>2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7">
        <v>0</v>
      </c>
      <c r="Y373" s="18">
        <v>0</v>
      </c>
      <c r="Z373" s="14">
        <v>0</v>
      </c>
      <c r="AA373" s="14">
        <v>0</v>
      </c>
      <c r="AB373" s="23">
        <v>0</v>
      </c>
      <c r="AC373" s="10">
        <v>0</v>
      </c>
      <c r="AD373" s="10">
        <v>0</v>
      </c>
      <c r="AE373" s="1" t="s">
        <v>540</v>
      </c>
    </row>
    <row r="374" spans="1:31" ht="16.5" customHeight="1" x14ac:dyDescent="0.35">
      <c r="A374" s="4">
        <v>214</v>
      </c>
      <c r="B374" s="4" t="str">
        <f>LOOKUP(A374,Lookup!$A$1:$A$34,Lookup!$B$1:$B$34)</f>
        <v>BUTCHERY OSTRICH</v>
      </c>
      <c r="C374" s="5">
        <v>11617</v>
      </c>
      <c r="D374" s="6" t="s">
        <v>363</v>
      </c>
      <c r="E374" s="4">
        <v>2</v>
      </c>
      <c r="F374" s="10">
        <v>0</v>
      </c>
      <c r="G374" s="10">
        <v>0</v>
      </c>
      <c r="H374" s="10">
        <v>0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7">
        <v>0</v>
      </c>
      <c r="Y374" s="18">
        <v>0</v>
      </c>
      <c r="Z374" s="14">
        <v>0</v>
      </c>
      <c r="AA374" s="14">
        <v>0</v>
      </c>
      <c r="AB374" s="23">
        <v>0</v>
      </c>
      <c r="AC374" s="10">
        <v>0</v>
      </c>
      <c r="AD374" s="10">
        <v>0</v>
      </c>
      <c r="AE374" s="1" t="s">
        <v>540</v>
      </c>
    </row>
    <row r="375" spans="1:31" ht="16.5" customHeight="1" x14ac:dyDescent="0.35">
      <c r="A375" s="4">
        <v>213</v>
      </c>
      <c r="B375" s="4" t="str">
        <f>LOOKUP(A375,Lookup!$A$1:$A$34,Lookup!$B$1:$B$34)</f>
        <v>BILT&amp;DROEWORS OWN</v>
      </c>
      <c r="C375" s="5">
        <v>32049</v>
      </c>
      <c r="D375" s="6" t="s">
        <v>360</v>
      </c>
      <c r="E375" s="4">
        <v>2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62.817391304347822</v>
      </c>
      <c r="O375" s="10">
        <v>0.14399999999999999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7">
        <v>62.817391304347822</v>
      </c>
      <c r="Y375" s="18">
        <v>0.14399999999999999</v>
      </c>
      <c r="Z375" s="14">
        <v>62.817391304347822</v>
      </c>
      <c r="AA375" s="14">
        <v>0.14399999999999999</v>
      </c>
      <c r="AB375" s="23">
        <v>1</v>
      </c>
      <c r="AC375" s="10">
        <v>62.817391304347822</v>
      </c>
      <c r="AD375" s="10">
        <v>0.14399999999999999</v>
      </c>
      <c r="AE375" s="1" t="s">
        <v>541</v>
      </c>
    </row>
    <row r="376" spans="1:31" ht="16.5" customHeight="1" x14ac:dyDescent="0.35">
      <c r="A376" s="4">
        <v>214</v>
      </c>
      <c r="B376" s="4" t="str">
        <f>LOOKUP(A376,Lookup!$A$1:$A$34,Lookup!$B$1:$B$34)</f>
        <v>BUTCHERY OSTRICH</v>
      </c>
      <c r="C376" s="5">
        <v>44217</v>
      </c>
      <c r="D376" s="6" t="s">
        <v>365</v>
      </c>
      <c r="E376" s="4">
        <v>2</v>
      </c>
      <c r="F376" s="10">
        <v>0</v>
      </c>
      <c r="G376" s="10">
        <v>0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7">
        <v>0</v>
      </c>
      <c r="Y376" s="18">
        <v>0</v>
      </c>
      <c r="Z376" s="14">
        <v>0</v>
      </c>
      <c r="AA376" s="14">
        <v>0</v>
      </c>
      <c r="AB376" s="23">
        <v>0</v>
      </c>
      <c r="AC376" s="10">
        <v>0</v>
      </c>
      <c r="AD376" s="10">
        <v>0</v>
      </c>
      <c r="AE376" s="1" t="s">
        <v>540</v>
      </c>
    </row>
    <row r="377" spans="1:31" ht="16.5" customHeight="1" x14ac:dyDescent="0.35">
      <c r="A377" s="4">
        <v>214</v>
      </c>
      <c r="B377" s="4" t="str">
        <f>LOOKUP(A377,Lookup!$A$1:$A$34,Lookup!$B$1:$B$34)</f>
        <v>BUTCHERY OSTRICH</v>
      </c>
      <c r="C377" s="5">
        <v>44221</v>
      </c>
      <c r="D377" s="6" t="s">
        <v>366</v>
      </c>
      <c r="E377" s="4">
        <v>2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  <c r="V377" s="10">
        <v>0</v>
      </c>
      <c r="W377" s="10">
        <v>0</v>
      </c>
      <c r="X377" s="17">
        <v>0</v>
      </c>
      <c r="Y377" s="18">
        <v>0</v>
      </c>
      <c r="Z377" s="14">
        <v>0</v>
      </c>
      <c r="AA377" s="14">
        <v>0</v>
      </c>
      <c r="AB377" s="23">
        <v>0</v>
      </c>
      <c r="AC377" s="10">
        <v>0</v>
      </c>
      <c r="AD377" s="10">
        <v>0</v>
      </c>
      <c r="AE377" s="1" t="s">
        <v>540</v>
      </c>
    </row>
    <row r="378" spans="1:31" ht="16.5" customHeight="1" x14ac:dyDescent="0.35">
      <c r="A378" s="4">
        <v>215</v>
      </c>
      <c r="B378" s="4" t="str">
        <f>LOOKUP(A378,Lookup!$A$1:$A$34,Lookup!$B$1:$B$34)</f>
        <v>BUTCHERY SNOEK</v>
      </c>
      <c r="C378" s="5">
        <v>43008</v>
      </c>
      <c r="D378" s="6" t="s">
        <v>367</v>
      </c>
      <c r="E378" s="4">
        <v>2</v>
      </c>
      <c r="F378" s="10">
        <v>0</v>
      </c>
      <c r="G378" s="10">
        <v>0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7">
        <v>0</v>
      </c>
      <c r="Y378" s="18">
        <v>0</v>
      </c>
      <c r="Z378" s="14">
        <v>0</v>
      </c>
      <c r="AA378" s="14">
        <v>0</v>
      </c>
      <c r="AB378" s="23">
        <v>0</v>
      </c>
      <c r="AC378" s="10">
        <v>0</v>
      </c>
      <c r="AD378" s="10">
        <v>0</v>
      </c>
      <c r="AE378" s="1" t="s">
        <v>540</v>
      </c>
    </row>
    <row r="379" spans="1:31" ht="16.5" customHeight="1" x14ac:dyDescent="0.35">
      <c r="A379" s="4">
        <v>214</v>
      </c>
      <c r="B379" s="4" t="str">
        <f>LOOKUP(A379,Lookup!$A$1:$A$34,Lookup!$B$1:$B$34)</f>
        <v>BUTCHERY OSTRICH</v>
      </c>
      <c r="C379" s="5">
        <v>44216</v>
      </c>
      <c r="D379" s="6" t="s">
        <v>364</v>
      </c>
      <c r="E379" s="4">
        <v>2</v>
      </c>
      <c r="F379" s="10">
        <v>782.53043478260884</v>
      </c>
      <c r="G379" s="10">
        <v>9</v>
      </c>
      <c r="H379" s="10">
        <v>173.89565217391305</v>
      </c>
      <c r="I379" s="10">
        <v>2</v>
      </c>
      <c r="J379" s="10">
        <v>521.68695652173915</v>
      </c>
      <c r="K379" s="10">
        <v>6</v>
      </c>
      <c r="L379" s="10">
        <v>347.7913043478261</v>
      </c>
      <c r="M379" s="10">
        <v>4</v>
      </c>
      <c r="N379" s="10">
        <v>434.73913043478262</v>
      </c>
      <c r="O379" s="10">
        <v>5</v>
      </c>
      <c r="P379" s="10">
        <v>347.7913043478261</v>
      </c>
      <c r="Q379" s="10">
        <v>4</v>
      </c>
      <c r="R379" s="10">
        <v>260.84347826086952</v>
      </c>
      <c r="S379" s="10">
        <v>3</v>
      </c>
      <c r="T379" s="10">
        <v>260.84347826086952</v>
      </c>
      <c r="U379" s="10">
        <v>3</v>
      </c>
      <c r="V379" s="10">
        <v>434.73913043478262</v>
      </c>
      <c r="W379" s="10">
        <v>5</v>
      </c>
      <c r="X379" s="17">
        <v>782.53043478260884</v>
      </c>
      <c r="Y379" s="18">
        <v>9</v>
      </c>
      <c r="Z379" s="14">
        <v>3564.8608695652179</v>
      </c>
      <c r="AA379" s="14">
        <v>41</v>
      </c>
      <c r="AB379" s="23">
        <v>9</v>
      </c>
      <c r="AC379" s="10">
        <v>396.09565217391309</v>
      </c>
      <c r="AD379" s="10">
        <v>4.5555555555555554</v>
      </c>
      <c r="AE379" s="1" t="s">
        <v>542</v>
      </c>
    </row>
    <row r="380" spans="1:31" ht="16.5" customHeight="1" x14ac:dyDescent="0.35">
      <c r="A380" s="4">
        <v>215</v>
      </c>
      <c r="B380" s="4" t="str">
        <f>LOOKUP(A380,Lookup!$A$1:$A$34,Lookup!$B$1:$B$34)</f>
        <v>BUTCHERY SNOEK</v>
      </c>
      <c r="C380" s="5">
        <v>51065</v>
      </c>
      <c r="D380" s="6" t="s">
        <v>369</v>
      </c>
      <c r="E380" s="4">
        <v>2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7">
        <v>0</v>
      </c>
      <c r="Y380" s="18">
        <v>0</v>
      </c>
      <c r="Z380" s="14">
        <v>0</v>
      </c>
      <c r="AA380" s="14">
        <v>0</v>
      </c>
      <c r="AB380" s="23">
        <v>0</v>
      </c>
      <c r="AC380" s="10">
        <v>0</v>
      </c>
      <c r="AD380" s="10">
        <v>0</v>
      </c>
      <c r="AE380" s="1" t="s">
        <v>540</v>
      </c>
    </row>
    <row r="381" spans="1:31" ht="16.5" customHeight="1" x14ac:dyDescent="0.35">
      <c r="A381" s="4">
        <v>215</v>
      </c>
      <c r="B381" s="4" t="str">
        <f>LOOKUP(A381,Lookup!$A$1:$A$34,Lookup!$B$1:$B$34)</f>
        <v>BUTCHERY SNOEK</v>
      </c>
      <c r="C381" s="5">
        <v>55375</v>
      </c>
      <c r="D381" s="6" t="s">
        <v>370</v>
      </c>
      <c r="E381" s="4">
        <v>2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7">
        <v>0</v>
      </c>
      <c r="Y381" s="18">
        <v>0</v>
      </c>
      <c r="Z381" s="14">
        <v>0</v>
      </c>
      <c r="AA381" s="14">
        <v>0</v>
      </c>
      <c r="AB381" s="23">
        <v>0</v>
      </c>
      <c r="AC381" s="10">
        <v>0</v>
      </c>
      <c r="AD381" s="10">
        <v>0</v>
      </c>
      <c r="AE381" s="1" t="s">
        <v>540</v>
      </c>
    </row>
    <row r="382" spans="1:31" ht="16.5" customHeight="1" x14ac:dyDescent="0.35">
      <c r="A382" s="4">
        <v>216</v>
      </c>
      <c r="B382" s="4" t="str">
        <f>LOOKUP(A382,Lookup!$A$1:$A$34,Lookup!$B$1:$B$34)</f>
        <v>BUTCH  WORS/MINCE/PAT</v>
      </c>
      <c r="C382" s="5">
        <v>2728</v>
      </c>
      <c r="D382" s="6" t="s">
        <v>371</v>
      </c>
      <c r="E382" s="4">
        <v>2</v>
      </c>
      <c r="F382" s="10">
        <v>0</v>
      </c>
      <c r="G382" s="10">
        <v>0</v>
      </c>
      <c r="H382" s="10">
        <v>0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7">
        <v>0</v>
      </c>
      <c r="Y382" s="18">
        <v>0</v>
      </c>
      <c r="Z382" s="14">
        <v>0</v>
      </c>
      <c r="AA382" s="14">
        <v>0</v>
      </c>
      <c r="AB382" s="23">
        <v>0</v>
      </c>
      <c r="AC382" s="10">
        <v>0</v>
      </c>
      <c r="AD382" s="10">
        <v>0</v>
      </c>
      <c r="AE382" s="1" t="s">
        <v>540</v>
      </c>
    </row>
    <row r="383" spans="1:31" ht="16.5" customHeight="1" x14ac:dyDescent="0.35">
      <c r="A383" s="4">
        <v>216</v>
      </c>
      <c r="B383" s="4" t="str">
        <f>LOOKUP(A383,Lookup!$A$1:$A$34,Lookup!$B$1:$B$34)</f>
        <v>BUTCH  WORS/MINCE/PAT</v>
      </c>
      <c r="C383" s="5">
        <v>2741</v>
      </c>
      <c r="D383" s="6" t="s">
        <v>372</v>
      </c>
      <c r="E383" s="4">
        <v>2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7">
        <v>0</v>
      </c>
      <c r="Y383" s="18">
        <v>0</v>
      </c>
      <c r="Z383" s="14">
        <v>0</v>
      </c>
      <c r="AA383" s="14">
        <v>0</v>
      </c>
      <c r="AB383" s="23">
        <v>0</v>
      </c>
      <c r="AC383" s="10">
        <v>0</v>
      </c>
      <c r="AD383" s="10">
        <v>0</v>
      </c>
      <c r="AE383" s="1" t="s">
        <v>540</v>
      </c>
    </row>
    <row r="384" spans="1:31" ht="16.5" customHeight="1" x14ac:dyDescent="0.35">
      <c r="A384" s="4">
        <v>216</v>
      </c>
      <c r="B384" s="4" t="str">
        <f>LOOKUP(A384,Lookup!$A$1:$A$34,Lookup!$B$1:$B$34)</f>
        <v>BUTCH  WORS/MINCE/PAT</v>
      </c>
      <c r="C384" s="5">
        <v>2743</v>
      </c>
      <c r="D384" s="6" t="s">
        <v>373</v>
      </c>
      <c r="E384" s="4">
        <v>2</v>
      </c>
      <c r="F384" s="10">
        <v>0</v>
      </c>
      <c r="G384" s="10">
        <v>0</v>
      </c>
      <c r="H384" s="10">
        <v>0</v>
      </c>
      <c r="I384" s="10">
        <v>0</v>
      </c>
      <c r="J384" s="10">
        <v>0</v>
      </c>
      <c r="K384" s="10">
        <v>0</v>
      </c>
      <c r="L384" s="10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7">
        <v>0</v>
      </c>
      <c r="Y384" s="18">
        <v>0</v>
      </c>
      <c r="Z384" s="14">
        <v>0</v>
      </c>
      <c r="AA384" s="14">
        <v>0</v>
      </c>
      <c r="AB384" s="23">
        <v>0</v>
      </c>
      <c r="AC384" s="10">
        <v>0</v>
      </c>
      <c r="AD384" s="10">
        <v>0</v>
      </c>
      <c r="AE384" s="1" t="s">
        <v>540</v>
      </c>
    </row>
    <row r="385" spans="1:31" ht="16.5" customHeight="1" x14ac:dyDescent="0.35">
      <c r="A385" s="4">
        <v>216</v>
      </c>
      <c r="B385" s="4" t="str">
        <f>LOOKUP(A385,Lookup!$A$1:$A$34,Lookup!$B$1:$B$34)</f>
        <v>BUTCH  WORS/MINCE/PAT</v>
      </c>
      <c r="C385" s="5">
        <v>2745</v>
      </c>
      <c r="D385" s="6" t="s">
        <v>374</v>
      </c>
      <c r="E385" s="4">
        <v>2</v>
      </c>
      <c r="F385" s="10">
        <v>0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7">
        <v>0</v>
      </c>
      <c r="Y385" s="18">
        <v>0</v>
      </c>
      <c r="Z385" s="14">
        <v>0</v>
      </c>
      <c r="AA385" s="14">
        <v>0</v>
      </c>
      <c r="AB385" s="23">
        <v>0</v>
      </c>
      <c r="AC385" s="10">
        <v>0</v>
      </c>
      <c r="AD385" s="10">
        <v>0</v>
      </c>
      <c r="AE385" s="1" t="s">
        <v>540</v>
      </c>
    </row>
    <row r="386" spans="1:31" ht="16.5" customHeight="1" x14ac:dyDescent="0.35">
      <c r="A386" s="4">
        <v>215</v>
      </c>
      <c r="B386" s="4" t="str">
        <f>LOOKUP(A386,Lookup!$A$1:$A$34,Lookup!$B$1:$B$34)</f>
        <v>BUTCHERY SNOEK</v>
      </c>
      <c r="C386" s="5">
        <v>43941</v>
      </c>
      <c r="D386" s="6" t="s">
        <v>368</v>
      </c>
      <c r="E386" s="4">
        <v>2</v>
      </c>
      <c r="F386" s="10">
        <v>563.42608695652177</v>
      </c>
      <c r="G386" s="10">
        <v>7.2</v>
      </c>
      <c r="H386" s="10">
        <v>437.74782608695654</v>
      </c>
      <c r="I386" s="10">
        <v>5.5940000000000003</v>
      </c>
      <c r="J386" s="10">
        <v>331.00869565217397</v>
      </c>
      <c r="K386" s="10">
        <v>4.2300000000000004</v>
      </c>
      <c r="L386" s="10">
        <v>1473.9478260869566</v>
      </c>
      <c r="M386" s="10">
        <v>18.835999999999999</v>
      </c>
      <c r="N386" s="10">
        <v>4289.5913043478258</v>
      </c>
      <c r="O386" s="10">
        <v>54.817999999999998</v>
      </c>
      <c r="P386" s="10">
        <v>489.22608695652173</v>
      </c>
      <c r="Q386" s="10">
        <v>6.2519999999999998</v>
      </c>
      <c r="R386" s="10">
        <v>392.66956521739121</v>
      </c>
      <c r="S386" s="10">
        <v>5.0179999999999998</v>
      </c>
      <c r="T386" s="10">
        <v>514.73913043478262</v>
      </c>
      <c r="U386" s="10">
        <v>6.5780000000000003</v>
      </c>
      <c r="V386" s="10">
        <v>517.24347826086944</v>
      </c>
      <c r="W386" s="10">
        <v>6.61</v>
      </c>
      <c r="X386" s="17">
        <v>4289.5913043478258</v>
      </c>
      <c r="Y386" s="18">
        <v>54.817999999999998</v>
      </c>
      <c r="Z386" s="14">
        <v>9009.5999999999985</v>
      </c>
      <c r="AA386" s="14">
        <v>115.136</v>
      </c>
      <c r="AB386" s="23">
        <v>9</v>
      </c>
      <c r="AC386" s="10">
        <v>1001.0666666666665</v>
      </c>
      <c r="AD386" s="10">
        <v>12.792888888888889</v>
      </c>
      <c r="AE386" s="1" t="s">
        <v>542</v>
      </c>
    </row>
    <row r="387" spans="1:31" ht="16.5" customHeight="1" x14ac:dyDescent="0.35">
      <c r="A387" s="4">
        <v>216</v>
      </c>
      <c r="B387" s="4" t="str">
        <f>LOOKUP(A387,Lookup!$A$1:$A$34,Lookup!$B$1:$B$34)</f>
        <v>BUTCH  WORS/MINCE/PAT</v>
      </c>
      <c r="C387" s="5">
        <v>12131</v>
      </c>
      <c r="D387" s="6" t="s">
        <v>376</v>
      </c>
      <c r="E387" s="4">
        <v>2</v>
      </c>
      <c r="F387" s="10">
        <v>0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7">
        <v>0</v>
      </c>
      <c r="Y387" s="18">
        <v>0</v>
      </c>
      <c r="Z387" s="14">
        <v>0</v>
      </c>
      <c r="AA387" s="14">
        <v>0</v>
      </c>
      <c r="AB387" s="23">
        <v>0</v>
      </c>
      <c r="AC387" s="10">
        <v>0</v>
      </c>
      <c r="AD387" s="10">
        <v>0</v>
      </c>
      <c r="AE387" s="1" t="s">
        <v>540</v>
      </c>
    </row>
    <row r="388" spans="1:31" ht="16.5" customHeight="1" x14ac:dyDescent="0.35">
      <c r="A388" s="4">
        <v>216</v>
      </c>
      <c r="B388" s="4" t="str">
        <f>LOOKUP(A388,Lookup!$A$1:$A$34,Lookup!$B$1:$B$34)</f>
        <v>BUTCH  WORS/MINCE/PAT</v>
      </c>
      <c r="C388" s="5">
        <v>12140</v>
      </c>
      <c r="D388" s="6" t="s">
        <v>377</v>
      </c>
      <c r="E388" s="4">
        <v>2</v>
      </c>
      <c r="F388" s="10">
        <v>0</v>
      </c>
      <c r="G388" s="10">
        <v>0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7">
        <v>0</v>
      </c>
      <c r="Y388" s="18">
        <v>0</v>
      </c>
      <c r="Z388" s="14">
        <v>0</v>
      </c>
      <c r="AA388" s="14">
        <v>0</v>
      </c>
      <c r="AB388" s="23">
        <v>0</v>
      </c>
      <c r="AC388" s="10">
        <v>0</v>
      </c>
      <c r="AD388" s="10">
        <v>0</v>
      </c>
      <c r="AE388" s="1" t="s">
        <v>540</v>
      </c>
    </row>
    <row r="389" spans="1:31" ht="16.5" customHeight="1" x14ac:dyDescent="0.35">
      <c r="A389" s="4">
        <v>216</v>
      </c>
      <c r="B389" s="4" t="str">
        <f>LOOKUP(A389,Lookup!$A$1:$A$34,Lookup!$B$1:$B$34)</f>
        <v>BUTCH  WORS/MINCE/PAT</v>
      </c>
      <c r="C389" s="5">
        <v>34199</v>
      </c>
      <c r="D389" s="6" t="s">
        <v>386</v>
      </c>
      <c r="E389" s="4">
        <v>2</v>
      </c>
      <c r="F389" s="10">
        <v>5712.5826086956522</v>
      </c>
      <c r="G389" s="10">
        <v>63.393000000000001</v>
      </c>
      <c r="H389" s="10">
        <v>3507.2521739130434</v>
      </c>
      <c r="I389" s="10">
        <v>40.71</v>
      </c>
      <c r="J389" s="10">
        <v>5761.7826086956511</v>
      </c>
      <c r="K389" s="10">
        <v>66.852999999999994</v>
      </c>
      <c r="L389" s="10">
        <v>5898.9913043478264</v>
      </c>
      <c r="M389" s="10">
        <v>67.870999999999995</v>
      </c>
      <c r="N389" s="10">
        <v>7275.4434782608696</v>
      </c>
      <c r="O389" s="10">
        <v>84.097999999999999</v>
      </c>
      <c r="P389" s="10">
        <v>4459.8956521739128</v>
      </c>
      <c r="Q389" s="10">
        <v>52.048000000000002</v>
      </c>
      <c r="R389" s="10">
        <v>5364.4956521739132</v>
      </c>
      <c r="S389" s="10">
        <v>61.7</v>
      </c>
      <c r="T389" s="10">
        <v>7823.5652173913031</v>
      </c>
      <c r="U389" s="10">
        <v>90.26</v>
      </c>
      <c r="V389" s="10">
        <v>9867.4782608695659</v>
      </c>
      <c r="W389" s="10">
        <v>113.991</v>
      </c>
      <c r="X389" s="17">
        <v>9867.4782608695659</v>
      </c>
      <c r="Y389" s="18">
        <v>113.991</v>
      </c>
      <c r="Z389" s="14">
        <v>55671.486956521738</v>
      </c>
      <c r="AA389" s="14">
        <v>640.92399999999998</v>
      </c>
      <c r="AB389" s="23">
        <v>9</v>
      </c>
      <c r="AC389" s="10">
        <v>6185.7207729468601</v>
      </c>
      <c r="AD389" s="10">
        <v>71.213777777777779</v>
      </c>
      <c r="AE389" s="1" t="s">
        <v>542</v>
      </c>
    </row>
    <row r="390" spans="1:31" ht="16.5" customHeight="1" x14ac:dyDescent="0.35">
      <c r="A390" s="4">
        <v>216</v>
      </c>
      <c r="B390" s="4" t="str">
        <f>LOOKUP(A390,Lookup!$A$1:$A$34,Lookup!$B$1:$B$34)</f>
        <v>BUTCH  WORS/MINCE/PAT</v>
      </c>
      <c r="C390" s="5">
        <v>34160</v>
      </c>
      <c r="D390" s="6" t="s">
        <v>381</v>
      </c>
      <c r="E390" s="4">
        <v>2</v>
      </c>
      <c r="F390" s="10">
        <v>3599.0086956521736</v>
      </c>
      <c r="G390" s="10">
        <v>38.182000000000002</v>
      </c>
      <c r="H390" s="10">
        <v>2399.0695652173918</v>
      </c>
      <c r="I390" s="10">
        <v>25.782</v>
      </c>
      <c r="J390" s="10">
        <v>3018.5913043478263</v>
      </c>
      <c r="K390" s="10">
        <v>35.646000000000001</v>
      </c>
      <c r="L390" s="10">
        <v>3402.1391304347826</v>
      </c>
      <c r="M390" s="10">
        <v>38.42</v>
      </c>
      <c r="N390" s="10">
        <v>2931.1565217391303</v>
      </c>
      <c r="O390" s="10">
        <v>30.643999999999998</v>
      </c>
      <c r="P390" s="10">
        <v>4051.6347826086967</v>
      </c>
      <c r="Q390" s="10">
        <v>46.911999999999999</v>
      </c>
      <c r="R390" s="10">
        <v>2708.1043478260872</v>
      </c>
      <c r="S390" s="10">
        <v>30.225000000000001</v>
      </c>
      <c r="T390" s="10">
        <v>4733.6347826086958</v>
      </c>
      <c r="U390" s="10">
        <v>50.143000000000001</v>
      </c>
      <c r="V390" s="10">
        <v>6251.6347826086949</v>
      </c>
      <c r="W390" s="10">
        <v>65.364000000000004</v>
      </c>
      <c r="X390" s="17">
        <v>6251.6347826086949</v>
      </c>
      <c r="Y390" s="18">
        <v>65.364000000000004</v>
      </c>
      <c r="Z390" s="14">
        <v>33094.973913043475</v>
      </c>
      <c r="AA390" s="14">
        <v>361.31799999999998</v>
      </c>
      <c r="AB390" s="23">
        <v>9</v>
      </c>
      <c r="AC390" s="10">
        <v>3677.2193236714975</v>
      </c>
      <c r="AD390" s="10">
        <v>40.146444444444441</v>
      </c>
      <c r="AE390" s="1" t="s">
        <v>542</v>
      </c>
    </row>
    <row r="391" spans="1:31" ht="16.5" customHeight="1" x14ac:dyDescent="0.35">
      <c r="A391" s="4">
        <v>216</v>
      </c>
      <c r="B391" s="4" t="str">
        <f>LOOKUP(A391,Lookup!$A$1:$A$34,Lookup!$B$1:$B$34)</f>
        <v>BUTCH  WORS/MINCE/PAT</v>
      </c>
      <c r="C391" s="5">
        <v>16182</v>
      </c>
      <c r="D391" s="6" t="s">
        <v>378</v>
      </c>
      <c r="E391" s="4">
        <v>2</v>
      </c>
      <c r="F391" s="10">
        <v>0</v>
      </c>
      <c r="G391" s="10">
        <v>0</v>
      </c>
      <c r="H391" s="10">
        <v>2318.6086956521735</v>
      </c>
      <c r="I391" s="10">
        <v>24.241</v>
      </c>
      <c r="J391" s="10">
        <v>2524.826086956522</v>
      </c>
      <c r="K391" s="10">
        <v>26.398</v>
      </c>
      <c r="L391" s="10">
        <v>5300.6608695652176</v>
      </c>
      <c r="M391" s="10">
        <v>55.418999999999997</v>
      </c>
      <c r="N391" s="10">
        <v>4719.347826086957</v>
      </c>
      <c r="O391" s="10">
        <v>49.343000000000004</v>
      </c>
      <c r="P391" s="10">
        <v>1436.113043478261</v>
      </c>
      <c r="Q391" s="10">
        <v>13.502000000000001</v>
      </c>
      <c r="R391" s="10">
        <v>415.77391304347827</v>
      </c>
      <c r="S391" s="10">
        <v>3.6779999999999999</v>
      </c>
      <c r="T391" s="10">
        <v>0</v>
      </c>
      <c r="U391" s="10">
        <v>0</v>
      </c>
      <c r="V391" s="10">
        <v>0</v>
      </c>
      <c r="W391" s="10">
        <v>0</v>
      </c>
      <c r="X391" s="17">
        <v>5300.6608695652176</v>
      </c>
      <c r="Y391" s="18">
        <v>55.418999999999997</v>
      </c>
      <c r="Z391" s="14">
        <v>16715.330434782609</v>
      </c>
      <c r="AA391" s="14">
        <v>172.58100000000002</v>
      </c>
      <c r="AB391" s="23">
        <v>6</v>
      </c>
      <c r="AC391" s="10">
        <v>2785.8884057971013</v>
      </c>
      <c r="AD391" s="10">
        <v>28.763500000000004</v>
      </c>
      <c r="AE391" s="1" t="s">
        <v>543</v>
      </c>
    </row>
    <row r="392" spans="1:31" ht="16.5" customHeight="1" x14ac:dyDescent="0.35">
      <c r="A392" s="4">
        <v>216</v>
      </c>
      <c r="B392" s="4" t="str">
        <f>LOOKUP(A392,Lookup!$A$1:$A$34,Lookup!$B$1:$B$34)</f>
        <v>BUTCH  WORS/MINCE/PAT</v>
      </c>
      <c r="C392" s="5">
        <v>34189</v>
      </c>
      <c r="D392" s="6" t="s">
        <v>314</v>
      </c>
      <c r="E392" s="4">
        <v>2</v>
      </c>
      <c r="F392" s="10">
        <v>3237.9304347826087</v>
      </c>
      <c r="G392" s="10">
        <v>28.646000000000001</v>
      </c>
      <c r="H392" s="10">
        <v>1746.9739130434782</v>
      </c>
      <c r="I392" s="10">
        <v>15.454000000000001</v>
      </c>
      <c r="J392" s="10">
        <v>1781.113043478261</v>
      </c>
      <c r="K392" s="10">
        <v>15.756</v>
      </c>
      <c r="L392" s="10">
        <v>4432.6608695652167</v>
      </c>
      <c r="M392" s="10">
        <v>39.215000000000003</v>
      </c>
      <c r="N392" s="10">
        <v>3038.6086956521744</v>
      </c>
      <c r="O392" s="10">
        <v>26.881</v>
      </c>
      <c r="P392" s="10">
        <v>2393.1304347826081</v>
      </c>
      <c r="Q392" s="10">
        <v>21.17</v>
      </c>
      <c r="R392" s="10">
        <v>1444.2434782608698</v>
      </c>
      <c r="S392" s="10">
        <v>12.776</v>
      </c>
      <c r="T392" s="10">
        <v>2145.3391304347829</v>
      </c>
      <c r="U392" s="10">
        <v>18.978999999999999</v>
      </c>
      <c r="V392" s="10">
        <v>1673.7217391304346</v>
      </c>
      <c r="W392" s="10">
        <v>14.807</v>
      </c>
      <c r="X392" s="17">
        <v>4432.6608695652167</v>
      </c>
      <c r="Y392" s="18">
        <v>39.215000000000003</v>
      </c>
      <c r="Z392" s="14">
        <v>21893.721739130433</v>
      </c>
      <c r="AA392" s="14">
        <v>193.684</v>
      </c>
      <c r="AB392" s="23">
        <v>9</v>
      </c>
      <c r="AC392" s="10">
        <v>2432.6357487922705</v>
      </c>
      <c r="AD392" s="10">
        <v>21.520444444444443</v>
      </c>
      <c r="AE392" s="1" t="s">
        <v>542</v>
      </c>
    </row>
    <row r="393" spans="1:31" ht="16.5" customHeight="1" x14ac:dyDescent="0.35">
      <c r="A393" s="4">
        <v>216</v>
      </c>
      <c r="B393" s="4" t="str">
        <f>LOOKUP(A393,Lookup!$A$1:$A$34,Lookup!$B$1:$B$34)</f>
        <v>BUTCH  WORS/MINCE/PAT</v>
      </c>
      <c r="C393" s="5">
        <v>60887</v>
      </c>
      <c r="D393" s="6" t="s">
        <v>446</v>
      </c>
      <c r="E393" s="4">
        <v>2</v>
      </c>
      <c r="F393" s="10">
        <v>2089.5913043478258</v>
      </c>
      <c r="G393" s="10">
        <v>20.027999999999999</v>
      </c>
      <c r="H393" s="10">
        <v>1407.0521739130434</v>
      </c>
      <c r="I393" s="10">
        <v>13.486000000000001</v>
      </c>
      <c r="J393" s="10">
        <v>1116.782608695652</v>
      </c>
      <c r="K393" s="10">
        <v>10.704000000000001</v>
      </c>
      <c r="L393" s="10">
        <v>2380.521739130435</v>
      </c>
      <c r="M393" s="10">
        <v>22.815999999999999</v>
      </c>
      <c r="N393" s="10">
        <v>2166.3913043478265</v>
      </c>
      <c r="O393" s="10">
        <v>20.763999999999999</v>
      </c>
      <c r="P393" s="10">
        <v>2564.9913043478259</v>
      </c>
      <c r="Q393" s="10">
        <v>24.584</v>
      </c>
      <c r="R393" s="10">
        <v>1281.0260869565218</v>
      </c>
      <c r="S393" s="10">
        <v>12.278</v>
      </c>
      <c r="T393" s="10">
        <v>2632.782608695652</v>
      </c>
      <c r="U393" s="10">
        <v>25.234000000000002</v>
      </c>
      <c r="V393" s="10">
        <v>2413.0521739130431</v>
      </c>
      <c r="W393" s="10">
        <v>23.128</v>
      </c>
      <c r="X393" s="17">
        <v>2632.782608695652</v>
      </c>
      <c r="Y393" s="18">
        <v>25.234000000000002</v>
      </c>
      <c r="Z393" s="14">
        <v>18052.191304347823</v>
      </c>
      <c r="AA393" s="14">
        <v>173.02199999999999</v>
      </c>
      <c r="AB393" s="23">
        <v>9</v>
      </c>
      <c r="AC393" s="10">
        <v>2005.7990338164248</v>
      </c>
      <c r="AD393" s="10">
        <v>19.224666666666664</v>
      </c>
      <c r="AE393" s="1" t="s">
        <v>542</v>
      </c>
    </row>
    <row r="394" spans="1:31" ht="16.5" customHeight="1" x14ac:dyDescent="0.35">
      <c r="A394" s="4">
        <v>216</v>
      </c>
      <c r="B394" s="4" t="str">
        <f>LOOKUP(A394,Lookup!$A$1:$A$34,Lookup!$B$1:$B$34)</f>
        <v>BUTCH  WORS/MINCE/PAT</v>
      </c>
      <c r="C394" s="5">
        <v>34194</v>
      </c>
      <c r="D394" s="6" t="s">
        <v>382</v>
      </c>
      <c r="E394" s="4">
        <v>2</v>
      </c>
      <c r="F394" s="10">
        <v>0</v>
      </c>
      <c r="G394" s="10">
        <v>0</v>
      </c>
      <c r="H394" s="10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7">
        <v>0</v>
      </c>
      <c r="Y394" s="18">
        <v>0</v>
      </c>
      <c r="Z394" s="14">
        <v>0</v>
      </c>
      <c r="AA394" s="14">
        <v>0</v>
      </c>
      <c r="AB394" s="23">
        <v>0</v>
      </c>
      <c r="AC394" s="10">
        <v>0</v>
      </c>
      <c r="AD394" s="10">
        <v>0</v>
      </c>
      <c r="AE394" s="1" t="s">
        <v>540</v>
      </c>
    </row>
    <row r="395" spans="1:31" ht="16.5" customHeight="1" x14ac:dyDescent="0.35">
      <c r="A395" s="4">
        <v>216</v>
      </c>
      <c r="B395" s="4" t="str">
        <f>LOOKUP(A395,Lookup!$A$1:$A$34,Lookup!$B$1:$B$34)</f>
        <v>BUTCH  WORS/MINCE/PAT</v>
      </c>
      <c r="C395" s="5">
        <v>34200</v>
      </c>
      <c r="D395" s="6" t="s">
        <v>387</v>
      </c>
      <c r="E395" s="4">
        <v>2</v>
      </c>
      <c r="F395" s="10">
        <v>2613.7913043478256</v>
      </c>
      <c r="G395" s="10">
        <v>25.052</v>
      </c>
      <c r="H395" s="10">
        <v>1503.8695652173913</v>
      </c>
      <c r="I395" s="10">
        <v>14.414</v>
      </c>
      <c r="J395" s="10">
        <v>1437.3043478260868</v>
      </c>
      <c r="K395" s="10">
        <v>13.776</v>
      </c>
      <c r="L395" s="10">
        <v>2707.2695652173911</v>
      </c>
      <c r="M395" s="10">
        <v>25.948</v>
      </c>
      <c r="N395" s="10">
        <v>2885.8521739130429</v>
      </c>
      <c r="O395" s="10">
        <v>27.66</v>
      </c>
      <c r="P395" s="10">
        <v>1543.5217391304348</v>
      </c>
      <c r="Q395" s="10">
        <v>14.794</v>
      </c>
      <c r="R395" s="10">
        <v>1595.4869565217393</v>
      </c>
      <c r="S395" s="10">
        <v>15.292</v>
      </c>
      <c r="T395" s="10">
        <v>1664.5913043478263</v>
      </c>
      <c r="U395" s="10">
        <v>15.954000000000001</v>
      </c>
      <c r="V395" s="10">
        <v>1787.4608695652173</v>
      </c>
      <c r="W395" s="10">
        <v>17.132000000000001</v>
      </c>
      <c r="X395" s="17">
        <v>2885.8521739130429</v>
      </c>
      <c r="Y395" s="18">
        <v>27.66</v>
      </c>
      <c r="Z395" s="14">
        <v>17739.147826086955</v>
      </c>
      <c r="AA395" s="14">
        <v>170.02199999999999</v>
      </c>
      <c r="AB395" s="23">
        <v>9</v>
      </c>
      <c r="AC395" s="10">
        <v>1971.0164251207727</v>
      </c>
      <c r="AD395" s="10">
        <v>18.891333333333332</v>
      </c>
      <c r="AE395" s="1" t="s">
        <v>542</v>
      </c>
    </row>
    <row r="396" spans="1:31" ht="16.5" customHeight="1" x14ac:dyDescent="0.35">
      <c r="A396" s="4">
        <v>216</v>
      </c>
      <c r="B396" s="4" t="str">
        <f>LOOKUP(A396,Lookup!$A$1:$A$34,Lookup!$B$1:$B$34)</f>
        <v>BUTCH  WORS/MINCE/PAT</v>
      </c>
      <c r="C396" s="5">
        <v>51078</v>
      </c>
      <c r="D396" s="6" t="s">
        <v>422</v>
      </c>
      <c r="E396" s="4">
        <v>2</v>
      </c>
      <c r="F396" s="10">
        <v>0</v>
      </c>
      <c r="G396" s="10">
        <v>0</v>
      </c>
      <c r="H396" s="10">
        <v>2496.0173913043482</v>
      </c>
      <c r="I396" s="10">
        <v>26.097999999999999</v>
      </c>
      <c r="J396" s="10">
        <v>2212.478260869565</v>
      </c>
      <c r="K396" s="10">
        <v>23.134</v>
      </c>
      <c r="L396" s="10">
        <v>2594.3304347826088</v>
      </c>
      <c r="M396" s="10">
        <v>27.126000000000001</v>
      </c>
      <c r="N396" s="10">
        <v>2425</v>
      </c>
      <c r="O396" s="10">
        <v>25.356000000000002</v>
      </c>
      <c r="P396" s="10">
        <v>1005.4608695652173</v>
      </c>
      <c r="Q396" s="10">
        <v>9.6959999999999997</v>
      </c>
      <c r="R396" s="10">
        <v>74.286956521739143</v>
      </c>
      <c r="S396" s="10">
        <v>0.71199999999999997</v>
      </c>
      <c r="T396" s="10">
        <v>0</v>
      </c>
      <c r="U396" s="10">
        <v>0</v>
      </c>
      <c r="V396" s="10">
        <v>0</v>
      </c>
      <c r="W396" s="10">
        <v>0</v>
      </c>
      <c r="X396" s="17">
        <v>2594.3304347826088</v>
      </c>
      <c r="Y396" s="18">
        <v>27.126000000000001</v>
      </c>
      <c r="Z396" s="14">
        <v>10807.573913043478</v>
      </c>
      <c r="AA396" s="14">
        <v>112.122</v>
      </c>
      <c r="AB396" s="23">
        <v>6</v>
      </c>
      <c r="AC396" s="10">
        <v>1801.2623188405796</v>
      </c>
      <c r="AD396" s="10">
        <v>18.687000000000001</v>
      </c>
      <c r="AE396" s="1" t="s">
        <v>543</v>
      </c>
    </row>
    <row r="397" spans="1:31" ht="16.5" customHeight="1" x14ac:dyDescent="0.35">
      <c r="A397" s="4">
        <v>216</v>
      </c>
      <c r="B397" s="4" t="str">
        <f>LOOKUP(A397,Lookup!$A$1:$A$34,Lookup!$B$1:$B$34)</f>
        <v>BUTCH  WORS/MINCE/PAT</v>
      </c>
      <c r="C397" s="5">
        <v>60886</v>
      </c>
      <c r="D397" s="6" t="s">
        <v>445</v>
      </c>
      <c r="E397" s="4">
        <v>2</v>
      </c>
      <c r="F397" s="10">
        <v>2301.7913043478266</v>
      </c>
      <c r="G397" s="10">
        <v>20.361999999999998</v>
      </c>
      <c r="H397" s="10">
        <v>1438.8173913043479</v>
      </c>
      <c r="I397" s="10">
        <v>12.728</v>
      </c>
      <c r="J397" s="10">
        <v>1207.5304347826088</v>
      </c>
      <c r="K397" s="10">
        <v>10.682</v>
      </c>
      <c r="L397" s="10">
        <v>3047.8782608695651</v>
      </c>
      <c r="M397" s="10">
        <v>26.962</v>
      </c>
      <c r="N397" s="10">
        <v>2186.7130434782612</v>
      </c>
      <c r="O397" s="10">
        <v>19.344000000000001</v>
      </c>
      <c r="P397" s="10">
        <v>1189.6695652173912</v>
      </c>
      <c r="Q397" s="10">
        <v>10.523999999999999</v>
      </c>
      <c r="R397" s="10">
        <v>1381.6000000000001</v>
      </c>
      <c r="S397" s="10">
        <v>12.222</v>
      </c>
      <c r="T397" s="10">
        <v>1799.8782608695649</v>
      </c>
      <c r="U397" s="10">
        <v>15.922000000000001</v>
      </c>
      <c r="V397" s="10">
        <v>1548.4695652173914</v>
      </c>
      <c r="W397" s="10">
        <v>13.698</v>
      </c>
      <c r="X397" s="17">
        <v>3047.8782608695651</v>
      </c>
      <c r="Y397" s="18">
        <v>26.962</v>
      </c>
      <c r="Z397" s="14">
        <v>16102.34782608696</v>
      </c>
      <c r="AA397" s="14">
        <v>142.44400000000002</v>
      </c>
      <c r="AB397" s="23">
        <v>9</v>
      </c>
      <c r="AC397" s="10">
        <v>1789.1497584541066</v>
      </c>
      <c r="AD397" s="10">
        <v>15.827111111111114</v>
      </c>
      <c r="AE397" s="1" t="s">
        <v>542</v>
      </c>
    </row>
    <row r="398" spans="1:31" ht="16.5" customHeight="1" x14ac:dyDescent="0.35">
      <c r="A398" s="4">
        <v>216</v>
      </c>
      <c r="B398" s="4" t="str">
        <f>LOOKUP(A398,Lookup!$A$1:$A$34,Lookup!$B$1:$B$34)</f>
        <v>BUTCH  WORS/MINCE/PAT</v>
      </c>
      <c r="C398" s="5">
        <v>39216</v>
      </c>
      <c r="D398" s="6" t="s">
        <v>396</v>
      </c>
      <c r="E398" s="4">
        <v>2</v>
      </c>
      <c r="F398" s="10">
        <v>2472.2956521739129</v>
      </c>
      <c r="G398" s="10">
        <v>28.434000000000001</v>
      </c>
      <c r="H398" s="10">
        <v>832.2</v>
      </c>
      <c r="I398" s="10">
        <v>7.3620000000000001</v>
      </c>
      <c r="J398" s="10">
        <v>0</v>
      </c>
      <c r="K398" s="10">
        <v>0</v>
      </c>
      <c r="L398" s="10">
        <v>818.31304347826085</v>
      </c>
      <c r="M398" s="10">
        <v>9.4120000000000008</v>
      </c>
      <c r="N398" s="10">
        <v>2154.5826086956522</v>
      </c>
      <c r="O398" s="10">
        <v>24.78</v>
      </c>
      <c r="P398" s="10">
        <v>2125.1304347826085</v>
      </c>
      <c r="Q398" s="10">
        <v>21.350999999999999</v>
      </c>
      <c r="R398" s="10">
        <v>1262.5391304347822</v>
      </c>
      <c r="S398" s="10">
        <v>11.17</v>
      </c>
      <c r="T398" s="10">
        <v>0</v>
      </c>
      <c r="U398" s="10">
        <v>0</v>
      </c>
      <c r="V398" s="10">
        <v>0</v>
      </c>
      <c r="W398" s="10">
        <v>0</v>
      </c>
      <c r="X398" s="17">
        <v>2472.2956521739129</v>
      </c>
      <c r="Y398" s="18">
        <v>28.434000000000001</v>
      </c>
      <c r="Z398" s="14">
        <v>9665.0608695652154</v>
      </c>
      <c r="AA398" s="14">
        <v>102.509</v>
      </c>
      <c r="AB398" s="23">
        <v>6</v>
      </c>
      <c r="AC398" s="10">
        <v>1610.8434782608692</v>
      </c>
      <c r="AD398" s="10">
        <v>17.084833333333332</v>
      </c>
      <c r="AE398" s="1" t="s">
        <v>543</v>
      </c>
    </row>
    <row r="399" spans="1:31" ht="16.5" customHeight="1" x14ac:dyDescent="0.35">
      <c r="A399" s="4">
        <v>216</v>
      </c>
      <c r="B399" s="4" t="str">
        <f>LOOKUP(A399,Lookup!$A$1:$A$34,Lookup!$B$1:$B$34)</f>
        <v>BUTCH  WORS/MINCE/PAT</v>
      </c>
      <c r="C399" s="5">
        <v>52186</v>
      </c>
      <c r="D399" s="6" t="s">
        <v>423</v>
      </c>
      <c r="E399" s="4">
        <v>2</v>
      </c>
      <c r="F399" s="10">
        <v>1986.478260869565</v>
      </c>
      <c r="G399" s="10">
        <v>25.385999999999999</v>
      </c>
      <c r="H399" s="10">
        <v>1324.4608695652173</v>
      </c>
      <c r="I399" s="10">
        <v>16.925999999999998</v>
      </c>
      <c r="J399" s="10">
        <v>1246.0521739130436</v>
      </c>
      <c r="K399" s="10">
        <v>15.923999999999999</v>
      </c>
      <c r="L399" s="10">
        <v>1718.3391304347824</v>
      </c>
      <c r="M399" s="10">
        <v>21.96</v>
      </c>
      <c r="N399" s="10">
        <v>1603.191304347826</v>
      </c>
      <c r="O399" s="10">
        <v>20.488</v>
      </c>
      <c r="P399" s="10">
        <v>2048.130434782609</v>
      </c>
      <c r="Q399" s="10">
        <v>26.173999999999999</v>
      </c>
      <c r="R399" s="10">
        <v>1822.4608695652173</v>
      </c>
      <c r="S399" s="10">
        <v>23.29</v>
      </c>
      <c r="T399" s="10">
        <v>970.7913043478261</v>
      </c>
      <c r="U399" s="10">
        <v>12.406000000000001</v>
      </c>
      <c r="V399" s="10">
        <v>0</v>
      </c>
      <c r="W399" s="10">
        <v>0</v>
      </c>
      <c r="X399" s="17">
        <v>2048.130434782609</v>
      </c>
      <c r="Y399" s="18">
        <v>26.173999999999999</v>
      </c>
      <c r="Z399" s="14">
        <v>12719.904347826086</v>
      </c>
      <c r="AA399" s="14">
        <v>162.554</v>
      </c>
      <c r="AB399" s="23">
        <v>8</v>
      </c>
      <c r="AC399" s="10">
        <v>1589.9880434782608</v>
      </c>
      <c r="AD399" s="10">
        <v>20.31925</v>
      </c>
      <c r="AE399" s="1" t="s">
        <v>542</v>
      </c>
    </row>
    <row r="400" spans="1:31" ht="16.5" customHeight="1" x14ac:dyDescent="0.35">
      <c r="A400" s="4">
        <v>216</v>
      </c>
      <c r="B400" s="4" t="str">
        <f>LOOKUP(A400,Lookup!$A$1:$A$34,Lookup!$B$1:$B$34)</f>
        <v>BUTCH  WORS/MINCE/PAT</v>
      </c>
      <c r="C400" s="5">
        <v>34201</v>
      </c>
      <c r="D400" s="6" t="s">
        <v>388</v>
      </c>
      <c r="E400" s="4">
        <v>2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7">
        <v>0</v>
      </c>
      <c r="Y400" s="18">
        <v>0</v>
      </c>
      <c r="Z400" s="14">
        <v>0</v>
      </c>
      <c r="AA400" s="14">
        <v>0</v>
      </c>
      <c r="AB400" s="23">
        <v>0</v>
      </c>
      <c r="AC400" s="10">
        <v>0</v>
      </c>
      <c r="AD400" s="10">
        <v>0</v>
      </c>
      <c r="AE400" s="1" t="s">
        <v>540</v>
      </c>
    </row>
    <row r="401" spans="1:31" ht="16.5" customHeight="1" x14ac:dyDescent="0.35">
      <c r="A401" s="4">
        <v>216</v>
      </c>
      <c r="B401" s="4" t="str">
        <f>LOOKUP(A401,Lookup!$A$1:$A$34,Lookup!$B$1:$B$34)</f>
        <v>BUTCH  WORS/MINCE/PAT</v>
      </c>
      <c r="C401" s="5">
        <v>34211</v>
      </c>
      <c r="D401" s="6" t="s">
        <v>389</v>
      </c>
      <c r="E401" s="4">
        <v>2</v>
      </c>
      <c r="F401" s="10">
        <v>0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  <c r="V401" s="10">
        <v>0</v>
      </c>
      <c r="W401" s="10">
        <v>0</v>
      </c>
      <c r="X401" s="17">
        <v>0</v>
      </c>
      <c r="Y401" s="18">
        <v>0</v>
      </c>
      <c r="Z401" s="14">
        <v>0</v>
      </c>
      <c r="AA401" s="14">
        <v>0</v>
      </c>
      <c r="AB401" s="23">
        <v>0</v>
      </c>
      <c r="AC401" s="10">
        <v>0</v>
      </c>
      <c r="AD401" s="10">
        <v>0</v>
      </c>
      <c r="AE401" s="1" t="s">
        <v>540</v>
      </c>
    </row>
    <row r="402" spans="1:31" ht="16.5" customHeight="1" x14ac:dyDescent="0.35">
      <c r="A402" s="4">
        <v>216</v>
      </c>
      <c r="B402" s="4" t="str">
        <f>LOOKUP(A402,Lookup!$A$1:$A$34,Lookup!$B$1:$B$34)</f>
        <v>BUTCH  WORS/MINCE/PAT</v>
      </c>
      <c r="C402" s="5">
        <v>34212</v>
      </c>
      <c r="D402" s="6" t="s">
        <v>390</v>
      </c>
      <c r="E402" s="4">
        <v>2</v>
      </c>
      <c r="F402" s="10">
        <v>0</v>
      </c>
      <c r="G402" s="10">
        <v>0</v>
      </c>
      <c r="H402" s="10">
        <v>0</v>
      </c>
      <c r="I402" s="10">
        <v>0</v>
      </c>
      <c r="J402" s="10">
        <v>0</v>
      </c>
      <c r="K402" s="10">
        <v>0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  <c r="X402" s="17">
        <v>0</v>
      </c>
      <c r="Y402" s="18">
        <v>0</v>
      </c>
      <c r="Z402" s="14">
        <v>0</v>
      </c>
      <c r="AA402" s="14">
        <v>0</v>
      </c>
      <c r="AB402" s="23">
        <v>0</v>
      </c>
      <c r="AC402" s="10">
        <v>0</v>
      </c>
      <c r="AD402" s="10">
        <v>0</v>
      </c>
      <c r="AE402" s="1" t="s">
        <v>540</v>
      </c>
    </row>
    <row r="403" spans="1:31" ht="16.5" customHeight="1" x14ac:dyDescent="0.35">
      <c r="A403" s="4">
        <v>216</v>
      </c>
      <c r="B403" s="4" t="str">
        <f>LOOKUP(A403,Lookup!$A$1:$A$34,Lookup!$B$1:$B$34)</f>
        <v>BUTCH  WORS/MINCE/PAT</v>
      </c>
      <c r="C403" s="5">
        <v>34197</v>
      </c>
      <c r="D403" s="6" t="s">
        <v>384</v>
      </c>
      <c r="E403" s="4">
        <v>2</v>
      </c>
      <c r="F403" s="10">
        <v>257.49565217391307</v>
      </c>
      <c r="G403" s="10">
        <v>2.468</v>
      </c>
      <c r="H403" s="10">
        <v>0</v>
      </c>
      <c r="I403" s="10">
        <v>0</v>
      </c>
      <c r="J403" s="10">
        <v>706.95652173913049</v>
      </c>
      <c r="K403" s="10">
        <v>6.7759999999999998</v>
      </c>
      <c r="L403" s="10">
        <v>0</v>
      </c>
      <c r="M403" s="10">
        <v>0</v>
      </c>
      <c r="N403" s="10">
        <v>2522.782608695652</v>
      </c>
      <c r="O403" s="10">
        <v>24.178000000000001</v>
      </c>
      <c r="P403" s="10">
        <v>1586.9391304347826</v>
      </c>
      <c r="Q403" s="10">
        <v>15.21</v>
      </c>
      <c r="R403" s="10">
        <v>920.4434782608696</v>
      </c>
      <c r="S403" s="10">
        <v>8.8219999999999992</v>
      </c>
      <c r="T403" s="10">
        <v>1563.3478260869565</v>
      </c>
      <c r="U403" s="10">
        <v>14.984</v>
      </c>
      <c r="V403" s="10">
        <v>3341.2086956521734</v>
      </c>
      <c r="W403" s="10">
        <v>32.023000000000003</v>
      </c>
      <c r="X403" s="17">
        <v>3341.2086956521734</v>
      </c>
      <c r="Y403" s="18">
        <v>32.023000000000003</v>
      </c>
      <c r="Z403" s="14">
        <v>10899.173913043476</v>
      </c>
      <c r="AA403" s="14">
        <v>104.46099999999998</v>
      </c>
      <c r="AB403" s="23">
        <v>7</v>
      </c>
      <c r="AC403" s="10">
        <v>1557.0248447204965</v>
      </c>
      <c r="AD403" s="10">
        <v>14.922999999999998</v>
      </c>
      <c r="AE403" s="1" t="s">
        <v>543</v>
      </c>
    </row>
    <row r="404" spans="1:31" ht="16.5" customHeight="1" x14ac:dyDescent="0.35">
      <c r="A404" s="4">
        <v>216</v>
      </c>
      <c r="B404" s="4" t="str">
        <f>LOOKUP(A404,Lookup!$A$1:$A$34,Lookup!$B$1:$B$34)</f>
        <v>BUTCH  WORS/MINCE/PAT</v>
      </c>
      <c r="C404" s="5">
        <v>34237</v>
      </c>
      <c r="D404" s="6" t="s">
        <v>392</v>
      </c>
      <c r="E404" s="4">
        <v>2</v>
      </c>
      <c r="F404" s="10">
        <v>0</v>
      </c>
      <c r="G404" s="10">
        <v>0</v>
      </c>
      <c r="H404" s="10">
        <v>0</v>
      </c>
      <c r="I404" s="10">
        <v>0</v>
      </c>
      <c r="J404" s="10">
        <v>0</v>
      </c>
      <c r="K404" s="10">
        <v>0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  <c r="X404" s="17">
        <v>0</v>
      </c>
      <c r="Y404" s="18">
        <v>0</v>
      </c>
      <c r="Z404" s="14">
        <v>0</v>
      </c>
      <c r="AA404" s="14">
        <v>0</v>
      </c>
      <c r="AB404" s="23">
        <v>0</v>
      </c>
      <c r="AC404" s="10">
        <v>0</v>
      </c>
      <c r="AD404" s="10">
        <v>0</v>
      </c>
      <c r="AE404" s="1" t="s">
        <v>540</v>
      </c>
    </row>
    <row r="405" spans="1:31" ht="16.5" customHeight="1" x14ac:dyDescent="0.35">
      <c r="A405" s="4">
        <v>216</v>
      </c>
      <c r="B405" s="4" t="str">
        <f>LOOKUP(A405,Lookup!$A$1:$A$34,Lookup!$B$1:$B$34)</f>
        <v>BUTCH  WORS/MINCE/PAT</v>
      </c>
      <c r="C405" s="5">
        <v>34269</v>
      </c>
      <c r="D405" s="6" t="s">
        <v>281</v>
      </c>
      <c r="E405" s="4">
        <v>2</v>
      </c>
      <c r="F405" s="10">
        <v>0</v>
      </c>
      <c r="G405" s="10">
        <v>0</v>
      </c>
      <c r="H405" s="10">
        <v>0</v>
      </c>
      <c r="I405" s="10">
        <v>0</v>
      </c>
      <c r="J405" s="10">
        <v>0</v>
      </c>
      <c r="K405" s="10">
        <v>0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7">
        <v>0</v>
      </c>
      <c r="Y405" s="18">
        <v>0</v>
      </c>
      <c r="Z405" s="14">
        <v>0</v>
      </c>
      <c r="AA405" s="14">
        <v>0</v>
      </c>
      <c r="AB405" s="23">
        <v>0</v>
      </c>
      <c r="AC405" s="10">
        <v>0</v>
      </c>
      <c r="AD405" s="10">
        <v>0</v>
      </c>
      <c r="AE405" s="1" t="s">
        <v>540</v>
      </c>
    </row>
    <row r="406" spans="1:31" ht="16.5" customHeight="1" x14ac:dyDescent="0.35">
      <c r="A406" s="4">
        <v>216</v>
      </c>
      <c r="B406" s="4" t="str">
        <f>LOOKUP(A406,Lookup!$A$1:$A$34,Lookup!$B$1:$B$34)</f>
        <v>BUTCH  WORS/MINCE/PAT</v>
      </c>
      <c r="C406" s="5">
        <v>34279</v>
      </c>
      <c r="D406" s="6" t="s">
        <v>393</v>
      </c>
      <c r="E406" s="4">
        <v>2</v>
      </c>
      <c r="F406" s="10">
        <v>0</v>
      </c>
      <c r="G406" s="10">
        <v>0</v>
      </c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7">
        <v>0</v>
      </c>
      <c r="Y406" s="18">
        <v>0</v>
      </c>
      <c r="Z406" s="14">
        <v>0</v>
      </c>
      <c r="AA406" s="14">
        <v>0</v>
      </c>
      <c r="AB406" s="23">
        <v>0</v>
      </c>
      <c r="AC406" s="10">
        <v>0</v>
      </c>
      <c r="AD406" s="10">
        <v>0</v>
      </c>
      <c r="AE406" s="1" t="s">
        <v>540</v>
      </c>
    </row>
    <row r="407" spans="1:31" ht="16.5" customHeight="1" x14ac:dyDescent="0.35">
      <c r="A407" s="4">
        <v>216</v>
      </c>
      <c r="B407" s="4" t="str">
        <f>LOOKUP(A407,Lookup!$A$1:$A$34,Lookup!$B$1:$B$34)</f>
        <v>BUTCH  WORS/MINCE/PAT</v>
      </c>
      <c r="C407" s="5">
        <v>34198</v>
      </c>
      <c r="D407" s="6" t="s">
        <v>385</v>
      </c>
      <c r="E407" s="4">
        <v>2</v>
      </c>
      <c r="F407" s="10">
        <v>1926.8347826086958</v>
      </c>
      <c r="G407" s="10">
        <v>18.468</v>
      </c>
      <c r="H407" s="10">
        <v>1859.3304347826088</v>
      </c>
      <c r="I407" s="10">
        <v>17.82</v>
      </c>
      <c r="J407" s="10">
        <v>1071.7304347826087</v>
      </c>
      <c r="K407" s="10">
        <v>10.272</v>
      </c>
      <c r="L407" s="10">
        <v>0</v>
      </c>
      <c r="M407" s="10">
        <v>0</v>
      </c>
      <c r="N407" s="10">
        <v>409.40869565217389</v>
      </c>
      <c r="O407" s="10">
        <v>3.9239999999999999</v>
      </c>
      <c r="P407" s="10">
        <v>731.38260869565215</v>
      </c>
      <c r="Q407" s="10">
        <v>7.01</v>
      </c>
      <c r="R407" s="10">
        <v>1251.391304347826</v>
      </c>
      <c r="S407" s="10">
        <v>11.994</v>
      </c>
      <c r="T407" s="10">
        <v>2725.6260869565217</v>
      </c>
      <c r="U407" s="10">
        <v>26.123999999999999</v>
      </c>
      <c r="V407" s="10">
        <v>2161.4173913043478</v>
      </c>
      <c r="W407" s="10">
        <v>20.716000000000001</v>
      </c>
      <c r="X407" s="17">
        <v>2725.6260869565217</v>
      </c>
      <c r="Y407" s="18">
        <v>26.123999999999999</v>
      </c>
      <c r="Z407" s="14">
        <v>12137.121739130434</v>
      </c>
      <c r="AA407" s="14">
        <v>116.328</v>
      </c>
      <c r="AB407" s="23">
        <v>8</v>
      </c>
      <c r="AC407" s="10">
        <v>1517.1402173913043</v>
      </c>
      <c r="AD407" s="10">
        <v>14.541</v>
      </c>
      <c r="AE407" s="1" t="s">
        <v>542</v>
      </c>
    </row>
    <row r="408" spans="1:31" ht="16.5" customHeight="1" x14ac:dyDescent="0.35">
      <c r="A408" s="4">
        <v>216</v>
      </c>
      <c r="B408" s="4" t="str">
        <f>LOOKUP(A408,Lookup!$A$1:$A$34,Lookup!$B$1:$B$34)</f>
        <v>BUTCH  WORS/MINCE/PAT</v>
      </c>
      <c r="C408" s="5">
        <v>65748</v>
      </c>
      <c r="D408" s="6" t="s">
        <v>463</v>
      </c>
      <c r="E408" s="4">
        <v>2</v>
      </c>
      <c r="F408" s="10">
        <v>1834.5391304347825</v>
      </c>
      <c r="G408" s="10">
        <v>19.181999999999999</v>
      </c>
      <c r="H408" s="10">
        <v>923.10434782608718</v>
      </c>
      <c r="I408" s="10">
        <v>9.6519999999999992</v>
      </c>
      <c r="J408" s="10">
        <v>0</v>
      </c>
      <c r="K408" s="10">
        <v>0</v>
      </c>
      <c r="L408" s="10">
        <v>0</v>
      </c>
      <c r="M408" s="10">
        <v>0</v>
      </c>
      <c r="N408" s="10">
        <v>0</v>
      </c>
      <c r="O408" s="10">
        <v>0</v>
      </c>
      <c r="P408" s="10">
        <v>0</v>
      </c>
      <c r="Q408" s="10">
        <v>0</v>
      </c>
      <c r="R408" s="10">
        <v>0</v>
      </c>
      <c r="S408" s="10">
        <v>0</v>
      </c>
      <c r="T408" s="10">
        <v>0</v>
      </c>
      <c r="U408" s="10">
        <v>0</v>
      </c>
      <c r="V408" s="10">
        <v>0</v>
      </c>
      <c r="W408" s="10">
        <v>0</v>
      </c>
      <c r="X408" s="17">
        <v>1834.5391304347825</v>
      </c>
      <c r="Y408" s="18">
        <v>19.181999999999999</v>
      </c>
      <c r="Z408" s="14">
        <v>2757.6434782608694</v>
      </c>
      <c r="AA408" s="14">
        <v>28.833999999999996</v>
      </c>
      <c r="AB408" s="23">
        <v>2</v>
      </c>
      <c r="AC408" s="10">
        <v>1378.8217391304347</v>
      </c>
      <c r="AD408" s="10">
        <v>14.416999999999998</v>
      </c>
      <c r="AE408" s="1" t="s">
        <v>541</v>
      </c>
    </row>
    <row r="409" spans="1:31" ht="16.5" customHeight="1" x14ac:dyDescent="0.35">
      <c r="A409" s="4">
        <v>216</v>
      </c>
      <c r="B409" s="4" t="str">
        <f>LOOKUP(A409,Lookup!$A$1:$A$34,Lookup!$B$1:$B$34)</f>
        <v>BUTCH  WORS/MINCE/PAT</v>
      </c>
      <c r="C409" s="5">
        <v>11147</v>
      </c>
      <c r="D409" s="6" t="s">
        <v>375</v>
      </c>
      <c r="E409" s="4">
        <v>2</v>
      </c>
      <c r="F409" s="10">
        <v>1823.1304347826085</v>
      </c>
      <c r="G409" s="10">
        <v>20.966999999999999</v>
      </c>
      <c r="H409" s="10">
        <v>1245.2173913043478</v>
      </c>
      <c r="I409" s="10">
        <v>14.32</v>
      </c>
      <c r="J409" s="10">
        <v>1228.695652173913</v>
      </c>
      <c r="K409" s="10">
        <v>14.131</v>
      </c>
      <c r="L409" s="10">
        <v>1545.5652173913043</v>
      </c>
      <c r="M409" s="10">
        <v>17.774000000000001</v>
      </c>
      <c r="N409" s="10">
        <v>1677.913043478261</v>
      </c>
      <c r="O409" s="10">
        <v>19.297000000000001</v>
      </c>
      <c r="P409" s="10">
        <v>1519.8173913043479</v>
      </c>
      <c r="Q409" s="10">
        <v>17.478999999999999</v>
      </c>
      <c r="R409" s="10">
        <v>1050.2521739130434</v>
      </c>
      <c r="S409" s="10">
        <v>12.079000000000001</v>
      </c>
      <c r="T409" s="10">
        <v>0</v>
      </c>
      <c r="U409" s="10">
        <v>0</v>
      </c>
      <c r="V409" s="10">
        <v>878.77391304347816</v>
      </c>
      <c r="W409" s="10">
        <v>10.106</v>
      </c>
      <c r="X409" s="17">
        <v>1823.1304347826085</v>
      </c>
      <c r="Y409" s="18">
        <v>20.966999999999999</v>
      </c>
      <c r="Z409" s="14">
        <v>10969.365217391303</v>
      </c>
      <c r="AA409" s="14">
        <v>126.15299999999999</v>
      </c>
      <c r="AB409" s="23">
        <v>8</v>
      </c>
      <c r="AC409" s="10">
        <v>1371.1706521739129</v>
      </c>
      <c r="AD409" s="10">
        <v>15.769124999999999</v>
      </c>
      <c r="AE409" s="1" t="s">
        <v>542</v>
      </c>
    </row>
    <row r="410" spans="1:31" ht="16.5" customHeight="1" x14ac:dyDescent="0.35">
      <c r="A410" s="4">
        <v>216</v>
      </c>
      <c r="B410" s="4" t="str">
        <f>LOOKUP(A410,Lookup!$A$1:$A$34,Lookup!$B$1:$B$34)</f>
        <v>BUTCH  WORS/MINCE/PAT</v>
      </c>
      <c r="C410" s="5">
        <v>34196</v>
      </c>
      <c r="D410" s="6" t="s">
        <v>383</v>
      </c>
      <c r="E410" s="4">
        <v>2</v>
      </c>
      <c r="F410" s="10">
        <v>0</v>
      </c>
      <c r="G410" s="10">
        <v>0</v>
      </c>
      <c r="H410" s="10">
        <v>0</v>
      </c>
      <c r="I410" s="10">
        <v>0</v>
      </c>
      <c r="J410" s="10">
        <v>0</v>
      </c>
      <c r="K410" s="10">
        <v>0</v>
      </c>
      <c r="L410" s="10">
        <v>0</v>
      </c>
      <c r="M410" s="10">
        <v>0</v>
      </c>
      <c r="N410" s="10">
        <v>0</v>
      </c>
      <c r="O410" s="10">
        <v>0</v>
      </c>
      <c r="P410" s="10">
        <v>0</v>
      </c>
      <c r="Q410" s="10">
        <v>0</v>
      </c>
      <c r="R410" s="10">
        <v>1587.5478260869565</v>
      </c>
      <c r="S410" s="10">
        <v>15.215</v>
      </c>
      <c r="T410" s="10">
        <v>2042.0173913043475</v>
      </c>
      <c r="U410" s="10">
        <v>19.571999999999999</v>
      </c>
      <c r="V410" s="10">
        <v>479.31304347826091</v>
      </c>
      <c r="W410" s="10">
        <v>4.5940000000000003</v>
      </c>
      <c r="X410" s="17">
        <v>2042.0173913043475</v>
      </c>
      <c r="Y410" s="18">
        <v>19.571999999999999</v>
      </c>
      <c r="Z410" s="14">
        <v>4108.8782608695647</v>
      </c>
      <c r="AA410" s="14">
        <v>39.381</v>
      </c>
      <c r="AB410" s="23">
        <v>3</v>
      </c>
      <c r="AC410" s="10">
        <v>1369.6260869565215</v>
      </c>
      <c r="AD410" s="10">
        <v>13.127000000000001</v>
      </c>
      <c r="AE410" s="1" t="s">
        <v>541</v>
      </c>
    </row>
    <row r="411" spans="1:31" ht="16.5" customHeight="1" x14ac:dyDescent="0.35">
      <c r="A411" s="4">
        <v>216</v>
      </c>
      <c r="B411" s="4" t="str">
        <f>LOOKUP(A411,Lookup!$A$1:$A$34,Lookup!$B$1:$B$34)</f>
        <v>BUTCH  WORS/MINCE/PAT</v>
      </c>
      <c r="C411" s="5">
        <v>39413</v>
      </c>
      <c r="D411" s="6" t="s">
        <v>397</v>
      </c>
      <c r="E411" s="4">
        <v>2</v>
      </c>
      <c r="F411" s="10">
        <v>0</v>
      </c>
      <c r="G411" s="10">
        <v>0</v>
      </c>
      <c r="H411" s="10">
        <v>0</v>
      </c>
      <c r="I411" s="10">
        <v>0</v>
      </c>
      <c r="J411" s="10">
        <v>0</v>
      </c>
      <c r="K411" s="10">
        <v>0</v>
      </c>
      <c r="L411" s="10">
        <v>0</v>
      </c>
      <c r="M411" s="10">
        <v>0</v>
      </c>
      <c r="N411" s="10">
        <v>0</v>
      </c>
      <c r="O411" s="10">
        <v>0</v>
      </c>
      <c r="P411" s="10">
        <v>0</v>
      </c>
      <c r="Q411" s="10">
        <v>0</v>
      </c>
      <c r="R411" s="10">
        <v>0</v>
      </c>
      <c r="S411" s="10">
        <v>0</v>
      </c>
      <c r="T411" s="10">
        <v>0</v>
      </c>
      <c r="U411" s="10">
        <v>0</v>
      </c>
      <c r="V411" s="10">
        <v>0</v>
      </c>
      <c r="W411" s="10">
        <v>0</v>
      </c>
      <c r="X411" s="17">
        <v>0</v>
      </c>
      <c r="Y411" s="18">
        <v>0</v>
      </c>
      <c r="Z411" s="14">
        <v>0</v>
      </c>
      <c r="AA411" s="14">
        <v>0</v>
      </c>
      <c r="AB411" s="23">
        <v>0</v>
      </c>
      <c r="AC411" s="10">
        <v>0</v>
      </c>
      <c r="AD411" s="10">
        <v>0</v>
      </c>
      <c r="AE411" s="1" t="s">
        <v>540</v>
      </c>
    </row>
    <row r="412" spans="1:31" ht="16.5" customHeight="1" x14ac:dyDescent="0.35">
      <c r="A412" s="4">
        <v>216</v>
      </c>
      <c r="B412" s="4" t="str">
        <f>LOOKUP(A412,Lookup!$A$1:$A$34,Lookup!$B$1:$B$34)</f>
        <v>BUTCH  WORS/MINCE/PAT</v>
      </c>
      <c r="C412" s="5">
        <v>39416</v>
      </c>
      <c r="D412" s="6" t="s">
        <v>398</v>
      </c>
      <c r="E412" s="4">
        <v>2</v>
      </c>
      <c r="F412" s="10">
        <v>0</v>
      </c>
      <c r="G412" s="10">
        <v>0</v>
      </c>
      <c r="H412" s="10">
        <v>0</v>
      </c>
      <c r="I412" s="10">
        <v>0</v>
      </c>
      <c r="J412" s="10">
        <v>0</v>
      </c>
      <c r="K412" s="10">
        <v>0</v>
      </c>
      <c r="L412" s="10">
        <v>0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0</v>
      </c>
      <c r="V412" s="10">
        <v>0</v>
      </c>
      <c r="W412" s="10">
        <v>0</v>
      </c>
      <c r="X412" s="17">
        <v>0</v>
      </c>
      <c r="Y412" s="18">
        <v>0</v>
      </c>
      <c r="Z412" s="14">
        <v>0</v>
      </c>
      <c r="AA412" s="14">
        <v>0</v>
      </c>
      <c r="AB412" s="23">
        <v>0</v>
      </c>
      <c r="AC412" s="10">
        <v>0</v>
      </c>
      <c r="AD412" s="10">
        <v>0</v>
      </c>
      <c r="AE412" s="1" t="s">
        <v>540</v>
      </c>
    </row>
    <row r="413" spans="1:31" ht="16.5" customHeight="1" x14ac:dyDescent="0.35">
      <c r="A413" s="4">
        <v>216</v>
      </c>
      <c r="B413" s="4" t="str">
        <f>LOOKUP(A413,Lookup!$A$1:$A$34,Lookup!$B$1:$B$34)</f>
        <v>BUTCH  WORS/MINCE/PAT</v>
      </c>
      <c r="C413" s="5">
        <v>39418</v>
      </c>
      <c r="D413" s="6" t="s">
        <v>399</v>
      </c>
      <c r="E413" s="4">
        <v>2</v>
      </c>
      <c r="F413" s="10">
        <v>0</v>
      </c>
      <c r="G413" s="10">
        <v>0</v>
      </c>
      <c r="H413" s="10">
        <v>0</v>
      </c>
      <c r="I413" s="10">
        <v>0</v>
      </c>
      <c r="J413" s="10">
        <v>0</v>
      </c>
      <c r="K413" s="10">
        <v>0</v>
      </c>
      <c r="L413" s="10">
        <v>0</v>
      </c>
      <c r="M413" s="10">
        <v>0</v>
      </c>
      <c r="N413" s="10">
        <v>0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  <c r="U413" s="10">
        <v>0</v>
      </c>
      <c r="V413" s="10">
        <v>0</v>
      </c>
      <c r="W413" s="10">
        <v>0</v>
      </c>
      <c r="X413" s="17">
        <v>0</v>
      </c>
      <c r="Y413" s="18">
        <v>0</v>
      </c>
      <c r="Z413" s="14">
        <v>0</v>
      </c>
      <c r="AA413" s="14">
        <v>0</v>
      </c>
      <c r="AB413" s="23">
        <v>0</v>
      </c>
      <c r="AC413" s="10">
        <v>0</v>
      </c>
      <c r="AD413" s="10">
        <v>0</v>
      </c>
      <c r="AE413" s="1" t="s">
        <v>540</v>
      </c>
    </row>
    <row r="414" spans="1:31" ht="16.5" customHeight="1" x14ac:dyDescent="0.35">
      <c r="A414" s="4">
        <v>216</v>
      </c>
      <c r="B414" s="4" t="str">
        <f>LOOKUP(A414,Lookup!$A$1:$A$34,Lookup!$B$1:$B$34)</f>
        <v>BUTCH  WORS/MINCE/PAT</v>
      </c>
      <c r="C414" s="5">
        <v>39494</v>
      </c>
      <c r="D414" s="6" t="s">
        <v>400</v>
      </c>
      <c r="E414" s="4">
        <v>2</v>
      </c>
      <c r="F414" s="10">
        <v>0</v>
      </c>
      <c r="G414" s="10">
        <v>0</v>
      </c>
      <c r="H414" s="10">
        <v>0</v>
      </c>
      <c r="I414" s="10">
        <v>0</v>
      </c>
      <c r="J414" s="10">
        <v>0</v>
      </c>
      <c r="K414" s="10">
        <v>0</v>
      </c>
      <c r="L414" s="10">
        <v>0</v>
      </c>
      <c r="M414" s="10">
        <v>0</v>
      </c>
      <c r="N414" s="10">
        <v>0</v>
      </c>
      <c r="O414" s="10">
        <v>0</v>
      </c>
      <c r="P414" s="10">
        <v>0</v>
      </c>
      <c r="Q414" s="10">
        <v>0</v>
      </c>
      <c r="R414" s="10">
        <v>0</v>
      </c>
      <c r="S414" s="10">
        <v>0</v>
      </c>
      <c r="T414" s="10">
        <v>0</v>
      </c>
      <c r="U414" s="10">
        <v>0</v>
      </c>
      <c r="V414" s="10">
        <v>0</v>
      </c>
      <c r="W414" s="10">
        <v>0</v>
      </c>
      <c r="X414" s="17">
        <v>0</v>
      </c>
      <c r="Y414" s="18">
        <v>0</v>
      </c>
      <c r="Z414" s="14">
        <v>0</v>
      </c>
      <c r="AA414" s="14">
        <v>0</v>
      </c>
      <c r="AB414" s="23">
        <v>0</v>
      </c>
      <c r="AC414" s="10">
        <v>0</v>
      </c>
      <c r="AD414" s="10">
        <v>0</v>
      </c>
      <c r="AE414" s="1" t="s">
        <v>540</v>
      </c>
    </row>
    <row r="415" spans="1:31" ht="16.5" customHeight="1" x14ac:dyDescent="0.35">
      <c r="A415" s="4">
        <v>216</v>
      </c>
      <c r="B415" s="4" t="str">
        <f>LOOKUP(A415,Lookup!$A$1:$A$34,Lookup!$B$1:$B$34)</f>
        <v>BUTCH  WORS/MINCE/PAT</v>
      </c>
      <c r="C415" s="5">
        <v>39499</v>
      </c>
      <c r="D415" s="6" t="s">
        <v>401</v>
      </c>
      <c r="E415" s="4">
        <v>2</v>
      </c>
      <c r="F415" s="10">
        <v>0</v>
      </c>
      <c r="G415" s="10">
        <v>0</v>
      </c>
      <c r="H415" s="10">
        <v>0</v>
      </c>
      <c r="I415" s="10">
        <v>0</v>
      </c>
      <c r="J415" s="10">
        <v>0</v>
      </c>
      <c r="K415" s="10">
        <v>0</v>
      </c>
      <c r="L415" s="10">
        <v>0</v>
      </c>
      <c r="M415" s="10">
        <v>0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0">
        <v>0</v>
      </c>
      <c r="U415" s="10">
        <v>0</v>
      </c>
      <c r="V415" s="10">
        <v>0</v>
      </c>
      <c r="W415" s="10">
        <v>0</v>
      </c>
      <c r="X415" s="17">
        <v>0</v>
      </c>
      <c r="Y415" s="18">
        <v>0</v>
      </c>
      <c r="Z415" s="14">
        <v>0</v>
      </c>
      <c r="AA415" s="14">
        <v>0</v>
      </c>
      <c r="AB415" s="23">
        <v>0</v>
      </c>
      <c r="AC415" s="10">
        <v>0</v>
      </c>
      <c r="AD415" s="10">
        <v>0</v>
      </c>
      <c r="AE415" s="1" t="s">
        <v>540</v>
      </c>
    </row>
    <row r="416" spans="1:31" ht="16.5" customHeight="1" x14ac:dyDescent="0.35">
      <c r="A416" s="4">
        <v>216</v>
      </c>
      <c r="B416" s="4" t="str">
        <f>LOOKUP(A416,Lookup!$A$1:$A$34,Lookup!$B$1:$B$34)</f>
        <v>BUTCH  WORS/MINCE/PAT</v>
      </c>
      <c r="C416" s="5">
        <v>40207</v>
      </c>
      <c r="D416" s="6" t="s">
        <v>312</v>
      </c>
      <c r="E416" s="4">
        <v>2</v>
      </c>
      <c r="F416" s="10">
        <v>0</v>
      </c>
      <c r="G416" s="10">
        <v>0</v>
      </c>
      <c r="H416" s="10">
        <v>0</v>
      </c>
      <c r="I416" s="10">
        <v>0</v>
      </c>
      <c r="J416" s="10">
        <v>0</v>
      </c>
      <c r="K416" s="10">
        <v>0</v>
      </c>
      <c r="L416" s="10">
        <v>0</v>
      </c>
      <c r="M416" s="10">
        <v>0</v>
      </c>
      <c r="N416" s="10">
        <v>0</v>
      </c>
      <c r="O416" s="10">
        <v>0</v>
      </c>
      <c r="P416" s="10">
        <v>0</v>
      </c>
      <c r="Q416" s="10">
        <v>0</v>
      </c>
      <c r="R416" s="10">
        <v>0</v>
      </c>
      <c r="S416" s="10">
        <v>0</v>
      </c>
      <c r="T416" s="10">
        <v>0</v>
      </c>
      <c r="U416" s="10">
        <v>0</v>
      </c>
      <c r="V416" s="10">
        <v>0</v>
      </c>
      <c r="W416" s="10">
        <v>0</v>
      </c>
      <c r="X416" s="17">
        <v>0</v>
      </c>
      <c r="Y416" s="18">
        <v>0</v>
      </c>
      <c r="Z416" s="14">
        <v>0</v>
      </c>
      <c r="AA416" s="14">
        <v>0</v>
      </c>
      <c r="AB416" s="23">
        <v>0</v>
      </c>
      <c r="AC416" s="10">
        <v>0</v>
      </c>
      <c r="AD416" s="10">
        <v>0</v>
      </c>
      <c r="AE416" s="1" t="s">
        <v>540</v>
      </c>
    </row>
    <row r="417" spans="1:31" ht="16.5" customHeight="1" x14ac:dyDescent="0.35">
      <c r="A417" s="4">
        <v>216</v>
      </c>
      <c r="B417" s="4" t="str">
        <f>LOOKUP(A417,Lookup!$A$1:$A$34,Lookup!$B$1:$B$34)</f>
        <v>BUTCH  WORS/MINCE/PAT</v>
      </c>
      <c r="C417" s="5">
        <v>40360</v>
      </c>
      <c r="D417" s="6" t="s">
        <v>402</v>
      </c>
      <c r="E417" s="4">
        <v>2</v>
      </c>
      <c r="F417" s="10">
        <v>0</v>
      </c>
      <c r="G417" s="10">
        <v>0</v>
      </c>
      <c r="H417" s="10">
        <v>0</v>
      </c>
      <c r="I417" s="10">
        <v>0</v>
      </c>
      <c r="J417" s="10">
        <v>0</v>
      </c>
      <c r="K417" s="10">
        <v>0</v>
      </c>
      <c r="L417" s="10">
        <v>0</v>
      </c>
      <c r="M417" s="10">
        <v>0</v>
      </c>
      <c r="N417" s="10">
        <v>0</v>
      </c>
      <c r="O417" s="10">
        <v>0</v>
      </c>
      <c r="P417" s="10">
        <v>0</v>
      </c>
      <c r="Q417" s="10">
        <v>0</v>
      </c>
      <c r="R417" s="10">
        <v>0</v>
      </c>
      <c r="S417" s="10">
        <v>0</v>
      </c>
      <c r="T417" s="10">
        <v>0</v>
      </c>
      <c r="U417" s="10">
        <v>0</v>
      </c>
      <c r="V417" s="10">
        <v>0</v>
      </c>
      <c r="W417" s="10">
        <v>0</v>
      </c>
      <c r="X417" s="17">
        <v>0</v>
      </c>
      <c r="Y417" s="18">
        <v>0</v>
      </c>
      <c r="Z417" s="14">
        <v>0</v>
      </c>
      <c r="AA417" s="14">
        <v>0</v>
      </c>
      <c r="AB417" s="23">
        <v>0</v>
      </c>
      <c r="AC417" s="10">
        <v>0</v>
      </c>
      <c r="AD417" s="10">
        <v>0</v>
      </c>
      <c r="AE417" s="1" t="s">
        <v>540</v>
      </c>
    </row>
    <row r="418" spans="1:31" ht="16.5" customHeight="1" x14ac:dyDescent="0.35">
      <c r="A418" s="4">
        <v>216</v>
      </c>
      <c r="B418" s="4" t="str">
        <f>LOOKUP(A418,Lookup!$A$1:$A$34,Lookup!$B$1:$B$34)</f>
        <v>BUTCH  WORS/MINCE/PAT</v>
      </c>
      <c r="C418" s="5">
        <v>41066</v>
      </c>
      <c r="D418" s="6" t="s">
        <v>403</v>
      </c>
      <c r="E418" s="4">
        <v>2</v>
      </c>
      <c r="F418" s="10">
        <v>0</v>
      </c>
      <c r="G418" s="10">
        <v>0</v>
      </c>
      <c r="H418" s="10">
        <v>0</v>
      </c>
      <c r="I418" s="10">
        <v>0</v>
      </c>
      <c r="J418" s="10">
        <v>0</v>
      </c>
      <c r="K418" s="10">
        <v>0</v>
      </c>
      <c r="L418" s="10">
        <v>0</v>
      </c>
      <c r="M418" s="10">
        <v>0</v>
      </c>
      <c r="N418" s="10">
        <v>0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10">
        <v>0</v>
      </c>
      <c r="V418" s="10">
        <v>0</v>
      </c>
      <c r="W418" s="10">
        <v>0</v>
      </c>
      <c r="X418" s="17">
        <v>0</v>
      </c>
      <c r="Y418" s="18">
        <v>0</v>
      </c>
      <c r="Z418" s="14">
        <v>0</v>
      </c>
      <c r="AA418" s="14">
        <v>0</v>
      </c>
      <c r="AB418" s="23">
        <v>0</v>
      </c>
      <c r="AC418" s="10">
        <v>0</v>
      </c>
      <c r="AD418" s="10">
        <v>0</v>
      </c>
      <c r="AE418" s="1" t="s">
        <v>540</v>
      </c>
    </row>
    <row r="419" spans="1:31" ht="16.5" customHeight="1" x14ac:dyDescent="0.35">
      <c r="A419" s="4">
        <v>216</v>
      </c>
      <c r="B419" s="4" t="str">
        <f>LOOKUP(A419,Lookup!$A$1:$A$34,Lookup!$B$1:$B$34)</f>
        <v>BUTCH  WORS/MINCE/PAT</v>
      </c>
      <c r="C419" s="5">
        <v>42959</v>
      </c>
      <c r="D419" s="6" t="s">
        <v>404</v>
      </c>
      <c r="E419" s="4">
        <v>2</v>
      </c>
      <c r="F419" s="10">
        <v>0</v>
      </c>
      <c r="G419" s="10">
        <v>0</v>
      </c>
      <c r="H419" s="10">
        <v>0</v>
      </c>
      <c r="I419" s="10">
        <v>0</v>
      </c>
      <c r="J419" s="10">
        <v>0</v>
      </c>
      <c r="K419" s="10">
        <v>0</v>
      </c>
      <c r="L419" s="10">
        <v>0</v>
      </c>
      <c r="M419" s="10">
        <v>0</v>
      </c>
      <c r="N419" s="10">
        <v>0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10">
        <v>0</v>
      </c>
      <c r="U419" s="10">
        <v>0</v>
      </c>
      <c r="V419" s="10">
        <v>0</v>
      </c>
      <c r="W419" s="10">
        <v>0</v>
      </c>
      <c r="X419" s="17">
        <v>0</v>
      </c>
      <c r="Y419" s="18">
        <v>0</v>
      </c>
      <c r="Z419" s="14">
        <v>0</v>
      </c>
      <c r="AA419" s="14">
        <v>0</v>
      </c>
      <c r="AB419" s="23">
        <v>0</v>
      </c>
      <c r="AC419" s="10">
        <v>0</v>
      </c>
      <c r="AD419" s="10">
        <v>0</v>
      </c>
      <c r="AE419" s="1" t="s">
        <v>540</v>
      </c>
    </row>
    <row r="420" spans="1:31" ht="16.5" customHeight="1" x14ac:dyDescent="0.35">
      <c r="A420" s="4">
        <v>216</v>
      </c>
      <c r="B420" s="4" t="str">
        <f>LOOKUP(A420,Lookup!$A$1:$A$34,Lookup!$B$1:$B$34)</f>
        <v>BUTCH  WORS/MINCE/PAT</v>
      </c>
      <c r="C420" s="5">
        <v>43246</v>
      </c>
      <c r="D420" s="6" t="s">
        <v>405</v>
      </c>
      <c r="E420" s="4">
        <v>2</v>
      </c>
      <c r="F420" s="10">
        <v>0</v>
      </c>
      <c r="G420" s="10">
        <v>0</v>
      </c>
      <c r="H420" s="10">
        <v>0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0</v>
      </c>
      <c r="V420" s="10">
        <v>0</v>
      </c>
      <c r="W420" s="10">
        <v>0</v>
      </c>
      <c r="X420" s="17">
        <v>0</v>
      </c>
      <c r="Y420" s="18">
        <v>0</v>
      </c>
      <c r="Z420" s="14">
        <v>0</v>
      </c>
      <c r="AA420" s="14">
        <v>0</v>
      </c>
      <c r="AB420" s="23">
        <v>0</v>
      </c>
      <c r="AC420" s="10">
        <v>0</v>
      </c>
      <c r="AD420" s="10">
        <v>0</v>
      </c>
      <c r="AE420" s="1" t="s">
        <v>540</v>
      </c>
    </row>
    <row r="421" spans="1:31" ht="16.5" customHeight="1" x14ac:dyDescent="0.35">
      <c r="A421" s="4">
        <v>216</v>
      </c>
      <c r="B421" s="4" t="str">
        <f>LOOKUP(A421,Lookup!$A$1:$A$34,Lookup!$B$1:$B$34)</f>
        <v>BUTCH  WORS/MINCE/PAT</v>
      </c>
      <c r="C421" s="5">
        <v>43331</v>
      </c>
      <c r="D421" s="6" t="s">
        <v>406</v>
      </c>
      <c r="E421" s="4">
        <v>2</v>
      </c>
      <c r="F421" s="10">
        <v>0</v>
      </c>
      <c r="G421" s="10">
        <v>0</v>
      </c>
      <c r="H421" s="10">
        <v>0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0">
        <v>0</v>
      </c>
      <c r="U421" s="10">
        <v>0</v>
      </c>
      <c r="V421" s="10">
        <v>0</v>
      </c>
      <c r="W421" s="10">
        <v>0</v>
      </c>
      <c r="X421" s="17">
        <v>0</v>
      </c>
      <c r="Y421" s="18">
        <v>0</v>
      </c>
      <c r="Z421" s="14">
        <v>0</v>
      </c>
      <c r="AA421" s="14">
        <v>0</v>
      </c>
      <c r="AB421" s="23">
        <v>0</v>
      </c>
      <c r="AC421" s="10">
        <v>0</v>
      </c>
      <c r="AD421" s="10">
        <v>0</v>
      </c>
      <c r="AE421" s="1" t="s">
        <v>540</v>
      </c>
    </row>
    <row r="422" spans="1:31" ht="16.5" customHeight="1" x14ac:dyDescent="0.35">
      <c r="A422" s="4">
        <v>216</v>
      </c>
      <c r="B422" s="4" t="str">
        <f>LOOKUP(A422,Lookup!$A$1:$A$34,Lookup!$B$1:$B$34)</f>
        <v>BUTCH  WORS/MINCE/PAT</v>
      </c>
      <c r="C422" s="5">
        <v>44007</v>
      </c>
      <c r="D422" s="6" t="s">
        <v>407</v>
      </c>
      <c r="E422" s="4">
        <v>2</v>
      </c>
      <c r="F422" s="10">
        <v>0</v>
      </c>
      <c r="G422" s="10">
        <v>0</v>
      </c>
      <c r="H422" s="10">
        <v>0</v>
      </c>
      <c r="I422" s="10">
        <v>0</v>
      </c>
      <c r="J422" s="10">
        <v>0</v>
      </c>
      <c r="K422" s="10">
        <v>0</v>
      </c>
      <c r="L422" s="10">
        <v>0</v>
      </c>
      <c r="M422" s="10">
        <v>0</v>
      </c>
      <c r="N422" s="10">
        <v>0</v>
      </c>
      <c r="O422" s="10">
        <v>0</v>
      </c>
      <c r="P422" s="10">
        <v>0</v>
      </c>
      <c r="Q422" s="10">
        <v>0</v>
      </c>
      <c r="R422" s="10">
        <v>0</v>
      </c>
      <c r="S422" s="10">
        <v>0</v>
      </c>
      <c r="T422" s="10">
        <v>0</v>
      </c>
      <c r="U422" s="10">
        <v>0</v>
      </c>
      <c r="V422" s="10">
        <v>0</v>
      </c>
      <c r="W422" s="10">
        <v>0</v>
      </c>
      <c r="X422" s="17">
        <v>0</v>
      </c>
      <c r="Y422" s="18">
        <v>0</v>
      </c>
      <c r="Z422" s="14">
        <v>0</v>
      </c>
      <c r="AA422" s="14">
        <v>0</v>
      </c>
      <c r="AB422" s="23">
        <v>0</v>
      </c>
      <c r="AC422" s="10">
        <v>0</v>
      </c>
      <c r="AD422" s="10">
        <v>0</v>
      </c>
      <c r="AE422" s="1" t="s">
        <v>540</v>
      </c>
    </row>
    <row r="423" spans="1:31" ht="16.5" customHeight="1" x14ac:dyDescent="0.35">
      <c r="A423" s="4">
        <v>216</v>
      </c>
      <c r="B423" s="4" t="str">
        <f>LOOKUP(A423,Lookup!$A$1:$A$34,Lookup!$B$1:$B$34)</f>
        <v>BUTCH  WORS/MINCE/PAT</v>
      </c>
      <c r="C423" s="5">
        <v>34235</v>
      </c>
      <c r="D423" s="6" t="s">
        <v>391</v>
      </c>
      <c r="E423" s="4">
        <v>2</v>
      </c>
      <c r="F423" s="10">
        <v>1538.95652173913</v>
      </c>
      <c r="G423" s="10">
        <v>17.699000000000002</v>
      </c>
      <c r="H423" s="10">
        <v>1227.8260869565217</v>
      </c>
      <c r="I423" s="10">
        <v>14.12</v>
      </c>
      <c r="J423" s="10">
        <v>833.56521739130437</v>
      </c>
      <c r="K423" s="10">
        <v>9.5860000000000003</v>
      </c>
      <c r="L423" s="10">
        <v>1947.8260869565217</v>
      </c>
      <c r="M423" s="10">
        <v>22.401</v>
      </c>
      <c r="N423" s="10">
        <v>1158.4347826086957</v>
      </c>
      <c r="O423" s="10">
        <v>13.321999999999999</v>
      </c>
      <c r="P423" s="10">
        <v>1545.3913043478262</v>
      </c>
      <c r="Q423" s="10">
        <v>17.773</v>
      </c>
      <c r="R423" s="10">
        <v>1874.608695652174</v>
      </c>
      <c r="S423" s="10">
        <v>21.56</v>
      </c>
      <c r="T423" s="10">
        <v>697.21739130434776</v>
      </c>
      <c r="U423" s="10">
        <v>8.0180000000000007</v>
      </c>
      <c r="V423" s="10">
        <v>0</v>
      </c>
      <c r="W423" s="10">
        <v>0</v>
      </c>
      <c r="X423" s="17">
        <v>1947.8260869565217</v>
      </c>
      <c r="Y423" s="18">
        <v>22.401</v>
      </c>
      <c r="Z423" s="14">
        <v>10823.826086956522</v>
      </c>
      <c r="AA423" s="14">
        <v>124.479</v>
      </c>
      <c r="AB423" s="23">
        <v>8</v>
      </c>
      <c r="AC423" s="10">
        <v>1352.9782608695652</v>
      </c>
      <c r="AD423" s="10">
        <v>15.559875</v>
      </c>
      <c r="AE423" s="1" t="s">
        <v>542</v>
      </c>
    </row>
    <row r="424" spans="1:31" ht="16.5" customHeight="1" x14ac:dyDescent="0.35">
      <c r="A424" s="4">
        <v>216</v>
      </c>
      <c r="B424" s="4" t="str">
        <f>LOOKUP(A424,Lookup!$A$1:$A$34,Lookup!$B$1:$B$34)</f>
        <v>BUTCH  WORS/MINCE/PAT</v>
      </c>
      <c r="C424" s="5">
        <v>44670</v>
      </c>
      <c r="D424" s="6" t="s">
        <v>409</v>
      </c>
      <c r="E424" s="4">
        <v>2</v>
      </c>
      <c r="F424" s="10">
        <v>0</v>
      </c>
      <c r="G424" s="10">
        <v>0</v>
      </c>
      <c r="H424" s="10">
        <v>0</v>
      </c>
      <c r="I424" s="10">
        <v>0</v>
      </c>
      <c r="J424" s="10">
        <v>0</v>
      </c>
      <c r="K424" s="10">
        <v>0</v>
      </c>
      <c r="L424" s="10">
        <v>0</v>
      </c>
      <c r="M424" s="10">
        <v>0</v>
      </c>
      <c r="N424" s="10">
        <v>0</v>
      </c>
      <c r="O424" s="10">
        <v>0</v>
      </c>
      <c r="P424" s="10">
        <v>0</v>
      </c>
      <c r="Q424" s="10">
        <v>0</v>
      </c>
      <c r="R424" s="10">
        <v>0</v>
      </c>
      <c r="S424" s="10">
        <v>0</v>
      </c>
      <c r="T424" s="10">
        <v>0</v>
      </c>
      <c r="U424" s="10">
        <v>0</v>
      </c>
      <c r="V424" s="10">
        <v>0</v>
      </c>
      <c r="W424" s="10">
        <v>0</v>
      </c>
      <c r="X424" s="17">
        <v>0</v>
      </c>
      <c r="Y424" s="18">
        <v>0</v>
      </c>
      <c r="Z424" s="14">
        <v>0</v>
      </c>
      <c r="AA424" s="14">
        <v>0</v>
      </c>
      <c r="AB424" s="23">
        <v>0</v>
      </c>
      <c r="AC424" s="10">
        <v>0</v>
      </c>
      <c r="AD424" s="10">
        <v>0</v>
      </c>
      <c r="AE424" s="1" t="s">
        <v>540</v>
      </c>
    </row>
    <row r="425" spans="1:31" ht="16.5" customHeight="1" x14ac:dyDescent="0.35">
      <c r="A425" s="4">
        <v>216</v>
      </c>
      <c r="B425" s="4" t="str">
        <f>LOOKUP(A425,Lookup!$A$1:$A$34,Lookup!$B$1:$B$34)</f>
        <v>BUTCH  WORS/MINCE/PAT</v>
      </c>
      <c r="C425" s="5">
        <v>44671</v>
      </c>
      <c r="D425" s="6" t="s">
        <v>410</v>
      </c>
      <c r="E425" s="4">
        <v>2</v>
      </c>
      <c r="F425" s="10">
        <v>0</v>
      </c>
      <c r="G425" s="10">
        <v>0</v>
      </c>
      <c r="H425" s="10">
        <v>0</v>
      </c>
      <c r="I425" s="10">
        <v>0</v>
      </c>
      <c r="J425" s="10">
        <v>0</v>
      </c>
      <c r="K425" s="10">
        <v>0</v>
      </c>
      <c r="L425" s="10">
        <v>0</v>
      </c>
      <c r="M425" s="10">
        <v>0</v>
      </c>
      <c r="N425" s="10">
        <v>0</v>
      </c>
      <c r="O425" s="10">
        <v>0</v>
      </c>
      <c r="P425" s="10">
        <v>0</v>
      </c>
      <c r="Q425" s="10">
        <v>0</v>
      </c>
      <c r="R425" s="10">
        <v>0</v>
      </c>
      <c r="S425" s="10">
        <v>0</v>
      </c>
      <c r="T425" s="10">
        <v>0</v>
      </c>
      <c r="U425" s="10">
        <v>0</v>
      </c>
      <c r="V425" s="10">
        <v>0</v>
      </c>
      <c r="W425" s="10">
        <v>0</v>
      </c>
      <c r="X425" s="17">
        <v>0</v>
      </c>
      <c r="Y425" s="18">
        <v>0</v>
      </c>
      <c r="Z425" s="14">
        <v>0</v>
      </c>
      <c r="AA425" s="14">
        <v>0</v>
      </c>
      <c r="AB425" s="23">
        <v>0</v>
      </c>
      <c r="AC425" s="10">
        <v>0</v>
      </c>
      <c r="AD425" s="10">
        <v>0</v>
      </c>
      <c r="AE425" s="1" t="s">
        <v>540</v>
      </c>
    </row>
    <row r="426" spans="1:31" ht="16.5" customHeight="1" x14ac:dyDescent="0.35">
      <c r="A426" s="4">
        <v>216</v>
      </c>
      <c r="B426" s="4" t="str">
        <f>LOOKUP(A426,Lookup!$A$1:$A$34,Lookup!$B$1:$B$34)</f>
        <v>BUTCH  WORS/MINCE/PAT</v>
      </c>
      <c r="C426" s="5">
        <v>45224</v>
      </c>
      <c r="D426" s="6" t="s">
        <v>411</v>
      </c>
      <c r="E426" s="4">
        <v>2</v>
      </c>
      <c r="F426" s="10">
        <v>0</v>
      </c>
      <c r="G426" s="10">
        <v>0</v>
      </c>
      <c r="H426" s="10">
        <v>0</v>
      </c>
      <c r="I426" s="10">
        <v>0</v>
      </c>
      <c r="J426" s="10">
        <v>0</v>
      </c>
      <c r="K426" s="10">
        <v>0</v>
      </c>
      <c r="L426" s="10">
        <v>0</v>
      </c>
      <c r="M426" s="10">
        <v>0</v>
      </c>
      <c r="N426" s="10">
        <v>0</v>
      </c>
      <c r="O426" s="10">
        <v>0</v>
      </c>
      <c r="P426" s="10">
        <v>0</v>
      </c>
      <c r="Q426" s="10">
        <v>0</v>
      </c>
      <c r="R426" s="10">
        <v>0</v>
      </c>
      <c r="S426" s="10">
        <v>0</v>
      </c>
      <c r="T426" s="10">
        <v>0</v>
      </c>
      <c r="U426" s="10">
        <v>0</v>
      </c>
      <c r="V426" s="10">
        <v>0</v>
      </c>
      <c r="W426" s="10">
        <v>0</v>
      </c>
      <c r="X426" s="17">
        <v>0</v>
      </c>
      <c r="Y426" s="18">
        <v>0</v>
      </c>
      <c r="Z426" s="14">
        <v>0</v>
      </c>
      <c r="AA426" s="14">
        <v>0</v>
      </c>
      <c r="AB426" s="23">
        <v>0</v>
      </c>
      <c r="AC426" s="10">
        <v>0</v>
      </c>
      <c r="AD426" s="10">
        <v>0</v>
      </c>
      <c r="AE426" s="1" t="s">
        <v>540</v>
      </c>
    </row>
    <row r="427" spans="1:31" ht="16.5" customHeight="1" x14ac:dyDescent="0.35">
      <c r="A427" s="4">
        <v>216</v>
      </c>
      <c r="B427" s="4" t="str">
        <f>LOOKUP(A427,Lookup!$A$1:$A$34,Lookup!$B$1:$B$34)</f>
        <v>BUTCH  WORS/MINCE/PAT</v>
      </c>
      <c r="C427" s="5">
        <v>32044</v>
      </c>
      <c r="D427" s="6" t="s">
        <v>380</v>
      </c>
      <c r="E427" s="4">
        <v>2</v>
      </c>
      <c r="F427" s="10">
        <v>0</v>
      </c>
      <c r="G427" s="10">
        <v>0</v>
      </c>
      <c r="H427" s="10">
        <v>0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907.2</v>
      </c>
      <c r="S427" s="10">
        <v>8.6950000000000003</v>
      </c>
      <c r="T427" s="10">
        <v>2743.4260869565219</v>
      </c>
      <c r="U427" s="10">
        <v>24.398</v>
      </c>
      <c r="V427" s="10">
        <v>372.59130434782611</v>
      </c>
      <c r="W427" s="10">
        <v>3.2959999999999998</v>
      </c>
      <c r="X427" s="17">
        <v>2743.4260869565219</v>
      </c>
      <c r="Y427" s="18">
        <v>24.398</v>
      </c>
      <c r="Z427" s="14">
        <v>4023.2173913043484</v>
      </c>
      <c r="AA427" s="14">
        <v>36.389000000000003</v>
      </c>
      <c r="AB427" s="23">
        <v>3</v>
      </c>
      <c r="AC427" s="10">
        <v>1341.0724637681162</v>
      </c>
      <c r="AD427" s="10">
        <v>12.129666666666667</v>
      </c>
      <c r="AE427" s="1" t="s">
        <v>541</v>
      </c>
    </row>
    <row r="428" spans="1:31" ht="16.5" customHeight="1" x14ac:dyDescent="0.35">
      <c r="A428" s="4">
        <v>216</v>
      </c>
      <c r="B428" s="4" t="str">
        <f>LOOKUP(A428,Lookup!$A$1:$A$34,Lookup!$B$1:$B$34)</f>
        <v>BUTCH  WORS/MINCE/PAT</v>
      </c>
      <c r="C428" s="5">
        <v>45832</v>
      </c>
      <c r="D428" s="6" t="s">
        <v>413</v>
      </c>
      <c r="E428" s="4">
        <v>2</v>
      </c>
      <c r="F428" s="10">
        <v>0</v>
      </c>
      <c r="G428" s="10">
        <v>0</v>
      </c>
      <c r="H428" s="10">
        <v>0</v>
      </c>
      <c r="I428" s="10">
        <v>0</v>
      </c>
      <c r="J428" s="10">
        <v>0</v>
      </c>
      <c r="K428" s="10">
        <v>0</v>
      </c>
      <c r="L428" s="10">
        <v>0</v>
      </c>
      <c r="M428" s="10">
        <v>0</v>
      </c>
      <c r="N428" s="10">
        <v>0</v>
      </c>
      <c r="O428" s="10">
        <v>0</v>
      </c>
      <c r="P428" s="10">
        <v>0</v>
      </c>
      <c r="Q428" s="10">
        <v>0</v>
      </c>
      <c r="R428" s="10">
        <v>0</v>
      </c>
      <c r="S428" s="10">
        <v>0</v>
      </c>
      <c r="T428" s="10">
        <v>0</v>
      </c>
      <c r="U428" s="10">
        <v>0</v>
      </c>
      <c r="V428" s="10">
        <v>0</v>
      </c>
      <c r="W428" s="10">
        <v>0</v>
      </c>
      <c r="X428" s="17">
        <v>0</v>
      </c>
      <c r="Y428" s="18">
        <v>0</v>
      </c>
      <c r="Z428" s="14">
        <v>0</v>
      </c>
      <c r="AA428" s="14">
        <v>0</v>
      </c>
      <c r="AB428" s="23">
        <v>0</v>
      </c>
      <c r="AC428" s="10">
        <v>0</v>
      </c>
      <c r="AD428" s="10">
        <v>0</v>
      </c>
      <c r="AE428" s="1" t="s">
        <v>540</v>
      </c>
    </row>
    <row r="429" spans="1:31" ht="16.5" customHeight="1" x14ac:dyDescent="0.35">
      <c r="A429" s="4">
        <v>216</v>
      </c>
      <c r="B429" s="4" t="str">
        <f>LOOKUP(A429,Lookup!$A$1:$A$34,Lookup!$B$1:$B$34)</f>
        <v>BUTCH  WORS/MINCE/PAT</v>
      </c>
      <c r="C429" s="5">
        <v>46004</v>
      </c>
      <c r="D429" s="6" t="s">
        <v>414</v>
      </c>
      <c r="E429" s="4">
        <v>2</v>
      </c>
      <c r="F429" s="10">
        <v>0</v>
      </c>
      <c r="G429" s="10">
        <v>0</v>
      </c>
      <c r="H429" s="10">
        <v>0</v>
      </c>
      <c r="I429" s="10">
        <v>0</v>
      </c>
      <c r="J429" s="10">
        <v>0</v>
      </c>
      <c r="K429" s="10">
        <v>0</v>
      </c>
      <c r="L429" s="10">
        <v>0</v>
      </c>
      <c r="M429" s="10">
        <v>0</v>
      </c>
      <c r="N429" s="10">
        <v>0</v>
      </c>
      <c r="O429" s="10">
        <v>0</v>
      </c>
      <c r="P429" s="10">
        <v>0</v>
      </c>
      <c r="Q429" s="10">
        <v>0</v>
      </c>
      <c r="R429" s="10">
        <v>0</v>
      </c>
      <c r="S429" s="10">
        <v>0</v>
      </c>
      <c r="T429" s="10">
        <v>0</v>
      </c>
      <c r="U429" s="10">
        <v>0</v>
      </c>
      <c r="V429" s="10">
        <v>0</v>
      </c>
      <c r="W429" s="10">
        <v>0</v>
      </c>
      <c r="X429" s="17">
        <v>0</v>
      </c>
      <c r="Y429" s="18">
        <v>0</v>
      </c>
      <c r="Z429" s="14">
        <v>0</v>
      </c>
      <c r="AA429" s="14">
        <v>0</v>
      </c>
      <c r="AB429" s="23">
        <v>0</v>
      </c>
      <c r="AC429" s="10">
        <v>0</v>
      </c>
      <c r="AD429" s="10">
        <v>0</v>
      </c>
      <c r="AE429" s="1" t="s">
        <v>540</v>
      </c>
    </row>
    <row r="430" spans="1:31" ht="16.5" customHeight="1" x14ac:dyDescent="0.35">
      <c r="A430" s="4">
        <v>216</v>
      </c>
      <c r="B430" s="4" t="str">
        <f>LOOKUP(A430,Lookup!$A$1:$A$34,Lookup!$B$1:$B$34)</f>
        <v>BUTCH  WORS/MINCE/PAT</v>
      </c>
      <c r="C430" s="5">
        <v>46061</v>
      </c>
      <c r="D430" s="6" t="s">
        <v>415</v>
      </c>
      <c r="E430" s="4">
        <v>2</v>
      </c>
      <c r="F430" s="10">
        <v>0</v>
      </c>
      <c r="G430" s="10">
        <v>0</v>
      </c>
      <c r="H430" s="10">
        <v>0</v>
      </c>
      <c r="I430" s="10">
        <v>0</v>
      </c>
      <c r="J430" s="10">
        <v>0</v>
      </c>
      <c r="K430" s="10">
        <v>0</v>
      </c>
      <c r="L430" s="10">
        <v>0</v>
      </c>
      <c r="M430" s="10">
        <v>0</v>
      </c>
      <c r="N430" s="10">
        <v>0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10">
        <v>0</v>
      </c>
      <c r="U430" s="10">
        <v>0</v>
      </c>
      <c r="V430" s="10">
        <v>0</v>
      </c>
      <c r="W430" s="10">
        <v>0</v>
      </c>
      <c r="X430" s="17">
        <v>0</v>
      </c>
      <c r="Y430" s="18">
        <v>0</v>
      </c>
      <c r="Z430" s="14">
        <v>0</v>
      </c>
      <c r="AA430" s="14">
        <v>0</v>
      </c>
      <c r="AB430" s="23">
        <v>0</v>
      </c>
      <c r="AC430" s="10">
        <v>0</v>
      </c>
      <c r="AD430" s="10">
        <v>0</v>
      </c>
      <c r="AE430" s="1" t="s">
        <v>540</v>
      </c>
    </row>
    <row r="431" spans="1:31" ht="16.5" customHeight="1" x14ac:dyDescent="0.35">
      <c r="A431" s="4">
        <v>216</v>
      </c>
      <c r="B431" s="4" t="str">
        <f>LOOKUP(A431,Lookup!$A$1:$A$34,Lookup!$B$1:$B$34)</f>
        <v>BUTCH  WORS/MINCE/PAT</v>
      </c>
      <c r="C431" s="5">
        <v>44450</v>
      </c>
      <c r="D431" s="6" t="s">
        <v>408</v>
      </c>
      <c r="E431" s="4">
        <v>2</v>
      </c>
      <c r="F431" s="10">
        <v>1226.1391304347826</v>
      </c>
      <c r="G431" s="10">
        <v>15.67</v>
      </c>
      <c r="H431" s="10">
        <v>1195.9304347826085</v>
      </c>
      <c r="I431" s="10">
        <v>15.284000000000001</v>
      </c>
      <c r="J431" s="10">
        <v>1022.9913043478261</v>
      </c>
      <c r="K431" s="10">
        <v>13.074</v>
      </c>
      <c r="L431" s="10">
        <v>1076.0434782608695</v>
      </c>
      <c r="M431" s="10">
        <v>13.752000000000001</v>
      </c>
      <c r="N431" s="10">
        <v>1684.1739130434785</v>
      </c>
      <c r="O431" s="10">
        <v>21.524000000000001</v>
      </c>
      <c r="P431" s="10">
        <v>1909.4173913043478</v>
      </c>
      <c r="Q431" s="10">
        <v>24.402000000000001</v>
      </c>
      <c r="R431" s="10">
        <v>817.8608695652174</v>
      </c>
      <c r="S431" s="10">
        <v>10.218999999999999</v>
      </c>
      <c r="T431" s="10">
        <v>0</v>
      </c>
      <c r="U431" s="10">
        <v>0</v>
      </c>
      <c r="V431" s="10">
        <v>1275.5913043478261</v>
      </c>
      <c r="W431" s="10">
        <v>15.282</v>
      </c>
      <c r="X431" s="17">
        <v>1909.4173913043478</v>
      </c>
      <c r="Y431" s="18">
        <v>24.402000000000001</v>
      </c>
      <c r="Z431" s="14">
        <v>10208.147826086957</v>
      </c>
      <c r="AA431" s="14">
        <v>129.20699999999999</v>
      </c>
      <c r="AB431" s="23">
        <v>8</v>
      </c>
      <c r="AC431" s="10">
        <v>1276.0184782608696</v>
      </c>
      <c r="AD431" s="10">
        <v>16.150874999999999</v>
      </c>
      <c r="AE431" s="1" t="s">
        <v>542</v>
      </c>
    </row>
    <row r="432" spans="1:31" ht="16.5" customHeight="1" x14ac:dyDescent="0.35">
      <c r="A432" s="4">
        <v>216</v>
      </c>
      <c r="B432" s="4" t="str">
        <f>LOOKUP(A432,Lookup!$A$1:$A$34,Lookup!$B$1:$B$34)</f>
        <v>BUTCH  WORS/MINCE/PAT</v>
      </c>
      <c r="C432" s="5">
        <v>46387</v>
      </c>
      <c r="D432" s="6" t="s">
        <v>417</v>
      </c>
      <c r="E432" s="4">
        <v>2</v>
      </c>
      <c r="F432" s="10">
        <v>0</v>
      </c>
      <c r="G432" s="10">
        <v>0</v>
      </c>
      <c r="H432" s="10">
        <v>0</v>
      </c>
      <c r="I432" s="10">
        <v>0</v>
      </c>
      <c r="J432" s="10">
        <v>0</v>
      </c>
      <c r="K432" s="10">
        <v>0</v>
      </c>
      <c r="L432" s="10">
        <v>0</v>
      </c>
      <c r="M432" s="10">
        <v>0</v>
      </c>
      <c r="N432" s="10">
        <v>0</v>
      </c>
      <c r="O432" s="10">
        <v>0</v>
      </c>
      <c r="P432" s="10">
        <v>0</v>
      </c>
      <c r="Q432" s="10">
        <v>0</v>
      </c>
      <c r="R432" s="10">
        <v>0</v>
      </c>
      <c r="S432" s="10">
        <v>0</v>
      </c>
      <c r="T432" s="10">
        <v>0</v>
      </c>
      <c r="U432" s="10">
        <v>0</v>
      </c>
      <c r="V432" s="10">
        <v>0</v>
      </c>
      <c r="W432" s="10">
        <v>0</v>
      </c>
      <c r="X432" s="17">
        <v>0</v>
      </c>
      <c r="Y432" s="18">
        <v>0</v>
      </c>
      <c r="Z432" s="14">
        <v>0</v>
      </c>
      <c r="AA432" s="14">
        <v>0</v>
      </c>
      <c r="AB432" s="23">
        <v>0</v>
      </c>
      <c r="AC432" s="10">
        <v>0</v>
      </c>
      <c r="AD432" s="10">
        <v>0</v>
      </c>
      <c r="AE432" s="1" t="s">
        <v>540</v>
      </c>
    </row>
    <row r="433" spans="1:31" ht="16.5" customHeight="1" x14ac:dyDescent="0.35">
      <c r="A433" s="4">
        <v>216</v>
      </c>
      <c r="B433" s="4" t="str">
        <f>LOOKUP(A433,Lookup!$A$1:$A$34,Lookup!$B$1:$B$34)</f>
        <v>BUTCH  WORS/MINCE/PAT</v>
      </c>
      <c r="C433" s="5">
        <v>65747</v>
      </c>
      <c r="D433" s="6" t="s">
        <v>462</v>
      </c>
      <c r="E433" s="4">
        <v>2</v>
      </c>
      <c r="F433" s="10">
        <v>1289.1999999999998</v>
      </c>
      <c r="G433" s="10">
        <v>13.478</v>
      </c>
      <c r="H433" s="10">
        <v>1234.104347826087</v>
      </c>
      <c r="I433" s="10">
        <v>12.903</v>
      </c>
      <c r="J433" s="10">
        <v>0</v>
      </c>
      <c r="K433" s="10">
        <v>0</v>
      </c>
      <c r="L433" s="10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0</v>
      </c>
      <c r="T433" s="10">
        <v>0</v>
      </c>
      <c r="U433" s="10">
        <v>0</v>
      </c>
      <c r="V433" s="10">
        <v>0</v>
      </c>
      <c r="W433" s="10">
        <v>0</v>
      </c>
      <c r="X433" s="17">
        <v>1289.1999999999998</v>
      </c>
      <c r="Y433" s="18">
        <v>13.478</v>
      </c>
      <c r="Z433" s="14">
        <v>2523.304347826087</v>
      </c>
      <c r="AA433" s="14">
        <v>26.381</v>
      </c>
      <c r="AB433" s="23">
        <v>2</v>
      </c>
      <c r="AC433" s="10">
        <v>1261.6521739130435</v>
      </c>
      <c r="AD433" s="10">
        <v>13.1905</v>
      </c>
      <c r="AE433" s="1" t="s">
        <v>541</v>
      </c>
    </row>
    <row r="434" spans="1:31" ht="16.5" customHeight="1" x14ac:dyDescent="0.35">
      <c r="A434" s="4">
        <v>216</v>
      </c>
      <c r="B434" s="4" t="str">
        <f>LOOKUP(A434,Lookup!$A$1:$A$34,Lookup!$B$1:$B$34)</f>
        <v>BUTCH  WORS/MINCE/PAT</v>
      </c>
      <c r="C434" s="5">
        <v>32043</v>
      </c>
      <c r="D434" s="6" t="s">
        <v>379</v>
      </c>
      <c r="E434" s="4">
        <v>2</v>
      </c>
      <c r="F434" s="10">
        <v>256.38260869565221</v>
      </c>
      <c r="G434" s="10">
        <v>2.2679999999999998</v>
      </c>
      <c r="H434" s="10">
        <v>0</v>
      </c>
      <c r="I434" s="10">
        <v>0</v>
      </c>
      <c r="J434" s="10">
        <v>764.85217391304343</v>
      </c>
      <c r="K434" s="10">
        <v>6.766</v>
      </c>
      <c r="L434" s="10">
        <v>919.04347826086939</v>
      </c>
      <c r="M434" s="10">
        <v>8.1300000000000008</v>
      </c>
      <c r="N434" s="10">
        <v>1843.5130434782609</v>
      </c>
      <c r="O434" s="10">
        <v>16.308</v>
      </c>
      <c r="P434" s="10">
        <v>1408.5217391304348</v>
      </c>
      <c r="Q434" s="10">
        <v>12.46</v>
      </c>
      <c r="R434" s="10">
        <v>1108.7304347826089</v>
      </c>
      <c r="S434" s="10">
        <v>9.8079999999999998</v>
      </c>
      <c r="T434" s="10">
        <v>1327.8086956521738</v>
      </c>
      <c r="U434" s="10">
        <v>11.746</v>
      </c>
      <c r="V434" s="10">
        <v>2131.3217391304352</v>
      </c>
      <c r="W434" s="10">
        <v>18.853999999999999</v>
      </c>
      <c r="X434" s="17">
        <v>2131.3217391304352</v>
      </c>
      <c r="Y434" s="18">
        <v>18.853999999999999</v>
      </c>
      <c r="Z434" s="14">
        <v>9760.1739130434798</v>
      </c>
      <c r="AA434" s="14">
        <v>86.34</v>
      </c>
      <c r="AB434" s="23">
        <v>8</v>
      </c>
      <c r="AC434" s="10">
        <v>1220.021739130435</v>
      </c>
      <c r="AD434" s="10">
        <v>10.7925</v>
      </c>
      <c r="AE434" s="1" t="s">
        <v>542</v>
      </c>
    </row>
    <row r="435" spans="1:31" ht="16.5" customHeight="1" x14ac:dyDescent="0.35">
      <c r="A435" s="4">
        <v>216</v>
      </c>
      <c r="B435" s="4" t="str">
        <f>LOOKUP(A435,Lookup!$A$1:$A$34,Lookup!$B$1:$B$34)</f>
        <v>BUTCH  WORS/MINCE/PAT</v>
      </c>
      <c r="C435" s="5">
        <v>34949</v>
      </c>
      <c r="D435" s="6" t="s">
        <v>394</v>
      </c>
      <c r="E435" s="4">
        <v>2</v>
      </c>
      <c r="F435" s="10">
        <v>1550.2782608695652</v>
      </c>
      <c r="G435" s="10">
        <v>13.714</v>
      </c>
      <c r="H435" s="10">
        <v>868.62608695652182</v>
      </c>
      <c r="I435" s="10">
        <v>7.6840000000000002</v>
      </c>
      <c r="J435" s="10">
        <v>746.08695652173913</v>
      </c>
      <c r="K435" s="10">
        <v>6.6</v>
      </c>
      <c r="L435" s="10">
        <v>197.37391304347824</v>
      </c>
      <c r="M435" s="10">
        <v>1.746</v>
      </c>
      <c r="N435" s="10">
        <v>491.73913043478262</v>
      </c>
      <c r="O435" s="10">
        <v>4.3499999999999996</v>
      </c>
      <c r="P435" s="10">
        <v>978.2782608695652</v>
      </c>
      <c r="Q435" s="10">
        <v>8.6539999999999999</v>
      </c>
      <c r="R435" s="10">
        <v>1425.9304347826089</v>
      </c>
      <c r="S435" s="10">
        <v>12.614000000000001</v>
      </c>
      <c r="T435" s="10">
        <v>2213.1565217391308</v>
      </c>
      <c r="U435" s="10">
        <v>19.577999999999999</v>
      </c>
      <c r="V435" s="10">
        <v>1980.5217391304348</v>
      </c>
      <c r="W435" s="10">
        <v>17.52</v>
      </c>
      <c r="X435" s="17">
        <v>2213.1565217391308</v>
      </c>
      <c r="Y435" s="18">
        <v>19.577999999999999</v>
      </c>
      <c r="Z435" s="14">
        <v>10451.991304347826</v>
      </c>
      <c r="AA435" s="14">
        <v>92.46</v>
      </c>
      <c r="AB435" s="23">
        <v>9</v>
      </c>
      <c r="AC435" s="10">
        <v>1161.3323671497585</v>
      </c>
      <c r="AD435" s="10">
        <v>10.273333333333333</v>
      </c>
      <c r="AE435" s="1" t="s">
        <v>542</v>
      </c>
    </row>
    <row r="436" spans="1:31" ht="16.5" customHeight="1" x14ac:dyDescent="0.35">
      <c r="A436" s="4">
        <v>216</v>
      </c>
      <c r="B436" s="4" t="str">
        <f>LOOKUP(A436,Lookup!$A$1:$A$34,Lookup!$B$1:$B$34)</f>
        <v>BUTCH  WORS/MINCE/PAT</v>
      </c>
      <c r="C436" s="5">
        <v>50302</v>
      </c>
      <c r="D436" s="6" t="s">
        <v>421</v>
      </c>
      <c r="E436" s="4">
        <v>2</v>
      </c>
      <c r="F436" s="10">
        <v>0</v>
      </c>
      <c r="G436" s="10">
        <v>0</v>
      </c>
      <c r="H436" s="10">
        <v>0</v>
      </c>
      <c r="I436" s="10">
        <v>0</v>
      </c>
      <c r="J436" s="10">
        <v>0</v>
      </c>
      <c r="K436" s="10">
        <v>0</v>
      </c>
      <c r="L436" s="10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0">
        <v>0</v>
      </c>
      <c r="U436" s="10">
        <v>0</v>
      </c>
      <c r="V436" s="10">
        <v>0</v>
      </c>
      <c r="W436" s="10">
        <v>0</v>
      </c>
      <c r="X436" s="17">
        <v>0</v>
      </c>
      <c r="Y436" s="18">
        <v>0</v>
      </c>
      <c r="Z436" s="14">
        <v>0</v>
      </c>
      <c r="AA436" s="14">
        <v>0</v>
      </c>
      <c r="AB436" s="23">
        <v>0</v>
      </c>
      <c r="AC436" s="10">
        <v>0</v>
      </c>
      <c r="AD436" s="10">
        <v>0</v>
      </c>
      <c r="AE436" s="1" t="s">
        <v>540</v>
      </c>
    </row>
    <row r="437" spans="1:31" ht="16.5" customHeight="1" x14ac:dyDescent="0.35">
      <c r="A437" s="4">
        <v>216</v>
      </c>
      <c r="B437" s="4" t="str">
        <f>LOOKUP(A437,Lookup!$A$1:$A$34,Lookup!$B$1:$B$34)</f>
        <v>BUTCH  WORS/MINCE/PAT</v>
      </c>
      <c r="C437" s="5">
        <v>46386</v>
      </c>
      <c r="D437" s="6" t="s">
        <v>416</v>
      </c>
      <c r="E437" s="4">
        <v>2</v>
      </c>
      <c r="F437" s="10">
        <v>0</v>
      </c>
      <c r="G437" s="10">
        <v>0</v>
      </c>
      <c r="H437" s="10">
        <v>1545.1478260869567</v>
      </c>
      <c r="I437" s="10">
        <v>13.67</v>
      </c>
      <c r="J437" s="10">
        <v>1015.9478260869564</v>
      </c>
      <c r="K437" s="10">
        <v>8.9879999999999995</v>
      </c>
      <c r="L437" s="10">
        <v>773.58260869565208</v>
      </c>
      <c r="M437" s="10">
        <v>6.8440000000000003</v>
      </c>
      <c r="N437" s="10">
        <v>0</v>
      </c>
      <c r="O437" s="10">
        <v>0</v>
      </c>
      <c r="P437" s="10">
        <v>0</v>
      </c>
      <c r="Q437" s="10">
        <v>0</v>
      </c>
      <c r="R437" s="10">
        <v>443.75652173913045</v>
      </c>
      <c r="S437" s="10">
        <v>3.9260000000000002</v>
      </c>
      <c r="T437" s="10">
        <v>1186.8086956521738</v>
      </c>
      <c r="U437" s="10">
        <v>10.5</v>
      </c>
      <c r="V437" s="10">
        <v>1848.3999999999999</v>
      </c>
      <c r="W437" s="10">
        <v>16.352</v>
      </c>
      <c r="X437" s="17">
        <v>1848.3999999999999</v>
      </c>
      <c r="Y437" s="18">
        <v>16.352</v>
      </c>
      <c r="Z437" s="14">
        <v>6813.6434782608694</v>
      </c>
      <c r="AA437" s="14">
        <v>60.28</v>
      </c>
      <c r="AB437" s="23">
        <v>6</v>
      </c>
      <c r="AC437" s="10">
        <v>1135.6072463768116</v>
      </c>
      <c r="AD437" s="10">
        <v>10.046666666666667</v>
      </c>
      <c r="AE437" s="1" t="s">
        <v>543</v>
      </c>
    </row>
    <row r="438" spans="1:31" ht="16.5" customHeight="1" x14ac:dyDescent="0.35">
      <c r="A438" s="4">
        <v>216</v>
      </c>
      <c r="B438" s="4" t="str">
        <f>LOOKUP(A438,Lookup!$A$1:$A$34,Lookup!$B$1:$B$34)</f>
        <v>BUTCH  WORS/MINCE/PAT</v>
      </c>
      <c r="C438" s="5">
        <v>63735</v>
      </c>
      <c r="D438" s="6" t="s">
        <v>461</v>
      </c>
      <c r="E438" s="4">
        <v>2</v>
      </c>
      <c r="F438" s="10">
        <v>427.50434782608693</v>
      </c>
      <c r="G438" s="10">
        <v>3.512</v>
      </c>
      <c r="H438" s="10">
        <v>0</v>
      </c>
      <c r="I438" s="10">
        <v>0</v>
      </c>
      <c r="J438" s="10">
        <v>0</v>
      </c>
      <c r="K438" s="10">
        <v>0</v>
      </c>
      <c r="L438" s="10">
        <v>1437.304347826087</v>
      </c>
      <c r="M438" s="10">
        <v>11.808</v>
      </c>
      <c r="N438" s="10">
        <v>0</v>
      </c>
      <c r="O438" s="10">
        <v>0</v>
      </c>
      <c r="P438" s="10">
        <v>0</v>
      </c>
      <c r="Q438" s="10">
        <v>0</v>
      </c>
      <c r="R438" s="10">
        <v>0</v>
      </c>
      <c r="S438" s="10">
        <v>0</v>
      </c>
      <c r="T438" s="10">
        <v>0</v>
      </c>
      <c r="U438" s="10">
        <v>0</v>
      </c>
      <c r="V438" s="10">
        <v>947.73913043478274</v>
      </c>
      <c r="W438" s="10">
        <v>7.7859999999999996</v>
      </c>
      <c r="X438" s="17">
        <v>1437.304347826087</v>
      </c>
      <c r="Y438" s="18">
        <v>11.808</v>
      </c>
      <c r="Z438" s="14">
        <v>2812.5478260869568</v>
      </c>
      <c r="AA438" s="14">
        <v>23.106000000000002</v>
      </c>
      <c r="AB438" s="23">
        <v>3</v>
      </c>
      <c r="AC438" s="10">
        <v>937.51594202898559</v>
      </c>
      <c r="AD438" s="10">
        <v>7.7020000000000008</v>
      </c>
      <c r="AE438" s="1" t="s">
        <v>541</v>
      </c>
    </row>
    <row r="439" spans="1:31" ht="16.5" customHeight="1" x14ac:dyDescent="0.35">
      <c r="A439" s="4">
        <v>216</v>
      </c>
      <c r="B439" s="4" t="str">
        <f>LOOKUP(A439,Lookup!$A$1:$A$34,Lookup!$B$1:$B$34)</f>
        <v>BUTCH  WORS/MINCE/PAT</v>
      </c>
      <c r="C439" s="5">
        <v>52388</v>
      </c>
      <c r="D439" s="6" t="s">
        <v>424</v>
      </c>
      <c r="E439" s="4">
        <v>2</v>
      </c>
      <c r="F439" s="10">
        <v>0</v>
      </c>
      <c r="G439" s="10">
        <v>0</v>
      </c>
      <c r="H439" s="10">
        <v>0</v>
      </c>
      <c r="I439" s="10">
        <v>0</v>
      </c>
      <c r="J439" s="10">
        <v>0</v>
      </c>
      <c r="K439" s="10">
        <v>0</v>
      </c>
      <c r="L439" s="10">
        <v>0</v>
      </c>
      <c r="M439" s="10">
        <v>0</v>
      </c>
      <c r="N439" s="10">
        <v>0</v>
      </c>
      <c r="O439" s="10">
        <v>0</v>
      </c>
      <c r="P439" s="10">
        <v>0</v>
      </c>
      <c r="Q439" s="10">
        <v>0</v>
      </c>
      <c r="R439" s="10">
        <v>0</v>
      </c>
      <c r="S439" s="10">
        <v>0</v>
      </c>
      <c r="T439" s="10">
        <v>0</v>
      </c>
      <c r="U439" s="10">
        <v>0</v>
      </c>
      <c r="V439" s="10">
        <v>0</v>
      </c>
      <c r="W439" s="10">
        <v>0</v>
      </c>
      <c r="X439" s="17">
        <v>0</v>
      </c>
      <c r="Y439" s="18">
        <v>0</v>
      </c>
      <c r="Z439" s="14">
        <v>0</v>
      </c>
      <c r="AA439" s="14">
        <v>0</v>
      </c>
      <c r="AB439" s="23">
        <v>0</v>
      </c>
      <c r="AC439" s="10">
        <v>0</v>
      </c>
      <c r="AD439" s="10">
        <v>0</v>
      </c>
      <c r="AE439" s="1" t="s">
        <v>540</v>
      </c>
    </row>
    <row r="440" spans="1:31" ht="16.5" customHeight="1" x14ac:dyDescent="0.35">
      <c r="A440" s="4">
        <v>216</v>
      </c>
      <c r="B440" s="4" t="str">
        <f>LOOKUP(A440,Lookup!$A$1:$A$34,Lookup!$B$1:$B$34)</f>
        <v>BUTCH  WORS/MINCE/PAT</v>
      </c>
      <c r="C440" s="5">
        <v>52461</v>
      </c>
      <c r="D440" s="6" t="s">
        <v>425</v>
      </c>
      <c r="E440" s="4">
        <v>2</v>
      </c>
      <c r="F440" s="10">
        <v>0</v>
      </c>
      <c r="G440" s="10">
        <v>0</v>
      </c>
      <c r="H440" s="10">
        <v>0</v>
      </c>
      <c r="I440" s="10">
        <v>0</v>
      </c>
      <c r="J440" s="10">
        <v>0</v>
      </c>
      <c r="K440" s="10">
        <v>0</v>
      </c>
      <c r="L440" s="10">
        <v>0</v>
      </c>
      <c r="M440" s="10">
        <v>0</v>
      </c>
      <c r="N440" s="10">
        <v>0</v>
      </c>
      <c r="O440" s="10">
        <v>0</v>
      </c>
      <c r="P440" s="10">
        <v>0</v>
      </c>
      <c r="Q440" s="10">
        <v>0</v>
      </c>
      <c r="R440" s="10">
        <v>0</v>
      </c>
      <c r="S440" s="10">
        <v>0</v>
      </c>
      <c r="T440" s="10">
        <v>0</v>
      </c>
      <c r="U440" s="10">
        <v>0</v>
      </c>
      <c r="V440" s="10">
        <v>0</v>
      </c>
      <c r="W440" s="10">
        <v>0</v>
      </c>
      <c r="X440" s="17">
        <v>0</v>
      </c>
      <c r="Y440" s="18">
        <v>0</v>
      </c>
      <c r="Z440" s="14">
        <v>0</v>
      </c>
      <c r="AA440" s="14">
        <v>0</v>
      </c>
      <c r="AB440" s="23">
        <v>0</v>
      </c>
      <c r="AC440" s="10">
        <v>0</v>
      </c>
      <c r="AD440" s="10">
        <v>0</v>
      </c>
      <c r="AE440" s="1" t="s">
        <v>540</v>
      </c>
    </row>
    <row r="441" spans="1:31" ht="16.5" customHeight="1" x14ac:dyDescent="0.35">
      <c r="A441" s="4">
        <v>216</v>
      </c>
      <c r="B441" s="4" t="str">
        <f>LOOKUP(A441,Lookup!$A$1:$A$34,Lookup!$B$1:$B$34)</f>
        <v>BUTCH  WORS/MINCE/PAT</v>
      </c>
      <c r="C441" s="5">
        <v>52975</v>
      </c>
      <c r="D441" s="6" t="s">
        <v>426</v>
      </c>
      <c r="E441" s="4">
        <v>2</v>
      </c>
      <c r="F441" s="10">
        <v>0</v>
      </c>
      <c r="G441" s="10">
        <v>0</v>
      </c>
      <c r="H441" s="10">
        <v>0</v>
      </c>
      <c r="I441" s="10">
        <v>0</v>
      </c>
      <c r="J441" s="10">
        <v>0</v>
      </c>
      <c r="K441" s="10">
        <v>0</v>
      </c>
      <c r="L441" s="10">
        <v>0</v>
      </c>
      <c r="M441" s="10">
        <v>0</v>
      </c>
      <c r="N441" s="10">
        <v>0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v>0</v>
      </c>
      <c r="V441" s="10">
        <v>0</v>
      </c>
      <c r="W441" s="10">
        <v>0</v>
      </c>
      <c r="X441" s="17">
        <v>0</v>
      </c>
      <c r="Y441" s="18">
        <v>0</v>
      </c>
      <c r="Z441" s="14">
        <v>0</v>
      </c>
      <c r="AA441" s="14">
        <v>0</v>
      </c>
      <c r="AB441" s="23">
        <v>0</v>
      </c>
      <c r="AC441" s="10">
        <v>0</v>
      </c>
      <c r="AD441" s="10">
        <v>0</v>
      </c>
      <c r="AE441" s="1" t="s">
        <v>540</v>
      </c>
    </row>
    <row r="442" spans="1:31" ht="16.5" customHeight="1" x14ac:dyDescent="0.35">
      <c r="A442" s="4">
        <v>216</v>
      </c>
      <c r="B442" s="4" t="str">
        <f>LOOKUP(A442,Lookup!$A$1:$A$34,Lookup!$B$1:$B$34)</f>
        <v>BUTCH  WORS/MINCE/PAT</v>
      </c>
      <c r="C442" s="5">
        <v>53069</v>
      </c>
      <c r="D442" s="6" t="s">
        <v>427</v>
      </c>
      <c r="E442" s="4">
        <v>2</v>
      </c>
      <c r="F442" s="10">
        <v>0</v>
      </c>
      <c r="G442" s="10">
        <v>0</v>
      </c>
      <c r="H442" s="10">
        <v>0</v>
      </c>
      <c r="I442" s="10">
        <v>0</v>
      </c>
      <c r="J442" s="10">
        <v>0</v>
      </c>
      <c r="K442" s="10">
        <v>0</v>
      </c>
      <c r="L442" s="10">
        <v>0</v>
      </c>
      <c r="M442" s="10">
        <v>0</v>
      </c>
      <c r="N442" s="10">
        <v>0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10">
        <v>0</v>
      </c>
      <c r="U442" s="10">
        <v>0</v>
      </c>
      <c r="V442" s="10">
        <v>0</v>
      </c>
      <c r="W442" s="10">
        <v>0</v>
      </c>
      <c r="X442" s="17">
        <v>0</v>
      </c>
      <c r="Y442" s="18">
        <v>0</v>
      </c>
      <c r="Z442" s="14">
        <v>0</v>
      </c>
      <c r="AA442" s="14">
        <v>0</v>
      </c>
      <c r="AB442" s="23">
        <v>0</v>
      </c>
      <c r="AC442" s="10">
        <v>0</v>
      </c>
      <c r="AD442" s="10">
        <v>0</v>
      </c>
      <c r="AE442" s="1" t="s">
        <v>540</v>
      </c>
    </row>
    <row r="443" spans="1:31" ht="16.5" customHeight="1" x14ac:dyDescent="0.35">
      <c r="A443" s="4">
        <v>216</v>
      </c>
      <c r="B443" s="4" t="str">
        <f>LOOKUP(A443,Lookup!$A$1:$A$34,Lookup!$B$1:$B$34)</f>
        <v>BUTCH  WORS/MINCE/PAT</v>
      </c>
      <c r="C443" s="5">
        <v>54108</v>
      </c>
      <c r="D443" s="6" t="s">
        <v>428</v>
      </c>
      <c r="E443" s="4">
        <v>2</v>
      </c>
      <c r="F443" s="10">
        <v>0</v>
      </c>
      <c r="G443" s="10">
        <v>0</v>
      </c>
      <c r="H443" s="10">
        <v>0</v>
      </c>
      <c r="I443" s="10">
        <v>0</v>
      </c>
      <c r="J443" s="10">
        <v>0</v>
      </c>
      <c r="K443" s="10">
        <v>0</v>
      </c>
      <c r="L443" s="10">
        <v>0</v>
      </c>
      <c r="M443" s="10">
        <v>0</v>
      </c>
      <c r="N443" s="10">
        <v>0</v>
      </c>
      <c r="O443" s="10">
        <v>0</v>
      </c>
      <c r="P443" s="10">
        <v>0</v>
      </c>
      <c r="Q443" s="10">
        <v>0</v>
      </c>
      <c r="R443" s="10">
        <v>0</v>
      </c>
      <c r="S443" s="10">
        <v>0</v>
      </c>
      <c r="T443" s="10">
        <v>0</v>
      </c>
      <c r="U443" s="10">
        <v>0</v>
      </c>
      <c r="V443" s="10">
        <v>0</v>
      </c>
      <c r="W443" s="10">
        <v>0</v>
      </c>
      <c r="X443" s="17">
        <v>0</v>
      </c>
      <c r="Y443" s="18">
        <v>0</v>
      </c>
      <c r="Z443" s="14">
        <v>0</v>
      </c>
      <c r="AA443" s="14">
        <v>0</v>
      </c>
      <c r="AB443" s="23">
        <v>0</v>
      </c>
      <c r="AC443" s="10">
        <v>0</v>
      </c>
      <c r="AD443" s="10">
        <v>0</v>
      </c>
      <c r="AE443" s="1" t="s">
        <v>540</v>
      </c>
    </row>
    <row r="444" spans="1:31" ht="16.5" customHeight="1" x14ac:dyDescent="0.35">
      <c r="A444" s="4">
        <v>216</v>
      </c>
      <c r="B444" s="4" t="str">
        <f>LOOKUP(A444,Lookup!$A$1:$A$34,Lookup!$B$1:$B$34)</f>
        <v>BUTCH  WORS/MINCE/PAT</v>
      </c>
      <c r="C444" s="5">
        <v>54432</v>
      </c>
      <c r="D444" s="6" t="s">
        <v>429</v>
      </c>
      <c r="E444" s="4">
        <v>2</v>
      </c>
      <c r="F444" s="10">
        <v>0</v>
      </c>
      <c r="G444" s="10">
        <v>0</v>
      </c>
      <c r="H444" s="10">
        <v>0</v>
      </c>
      <c r="I444" s="10">
        <v>0</v>
      </c>
      <c r="J444" s="10">
        <v>0</v>
      </c>
      <c r="K444" s="10">
        <v>0</v>
      </c>
      <c r="L444" s="10">
        <v>0</v>
      </c>
      <c r="M444" s="10">
        <v>0</v>
      </c>
      <c r="N444" s="10">
        <v>0</v>
      </c>
      <c r="O444" s="10">
        <v>0</v>
      </c>
      <c r="P444" s="10">
        <v>0</v>
      </c>
      <c r="Q444" s="10">
        <v>0</v>
      </c>
      <c r="R444" s="10">
        <v>0</v>
      </c>
      <c r="S444" s="10">
        <v>0</v>
      </c>
      <c r="T444" s="10">
        <v>0</v>
      </c>
      <c r="U444" s="10">
        <v>0</v>
      </c>
      <c r="V444" s="10">
        <v>0</v>
      </c>
      <c r="W444" s="10">
        <v>0</v>
      </c>
      <c r="X444" s="17">
        <v>0</v>
      </c>
      <c r="Y444" s="18">
        <v>0</v>
      </c>
      <c r="Z444" s="14">
        <v>0</v>
      </c>
      <c r="AA444" s="14">
        <v>0</v>
      </c>
      <c r="AB444" s="23">
        <v>0</v>
      </c>
      <c r="AC444" s="10">
        <v>0</v>
      </c>
      <c r="AD444" s="10">
        <v>0</v>
      </c>
      <c r="AE444" s="1" t="s">
        <v>540</v>
      </c>
    </row>
    <row r="445" spans="1:31" ht="16.5" customHeight="1" x14ac:dyDescent="0.35">
      <c r="A445" s="4">
        <v>216</v>
      </c>
      <c r="B445" s="4" t="str">
        <f>LOOKUP(A445,Lookup!$A$1:$A$34,Lookup!$B$1:$B$34)</f>
        <v>BUTCH  WORS/MINCE/PAT</v>
      </c>
      <c r="C445" s="5">
        <v>55336</v>
      </c>
      <c r="D445" s="6" t="s">
        <v>430</v>
      </c>
      <c r="E445" s="4">
        <v>2</v>
      </c>
      <c r="F445" s="10">
        <v>0</v>
      </c>
      <c r="G445" s="10">
        <v>0</v>
      </c>
      <c r="H445" s="10">
        <v>0</v>
      </c>
      <c r="I445" s="10">
        <v>0</v>
      </c>
      <c r="J445" s="10">
        <v>0</v>
      </c>
      <c r="K445" s="10">
        <v>0</v>
      </c>
      <c r="L445" s="10">
        <v>0</v>
      </c>
      <c r="M445" s="10">
        <v>0</v>
      </c>
      <c r="N445" s="10">
        <v>0</v>
      </c>
      <c r="O445" s="10">
        <v>0</v>
      </c>
      <c r="P445" s="10">
        <v>0</v>
      </c>
      <c r="Q445" s="10">
        <v>0</v>
      </c>
      <c r="R445" s="10">
        <v>0</v>
      </c>
      <c r="S445" s="10">
        <v>0</v>
      </c>
      <c r="T445" s="10">
        <v>0</v>
      </c>
      <c r="U445" s="10">
        <v>0</v>
      </c>
      <c r="V445" s="10">
        <v>0</v>
      </c>
      <c r="W445" s="10">
        <v>0</v>
      </c>
      <c r="X445" s="17">
        <v>0</v>
      </c>
      <c r="Y445" s="18">
        <v>0</v>
      </c>
      <c r="Z445" s="14">
        <v>0</v>
      </c>
      <c r="AA445" s="14">
        <v>0</v>
      </c>
      <c r="AB445" s="23">
        <v>0</v>
      </c>
      <c r="AC445" s="10">
        <v>0</v>
      </c>
      <c r="AD445" s="10">
        <v>0</v>
      </c>
      <c r="AE445" s="1" t="s">
        <v>540</v>
      </c>
    </row>
    <row r="446" spans="1:31" ht="16.5" customHeight="1" x14ac:dyDescent="0.35">
      <c r="A446" s="4">
        <v>216</v>
      </c>
      <c r="B446" s="4" t="str">
        <f>LOOKUP(A446,Lookup!$A$1:$A$34,Lookup!$B$1:$B$34)</f>
        <v>BUTCH  WORS/MINCE/PAT</v>
      </c>
      <c r="C446" s="5">
        <v>56164</v>
      </c>
      <c r="D446" s="6" t="s">
        <v>431</v>
      </c>
      <c r="E446" s="4">
        <v>2</v>
      </c>
      <c r="F446" s="10">
        <v>0</v>
      </c>
      <c r="G446" s="10">
        <v>0</v>
      </c>
      <c r="H446" s="10">
        <v>0</v>
      </c>
      <c r="I446" s="10">
        <v>0</v>
      </c>
      <c r="J446" s="10">
        <v>0</v>
      </c>
      <c r="K446" s="10">
        <v>0</v>
      </c>
      <c r="L446" s="10">
        <v>0</v>
      </c>
      <c r="M446" s="10">
        <v>0</v>
      </c>
      <c r="N446" s="10">
        <v>0</v>
      </c>
      <c r="O446" s="10">
        <v>0</v>
      </c>
      <c r="P446" s="10">
        <v>0</v>
      </c>
      <c r="Q446" s="10">
        <v>0</v>
      </c>
      <c r="R446" s="10">
        <v>0</v>
      </c>
      <c r="S446" s="10">
        <v>0</v>
      </c>
      <c r="T446" s="10">
        <v>0</v>
      </c>
      <c r="U446" s="10">
        <v>0</v>
      </c>
      <c r="V446" s="10">
        <v>0</v>
      </c>
      <c r="W446" s="10">
        <v>0</v>
      </c>
      <c r="X446" s="17">
        <v>0</v>
      </c>
      <c r="Y446" s="18">
        <v>0</v>
      </c>
      <c r="Z446" s="14">
        <v>0</v>
      </c>
      <c r="AA446" s="14">
        <v>0</v>
      </c>
      <c r="AB446" s="23">
        <v>0</v>
      </c>
      <c r="AC446" s="10">
        <v>0</v>
      </c>
      <c r="AD446" s="10">
        <v>0</v>
      </c>
      <c r="AE446" s="1" t="s">
        <v>540</v>
      </c>
    </row>
    <row r="447" spans="1:31" ht="16.5" customHeight="1" x14ac:dyDescent="0.35">
      <c r="A447" s="4">
        <v>216</v>
      </c>
      <c r="B447" s="4" t="str">
        <f>LOOKUP(A447,Lookup!$A$1:$A$34,Lookup!$B$1:$B$34)</f>
        <v>BUTCH  WORS/MINCE/PAT</v>
      </c>
      <c r="C447" s="5">
        <v>57067</v>
      </c>
      <c r="D447" s="6" t="s">
        <v>432</v>
      </c>
      <c r="E447" s="4">
        <v>2</v>
      </c>
      <c r="F447" s="10">
        <v>0</v>
      </c>
      <c r="G447" s="10">
        <v>0</v>
      </c>
      <c r="H447" s="10">
        <v>0</v>
      </c>
      <c r="I447" s="10">
        <v>0</v>
      </c>
      <c r="J447" s="10">
        <v>0</v>
      </c>
      <c r="K447" s="10">
        <v>0</v>
      </c>
      <c r="L447" s="10">
        <v>0</v>
      </c>
      <c r="M447" s="10">
        <v>0</v>
      </c>
      <c r="N447" s="10">
        <v>0</v>
      </c>
      <c r="O447" s="10">
        <v>0</v>
      </c>
      <c r="P447" s="10">
        <v>0</v>
      </c>
      <c r="Q447" s="10">
        <v>0</v>
      </c>
      <c r="R447" s="10">
        <v>0</v>
      </c>
      <c r="S447" s="10">
        <v>0</v>
      </c>
      <c r="T447" s="10">
        <v>0</v>
      </c>
      <c r="U447" s="10">
        <v>0</v>
      </c>
      <c r="V447" s="10">
        <v>0</v>
      </c>
      <c r="W447" s="10">
        <v>0</v>
      </c>
      <c r="X447" s="17">
        <v>0</v>
      </c>
      <c r="Y447" s="18">
        <v>0</v>
      </c>
      <c r="Z447" s="14">
        <v>0</v>
      </c>
      <c r="AA447" s="14">
        <v>0</v>
      </c>
      <c r="AB447" s="23">
        <v>0</v>
      </c>
      <c r="AC447" s="10">
        <v>0</v>
      </c>
      <c r="AD447" s="10">
        <v>0</v>
      </c>
      <c r="AE447" s="1" t="s">
        <v>540</v>
      </c>
    </row>
    <row r="448" spans="1:31" ht="16.5" customHeight="1" x14ac:dyDescent="0.35">
      <c r="A448" s="4">
        <v>216</v>
      </c>
      <c r="B448" s="4" t="str">
        <f>LOOKUP(A448,Lookup!$A$1:$A$34,Lookup!$B$1:$B$34)</f>
        <v>BUTCH  WORS/MINCE/PAT</v>
      </c>
      <c r="C448" s="5">
        <v>57930</v>
      </c>
      <c r="D448" s="6" t="s">
        <v>433</v>
      </c>
      <c r="E448" s="4">
        <v>2</v>
      </c>
      <c r="F448" s="10">
        <v>0</v>
      </c>
      <c r="G448" s="10">
        <v>0</v>
      </c>
      <c r="H448" s="10">
        <v>0</v>
      </c>
      <c r="I448" s="10">
        <v>0</v>
      </c>
      <c r="J448" s="10">
        <v>0</v>
      </c>
      <c r="K448" s="10">
        <v>0</v>
      </c>
      <c r="L448" s="10">
        <v>0</v>
      </c>
      <c r="M448" s="10">
        <v>0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  <c r="V448" s="10">
        <v>0</v>
      </c>
      <c r="W448" s="10">
        <v>0</v>
      </c>
      <c r="X448" s="17">
        <v>0</v>
      </c>
      <c r="Y448" s="18">
        <v>0</v>
      </c>
      <c r="Z448" s="14">
        <v>0</v>
      </c>
      <c r="AA448" s="14">
        <v>0</v>
      </c>
      <c r="AB448" s="23">
        <v>0</v>
      </c>
      <c r="AC448" s="10">
        <v>0</v>
      </c>
      <c r="AD448" s="10">
        <v>0</v>
      </c>
      <c r="AE448" s="1" t="s">
        <v>540</v>
      </c>
    </row>
    <row r="449" spans="1:31" ht="16.5" customHeight="1" x14ac:dyDescent="0.35">
      <c r="A449" s="4">
        <v>216</v>
      </c>
      <c r="B449" s="4" t="str">
        <f>LOOKUP(A449,Lookup!$A$1:$A$34,Lookup!$B$1:$B$34)</f>
        <v>BUTCH  WORS/MINCE/PAT</v>
      </c>
      <c r="C449" s="5">
        <v>58148</v>
      </c>
      <c r="D449" s="6" t="s">
        <v>434</v>
      </c>
      <c r="E449" s="4">
        <v>2</v>
      </c>
      <c r="F449" s="10">
        <v>0</v>
      </c>
      <c r="G449" s="10">
        <v>0</v>
      </c>
      <c r="H449" s="10">
        <v>0</v>
      </c>
      <c r="I449" s="10">
        <v>0</v>
      </c>
      <c r="J449" s="10">
        <v>0</v>
      </c>
      <c r="K449" s="10">
        <v>0</v>
      </c>
      <c r="L449" s="10">
        <v>0</v>
      </c>
      <c r="M449" s="10">
        <v>0</v>
      </c>
      <c r="N449" s="10">
        <v>0</v>
      </c>
      <c r="O449" s="10">
        <v>0</v>
      </c>
      <c r="P449" s="10">
        <v>0</v>
      </c>
      <c r="Q449" s="10">
        <v>0</v>
      </c>
      <c r="R449" s="10">
        <v>0</v>
      </c>
      <c r="S449" s="10">
        <v>0</v>
      </c>
      <c r="T449" s="10">
        <v>0</v>
      </c>
      <c r="U449" s="10">
        <v>0</v>
      </c>
      <c r="V449" s="10">
        <v>0</v>
      </c>
      <c r="W449" s="10">
        <v>0</v>
      </c>
      <c r="X449" s="17">
        <v>0</v>
      </c>
      <c r="Y449" s="18">
        <v>0</v>
      </c>
      <c r="Z449" s="14">
        <v>0</v>
      </c>
      <c r="AA449" s="14">
        <v>0</v>
      </c>
      <c r="AB449" s="23">
        <v>0</v>
      </c>
      <c r="AC449" s="10">
        <v>0</v>
      </c>
      <c r="AD449" s="10">
        <v>0</v>
      </c>
      <c r="AE449" s="1" t="s">
        <v>540</v>
      </c>
    </row>
    <row r="450" spans="1:31" ht="16.5" customHeight="1" x14ac:dyDescent="0.35">
      <c r="A450" s="4">
        <v>216</v>
      </c>
      <c r="B450" s="4" t="str">
        <f>LOOKUP(A450,Lookup!$A$1:$A$34,Lookup!$B$1:$B$34)</f>
        <v>BUTCH  WORS/MINCE/PAT</v>
      </c>
      <c r="C450" s="5">
        <v>58157</v>
      </c>
      <c r="D450" s="6" t="s">
        <v>435</v>
      </c>
      <c r="E450" s="4">
        <v>2</v>
      </c>
      <c r="F450" s="10">
        <v>0</v>
      </c>
      <c r="G450" s="10">
        <v>0</v>
      </c>
      <c r="H450" s="10">
        <v>0</v>
      </c>
      <c r="I450" s="10">
        <v>0</v>
      </c>
      <c r="J450" s="10">
        <v>0</v>
      </c>
      <c r="K450" s="10">
        <v>0</v>
      </c>
      <c r="L450" s="10">
        <v>0</v>
      </c>
      <c r="M450" s="10">
        <v>0</v>
      </c>
      <c r="N450" s="10">
        <v>0</v>
      </c>
      <c r="O450" s="10">
        <v>0</v>
      </c>
      <c r="P450" s="10">
        <v>0</v>
      </c>
      <c r="Q450" s="10">
        <v>0</v>
      </c>
      <c r="R450" s="10">
        <v>0</v>
      </c>
      <c r="S450" s="10">
        <v>0</v>
      </c>
      <c r="T450" s="10">
        <v>0</v>
      </c>
      <c r="U450" s="10">
        <v>0</v>
      </c>
      <c r="V450" s="10">
        <v>0</v>
      </c>
      <c r="W450" s="10">
        <v>0</v>
      </c>
      <c r="X450" s="17">
        <v>0</v>
      </c>
      <c r="Y450" s="18">
        <v>0</v>
      </c>
      <c r="Z450" s="14">
        <v>0</v>
      </c>
      <c r="AA450" s="14">
        <v>0</v>
      </c>
      <c r="AB450" s="23">
        <v>0</v>
      </c>
      <c r="AC450" s="10">
        <v>0</v>
      </c>
      <c r="AD450" s="10">
        <v>0</v>
      </c>
      <c r="AE450" s="1" t="s">
        <v>540</v>
      </c>
    </row>
    <row r="451" spans="1:31" ht="16.5" customHeight="1" x14ac:dyDescent="0.35">
      <c r="A451" s="4">
        <v>216</v>
      </c>
      <c r="B451" s="4" t="str">
        <f>LOOKUP(A451,Lookup!$A$1:$A$34,Lookup!$B$1:$B$34)</f>
        <v>BUTCH  WORS/MINCE/PAT</v>
      </c>
      <c r="C451" s="5">
        <v>58766</v>
      </c>
      <c r="D451" s="6" t="s">
        <v>436</v>
      </c>
      <c r="E451" s="4">
        <v>2</v>
      </c>
      <c r="F451" s="10">
        <v>0</v>
      </c>
      <c r="G451" s="10">
        <v>0</v>
      </c>
      <c r="H451" s="10">
        <v>0</v>
      </c>
      <c r="I451" s="10">
        <v>0</v>
      </c>
      <c r="J451" s="10">
        <v>0</v>
      </c>
      <c r="K451" s="10">
        <v>0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  <c r="V451" s="10">
        <v>0</v>
      </c>
      <c r="W451" s="10">
        <v>0</v>
      </c>
      <c r="X451" s="17">
        <v>0</v>
      </c>
      <c r="Y451" s="18">
        <v>0</v>
      </c>
      <c r="Z451" s="14">
        <v>0</v>
      </c>
      <c r="AA451" s="14">
        <v>0</v>
      </c>
      <c r="AB451" s="23">
        <v>0</v>
      </c>
      <c r="AC451" s="10">
        <v>0</v>
      </c>
      <c r="AD451" s="10">
        <v>0</v>
      </c>
      <c r="AE451" s="1" t="s">
        <v>540</v>
      </c>
    </row>
    <row r="452" spans="1:31" ht="16.5" customHeight="1" x14ac:dyDescent="0.35">
      <c r="A452" s="4">
        <v>216</v>
      </c>
      <c r="B452" s="4" t="str">
        <f>LOOKUP(A452,Lookup!$A$1:$A$34,Lookup!$B$1:$B$34)</f>
        <v>BUTCH  WORS/MINCE/PAT</v>
      </c>
      <c r="C452" s="5">
        <v>59027</v>
      </c>
      <c r="D452" s="6" t="s">
        <v>437</v>
      </c>
      <c r="E452" s="4">
        <v>2</v>
      </c>
      <c r="F452" s="10">
        <v>0</v>
      </c>
      <c r="G452" s="10">
        <v>0</v>
      </c>
      <c r="H452" s="10">
        <v>0</v>
      </c>
      <c r="I452" s="10">
        <v>0</v>
      </c>
      <c r="J452" s="10">
        <v>0</v>
      </c>
      <c r="K452" s="10">
        <v>0</v>
      </c>
      <c r="L452" s="10">
        <v>0</v>
      </c>
      <c r="M452" s="10">
        <v>0</v>
      </c>
      <c r="N452" s="10">
        <v>0</v>
      </c>
      <c r="O452" s="10">
        <v>0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  <c r="U452" s="10">
        <v>0</v>
      </c>
      <c r="V452" s="10">
        <v>0</v>
      </c>
      <c r="W452" s="10">
        <v>0</v>
      </c>
      <c r="X452" s="17">
        <v>0</v>
      </c>
      <c r="Y452" s="18">
        <v>0</v>
      </c>
      <c r="Z452" s="14">
        <v>0</v>
      </c>
      <c r="AA452" s="14">
        <v>0</v>
      </c>
      <c r="AB452" s="23">
        <v>0</v>
      </c>
      <c r="AC452" s="10">
        <v>0</v>
      </c>
      <c r="AD452" s="10">
        <v>0</v>
      </c>
      <c r="AE452" s="1" t="s">
        <v>540</v>
      </c>
    </row>
    <row r="453" spans="1:31" ht="16.5" customHeight="1" x14ac:dyDescent="0.35">
      <c r="A453" s="4">
        <v>216</v>
      </c>
      <c r="B453" s="4" t="str">
        <f>LOOKUP(A453,Lookup!$A$1:$A$34,Lookup!$B$1:$B$34)</f>
        <v>BUTCH  WORS/MINCE/PAT</v>
      </c>
      <c r="C453" s="5">
        <v>59480</v>
      </c>
      <c r="D453" s="6" t="s">
        <v>438</v>
      </c>
      <c r="E453" s="4">
        <v>2</v>
      </c>
      <c r="F453" s="10">
        <v>0</v>
      </c>
      <c r="G453" s="10">
        <v>0</v>
      </c>
      <c r="H453" s="10">
        <v>0</v>
      </c>
      <c r="I453" s="10">
        <v>0</v>
      </c>
      <c r="J453" s="10">
        <v>0</v>
      </c>
      <c r="K453" s="10">
        <v>0</v>
      </c>
      <c r="L453" s="10">
        <v>0</v>
      </c>
      <c r="M453" s="10">
        <v>0</v>
      </c>
      <c r="N453" s="10">
        <v>0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  <c r="V453" s="10">
        <v>0</v>
      </c>
      <c r="W453" s="10">
        <v>0</v>
      </c>
      <c r="X453" s="17">
        <v>0</v>
      </c>
      <c r="Y453" s="18">
        <v>0</v>
      </c>
      <c r="Z453" s="14">
        <v>0</v>
      </c>
      <c r="AA453" s="14">
        <v>0</v>
      </c>
      <c r="AB453" s="23">
        <v>0</v>
      </c>
      <c r="AC453" s="10">
        <v>0</v>
      </c>
      <c r="AD453" s="10">
        <v>0</v>
      </c>
      <c r="AE453" s="1" t="s">
        <v>540</v>
      </c>
    </row>
    <row r="454" spans="1:31" ht="16.5" customHeight="1" x14ac:dyDescent="0.35">
      <c r="A454" s="4">
        <v>216</v>
      </c>
      <c r="B454" s="4" t="str">
        <f>LOOKUP(A454,Lookup!$A$1:$A$34,Lookup!$B$1:$B$34)</f>
        <v>BUTCH  WORS/MINCE/PAT</v>
      </c>
      <c r="C454" s="5">
        <v>59677</v>
      </c>
      <c r="D454" s="6" t="s">
        <v>439</v>
      </c>
      <c r="E454" s="4">
        <v>2</v>
      </c>
      <c r="F454" s="10">
        <v>0</v>
      </c>
      <c r="G454" s="10">
        <v>0</v>
      </c>
      <c r="H454" s="10">
        <v>0</v>
      </c>
      <c r="I454" s="10">
        <v>0</v>
      </c>
      <c r="J454" s="10">
        <v>0</v>
      </c>
      <c r="K454" s="10">
        <v>0</v>
      </c>
      <c r="L454" s="10">
        <v>0</v>
      </c>
      <c r="M454" s="10">
        <v>0</v>
      </c>
      <c r="N454" s="10">
        <v>0</v>
      </c>
      <c r="O454" s="10">
        <v>0</v>
      </c>
      <c r="P454" s="10">
        <v>0</v>
      </c>
      <c r="Q454" s="10">
        <v>0</v>
      </c>
      <c r="R454" s="10">
        <v>0</v>
      </c>
      <c r="S454" s="10">
        <v>0</v>
      </c>
      <c r="T454" s="10">
        <v>0</v>
      </c>
      <c r="U454" s="10">
        <v>0</v>
      </c>
      <c r="V454" s="10">
        <v>0</v>
      </c>
      <c r="W454" s="10">
        <v>0</v>
      </c>
      <c r="X454" s="17">
        <v>0</v>
      </c>
      <c r="Y454" s="18">
        <v>0</v>
      </c>
      <c r="Z454" s="14">
        <v>0</v>
      </c>
      <c r="AA454" s="14">
        <v>0</v>
      </c>
      <c r="AB454" s="23">
        <v>0</v>
      </c>
      <c r="AC454" s="10">
        <v>0</v>
      </c>
      <c r="AD454" s="10">
        <v>0</v>
      </c>
      <c r="AE454" s="1" t="s">
        <v>540</v>
      </c>
    </row>
    <row r="455" spans="1:31" ht="16.5" customHeight="1" x14ac:dyDescent="0.35">
      <c r="A455" s="4">
        <v>216</v>
      </c>
      <c r="B455" s="4" t="str">
        <f>LOOKUP(A455,Lookup!$A$1:$A$34,Lookup!$B$1:$B$34)</f>
        <v>BUTCH  WORS/MINCE/PAT</v>
      </c>
      <c r="C455" s="5">
        <v>59678</v>
      </c>
      <c r="D455" s="6" t="s">
        <v>440</v>
      </c>
      <c r="E455" s="4">
        <v>2</v>
      </c>
      <c r="F455" s="10">
        <v>0</v>
      </c>
      <c r="G455" s="10">
        <v>0</v>
      </c>
      <c r="H455" s="10">
        <v>0</v>
      </c>
      <c r="I455" s="10">
        <v>0</v>
      </c>
      <c r="J455" s="10">
        <v>0</v>
      </c>
      <c r="K455" s="10">
        <v>0</v>
      </c>
      <c r="L455" s="10">
        <v>0</v>
      </c>
      <c r="M455" s="10">
        <v>0</v>
      </c>
      <c r="N455" s="10">
        <v>0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  <c r="U455" s="10">
        <v>0</v>
      </c>
      <c r="V455" s="10">
        <v>0</v>
      </c>
      <c r="W455" s="10">
        <v>0</v>
      </c>
      <c r="X455" s="17">
        <v>0</v>
      </c>
      <c r="Y455" s="18">
        <v>0</v>
      </c>
      <c r="Z455" s="14">
        <v>0</v>
      </c>
      <c r="AA455" s="14">
        <v>0</v>
      </c>
      <c r="AB455" s="23">
        <v>0</v>
      </c>
      <c r="AC455" s="10">
        <v>0</v>
      </c>
      <c r="AD455" s="10">
        <v>0</v>
      </c>
      <c r="AE455" s="1" t="s">
        <v>540</v>
      </c>
    </row>
    <row r="456" spans="1:31" ht="16.5" customHeight="1" x14ac:dyDescent="0.35">
      <c r="A456" s="4">
        <v>216</v>
      </c>
      <c r="B456" s="4" t="str">
        <f>LOOKUP(A456,Lookup!$A$1:$A$34,Lookup!$B$1:$B$34)</f>
        <v>BUTCH  WORS/MINCE/PAT</v>
      </c>
      <c r="C456" s="5">
        <v>59688</v>
      </c>
      <c r="D456" s="6" t="s">
        <v>441</v>
      </c>
      <c r="E456" s="4">
        <v>2</v>
      </c>
      <c r="F456" s="10">
        <v>0</v>
      </c>
      <c r="G456" s="10">
        <v>0</v>
      </c>
      <c r="H456" s="10">
        <v>0</v>
      </c>
      <c r="I456" s="10">
        <v>0</v>
      </c>
      <c r="J456" s="10">
        <v>0</v>
      </c>
      <c r="K456" s="10">
        <v>0</v>
      </c>
      <c r="L456" s="10">
        <v>0</v>
      </c>
      <c r="M456" s="10">
        <v>0</v>
      </c>
      <c r="N456" s="10">
        <v>0</v>
      </c>
      <c r="O456" s="10">
        <v>0</v>
      </c>
      <c r="P456" s="10">
        <v>0</v>
      </c>
      <c r="Q456" s="10">
        <v>0</v>
      </c>
      <c r="R456" s="10">
        <v>0</v>
      </c>
      <c r="S456" s="10">
        <v>0</v>
      </c>
      <c r="T456" s="10">
        <v>0</v>
      </c>
      <c r="U456" s="10">
        <v>0</v>
      </c>
      <c r="V456" s="10">
        <v>0</v>
      </c>
      <c r="W456" s="10">
        <v>0</v>
      </c>
      <c r="X456" s="17">
        <v>0</v>
      </c>
      <c r="Y456" s="18">
        <v>0</v>
      </c>
      <c r="Z456" s="14">
        <v>0</v>
      </c>
      <c r="AA456" s="14">
        <v>0</v>
      </c>
      <c r="AB456" s="23">
        <v>0</v>
      </c>
      <c r="AC456" s="10">
        <v>0</v>
      </c>
      <c r="AD456" s="10">
        <v>0</v>
      </c>
      <c r="AE456" s="1" t="s">
        <v>540</v>
      </c>
    </row>
    <row r="457" spans="1:31" ht="16.5" customHeight="1" x14ac:dyDescent="0.35">
      <c r="A457" s="4">
        <v>216</v>
      </c>
      <c r="B457" s="4" t="str">
        <f>LOOKUP(A457,Lookup!$A$1:$A$34,Lookup!$B$1:$B$34)</f>
        <v>BUTCH  WORS/MINCE/PAT</v>
      </c>
      <c r="C457" s="5">
        <v>59689</v>
      </c>
      <c r="D457" s="6" t="s">
        <v>442</v>
      </c>
      <c r="E457" s="4">
        <v>2</v>
      </c>
      <c r="F457" s="10">
        <v>0</v>
      </c>
      <c r="G457" s="10">
        <v>0</v>
      </c>
      <c r="H457" s="10">
        <v>0</v>
      </c>
      <c r="I457" s="10">
        <v>0</v>
      </c>
      <c r="J457" s="10">
        <v>0</v>
      </c>
      <c r="K457" s="10">
        <v>0</v>
      </c>
      <c r="L457" s="10">
        <v>0</v>
      </c>
      <c r="M457" s="10">
        <v>0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  <c r="V457" s="10">
        <v>0</v>
      </c>
      <c r="W457" s="10">
        <v>0</v>
      </c>
      <c r="X457" s="17">
        <v>0</v>
      </c>
      <c r="Y457" s="18">
        <v>0</v>
      </c>
      <c r="Z457" s="14">
        <v>0</v>
      </c>
      <c r="AA457" s="14">
        <v>0</v>
      </c>
      <c r="AB457" s="23">
        <v>0</v>
      </c>
      <c r="AC457" s="10">
        <v>0</v>
      </c>
      <c r="AD457" s="10">
        <v>0</v>
      </c>
      <c r="AE457" s="1" t="s">
        <v>540</v>
      </c>
    </row>
    <row r="458" spans="1:31" ht="16.5" customHeight="1" x14ac:dyDescent="0.35">
      <c r="A458" s="4">
        <v>216</v>
      </c>
      <c r="B458" s="4" t="str">
        <f>LOOKUP(A458,Lookup!$A$1:$A$34,Lookup!$B$1:$B$34)</f>
        <v>BUTCH  WORS/MINCE/PAT</v>
      </c>
      <c r="C458" s="5">
        <v>60439</v>
      </c>
      <c r="D458" s="6" t="s">
        <v>443</v>
      </c>
      <c r="E458" s="4">
        <v>2</v>
      </c>
      <c r="F458" s="10">
        <v>0</v>
      </c>
      <c r="G458" s="10">
        <v>0</v>
      </c>
      <c r="H458" s="10">
        <v>0</v>
      </c>
      <c r="I458" s="10">
        <v>0</v>
      </c>
      <c r="J458" s="10">
        <v>0</v>
      </c>
      <c r="K458" s="10">
        <v>0</v>
      </c>
      <c r="L458" s="10">
        <v>0</v>
      </c>
      <c r="M458" s="10">
        <v>0</v>
      </c>
      <c r="N458" s="10">
        <v>0</v>
      </c>
      <c r="O458" s="10">
        <v>0</v>
      </c>
      <c r="P458" s="10">
        <v>0</v>
      </c>
      <c r="Q458" s="10">
        <v>0</v>
      </c>
      <c r="R458" s="10">
        <v>0</v>
      </c>
      <c r="S458" s="10">
        <v>0</v>
      </c>
      <c r="T458" s="10">
        <v>0</v>
      </c>
      <c r="U458" s="10">
        <v>0</v>
      </c>
      <c r="V458" s="10">
        <v>0</v>
      </c>
      <c r="W458" s="10">
        <v>0</v>
      </c>
      <c r="X458" s="17">
        <v>0</v>
      </c>
      <c r="Y458" s="18">
        <v>0</v>
      </c>
      <c r="Z458" s="14">
        <v>0</v>
      </c>
      <c r="AA458" s="14">
        <v>0</v>
      </c>
      <c r="AB458" s="23">
        <v>0</v>
      </c>
      <c r="AC458" s="10">
        <v>0</v>
      </c>
      <c r="AD458" s="10">
        <v>0</v>
      </c>
      <c r="AE458" s="1" t="s">
        <v>540</v>
      </c>
    </row>
    <row r="459" spans="1:31" ht="16.5" customHeight="1" x14ac:dyDescent="0.35">
      <c r="A459" s="4">
        <v>216</v>
      </c>
      <c r="B459" s="4" t="str">
        <f>LOOKUP(A459,Lookup!$A$1:$A$34,Lookup!$B$1:$B$34)</f>
        <v>BUTCH  WORS/MINCE/PAT</v>
      </c>
      <c r="C459" s="5">
        <v>60866</v>
      </c>
      <c r="D459" s="6" t="s">
        <v>444</v>
      </c>
      <c r="E459" s="4">
        <v>2</v>
      </c>
      <c r="F459" s="10">
        <v>0</v>
      </c>
      <c r="G459" s="10">
        <v>0</v>
      </c>
      <c r="H459" s="10">
        <v>0</v>
      </c>
      <c r="I459" s="10">
        <v>0</v>
      </c>
      <c r="J459" s="10">
        <v>0</v>
      </c>
      <c r="K459" s="10">
        <v>0</v>
      </c>
      <c r="L459" s="10">
        <v>0</v>
      </c>
      <c r="M459" s="10">
        <v>0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  <c r="U459" s="10">
        <v>0</v>
      </c>
      <c r="V459" s="10">
        <v>0</v>
      </c>
      <c r="W459" s="10">
        <v>0</v>
      </c>
      <c r="X459" s="17">
        <v>0</v>
      </c>
      <c r="Y459" s="18">
        <v>0</v>
      </c>
      <c r="Z459" s="14">
        <v>0</v>
      </c>
      <c r="AA459" s="14">
        <v>0</v>
      </c>
      <c r="AB459" s="23">
        <v>0</v>
      </c>
      <c r="AC459" s="10">
        <v>0</v>
      </c>
      <c r="AD459" s="10">
        <v>0</v>
      </c>
      <c r="AE459" s="1" t="s">
        <v>540</v>
      </c>
    </row>
    <row r="460" spans="1:31" ht="16.5" customHeight="1" x14ac:dyDescent="0.35">
      <c r="A460" s="4">
        <v>216</v>
      </c>
      <c r="B460" s="4" t="str">
        <f>LOOKUP(A460,Lookup!$A$1:$A$34,Lookup!$B$1:$B$34)</f>
        <v>BUTCH  WORS/MINCE/PAT</v>
      </c>
      <c r="C460" s="5">
        <v>47251</v>
      </c>
      <c r="D460" s="6" t="s">
        <v>418</v>
      </c>
      <c r="E460" s="4">
        <v>2</v>
      </c>
      <c r="F460" s="10">
        <v>724.36521739130433</v>
      </c>
      <c r="G460" s="10">
        <v>7.5739999999999998</v>
      </c>
      <c r="H460" s="10">
        <v>0</v>
      </c>
      <c r="I460" s="10">
        <v>0</v>
      </c>
      <c r="J460" s="10">
        <v>592.95652173913038</v>
      </c>
      <c r="K460" s="10">
        <v>6.2</v>
      </c>
      <c r="L460" s="10">
        <v>782.12173913043489</v>
      </c>
      <c r="M460" s="10">
        <v>8.1780000000000008</v>
      </c>
      <c r="N460" s="10">
        <v>0</v>
      </c>
      <c r="O460" s="10">
        <v>0</v>
      </c>
      <c r="P460" s="10">
        <v>574.99130434782603</v>
      </c>
      <c r="Q460" s="10">
        <v>6.0119999999999996</v>
      </c>
      <c r="R460" s="10">
        <v>635.43478260869563</v>
      </c>
      <c r="S460" s="10">
        <v>6.6440000000000001</v>
      </c>
      <c r="T460" s="10">
        <v>1254.9652173913043</v>
      </c>
      <c r="U460" s="10">
        <v>13.122</v>
      </c>
      <c r="V460" s="10">
        <v>1063.895652173913</v>
      </c>
      <c r="W460" s="10">
        <v>11.124000000000001</v>
      </c>
      <c r="X460" s="17">
        <v>1254.9652173913043</v>
      </c>
      <c r="Y460" s="18">
        <v>13.122</v>
      </c>
      <c r="Z460" s="14">
        <v>5628.7304347826084</v>
      </c>
      <c r="AA460" s="14">
        <v>58.854000000000006</v>
      </c>
      <c r="AB460" s="23">
        <v>7</v>
      </c>
      <c r="AC460" s="10">
        <v>804.10434782608695</v>
      </c>
      <c r="AD460" s="10">
        <v>8.4077142857142864</v>
      </c>
      <c r="AE460" s="1" t="s">
        <v>543</v>
      </c>
    </row>
    <row r="461" spans="1:31" ht="16.5" customHeight="1" x14ac:dyDescent="0.35">
      <c r="A461" s="4">
        <v>216</v>
      </c>
      <c r="B461" s="4" t="str">
        <f>LOOKUP(A461,Lookup!$A$1:$A$34,Lookup!$B$1:$B$34)</f>
        <v>BUTCH  WORS/MINCE/PAT</v>
      </c>
      <c r="C461" s="5">
        <v>45416</v>
      </c>
      <c r="D461" s="6" t="s">
        <v>412</v>
      </c>
      <c r="E461" s="4">
        <v>2</v>
      </c>
      <c r="F461" s="10">
        <v>1048.7478260869566</v>
      </c>
      <c r="G461" s="10">
        <v>10.398</v>
      </c>
      <c r="H461" s="10">
        <v>76.452173913043481</v>
      </c>
      <c r="I461" s="10">
        <v>0.75800000000000001</v>
      </c>
      <c r="J461" s="10">
        <v>917.83478260869583</v>
      </c>
      <c r="K461" s="10">
        <v>9.1</v>
      </c>
      <c r="L461" s="10">
        <v>1189.1565217391303</v>
      </c>
      <c r="M461" s="10">
        <v>11.79</v>
      </c>
      <c r="N461" s="10">
        <v>122.64347826086956</v>
      </c>
      <c r="O461" s="10">
        <v>1.216</v>
      </c>
      <c r="P461" s="10">
        <v>604.77391304347827</v>
      </c>
      <c r="Q461" s="10">
        <v>5.9960000000000004</v>
      </c>
      <c r="R461" s="10">
        <v>1179.0695652173913</v>
      </c>
      <c r="S461" s="10">
        <v>11.69</v>
      </c>
      <c r="T461" s="10">
        <v>768.1652173913044</v>
      </c>
      <c r="U461" s="10">
        <v>7.6159999999999997</v>
      </c>
      <c r="V461" s="10">
        <v>697.3478260869565</v>
      </c>
      <c r="W461" s="10">
        <v>6.9139999999999997</v>
      </c>
      <c r="X461" s="17">
        <v>1189.1565217391303</v>
      </c>
      <c r="Y461" s="18">
        <v>11.79</v>
      </c>
      <c r="Z461" s="14">
        <v>6604.1913043478253</v>
      </c>
      <c r="AA461" s="14">
        <v>65.477999999999994</v>
      </c>
      <c r="AB461" s="23">
        <v>9</v>
      </c>
      <c r="AC461" s="10">
        <v>733.79903381642498</v>
      </c>
      <c r="AD461" s="10">
        <v>7.2753333333333323</v>
      </c>
      <c r="AE461" s="1" t="s">
        <v>542</v>
      </c>
    </row>
    <row r="462" spans="1:31" ht="16.5" customHeight="1" x14ac:dyDescent="0.35">
      <c r="A462" s="4">
        <v>216</v>
      </c>
      <c r="B462" s="4" t="str">
        <f>LOOKUP(A462,Lookup!$A$1:$A$34,Lookup!$B$1:$B$34)</f>
        <v>BUTCH  WORS/MINCE/PAT</v>
      </c>
      <c r="C462" s="5">
        <v>62009</v>
      </c>
      <c r="D462" s="6" t="s">
        <v>447</v>
      </c>
      <c r="E462" s="4">
        <v>2</v>
      </c>
      <c r="F462" s="10">
        <v>0</v>
      </c>
      <c r="G462" s="10">
        <v>0</v>
      </c>
      <c r="H462" s="10">
        <v>0</v>
      </c>
      <c r="I462" s="10">
        <v>0</v>
      </c>
      <c r="J462" s="10">
        <v>0</v>
      </c>
      <c r="K462" s="10">
        <v>0</v>
      </c>
      <c r="L462" s="10">
        <v>0</v>
      </c>
      <c r="M462" s="10">
        <v>0</v>
      </c>
      <c r="N462" s="10">
        <v>0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10">
        <v>0</v>
      </c>
      <c r="U462" s="10">
        <v>0</v>
      </c>
      <c r="V462" s="10">
        <v>0</v>
      </c>
      <c r="W462" s="10">
        <v>0</v>
      </c>
      <c r="X462" s="17">
        <v>0</v>
      </c>
      <c r="Y462" s="18">
        <v>0</v>
      </c>
      <c r="Z462" s="14">
        <v>0</v>
      </c>
      <c r="AA462" s="14">
        <v>0</v>
      </c>
      <c r="AB462" s="23">
        <v>0</v>
      </c>
      <c r="AC462" s="10">
        <v>0</v>
      </c>
      <c r="AD462" s="10">
        <v>0</v>
      </c>
      <c r="AE462" s="1" t="s">
        <v>540</v>
      </c>
    </row>
    <row r="463" spans="1:31" ht="16.5" customHeight="1" x14ac:dyDescent="0.35">
      <c r="A463" s="4">
        <v>216</v>
      </c>
      <c r="B463" s="4" t="str">
        <f>LOOKUP(A463,Lookup!$A$1:$A$34,Lookup!$B$1:$B$34)</f>
        <v>BUTCH  WORS/MINCE/PAT</v>
      </c>
      <c r="C463" s="5">
        <v>62010</v>
      </c>
      <c r="D463" s="6" t="s">
        <v>448</v>
      </c>
      <c r="E463" s="4">
        <v>2</v>
      </c>
      <c r="F463" s="10">
        <v>0</v>
      </c>
      <c r="G463" s="10">
        <v>0</v>
      </c>
      <c r="H463" s="10">
        <v>0</v>
      </c>
      <c r="I463" s="10">
        <v>0</v>
      </c>
      <c r="J463" s="10">
        <v>0</v>
      </c>
      <c r="K463" s="10">
        <v>0</v>
      </c>
      <c r="L463" s="10">
        <v>0</v>
      </c>
      <c r="M463" s="10">
        <v>0</v>
      </c>
      <c r="N463" s="10">
        <v>0</v>
      </c>
      <c r="O463" s="10">
        <v>0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  <c r="U463" s="10">
        <v>0</v>
      </c>
      <c r="V463" s="10">
        <v>0</v>
      </c>
      <c r="W463" s="10">
        <v>0</v>
      </c>
      <c r="X463" s="17">
        <v>0</v>
      </c>
      <c r="Y463" s="18">
        <v>0</v>
      </c>
      <c r="Z463" s="14">
        <v>0</v>
      </c>
      <c r="AA463" s="14">
        <v>0</v>
      </c>
      <c r="AB463" s="23">
        <v>0</v>
      </c>
      <c r="AC463" s="10">
        <v>0</v>
      </c>
      <c r="AD463" s="10">
        <v>0</v>
      </c>
      <c r="AE463" s="1" t="s">
        <v>540</v>
      </c>
    </row>
    <row r="464" spans="1:31" ht="16.5" customHeight="1" x14ac:dyDescent="0.35">
      <c r="A464" s="4">
        <v>216</v>
      </c>
      <c r="B464" s="4" t="str">
        <f>LOOKUP(A464,Lookup!$A$1:$A$34,Lookup!$B$1:$B$34)</f>
        <v>BUTCH  WORS/MINCE/PAT</v>
      </c>
      <c r="C464" s="5">
        <v>62041</v>
      </c>
      <c r="D464" s="6" t="s">
        <v>449</v>
      </c>
      <c r="E464" s="4">
        <v>2</v>
      </c>
      <c r="F464" s="10">
        <v>0</v>
      </c>
      <c r="G464" s="10">
        <v>0</v>
      </c>
      <c r="H464" s="10">
        <v>0</v>
      </c>
      <c r="I464" s="10">
        <v>0</v>
      </c>
      <c r="J464" s="10">
        <v>0</v>
      </c>
      <c r="K464" s="10">
        <v>0</v>
      </c>
      <c r="L464" s="10">
        <v>0</v>
      </c>
      <c r="M464" s="10">
        <v>0</v>
      </c>
      <c r="N464" s="10">
        <v>0</v>
      </c>
      <c r="O464" s="10">
        <v>0</v>
      </c>
      <c r="P464" s="10">
        <v>0</v>
      </c>
      <c r="Q464" s="10">
        <v>0</v>
      </c>
      <c r="R464" s="10">
        <v>0</v>
      </c>
      <c r="S464" s="10">
        <v>0</v>
      </c>
      <c r="T464" s="10">
        <v>0</v>
      </c>
      <c r="U464" s="10">
        <v>0</v>
      </c>
      <c r="V464" s="10">
        <v>0</v>
      </c>
      <c r="W464" s="10">
        <v>0</v>
      </c>
      <c r="X464" s="17">
        <v>0</v>
      </c>
      <c r="Y464" s="18">
        <v>0</v>
      </c>
      <c r="Z464" s="14">
        <v>0</v>
      </c>
      <c r="AA464" s="14">
        <v>0</v>
      </c>
      <c r="AB464" s="23">
        <v>0</v>
      </c>
      <c r="AC464" s="10">
        <v>0</v>
      </c>
      <c r="AD464" s="10">
        <v>0</v>
      </c>
      <c r="AE464" s="1" t="s">
        <v>540</v>
      </c>
    </row>
    <row r="465" spans="1:31" ht="16.5" customHeight="1" x14ac:dyDescent="0.35">
      <c r="A465" s="4">
        <v>216</v>
      </c>
      <c r="B465" s="4" t="str">
        <f>LOOKUP(A465,Lookup!$A$1:$A$34,Lookup!$B$1:$B$34)</f>
        <v>BUTCH  WORS/MINCE/PAT</v>
      </c>
      <c r="C465" s="5">
        <v>62046</v>
      </c>
      <c r="D465" s="6" t="s">
        <v>450</v>
      </c>
      <c r="E465" s="4">
        <v>2</v>
      </c>
      <c r="F465" s="10">
        <v>0</v>
      </c>
      <c r="G465" s="10">
        <v>0</v>
      </c>
      <c r="H465" s="10">
        <v>0</v>
      </c>
      <c r="I465" s="10">
        <v>0</v>
      </c>
      <c r="J465" s="10">
        <v>0</v>
      </c>
      <c r="K465" s="10">
        <v>0</v>
      </c>
      <c r="L465" s="10">
        <v>0</v>
      </c>
      <c r="M465" s="10">
        <v>0</v>
      </c>
      <c r="N465" s="10">
        <v>0</v>
      </c>
      <c r="O465" s="10">
        <v>0</v>
      </c>
      <c r="P465" s="10">
        <v>0</v>
      </c>
      <c r="Q465" s="10">
        <v>0</v>
      </c>
      <c r="R465" s="10">
        <v>0</v>
      </c>
      <c r="S465" s="10">
        <v>0</v>
      </c>
      <c r="T465" s="10">
        <v>0</v>
      </c>
      <c r="U465" s="10">
        <v>0</v>
      </c>
      <c r="V465" s="10">
        <v>0</v>
      </c>
      <c r="W465" s="10">
        <v>0</v>
      </c>
      <c r="X465" s="17">
        <v>0</v>
      </c>
      <c r="Y465" s="18">
        <v>0</v>
      </c>
      <c r="Z465" s="14">
        <v>0</v>
      </c>
      <c r="AA465" s="14">
        <v>0</v>
      </c>
      <c r="AB465" s="23">
        <v>0</v>
      </c>
      <c r="AC465" s="10">
        <v>0</v>
      </c>
      <c r="AD465" s="10">
        <v>0</v>
      </c>
      <c r="AE465" s="1" t="s">
        <v>540</v>
      </c>
    </row>
    <row r="466" spans="1:31" ht="16.5" customHeight="1" x14ac:dyDescent="0.35">
      <c r="A466" s="4">
        <v>216</v>
      </c>
      <c r="B466" s="4" t="str">
        <f>LOOKUP(A466,Lookup!$A$1:$A$34,Lookup!$B$1:$B$34)</f>
        <v>BUTCH  WORS/MINCE/PAT</v>
      </c>
      <c r="C466" s="5">
        <v>62047</v>
      </c>
      <c r="D466" s="6" t="s">
        <v>451</v>
      </c>
      <c r="E466" s="4">
        <v>2</v>
      </c>
      <c r="F466" s="10">
        <v>0</v>
      </c>
      <c r="G466" s="10">
        <v>0</v>
      </c>
      <c r="H466" s="10">
        <v>0</v>
      </c>
      <c r="I466" s="10">
        <v>0</v>
      </c>
      <c r="J466" s="10">
        <v>0</v>
      </c>
      <c r="K466" s="10">
        <v>0</v>
      </c>
      <c r="L466" s="10">
        <v>0</v>
      </c>
      <c r="M466" s="10">
        <v>0</v>
      </c>
      <c r="N466" s="10">
        <v>0</v>
      </c>
      <c r="O466" s="10">
        <v>0</v>
      </c>
      <c r="P466" s="10">
        <v>0</v>
      </c>
      <c r="Q466" s="10">
        <v>0</v>
      </c>
      <c r="R466" s="10">
        <v>0</v>
      </c>
      <c r="S466" s="10">
        <v>0</v>
      </c>
      <c r="T466" s="10">
        <v>0</v>
      </c>
      <c r="U466" s="10">
        <v>0</v>
      </c>
      <c r="V466" s="10">
        <v>0</v>
      </c>
      <c r="W466" s="10">
        <v>0</v>
      </c>
      <c r="X466" s="17">
        <v>0</v>
      </c>
      <c r="Y466" s="18">
        <v>0</v>
      </c>
      <c r="Z466" s="14">
        <v>0</v>
      </c>
      <c r="AA466" s="14">
        <v>0</v>
      </c>
      <c r="AB466" s="23">
        <v>0</v>
      </c>
      <c r="AC466" s="10">
        <v>0</v>
      </c>
      <c r="AD466" s="10">
        <v>0</v>
      </c>
      <c r="AE466" s="1" t="s">
        <v>540</v>
      </c>
    </row>
    <row r="467" spans="1:31" ht="16.5" customHeight="1" x14ac:dyDescent="0.35">
      <c r="A467" s="4">
        <v>216</v>
      </c>
      <c r="B467" s="4" t="str">
        <f>LOOKUP(A467,Lookup!$A$1:$A$34,Lookup!$B$1:$B$34)</f>
        <v>BUTCH  WORS/MINCE/PAT</v>
      </c>
      <c r="C467" s="5">
        <v>62225</v>
      </c>
      <c r="D467" s="6" t="s">
        <v>452</v>
      </c>
      <c r="E467" s="4">
        <v>2</v>
      </c>
      <c r="F467" s="10">
        <v>0</v>
      </c>
      <c r="G467" s="10">
        <v>0</v>
      </c>
      <c r="H467" s="10">
        <v>0</v>
      </c>
      <c r="I467" s="10">
        <v>0</v>
      </c>
      <c r="J467" s="10">
        <v>0</v>
      </c>
      <c r="K467" s="10">
        <v>0</v>
      </c>
      <c r="L467" s="10">
        <v>0</v>
      </c>
      <c r="M467" s="10">
        <v>0</v>
      </c>
      <c r="N467" s="10">
        <v>0</v>
      </c>
      <c r="O467" s="10">
        <v>0</v>
      </c>
      <c r="P467" s="10">
        <v>0</v>
      </c>
      <c r="Q467" s="10">
        <v>0</v>
      </c>
      <c r="R467" s="10">
        <v>0</v>
      </c>
      <c r="S467" s="10">
        <v>0</v>
      </c>
      <c r="T467" s="10">
        <v>0</v>
      </c>
      <c r="U467" s="10">
        <v>0</v>
      </c>
      <c r="V467" s="10">
        <v>0</v>
      </c>
      <c r="W467" s="10">
        <v>0</v>
      </c>
      <c r="X467" s="17">
        <v>0</v>
      </c>
      <c r="Y467" s="18">
        <v>0</v>
      </c>
      <c r="Z467" s="14">
        <v>0</v>
      </c>
      <c r="AA467" s="14">
        <v>0</v>
      </c>
      <c r="AB467" s="23">
        <v>0</v>
      </c>
      <c r="AC467" s="10">
        <v>0</v>
      </c>
      <c r="AD467" s="10">
        <v>0</v>
      </c>
      <c r="AE467" s="1" t="s">
        <v>540</v>
      </c>
    </row>
    <row r="468" spans="1:31" ht="16.5" customHeight="1" x14ac:dyDescent="0.35">
      <c r="A468" s="4">
        <v>216</v>
      </c>
      <c r="B468" s="4" t="str">
        <f>LOOKUP(A468,Lookup!$A$1:$A$34,Lookup!$B$1:$B$34)</f>
        <v>BUTCH  WORS/MINCE/PAT</v>
      </c>
      <c r="C468" s="5">
        <v>62234</v>
      </c>
      <c r="D468" s="6" t="s">
        <v>453</v>
      </c>
      <c r="E468" s="4">
        <v>2</v>
      </c>
      <c r="F468" s="10">
        <v>0</v>
      </c>
      <c r="G468" s="10">
        <v>0</v>
      </c>
      <c r="H468" s="10">
        <v>0</v>
      </c>
      <c r="I468" s="10">
        <v>0</v>
      </c>
      <c r="J468" s="10">
        <v>0</v>
      </c>
      <c r="K468" s="10">
        <v>0</v>
      </c>
      <c r="L468" s="10">
        <v>0</v>
      </c>
      <c r="M468" s="10">
        <v>0</v>
      </c>
      <c r="N468" s="10">
        <v>0</v>
      </c>
      <c r="O468" s="10">
        <v>0</v>
      </c>
      <c r="P468" s="10">
        <v>0</v>
      </c>
      <c r="Q468" s="10">
        <v>0</v>
      </c>
      <c r="R468" s="10">
        <v>0</v>
      </c>
      <c r="S468" s="10">
        <v>0</v>
      </c>
      <c r="T468" s="10">
        <v>0</v>
      </c>
      <c r="U468" s="10">
        <v>0</v>
      </c>
      <c r="V468" s="10">
        <v>0</v>
      </c>
      <c r="W468" s="10">
        <v>0</v>
      </c>
      <c r="X468" s="17">
        <v>0</v>
      </c>
      <c r="Y468" s="18">
        <v>0</v>
      </c>
      <c r="Z468" s="14">
        <v>0</v>
      </c>
      <c r="AA468" s="14">
        <v>0</v>
      </c>
      <c r="AB468" s="23">
        <v>0</v>
      </c>
      <c r="AC468" s="10">
        <v>0</v>
      </c>
      <c r="AD468" s="10">
        <v>0</v>
      </c>
      <c r="AE468" s="1" t="s">
        <v>540</v>
      </c>
    </row>
    <row r="469" spans="1:31" ht="16.5" customHeight="1" x14ac:dyDescent="0.35">
      <c r="A469" s="4">
        <v>216</v>
      </c>
      <c r="B469" s="4" t="str">
        <f>LOOKUP(A469,Lookup!$A$1:$A$34,Lookup!$B$1:$B$34)</f>
        <v>BUTCH  WORS/MINCE/PAT</v>
      </c>
      <c r="C469" s="5">
        <v>47745</v>
      </c>
      <c r="D469" s="6" t="s">
        <v>420</v>
      </c>
      <c r="E469" s="4">
        <v>2</v>
      </c>
      <c r="F469" s="10">
        <v>606.0695652173913</v>
      </c>
      <c r="G469" s="10">
        <v>13.943</v>
      </c>
      <c r="H469" s="10">
        <v>425.3478260869565</v>
      </c>
      <c r="I469" s="10">
        <v>9.7859999999999996</v>
      </c>
      <c r="J469" s="10">
        <v>188.2086956521739</v>
      </c>
      <c r="K469" s="10">
        <v>4.33</v>
      </c>
      <c r="L469" s="10">
        <v>0</v>
      </c>
      <c r="M469" s="10">
        <v>0</v>
      </c>
      <c r="N469" s="10">
        <v>0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  <c r="T469" s="10">
        <v>1378.1391304347828</v>
      </c>
      <c r="U469" s="10">
        <v>31.704999999999998</v>
      </c>
      <c r="V469" s="10">
        <v>65.895652173913049</v>
      </c>
      <c r="W469" s="10">
        <v>1.516</v>
      </c>
      <c r="X469" s="17">
        <v>1378.1391304347828</v>
      </c>
      <c r="Y469" s="18">
        <v>31.704999999999998</v>
      </c>
      <c r="Z469" s="14">
        <v>2663.6608695652176</v>
      </c>
      <c r="AA469" s="14">
        <v>61.279999999999994</v>
      </c>
      <c r="AB469" s="23">
        <v>5</v>
      </c>
      <c r="AC469" s="10">
        <v>532.73217391304354</v>
      </c>
      <c r="AD469" s="10">
        <v>12.255999999999998</v>
      </c>
      <c r="AE469" s="1" t="s">
        <v>543</v>
      </c>
    </row>
    <row r="470" spans="1:31" ht="16.5" customHeight="1" x14ac:dyDescent="0.35">
      <c r="A470" s="4">
        <v>216</v>
      </c>
      <c r="B470" s="4" t="str">
        <f>LOOKUP(A470,Lookup!$A$1:$A$34,Lookup!$B$1:$B$34)</f>
        <v>BUTCH  WORS/MINCE/PAT</v>
      </c>
      <c r="C470" s="5">
        <v>62925</v>
      </c>
      <c r="D470" s="6" t="s">
        <v>455</v>
      </c>
      <c r="E470" s="4">
        <v>2</v>
      </c>
      <c r="F470" s="10">
        <v>0</v>
      </c>
      <c r="G470" s="10">
        <v>0</v>
      </c>
      <c r="H470" s="10">
        <v>0</v>
      </c>
      <c r="I470" s="10">
        <v>0</v>
      </c>
      <c r="J470" s="10">
        <v>0</v>
      </c>
      <c r="K470" s="10">
        <v>0</v>
      </c>
      <c r="L470" s="10">
        <v>0</v>
      </c>
      <c r="M470" s="10">
        <v>0</v>
      </c>
      <c r="N470" s="10">
        <v>0</v>
      </c>
      <c r="O470" s="10">
        <v>0</v>
      </c>
      <c r="P470" s="10">
        <v>0</v>
      </c>
      <c r="Q470" s="10">
        <v>0</v>
      </c>
      <c r="R470" s="10">
        <v>0</v>
      </c>
      <c r="S470" s="10">
        <v>0</v>
      </c>
      <c r="T470" s="10">
        <v>0</v>
      </c>
      <c r="U470" s="10">
        <v>0</v>
      </c>
      <c r="V470" s="10">
        <v>0</v>
      </c>
      <c r="W470" s="10">
        <v>0</v>
      </c>
      <c r="X470" s="17">
        <v>0</v>
      </c>
      <c r="Y470" s="18">
        <v>0</v>
      </c>
      <c r="Z470" s="14">
        <v>0</v>
      </c>
      <c r="AA470" s="14">
        <v>0</v>
      </c>
      <c r="AB470" s="23">
        <v>0</v>
      </c>
      <c r="AC470" s="10">
        <v>0</v>
      </c>
      <c r="AD470" s="10">
        <v>0</v>
      </c>
      <c r="AE470" s="1" t="s">
        <v>540</v>
      </c>
    </row>
    <row r="471" spans="1:31" ht="16.5" customHeight="1" x14ac:dyDescent="0.35">
      <c r="A471" s="4">
        <v>216</v>
      </c>
      <c r="B471" s="4" t="str">
        <f>LOOKUP(A471,Lookup!$A$1:$A$34,Lookup!$B$1:$B$34)</f>
        <v>BUTCH  WORS/MINCE/PAT</v>
      </c>
      <c r="C471" s="5">
        <v>63038</v>
      </c>
      <c r="D471" s="6" t="s">
        <v>456</v>
      </c>
      <c r="E471" s="4">
        <v>2</v>
      </c>
      <c r="F471" s="10">
        <v>0</v>
      </c>
      <c r="G471" s="10">
        <v>0</v>
      </c>
      <c r="H471" s="10">
        <v>0</v>
      </c>
      <c r="I471" s="10">
        <v>0</v>
      </c>
      <c r="J471" s="10">
        <v>0</v>
      </c>
      <c r="K471" s="10">
        <v>0</v>
      </c>
      <c r="L471" s="10">
        <v>0</v>
      </c>
      <c r="M471" s="10">
        <v>0</v>
      </c>
      <c r="N471" s="10">
        <v>0</v>
      </c>
      <c r="O471" s="10">
        <v>0</v>
      </c>
      <c r="P471" s="10">
        <v>0</v>
      </c>
      <c r="Q471" s="10">
        <v>0</v>
      </c>
      <c r="R471" s="10">
        <v>0</v>
      </c>
      <c r="S471" s="10">
        <v>0</v>
      </c>
      <c r="T471" s="10">
        <v>0</v>
      </c>
      <c r="U471" s="10">
        <v>0</v>
      </c>
      <c r="V471" s="10">
        <v>0</v>
      </c>
      <c r="W471" s="10">
        <v>0</v>
      </c>
      <c r="X471" s="17">
        <v>0</v>
      </c>
      <c r="Y471" s="18">
        <v>0</v>
      </c>
      <c r="Z471" s="14">
        <v>0</v>
      </c>
      <c r="AA471" s="14">
        <v>0</v>
      </c>
      <c r="AB471" s="23">
        <v>0</v>
      </c>
      <c r="AC471" s="10">
        <v>0</v>
      </c>
      <c r="AD471" s="10">
        <v>0</v>
      </c>
      <c r="AE471" s="1" t="s">
        <v>540</v>
      </c>
    </row>
    <row r="472" spans="1:31" ht="16.5" customHeight="1" x14ac:dyDescent="0.35">
      <c r="A472" s="4">
        <v>216</v>
      </c>
      <c r="B472" s="4" t="str">
        <f>LOOKUP(A472,Lookup!$A$1:$A$34,Lookup!$B$1:$B$34)</f>
        <v>BUTCH  WORS/MINCE/PAT</v>
      </c>
      <c r="C472" s="5">
        <v>63101</v>
      </c>
      <c r="D472" s="6" t="s">
        <v>457</v>
      </c>
      <c r="E472" s="4">
        <v>2</v>
      </c>
      <c r="F472" s="10">
        <v>0</v>
      </c>
      <c r="G472" s="10">
        <v>0</v>
      </c>
      <c r="H472" s="10">
        <v>0</v>
      </c>
      <c r="I472" s="10">
        <v>0</v>
      </c>
      <c r="J472" s="10">
        <v>0</v>
      </c>
      <c r="K472" s="10">
        <v>0</v>
      </c>
      <c r="L472" s="10">
        <v>0</v>
      </c>
      <c r="M472" s="10">
        <v>0</v>
      </c>
      <c r="N472" s="10">
        <v>0</v>
      </c>
      <c r="O472" s="10">
        <v>0</v>
      </c>
      <c r="P472" s="10">
        <v>0</v>
      </c>
      <c r="Q472" s="10">
        <v>0</v>
      </c>
      <c r="R472" s="10">
        <v>0</v>
      </c>
      <c r="S472" s="10">
        <v>0</v>
      </c>
      <c r="T472" s="10">
        <v>0</v>
      </c>
      <c r="U472" s="10">
        <v>0</v>
      </c>
      <c r="V472" s="10">
        <v>0</v>
      </c>
      <c r="W472" s="10">
        <v>0</v>
      </c>
      <c r="X472" s="17">
        <v>0</v>
      </c>
      <c r="Y472" s="18">
        <v>0</v>
      </c>
      <c r="Z472" s="14">
        <v>0</v>
      </c>
      <c r="AA472" s="14">
        <v>0</v>
      </c>
      <c r="AB472" s="23">
        <v>0</v>
      </c>
      <c r="AC472" s="10">
        <v>0</v>
      </c>
      <c r="AD472" s="10">
        <v>0</v>
      </c>
      <c r="AE472" s="1" t="s">
        <v>540</v>
      </c>
    </row>
    <row r="473" spans="1:31" ht="16.5" customHeight="1" x14ac:dyDescent="0.35">
      <c r="A473" s="4">
        <v>216</v>
      </c>
      <c r="B473" s="4" t="str">
        <f>LOOKUP(A473,Lookup!$A$1:$A$34,Lookup!$B$1:$B$34)</f>
        <v>BUTCH  WORS/MINCE/PAT</v>
      </c>
      <c r="C473" s="5">
        <v>63222</v>
      </c>
      <c r="D473" s="6" t="s">
        <v>458</v>
      </c>
      <c r="E473" s="4">
        <v>2</v>
      </c>
      <c r="F473" s="10">
        <v>0</v>
      </c>
      <c r="G473" s="10">
        <v>0</v>
      </c>
      <c r="H473" s="10">
        <v>0</v>
      </c>
      <c r="I473" s="10">
        <v>0</v>
      </c>
      <c r="J473" s="10">
        <v>0</v>
      </c>
      <c r="K473" s="10">
        <v>0</v>
      </c>
      <c r="L473" s="10">
        <v>0</v>
      </c>
      <c r="M473" s="10">
        <v>0</v>
      </c>
      <c r="N473" s="10">
        <v>0</v>
      </c>
      <c r="O473" s="10">
        <v>0</v>
      </c>
      <c r="P473" s="10">
        <v>0</v>
      </c>
      <c r="Q473" s="10">
        <v>0</v>
      </c>
      <c r="R473" s="10">
        <v>0</v>
      </c>
      <c r="S473" s="10">
        <v>0</v>
      </c>
      <c r="T473" s="10">
        <v>0</v>
      </c>
      <c r="U473" s="10">
        <v>0</v>
      </c>
      <c r="V473" s="10">
        <v>0</v>
      </c>
      <c r="W473" s="10">
        <v>0</v>
      </c>
      <c r="X473" s="17">
        <v>0</v>
      </c>
      <c r="Y473" s="18">
        <v>0</v>
      </c>
      <c r="Z473" s="14">
        <v>0</v>
      </c>
      <c r="AA473" s="14">
        <v>0</v>
      </c>
      <c r="AB473" s="23">
        <v>0</v>
      </c>
      <c r="AC473" s="10">
        <v>0</v>
      </c>
      <c r="AD473" s="10">
        <v>0</v>
      </c>
      <c r="AE473" s="1" t="s">
        <v>540</v>
      </c>
    </row>
    <row r="474" spans="1:31" ht="16.5" customHeight="1" x14ac:dyDescent="0.35">
      <c r="A474" s="4">
        <v>216</v>
      </c>
      <c r="B474" s="4" t="str">
        <f>LOOKUP(A474,Lookup!$A$1:$A$34,Lookup!$B$1:$B$34)</f>
        <v>BUTCH  WORS/MINCE/PAT</v>
      </c>
      <c r="C474" s="5">
        <v>63415</v>
      </c>
      <c r="D474" s="6" t="s">
        <v>459</v>
      </c>
      <c r="E474" s="4">
        <v>2</v>
      </c>
      <c r="F474" s="10">
        <v>0</v>
      </c>
      <c r="G474" s="10">
        <v>0</v>
      </c>
      <c r="H474" s="10">
        <v>0</v>
      </c>
      <c r="I474" s="10">
        <v>0</v>
      </c>
      <c r="J474" s="10">
        <v>0</v>
      </c>
      <c r="K474" s="10">
        <v>0</v>
      </c>
      <c r="L474" s="10">
        <v>0</v>
      </c>
      <c r="M474" s="10">
        <v>0</v>
      </c>
      <c r="N474" s="10">
        <v>0</v>
      </c>
      <c r="O474" s="10">
        <v>0</v>
      </c>
      <c r="P474" s="10">
        <v>0</v>
      </c>
      <c r="Q474" s="10">
        <v>0</v>
      </c>
      <c r="R474" s="10">
        <v>0</v>
      </c>
      <c r="S474" s="10">
        <v>0</v>
      </c>
      <c r="T474" s="10">
        <v>0</v>
      </c>
      <c r="U474" s="10">
        <v>0</v>
      </c>
      <c r="V474" s="10">
        <v>0</v>
      </c>
      <c r="W474" s="10">
        <v>0</v>
      </c>
      <c r="X474" s="17">
        <v>0</v>
      </c>
      <c r="Y474" s="18">
        <v>0</v>
      </c>
      <c r="Z474" s="14">
        <v>0</v>
      </c>
      <c r="AA474" s="14">
        <v>0</v>
      </c>
      <c r="AB474" s="23">
        <v>0</v>
      </c>
      <c r="AC474" s="10">
        <v>0</v>
      </c>
      <c r="AD474" s="10">
        <v>0</v>
      </c>
      <c r="AE474" s="1" t="s">
        <v>540</v>
      </c>
    </row>
    <row r="475" spans="1:31" ht="16.5" customHeight="1" x14ac:dyDescent="0.35">
      <c r="A475" s="4">
        <v>216</v>
      </c>
      <c r="B475" s="4" t="str">
        <f>LOOKUP(A475,Lookup!$A$1:$A$34,Lookup!$B$1:$B$34)</f>
        <v>BUTCH  WORS/MINCE/PAT</v>
      </c>
      <c r="C475" s="5">
        <v>63469</v>
      </c>
      <c r="D475" s="6" t="s">
        <v>460</v>
      </c>
      <c r="E475" s="4">
        <v>2</v>
      </c>
      <c r="F475" s="10">
        <v>0</v>
      </c>
      <c r="G475" s="10">
        <v>0</v>
      </c>
      <c r="H475" s="10">
        <v>0</v>
      </c>
      <c r="I475" s="10">
        <v>0</v>
      </c>
      <c r="J475" s="10">
        <v>0</v>
      </c>
      <c r="K475" s="10">
        <v>0</v>
      </c>
      <c r="L475" s="10">
        <v>0</v>
      </c>
      <c r="M475" s="10">
        <v>0</v>
      </c>
      <c r="N475" s="10">
        <v>0</v>
      </c>
      <c r="O475" s="10">
        <v>0</v>
      </c>
      <c r="P475" s="10">
        <v>0</v>
      </c>
      <c r="Q475" s="10">
        <v>0</v>
      </c>
      <c r="R475" s="10">
        <v>0</v>
      </c>
      <c r="S475" s="10">
        <v>0</v>
      </c>
      <c r="T475" s="10">
        <v>0</v>
      </c>
      <c r="U475" s="10">
        <v>0</v>
      </c>
      <c r="V475" s="10">
        <v>0</v>
      </c>
      <c r="W475" s="10">
        <v>0</v>
      </c>
      <c r="X475" s="17">
        <v>0</v>
      </c>
      <c r="Y475" s="18">
        <v>0</v>
      </c>
      <c r="Z475" s="14">
        <v>0</v>
      </c>
      <c r="AA475" s="14">
        <v>0</v>
      </c>
      <c r="AB475" s="23">
        <v>0</v>
      </c>
      <c r="AC475" s="10">
        <v>0</v>
      </c>
      <c r="AD475" s="10">
        <v>0</v>
      </c>
      <c r="AE475" s="1" t="s">
        <v>540</v>
      </c>
    </row>
    <row r="476" spans="1:31" ht="16.5" customHeight="1" x14ac:dyDescent="0.35">
      <c r="A476" s="4">
        <v>216</v>
      </c>
      <c r="B476" s="4" t="str">
        <f>LOOKUP(A476,Lookup!$A$1:$A$34,Lookup!$B$1:$B$34)</f>
        <v>BUTCH  WORS/MINCE/PAT</v>
      </c>
      <c r="C476" s="5">
        <v>35005</v>
      </c>
      <c r="D476" s="6" t="s">
        <v>395</v>
      </c>
      <c r="E476" s="4">
        <v>2</v>
      </c>
      <c r="F476" s="10">
        <v>234.75652173913039</v>
      </c>
      <c r="G476" s="10">
        <v>3</v>
      </c>
      <c r="H476" s="10">
        <v>860.77391304347839</v>
      </c>
      <c r="I476" s="10">
        <v>11</v>
      </c>
      <c r="J476" s="10">
        <v>78.252173913043478</v>
      </c>
      <c r="K476" s="10">
        <v>1</v>
      </c>
      <c r="L476" s="10">
        <v>0</v>
      </c>
      <c r="M476" s="10">
        <v>0</v>
      </c>
      <c r="N476" s="10">
        <v>0</v>
      </c>
      <c r="O476" s="10">
        <v>0</v>
      </c>
      <c r="P476" s="10">
        <v>0</v>
      </c>
      <c r="Q476" s="10">
        <v>0</v>
      </c>
      <c r="R476" s="10">
        <v>0</v>
      </c>
      <c r="S476" s="10">
        <v>0</v>
      </c>
      <c r="T476" s="10">
        <v>0</v>
      </c>
      <c r="U476" s="10">
        <v>0</v>
      </c>
      <c r="V476" s="10">
        <v>0</v>
      </c>
      <c r="W476" s="10">
        <v>0</v>
      </c>
      <c r="X476" s="17">
        <v>860.77391304347839</v>
      </c>
      <c r="Y476" s="18">
        <v>11</v>
      </c>
      <c r="Z476" s="14">
        <v>1173.7826086956522</v>
      </c>
      <c r="AA476" s="14">
        <v>15</v>
      </c>
      <c r="AB476" s="23">
        <v>3</v>
      </c>
      <c r="AC476" s="10">
        <v>391.26086956521743</v>
      </c>
      <c r="AD476" s="10">
        <v>5</v>
      </c>
      <c r="AE476" s="1" t="s">
        <v>541</v>
      </c>
    </row>
    <row r="477" spans="1:31" ht="16.5" customHeight="1" x14ac:dyDescent="0.35">
      <c r="A477" s="4">
        <v>216</v>
      </c>
      <c r="B477" s="4" t="str">
        <f>LOOKUP(A477,Lookup!$A$1:$A$34,Lookup!$B$1:$B$34)</f>
        <v>BUTCH  WORS/MINCE/PAT</v>
      </c>
      <c r="C477" s="5">
        <v>35003</v>
      </c>
      <c r="D477" s="6" t="s">
        <v>395</v>
      </c>
      <c r="E477" s="4">
        <v>2</v>
      </c>
      <c r="F477" s="10">
        <v>304.28695652173911</v>
      </c>
      <c r="G477" s="10">
        <v>7</v>
      </c>
      <c r="H477" s="10">
        <v>391.22608695652178</v>
      </c>
      <c r="I477" s="10">
        <v>9</v>
      </c>
      <c r="J477" s="10">
        <v>565.10434782608695</v>
      </c>
      <c r="K477" s="10">
        <v>13</v>
      </c>
      <c r="L477" s="10">
        <v>565.10434782608695</v>
      </c>
      <c r="M477" s="10">
        <v>13</v>
      </c>
      <c r="N477" s="10">
        <v>130.40869565217392</v>
      </c>
      <c r="O477" s="10">
        <v>3</v>
      </c>
      <c r="P477" s="10">
        <v>130.40869565217392</v>
      </c>
      <c r="Q477" s="10">
        <v>3</v>
      </c>
      <c r="R477" s="10">
        <v>434.69565217391312</v>
      </c>
      <c r="S477" s="10">
        <v>10</v>
      </c>
      <c r="T477" s="10">
        <v>391.22608695652178</v>
      </c>
      <c r="U477" s="10">
        <v>9</v>
      </c>
      <c r="V477" s="10">
        <v>391.22608695652178</v>
      </c>
      <c r="W477" s="10">
        <v>9</v>
      </c>
      <c r="X477" s="17">
        <v>565.10434782608695</v>
      </c>
      <c r="Y477" s="18">
        <v>13</v>
      </c>
      <c r="Z477" s="14">
        <v>3303.6869565217389</v>
      </c>
      <c r="AA477" s="14">
        <v>76</v>
      </c>
      <c r="AB477" s="23">
        <v>9</v>
      </c>
      <c r="AC477" s="10">
        <v>367.07632850241544</v>
      </c>
      <c r="AD477" s="10">
        <v>8.4444444444444446</v>
      </c>
      <c r="AE477" s="1" t="s">
        <v>542</v>
      </c>
    </row>
    <row r="478" spans="1:31" ht="16.5" customHeight="1" x14ac:dyDescent="0.35">
      <c r="A478" s="4">
        <v>216</v>
      </c>
      <c r="B478" s="4" t="str">
        <f>LOOKUP(A478,Lookup!$A$1:$A$34,Lookup!$B$1:$B$34)</f>
        <v>BUTCH  WORS/MINCE/PAT</v>
      </c>
      <c r="C478" s="5">
        <v>62607</v>
      </c>
      <c r="D478" s="6" t="s">
        <v>454</v>
      </c>
      <c r="E478" s="4">
        <v>2</v>
      </c>
      <c r="F478" s="10">
        <v>0</v>
      </c>
      <c r="G478" s="10">
        <v>0</v>
      </c>
      <c r="H478" s="10">
        <v>0</v>
      </c>
      <c r="I478" s="10">
        <v>0</v>
      </c>
      <c r="J478" s="10">
        <v>139.11304347826086</v>
      </c>
      <c r="K478" s="10">
        <v>2</v>
      </c>
      <c r="L478" s="10">
        <v>417.33913043478253</v>
      </c>
      <c r="M478" s="10">
        <v>6</v>
      </c>
      <c r="N478" s="10">
        <v>417.33913043478253</v>
      </c>
      <c r="O478" s="10">
        <v>6</v>
      </c>
      <c r="P478" s="10">
        <v>347.78260869565219</v>
      </c>
      <c r="Q478" s="10">
        <v>5</v>
      </c>
      <c r="R478" s="10">
        <v>347.78260869565219</v>
      </c>
      <c r="S478" s="10">
        <v>5</v>
      </c>
      <c r="T478" s="10">
        <v>347.78260869565219</v>
      </c>
      <c r="U478" s="10">
        <v>5</v>
      </c>
      <c r="V478" s="10">
        <v>417.33913043478253</v>
      </c>
      <c r="W478" s="10">
        <v>6</v>
      </c>
      <c r="X478" s="17">
        <v>417.33913043478253</v>
      </c>
      <c r="Y478" s="18">
        <v>6</v>
      </c>
      <c r="Z478" s="14">
        <v>2434.478260869565</v>
      </c>
      <c r="AA478" s="14">
        <v>35</v>
      </c>
      <c r="AB478" s="23">
        <v>7</v>
      </c>
      <c r="AC478" s="10">
        <v>347.78260869565213</v>
      </c>
      <c r="AD478" s="10">
        <v>5</v>
      </c>
      <c r="AE478" s="1" t="s">
        <v>543</v>
      </c>
    </row>
    <row r="479" spans="1:31" ht="16.5" customHeight="1" x14ac:dyDescent="0.35">
      <c r="A479" s="4">
        <v>216</v>
      </c>
      <c r="B479" s="4" t="str">
        <f>LOOKUP(A479,Lookup!$A$1:$A$34,Lookup!$B$1:$B$34)</f>
        <v>BUTCH  WORS/MINCE/PAT</v>
      </c>
      <c r="C479" s="5">
        <v>99990216</v>
      </c>
      <c r="D479" s="6" t="s">
        <v>464</v>
      </c>
      <c r="E479" s="4">
        <v>2</v>
      </c>
      <c r="F479" s="10">
        <v>0</v>
      </c>
      <c r="G479" s="10">
        <v>0</v>
      </c>
      <c r="H479" s="10">
        <v>0</v>
      </c>
      <c r="I479" s="10">
        <v>0</v>
      </c>
      <c r="J479" s="10">
        <v>0</v>
      </c>
      <c r="K479" s="10">
        <v>0</v>
      </c>
      <c r="L479" s="10">
        <v>0</v>
      </c>
      <c r="M479" s="10">
        <v>0</v>
      </c>
      <c r="N479" s="10">
        <v>0</v>
      </c>
      <c r="O479" s="10">
        <v>0</v>
      </c>
      <c r="P479" s="10">
        <v>0</v>
      </c>
      <c r="Q479" s="10">
        <v>0</v>
      </c>
      <c r="R479" s="10">
        <v>0</v>
      </c>
      <c r="S479" s="10">
        <v>0</v>
      </c>
      <c r="T479" s="10">
        <v>0</v>
      </c>
      <c r="U479" s="10">
        <v>0</v>
      </c>
      <c r="V479" s="10">
        <v>0</v>
      </c>
      <c r="W479" s="10">
        <v>0</v>
      </c>
      <c r="X479" s="17">
        <v>0</v>
      </c>
      <c r="Y479" s="18">
        <v>0</v>
      </c>
      <c r="Z479" s="14">
        <v>0</v>
      </c>
      <c r="AA479" s="14">
        <v>0</v>
      </c>
      <c r="AB479" s="23">
        <v>0</v>
      </c>
      <c r="AC479" s="10">
        <v>0</v>
      </c>
      <c r="AD479" s="10">
        <v>0</v>
      </c>
      <c r="AE479" s="1" t="s">
        <v>540</v>
      </c>
    </row>
    <row r="480" spans="1:31" ht="16.5" customHeight="1" x14ac:dyDescent="0.35">
      <c r="A480" s="4">
        <v>216</v>
      </c>
      <c r="B480" s="4" t="str">
        <f>LOOKUP(A480,Lookup!$A$1:$A$34,Lookup!$B$1:$B$34)</f>
        <v>BUTCH  WORS/MINCE/PAT</v>
      </c>
      <c r="C480" s="5">
        <v>47669</v>
      </c>
      <c r="D480" s="6" t="s">
        <v>419</v>
      </c>
      <c r="E480" s="4">
        <v>2</v>
      </c>
      <c r="F480" s="10">
        <v>387.84347826086957</v>
      </c>
      <c r="G480" s="10">
        <v>7.9660000000000002</v>
      </c>
      <c r="H480" s="10">
        <v>149.95652173913044</v>
      </c>
      <c r="I480" s="10">
        <v>3.08</v>
      </c>
      <c r="J480" s="10">
        <v>284.19130434782613</v>
      </c>
      <c r="K480" s="10">
        <v>5.8369999999999997</v>
      </c>
      <c r="L480" s="10">
        <v>0</v>
      </c>
      <c r="M480" s="10">
        <v>0</v>
      </c>
      <c r="N480" s="10">
        <v>0</v>
      </c>
      <c r="O480" s="10">
        <v>0</v>
      </c>
      <c r="P480" s="10">
        <v>0</v>
      </c>
      <c r="Q480" s="10">
        <v>0</v>
      </c>
      <c r="R480" s="10">
        <v>0</v>
      </c>
      <c r="S480" s="10">
        <v>0</v>
      </c>
      <c r="T480" s="10">
        <v>549.29565217391314</v>
      </c>
      <c r="U480" s="10">
        <v>11.282</v>
      </c>
      <c r="V480" s="10">
        <v>83.452173913043481</v>
      </c>
      <c r="W480" s="10">
        <v>1.714</v>
      </c>
      <c r="X480" s="17">
        <v>549.29565217391314</v>
      </c>
      <c r="Y480" s="18">
        <v>11.282</v>
      </c>
      <c r="Z480" s="14">
        <v>1454.7391304347827</v>
      </c>
      <c r="AA480" s="14">
        <v>29.878999999999998</v>
      </c>
      <c r="AB480" s="23">
        <v>5</v>
      </c>
      <c r="AC480" s="10">
        <v>290.94782608695652</v>
      </c>
      <c r="AD480" s="10">
        <v>5.9757999999999996</v>
      </c>
      <c r="AE480" s="1" t="s">
        <v>543</v>
      </c>
    </row>
    <row r="481" spans="1:31" ht="16.5" customHeight="1" x14ac:dyDescent="0.35">
      <c r="A481" s="4">
        <v>218</v>
      </c>
      <c r="B481" s="4" t="str">
        <f>LOOKUP(A481,Lookup!$A$1:$A$34,Lookup!$B$1:$B$34)</f>
        <v>BUTCHERY SPICE</v>
      </c>
      <c r="C481" s="5">
        <v>58339</v>
      </c>
      <c r="D481" s="6" t="s">
        <v>475</v>
      </c>
      <c r="E481" s="4">
        <v>2</v>
      </c>
      <c r="F481" s="10">
        <v>443.03478260869565</v>
      </c>
      <c r="G481" s="10">
        <v>51</v>
      </c>
      <c r="H481" s="10">
        <v>382.22608695652173</v>
      </c>
      <c r="I481" s="10">
        <v>44</v>
      </c>
      <c r="J481" s="10">
        <v>304.04347826086956</v>
      </c>
      <c r="K481" s="10">
        <v>35</v>
      </c>
      <c r="L481" s="10">
        <v>677.5826086956522</v>
      </c>
      <c r="M481" s="10">
        <v>78</v>
      </c>
      <c r="N481" s="10">
        <v>521.21739130434787</v>
      </c>
      <c r="O481" s="10">
        <v>60</v>
      </c>
      <c r="P481" s="10">
        <v>356.1652173913044</v>
      </c>
      <c r="Q481" s="10">
        <v>41</v>
      </c>
      <c r="R481" s="10">
        <v>390.91304347826087</v>
      </c>
      <c r="S481" s="10">
        <v>45</v>
      </c>
      <c r="T481" s="10">
        <v>443.03478260869565</v>
      </c>
      <c r="U481" s="10">
        <v>51</v>
      </c>
      <c r="V481" s="10">
        <v>364.85217391304349</v>
      </c>
      <c r="W481" s="10">
        <v>42</v>
      </c>
      <c r="X481" s="17">
        <v>677.5826086956522</v>
      </c>
      <c r="Y481" s="18">
        <v>78</v>
      </c>
      <c r="Z481" s="14">
        <v>3883.0695652173913</v>
      </c>
      <c r="AA481" s="14">
        <v>447</v>
      </c>
      <c r="AB481" s="23">
        <v>9</v>
      </c>
      <c r="AC481" s="10">
        <v>431.45217391304345</v>
      </c>
      <c r="AD481" s="10">
        <v>49.666666666666664</v>
      </c>
      <c r="AE481" s="1" t="s">
        <v>542</v>
      </c>
    </row>
    <row r="482" spans="1:31" ht="16.5" customHeight="1" x14ac:dyDescent="0.35">
      <c r="A482" s="4">
        <v>218</v>
      </c>
      <c r="B482" s="4" t="str">
        <f>LOOKUP(A482,Lookup!$A$1:$A$34,Lookup!$B$1:$B$34)</f>
        <v>BUTCHERY SPICE</v>
      </c>
      <c r="C482" s="5">
        <v>41524</v>
      </c>
      <c r="D482" s="6" t="s">
        <v>467</v>
      </c>
      <c r="E482" s="4">
        <v>2</v>
      </c>
      <c r="F482" s="10">
        <v>0</v>
      </c>
      <c r="G482" s="10">
        <v>0</v>
      </c>
      <c r="H482" s="10">
        <v>0</v>
      </c>
      <c r="I482" s="10">
        <v>0</v>
      </c>
      <c r="J482" s="10">
        <v>0</v>
      </c>
      <c r="K482" s="10">
        <v>0</v>
      </c>
      <c r="L482" s="10">
        <v>0</v>
      </c>
      <c r="M482" s="10">
        <v>0</v>
      </c>
      <c r="N482" s="10">
        <v>0</v>
      </c>
      <c r="O482" s="10">
        <v>0</v>
      </c>
      <c r="P482" s="10">
        <v>0</v>
      </c>
      <c r="Q482" s="10">
        <v>0</v>
      </c>
      <c r="R482" s="10">
        <v>0</v>
      </c>
      <c r="S482" s="10">
        <v>0</v>
      </c>
      <c r="T482" s="10">
        <v>0</v>
      </c>
      <c r="U482" s="10">
        <v>0</v>
      </c>
      <c r="V482" s="10">
        <v>0</v>
      </c>
      <c r="W482" s="10">
        <v>0</v>
      </c>
      <c r="X482" s="17">
        <v>0</v>
      </c>
      <c r="Y482" s="18">
        <v>0</v>
      </c>
      <c r="Z482" s="14">
        <v>0</v>
      </c>
      <c r="AA482" s="14">
        <v>0</v>
      </c>
      <c r="AB482" s="23">
        <v>0</v>
      </c>
      <c r="AC482" s="10">
        <v>0</v>
      </c>
      <c r="AD482" s="10">
        <v>0</v>
      </c>
      <c r="AE482" s="1" t="s">
        <v>540</v>
      </c>
    </row>
    <row r="483" spans="1:31" ht="16.5" customHeight="1" x14ac:dyDescent="0.35">
      <c r="A483" s="4">
        <v>218</v>
      </c>
      <c r="B483" s="4" t="str">
        <f>LOOKUP(A483,Lookup!$A$1:$A$34,Lookup!$B$1:$B$34)</f>
        <v>BUTCHERY SPICE</v>
      </c>
      <c r="C483" s="5">
        <v>42417</v>
      </c>
      <c r="D483" s="6" t="s">
        <v>468</v>
      </c>
      <c r="E483" s="4">
        <v>2</v>
      </c>
      <c r="F483" s="10">
        <v>0</v>
      </c>
      <c r="G483" s="10">
        <v>0</v>
      </c>
      <c r="H483" s="10">
        <v>0</v>
      </c>
      <c r="I483" s="10">
        <v>0</v>
      </c>
      <c r="J483" s="10">
        <v>0</v>
      </c>
      <c r="K483" s="10">
        <v>0</v>
      </c>
      <c r="L483" s="10">
        <v>0</v>
      </c>
      <c r="M483" s="10">
        <v>0</v>
      </c>
      <c r="N483" s="10">
        <v>0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0">
        <v>0</v>
      </c>
      <c r="U483" s="10">
        <v>0</v>
      </c>
      <c r="V483" s="10">
        <v>0</v>
      </c>
      <c r="W483" s="10">
        <v>0</v>
      </c>
      <c r="X483" s="17">
        <v>0</v>
      </c>
      <c r="Y483" s="18">
        <v>0</v>
      </c>
      <c r="Z483" s="14">
        <v>0</v>
      </c>
      <c r="AA483" s="14">
        <v>0</v>
      </c>
      <c r="AB483" s="23">
        <v>0</v>
      </c>
      <c r="AC483" s="10">
        <v>0</v>
      </c>
      <c r="AD483" s="10">
        <v>0</v>
      </c>
      <c r="AE483" s="1" t="s">
        <v>540</v>
      </c>
    </row>
    <row r="484" spans="1:31" ht="16.5" customHeight="1" x14ac:dyDescent="0.35">
      <c r="A484" s="4">
        <v>218</v>
      </c>
      <c r="B484" s="4" t="str">
        <f>LOOKUP(A484,Lookup!$A$1:$A$34,Lookup!$B$1:$B$34)</f>
        <v>BUTCHERY SPICE</v>
      </c>
      <c r="C484" s="5">
        <v>44616</v>
      </c>
      <c r="D484" s="6" t="s">
        <v>469</v>
      </c>
      <c r="E484" s="4">
        <v>2</v>
      </c>
      <c r="F484" s="10">
        <v>0</v>
      </c>
      <c r="G484" s="10">
        <v>0</v>
      </c>
      <c r="H484" s="10">
        <v>0</v>
      </c>
      <c r="I484" s="10">
        <v>0</v>
      </c>
      <c r="J484" s="10">
        <v>0</v>
      </c>
      <c r="K484" s="10">
        <v>0</v>
      </c>
      <c r="L484" s="10">
        <v>0</v>
      </c>
      <c r="M484" s="10">
        <v>0</v>
      </c>
      <c r="N484" s="10">
        <v>0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10">
        <v>0</v>
      </c>
      <c r="U484" s="10">
        <v>0</v>
      </c>
      <c r="V484" s="10">
        <v>0</v>
      </c>
      <c r="W484" s="10">
        <v>0</v>
      </c>
      <c r="X484" s="17">
        <v>0</v>
      </c>
      <c r="Y484" s="18">
        <v>0</v>
      </c>
      <c r="Z484" s="14">
        <v>0</v>
      </c>
      <c r="AA484" s="14">
        <v>0</v>
      </c>
      <c r="AB484" s="23">
        <v>0</v>
      </c>
      <c r="AC484" s="10">
        <v>0</v>
      </c>
      <c r="AD484" s="10">
        <v>0</v>
      </c>
      <c r="AE484" s="1" t="s">
        <v>540</v>
      </c>
    </row>
    <row r="485" spans="1:31" ht="16.5" customHeight="1" x14ac:dyDescent="0.35">
      <c r="A485" s="4">
        <v>218</v>
      </c>
      <c r="B485" s="4" t="str">
        <f>LOOKUP(A485,Lookup!$A$1:$A$34,Lookup!$B$1:$B$34)</f>
        <v>BUTCHERY SPICE</v>
      </c>
      <c r="C485" s="5">
        <v>48247</v>
      </c>
      <c r="D485" s="6" t="s">
        <v>470</v>
      </c>
      <c r="E485" s="4">
        <v>2</v>
      </c>
      <c r="F485" s="10">
        <v>0</v>
      </c>
      <c r="G485" s="10">
        <v>0</v>
      </c>
      <c r="H485" s="10">
        <v>0</v>
      </c>
      <c r="I485" s="10">
        <v>0</v>
      </c>
      <c r="J485" s="10">
        <v>0</v>
      </c>
      <c r="K485" s="10">
        <v>0</v>
      </c>
      <c r="L485" s="10">
        <v>0</v>
      </c>
      <c r="M485" s="10">
        <v>0</v>
      </c>
      <c r="N485" s="10">
        <v>0</v>
      </c>
      <c r="O485" s="10">
        <v>0</v>
      </c>
      <c r="P485" s="10">
        <v>0</v>
      </c>
      <c r="Q485" s="10">
        <v>0</v>
      </c>
      <c r="R485" s="10">
        <v>0</v>
      </c>
      <c r="S485" s="10">
        <v>0</v>
      </c>
      <c r="T485" s="10">
        <v>0</v>
      </c>
      <c r="U485" s="10">
        <v>0</v>
      </c>
      <c r="V485" s="10">
        <v>0</v>
      </c>
      <c r="W485" s="10">
        <v>0</v>
      </c>
      <c r="X485" s="17">
        <v>0</v>
      </c>
      <c r="Y485" s="18">
        <v>0</v>
      </c>
      <c r="Z485" s="14">
        <v>0</v>
      </c>
      <c r="AA485" s="14">
        <v>0</v>
      </c>
      <c r="AB485" s="23">
        <v>0</v>
      </c>
      <c r="AC485" s="10">
        <v>0</v>
      </c>
      <c r="AD485" s="10">
        <v>0</v>
      </c>
      <c r="AE485" s="1" t="s">
        <v>540</v>
      </c>
    </row>
    <row r="486" spans="1:31" ht="16.5" customHeight="1" x14ac:dyDescent="0.35">
      <c r="A486" s="4">
        <v>218</v>
      </c>
      <c r="B486" s="4" t="str">
        <f>LOOKUP(A486,Lookup!$A$1:$A$34,Lookup!$B$1:$B$34)</f>
        <v>BUTCHERY SPICE</v>
      </c>
      <c r="C486" s="5">
        <v>48250</v>
      </c>
      <c r="D486" s="6" t="s">
        <v>471</v>
      </c>
      <c r="E486" s="4">
        <v>2</v>
      </c>
      <c r="F486" s="10">
        <v>0</v>
      </c>
      <c r="G486" s="10">
        <v>0</v>
      </c>
      <c r="H486" s="10">
        <v>0</v>
      </c>
      <c r="I486" s="10">
        <v>0</v>
      </c>
      <c r="J486" s="10">
        <v>0</v>
      </c>
      <c r="K486" s="10">
        <v>0</v>
      </c>
      <c r="L486" s="10">
        <v>0</v>
      </c>
      <c r="M486" s="10">
        <v>0</v>
      </c>
      <c r="N486" s="10">
        <v>0</v>
      </c>
      <c r="O486" s="10">
        <v>0</v>
      </c>
      <c r="P486" s="10">
        <v>0</v>
      </c>
      <c r="Q486" s="10">
        <v>0</v>
      </c>
      <c r="R486" s="10">
        <v>0</v>
      </c>
      <c r="S486" s="10">
        <v>0</v>
      </c>
      <c r="T486" s="10">
        <v>0</v>
      </c>
      <c r="U486" s="10">
        <v>0</v>
      </c>
      <c r="V486" s="10">
        <v>0</v>
      </c>
      <c r="W486" s="10">
        <v>0</v>
      </c>
      <c r="X486" s="17">
        <v>0</v>
      </c>
      <c r="Y486" s="18">
        <v>0</v>
      </c>
      <c r="Z486" s="14">
        <v>0</v>
      </c>
      <c r="AA486" s="14">
        <v>0</v>
      </c>
      <c r="AB486" s="23">
        <v>0</v>
      </c>
      <c r="AC486" s="10">
        <v>0</v>
      </c>
      <c r="AD486" s="10">
        <v>0</v>
      </c>
      <c r="AE486" s="1" t="s">
        <v>540</v>
      </c>
    </row>
    <row r="487" spans="1:31" ht="16.5" customHeight="1" x14ac:dyDescent="0.35">
      <c r="A487" s="4">
        <v>218</v>
      </c>
      <c r="B487" s="4" t="str">
        <f>LOOKUP(A487,Lookup!$A$1:$A$34,Lookup!$B$1:$B$34)</f>
        <v>BUTCHERY SPICE</v>
      </c>
      <c r="C487" s="5">
        <v>49111</v>
      </c>
      <c r="D487" s="6" t="s">
        <v>334</v>
      </c>
      <c r="E487" s="4">
        <v>2</v>
      </c>
      <c r="F487" s="10">
        <v>0</v>
      </c>
      <c r="G487" s="10">
        <v>0</v>
      </c>
      <c r="H487" s="10">
        <v>0</v>
      </c>
      <c r="I487" s="10">
        <v>0</v>
      </c>
      <c r="J487" s="10">
        <v>0</v>
      </c>
      <c r="K487" s="10">
        <v>0</v>
      </c>
      <c r="L487" s="10">
        <v>0</v>
      </c>
      <c r="M487" s="10">
        <v>0</v>
      </c>
      <c r="N487" s="10">
        <v>0</v>
      </c>
      <c r="O487" s="10">
        <v>0</v>
      </c>
      <c r="P487" s="10">
        <v>0</v>
      </c>
      <c r="Q487" s="10">
        <v>0</v>
      </c>
      <c r="R487" s="10">
        <v>0</v>
      </c>
      <c r="S487" s="10">
        <v>0</v>
      </c>
      <c r="T487" s="10">
        <v>0</v>
      </c>
      <c r="U487" s="10">
        <v>0</v>
      </c>
      <c r="V487" s="10">
        <v>0</v>
      </c>
      <c r="W487" s="10">
        <v>0</v>
      </c>
      <c r="X487" s="17">
        <v>0</v>
      </c>
      <c r="Y487" s="18">
        <v>0</v>
      </c>
      <c r="Z487" s="14">
        <v>0</v>
      </c>
      <c r="AA487" s="14">
        <v>0</v>
      </c>
      <c r="AB487" s="23">
        <v>0</v>
      </c>
      <c r="AC487" s="10">
        <v>0</v>
      </c>
      <c r="AD487" s="10">
        <v>0</v>
      </c>
      <c r="AE487" s="1" t="s">
        <v>540</v>
      </c>
    </row>
    <row r="488" spans="1:31" ht="16.5" customHeight="1" x14ac:dyDescent="0.35">
      <c r="A488" s="4">
        <v>218</v>
      </c>
      <c r="B488" s="4" t="str">
        <f>LOOKUP(A488,Lookup!$A$1:$A$34,Lookup!$B$1:$B$34)</f>
        <v>BUTCHERY SPICE</v>
      </c>
      <c r="C488" s="5">
        <v>34383</v>
      </c>
      <c r="D488" s="6" t="s">
        <v>465</v>
      </c>
      <c r="E488" s="4">
        <v>2</v>
      </c>
      <c r="F488" s="10">
        <v>443.33043478260868</v>
      </c>
      <c r="G488" s="10">
        <v>17</v>
      </c>
      <c r="H488" s="10">
        <v>26.078260869565216</v>
      </c>
      <c r="I488" s="10">
        <v>1</v>
      </c>
      <c r="J488" s="10">
        <v>156.46956521739131</v>
      </c>
      <c r="K488" s="10">
        <v>6</v>
      </c>
      <c r="L488" s="10">
        <v>417.25217391304352</v>
      </c>
      <c r="M488" s="10">
        <v>16</v>
      </c>
      <c r="N488" s="10">
        <v>234.70434782608692</v>
      </c>
      <c r="O488" s="10">
        <v>9</v>
      </c>
      <c r="P488" s="10">
        <v>156.46956521739131</v>
      </c>
      <c r="Q488" s="10">
        <v>6</v>
      </c>
      <c r="R488" s="10">
        <v>312.93913043478261</v>
      </c>
      <c r="S488" s="10">
        <v>12</v>
      </c>
      <c r="T488" s="10">
        <v>599.79999999999995</v>
      </c>
      <c r="U488" s="10">
        <v>23</v>
      </c>
      <c r="V488" s="10">
        <v>26.078260869565216</v>
      </c>
      <c r="W488" s="10">
        <v>1</v>
      </c>
      <c r="X488" s="17">
        <v>599.79999999999995</v>
      </c>
      <c r="Y488" s="18">
        <v>23</v>
      </c>
      <c r="Z488" s="14">
        <v>2373.1217391304349</v>
      </c>
      <c r="AA488" s="14">
        <v>91</v>
      </c>
      <c r="AB488" s="23">
        <v>9</v>
      </c>
      <c r="AC488" s="10">
        <v>263.68019323671501</v>
      </c>
      <c r="AD488" s="10">
        <v>10.111111111111111</v>
      </c>
      <c r="AE488" s="1" t="s">
        <v>542</v>
      </c>
    </row>
    <row r="489" spans="1:31" ht="16.5" customHeight="1" x14ac:dyDescent="0.35">
      <c r="A489" s="4">
        <v>218</v>
      </c>
      <c r="B489" s="4" t="str">
        <f>LOOKUP(A489,Lookup!$A$1:$A$34,Lookup!$B$1:$B$34)</f>
        <v>BUTCHERY SPICE</v>
      </c>
      <c r="C489" s="5">
        <v>56666</v>
      </c>
      <c r="D489" s="6" t="s">
        <v>473</v>
      </c>
      <c r="E489" s="4">
        <v>2</v>
      </c>
      <c r="F489" s="10">
        <v>0</v>
      </c>
      <c r="G489" s="10">
        <v>0</v>
      </c>
      <c r="H489" s="10">
        <v>0</v>
      </c>
      <c r="I489" s="10">
        <v>0</v>
      </c>
      <c r="J489" s="10">
        <v>0</v>
      </c>
      <c r="K489" s="10">
        <v>0</v>
      </c>
      <c r="L489" s="10">
        <v>0</v>
      </c>
      <c r="M489" s="10">
        <v>0</v>
      </c>
      <c r="N489" s="10">
        <v>0</v>
      </c>
      <c r="O489" s="10">
        <v>0</v>
      </c>
      <c r="P489" s="10">
        <v>0</v>
      </c>
      <c r="Q489" s="10">
        <v>0</v>
      </c>
      <c r="R489" s="10">
        <v>0</v>
      </c>
      <c r="S489" s="10">
        <v>0</v>
      </c>
      <c r="T489" s="10">
        <v>0</v>
      </c>
      <c r="U489" s="10">
        <v>0</v>
      </c>
      <c r="V489" s="10">
        <v>0</v>
      </c>
      <c r="W489" s="10">
        <v>0</v>
      </c>
      <c r="X489" s="17">
        <v>0</v>
      </c>
      <c r="Y489" s="18">
        <v>0</v>
      </c>
      <c r="Z489" s="14">
        <v>0</v>
      </c>
      <c r="AA489" s="14">
        <v>0</v>
      </c>
      <c r="AB489" s="23">
        <v>0</v>
      </c>
      <c r="AC489" s="10">
        <v>0</v>
      </c>
      <c r="AD489" s="10">
        <v>0</v>
      </c>
      <c r="AE489" s="1" t="s">
        <v>540</v>
      </c>
    </row>
    <row r="490" spans="1:31" ht="16.5" customHeight="1" x14ac:dyDescent="0.35">
      <c r="A490" s="4">
        <v>218</v>
      </c>
      <c r="B490" s="4" t="str">
        <f>LOOKUP(A490,Lookup!$A$1:$A$34,Lookup!$B$1:$B$34)</f>
        <v>BUTCHERY SPICE</v>
      </c>
      <c r="C490" s="5">
        <v>56795</v>
      </c>
      <c r="D490" s="6" t="s">
        <v>474</v>
      </c>
      <c r="E490" s="4">
        <v>2</v>
      </c>
      <c r="F490" s="10">
        <v>0</v>
      </c>
      <c r="G490" s="10">
        <v>0</v>
      </c>
      <c r="H490" s="10">
        <v>0</v>
      </c>
      <c r="I490" s="10">
        <v>0</v>
      </c>
      <c r="J490" s="10">
        <v>0</v>
      </c>
      <c r="K490" s="10">
        <v>0</v>
      </c>
      <c r="L490" s="10">
        <v>0</v>
      </c>
      <c r="M490" s="10">
        <v>0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0</v>
      </c>
      <c r="V490" s="10">
        <v>0</v>
      </c>
      <c r="W490" s="10">
        <v>0</v>
      </c>
      <c r="X490" s="17">
        <v>0</v>
      </c>
      <c r="Y490" s="18">
        <v>0</v>
      </c>
      <c r="Z490" s="14">
        <v>0</v>
      </c>
      <c r="AA490" s="14">
        <v>0</v>
      </c>
      <c r="AB490" s="23">
        <v>0</v>
      </c>
      <c r="AC490" s="10">
        <v>0</v>
      </c>
      <c r="AD490" s="10">
        <v>0</v>
      </c>
      <c r="AE490" s="1" t="s">
        <v>540</v>
      </c>
    </row>
    <row r="491" spans="1:31" ht="16.5" customHeight="1" x14ac:dyDescent="0.35">
      <c r="A491" s="4">
        <v>218</v>
      </c>
      <c r="B491" s="4" t="str">
        <f>LOOKUP(A491,Lookup!$A$1:$A$34,Lookup!$B$1:$B$34)</f>
        <v>BUTCHERY SPICE</v>
      </c>
      <c r="C491" s="5">
        <v>58340</v>
      </c>
      <c r="D491" s="6" t="s">
        <v>476</v>
      </c>
      <c r="E491" s="4">
        <v>2</v>
      </c>
      <c r="F491" s="10">
        <v>260.60869565217399</v>
      </c>
      <c r="G491" s="10">
        <v>30</v>
      </c>
      <c r="H491" s="10">
        <v>208.48695652173916</v>
      </c>
      <c r="I491" s="10">
        <v>24</v>
      </c>
      <c r="J491" s="10">
        <v>138.99130434782612</v>
      </c>
      <c r="K491" s="10">
        <v>16</v>
      </c>
      <c r="L491" s="10">
        <v>286.66956521739127</v>
      </c>
      <c r="M491" s="10">
        <v>33</v>
      </c>
      <c r="N491" s="10">
        <v>243.2347826086957</v>
      </c>
      <c r="O491" s="10">
        <v>28</v>
      </c>
      <c r="P491" s="10">
        <v>191.11304347826086</v>
      </c>
      <c r="Q491" s="10">
        <v>22</v>
      </c>
      <c r="R491" s="10">
        <v>225.8608695652174</v>
      </c>
      <c r="S491" s="10">
        <v>26</v>
      </c>
      <c r="T491" s="10">
        <v>286.66956521739138</v>
      </c>
      <c r="U491" s="10">
        <v>33</v>
      </c>
      <c r="V491" s="10">
        <v>173.73913043478262</v>
      </c>
      <c r="W491" s="10">
        <v>20</v>
      </c>
      <c r="X491" s="17">
        <v>286.66956521739138</v>
      </c>
      <c r="Y491" s="18">
        <v>33</v>
      </c>
      <c r="Z491" s="14">
        <v>2015.3739130434783</v>
      </c>
      <c r="AA491" s="14">
        <v>232</v>
      </c>
      <c r="AB491" s="23">
        <v>9</v>
      </c>
      <c r="AC491" s="10">
        <v>223.9304347826087</v>
      </c>
      <c r="AD491" s="10">
        <v>25.777777777777779</v>
      </c>
      <c r="AE491" s="1" t="s">
        <v>542</v>
      </c>
    </row>
    <row r="492" spans="1:31" ht="16.5" customHeight="1" x14ac:dyDescent="0.35">
      <c r="A492" s="4">
        <v>218</v>
      </c>
      <c r="B492" s="4" t="str">
        <f>LOOKUP(A492,Lookup!$A$1:$A$34,Lookup!$B$1:$B$34)</f>
        <v>BUTCHERY SPICE</v>
      </c>
      <c r="C492" s="5">
        <v>54428</v>
      </c>
      <c r="D492" s="6" t="s">
        <v>472</v>
      </c>
      <c r="E492" s="4">
        <v>2</v>
      </c>
      <c r="F492" s="10">
        <v>101.73913043478261</v>
      </c>
      <c r="G492" s="10">
        <v>9</v>
      </c>
      <c r="H492" s="10">
        <v>158.26086956521738</v>
      </c>
      <c r="I492" s="10">
        <v>14</v>
      </c>
      <c r="J492" s="10">
        <v>56.521739130434781</v>
      </c>
      <c r="K492" s="10">
        <v>5</v>
      </c>
      <c r="L492" s="10">
        <v>192.17391304347825</v>
      </c>
      <c r="M492" s="10">
        <v>17</v>
      </c>
      <c r="N492" s="10">
        <v>203.47826086956522</v>
      </c>
      <c r="O492" s="10">
        <v>18</v>
      </c>
      <c r="P492" s="10">
        <v>79.130434782608688</v>
      </c>
      <c r="Q492" s="10">
        <v>7</v>
      </c>
      <c r="R492" s="10">
        <v>180.86956521739131</v>
      </c>
      <c r="S492" s="10">
        <v>16</v>
      </c>
      <c r="T492" s="10">
        <v>158.2608695652174</v>
      </c>
      <c r="U492" s="10">
        <v>14</v>
      </c>
      <c r="V492" s="10">
        <v>113.04347826086956</v>
      </c>
      <c r="W492" s="10">
        <v>10</v>
      </c>
      <c r="X492" s="17">
        <v>203.47826086956522</v>
      </c>
      <c r="Y492" s="18">
        <v>18</v>
      </c>
      <c r="Z492" s="14">
        <v>1243.4782608695652</v>
      </c>
      <c r="AA492" s="14">
        <v>110</v>
      </c>
      <c r="AB492" s="23">
        <v>9</v>
      </c>
      <c r="AC492" s="10">
        <v>138.16425120772948</v>
      </c>
      <c r="AD492" s="10">
        <v>12.222222222222221</v>
      </c>
      <c r="AE492" s="1" t="s">
        <v>542</v>
      </c>
    </row>
    <row r="493" spans="1:31" ht="16.5" customHeight="1" x14ac:dyDescent="0.35">
      <c r="A493" s="4">
        <v>218</v>
      </c>
      <c r="B493" s="4" t="str">
        <f>LOOKUP(A493,Lookup!$A$1:$A$34,Lookup!$B$1:$B$34)</f>
        <v>BUTCHERY SPICE</v>
      </c>
      <c r="C493" s="5">
        <v>60147</v>
      </c>
      <c r="D493" s="6" t="s">
        <v>477</v>
      </c>
      <c r="E493" s="4">
        <v>2</v>
      </c>
      <c r="F493" s="10">
        <v>0</v>
      </c>
      <c r="G493" s="10">
        <v>0</v>
      </c>
      <c r="H493" s="10">
        <v>0</v>
      </c>
      <c r="I493" s="10">
        <v>0</v>
      </c>
      <c r="J493" s="10">
        <v>0</v>
      </c>
      <c r="K493" s="10">
        <v>0</v>
      </c>
      <c r="L493" s="10">
        <v>0</v>
      </c>
      <c r="M493" s="10">
        <v>0</v>
      </c>
      <c r="N493" s="10">
        <v>0</v>
      </c>
      <c r="O493" s="10">
        <v>0</v>
      </c>
      <c r="P493" s="10">
        <v>0</v>
      </c>
      <c r="Q493" s="10">
        <v>0</v>
      </c>
      <c r="R493" s="10">
        <v>0</v>
      </c>
      <c r="S493" s="10">
        <v>0</v>
      </c>
      <c r="T493" s="10">
        <v>0</v>
      </c>
      <c r="U493" s="10">
        <v>0</v>
      </c>
      <c r="V493" s="10">
        <v>0</v>
      </c>
      <c r="W493" s="10">
        <v>0</v>
      </c>
      <c r="X493" s="17">
        <v>0</v>
      </c>
      <c r="Y493" s="18">
        <v>0</v>
      </c>
      <c r="Z493" s="14">
        <v>0</v>
      </c>
      <c r="AA493" s="14">
        <v>0</v>
      </c>
      <c r="AB493" s="23">
        <v>0</v>
      </c>
      <c r="AC493" s="10">
        <v>0</v>
      </c>
      <c r="AD493" s="10">
        <v>0</v>
      </c>
      <c r="AE493" s="1" t="s">
        <v>540</v>
      </c>
    </row>
    <row r="494" spans="1:31" ht="16.5" customHeight="1" x14ac:dyDescent="0.35">
      <c r="A494" s="4">
        <v>218</v>
      </c>
      <c r="B494" s="4" t="str">
        <f>LOOKUP(A494,Lookup!$A$1:$A$34,Lookup!$B$1:$B$34)</f>
        <v>BUTCHERY SPICE</v>
      </c>
      <c r="C494" s="5">
        <v>60952</v>
      </c>
      <c r="D494" s="6" t="s">
        <v>478</v>
      </c>
      <c r="E494" s="4">
        <v>2</v>
      </c>
      <c r="F494" s="10">
        <v>0</v>
      </c>
      <c r="G494" s="10">
        <v>0</v>
      </c>
      <c r="H494" s="10">
        <v>0</v>
      </c>
      <c r="I494" s="10">
        <v>0</v>
      </c>
      <c r="J494" s="10">
        <v>0</v>
      </c>
      <c r="K494" s="10">
        <v>0</v>
      </c>
      <c r="L494" s="10">
        <v>0</v>
      </c>
      <c r="M494" s="10">
        <v>0</v>
      </c>
      <c r="N494" s="10">
        <v>0</v>
      </c>
      <c r="O494" s="10">
        <v>0</v>
      </c>
      <c r="P494" s="10">
        <v>0</v>
      </c>
      <c r="Q494" s="10">
        <v>0</v>
      </c>
      <c r="R494" s="10">
        <v>0</v>
      </c>
      <c r="S494" s="10">
        <v>0</v>
      </c>
      <c r="T494" s="10">
        <v>0</v>
      </c>
      <c r="U494" s="10">
        <v>0</v>
      </c>
      <c r="V494" s="10">
        <v>0</v>
      </c>
      <c r="W494" s="10">
        <v>0</v>
      </c>
      <c r="X494" s="17">
        <v>0</v>
      </c>
      <c r="Y494" s="18">
        <v>0</v>
      </c>
      <c r="Z494" s="14">
        <v>0</v>
      </c>
      <c r="AA494" s="14">
        <v>0</v>
      </c>
      <c r="AB494" s="23">
        <v>0</v>
      </c>
      <c r="AC494" s="10">
        <v>0</v>
      </c>
      <c r="AD494" s="10">
        <v>0</v>
      </c>
      <c r="AE494" s="1" t="s">
        <v>540</v>
      </c>
    </row>
    <row r="495" spans="1:31" ht="16.5" customHeight="1" x14ac:dyDescent="0.35">
      <c r="A495" s="4">
        <v>218</v>
      </c>
      <c r="B495" s="4" t="str">
        <f>LOOKUP(A495,Lookup!$A$1:$A$34,Lookup!$B$1:$B$34)</f>
        <v>BUTCHERY SPICE</v>
      </c>
      <c r="C495" s="5">
        <v>60953</v>
      </c>
      <c r="D495" s="6" t="s">
        <v>479</v>
      </c>
      <c r="E495" s="4">
        <v>2</v>
      </c>
      <c r="F495" s="10">
        <v>0</v>
      </c>
      <c r="G495" s="10">
        <v>0</v>
      </c>
      <c r="H495" s="10">
        <v>0</v>
      </c>
      <c r="I495" s="10">
        <v>0</v>
      </c>
      <c r="J495" s="10">
        <v>0</v>
      </c>
      <c r="K495" s="10">
        <v>0</v>
      </c>
      <c r="L495" s="10">
        <v>0</v>
      </c>
      <c r="M495" s="10">
        <v>0</v>
      </c>
      <c r="N495" s="10">
        <v>0</v>
      </c>
      <c r="O495" s="10">
        <v>0</v>
      </c>
      <c r="P495" s="10">
        <v>0</v>
      </c>
      <c r="Q495" s="10">
        <v>0</v>
      </c>
      <c r="R495" s="10">
        <v>0</v>
      </c>
      <c r="S495" s="10">
        <v>0</v>
      </c>
      <c r="T495" s="10">
        <v>0</v>
      </c>
      <c r="U495" s="10">
        <v>0</v>
      </c>
      <c r="V495" s="10">
        <v>0</v>
      </c>
      <c r="W495" s="10">
        <v>0</v>
      </c>
      <c r="X495" s="17">
        <v>0</v>
      </c>
      <c r="Y495" s="18">
        <v>0</v>
      </c>
      <c r="Z495" s="14">
        <v>0</v>
      </c>
      <c r="AA495" s="14">
        <v>0</v>
      </c>
      <c r="AB495" s="23">
        <v>0</v>
      </c>
      <c r="AC495" s="10">
        <v>0</v>
      </c>
      <c r="AD495" s="10">
        <v>0</v>
      </c>
      <c r="AE495" s="1" t="s">
        <v>540</v>
      </c>
    </row>
    <row r="496" spans="1:31" ht="16.5" customHeight="1" x14ac:dyDescent="0.35">
      <c r="A496" s="4">
        <v>218</v>
      </c>
      <c r="B496" s="4" t="str">
        <f>LOOKUP(A496,Lookup!$A$1:$A$34,Lookup!$B$1:$B$34)</f>
        <v>BUTCHERY SPICE</v>
      </c>
      <c r="C496" s="5">
        <v>61010</v>
      </c>
      <c r="D496" s="6" t="s">
        <v>480</v>
      </c>
      <c r="E496" s="4">
        <v>2</v>
      </c>
      <c r="F496" s="10">
        <v>0</v>
      </c>
      <c r="G496" s="10">
        <v>0</v>
      </c>
      <c r="H496" s="10">
        <v>0</v>
      </c>
      <c r="I496" s="10">
        <v>0</v>
      </c>
      <c r="J496" s="10">
        <v>0</v>
      </c>
      <c r="K496" s="10">
        <v>0</v>
      </c>
      <c r="L496" s="10">
        <v>0</v>
      </c>
      <c r="M496" s="10">
        <v>0</v>
      </c>
      <c r="N496" s="10">
        <v>0</v>
      </c>
      <c r="O496" s="10">
        <v>0</v>
      </c>
      <c r="P496" s="10">
        <v>0</v>
      </c>
      <c r="Q496" s="10">
        <v>0</v>
      </c>
      <c r="R496" s="10">
        <v>0</v>
      </c>
      <c r="S496" s="10">
        <v>0</v>
      </c>
      <c r="T496" s="10">
        <v>0</v>
      </c>
      <c r="U496" s="10">
        <v>0</v>
      </c>
      <c r="V496" s="10">
        <v>0</v>
      </c>
      <c r="W496" s="10">
        <v>0</v>
      </c>
      <c r="X496" s="17">
        <v>0</v>
      </c>
      <c r="Y496" s="18">
        <v>0</v>
      </c>
      <c r="Z496" s="14">
        <v>0</v>
      </c>
      <c r="AA496" s="14">
        <v>0</v>
      </c>
      <c r="AB496" s="23">
        <v>0</v>
      </c>
      <c r="AC496" s="10">
        <v>0</v>
      </c>
      <c r="AD496" s="10">
        <v>0</v>
      </c>
      <c r="AE496" s="1" t="s">
        <v>540</v>
      </c>
    </row>
    <row r="497" spans="1:31" ht="16.5" customHeight="1" x14ac:dyDescent="0.35">
      <c r="A497" s="4">
        <v>218</v>
      </c>
      <c r="B497" s="4" t="str">
        <f>LOOKUP(A497,Lookup!$A$1:$A$34,Lookup!$B$1:$B$34)</f>
        <v>BUTCHERY SPICE</v>
      </c>
      <c r="C497" s="5">
        <v>61011</v>
      </c>
      <c r="D497" s="6" t="s">
        <v>481</v>
      </c>
      <c r="E497" s="4">
        <v>2</v>
      </c>
      <c r="F497" s="10">
        <v>0</v>
      </c>
      <c r="G497" s="10">
        <v>0</v>
      </c>
      <c r="H497" s="10">
        <v>0</v>
      </c>
      <c r="I497" s="10">
        <v>0</v>
      </c>
      <c r="J497" s="10">
        <v>0</v>
      </c>
      <c r="K497" s="10">
        <v>0</v>
      </c>
      <c r="L497" s="10">
        <v>0</v>
      </c>
      <c r="M497" s="10">
        <v>0</v>
      </c>
      <c r="N497" s="10">
        <v>0</v>
      </c>
      <c r="O497" s="10">
        <v>0</v>
      </c>
      <c r="P497" s="10">
        <v>0</v>
      </c>
      <c r="Q497" s="10">
        <v>0</v>
      </c>
      <c r="R497" s="10">
        <v>0</v>
      </c>
      <c r="S497" s="10">
        <v>0</v>
      </c>
      <c r="T497" s="10">
        <v>0</v>
      </c>
      <c r="U497" s="10">
        <v>0</v>
      </c>
      <c r="V497" s="10">
        <v>0</v>
      </c>
      <c r="W497" s="10">
        <v>0</v>
      </c>
      <c r="X497" s="17">
        <v>0</v>
      </c>
      <c r="Y497" s="18">
        <v>0</v>
      </c>
      <c r="Z497" s="14">
        <v>0</v>
      </c>
      <c r="AA497" s="14">
        <v>0</v>
      </c>
      <c r="AB497" s="23">
        <v>0</v>
      </c>
      <c r="AC497" s="10">
        <v>0</v>
      </c>
      <c r="AD497" s="10">
        <v>0</v>
      </c>
      <c r="AE497" s="1" t="s">
        <v>540</v>
      </c>
    </row>
    <row r="498" spans="1:31" ht="16.5" customHeight="1" x14ac:dyDescent="0.35">
      <c r="A498" s="4">
        <v>218</v>
      </c>
      <c r="B498" s="4" t="str">
        <f>LOOKUP(A498,Lookup!$A$1:$A$34,Lookup!$B$1:$B$34)</f>
        <v>BUTCHERY SPICE</v>
      </c>
      <c r="C498" s="5">
        <v>62144</v>
      </c>
      <c r="D498" s="6" t="s">
        <v>482</v>
      </c>
      <c r="E498" s="4">
        <v>2</v>
      </c>
      <c r="F498" s="10">
        <v>0</v>
      </c>
      <c r="G498" s="10">
        <v>0</v>
      </c>
      <c r="H498" s="10">
        <v>0</v>
      </c>
      <c r="I498" s="10">
        <v>0</v>
      </c>
      <c r="J498" s="10">
        <v>0</v>
      </c>
      <c r="K498" s="10">
        <v>0</v>
      </c>
      <c r="L498" s="10">
        <v>0</v>
      </c>
      <c r="M498" s="10">
        <v>0</v>
      </c>
      <c r="N498" s="10">
        <v>0</v>
      </c>
      <c r="O498" s="10">
        <v>0</v>
      </c>
      <c r="P498" s="10">
        <v>0</v>
      </c>
      <c r="Q498" s="10">
        <v>0</v>
      </c>
      <c r="R498" s="10">
        <v>0</v>
      </c>
      <c r="S498" s="10">
        <v>0</v>
      </c>
      <c r="T498" s="10">
        <v>0</v>
      </c>
      <c r="U498" s="10">
        <v>0</v>
      </c>
      <c r="V498" s="10">
        <v>0</v>
      </c>
      <c r="W498" s="10">
        <v>0</v>
      </c>
      <c r="X498" s="17">
        <v>0</v>
      </c>
      <c r="Y498" s="18">
        <v>0</v>
      </c>
      <c r="Z498" s="14">
        <v>0</v>
      </c>
      <c r="AA498" s="14">
        <v>0</v>
      </c>
      <c r="AB498" s="23">
        <v>0</v>
      </c>
      <c r="AC498" s="10">
        <v>0</v>
      </c>
      <c r="AD498" s="10">
        <v>0</v>
      </c>
      <c r="AE498" s="1" t="s">
        <v>540</v>
      </c>
    </row>
    <row r="499" spans="1:31" ht="16.5" customHeight="1" x14ac:dyDescent="0.35">
      <c r="A499" s="4">
        <v>218</v>
      </c>
      <c r="B499" s="4" t="str">
        <f>LOOKUP(A499,Lookup!$A$1:$A$34,Lookup!$B$1:$B$34)</f>
        <v>BUTCHERY SPICE</v>
      </c>
      <c r="C499" s="5">
        <v>62862</v>
      </c>
      <c r="D499" s="6" t="s">
        <v>483</v>
      </c>
      <c r="E499" s="4">
        <v>2</v>
      </c>
      <c r="F499" s="10">
        <v>0</v>
      </c>
      <c r="G499" s="10">
        <v>0</v>
      </c>
      <c r="H499" s="10">
        <v>0</v>
      </c>
      <c r="I499" s="10">
        <v>0</v>
      </c>
      <c r="J499" s="10">
        <v>0</v>
      </c>
      <c r="K499" s="10">
        <v>0</v>
      </c>
      <c r="L499" s="10">
        <v>0</v>
      </c>
      <c r="M499" s="10">
        <v>0</v>
      </c>
      <c r="N499" s="10">
        <v>0</v>
      </c>
      <c r="O499" s="10">
        <v>0</v>
      </c>
      <c r="P499" s="10">
        <v>0</v>
      </c>
      <c r="Q499" s="10">
        <v>0</v>
      </c>
      <c r="R499" s="10">
        <v>0</v>
      </c>
      <c r="S499" s="10">
        <v>0</v>
      </c>
      <c r="T499" s="10">
        <v>0</v>
      </c>
      <c r="U499" s="10">
        <v>0</v>
      </c>
      <c r="V499" s="10">
        <v>0</v>
      </c>
      <c r="W499" s="10">
        <v>0</v>
      </c>
      <c r="X499" s="17">
        <v>0</v>
      </c>
      <c r="Y499" s="18">
        <v>0</v>
      </c>
      <c r="Z499" s="14">
        <v>0</v>
      </c>
      <c r="AA499" s="14">
        <v>0</v>
      </c>
      <c r="AB499" s="23">
        <v>0</v>
      </c>
      <c r="AC499" s="10">
        <v>0</v>
      </c>
      <c r="AD499" s="10">
        <v>0</v>
      </c>
      <c r="AE499" s="1" t="s">
        <v>540</v>
      </c>
    </row>
    <row r="500" spans="1:31" ht="16.5" customHeight="1" x14ac:dyDescent="0.35">
      <c r="A500" s="4">
        <v>218</v>
      </c>
      <c r="B500" s="4" t="str">
        <f>LOOKUP(A500,Lookup!$A$1:$A$34,Lookup!$B$1:$B$34)</f>
        <v>BUTCHERY SPICE</v>
      </c>
      <c r="C500" s="5">
        <v>62863</v>
      </c>
      <c r="D500" s="6" t="s">
        <v>484</v>
      </c>
      <c r="E500" s="4">
        <v>2</v>
      </c>
      <c r="F500" s="10">
        <v>0</v>
      </c>
      <c r="G500" s="10">
        <v>0</v>
      </c>
      <c r="H500" s="10">
        <v>0</v>
      </c>
      <c r="I500" s="10">
        <v>0</v>
      </c>
      <c r="J500" s="10">
        <v>0</v>
      </c>
      <c r="K500" s="10">
        <v>0</v>
      </c>
      <c r="L500" s="10">
        <v>0</v>
      </c>
      <c r="M500" s="10">
        <v>0</v>
      </c>
      <c r="N500" s="10">
        <v>0</v>
      </c>
      <c r="O500" s="10">
        <v>0</v>
      </c>
      <c r="P500" s="10">
        <v>0</v>
      </c>
      <c r="Q500" s="10">
        <v>0</v>
      </c>
      <c r="R500" s="10">
        <v>0</v>
      </c>
      <c r="S500" s="10">
        <v>0</v>
      </c>
      <c r="T500" s="10">
        <v>0</v>
      </c>
      <c r="U500" s="10">
        <v>0</v>
      </c>
      <c r="V500" s="10">
        <v>0</v>
      </c>
      <c r="W500" s="10">
        <v>0</v>
      </c>
      <c r="X500" s="17">
        <v>0</v>
      </c>
      <c r="Y500" s="18">
        <v>0</v>
      </c>
      <c r="Z500" s="14">
        <v>0</v>
      </c>
      <c r="AA500" s="14">
        <v>0</v>
      </c>
      <c r="AB500" s="23">
        <v>0</v>
      </c>
      <c r="AC500" s="10">
        <v>0</v>
      </c>
      <c r="AD500" s="10">
        <v>0</v>
      </c>
      <c r="AE500" s="1" t="s">
        <v>540</v>
      </c>
    </row>
    <row r="501" spans="1:31" ht="16.5" customHeight="1" x14ac:dyDescent="0.35">
      <c r="A501" s="4">
        <v>218</v>
      </c>
      <c r="B501" s="4" t="str">
        <f>LOOKUP(A501,Lookup!$A$1:$A$34,Lookup!$B$1:$B$34)</f>
        <v>BUTCHERY SPICE</v>
      </c>
      <c r="C501" s="5">
        <v>64013</v>
      </c>
      <c r="D501" s="6" t="s">
        <v>485</v>
      </c>
      <c r="E501" s="4">
        <v>2</v>
      </c>
      <c r="F501" s="10">
        <v>0</v>
      </c>
      <c r="G501" s="10">
        <v>0</v>
      </c>
      <c r="H501" s="10">
        <v>0</v>
      </c>
      <c r="I501" s="10">
        <v>0</v>
      </c>
      <c r="J501" s="10">
        <v>0</v>
      </c>
      <c r="K501" s="10">
        <v>0</v>
      </c>
      <c r="L501" s="10">
        <v>0</v>
      </c>
      <c r="M501" s="10">
        <v>0</v>
      </c>
      <c r="N501" s="10">
        <v>0</v>
      </c>
      <c r="O501" s="10">
        <v>0</v>
      </c>
      <c r="P501" s="10">
        <v>0</v>
      </c>
      <c r="Q501" s="10">
        <v>0</v>
      </c>
      <c r="R501" s="10">
        <v>0</v>
      </c>
      <c r="S501" s="10">
        <v>0</v>
      </c>
      <c r="T501" s="10">
        <v>0</v>
      </c>
      <c r="U501" s="10">
        <v>0</v>
      </c>
      <c r="V501" s="10">
        <v>0</v>
      </c>
      <c r="W501" s="10">
        <v>0</v>
      </c>
      <c r="X501" s="17">
        <v>0</v>
      </c>
      <c r="Y501" s="18">
        <v>0</v>
      </c>
      <c r="Z501" s="14">
        <v>0</v>
      </c>
      <c r="AA501" s="14">
        <v>0</v>
      </c>
      <c r="AB501" s="23">
        <v>0</v>
      </c>
      <c r="AC501" s="10">
        <v>0</v>
      </c>
      <c r="AD501" s="10">
        <v>0</v>
      </c>
      <c r="AE501" s="1" t="s">
        <v>540</v>
      </c>
    </row>
    <row r="502" spans="1:31" ht="16.5" customHeight="1" x14ac:dyDescent="0.35">
      <c r="A502" s="4">
        <v>218</v>
      </c>
      <c r="B502" s="4" t="str">
        <f>LOOKUP(A502,Lookup!$A$1:$A$34,Lookup!$B$1:$B$34)</f>
        <v>BUTCHERY SPICE</v>
      </c>
      <c r="C502" s="5">
        <v>64640</v>
      </c>
      <c r="D502" s="6" t="s">
        <v>345</v>
      </c>
      <c r="E502" s="4">
        <v>2</v>
      </c>
      <c r="F502" s="10">
        <v>0</v>
      </c>
      <c r="G502" s="10">
        <v>0</v>
      </c>
      <c r="H502" s="10">
        <v>0</v>
      </c>
      <c r="I502" s="10">
        <v>0</v>
      </c>
      <c r="J502" s="10">
        <v>0</v>
      </c>
      <c r="K502" s="10">
        <v>0</v>
      </c>
      <c r="L502" s="10">
        <v>0</v>
      </c>
      <c r="M502" s="10">
        <v>0</v>
      </c>
      <c r="N502" s="10">
        <v>0</v>
      </c>
      <c r="O502" s="10">
        <v>0</v>
      </c>
      <c r="P502" s="10">
        <v>0</v>
      </c>
      <c r="Q502" s="10">
        <v>0</v>
      </c>
      <c r="R502" s="10">
        <v>0</v>
      </c>
      <c r="S502" s="10">
        <v>0</v>
      </c>
      <c r="T502" s="10">
        <v>0</v>
      </c>
      <c r="U502" s="10">
        <v>0</v>
      </c>
      <c r="V502" s="10">
        <v>0</v>
      </c>
      <c r="W502" s="10">
        <v>0</v>
      </c>
      <c r="X502" s="17">
        <v>0</v>
      </c>
      <c r="Y502" s="18">
        <v>0</v>
      </c>
      <c r="Z502" s="14">
        <v>0</v>
      </c>
      <c r="AA502" s="14">
        <v>0</v>
      </c>
      <c r="AB502" s="23">
        <v>0</v>
      </c>
      <c r="AC502" s="10">
        <v>0</v>
      </c>
      <c r="AD502" s="10">
        <v>0</v>
      </c>
      <c r="AE502" s="1" t="s">
        <v>540</v>
      </c>
    </row>
    <row r="503" spans="1:31" ht="16.5" customHeight="1" x14ac:dyDescent="0.35">
      <c r="A503" s="4">
        <v>218</v>
      </c>
      <c r="B503" s="4" t="str">
        <f>LOOKUP(A503,Lookup!$A$1:$A$34,Lookup!$B$1:$B$34)</f>
        <v>BUTCHERY SPICE</v>
      </c>
      <c r="C503" s="5">
        <v>65605</v>
      </c>
      <c r="D503" s="6" t="s">
        <v>486</v>
      </c>
      <c r="E503" s="4">
        <v>2</v>
      </c>
      <c r="F503" s="10">
        <v>106.22608695652174</v>
      </c>
      <c r="G503" s="10">
        <v>1.018</v>
      </c>
      <c r="H503" s="10">
        <v>0</v>
      </c>
      <c r="I503" s="10">
        <v>0</v>
      </c>
      <c r="J503" s="10">
        <v>0</v>
      </c>
      <c r="K503" s="10">
        <v>0</v>
      </c>
      <c r="L503" s="10">
        <v>0</v>
      </c>
      <c r="M503" s="10">
        <v>0</v>
      </c>
      <c r="N503" s="10">
        <v>0</v>
      </c>
      <c r="O503" s="10">
        <v>0</v>
      </c>
      <c r="P503" s="10">
        <v>0</v>
      </c>
      <c r="Q503" s="10">
        <v>0</v>
      </c>
      <c r="R503" s="10">
        <v>0</v>
      </c>
      <c r="S503" s="10">
        <v>0</v>
      </c>
      <c r="T503" s="10">
        <v>0</v>
      </c>
      <c r="U503" s="10">
        <v>0</v>
      </c>
      <c r="V503" s="10">
        <v>0</v>
      </c>
      <c r="W503" s="10">
        <v>0</v>
      </c>
      <c r="X503" s="17">
        <v>106.22608695652174</v>
      </c>
      <c r="Y503" s="18">
        <v>1.018</v>
      </c>
      <c r="Z503" s="14">
        <v>106.22608695652174</v>
      </c>
      <c r="AA503" s="14">
        <v>1.018</v>
      </c>
      <c r="AB503" s="23">
        <v>1</v>
      </c>
      <c r="AC503" s="10">
        <v>106.22608695652174</v>
      </c>
      <c r="AD503" s="10">
        <v>1.018</v>
      </c>
      <c r="AE503" s="1" t="s">
        <v>541</v>
      </c>
    </row>
    <row r="504" spans="1:31" ht="16.5" customHeight="1" x14ac:dyDescent="0.35">
      <c r="A504" s="4">
        <v>218</v>
      </c>
      <c r="B504" s="4" t="str">
        <f>LOOKUP(A504,Lookup!$A$1:$A$34,Lookup!$B$1:$B$34)</f>
        <v>BUTCHERY SPICE</v>
      </c>
      <c r="C504" s="5">
        <v>64642</v>
      </c>
      <c r="D504" s="6" t="s">
        <v>478</v>
      </c>
      <c r="E504" s="4">
        <v>2</v>
      </c>
      <c r="F504" s="10">
        <v>0</v>
      </c>
      <c r="G504" s="10">
        <v>0</v>
      </c>
      <c r="H504" s="10">
        <v>0</v>
      </c>
      <c r="I504" s="10">
        <v>0</v>
      </c>
      <c r="J504" s="10">
        <v>0</v>
      </c>
      <c r="K504" s="10">
        <v>0</v>
      </c>
      <c r="L504" s="10">
        <v>0</v>
      </c>
      <c r="M504" s="10">
        <v>0</v>
      </c>
      <c r="N504" s="10">
        <v>0</v>
      </c>
      <c r="O504" s="10">
        <v>0</v>
      </c>
      <c r="P504" s="10">
        <v>0</v>
      </c>
      <c r="Q504" s="10">
        <v>0</v>
      </c>
      <c r="R504" s="10">
        <v>0</v>
      </c>
      <c r="S504" s="10">
        <v>0</v>
      </c>
      <c r="T504" s="10">
        <v>0</v>
      </c>
      <c r="U504" s="10">
        <v>0</v>
      </c>
      <c r="V504" s="10">
        <v>0</v>
      </c>
      <c r="W504" s="10">
        <v>0</v>
      </c>
      <c r="X504" s="17">
        <v>0</v>
      </c>
      <c r="Y504" s="18">
        <v>0</v>
      </c>
      <c r="Z504" s="14">
        <v>0</v>
      </c>
      <c r="AA504" s="14">
        <v>0</v>
      </c>
      <c r="AB504" s="23">
        <v>0</v>
      </c>
      <c r="AC504" s="10">
        <v>0</v>
      </c>
      <c r="AD504" s="10">
        <v>0</v>
      </c>
      <c r="AE504" s="1" t="s">
        <v>540</v>
      </c>
    </row>
    <row r="505" spans="1:31" ht="16.5" customHeight="1" x14ac:dyDescent="0.35">
      <c r="A505" s="4">
        <v>218</v>
      </c>
      <c r="B505" s="4" t="str">
        <f>LOOKUP(A505,Lookup!$A$1:$A$34,Lookup!$B$1:$B$34)</f>
        <v>BUTCHERY SPICE</v>
      </c>
      <c r="C505" s="5">
        <v>34385</v>
      </c>
      <c r="D505" s="6" t="s">
        <v>466</v>
      </c>
      <c r="E505" s="4">
        <v>2</v>
      </c>
      <c r="F505" s="10">
        <v>0</v>
      </c>
      <c r="G505" s="10">
        <v>0</v>
      </c>
      <c r="H505" s="10">
        <v>78.234782608695653</v>
      </c>
      <c r="I505" s="10">
        <v>3</v>
      </c>
      <c r="J505" s="10">
        <v>78.234782608695653</v>
      </c>
      <c r="K505" s="10">
        <v>3</v>
      </c>
      <c r="L505" s="10">
        <v>0</v>
      </c>
      <c r="M505" s="10">
        <v>0</v>
      </c>
      <c r="N505" s="10">
        <v>26.078260869565216</v>
      </c>
      <c r="O505" s="10">
        <v>1</v>
      </c>
      <c r="P505" s="10">
        <v>0</v>
      </c>
      <c r="Q505" s="10">
        <v>0</v>
      </c>
      <c r="R505" s="10">
        <v>125.18260869565218</v>
      </c>
      <c r="S505" s="10">
        <v>4</v>
      </c>
      <c r="T505" s="10">
        <v>93.886956521739137</v>
      </c>
      <c r="U505" s="10">
        <v>3</v>
      </c>
      <c r="V505" s="10">
        <v>62.591304347826089</v>
      </c>
      <c r="W505" s="10">
        <v>2</v>
      </c>
      <c r="X505" s="17">
        <v>125.18260869565218</v>
      </c>
      <c r="Y505" s="18">
        <v>4</v>
      </c>
      <c r="Z505" s="14">
        <v>464.20869565217396</v>
      </c>
      <c r="AA505" s="14">
        <v>16</v>
      </c>
      <c r="AB505" s="23">
        <v>6</v>
      </c>
      <c r="AC505" s="10">
        <v>77.368115942028993</v>
      </c>
      <c r="AD505" s="10">
        <v>2.6666666666666665</v>
      </c>
      <c r="AE505" s="1" t="s">
        <v>543</v>
      </c>
    </row>
    <row r="506" spans="1:31" ht="16.5" customHeight="1" x14ac:dyDescent="0.35">
      <c r="A506" s="4">
        <v>218</v>
      </c>
      <c r="B506" s="4" t="str">
        <f>LOOKUP(A506,Lookup!$A$1:$A$34,Lookup!$B$1:$B$34)</f>
        <v>BUTCHERY SPICE</v>
      </c>
      <c r="C506" s="5">
        <v>99990218</v>
      </c>
      <c r="D506" s="6" t="s">
        <v>487</v>
      </c>
      <c r="E506" s="4">
        <v>2</v>
      </c>
      <c r="F506" s="10">
        <v>0</v>
      </c>
      <c r="G506" s="10">
        <v>0</v>
      </c>
      <c r="H506" s="10">
        <v>0</v>
      </c>
      <c r="I506" s="10">
        <v>0</v>
      </c>
      <c r="J506" s="10">
        <v>0</v>
      </c>
      <c r="K506" s="10">
        <v>0</v>
      </c>
      <c r="L506" s="10">
        <v>0</v>
      </c>
      <c r="M506" s="10">
        <v>0</v>
      </c>
      <c r="N506" s="10">
        <v>0</v>
      </c>
      <c r="O506" s="10">
        <v>0</v>
      </c>
      <c r="P506" s="10">
        <v>0</v>
      </c>
      <c r="Q506" s="10">
        <v>0</v>
      </c>
      <c r="R506" s="10">
        <v>0</v>
      </c>
      <c r="S506" s="10">
        <v>0</v>
      </c>
      <c r="T506" s="10">
        <v>0</v>
      </c>
      <c r="U506" s="10">
        <v>0</v>
      </c>
      <c r="V506" s="10">
        <v>0</v>
      </c>
      <c r="W506" s="10">
        <v>0</v>
      </c>
      <c r="X506" s="17">
        <v>0</v>
      </c>
      <c r="Y506" s="18">
        <v>0</v>
      </c>
      <c r="Z506" s="14">
        <v>0</v>
      </c>
      <c r="AA506" s="14">
        <v>0</v>
      </c>
      <c r="AB506" s="23">
        <v>0</v>
      </c>
      <c r="AC506" s="10">
        <v>0</v>
      </c>
      <c r="AD506" s="10">
        <v>0</v>
      </c>
      <c r="AE506" s="1" t="s">
        <v>540</v>
      </c>
    </row>
    <row r="507" spans="1:31" ht="16.5" customHeight="1" x14ac:dyDescent="0.35">
      <c r="A507" s="4">
        <v>219</v>
      </c>
      <c r="B507" s="4" t="str">
        <f>LOOKUP(A507,Lookup!$A$1:$A$34,Lookup!$B$1:$B$34)</f>
        <v>BULK BRAAI PACK HAMPERS</v>
      </c>
      <c r="C507" s="5">
        <v>54124</v>
      </c>
      <c r="D507" s="6" t="s">
        <v>488</v>
      </c>
      <c r="E507" s="4">
        <v>2</v>
      </c>
      <c r="F507" s="10">
        <v>0</v>
      </c>
      <c r="G507" s="10">
        <v>0</v>
      </c>
      <c r="H507" s="10">
        <v>0</v>
      </c>
      <c r="I507" s="10">
        <v>0</v>
      </c>
      <c r="J507" s="10">
        <v>0</v>
      </c>
      <c r="K507" s="10">
        <v>0</v>
      </c>
      <c r="L507" s="10">
        <v>0</v>
      </c>
      <c r="M507" s="10">
        <v>0</v>
      </c>
      <c r="N507" s="10">
        <v>0</v>
      </c>
      <c r="O507" s="10">
        <v>0</v>
      </c>
      <c r="P507" s="10">
        <v>0</v>
      </c>
      <c r="Q507" s="10">
        <v>0</v>
      </c>
      <c r="R507" s="10">
        <v>0</v>
      </c>
      <c r="S507" s="10">
        <v>0</v>
      </c>
      <c r="T507" s="10">
        <v>0</v>
      </c>
      <c r="U507" s="10">
        <v>0</v>
      </c>
      <c r="V507" s="10">
        <v>0</v>
      </c>
      <c r="W507" s="10">
        <v>0</v>
      </c>
      <c r="X507" s="17">
        <v>0</v>
      </c>
      <c r="Y507" s="18">
        <v>0</v>
      </c>
      <c r="Z507" s="14">
        <v>0</v>
      </c>
      <c r="AA507" s="14">
        <v>0</v>
      </c>
      <c r="AB507" s="23">
        <v>0</v>
      </c>
      <c r="AC507" s="10">
        <v>0</v>
      </c>
      <c r="AD507" s="10">
        <v>0</v>
      </c>
      <c r="AE507" s="1" t="s">
        <v>540</v>
      </c>
    </row>
    <row r="508" spans="1:31" ht="16.5" customHeight="1" x14ac:dyDescent="0.35">
      <c r="A508" s="4">
        <v>219</v>
      </c>
      <c r="B508" s="4" t="str">
        <f>LOOKUP(A508,Lookup!$A$1:$A$34,Lookup!$B$1:$B$34)</f>
        <v>BULK BRAAI PACK HAMPERS</v>
      </c>
      <c r="C508" s="5">
        <v>54125</v>
      </c>
      <c r="D508" s="6" t="s">
        <v>489</v>
      </c>
      <c r="E508" s="4">
        <v>2</v>
      </c>
      <c r="F508" s="10">
        <v>0</v>
      </c>
      <c r="G508" s="10">
        <v>0</v>
      </c>
      <c r="H508" s="10">
        <v>0</v>
      </c>
      <c r="I508" s="10">
        <v>0</v>
      </c>
      <c r="J508" s="10">
        <v>0</v>
      </c>
      <c r="K508" s="10">
        <v>0</v>
      </c>
      <c r="L508" s="10">
        <v>0</v>
      </c>
      <c r="M508" s="10">
        <v>0</v>
      </c>
      <c r="N508" s="10">
        <v>0</v>
      </c>
      <c r="O508" s="10">
        <v>0</v>
      </c>
      <c r="P508" s="10">
        <v>0</v>
      </c>
      <c r="Q508" s="10">
        <v>0</v>
      </c>
      <c r="R508" s="10">
        <v>0</v>
      </c>
      <c r="S508" s="10">
        <v>0</v>
      </c>
      <c r="T508" s="10">
        <v>0</v>
      </c>
      <c r="U508" s="10">
        <v>0</v>
      </c>
      <c r="V508" s="10">
        <v>0</v>
      </c>
      <c r="W508" s="10">
        <v>0</v>
      </c>
      <c r="X508" s="17">
        <v>0</v>
      </c>
      <c r="Y508" s="18">
        <v>0</v>
      </c>
      <c r="Z508" s="14">
        <v>0</v>
      </c>
      <c r="AA508" s="14">
        <v>0</v>
      </c>
      <c r="AB508" s="23">
        <v>0</v>
      </c>
      <c r="AC508" s="10">
        <v>0</v>
      </c>
      <c r="AD508" s="10">
        <v>0</v>
      </c>
      <c r="AE508" s="1" t="s">
        <v>540</v>
      </c>
    </row>
    <row r="509" spans="1:31" ht="16.5" customHeight="1" x14ac:dyDescent="0.35">
      <c r="A509" s="4">
        <v>219</v>
      </c>
      <c r="B509" s="4" t="str">
        <f>LOOKUP(A509,Lookup!$A$1:$A$34,Lookup!$B$1:$B$34)</f>
        <v>BULK BRAAI PACK HAMPERS</v>
      </c>
      <c r="C509" s="5">
        <v>54455</v>
      </c>
      <c r="D509" s="6" t="s">
        <v>490</v>
      </c>
      <c r="E509" s="4">
        <v>2</v>
      </c>
      <c r="F509" s="10">
        <v>0</v>
      </c>
      <c r="G509" s="10">
        <v>0</v>
      </c>
      <c r="H509" s="10">
        <v>0</v>
      </c>
      <c r="I509" s="10">
        <v>0</v>
      </c>
      <c r="J509" s="10">
        <v>0</v>
      </c>
      <c r="K509" s="10">
        <v>0</v>
      </c>
      <c r="L509" s="10">
        <v>0</v>
      </c>
      <c r="M509" s="10">
        <v>0</v>
      </c>
      <c r="N509" s="10">
        <v>0</v>
      </c>
      <c r="O509" s="10">
        <v>0</v>
      </c>
      <c r="P509" s="10">
        <v>0</v>
      </c>
      <c r="Q509" s="10">
        <v>0</v>
      </c>
      <c r="R509" s="10">
        <v>0</v>
      </c>
      <c r="S509" s="10">
        <v>0</v>
      </c>
      <c r="T509" s="10">
        <v>0</v>
      </c>
      <c r="U509" s="10">
        <v>0</v>
      </c>
      <c r="V509" s="10">
        <v>0</v>
      </c>
      <c r="W509" s="10">
        <v>0</v>
      </c>
      <c r="X509" s="17">
        <v>0</v>
      </c>
      <c r="Y509" s="18">
        <v>0</v>
      </c>
      <c r="Z509" s="14">
        <v>0</v>
      </c>
      <c r="AA509" s="14">
        <v>0</v>
      </c>
      <c r="AB509" s="23">
        <v>0</v>
      </c>
      <c r="AC509" s="10">
        <v>0</v>
      </c>
      <c r="AD509" s="10">
        <v>0</v>
      </c>
      <c r="AE509" s="1" t="s">
        <v>540</v>
      </c>
    </row>
    <row r="510" spans="1:31" ht="16.5" customHeight="1" x14ac:dyDescent="0.35">
      <c r="A510" s="4">
        <v>220</v>
      </c>
      <c r="B510" s="4" t="str">
        <f>LOOKUP(A510,Lookup!$A$1:$A$34,Lookup!$B$1:$B$34)</f>
        <v>MINCE &amp; PATTIES</v>
      </c>
      <c r="C510" s="5">
        <v>34209</v>
      </c>
      <c r="D510" s="6" t="s">
        <v>491</v>
      </c>
      <c r="E510" s="4">
        <v>2</v>
      </c>
      <c r="F510" s="10">
        <v>0</v>
      </c>
      <c r="G510" s="10">
        <v>0</v>
      </c>
      <c r="H510" s="10">
        <v>0</v>
      </c>
      <c r="I510" s="10">
        <v>0</v>
      </c>
      <c r="J510" s="10">
        <v>0</v>
      </c>
      <c r="K510" s="10">
        <v>0</v>
      </c>
      <c r="L510" s="10">
        <v>0</v>
      </c>
      <c r="M510" s="10">
        <v>0</v>
      </c>
      <c r="N510" s="10">
        <v>0</v>
      </c>
      <c r="O510" s="10">
        <v>0</v>
      </c>
      <c r="P510" s="10">
        <v>0</v>
      </c>
      <c r="Q510" s="10">
        <v>0</v>
      </c>
      <c r="R510" s="10">
        <v>0</v>
      </c>
      <c r="S510" s="10">
        <v>0</v>
      </c>
      <c r="T510" s="10">
        <v>0</v>
      </c>
      <c r="U510" s="10">
        <v>0</v>
      </c>
      <c r="V510" s="10">
        <v>0</v>
      </c>
      <c r="W510" s="10">
        <v>0</v>
      </c>
      <c r="X510" s="17">
        <v>0</v>
      </c>
      <c r="Y510" s="18">
        <v>0</v>
      </c>
      <c r="Z510" s="14">
        <v>0</v>
      </c>
      <c r="AA510" s="14">
        <v>0</v>
      </c>
      <c r="AB510" s="23">
        <v>0</v>
      </c>
      <c r="AC510" s="10">
        <v>0</v>
      </c>
      <c r="AD510" s="10">
        <v>0</v>
      </c>
      <c r="AE510" s="1" t="s">
        <v>540</v>
      </c>
    </row>
    <row r="511" spans="1:31" ht="16.5" customHeight="1" x14ac:dyDescent="0.35">
      <c r="A511" s="4">
        <v>220</v>
      </c>
      <c r="B511" s="4" t="str">
        <f>LOOKUP(A511,Lookup!$A$1:$A$34,Lookup!$B$1:$B$34)</f>
        <v>MINCE &amp; PATTIES</v>
      </c>
      <c r="C511" s="5">
        <v>42766</v>
      </c>
      <c r="D511" s="6" t="s">
        <v>492</v>
      </c>
      <c r="E511" s="4">
        <v>2</v>
      </c>
      <c r="F511" s="10">
        <v>0</v>
      </c>
      <c r="G511" s="10">
        <v>0</v>
      </c>
      <c r="H511" s="10">
        <v>0</v>
      </c>
      <c r="I511" s="10">
        <v>0</v>
      </c>
      <c r="J511" s="10">
        <v>0</v>
      </c>
      <c r="K511" s="10">
        <v>0</v>
      </c>
      <c r="L511" s="10">
        <v>0</v>
      </c>
      <c r="M511" s="10">
        <v>0</v>
      </c>
      <c r="N511" s="10">
        <v>0</v>
      </c>
      <c r="O511" s="10">
        <v>0</v>
      </c>
      <c r="P511" s="10">
        <v>0</v>
      </c>
      <c r="Q511" s="10">
        <v>0</v>
      </c>
      <c r="R511" s="10">
        <v>0</v>
      </c>
      <c r="S511" s="10">
        <v>0</v>
      </c>
      <c r="T511" s="10">
        <v>0</v>
      </c>
      <c r="U511" s="10">
        <v>0</v>
      </c>
      <c r="V511" s="10">
        <v>0</v>
      </c>
      <c r="W511" s="10">
        <v>0</v>
      </c>
      <c r="X511" s="17">
        <v>0</v>
      </c>
      <c r="Y511" s="18">
        <v>0</v>
      </c>
      <c r="Z511" s="14">
        <v>0</v>
      </c>
      <c r="AA511" s="14">
        <v>0</v>
      </c>
      <c r="AB511" s="23">
        <v>0</v>
      </c>
      <c r="AC511" s="10">
        <v>0</v>
      </c>
      <c r="AD511" s="10">
        <v>0</v>
      </c>
      <c r="AE511" s="1" t="s">
        <v>540</v>
      </c>
    </row>
    <row r="512" spans="1:31" ht="16.5" customHeight="1" x14ac:dyDescent="0.35">
      <c r="A512" s="4">
        <v>221</v>
      </c>
      <c r="B512" s="4" t="str">
        <f>LOOKUP(A512,Lookup!$A$1:$A$34,Lookup!$B$1:$B$34)</f>
        <v>STEAK</v>
      </c>
      <c r="C512" s="5">
        <v>34181</v>
      </c>
      <c r="D512" s="6" t="s">
        <v>493</v>
      </c>
      <c r="E512" s="4">
        <v>2</v>
      </c>
      <c r="F512" s="10">
        <v>0</v>
      </c>
      <c r="G512" s="10">
        <v>0</v>
      </c>
      <c r="H512" s="10">
        <v>0</v>
      </c>
      <c r="I512" s="10">
        <v>0</v>
      </c>
      <c r="J512" s="10">
        <v>0</v>
      </c>
      <c r="K512" s="10">
        <v>0</v>
      </c>
      <c r="L512" s="10">
        <v>0</v>
      </c>
      <c r="M512" s="10">
        <v>0</v>
      </c>
      <c r="N512" s="10">
        <v>0</v>
      </c>
      <c r="O512" s="10">
        <v>0</v>
      </c>
      <c r="P512" s="10">
        <v>0</v>
      </c>
      <c r="Q512" s="10">
        <v>0</v>
      </c>
      <c r="R512" s="10">
        <v>0</v>
      </c>
      <c r="S512" s="10">
        <v>0</v>
      </c>
      <c r="T512" s="10">
        <v>0</v>
      </c>
      <c r="U512" s="10">
        <v>0</v>
      </c>
      <c r="V512" s="10">
        <v>0</v>
      </c>
      <c r="W512" s="10">
        <v>0</v>
      </c>
      <c r="X512" s="17">
        <v>0</v>
      </c>
      <c r="Y512" s="18">
        <v>0</v>
      </c>
      <c r="Z512" s="14">
        <v>0</v>
      </c>
      <c r="AA512" s="14">
        <v>0</v>
      </c>
      <c r="AB512" s="23">
        <v>0</v>
      </c>
      <c r="AC512" s="10">
        <v>0</v>
      </c>
      <c r="AD512" s="10">
        <v>0</v>
      </c>
      <c r="AE512" s="1" t="s">
        <v>540</v>
      </c>
    </row>
    <row r="513" spans="1:31" ht="16.5" customHeight="1" x14ac:dyDescent="0.35">
      <c r="A513" s="4">
        <v>221</v>
      </c>
      <c r="B513" s="4" t="str">
        <f>LOOKUP(A513,Lookup!$A$1:$A$34,Lookup!$B$1:$B$34)</f>
        <v>STEAK</v>
      </c>
      <c r="C513" s="5">
        <v>34183</v>
      </c>
      <c r="D513" s="6" t="s">
        <v>494</v>
      </c>
      <c r="E513" s="4">
        <v>2</v>
      </c>
      <c r="F513" s="10">
        <v>0</v>
      </c>
      <c r="G513" s="10">
        <v>0</v>
      </c>
      <c r="H513" s="10">
        <v>0</v>
      </c>
      <c r="I513" s="10">
        <v>0</v>
      </c>
      <c r="J513" s="10">
        <v>0</v>
      </c>
      <c r="K513" s="10">
        <v>0</v>
      </c>
      <c r="L513" s="10">
        <v>0</v>
      </c>
      <c r="M513" s="10">
        <v>0</v>
      </c>
      <c r="N513" s="10">
        <v>0</v>
      </c>
      <c r="O513" s="10">
        <v>0</v>
      </c>
      <c r="P513" s="10">
        <v>0</v>
      </c>
      <c r="Q513" s="10">
        <v>0</v>
      </c>
      <c r="R513" s="10">
        <v>0</v>
      </c>
      <c r="S513" s="10">
        <v>0</v>
      </c>
      <c r="T513" s="10">
        <v>0</v>
      </c>
      <c r="U513" s="10">
        <v>0</v>
      </c>
      <c r="V513" s="10">
        <v>0</v>
      </c>
      <c r="W513" s="10">
        <v>0</v>
      </c>
      <c r="X513" s="17">
        <v>0</v>
      </c>
      <c r="Y513" s="18">
        <v>0</v>
      </c>
      <c r="Z513" s="14">
        <v>0</v>
      </c>
      <c r="AA513" s="14">
        <v>0</v>
      </c>
      <c r="AB513" s="23">
        <v>0</v>
      </c>
      <c r="AC513" s="10">
        <v>0</v>
      </c>
      <c r="AD513" s="10">
        <v>0</v>
      </c>
      <c r="AE513" s="1" t="s">
        <v>540</v>
      </c>
    </row>
    <row r="514" spans="1:31" ht="16.5" customHeight="1" x14ac:dyDescent="0.35">
      <c r="A514" s="4">
        <v>222</v>
      </c>
      <c r="B514" s="4" t="str">
        <f>LOOKUP(A514,Lookup!$A$1:$A$34,Lookup!$B$1:$B$34)</f>
        <v>CHICKEN FROZEN</v>
      </c>
      <c r="C514" s="5">
        <v>34307</v>
      </c>
      <c r="D514" s="6" t="s">
        <v>495</v>
      </c>
      <c r="E514" s="4">
        <v>2</v>
      </c>
      <c r="F514" s="10">
        <v>0</v>
      </c>
      <c r="G514" s="10">
        <v>0</v>
      </c>
      <c r="H514" s="10">
        <v>0</v>
      </c>
      <c r="I514" s="10">
        <v>0</v>
      </c>
      <c r="J514" s="10">
        <v>0</v>
      </c>
      <c r="K514" s="10">
        <v>0</v>
      </c>
      <c r="L514" s="10">
        <v>0</v>
      </c>
      <c r="M514" s="10">
        <v>0</v>
      </c>
      <c r="N514" s="10">
        <v>0</v>
      </c>
      <c r="O514" s="10">
        <v>0</v>
      </c>
      <c r="P514" s="10">
        <v>0</v>
      </c>
      <c r="Q514" s="10">
        <v>0</v>
      </c>
      <c r="R514" s="10">
        <v>0</v>
      </c>
      <c r="S514" s="10">
        <v>0</v>
      </c>
      <c r="T514" s="10">
        <v>0</v>
      </c>
      <c r="U514" s="10">
        <v>0</v>
      </c>
      <c r="V514" s="10">
        <v>0</v>
      </c>
      <c r="W514" s="10">
        <v>0</v>
      </c>
      <c r="X514" s="17">
        <v>0</v>
      </c>
      <c r="Y514" s="18">
        <v>0</v>
      </c>
      <c r="Z514" s="14">
        <v>0</v>
      </c>
      <c r="AA514" s="14">
        <v>0</v>
      </c>
      <c r="AB514" s="23">
        <v>0</v>
      </c>
      <c r="AC514" s="10">
        <v>0</v>
      </c>
      <c r="AD514" s="10">
        <v>0</v>
      </c>
      <c r="AE514" s="1" t="s">
        <v>540</v>
      </c>
    </row>
    <row r="515" spans="1:31" ht="16.5" customHeight="1" x14ac:dyDescent="0.35">
      <c r="A515" s="4">
        <v>224</v>
      </c>
      <c r="B515" s="4" t="str">
        <f>LOOKUP(A515,Lookup!$A$1:$A$34,Lookup!$B$1:$B$34)</f>
        <v>BILT&amp; DROEWORS BUY IN</v>
      </c>
      <c r="C515" s="5">
        <v>32050</v>
      </c>
      <c r="D515" s="6" t="s">
        <v>496</v>
      </c>
      <c r="E515" s="4">
        <v>2</v>
      </c>
      <c r="F515" s="10">
        <v>0</v>
      </c>
      <c r="G515" s="10">
        <v>0</v>
      </c>
      <c r="H515" s="10">
        <v>0</v>
      </c>
      <c r="I515" s="10">
        <v>0</v>
      </c>
      <c r="J515" s="10">
        <v>0</v>
      </c>
      <c r="K515" s="10">
        <v>0</v>
      </c>
      <c r="L515" s="10">
        <v>0</v>
      </c>
      <c r="M515" s="10">
        <v>0</v>
      </c>
      <c r="N515" s="10">
        <v>0</v>
      </c>
      <c r="O515" s="10">
        <v>0</v>
      </c>
      <c r="P515" s="10">
        <v>0</v>
      </c>
      <c r="Q515" s="10">
        <v>0</v>
      </c>
      <c r="R515" s="10">
        <v>0</v>
      </c>
      <c r="S515" s="10">
        <v>0</v>
      </c>
      <c r="T515" s="10">
        <v>0</v>
      </c>
      <c r="U515" s="10">
        <v>0</v>
      </c>
      <c r="V515" s="10">
        <v>0</v>
      </c>
      <c r="W515" s="10">
        <v>0</v>
      </c>
      <c r="X515" s="17">
        <v>0</v>
      </c>
      <c r="Y515" s="18">
        <v>0</v>
      </c>
      <c r="Z515" s="14">
        <v>0</v>
      </c>
      <c r="AA515" s="14">
        <v>0</v>
      </c>
      <c r="AB515" s="23">
        <v>0</v>
      </c>
      <c r="AC515" s="10">
        <v>0</v>
      </c>
      <c r="AD515" s="10">
        <v>0</v>
      </c>
      <c r="AE515" s="1" t="s">
        <v>540</v>
      </c>
    </row>
    <row r="516" spans="1:31" ht="16.5" customHeight="1" x14ac:dyDescent="0.35">
      <c r="A516" s="4">
        <v>224</v>
      </c>
      <c r="B516" s="4" t="str">
        <f>LOOKUP(A516,Lookup!$A$1:$A$34,Lookup!$B$1:$B$34)</f>
        <v>BILT&amp; DROEWORS BUY IN</v>
      </c>
      <c r="C516" s="5">
        <v>45713</v>
      </c>
      <c r="D516" s="6" t="s">
        <v>497</v>
      </c>
      <c r="E516" s="4">
        <v>2</v>
      </c>
      <c r="F516" s="10">
        <v>0</v>
      </c>
      <c r="G516" s="10">
        <v>0</v>
      </c>
      <c r="H516" s="10">
        <v>0</v>
      </c>
      <c r="I516" s="10">
        <v>0</v>
      </c>
      <c r="J516" s="10">
        <v>0</v>
      </c>
      <c r="K516" s="10">
        <v>0</v>
      </c>
      <c r="L516" s="10">
        <v>0</v>
      </c>
      <c r="M516" s="10">
        <v>0</v>
      </c>
      <c r="N516" s="10">
        <v>0</v>
      </c>
      <c r="O516" s="10">
        <v>0</v>
      </c>
      <c r="P516" s="10">
        <v>0</v>
      </c>
      <c r="Q516" s="10">
        <v>0</v>
      </c>
      <c r="R516" s="10">
        <v>0</v>
      </c>
      <c r="S516" s="10">
        <v>0</v>
      </c>
      <c r="T516" s="10">
        <v>0</v>
      </c>
      <c r="U516" s="10">
        <v>0</v>
      </c>
      <c r="V516" s="10">
        <v>0</v>
      </c>
      <c r="W516" s="10">
        <v>0</v>
      </c>
      <c r="X516" s="17">
        <v>0</v>
      </c>
      <c r="Y516" s="18">
        <v>0</v>
      </c>
      <c r="Z516" s="14">
        <v>0</v>
      </c>
      <c r="AA516" s="14">
        <v>0</v>
      </c>
      <c r="AB516" s="23">
        <v>0</v>
      </c>
      <c r="AC516" s="10">
        <v>0</v>
      </c>
      <c r="AD516" s="10">
        <v>0</v>
      </c>
      <c r="AE516" s="1" t="s">
        <v>540</v>
      </c>
    </row>
    <row r="517" spans="1:31" ht="16.5" customHeight="1" x14ac:dyDescent="0.35">
      <c r="A517" s="4">
        <v>218</v>
      </c>
      <c r="B517" s="4" t="str">
        <f>LOOKUP(A517,Lookup!$A$1:$A$34,Lookup!$B$1:$B$34)</f>
        <v>BUTCHERY SPICE</v>
      </c>
      <c r="C517" s="5">
        <v>64641</v>
      </c>
      <c r="D517" s="6" t="s">
        <v>347</v>
      </c>
      <c r="E517" s="4">
        <v>2</v>
      </c>
      <c r="F517" s="10">
        <v>0</v>
      </c>
      <c r="G517" s="10">
        <v>0</v>
      </c>
      <c r="H517" s="10">
        <v>40</v>
      </c>
      <c r="I517" s="10">
        <v>0.23</v>
      </c>
      <c r="J517" s="10">
        <v>0</v>
      </c>
      <c r="K517" s="10">
        <v>0</v>
      </c>
      <c r="L517" s="10">
        <v>0</v>
      </c>
      <c r="M517" s="10">
        <v>0</v>
      </c>
      <c r="N517" s="10">
        <v>0</v>
      </c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10">
        <v>0</v>
      </c>
      <c r="U517" s="10">
        <v>0</v>
      </c>
      <c r="V517" s="10">
        <v>0</v>
      </c>
      <c r="W517" s="10">
        <v>0</v>
      </c>
      <c r="X517" s="17">
        <v>40</v>
      </c>
      <c r="Y517" s="18">
        <v>0.23</v>
      </c>
      <c r="Z517" s="14">
        <v>40</v>
      </c>
      <c r="AA517" s="14">
        <v>0.23</v>
      </c>
      <c r="AB517" s="23">
        <v>1</v>
      </c>
      <c r="AC517" s="10">
        <v>40</v>
      </c>
      <c r="AD517" s="10">
        <v>0.23</v>
      </c>
      <c r="AE517" s="1" t="s">
        <v>541</v>
      </c>
    </row>
    <row r="518" spans="1:31" ht="16.5" customHeight="1" x14ac:dyDescent="0.35">
      <c r="A518" s="4">
        <v>224</v>
      </c>
      <c r="B518" s="4" t="str">
        <f>LOOKUP(A518,Lookup!$A$1:$A$34,Lookup!$B$1:$B$34)</f>
        <v>BILT&amp; DROEWORS BUY IN</v>
      </c>
      <c r="C518" s="5">
        <v>50617</v>
      </c>
      <c r="D518" s="6" t="s">
        <v>499</v>
      </c>
      <c r="E518" s="4">
        <v>2</v>
      </c>
      <c r="F518" s="10">
        <v>0</v>
      </c>
      <c r="G518" s="10">
        <v>0</v>
      </c>
      <c r="H518" s="10">
        <v>0</v>
      </c>
      <c r="I518" s="10">
        <v>0</v>
      </c>
      <c r="J518" s="10">
        <v>0</v>
      </c>
      <c r="K518" s="10">
        <v>0</v>
      </c>
      <c r="L518" s="10">
        <v>0</v>
      </c>
      <c r="M518" s="10">
        <v>0</v>
      </c>
      <c r="N518" s="10">
        <v>0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  <c r="U518" s="10">
        <v>0</v>
      </c>
      <c r="V518" s="10">
        <v>0</v>
      </c>
      <c r="W518" s="10">
        <v>0</v>
      </c>
      <c r="X518" s="17">
        <v>0</v>
      </c>
      <c r="Y518" s="18">
        <v>0</v>
      </c>
      <c r="Z518" s="14">
        <v>0</v>
      </c>
      <c r="AA518" s="14">
        <v>0</v>
      </c>
      <c r="AB518" s="23">
        <v>0</v>
      </c>
      <c r="AC518" s="10">
        <v>0</v>
      </c>
      <c r="AD518" s="10">
        <v>0</v>
      </c>
      <c r="AE518" s="1" t="s">
        <v>540</v>
      </c>
    </row>
    <row r="519" spans="1:31" ht="16.5" customHeight="1" x14ac:dyDescent="0.35">
      <c r="A519" s="4">
        <v>224</v>
      </c>
      <c r="B519" s="4" t="str">
        <f>LOOKUP(A519,Lookup!$A$1:$A$34,Lookup!$B$1:$B$34)</f>
        <v>BILT&amp; DROEWORS BUY IN</v>
      </c>
      <c r="C519" s="5">
        <v>53854</v>
      </c>
      <c r="D519" s="6" t="s">
        <v>508</v>
      </c>
      <c r="E519" s="4">
        <v>2</v>
      </c>
      <c r="F519" s="10">
        <v>2035.9304347826089</v>
      </c>
      <c r="G519" s="10">
        <v>5.8680000000000003</v>
      </c>
      <c r="H519" s="10">
        <v>1460.7043478260869</v>
      </c>
      <c r="I519" s="10">
        <v>4.21</v>
      </c>
      <c r="J519" s="10">
        <v>1399.6347826086956</v>
      </c>
      <c r="K519" s="10">
        <v>4.0339999999999998</v>
      </c>
      <c r="L519" s="10">
        <v>2636.869565217391</v>
      </c>
      <c r="M519" s="10">
        <v>7.6</v>
      </c>
      <c r="N519" s="10">
        <v>2961.6347826086958</v>
      </c>
      <c r="O519" s="10">
        <v>8.5359999999999996</v>
      </c>
      <c r="P519" s="10">
        <v>1796.5391304347827</v>
      </c>
      <c r="Q519" s="10">
        <v>5.1779999999999999</v>
      </c>
      <c r="R519" s="10">
        <v>1914.5217391304345</v>
      </c>
      <c r="S519" s="10">
        <v>5.5179999999999998</v>
      </c>
      <c r="T519" s="10">
        <v>2366.2695652173916</v>
      </c>
      <c r="U519" s="10">
        <v>6.82</v>
      </c>
      <c r="V519" s="10">
        <v>2586.9043478260865</v>
      </c>
      <c r="W519" s="10">
        <v>7.4560000000000004</v>
      </c>
      <c r="X519" s="17">
        <v>2961.6347826086958</v>
      </c>
      <c r="Y519" s="18">
        <v>8.5359999999999996</v>
      </c>
      <c r="Z519" s="14">
        <v>19159.008695652174</v>
      </c>
      <c r="AA519" s="14">
        <v>55.22</v>
      </c>
      <c r="AB519" s="23">
        <v>9</v>
      </c>
      <c r="AC519" s="10">
        <v>2128.7787439613526</v>
      </c>
      <c r="AD519" s="10">
        <v>6.1355555555555554</v>
      </c>
      <c r="AE519" s="1" t="s">
        <v>542</v>
      </c>
    </row>
    <row r="520" spans="1:31" ht="16.5" customHeight="1" x14ac:dyDescent="0.35">
      <c r="A520" s="4">
        <v>224</v>
      </c>
      <c r="B520" s="4" t="str">
        <f>LOOKUP(A520,Lookup!$A$1:$A$34,Lookup!$B$1:$B$34)</f>
        <v>BILT&amp; DROEWORS BUY IN</v>
      </c>
      <c r="C520" s="5">
        <v>52934</v>
      </c>
      <c r="D520" s="6" t="s">
        <v>501</v>
      </c>
      <c r="E520" s="4">
        <v>2</v>
      </c>
      <c r="F520" s="10">
        <v>0</v>
      </c>
      <c r="G520" s="10">
        <v>0</v>
      </c>
      <c r="H520" s="10">
        <v>0</v>
      </c>
      <c r="I520" s="10">
        <v>0</v>
      </c>
      <c r="J520" s="10">
        <v>0</v>
      </c>
      <c r="K520" s="10">
        <v>0</v>
      </c>
      <c r="L520" s="10">
        <v>0</v>
      </c>
      <c r="M520" s="10">
        <v>0</v>
      </c>
      <c r="N520" s="10">
        <v>0</v>
      </c>
      <c r="O520" s="10">
        <v>0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0</v>
      </c>
      <c r="V520" s="10">
        <v>0</v>
      </c>
      <c r="W520" s="10">
        <v>0</v>
      </c>
      <c r="X520" s="17">
        <v>0</v>
      </c>
      <c r="Y520" s="18">
        <v>0</v>
      </c>
      <c r="Z520" s="14">
        <v>0</v>
      </c>
      <c r="AA520" s="14">
        <v>0</v>
      </c>
      <c r="AB520" s="23">
        <v>0</v>
      </c>
      <c r="AC520" s="10">
        <v>0</v>
      </c>
      <c r="AD520" s="10">
        <v>0</v>
      </c>
      <c r="AE520" s="1" t="s">
        <v>540</v>
      </c>
    </row>
    <row r="521" spans="1:31" ht="16.5" customHeight="1" x14ac:dyDescent="0.35">
      <c r="A521" s="4">
        <v>224</v>
      </c>
      <c r="B521" s="4" t="str">
        <f>LOOKUP(A521,Lookup!$A$1:$A$34,Lookup!$B$1:$B$34)</f>
        <v>BILT&amp; DROEWORS BUY IN</v>
      </c>
      <c r="C521" s="5">
        <v>52935</v>
      </c>
      <c r="D521" s="6" t="s">
        <v>502</v>
      </c>
      <c r="E521" s="4">
        <v>2</v>
      </c>
      <c r="F521" s="10">
        <v>0</v>
      </c>
      <c r="G521" s="10">
        <v>0</v>
      </c>
      <c r="H521" s="10">
        <v>0</v>
      </c>
      <c r="I521" s="10">
        <v>0</v>
      </c>
      <c r="J521" s="10">
        <v>0</v>
      </c>
      <c r="K521" s="10">
        <v>0</v>
      </c>
      <c r="L521" s="10">
        <v>0</v>
      </c>
      <c r="M521" s="10">
        <v>0</v>
      </c>
      <c r="N521" s="10">
        <v>0</v>
      </c>
      <c r="O521" s="10">
        <v>0</v>
      </c>
      <c r="P521" s="10">
        <v>0</v>
      </c>
      <c r="Q521" s="10">
        <v>0</v>
      </c>
      <c r="R521" s="10">
        <v>0</v>
      </c>
      <c r="S521" s="10">
        <v>0</v>
      </c>
      <c r="T521" s="10">
        <v>0</v>
      </c>
      <c r="U521" s="10">
        <v>0</v>
      </c>
      <c r="V521" s="10">
        <v>0</v>
      </c>
      <c r="W521" s="10">
        <v>0</v>
      </c>
      <c r="X521" s="17">
        <v>0</v>
      </c>
      <c r="Y521" s="18">
        <v>0</v>
      </c>
      <c r="Z521" s="14">
        <v>0</v>
      </c>
      <c r="AA521" s="14">
        <v>0</v>
      </c>
      <c r="AB521" s="23">
        <v>0</v>
      </c>
      <c r="AC521" s="10">
        <v>0</v>
      </c>
      <c r="AD521" s="10">
        <v>0</v>
      </c>
      <c r="AE521" s="1" t="s">
        <v>540</v>
      </c>
    </row>
    <row r="522" spans="1:31" ht="16.5" customHeight="1" x14ac:dyDescent="0.35">
      <c r="A522" s="4">
        <v>224</v>
      </c>
      <c r="B522" s="4" t="str">
        <f>LOOKUP(A522,Lookup!$A$1:$A$34,Lookup!$B$1:$B$34)</f>
        <v>BILT&amp; DROEWORS BUY IN</v>
      </c>
      <c r="C522" s="5">
        <v>52936</v>
      </c>
      <c r="D522" s="6" t="s">
        <v>503</v>
      </c>
      <c r="E522" s="4">
        <v>2</v>
      </c>
      <c r="F522" s="10">
        <v>0</v>
      </c>
      <c r="G522" s="10">
        <v>0</v>
      </c>
      <c r="H522" s="10">
        <v>0</v>
      </c>
      <c r="I522" s="10">
        <v>0</v>
      </c>
      <c r="J522" s="10">
        <v>0</v>
      </c>
      <c r="K522" s="10">
        <v>0</v>
      </c>
      <c r="L522" s="10">
        <v>0</v>
      </c>
      <c r="M522" s="10">
        <v>0</v>
      </c>
      <c r="N522" s="10">
        <v>0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0">
        <v>0</v>
      </c>
      <c r="U522" s="10">
        <v>0</v>
      </c>
      <c r="V522" s="10">
        <v>0</v>
      </c>
      <c r="W522" s="10">
        <v>0</v>
      </c>
      <c r="X522" s="17">
        <v>0</v>
      </c>
      <c r="Y522" s="18">
        <v>0</v>
      </c>
      <c r="Z522" s="14">
        <v>0</v>
      </c>
      <c r="AA522" s="14">
        <v>0</v>
      </c>
      <c r="AB522" s="23">
        <v>0</v>
      </c>
      <c r="AC522" s="10">
        <v>0</v>
      </c>
      <c r="AD522" s="10">
        <v>0</v>
      </c>
      <c r="AE522" s="1" t="s">
        <v>540</v>
      </c>
    </row>
    <row r="523" spans="1:31" ht="16.5" customHeight="1" x14ac:dyDescent="0.35">
      <c r="A523" s="4">
        <v>224</v>
      </c>
      <c r="B523" s="4" t="str">
        <f>LOOKUP(A523,Lookup!$A$1:$A$34,Lookup!$B$1:$B$34)</f>
        <v>BILT&amp; DROEWORS BUY IN</v>
      </c>
      <c r="C523" s="5">
        <v>61155</v>
      </c>
      <c r="D523" s="6" t="s">
        <v>515</v>
      </c>
      <c r="E523" s="4">
        <v>2</v>
      </c>
      <c r="F523" s="10">
        <v>1017.0521739130434</v>
      </c>
      <c r="G523" s="10">
        <v>39</v>
      </c>
      <c r="H523" s="10">
        <v>1512.5391304347827</v>
      </c>
      <c r="I523" s="10">
        <v>58</v>
      </c>
      <c r="J523" s="10">
        <v>1277.8347826086956</v>
      </c>
      <c r="K523" s="10">
        <v>49</v>
      </c>
      <c r="L523" s="10">
        <v>2477.4347826086955</v>
      </c>
      <c r="M523" s="10">
        <v>95</v>
      </c>
      <c r="N523" s="10">
        <v>1329.9913043478261</v>
      </c>
      <c r="O523" s="10">
        <v>51</v>
      </c>
      <c r="P523" s="10">
        <v>1538.6173913043478</v>
      </c>
      <c r="Q523" s="10">
        <v>59</v>
      </c>
      <c r="R523" s="10">
        <v>1356.0695652173913</v>
      </c>
      <c r="S523" s="10">
        <v>52</v>
      </c>
      <c r="T523" s="10">
        <v>1382.1478260869567</v>
      </c>
      <c r="U523" s="10">
        <v>53</v>
      </c>
      <c r="V523" s="10">
        <v>1486.4608695652175</v>
      </c>
      <c r="W523" s="10">
        <v>57</v>
      </c>
      <c r="X523" s="17">
        <v>2477.4347826086955</v>
      </c>
      <c r="Y523" s="18">
        <v>95</v>
      </c>
      <c r="Z523" s="14">
        <v>13378.147826086955</v>
      </c>
      <c r="AA523" s="14">
        <v>513</v>
      </c>
      <c r="AB523" s="23">
        <v>9</v>
      </c>
      <c r="AC523" s="10">
        <v>1486.4608695652173</v>
      </c>
      <c r="AD523" s="10">
        <v>57</v>
      </c>
      <c r="AE523" s="1" t="s">
        <v>542</v>
      </c>
    </row>
    <row r="524" spans="1:31" ht="16.5" customHeight="1" x14ac:dyDescent="0.35">
      <c r="A524" s="4">
        <v>224</v>
      </c>
      <c r="B524" s="4" t="str">
        <f>LOOKUP(A524,Lookup!$A$1:$A$34,Lookup!$B$1:$B$34)</f>
        <v>BILT&amp; DROEWORS BUY IN</v>
      </c>
      <c r="C524" s="5">
        <v>52938</v>
      </c>
      <c r="D524" s="6" t="s">
        <v>505</v>
      </c>
      <c r="E524" s="4">
        <v>2</v>
      </c>
      <c r="F524" s="10">
        <v>0</v>
      </c>
      <c r="G524" s="10">
        <v>0</v>
      </c>
      <c r="H524" s="10">
        <v>0</v>
      </c>
      <c r="I524" s="10">
        <v>0</v>
      </c>
      <c r="J524" s="10">
        <v>0</v>
      </c>
      <c r="K524" s="10">
        <v>0</v>
      </c>
      <c r="L524" s="10">
        <v>0</v>
      </c>
      <c r="M524" s="10">
        <v>0</v>
      </c>
      <c r="N524" s="10">
        <v>0</v>
      </c>
      <c r="O524" s="10">
        <v>0</v>
      </c>
      <c r="P524" s="10">
        <v>0</v>
      </c>
      <c r="Q524" s="10">
        <v>0</v>
      </c>
      <c r="R524" s="10">
        <v>0</v>
      </c>
      <c r="S524" s="10">
        <v>0</v>
      </c>
      <c r="T524" s="10">
        <v>0</v>
      </c>
      <c r="U524" s="10">
        <v>0</v>
      </c>
      <c r="V524" s="10">
        <v>0</v>
      </c>
      <c r="W524" s="10">
        <v>0</v>
      </c>
      <c r="X524" s="17">
        <v>0</v>
      </c>
      <c r="Y524" s="18">
        <v>0</v>
      </c>
      <c r="Z524" s="14">
        <v>0</v>
      </c>
      <c r="AA524" s="14">
        <v>0</v>
      </c>
      <c r="AB524" s="23">
        <v>0</v>
      </c>
      <c r="AC524" s="10">
        <v>0</v>
      </c>
      <c r="AD524" s="10">
        <v>0</v>
      </c>
      <c r="AE524" s="1" t="s">
        <v>540</v>
      </c>
    </row>
    <row r="525" spans="1:31" ht="16.5" customHeight="1" x14ac:dyDescent="0.35">
      <c r="A525" s="4">
        <v>224</v>
      </c>
      <c r="B525" s="4" t="str">
        <f>LOOKUP(A525,Lookup!$A$1:$A$34,Lookup!$B$1:$B$34)</f>
        <v>BILT&amp; DROEWORS BUY IN</v>
      </c>
      <c r="C525" s="5">
        <v>52939</v>
      </c>
      <c r="D525" s="6" t="s">
        <v>506</v>
      </c>
      <c r="E525" s="4">
        <v>2</v>
      </c>
      <c r="F525" s="10">
        <v>0</v>
      </c>
      <c r="G525" s="10">
        <v>0</v>
      </c>
      <c r="H525" s="10">
        <v>0</v>
      </c>
      <c r="I525" s="10">
        <v>0</v>
      </c>
      <c r="J525" s="10">
        <v>0</v>
      </c>
      <c r="K525" s="10">
        <v>0</v>
      </c>
      <c r="L525" s="10">
        <v>0</v>
      </c>
      <c r="M525" s="10">
        <v>0</v>
      </c>
      <c r="N525" s="10">
        <v>0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10">
        <v>0</v>
      </c>
      <c r="U525" s="10">
        <v>0</v>
      </c>
      <c r="V525" s="10">
        <v>0</v>
      </c>
      <c r="W525" s="10">
        <v>0</v>
      </c>
      <c r="X525" s="17">
        <v>0</v>
      </c>
      <c r="Y525" s="18">
        <v>0</v>
      </c>
      <c r="Z525" s="14">
        <v>0</v>
      </c>
      <c r="AA525" s="14">
        <v>0</v>
      </c>
      <c r="AB525" s="23">
        <v>0</v>
      </c>
      <c r="AC525" s="10">
        <v>0</v>
      </c>
      <c r="AD525" s="10">
        <v>0</v>
      </c>
      <c r="AE525" s="1" t="s">
        <v>540</v>
      </c>
    </row>
    <row r="526" spans="1:31" ht="16.5" customHeight="1" x14ac:dyDescent="0.35">
      <c r="A526" s="4">
        <v>224</v>
      </c>
      <c r="B526" s="4" t="str">
        <f>LOOKUP(A526,Lookup!$A$1:$A$34,Lookup!$B$1:$B$34)</f>
        <v>BILT&amp; DROEWORS BUY IN</v>
      </c>
      <c r="C526" s="5">
        <v>52941</v>
      </c>
      <c r="D526" s="6" t="s">
        <v>507</v>
      </c>
      <c r="E526" s="4">
        <v>2</v>
      </c>
      <c r="F526" s="10">
        <v>0</v>
      </c>
      <c r="G526" s="10">
        <v>0</v>
      </c>
      <c r="H526" s="10">
        <v>0</v>
      </c>
      <c r="I526" s="10">
        <v>0</v>
      </c>
      <c r="J526" s="10">
        <v>0</v>
      </c>
      <c r="K526" s="10">
        <v>0</v>
      </c>
      <c r="L526" s="10">
        <v>0</v>
      </c>
      <c r="M526" s="10">
        <v>0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  <c r="U526" s="10">
        <v>0</v>
      </c>
      <c r="V526" s="10">
        <v>0</v>
      </c>
      <c r="W526" s="10">
        <v>0</v>
      </c>
      <c r="X526" s="17">
        <v>0</v>
      </c>
      <c r="Y526" s="18">
        <v>0</v>
      </c>
      <c r="Z526" s="14">
        <v>0</v>
      </c>
      <c r="AA526" s="14">
        <v>0</v>
      </c>
      <c r="AB526" s="23">
        <v>0</v>
      </c>
      <c r="AC526" s="10">
        <v>0</v>
      </c>
      <c r="AD526" s="10">
        <v>0</v>
      </c>
      <c r="AE526" s="1" t="s">
        <v>540</v>
      </c>
    </row>
    <row r="527" spans="1:31" ht="16.5" customHeight="1" x14ac:dyDescent="0.35">
      <c r="A527" s="4">
        <v>224</v>
      </c>
      <c r="B527" s="4" t="str">
        <f>LOOKUP(A527,Lookup!$A$1:$A$34,Lookup!$B$1:$B$34)</f>
        <v>BILT&amp; DROEWORS BUY IN</v>
      </c>
      <c r="C527" s="5">
        <v>52933</v>
      </c>
      <c r="D527" s="6" t="s">
        <v>500</v>
      </c>
      <c r="E527" s="4">
        <v>2</v>
      </c>
      <c r="F527" s="10">
        <v>913.39130434782601</v>
      </c>
      <c r="G527" s="10">
        <v>2.6259999999999999</v>
      </c>
      <c r="H527" s="10">
        <v>740.86956521739125</v>
      </c>
      <c r="I527" s="10">
        <v>2.13</v>
      </c>
      <c r="J527" s="10">
        <v>661.56521739130426</v>
      </c>
      <c r="K527" s="10">
        <v>1.9019999999999999</v>
      </c>
      <c r="L527" s="10">
        <v>745.73913043478274</v>
      </c>
      <c r="M527" s="10">
        <v>2.1440000000000001</v>
      </c>
      <c r="N527" s="10">
        <v>906.43478260869574</v>
      </c>
      <c r="O527" s="10">
        <v>2.6059999999999999</v>
      </c>
      <c r="P527" s="10">
        <v>326.95652173913044</v>
      </c>
      <c r="Q527" s="10">
        <v>0.94</v>
      </c>
      <c r="R527" s="10">
        <v>1005.9130434782609</v>
      </c>
      <c r="S527" s="10">
        <v>2.8919999999999999</v>
      </c>
      <c r="T527" s="10">
        <v>1266.7739130434782</v>
      </c>
      <c r="U527" s="10">
        <v>3.6419999999999999</v>
      </c>
      <c r="V527" s="10">
        <v>760.3478260869565</v>
      </c>
      <c r="W527" s="10">
        <v>2.1859999999999999</v>
      </c>
      <c r="X527" s="17">
        <v>1266.7739130434782</v>
      </c>
      <c r="Y527" s="18">
        <v>3.6419999999999999</v>
      </c>
      <c r="Z527" s="14">
        <v>7327.9913043478264</v>
      </c>
      <c r="AA527" s="14">
        <v>21.067999999999998</v>
      </c>
      <c r="AB527" s="23">
        <v>9</v>
      </c>
      <c r="AC527" s="10">
        <v>814.22125603864743</v>
      </c>
      <c r="AD527" s="10">
        <v>2.3408888888888888</v>
      </c>
      <c r="AE527" s="1" t="s">
        <v>542</v>
      </c>
    </row>
    <row r="528" spans="1:31" ht="16.5" customHeight="1" x14ac:dyDescent="0.35">
      <c r="A528" s="4">
        <v>224</v>
      </c>
      <c r="B528" s="4" t="str">
        <f>LOOKUP(A528,Lookup!$A$1:$A$34,Lookup!$B$1:$B$34)</f>
        <v>BILT&amp; DROEWORS BUY IN</v>
      </c>
      <c r="C528" s="5">
        <v>52937</v>
      </c>
      <c r="D528" s="6" t="s">
        <v>504</v>
      </c>
      <c r="E528" s="4">
        <v>2</v>
      </c>
      <c r="F528" s="10">
        <v>430.43478260869563</v>
      </c>
      <c r="G528" s="10">
        <v>0.99</v>
      </c>
      <c r="H528" s="10">
        <v>378.26086956521738</v>
      </c>
      <c r="I528" s="10">
        <v>0.87</v>
      </c>
      <c r="J528" s="10">
        <v>867.82608695652175</v>
      </c>
      <c r="K528" s="10">
        <v>1.996</v>
      </c>
      <c r="L528" s="10">
        <v>1268.695652173913</v>
      </c>
      <c r="M528" s="10">
        <v>2.9180000000000001</v>
      </c>
      <c r="N528" s="10">
        <v>838.32173913043482</v>
      </c>
      <c r="O528" s="10">
        <v>2.2120000000000002</v>
      </c>
      <c r="P528" s="10">
        <v>697.36521739130444</v>
      </c>
      <c r="Q528" s="10">
        <v>1.66</v>
      </c>
      <c r="R528" s="10">
        <v>831.304347826087</v>
      </c>
      <c r="S528" s="10">
        <v>1.9119999999999999</v>
      </c>
      <c r="T528" s="10">
        <v>702.60869565217388</v>
      </c>
      <c r="U528" s="10">
        <v>1.6160000000000001</v>
      </c>
      <c r="V528" s="10">
        <v>940</v>
      </c>
      <c r="W528" s="10">
        <v>2.1619999999999999</v>
      </c>
      <c r="X528" s="17">
        <v>1268.695652173913</v>
      </c>
      <c r="Y528" s="18">
        <v>2.9180000000000001</v>
      </c>
      <c r="Z528" s="14">
        <v>6954.8173913043483</v>
      </c>
      <c r="AA528" s="14">
        <v>16.335999999999999</v>
      </c>
      <c r="AB528" s="23">
        <v>9</v>
      </c>
      <c r="AC528" s="10">
        <v>772.75748792270542</v>
      </c>
      <c r="AD528" s="10">
        <v>1.8151111111111109</v>
      </c>
      <c r="AE528" s="1" t="s">
        <v>542</v>
      </c>
    </row>
    <row r="529" spans="1:31" ht="16.5" customHeight="1" x14ac:dyDescent="0.35">
      <c r="A529" s="4">
        <v>224</v>
      </c>
      <c r="B529" s="4" t="str">
        <f>LOOKUP(A529,Lookup!$A$1:$A$34,Lookup!$B$1:$B$34)</f>
        <v>BILT&amp; DROEWORS BUY IN</v>
      </c>
      <c r="C529" s="5">
        <v>58087</v>
      </c>
      <c r="D529" s="6" t="s">
        <v>510</v>
      </c>
      <c r="E529" s="4">
        <v>2</v>
      </c>
      <c r="F529" s="10">
        <v>0</v>
      </c>
      <c r="G529" s="10">
        <v>0</v>
      </c>
      <c r="H529" s="10">
        <v>0</v>
      </c>
      <c r="I529" s="10">
        <v>0</v>
      </c>
      <c r="J529" s="10">
        <v>0</v>
      </c>
      <c r="K529" s="10">
        <v>0</v>
      </c>
      <c r="L529" s="10">
        <v>0</v>
      </c>
      <c r="M529" s="10">
        <v>0</v>
      </c>
      <c r="N529" s="10">
        <v>0</v>
      </c>
      <c r="O529" s="10">
        <v>0</v>
      </c>
      <c r="P529" s="10">
        <v>0</v>
      </c>
      <c r="Q529" s="10">
        <v>0</v>
      </c>
      <c r="R529" s="10">
        <v>0</v>
      </c>
      <c r="S529" s="10">
        <v>0</v>
      </c>
      <c r="T529" s="10">
        <v>0</v>
      </c>
      <c r="U529" s="10">
        <v>0</v>
      </c>
      <c r="V529" s="10">
        <v>0</v>
      </c>
      <c r="W529" s="10">
        <v>0</v>
      </c>
      <c r="X529" s="17">
        <v>0</v>
      </c>
      <c r="Y529" s="18">
        <v>0</v>
      </c>
      <c r="Z529" s="14">
        <v>0</v>
      </c>
      <c r="AA529" s="14">
        <v>0</v>
      </c>
      <c r="AB529" s="23">
        <v>0</v>
      </c>
      <c r="AC529" s="10">
        <v>0</v>
      </c>
      <c r="AD529" s="10">
        <v>0</v>
      </c>
      <c r="AE529" s="1" t="s">
        <v>540</v>
      </c>
    </row>
    <row r="530" spans="1:31" ht="16.5" customHeight="1" x14ac:dyDescent="0.35">
      <c r="A530" s="4">
        <v>224</v>
      </c>
      <c r="B530" s="4" t="str">
        <f>LOOKUP(A530,Lookup!$A$1:$A$34,Lookup!$B$1:$B$34)</f>
        <v>BILT&amp; DROEWORS BUY IN</v>
      </c>
      <c r="C530" s="5">
        <v>58365</v>
      </c>
      <c r="D530" s="6" t="s">
        <v>511</v>
      </c>
      <c r="E530" s="4">
        <v>2</v>
      </c>
      <c r="F530" s="10">
        <v>0</v>
      </c>
      <c r="G530" s="10">
        <v>0</v>
      </c>
      <c r="H530" s="10">
        <v>0</v>
      </c>
      <c r="I530" s="10">
        <v>0</v>
      </c>
      <c r="J530" s="10">
        <v>0</v>
      </c>
      <c r="K530" s="10">
        <v>0</v>
      </c>
      <c r="L530" s="10">
        <v>0</v>
      </c>
      <c r="M530" s="10">
        <v>0</v>
      </c>
      <c r="N530" s="10">
        <v>0</v>
      </c>
      <c r="O530" s="10">
        <v>0</v>
      </c>
      <c r="P530" s="10">
        <v>0</v>
      </c>
      <c r="Q530" s="10">
        <v>0</v>
      </c>
      <c r="R530" s="10">
        <v>0</v>
      </c>
      <c r="S530" s="10">
        <v>0</v>
      </c>
      <c r="T530" s="10">
        <v>0</v>
      </c>
      <c r="U530" s="10">
        <v>0</v>
      </c>
      <c r="V530" s="10">
        <v>0</v>
      </c>
      <c r="W530" s="10">
        <v>0</v>
      </c>
      <c r="X530" s="17">
        <v>0</v>
      </c>
      <c r="Y530" s="18">
        <v>0</v>
      </c>
      <c r="Z530" s="14">
        <v>0</v>
      </c>
      <c r="AA530" s="14">
        <v>0</v>
      </c>
      <c r="AB530" s="23">
        <v>0</v>
      </c>
      <c r="AC530" s="10">
        <v>0</v>
      </c>
      <c r="AD530" s="10">
        <v>0</v>
      </c>
      <c r="AE530" s="1" t="s">
        <v>540</v>
      </c>
    </row>
    <row r="531" spans="1:31" ht="16.5" customHeight="1" x14ac:dyDescent="0.35">
      <c r="A531" s="4">
        <v>224</v>
      </c>
      <c r="B531" s="4" t="str">
        <f>LOOKUP(A531,Lookup!$A$1:$A$34,Lookup!$B$1:$B$34)</f>
        <v>BILT&amp; DROEWORS BUY IN</v>
      </c>
      <c r="C531" s="5">
        <v>60726</v>
      </c>
      <c r="D531" s="6" t="s">
        <v>514</v>
      </c>
      <c r="E531" s="4">
        <v>2</v>
      </c>
      <c r="F531" s="10">
        <v>1037.3913043478262</v>
      </c>
      <c r="G531" s="10">
        <v>2.99</v>
      </c>
      <c r="H531" s="10">
        <v>478.09565217391298</v>
      </c>
      <c r="I531" s="10">
        <v>1.3779999999999999</v>
      </c>
      <c r="J531" s="10">
        <v>496.14782608695646</v>
      </c>
      <c r="K531" s="10">
        <v>1.43</v>
      </c>
      <c r="L531" s="10">
        <v>1056.8173913043479</v>
      </c>
      <c r="M531" s="10">
        <v>3.0459999999999998</v>
      </c>
      <c r="N531" s="10">
        <v>712.64347826086953</v>
      </c>
      <c r="O531" s="10">
        <v>2.0539999999999998</v>
      </c>
      <c r="P531" s="10">
        <v>639.78260869565213</v>
      </c>
      <c r="Q531" s="10">
        <v>1.8440000000000001</v>
      </c>
      <c r="R531" s="10">
        <v>261.60869565217394</v>
      </c>
      <c r="S531" s="10">
        <v>0.754</v>
      </c>
      <c r="T531" s="10">
        <v>878.50434782608693</v>
      </c>
      <c r="U531" s="10">
        <v>2.532</v>
      </c>
      <c r="V531" s="10">
        <v>1108.1826086956523</v>
      </c>
      <c r="W531" s="10">
        <v>3.194</v>
      </c>
      <c r="X531" s="17">
        <v>1108.1826086956523</v>
      </c>
      <c r="Y531" s="18">
        <v>3.194</v>
      </c>
      <c r="Z531" s="14">
        <v>6669.173913043478</v>
      </c>
      <c r="AA531" s="14">
        <v>19.221999999999998</v>
      </c>
      <c r="AB531" s="23">
        <v>9</v>
      </c>
      <c r="AC531" s="10">
        <v>741.01932367149755</v>
      </c>
      <c r="AD531" s="10">
        <v>2.1357777777777773</v>
      </c>
      <c r="AE531" s="1" t="s">
        <v>542</v>
      </c>
    </row>
    <row r="532" spans="1:31" ht="16.5" customHeight="1" x14ac:dyDescent="0.35">
      <c r="A532" s="4">
        <v>224</v>
      </c>
      <c r="B532" s="4" t="str">
        <f>LOOKUP(A532,Lookup!$A$1:$A$34,Lookup!$B$1:$B$34)</f>
        <v>BILT&amp; DROEWORS BUY IN</v>
      </c>
      <c r="C532" s="5">
        <v>59021</v>
      </c>
      <c r="D532" s="6" t="s">
        <v>513</v>
      </c>
      <c r="E532" s="4">
        <v>2</v>
      </c>
      <c r="F532" s="10">
        <v>652.17391304347825</v>
      </c>
      <c r="G532" s="10">
        <v>5</v>
      </c>
      <c r="H532" s="10">
        <v>260.86956521739131</v>
      </c>
      <c r="I532" s="10">
        <v>2</v>
      </c>
      <c r="J532" s="10">
        <v>260.86956521739131</v>
      </c>
      <c r="K532" s="10">
        <v>2</v>
      </c>
      <c r="L532" s="10">
        <v>521.73913043478262</v>
      </c>
      <c r="M532" s="10">
        <v>4</v>
      </c>
      <c r="N532" s="10">
        <v>391.30434782608694</v>
      </c>
      <c r="O532" s="10">
        <v>3</v>
      </c>
      <c r="P532" s="10">
        <v>130.43478260869566</v>
      </c>
      <c r="Q532" s="10">
        <v>1</v>
      </c>
      <c r="R532" s="10">
        <v>391.30434782608694</v>
      </c>
      <c r="S532" s="10">
        <v>3</v>
      </c>
      <c r="T532" s="10">
        <v>278.24347826086955</v>
      </c>
      <c r="U532" s="10">
        <v>2</v>
      </c>
      <c r="V532" s="10">
        <v>556.4869565217391</v>
      </c>
      <c r="W532" s="10">
        <v>4</v>
      </c>
      <c r="X532" s="17">
        <v>652.17391304347825</v>
      </c>
      <c r="Y532" s="18">
        <v>5</v>
      </c>
      <c r="Z532" s="14">
        <v>3443.4260869565219</v>
      </c>
      <c r="AA532" s="14">
        <v>26</v>
      </c>
      <c r="AB532" s="23">
        <v>9</v>
      </c>
      <c r="AC532" s="10">
        <v>382.60289855072466</v>
      </c>
      <c r="AD532" s="10">
        <v>2.8888888888888888</v>
      </c>
      <c r="AE532" s="1" t="s">
        <v>542</v>
      </c>
    </row>
    <row r="533" spans="1:31" ht="16.5" customHeight="1" x14ac:dyDescent="0.35">
      <c r="A533" s="4">
        <v>224</v>
      </c>
      <c r="B533" s="4" t="str">
        <f>LOOKUP(A533,Lookup!$A$1:$A$34,Lookup!$B$1:$B$34)</f>
        <v>BILT&amp; DROEWORS BUY IN</v>
      </c>
      <c r="C533" s="5">
        <v>53985</v>
      </c>
      <c r="D533" s="6" t="s">
        <v>509</v>
      </c>
      <c r="E533" s="4">
        <v>2</v>
      </c>
      <c r="F533" s="10">
        <v>189.91304347826085</v>
      </c>
      <c r="G533" s="10">
        <v>0.54600000000000004</v>
      </c>
      <c r="H533" s="10">
        <v>587.82608695652175</v>
      </c>
      <c r="I533" s="10">
        <v>1.69</v>
      </c>
      <c r="J533" s="10">
        <v>189.21739130434784</v>
      </c>
      <c r="K533" s="10">
        <v>0.54400000000000004</v>
      </c>
      <c r="L533" s="10">
        <v>169.7391304347826</v>
      </c>
      <c r="M533" s="10">
        <v>0.48799999999999999</v>
      </c>
      <c r="N533" s="10">
        <v>432.69565217391306</v>
      </c>
      <c r="O533" s="10">
        <v>1.244</v>
      </c>
      <c r="P533" s="10">
        <v>160</v>
      </c>
      <c r="Q533" s="10">
        <v>0.46</v>
      </c>
      <c r="R533" s="10">
        <v>22.956521739130434</v>
      </c>
      <c r="S533" s="10">
        <v>6.6000000000000003E-2</v>
      </c>
      <c r="T533" s="10">
        <v>397.21739130434787</v>
      </c>
      <c r="U533" s="10">
        <v>1.1419999999999999</v>
      </c>
      <c r="V533" s="10">
        <v>548.86956521739137</v>
      </c>
      <c r="W533" s="10">
        <v>1.5780000000000001</v>
      </c>
      <c r="X533" s="17">
        <v>587.82608695652175</v>
      </c>
      <c r="Y533" s="18">
        <v>1.69</v>
      </c>
      <c r="Z533" s="14">
        <v>2698.434782608696</v>
      </c>
      <c r="AA533" s="14">
        <v>7.758</v>
      </c>
      <c r="AB533" s="23">
        <v>9</v>
      </c>
      <c r="AC533" s="10">
        <v>299.82608695652175</v>
      </c>
      <c r="AD533" s="10">
        <v>0.86199999999999999</v>
      </c>
      <c r="AE533" s="1" t="s">
        <v>542</v>
      </c>
    </row>
    <row r="534" spans="1:31" ht="16.5" customHeight="1" x14ac:dyDescent="0.35">
      <c r="A534" s="4">
        <v>224</v>
      </c>
      <c r="B534" s="4" t="str">
        <f>LOOKUP(A534,Lookup!$A$1:$A$34,Lookup!$B$1:$B$34)</f>
        <v>BILT&amp; DROEWORS BUY IN</v>
      </c>
      <c r="C534" s="5">
        <v>50186</v>
      </c>
      <c r="D534" s="6" t="s">
        <v>498</v>
      </c>
      <c r="E534" s="4">
        <v>2</v>
      </c>
      <c r="F534" s="10">
        <v>422.5826086956522</v>
      </c>
      <c r="G534" s="10">
        <v>1.218</v>
      </c>
      <c r="H534" s="10">
        <v>190.81739130434784</v>
      </c>
      <c r="I534" s="10">
        <v>0.55000000000000004</v>
      </c>
      <c r="J534" s="10">
        <v>491.30434782608694</v>
      </c>
      <c r="K534" s="10">
        <v>1.4159999999999999</v>
      </c>
      <c r="L534" s="10">
        <v>288.6521739130435</v>
      </c>
      <c r="M534" s="10">
        <v>0.83199999999999996</v>
      </c>
      <c r="N534" s="10">
        <v>263.66956521739132</v>
      </c>
      <c r="O534" s="10">
        <v>0.76</v>
      </c>
      <c r="P534" s="10">
        <v>249.10434782608698</v>
      </c>
      <c r="Q534" s="10">
        <v>0.71799999999999997</v>
      </c>
      <c r="R534" s="10">
        <v>151.26956521739129</v>
      </c>
      <c r="S534" s="10">
        <v>0.436</v>
      </c>
      <c r="T534" s="10">
        <v>287.97391304347821</v>
      </c>
      <c r="U534" s="10">
        <v>0.83</v>
      </c>
      <c r="V534" s="10">
        <v>349.73913043478262</v>
      </c>
      <c r="W534" s="10">
        <v>1.008</v>
      </c>
      <c r="X534" s="17">
        <v>491.30434782608694</v>
      </c>
      <c r="Y534" s="18">
        <v>1.4159999999999999</v>
      </c>
      <c r="Z534" s="14">
        <v>2695.1130434782608</v>
      </c>
      <c r="AA534" s="14">
        <v>7.7679999999999998</v>
      </c>
      <c r="AB534" s="23">
        <v>9</v>
      </c>
      <c r="AC534" s="10">
        <v>299.45700483091787</v>
      </c>
      <c r="AD534" s="10">
        <v>0.86311111111111105</v>
      </c>
      <c r="AE534" s="1" t="s">
        <v>542</v>
      </c>
    </row>
    <row r="535" spans="1:31" ht="16.5" customHeight="1" x14ac:dyDescent="0.35">
      <c r="A535" s="4">
        <v>224</v>
      </c>
      <c r="B535" s="4" t="str">
        <f>LOOKUP(A535,Lookup!$A$1:$A$34,Lookup!$B$1:$B$34)</f>
        <v>BILT&amp; DROEWORS BUY IN</v>
      </c>
      <c r="C535" s="5">
        <v>61828</v>
      </c>
      <c r="D535" s="6" t="s">
        <v>516</v>
      </c>
      <c r="E535" s="4">
        <v>2</v>
      </c>
      <c r="F535" s="10">
        <v>0</v>
      </c>
      <c r="G535" s="10">
        <v>0</v>
      </c>
      <c r="H535" s="10">
        <v>0</v>
      </c>
      <c r="I535" s="10">
        <v>0</v>
      </c>
      <c r="J535" s="10">
        <v>0</v>
      </c>
      <c r="K535" s="10">
        <v>0</v>
      </c>
      <c r="L535" s="10">
        <v>0</v>
      </c>
      <c r="M535" s="10">
        <v>0</v>
      </c>
      <c r="N535" s="10">
        <v>0</v>
      </c>
      <c r="O535" s="10">
        <v>0</v>
      </c>
      <c r="P535" s="10">
        <v>0</v>
      </c>
      <c r="Q535" s="10">
        <v>0</v>
      </c>
      <c r="R535" s="10">
        <v>0</v>
      </c>
      <c r="S535" s="10">
        <v>0</v>
      </c>
      <c r="T535" s="10">
        <v>0</v>
      </c>
      <c r="U535" s="10">
        <v>0</v>
      </c>
      <c r="V535" s="10">
        <v>0</v>
      </c>
      <c r="W535" s="10">
        <v>0</v>
      </c>
      <c r="X535" s="17">
        <v>0</v>
      </c>
      <c r="Y535" s="18">
        <v>0</v>
      </c>
      <c r="Z535" s="14">
        <v>0</v>
      </c>
      <c r="AA535" s="14">
        <v>0</v>
      </c>
      <c r="AB535" s="23">
        <v>0</v>
      </c>
      <c r="AC535" s="10">
        <v>0</v>
      </c>
      <c r="AD535" s="10">
        <v>0</v>
      </c>
      <c r="AE535" s="1" t="s">
        <v>540</v>
      </c>
    </row>
    <row r="536" spans="1:31" ht="16.5" customHeight="1" x14ac:dyDescent="0.35">
      <c r="A536" s="4">
        <v>224</v>
      </c>
      <c r="B536" s="4" t="str">
        <f>LOOKUP(A536,Lookup!$A$1:$A$34,Lookup!$B$1:$B$34)</f>
        <v>BILT&amp; DROEWORS BUY IN</v>
      </c>
      <c r="C536" s="5">
        <v>62040</v>
      </c>
      <c r="D536" s="6" t="s">
        <v>517</v>
      </c>
      <c r="E536" s="4">
        <v>2</v>
      </c>
      <c r="F536" s="10">
        <v>0</v>
      </c>
      <c r="G536" s="10">
        <v>0</v>
      </c>
      <c r="H536" s="10">
        <v>0</v>
      </c>
      <c r="I536" s="10">
        <v>0</v>
      </c>
      <c r="J536" s="10">
        <v>0</v>
      </c>
      <c r="K536" s="10">
        <v>0</v>
      </c>
      <c r="L536" s="10">
        <v>0</v>
      </c>
      <c r="M536" s="10">
        <v>0</v>
      </c>
      <c r="N536" s="10">
        <v>0</v>
      </c>
      <c r="O536" s="10">
        <v>0</v>
      </c>
      <c r="P536" s="10">
        <v>0</v>
      </c>
      <c r="Q536" s="10">
        <v>0</v>
      </c>
      <c r="R536" s="10">
        <v>0</v>
      </c>
      <c r="S536" s="10">
        <v>0</v>
      </c>
      <c r="T536" s="10">
        <v>0</v>
      </c>
      <c r="U536" s="10">
        <v>0</v>
      </c>
      <c r="V536" s="10">
        <v>0</v>
      </c>
      <c r="W536" s="10">
        <v>0</v>
      </c>
      <c r="X536" s="17">
        <v>0</v>
      </c>
      <c r="Y536" s="18">
        <v>0</v>
      </c>
      <c r="Z536" s="14">
        <v>0</v>
      </c>
      <c r="AA536" s="14">
        <v>0</v>
      </c>
      <c r="AB536" s="23">
        <v>0</v>
      </c>
      <c r="AC536" s="10">
        <v>0</v>
      </c>
      <c r="AD536" s="10">
        <v>0</v>
      </c>
      <c r="AE536" s="1" t="s">
        <v>540</v>
      </c>
    </row>
    <row r="537" spans="1:31" ht="16.5" customHeight="1" x14ac:dyDescent="0.35">
      <c r="A537" s="4">
        <v>224</v>
      </c>
      <c r="B537" s="4" t="str">
        <f>LOOKUP(A537,Lookup!$A$1:$A$34,Lookup!$B$1:$B$34)</f>
        <v>BILT&amp; DROEWORS BUY IN</v>
      </c>
      <c r="C537" s="5">
        <v>62613</v>
      </c>
      <c r="D537" s="6" t="s">
        <v>518</v>
      </c>
      <c r="E537" s="4">
        <v>2</v>
      </c>
      <c r="F537" s="10">
        <v>0</v>
      </c>
      <c r="G537" s="10">
        <v>0</v>
      </c>
      <c r="H537" s="10">
        <v>0</v>
      </c>
      <c r="I537" s="10">
        <v>0</v>
      </c>
      <c r="J537" s="10">
        <v>0</v>
      </c>
      <c r="K537" s="10">
        <v>0</v>
      </c>
      <c r="L537" s="10">
        <v>0</v>
      </c>
      <c r="M537" s="10">
        <v>0</v>
      </c>
      <c r="N537" s="10">
        <v>0</v>
      </c>
      <c r="O537" s="10">
        <v>0</v>
      </c>
      <c r="P537" s="10">
        <v>0</v>
      </c>
      <c r="Q537" s="10">
        <v>0</v>
      </c>
      <c r="R537" s="10">
        <v>0</v>
      </c>
      <c r="S537" s="10">
        <v>0</v>
      </c>
      <c r="T537" s="10">
        <v>0</v>
      </c>
      <c r="U537" s="10">
        <v>0</v>
      </c>
      <c r="V537" s="10">
        <v>0</v>
      </c>
      <c r="W537" s="10">
        <v>0</v>
      </c>
      <c r="X537" s="17">
        <v>0</v>
      </c>
      <c r="Y537" s="18">
        <v>0</v>
      </c>
      <c r="Z537" s="14">
        <v>0</v>
      </c>
      <c r="AA537" s="14">
        <v>0</v>
      </c>
      <c r="AB537" s="23">
        <v>0</v>
      </c>
      <c r="AC537" s="10">
        <v>0</v>
      </c>
      <c r="AD537" s="10">
        <v>0</v>
      </c>
      <c r="AE537" s="1" t="s">
        <v>540</v>
      </c>
    </row>
    <row r="538" spans="1:31" ht="16.5" customHeight="1" x14ac:dyDescent="0.35">
      <c r="A538" s="4">
        <v>224</v>
      </c>
      <c r="B538" s="4" t="str">
        <f>LOOKUP(A538,Lookup!$A$1:$A$34,Lookup!$B$1:$B$34)</f>
        <v>BILT&amp; DROEWORS BUY IN</v>
      </c>
      <c r="C538" s="5">
        <v>64414</v>
      </c>
      <c r="D538" s="6" t="s">
        <v>519</v>
      </c>
      <c r="E538" s="4">
        <v>2</v>
      </c>
      <c r="F538" s="10">
        <v>0</v>
      </c>
      <c r="G538" s="10">
        <v>0</v>
      </c>
      <c r="H538" s="10">
        <v>0</v>
      </c>
      <c r="I538" s="10">
        <v>0</v>
      </c>
      <c r="J538" s="10">
        <v>0</v>
      </c>
      <c r="K538" s="10">
        <v>0</v>
      </c>
      <c r="L538" s="10">
        <v>0</v>
      </c>
      <c r="M538" s="10">
        <v>0</v>
      </c>
      <c r="N538" s="10">
        <v>0</v>
      </c>
      <c r="O538" s="10">
        <v>0</v>
      </c>
      <c r="P538" s="10">
        <v>0</v>
      </c>
      <c r="Q538" s="10">
        <v>0</v>
      </c>
      <c r="R538" s="10">
        <v>0</v>
      </c>
      <c r="S538" s="10">
        <v>0</v>
      </c>
      <c r="T538" s="10">
        <v>0</v>
      </c>
      <c r="U538" s="10">
        <v>0</v>
      </c>
      <c r="V538" s="10">
        <v>0</v>
      </c>
      <c r="W538" s="10">
        <v>0</v>
      </c>
      <c r="X538" s="17">
        <v>0</v>
      </c>
      <c r="Y538" s="18">
        <v>0</v>
      </c>
      <c r="Z538" s="14">
        <v>0</v>
      </c>
      <c r="AA538" s="14">
        <v>0</v>
      </c>
      <c r="AB538" s="23">
        <v>0</v>
      </c>
      <c r="AC538" s="10">
        <v>0</v>
      </c>
      <c r="AD538" s="10">
        <v>0</v>
      </c>
      <c r="AE538" s="1" t="s">
        <v>540</v>
      </c>
    </row>
    <row r="539" spans="1:31" ht="16.5" customHeight="1" x14ac:dyDescent="0.35">
      <c r="A539" s="4">
        <v>224</v>
      </c>
      <c r="B539" s="4" t="str">
        <f>LOOKUP(A539,Lookup!$A$1:$A$34,Lookup!$B$1:$B$34)</f>
        <v>BILT&amp; DROEWORS BUY IN</v>
      </c>
      <c r="C539" s="5">
        <v>64449</v>
      </c>
      <c r="D539" s="6" t="s">
        <v>520</v>
      </c>
      <c r="E539" s="4">
        <v>2</v>
      </c>
      <c r="F539" s="10">
        <v>573.87826086956522</v>
      </c>
      <c r="G539" s="10">
        <v>1.6539999999999999</v>
      </c>
      <c r="H539" s="10">
        <v>436.46086956521742</v>
      </c>
      <c r="I539" s="10">
        <v>1.258</v>
      </c>
      <c r="J539" s="10">
        <v>253.2782608695652</v>
      </c>
      <c r="K539" s="10">
        <v>0.73</v>
      </c>
      <c r="L539" s="10">
        <v>327.52173913043475</v>
      </c>
      <c r="M539" s="10">
        <v>0.94399999999999995</v>
      </c>
      <c r="N539" s="10">
        <v>149.19130434782608</v>
      </c>
      <c r="O539" s="10">
        <v>0.43</v>
      </c>
      <c r="P539" s="10">
        <v>33.304347826086953</v>
      </c>
      <c r="Q539" s="10">
        <v>9.6000000000000002E-2</v>
      </c>
      <c r="R539" s="10">
        <v>304.63478260869567</v>
      </c>
      <c r="S539" s="10">
        <v>0.878</v>
      </c>
      <c r="T539" s="10">
        <v>339.31304347826091</v>
      </c>
      <c r="U539" s="10">
        <v>0.97799999999999998</v>
      </c>
      <c r="V539" s="10">
        <v>265.0695652173913</v>
      </c>
      <c r="W539" s="10">
        <v>0.76400000000000001</v>
      </c>
      <c r="X539" s="17">
        <v>573.87826086956522</v>
      </c>
      <c r="Y539" s="18">
        <v>1.6539999999999999</v>
      </c>
      <c r="Z539" s="14">
        <v>2682.652173913044</v>
      </c>
      <c r="AA539" s="14">
        <v>7.7320000000000002</v>
      </c>
      <c r="AB539" s="23">
        <v>9</v>
      </c>
      <c r="AC539" s="10">
        <v>298.07246376811599</v>
      </c>
      <c r="AD539" s="10">
        <v>0.85911111111111116</v>
      </c>
      <c r="AE539" s="1" t="s">
        <v>542</v>
      </c>
    </row>
    <row r="540" spans="1:31" ht="16.5" customHeight="1" x14ac:dyDescent="0.35">
      <c r="A540" s="4">
        <v>224</v>
      </c>
      <c r="B540" s="4" t="str">
        <f>LOOKUP(A540,Lookup!$A$1:$A$34,Lookup!$B$1:$B$34)</f>
        <v>BILT&amp; DROEWORS BUY IN</v>
      </c>
      <c r="C540" s="5">
        <v>59020</v>
      </c>
      <c r="D540" s="6" t="s">
        <v>512</v>
      </c>
      <c r="E540" s="4">
        <v>2</v>
      </c>
      <c r="F540" s="10">
        <v>521.70434782608697</v>
      </c>
      <c r="G540" s="10">
        <v>4</v>
      </c>
      <c r="H540" s="10">
        <v>391.27826086956526</v>
      </c>
      <c r="I540" s="10">
        <v>3</v>
      </c>
      <c r="J540" s="10">
        <v>260.85217391304349</v>
      </c>
      <c r="K540" s="10">
        <v>2</v>
      </c>
      <c r="L540" s="10">
        <v>130.42608695652174</v>
      </c>
      <c r="M540" s="10">
        <v>1</v>
      </c>
      <c r="N540" s="10">
        <v>260.85217391304349</v>
      </c>
      <c r="O540" s="10">
        <v>2</v>
      </c>
      <c r="P540" s="10">
        <v>130.42608695652174</v>
      </c>
      <c r="Q540" s="10">
        <v>1</v>
      </c>
      <c r="R540" s="10">
        <v>260.85217391304349</v>
      </c>
      <c r="S540" s="10">
        <v>2</v>
      </c>
      <c r="T540" s="10">
        <v>139.12173913043478</v>
      </c>
      <c r="U540" s="10">
        <v>1</v>
      </c>
      <c r="V540" s="10">
        <v>417.36521739130438</v>
      </c>
      <c r="W540" s="10">
        <v>3</v>
      </c>
      <c r="X540" s="17">
        <v>521.70434782608697</v>
      </c>
      <c r="Y540" s="18">
        <v>4</v>
      </c>
      <c r="Z540" s="14">
        <v>2512.8782608695651</v>
      </c>
      <c r="AA540" s="14">
        <v>19</v>
      </c>
      <c r="AB540" s="23">
        <v>9</v>
      </c>
      <c r="AC540" s="10">
        <v>279.2086956521739</v>
      </c>
      <c r="AD540" s="10">
        <v>2.1111111111111112</v>
      </c>
      <c r="AE540" s="1" t="s">
        <v>542</v>
      </c>
    </row>
    <row r="541" spans="1:31" ht="16.5" customHeight="1" x14ac:dyDescent="0.35">
      <c r="A541" s="4">
        <v>224</v>
      </c>
      <c r="B541" s="4" t="str">
        <f>LOOKUP(A541,Lookup!$A$1:$A$34,Lookup!$B$1:$B$34)</f>
        <v>BILT&amp; DROEWORS BUY IN</v>
      </c>
      <c r="C541" s="5">
        <v>66211</v>
      </c>
      <c r="D541" s="6" t="s">
        <v>522</v>
      </c>
      <c r="E541" s="4">
        <v>2</v>
      </c>
      <c r="F541" s="10">
        <v>0</v>
      </c>
      <c r="G541" s="10">
        <v>0</v>
      </c>
      <c r="H541" s="10">
        <v>0</v>
      </c>
      <c r="I541" s="10">
        <v>0</v>
      </c>
      <c r="J541" s="10">
        <v>0</v>
      </c>
      <c r="K541" s="10">
        <v>0</v>
      </c>
      <c r="L541" s="10">
        <v>0</v>
      </c>
      <c r="M541" s="10">
        <v>0</v>
      </c>
      <c r="N541" s="10">
        <v>0</v>
      </c>
      <c r="O541" s="10">
        <v>0</v>
      </c>
      <c r="P541" s="10">
        <v>0</v>
      </c>
      <c r="Q541" s="10">
        <v>0</v>
      </c>
      <c r="R541" s="10">
        <v>0</v>
      </c>
      <c r="S541" s="10">
        <v>0</v>
      </c>
      <c r="T541" s="10">
        <v>0</v>
      </c>
      <c r="U541" s="10">
        <v>0</v>
      </c>
      <c r="V541" s="10">
        <v>0</v>
      </c>
      <c r="W541" s="10">
        <v>0</v>
      </c>
      <c r="X541" s="17">
        <v>0</v>
      </c>
      <c r="Y541" s="18">
        <v>0</v>
      </c>
      <c r="Z541" s="14">
        <v>0</v>
      </c>
      <c r="AA541" s="14">
        <v>0</v>
      </c>
      <c r="AB541" s="23">
        <v>0</v>
      </c>
      <c r="AC541" s="10">
        <v>0</v>
      </c>
      <c r="AD541" s="10">
        <v>0</v>
      </c>
      <c r="AE541" s="1" t="s">
        <v>540</v>
      </c>
    </row>
    <row r="542" spans="1:31" ht="16.5" customHeight="1" x14ac:dyDescent="0.35">
      <c r="A542" s="4">
        <v>225</v>
      </c>
      <c r="B542" s="4" t="str">
        <f>LOOKUP(A542,Lookup!$A$1:$A$34,Lookup!$B$1:$B$34)</f>
        <v>ALL OFFAL</v>
      </c>
      <c r="C542" s="5">
        <v>12693</v>
      </c>
      <c r="D542" s="6" t="s">
        <v>523</v>
      </c>
      <c r="E542" s="4">
        <v>2</v>
      </c>
      <c r="F542" s="10">
        <v>0</v>
      </c>
      <c r="G542" s="10">
        <v>0</v>
      </c>
      <c r="H542" s="10">
        <v>0</v>
      </c>
      <c r="I542" s="10">
        <v>0</v>
      </c>
      <c r="J542" s="10">
        <v>0</v>
      </c>
      <c r="K542" s="10">
        <v>0</v>
      </c>
      <c r="L542" s="10">
        <v>0</v>
      </c>
      <c r="M542" s="10">
        <v>0</v>
      </c>
      <c r="N542" s="10">
        <v>0</v>
      </c>
      <c r="O542" s="10">
        <v>0</v>
      </c>
      <c r="P542" s="10">
        <v>0</v>
      </c>
      <c r="Q542" s="10">
        <v>0</v>
      </c>
      <c r="R542" s="10">
        <v>0</v>
      </c>
      <c r="S542" s="10">
        <v>0</v>
      </c>
      <c r="T542" s="10">
        <v>0</v>
      </c>
      <c r="U542" s="10">
        <v>0</v>
      </c>
      <c r="V542" s="10">
        <v>0</v>
      </c>
      <c r="W542" s="10">
        <v>0</v>
      </c>
      <c r="X542" s="17">
        <v>0</v>
      </c>
      <c r="Y542" s="18">
        <v>0</v>
      </c>
      <c r="Z542" s="14">
        <v>0</v>
      </c>
      <c r="AA542" s="14">
        <v>0</v>
      </c>
      <c r="AB542" s="23">
        <v>0</v>
      </c>
      <c r="AC542" s="10">
        <v>0</v>
      </c>
      <c r="AD542" s="10">
        <v>0</v>
      </c>
      <c r="AE542" s="1" t="s">
        <v>540</v>
      </c>
    </row>
    <row r="543" spans="1:31" ht="16.5" customHeight="1" x14ac:dyDescent="0.35">
      <c r="A543" s="4">
        <v>225</v>
      </c>
      <c r="B543" s="4" t="str">
        <f>LOOKUP(A543,Lookup!$A$1:$A$34,Lookup!$B$1:$B$34)</f>
        <v>ALL OFFAL</v>
      </c>
      <c r="C543" s="5">
        <v>51712</v>
      </c>
      <c r="D543" s="6" t="s">
        <v>524</v>
      </c>
      <c r="E543" s="4">
        <v>2</v>
      </c>
      <c r="F543" s="10">
        <v>0</v>
      </c>
      <c r="G543" s="10">
        <v>0</v>
      </c>
      <c r="H543" s="10">
        <v>0</v>
      </c>
      <c r="I543" s="10">
        <v>0</v>
      </c>
      <c r="J543" s="10">
        <v>0</v>
      </c>
      <c r="K543" s="10">
        <v>0</v>
      </c>
      <c r="L543" s="10">
        <v>0</v>
      </c>
      <c r="M543" s="10">
        <v>0</v>
      </c>
      <c r="N543" s="10">
        <v>0</v>
      </c>
      <c r="O543" s="10">
        <v>0</v>
      </c>
      <c r="P543" s="10">
        <v>0</v>
      </c>
      <c r="Q543" s="10">
        <v>0</v>
      </c>
      <c r="R543" s="10">
        <v>0</v>
      </c>
      <c r="S543" s="10">
        <v>0</v>
      </c>
      <c r="T543" s="10">
        <v>0</v>
      </c>
      <c r="U543" s="10">
        <v>0</v>
      </c>
      <c r="V543" s="10">
        <v>0</v>
      </c>
      <c r="W543" s="10">
        <v>0</v>
      </c>
      <c r="X543" s="17">
        <v>0</v>
      </c>
      <c r="Y543" s="18">
        <v>0</v>
      </c>
      <c r="Z543" s="14">
        <v>0</v>
      </c>
      <c r="AA543" s="14">
        <v>0</v>
      </c>
      <c r="AB543" s="23">
        <v>0</v>
      </c>
      <c r="AC543" s="10">
        <v>0</v>
      </c>
      <c r="AD543" s="10">
        <v>0</v>
      </c>
      <c r="AE543" s="1" t="s">
        <v>540</v>
      </c>
    </row>
    <row r="544" spans="1:31" ht="16.5" customHeight="1" x14ac:dyDescent="0.35">
      <c r="A544" s="4">
        <v>226</v>
      </c>
      <c r="B544" s="4" t="str">
        <f>LOOKUP(A544,Lookup!$A$1:$A$34,Lookup!$B$1:$B$34)</f>
        <v>PORK</v>
      </c>
      <c r="C544" s="5">
        <v>41083</v>
      </c>
      <c r="D544" s="6" t="s">
        <v>525</v>
      </c>
      <c r="E544" s="4">
        <v>2</v>
      </c>
      <c r="F544" s="10">
        <v>0</v>
      </c>
      <c r="G544" s="10">
        <v>0</v>
      </c>
      <c r="H544" s="10">
        <v>0</v>
      </c>
      <c r="I544" s="10">
        <v>0</v>
      </c>
      <c r="J544" s="10">
        <v>0</v>
      </c>
      <c r="K544" s="10">
        <v>0</v>
      </c>
      <c r="L544" s="10">
        <v>0</v>
      </c>
      <c r="M544" s="10">
        <v>0</v>
      </c>
      <c r="N544" s="10">
        <v>0</v>
      </c>
      <c r="O544" s="10">
        <v>0</v>
      </c>
      <c r="P544" s="10">
        <v>0</v>
      </c>
      <c r="Q544" s="10">
        <v>0</v>
      </c>
      <c r="R544" s="10">
        <v>0</v>
      </c>
      <c r="S544" s="10">
        <v>0</v>
      </c>
      <c r="T544" s="10">
        <v>0</v>
      </c>
      <c r="U544" s="10">
        <v>0</v>
      </c>
      <c r="V544" s="10">
        <v>0</v>
      </c>
      <c r="W544" s="10">
        <v>0</v>
      </c>
      <c r="X544" s="17">
        <v>0</v>
      </c>
      <c r="Y544" s="18">
        <v>0</v>
      </c>
      <c r="Z544" s="14">
        <v>0</v>
      </c>
      <c r="AA544" s="14">
        <v>0</v>
      </c>
      <c r="AB544" s="23">
        <v>0</v>
      </c>
      <c r="AC544" s="10">
        <v>0</v>
      </c>
      <c r="AD544" s="10">
        <v>0</v>
      </c>
      <c r="AE544" s="1" t="s">
        <v>540</v>
      </c>
    </row>
    <row r="545" spans="1:31" ht="16.5" customHeight="1" x14ac:dyDescent="0.35">
      <c r="A545" s="4">
        <v>229</v>
      </c>
      <c r="B545" s="4" t="str">
        <f>LOOKUP(A545,Lookup!$A$1:$A$34,Lookup!$B$1:$B$34)</f>
        <v>INGREDIENTS</v>
      </c>
      <c r="C545" s="5">
        <v>62559</v>
      </c>
      <c r="D545" s="6" t="s">
        <v>526</v>
      </c>
      <c r="E545" s="4">
        <v>2</v>
      </c>
      <c r="F545" s="10">
        <v>0</v>
      </c>
      <c r="G545" s="10">
        <v>0</v>
      </c>
      <c r="H545" s="10">
        <v>0</v>
      </c>
      <c r="I545" s="10">
        <v>0</v>
      </c>
      <c r="J545" s="10">
        <v>0</v>
      </c>
      <c r="K545" s="10">
        <v>0</v>
      </c>
      <c r="L545" s="10">
        <v>0</v>
      </c>
      <c r="M545" s="10">
        <v>0</v>
      </c>
      <c r="N545" s="10">
        <v>0</v>
      </c>
      <c r="O545" s="10">
        <v>0</v>
      </c>
      <c r="P545" s="10">
        <v>0</v>
      </c>
      <c r="Q545" s="10">
        <v>0</v>
      </c>
      <c r="R545" s="10">
        <v>0</v>
      </c>
      <c r="S545" s="10">
        <v>0</v>
      </c>
      <c r="T545" s="10">
        <v>0</v>
      </c>
      <c r="U545" s="10">
        <v>0</v>
      </c>
      <c r="V545" s="10">
        <v>0</v>
      </c>
      <c r="W545" s="10">
        <v>0</v>
      </c>
      <c r="X545" s="17">
        <v>0</v>
      </c>
      <c r="Y545" s="18">
        <v>0</v>
      </c>
      <c r="Z545" s="14">
        <v>0</v>
      </c>
      <c r="AA545" s="14">
        <v>0</v>
      </c>
      <c r="AB545" s="23">
        <v>0</v>
      </c>
      <c r="AC545" s="10">
        <v>0</v>
      </c>
      <c r="AD545" s="10">
        <v>0</v>
      </c>
      <c r="AE545" s="1" t="s">
        <v>540</v>
      </c>
    </row>
    <row r="546" spans="1:31" ht="16.5" customHeight="1" x14ac:dyDescent="0.35">
      <c r="A546" s="4">
        <v>229</v>
      </c>
      <c r="B546" s="4" t="str">
        <f>LOOKUP(A546,Lookup!$A$1:$A$34,Lookup!$B$1:$B$34)</f>
        <v>INGREDIENTS</v>
      </c>
      <c r="C546" s="5">
        <v>62560</v>
      </c>
      <c r="D546" s="6" t="s">
        <v>527</v>
      </c>
      <c r="E546" s="4">
        <v>2</v>
      </c>
      <c r="F546" s="10">
        <v>0</v>
      </c>
      <c r="G546" s="10">
        <v>0</v>
      </c>
      <c r="H546" s="10">
        <v>0</v>
      </c>
      <c r="I546" s="10">
        <v>0</v>
      </c>
      <c r="J546" s="10">
        <v>0</v>
      </c>
      <c r="K546" s="10">
        <v>0</v>
      </c>
      <c r="L546" s="10">
        <v>0</v>
      </c>
      <c r="M546" s="10">
        <v>0</v>
      </c>
      <c r="N546" s="10">
        <v>0</v>
      </c>
      <c r="O546" s="10">
        <v>0</v>
      </c>
      <c r="P546" s="10">
        <v>0</v>
      </c>
      <c r="Q546" s="10">
        <v>0</v>
      </c>
      <c r="R546" s="10">
        <v>0</v>
      </c>
      <c r="S546" s="10">
        <v>0</v>
      </c>
      <c r="T546" s="10">
        <v>0</v>
      </c>
      <c r="U546" s="10">
        <v>0</v>
      </c>
      <c r="V546" s="10">
        <v>0</v>
      </c>
      <c r="W546" s="10">
        <v>0</v>
      </c>
      <c r="X546" s="17">
        <v>0</v>
      </c>
      <c r="Y546" s="18">
        <v>0</v>
      </c>
      <c r="Z546" s="14">
        <v>0</v>
      </c>
      <c r="AA546" s="14">
        <v>0</v>
      </c>
      <c r="AB546" s="23">
        <v>0</v>
      </c>
      <c r="AC546" s="10">
        <v>0</v>
      </c>
      <c r="AD546" s="10">
        <v>0</v>
      </c>
      <c r="AE546" s="1" t="s">
        <v>540</v>
      </c>
    </row>
    <row r="547" spans="1:31" ht="16.5" customHeight="1" x14ac:dyDescent="0.35">
      <c r="A547" s="4">
        <v>229</v>
      </c>
      <c r="B547" s="4" t="str">
        <f>LOOKUP(A547,Lookup!$A$1:$A$34,Lookup!$B$1:$B$34)</f>
        <v>INGREDIENTS</v>
      </c>
      <c r="C547" s="5">
        <v>63808</v>
      </c>
      <c r="D547" s="6" t="s">
        <v>528</v>
      </c>
      <c r="E547" s="4">
        <v>2</v>
      </c>
      <c r="F547" s="10">
        <v>0</v>
      </c>
      <c r="G547" s="10">
        <v>0</v>
      </c>
      <c r="H547" s="10">
        <v>0</v>
      </c>
      <c r="I547" s="10">
        <v>0</v>
      </c>
      <c r="J547" s="10">
        <v>0</v>
      </c>
      <c r="K547" s="10">
        <v>0</v>
      </c>
      <c r="L547" s="10">
        <v>0</v>
      </c>
      <c r="M547" s="10">
        <v>0</v>
      </c>
      <c r="N547" s="10">
        <v>0</v>
      </c>
      <c r="O547" s="10">
        <v>0</v>
      </c>
      <c r="P547" s="10">
        <v>0</v>
      </c>
      <c r="Q547" s="10">
        <v>0</v>
      </c>
      <c r="R547" s="10">
        <v>0</v>
      </c>
      <c r="S547" s="10">
        <v>0</v>
      </c>
      <c r="T547" s="10">
        <v>0</v>
      </c>
      <c r="U547" s="10">
        <v>0</v>
      </c>
      <c r="V547" s="10">
        <v>0</v>
      </c>
      <c r="W547" s="10">
        <v>0</v>
      </c>
      <c r="X547" s="17">
        <v>0</v>
      </c>
      <c r="Y547" s="18">
        <v>0</v>
      </c>
      <c r="Z547" s="14">
        <v>0</v>
      </c>
      <c r="AA547" s="14">
        <v>0</v>
      </c>
      <c r="AB547" s="23">
        <v>0</v>
      </c>
      <c r="AC547" s="10">
        <v>0</v>
      </c>
      <c r="AD547" s="10">
        <v>0</v>
      </c>
      <c r="AE547" s="1" t="s">
        <v>540</v>
      </c>
    </row>
    <row r="548" spans="1:31" ht="16.5" customHeight="1" x14ac:dyDescent="0.35">
      <c r="A548" s="4">
        <v>1132</v>
      </c>
      <c r="B548" s="4" t="str">
        <f>LOOKUP(A548,Lookup!$A$1:$A$34,Lookup!$B$1:$B$34)</f>
        <v>CHICKEN fresh</v>
      </c>
      <c r="C548" s="5">
        <v>65439</v>
      </c>
      <c r="D548" s="6" t="s">
        <v>529</v>
      </c>
      <c r="E548" s="4">
        <v>2</v>
      </c>
      <c r="F548" s="10">
        <v>0</v>
      </c>
      <c r="G548" s="10">
        <v>0</v>
      </c>
      <c r="H548" s="10">
        <v>0</v>
      </c>
      <c r="I548" s="10">
        <v>0</v>
      </c>
      <c r="J548" s="10">
        <v>0</v>
      </c>
      <c r="K548" s="10">
        <v>0</v>
      </c>
      <c r="L548" s="10">
        <v>0</v>
      </c>
      <c r="M548" s="10">
        <v>0</v>
      </c>
      <c r="N548" s="10">
        <v>0</v>
      </c>
      <c r="O548" s="10">
        <v>0</v>
      </c>
      <c r="P548" s="10">
        <v>0</v>
      </c>
      <c r="Q548" s="10">
        <v>0</v>
      </c>
      <c r="R548" s="10">
        <v>0</v>
      </c>
      <c r="S548" s="10">
        <v>0</v>
      </c>
      <c r="T548" s="10">
        <v>0</v>
      </c>
      <c r="U548" s="10">
        <v>0</v>
      </c>
      <c r="V548" s="10">
        <v>0</v>
      </c>
      <c r="W548" s="10">
        <v>0</v>
      </c>
      <c r="X548" s="17">
        <v>0</v>
      </c>
      <c r="Y548" s="18">
        <v>0</v>
      </c>
      <c r="Z548" s="14">
        <v>0</v>
      </c>
      <c r="AA548" s="14">
        <v>0</v>
      </c>
      <c r="AB548" s="23">
        <v>0</v>
      </c>
      <c r="AC548" s="10">
        <v>0</v>
      </c>
      <c r="AD548" s="10">
        <v>0</v>
      </c>
      <c r="AE548" s="1" t="s">
        <v>540</v>
      </c>
    </row>
    <row r="549" spans="1:31" ht="16.5" customHeight="1" x14ac:dyDescent="0.35">
      <c r="A549" s="4">
        <v>1143</v>
      </c>
      <c r="B549" s="4" t="str">
        <f>LOOKUP(A549,Lookup!$A$1:$A$34,Lookup!$B$1:$B$34)</f>
        <v>CHICKEN fresh</v>
      </c>
      <c r="C549" s="5">
        <v>99991143</v>
      </c>
      <c r="D549" s="6" t="s">
        <v>530</v>
      </c>
      <c r="E549" s="4">
        <v>2</v>
      </c>
      <c r="F549" s="10">
        <v>0</v>
      </c>
      <c r="G549" s="10">
        <v>0</v>
      </c>
      <c r="H549" s="10">
        <v>0</v>
      </c>
      <c r="I549" s="10">
        <v>0</v>
      </c>
      <c r="J549" s="10">
        <v>0</v>
      </c>
      <c r="K549" s="10">
        <v>0</v>
      </c>
      <c r="L549" s="10">
        <v>0</v>
      </c>
      <c r="M549" s="10">
        <v>0</v>
      </c>
      <c r="N549" s="10">
        <v>0</v>
      </c>
      <c r="O549" s="10">
        <v>0</v>
      </c>
      <c r="P549" s="10">
        <v>0</v>
      </c>
      <c r="Q549" s="10">
        <v>0</v>
      </c>
      <c r="R549" s="10">
        <v>0</v>
      </c>
      <c r="S549" s="10">
        <v>0</v>
      </c>
      <c r="T549" s="10">
        <v>0</v>
      </c>
      <c r="U549" s="10">
        <v>0</v>
      </c>
      <c r="V549" s="10">
        <v>0</v>
      </c>
      <c r="W549" s="10">
        <v>0</v>
      </c>
      <c r="X549" s="17">
        <v>0</v>
      </c>
      <c r="Y549" s="18">
        <v>0</v>
      </c>
      <c r="Z549" s="14">
        <v>0</v>
      </c>
      <c r="AA549" s="14">
        <v>0</v>
      </c>
      <c r="AB549" s="23">
        <v>0</v>
      </c>
      <c r="AC549" s="10">
        <v>0</v>
      </c>
      <c r="AD549" s="10">
        <v>0</v>
      </c>
      <c r="AE549" s="1" t="s">
        <v>540</v>
      </c>
    </row>
    <row r="550" spans="1:31" ht="16.5" customHeight="1" thickBot="1" x14ac:dyDescent="0.4">
      <c r="A550" s="4">
        <v>2327</v>
      </c>
      <c r="B550" s="4" t="str">
        <f>LOOKUP(A550,Lookup!$A$1:$A$34,Lookup!$B$1:$B$34)</f>
        <v>CHICKEN fresh</v>
      </c>
      <c r="C550" s="5">
        <v>53308</v>
      </c>
      <c r="D550" s="6" t="s">
        <v>531</v>
      </c>
      <c r="E550" s="4">
        <v>2</v>
      </c>
      <c r="F550" s="10">
        <v>0</v>
      </c>
      <c r="G550" s="10">
        <v>0</v>
      </c>
      <c r="H550" s="10">
        <v>0</v>
      </c>
      <c r="I550" s="10">
        <v>0</v>
      </c>
      <c r="J550" s="10">
        <v>0</v>
      </c>
      <c r="K550" s="10">
        <v>0</v>
      </c>
      <c r="L550" s="10">
        <v>0</v>
      </c>
      <c r="M550" s="10">
        <v>0</v>
      </c>
      <c r="N550" s="10">
        <v>0</v>
      </c>
      <c r="O550" s="10">
        <v>0</v>
      </c>
      <c r="P550" s="10">
        <v>0</v>
      </c>
      <c r="Q550" s="10">
        <v>0</v>
      </c>
      <c r="R550" s="10">
        <v>0</v>
      </c>
      <c r="S550" s="10">
        <v>0</v>
      </c>
      <c r="T550" s="10">
        <v>0</v>
      </c>
      <c r="U550" s="10">
        <v>0</v>
      </c>
      <c r="V550" s="10">
        <v>0</v>
      </c>
      <c r="W550" s="10">
        <v>0</v>
      </c>
      <c r="X550" s="19">
        <v>0</v>
      </c>
      <c r="Y550" s="20">
        <v>0</v>
      </c>
      <c r="Z550" s="14">
        <v>0</v>
      </c>
      <c r="AA550" s="14">
        <v>0</v>
      </c>
      <c r="AB550" s="23">
        <v>0</v>
      </c>
      <c r="AC550" s="10">
        <v>0</v>
      </c>
      <c r="AD550" s="10">
        <v>0</v>
      </c>
      <c r="AE550" s="1" t="s">
        <v>540</v>
      </c>
    </row>
    <row r="551" spans="1:31" ht="16.5" customHeight="1" thickBot="1" x14ac:dyDescent="0.4">
      <c r="A551" s="4">
        <v>224</v>
      </c>
      <c r="B551" s="4" t="str">
        <f>LOOKUP(A551,Lookup!$A$1:$A$34,Lookup!$B$1:$B$34)</f>
        <v>BILT&amp; DROEWORS BUY IN</v>
      </c>
      <c r="C551" s="5">
        <v>65480</v>
      </c>
      <c r="D551" s="6" t="s">
        <v>521</v>
      </c>
      <c r="E551" s="4">
        <v>2</v>
      </c>
      <c r="F551" s="10">
        <v>92.521739130434781</v>
      </c>
      <c r="G551" s="10">
        <v>0.26600000000000001</v>
      </c>
      <c r="H551" s="10">
        <v>29.217391304347828</v>
      </c>
      <c r="I551" s="10">
        <v>8.4000000000000005E-2</v>
      </c>
      <c r="J551" s="10">
        <v>74.434782608695642</v>
      </c>
      <c r="K551" s="10">
        <v>0.214</v>
      </c>
      <c r="L551" s="10">
        <v>212.17391304347828</v>
      </c>
      <c r="M551" s="10">
        <v>0.61</v>
      </c>
      <c r="N551" s="10">
        <v>393.73913043478262</v>
      </c>
      <c r="O551" s="10">
        <v>1.1319999999999999</v>
      </c>
      <c r="P551" s="10">
        <v>130.08695652173913</v>
      </c>
      <c r="Q551" s="10">
        <v>0.374</v>
      </c>
      <c r="R551" s="10">
        <v>84.869565217391298</v>
      </c>
      <c r="S551" s="10">
        <v>0.24399999999999999</v>
      </c>
      <c r="T551" s="10">
        <v>287.30434782608694</v>
      </c>
      <c r="U551" s="10">
        <v>0.82599999999999996</v>
      </c>
      <c r="V551" s="10">
        <v>415.304347826087</v>
      </c>
      <c r="W551" s="10">
        <v>1.194</v>
      </c>
      <c r="X551" s="21">
        <v>415.304347826087</v>
      </c>
      <c r="Y551" s="22">
        <v>1.194</v>
      </c>
      <c r="Z551" s="14">
        <v>1719.6521739130435</v>
      </c>
      <c r="AA551" s="14">
        <v>4.9440000000000008</v>
      </c>
      <c r="AB551" s="23">
        <v>9</v>
      </c>
      <c r="AC551" s="10">
        <v>191.07246376811594</v>
      </c>
      <c r="AD551" s="10">
        <v>0.54933333333333345</v>
      </c>
      <c r="AE551" s="1" t="s">
        <v>542</v>
      </c>
    </row>
    <row r="552" spans="1:31" ht="16.5" customHeight="1" x14ac:dyDescent="0.35">
      <c r="F552" s="14">
        <f t="shared" ref="F552:AD552" si="0">SUM(F21:F551)</f>
        <v>113539.95217391301</v>
      </c>
      <c r="G552" s="14">
        <f t="shared" si="0"/>
        <v>1345.2070000000003</v>
      </c>
      <c r="H552" s="14">
        <f t="shared" si="0"/>
        <v>98597.730434782614</v>
      </c>
      <c r="I552" s="14">
        <f t="shared" si="0"/>
        <v>1129.4340000000002</v>
      </c>
      <c r="J552" s="14">
        <f t="shared" si="0"/>
        <v>92194.278260869614</v>
      </c>
      <c r="K552" s="14">
        <f t="shared" si="0"/>
        <v>1056.4510000000002</v>
      </c>
      <c r="L552" s="14">
        <f t="shared" si="0"/>
        <v>144298.19130434789</v>
      </c>
      <c r="M552" s="14">
        <f t="shared" si="0"/>
        <v>1550.9520000000002</v>
      </c>
      <c r="N552" s="14">
        <f t="shared" si="0"/>
        <v>143429.71304347826</v>
      </c>
      <c r="O552" s="14">
        <f t="shared" si="0"/>
        <v>1573.5200000000004</v>
      </c>
      <c r="P552" s="14">
        <f t="shared" si="0"/>
        <v>89846.513043478262</v>
      </c>
      <c r="Q552" s="14">
        <f t="shared" si="0"/>
        <v>1020.256</v>
      </c>
      <c r="R552" s="14">
        <f t="shared" si="0"/>
        <v>87102.573913043452</v>
      </c>
      <c r="S552" s="14">
        <f t="shared" si="0"/>
        <v>1031.3470000000002</v>
      </c>
      <c r="T552" s="14">
        <f t="shared" si="0"/>
        <v>132345.54782608699</v>
      </c>
      <c r="U552" s="14">
        <f t="shared" si="0"/>
        <v>1488.8139999999996</v>
      </c>
      <c r="V552" s="14">
        <f t="shared" si="0"/>
        <v>130021.77391304349</v>
      </c>
      <c r="W552" s="14">
        <f t="shared" si="0"/>
        <v>1368.771</v>
      </c>
      <c r="X552" s="14">
        <f t="shared" si="0"/>
        <v>248594.27391304335</v>
      </c>
      <c r="Y552" s="14">
        <f t="shared" si="0"/>
        <v>2701.570999999999</v>
      </c>
      <c r="Z552" s="14">
        <f t="shared" si="0"/>
        <v>1031376.2739130432</v>
      </c>
      <c r="AA552" s="14">
        <f t="shared" si="0"/>
        <v>11564.751999999993</v>
      </c>
      <c r="AB552" s="14">
        <f t="shared" si="0"/>
        <v>889</v>
      </c>
      <c r="AC552" s="14">
        <f t="shared" si="0"/>
        <v>140663.48182884746</v>
      </c>
      <c r="AD552" s="14">
        <f t="shared" si="0"/>
        <v>1557.5562365079363</v>
      </c>
    </row>
    <row r="554" spans="1:31" ht="16.5" customHeight="1" x14ac:dyDescent="0.35">
      <c r="X554" s="24"/>
      <c r="Y554" s="24"/>
      <c r="Z554" s="24"/>
      <c r="AA554" s="24"/>
      <c r="AB554" s="24"/>
      <c r="AC554" s="24"/>
      <c r="AD554" s="24"/>
    </row>
  </sheetData>
  <mergeCells count="1">
    <mergeCell ref="X1:Y1"/>
  </mergeCells>
  <printOptions headings="1" gridLines="1"/>
  <pageMargins left="0.75" right="0.75" top="1" bottom="0" header="0" footer="0"/>
  <pageSetup paperSize="0" scale="0" orientation="portrait" usePrinterDefaults="0" blackAndWhite="1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D0760-6B4B-46D4-841E-5F610317D4B1}">
  <dimension ref="A1:B34"/>
  <sheetViews>
    <sheetView workbookViewId="0">
      <selection activeCell="D10" sqref="D10"/>
    </sheetView>
  </sheetViews>
  <sheetFormatPr defaultRowHeight="13" x14ac:dyDescent="0.35"/>
  <sheetData>
    <row r="1" spans="1:2" x14ac:dyDescent="0.35">
      <c r="A1" t="s">
        <v>589</v>
      </c>
      <c r="B1" t="s">
        <v>590</v>
      </c>
    </row>
    <row r="2" spans="1:2" x14ac:dyDescent="0.35">
      <c r="A2" s="4">
        <v>201</v>
      </c>
      <c r="B2" s="6" t="s">
        <v>561</v>
      </c>
    </row>
    <row r="3" spans="1:2" x14ac:dyDescent="0.35">
      <c r="A3" s="4">
        <v>202</v>
      </c>
      <c r="B3" s="6" t="s">
        <v>562</v>
      </c>
    </row>
    <row r="4" spans="1:2" x14ac:dyDescent="0.35">
      <c r="A4" s="4">
        <v>203</v>
      </c>
      <c r="B4" s="6" t="s">
        <v>563</v>
      </c>
    </row>
    <row r="5" spans="1:2" x14ac:dyDescent="0.35">
      <c r="A5" s="4">
        <v>204</v>
      </c>
      <c r="B5" s="6" t="s">
        <v>564</v>
      </c>
    </row>
    <row r="6" spans="1:2" x14ac:dyDescent="0.35">
      <c r="A6" s="4">
        <v>205</v>
      </c>
      <c r="B6" s="6" t="s">
        <v>565</v>
      </c>
    </row>
    <row r="7" spans="1:2" x14ac:dyDescent="0.35">
      <c r="A7" s="4">
        <v>206</v>
      </c>
      <c r="B7" s="6" t="s">
        <v>566</v>
      </c>
    </row>
    <row r="8" spans="1:2" x14ac:dyDescent="0.35">
      <c r="A8" s="4">
        <v>207</v>
      </c>
      <c r="B8" s="6" t="s">
        <v>567</v>
      </c>
    </row>
    <row r="9" spans="1:2" x14ac:dyDescent="0.35">
      <c r="A9" s="4">
        <v>208</v>
      </c>
      <c r="B9" s="6" t="s">
        <v>568</v>
      </c>
    </row>
    <row r="10" spans="1:2" x14ac:dyDescent="0.35">
      <c r="A10" s="4">
        <v>209</v>
      </c>
      <c r="B10" s="6" t="s">
        <v>569</v>
      </c>
    </row>
    <row r="11" spans="1:2" x14ac:dyDescent="0.35">
      <c r="A11" s="4">
        <v>210</v>
      </c>
      <c r="B11" s="6" t="s">
        <v>570</v>
      </c>
    </row>
    <row r="12" spans="1:2" x14ac:dyDescent="0.35">
      <c r="A12" s="4">
        <v>211</v>
      </c>
      <c r="B12" s="6" t="s">
        <v>571</v>
      </c>
    </row>
    <row r="13" spans="1:2" x14ac:dyDescent="0.35">
      <c r="A13" s="4">
        <v>212</v>
      </c>
      <c r="B13" s="6" t="s">
        <v>572</v>
      </c>
    </row>
    <row r="14" spans="1:2" x14ac:dyDescent="0.35">
      <c r="A14" s="4">
        <v>213</v>
      </c>
      <c r="B14" s="6" t="s">
        <v>573</v>
      </c>
    </row>
    <row r="15" spans="1:2" x14ac:dyDescent="0.35">
      <c r="A15" s="4">
        <v>214</v>
      </c>
      <c r="B15" s="6" t="s">
        <v>574</v>
      </c>
    </row>
    <row r="16" spans="1:2" x14ac:dyDescent="0.35">
      <c r="A16" s="4">
        <v>215</v>
      </c>
      <c r="B16" s="6" t="s">
        <v>575</v>
      </c>
    </row>
    <row r="17" spans="1:2" x14ac:dyDescent="0.35">
      <c r="A17" s="4">
        <v>216</v>
      </c>
      <c r="B17" s="6" t="s">
        <v>576</v>
      </c>
    </row>
    <row r="18" spans="1:2" x14ac:dyDescent="0.35">
      <c r="A18" s="4">
        <v>217</v>
      </c>
      <c r="B18" s="6" t="s">
        <v>577</v>
      </c>
    </row>
    <row r="19" spans="1:2" x14ac:dyDescent="0.35">
      <c r="A19" s="4">
        <v>218</v>
      </c>
      <c r="B19" s="6" t="s">
        <v>578</v>
      </c>
    </row>
    <row r="20" spans="1:2" x14ac:dyDescent="0.35">
      <c r="A20" s="4">
        <v>219</v>
      </c>
      <c r="B20" s="6" t="s">
        <v>579</v>
      </c>
    </row>
    <row r="21" spans="1:2" x14ac:dyDescent="0.35">
      <c r="A21" s="4">
        <v>220</v>
      </c>
      <c r="B21" s="6" t="s">
        <v>580</v>
      </c>
    </row>
    <row r="22" spans="1:2" x14ac:dyDescent="0.35">
      <c r="A22" s="4">
        <v>221</v>
      </c>
      <c r="B22" s="6" t="s">
        <v>581</v>
      </c>
    </row>
    <row r="23" spans="1:2" x14ac:dyDescent="0.35">
      <c r="A23" s="4">
        <v>222</v>
      </c>
      <c r="B23" s="6" t="s">
        <v>582</v>
      </c>
    </row>
    <row r="24" spans="1:2" x14ac:dyDescent="0.35">
      <c r="A24" s="4">
        <v>223</v>
      </c>
      <c r="B24" s="6" t="s">
        <v>583</v>
      </c>
    </row>
    <row r="25" spans="1:2" x14ac:dyDescent="0.35">
      <c r="A25" s="4">
        <v>224</v>
      </c>
      <c r="B25" s="6" t="s">
        <v>584</v>
      </c>
    </row>
    <row r="26" spans="1:2" x14ac:dyDescent="0.35">
      <c r="A26" s="4">
        <v>225</v>
      </c>
      <c r="B26" s="6" t="s">
        <v>585</v>
      </c>
    </row>
    <row r="27" spans="1:2" x14ac:dyDescent="0.35">
      <c r="A27" s="4">
        <v>226</v>
      </c>
      <c r="B27" s="6" t="s">
        <v>567</v>
      </c>
    </row>
    <row r="28" spans="1:2" x14ac:dyDescent="0.35">
      <c r="A28" s="4">
        <v>227</v>
      </c>
      <c r="B28" s="6" t="s">
        <v>568</v>
      </c>
    </row>
    <row r="29" spans="1:2" x14ac:dyDescent="0.35">
      <c r="A29" s="4">
        <v>228</v>
      </c>
      <c r="B29" s="6" t="s">
        <v>569</v>
      </c>
    </row>
    <row r="30" spans="1:2" x14ac:dyDescent="0.35">
      <c r="A30" s="4">
        <v>229</v>
      </c>
      <c r="B30" s="6" t="s">
        <v>570</v>
      </c>
    </row>
    <row r="31" spans="1:2" x14ac:dyDescent="0.35">
      <c r="A31" s="4">
        <v>230</v>
      </c>
      <c r="B31" s="6" t="s">
        <v>586</v>
      </c>
    </row>
    <row r="32" spans="1:2" x14ac:dyDescent="0.35">
      <c r="A32" s="4">
        <v>231</v>
      </c>
      <c r="B32" s="6" t="s">
        <v>587</v>
      </c>
    </row>
    <row r="33" spans="1:2" x14ac:dyDescent="0.35">
      <c r="A33" s="4">
        <v>232</v>
      </c>
      <c r="B33" s="6" t="s">
        <v>561</v>
      </c>
    </row>
    <row r="34" spans="1:2" x14ac:dyDescent="0.35">
      <c r="A34" s="4">
        <v>235</v>
      </c>
      <c r="B34" s="6" t="s">
        <v>588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F8914-2BFF-4E17-A3B6-0E708B11D4B2}">
  <dimension ref="A1:Q134"/>
  <sheetViews>
    <sheetView topLeftCell="C114" workbookViewId="0">
      <selection activeCell="G138" sqref="G138"/>
    </sheetView>
  </sheetViews>
  <sheetFormatPr defaultRowHeight="13" x14ac:dyDescent="0.35"/>
  <cols>
    <col min="1" max="1" width="16.296875" bestFit="1" customWidth="1"/>
    <col min="2" max="2" width="16.296875" customWidth="1"/>
    <col min="3" max="3" width="12.5" bestFit="1" customWidth="1"/>
    <col min="4" max="4" width="35.8984375" bestFit="1" customWidth="1"/>
    <col min="5" max="5" width="16.09765625" style="26" bestFit="1" customWidth="1"/>
    <col min="6" max="6" width="11.8984375" style="26" bestFit="1" customWidth="1"/>
    <col min="7" max="7" width="11.3984375" style="26" bestFit="1" customWidth="1"/>
    <col min="8" max="8" width="8.8984375" style="26" bestFit="1" customWidth="1"/>
    <col min="9" max="9" width="18.09765625" style="25" bestFit="1" customWidth="1"/>
    <col min="10" max="10" width="10.09765625" style="26" bestFit="1" customWidth="1"/>
    <col min="11" max="11" width="12.296875" style="26" bestFit="1" customWidth="1"/>
    <col min="12" max="12" width="10.09765625" style="25" bestFit="1" customWidth="1"/>
    <col min="13" max="13" width="11.796875" style="26" bestFit="1" customWidth="1"/>
    <col min="14" max="14" width="10" bestFit="1" customWidth="1"/>
  </cols>
  <sheetData>
    <row r="1" spans="1:17" x14ac:dyDescent="0.35">
      <c r="E1" s="26" t="s">
        <v>539</v>
      </c>
    </row>
    <row r="2" spans="1:17" x14ac:dyDescent="0.35">
      <c r="A2" t="s">
        <v>546</v>
      </c>
      <c r="B2" t="s">
        <v>590</v>
      </c>
      <c r="C2" t="s">
        <v>10</v>
      </c>
      <c r="D2" t="s">
        <v>11</v>
      </c>
      <c r="E2" s="26" t="s">
        <v>532</v>
      </c>
      <c r="F2" s="26" t="s">
        <v>533</v>
      </c>
      <c r="G2" s="26" t="s">
        <v>534</v>
      </c>
      <c r="H2" s="26" t="s">
        <v>538</v>
      </c>
      <c r="I2" s="25" t="s">
        <v>545</v>
      </c>
      <c r="J2" s="26" t="s">
        <v>536</v>
      </c>
      <c r="K2" s="26" t="s">
        <v>537</v>
      </c>
      <c r="L2" s="25" t="s">
        <v>544</v>
      </c>
      <c r="M2" s="26" t="s">
        <v>592</v>
      </c>
      <c r="N2" t="s">
        <v>593</v>
      </c>
      <c r="P2" t="s">
        <v>610</v>
      </c>
    </row>
    <row r="3" spans="1:17" x14ac:dyDescent="0.35">
      <c r="A3">
        <v>201</v>
      </c>
      <c r="B3" t="s">
        <v>561</v>
      </c>
      <c r="C3">
        <v>56247</v>
      </c>
      <c r="D3" t="s">
        <v>32</v>
      </c>
      <c r="E3" s="26">
        <v>590.70000000000005</v>
      </c>
      <c r="F3" s="26">
        <v>33</v>
      </c>
      <c r="G3" s="26">
        <v>590.70000000000005</v>
      </c>
      <c r="H3" s="26">
        <v>33</v>
      </c>
      <c r="I3" s="25">
        <v>1</v>
      </c>
      <c r="J3" s="26">
        <v>590.70000000000005</v>
      </c>
      <c r="K3" s="26">
        <v>33</v>
      </c>
      <c r="L3" s="25" t="s">
        <v>541</v>
      </c>
      <c r="M3" s="26">
        <f>IF(L3="Regular",J3+J3*($Q$5-I3),
 IF(L3="Often",J3+J3*($Q$4-I3),
 J3+J3*($Q$3-I3)))</f>
        <v>1181.4000000000001</v>
      </c>
      <c r="N3" s="26">
        <f>IF(L3="Regular",K3+K3*($Q$5-I3),
 IF(L3="Often", K3+K3*($Q$4-I3),
 K3+K3*($Q$3-I3)))</f>
        <v>66</v>
      </c>
      <c r="P3" t="s">
        <v>541</v>
      </c>
      <c r="Q3">
        <v>2</v>
      </c>
    </row>
    <row r="4" spans="1:17" x14ac:dyDescent="0.35">
      <c r="A4">
        <v>201</v>
      </c>
      <c r="B4" t="s">
        <v>561</v>
      </c>
      <c r="C4">
        <v>61370</v>
      </c>
      <c r="D4" t="s">
        <v>34</v>
      </c>
      <c r="E4" s="26">
        <v>151.25217391304346</v>
      </c>
      <c r="F4" s="26">
        <v>6</v>
      </c>
      <c r="G4" s="26">
        <v>201.66956521739129</v>
      </c>
      <c r="H4" s="26">
        <v>8</v>
      </c>
      <c r="I4" s="25">
        <v>2</v>
      </c>
      <c r="J4" s="26">
        <v>100.83478260869565</v>
      </c>
      <c r="K4" s="26">
        <v>4</v>
      </c>
      <c r="L4" s="25" t="s">
        <v>541</v>
      </c>
      <c r="M4" s="26">
        <f t="shared" ref="M4:M17" si="0">IF(L4="Regular",J4+J4*($Q$5-I4),
 IF(L4="Often",J4+J4*($Q$4-I4),
 J4+J4*($Q$3-I4)))</f>
        <v>100.83478260869565</v>
      </c>
      <c r="N4" s="26">
        <f t="shared" ref="N4:N67" si="1">IF(L4="Regular",K4+K4*($Q$5-I4),
 IF(L4="Often", K4+K4*($Q$4-I4),
 K4+K4*($Q$3-I4)))</f>
        <v>4</v>
      </c>
      <c r="P4" t="s">
        <v>543</v>
      </c>
      <c r="Q4">
        <v>6</v>
      </c>
    </row>
    <row r="5" spans="1:17" x14ac:dyDescent="0.35">
      <c r="A5">
        <v>202</v>
      </c>
      <c r="B5" t="s">
        <v>562</v>
      </c>
      <c r="C5">
        <v>34172</v>
      </c>
      <c r="D5" t="s">
        <v>107</v>
      </c>
      <c r="E5" s="26">
        <v>9697.6521739130421</v>
      </c>
      <c r="F5" s="26">
        <v>64.841999999999999</v>
      </c>
      <c r="G5" s="26">
        <v>38195.721739130437</v>
      </c>
      <c r="H5" s="26">
        <v>248.18800000000002</v>
      </c>
      <c r="I5" s="25">
        <v>9</v>
      </c>
      <c r="J5" s="26">
        <v>4243.9690821256045</v>
      </c>
      <c r="K5" s="26">
        <v>27.576444444444448</v>
      </c>
      <c r="L5" s="25" t="s">
        <v>542</v>
      </c>
      <c r="M5" s="26">
        <f t="shared" si="0"/>
        <v>4243.9690821256045</v>
      </c>
      <c r="N5" s="26">
        <f t="shared" si="1"/>
        <v>27.576444444444448</v>
      </c>
      <c r="P5" t="s">
        <v>542</v>
      </c>
      <c r="Q5">
        <v>9</v>
      </c>
    </row>
    <row r="6" spans="1:17" x14ac:dyDescent="0.35">
      <c r="A6">
        <v>202</v>
      </c>
      <c r="B6" t="s">
        <v>562</v>
      </c>
      <c r="C6">
        <v>53487</v>
      </c>
      <c r="D6" t="s">
        <v>125</v>
      </c>
      <c r="E6" s="26">
        <v>4882.826086956522</v>
      </c>
      <c r="F6" s="26">
        <v>40.112000000000002</v>
      </c>
      <c r="G6" s="26">
        <v>30254.165217391306</v>
      </c>
      <c r="H6" s="26">
        <v>250.96199999999999</v>
      </c>
      <c r="I6" s="25">
        <v>9</v>
      </c>
      <c r="J6" s="26">
        <v>3361.5739130434786</v>
      </c>
      <c r="K6" s="26">
        <v>27.884666666666664</v>
      </c>
      <c r="L6" s="25" t="s">
        <v>542</v>
      </c>
      <c r="M6" s="26">
        <f t="shared" si="0"/>
        <v>3361.5739130434786</v>
      </c>
      <c r="N6" s="26">
        <f t="shared" si="1"/>
        <v>27.884666666666664</v>
      </c>
    </row>
    <row r="7" spans="1:17" x14ac:dyDescent="0.35">
      <c r="A7">
        <v>202</v>
      </c>
      <c r="B7" t="s">
        <v>562</v>
      </c>
      <c r="C7">
        <v>12141</v>
      </c>
      <c r="D7" t="s">
        <v>74</v>
      </c>
      <c r="E7" s="26">
        <v>4750.3304347826088</v>
      </c>
      <c r="F7" s="26">
        <v>27.315999999999999</v>
      </c>
      <c r="G7" s="26">
        <v>19684.81739130435</v>
      </c>
      <c r="H7" s="26">
        <v>109.78100000000001</v>
      </c>
      <c r="I7" s="25">
        <v>9</v>
      </c>
      <c r="J7" s="26">
        <v>2187.2019323671502</v>
      </c>
      <c r="K7" s="26">
        <v>12.19788888888889</v>
      </c>
      <c r="L7" s="25" t="s">
        <v>542</v>
      </c>
      <c r="M7" s="26">
        <f t="shared" si="0"/>
        <v>2187.2019323671502</v>
      </c>
      <c r="N7" s="26">
        <f t="shared" si="1"/>
        <v>12.19788888888889</v>
      </c>
    </row>
    <row r="8" spans="1:17" x14ac:dyDescent="0.35">
      <c r="A8">
        <v>202</v>
      </c>
      <c r="B8" t="s">
        <v>562</v>
      </c>
      <c r="C8">
        <v>64936</v>
      </c>
      <c r="D8" t="s">
        <v>139</v>
      </c>
      <c r="E8" s="26">
        <v>6900.652173913043</v>
      </c>
      <c r="F8" s="26">
        <v>22.1</v>
      </c>
      <c r="G8" s="26">
        <v>7785.5565217391295</v>
      </c>
      <c r="H8" s="26">
        <v>24.926000000000002</v>
      </c>
      <c r="I8" s="25">
        <v>4</v>
      </c>
      <c r="J8" s="26">
        <v>1946.3891304347824</v>
      </c>
      <c r="K8" s="26">
        <v>6.2315000000000005</v>
      </c>
      <c r="L8" s="25" t="s">
        <v>543</v>
      </c>
      <c r="M8" s="26">
        <f t="shared" si="0"/>
        <v>5839.1673913043469</v>
      </c>
      <c r="N8" s="26">
        <f t="shared" si="1"/>
        <v>18.694500000000001</v>
      </c>
    </row>
    <row r="9" spans="1:17" x14ac:dyDescent="0.35">
      <c r="A9">
        <v>202</v>
      </c>
      <c r="B9" t="s">
        <v>562</v>
      </c>
      <c r="C9">
        <v>34205</v>
      </c>
      <c r="D9" t="s">
        <v>115</v>
      </c>
      <c r="E9" s="26">
        <v>2623.3565217391306</v>
      </c>
      <c r="F9" s="26">
        <v>18.954000000000001</v>
      </c>
      <c r="G9" s="26">
        <v>10324.408695652173</v>
      </c>
      <c r="H9" s="26">
        <v>67.807999999999993</v>
      </c>
      <c r="I9" s="25">
        <v>8</v>
      </c>
      <c r="J9" s="26">
        <v>1290.5510869565217</v>
      </c>
      <c r="K9" s="26">
        <v>8.4759999999999991</v>
      </c>
      <c r="L9" s="25" t="s">
        <v>542</v>
      </c>
      <c r="M9" s="26">
        <f t="shared" si="0"/>
        <v>2581.1021739130433</v>
      </c>
      <c r="N9" s="26">
        <f t="shared" si="1"/>
        <v>16.951999999999998</v>
      </c>
    </row>
    <row r="10" spans="1:17" x14ac:dyDescent="0.35">
      <c r="A10">
        <v>202</v>
      </c>
      <c r="B10" t="s">
        <v>562</v>
      </c>
      <c r="C10">
        <v>34254</v>
      </c>
      <c r="D10" t="s">
        <v>119</v>
      </c>
      <c r="E10" s="26">
        <v>1975.0521739130429</v>
      </c>
      <c r="F10" s="26">
        <v>56.796999999999997</v>
      </c>
      <c r="G10" s="26">
        <v>10043.669565217391</v>
      </c>
      <c r="H10" s="26">
        <v>289.02499999999998</v>
      </c>
      <c r="I10" s="25">
        <v>9</v>
      </c>
      <c r="J10" s="26">
        <v>1115.9632850241546</v>
      </c>
      <c r="K10" s="26">
        <v>32.113888888888887</v>
      </c>
      <c r="L10" s="25" t="s">
        <v>542</v>
      </c>
      <c r="M10" s="26">
        <f t="shared" si="0"/>
        <v>1115.9632850241546</v>
      </c>
      <c r="N10" s="26">
        <f t="shared" si="1"/>
        <v>32.113888888888887</v>
      </c>
    </row>
    <row r="11" spans="1:17" x14ac:dyDescent="0.35">
      <c r="A11">
        <v>202</v>
      </c>
      <c r="B11" t="s">
        <v>562</v>
      </c>
      <c r="C11">
        <v>12172</v>
      </c>
      <c r="D11" t="s">
        <v>84</v>
      </c>
      <c r="E11" s="26">
        <v>1483.7739130434782</v>
      </c>
      <c r="F11" s="26">
        <v>4.266</v>
      </c>
      <c r="G11" s="26">
        <v>5119.5391304347831</v>
      </c>
      <c r="H11" s="26">
        <v>14.749000000000001</v>
      </c>
      <c r="I11" s="25">
        <v>5</v>
      </c>
      <c r="J11" s="26">
        <v>1023.9078260869567</v>
      </c>
      <c r="K11" s="26">
        <v>2.9498000000000002</v>
      </c>
      <c r="L11" s="25" t="s">
        <v>543</v>
      </c>
      <c r="M11" s="26">
        <f t="shared" si="0"/>
        <v>2047.8156521739133</v>
      </c>
      <c r="N11" s="26">
        <f t="shared" si="1"/>
        <v>5.8996000000000004</v>
      </c>
    </row>
    <row r="12" spans="1:17" x14ac:dyDescent="0.35">
      <c r="A12">
        <v>202</v>
      </c>
      <c r="B12" t="s">
        <v>562</v>
      </c>
      <c r="C12">
        <v>63526</v>
      </c>
      <c r="D12" t="s">
        <v>89</v>
      </c>
      <c r="E12" s="26">
        <v>3349.8608695652174</v>
      </c>
      <c r="F12" s="26">
        <v>44.834000000000003</v>
      </c>
      <c r="G12" s="26">
        <v>9181.4695652173923</v>
      </c>
      <c r="H12" s="26">
        <v>114.64399999999999</v>
      </c>
      <c r="I12" s="25">
        <v>9</v>
      </c>
      <c r="J12" s="26">
        <v>1020.1632850241547</v>
      </c>
      <c r="K12" s="26">
        <v>12.738222222222221</v>
      </c>
      <c r="L12" s="25" t="s">
        <v>542</v>
      </c>
      <c r="M12" s="26">
        <f t="shared" si="0"/>
        <v>1020.1632850241547</v>
      </c>
      <c r="N12" s="26">
        <f t="shared" si="1"/>
        <v>12.738222222222221</v>
      </c>
    </row>
    <row r="13" spans="1:17" x14ac:dyDescent="0.35">
      <c r="A13">
        <v>202</v>
      </c>
      <c r="B13" t="s">
        <v>562</v>
      </c>
      <c r="C13">
        <v>63482</v>
      </c>
      <c r="D13" t="s">
        <v>133</v>
      </c>
      <c r="E13" s="26">
        <v>1697.9304347826087</v>
      </c>
      <c r="F13" s="26">
        <v>16.294</v>
      </c>
      <c r="G13" s="26">
        <v>9174.1217391304344</v>
      </c>
      <c r="H13" s="26">
        <v>79.697000000000003</v>
      </c>
      <c r="I13" s="25">
        <v>9</v>
      </c>
      <c r="J13" s="26">
        <v>1019.3468599033816</v>
      </c>
      <c r="K13" s="26">
        <v>8.8552222222222223</v>
      </c>
      <c r="L13" s="25" t="s">
        <v>542</v>
      </c>
      <c r="M13" s="26">
        <f t="shared" si="0"/>
        <v>1019.3468599033816</v>
      </c>
      <c r="N13" s="26">
        <f t="shared" si="1"/>
        <v>8.8552222222222223</v>
      </c>
    </row>
    <row r="14" spans="1:17" x14ac:dyDescent="0.35">
      <c r="A14">
        <v>202</v>
      </c>
      <c r="B14" t="s">
        <v>562</v>
      </c>
      <c r="C14">
        <v>12150</v>
      </c>
      <c r="D14" t="s">
        <v>80</v>
      </c>
      <c r="E14" s="26">
        <v>1719.4347826086955</v>
      </c>
      <c r="F14" s="26">
        <v>10.986000000000001</v>
      </c>
      <c r="G14" s="26">
        <v>8994.9217391304337</v>
      </c>
      <c r="H14" s="26">
        <v>55.138999999999996</v>
      </c>
      <c r="I14" s="25">
        <v>9</v>
      </c>
      <c r="J14" s="26">
        <v>999.43574879227037</v>
      </c>
      <c r="K14" s="26">
        <v>6.1265555555555551</v>
      </c>
      <c r="L14" s="25" t="s">
        <v>542</v>
      </c>
      <c r="M14" s="26">
        <f t="shared" si="0"/>
        <v>999.43574879227037</v>
      </c>
      <c r="N14" s="26">
        <f t="shared" si="1"/>
        <v>6.1265555555555551</v>
      </c>
    </row>
    <row r="15" spans="1:17" x14ac:dyDescent="0.35">
      <c r="A15">
        <v>202</v>
      </c>
      <c r="B15" t="s">
        <v>562</v>
      </c>
      <c r="C15">
        <v>34154</v>
      </c>
      <c r="D15" t="s">
        <v>93</v>
      </c>
      <c r="E15" s="26">
        <v>986.00869565217374</v>
      </c>
      <c r="F15" s="26">
        <v>9.4499999999999993</v>
      </c>
      <c r="G15" s="26">
        <v>986.00869565217374</v>
      </c>
      <c r="H15" s="26">
        <v>9.4499999999999993</v>
      </c>
      <c r="I15" s="25">
        <v>1</v>
      </c>
      <c r="J15" s="26">
        <v>986.00869565217374</v>
      </c>
      <c r="K15" s="26">
        <v>9.4499999999999993</v>
      </c>
      <c r="L15" s="25" t="s">
        <v>541</v>
      </c>
      <c r="M15" s="26">
        <f t="shared" si="0"/>
        <v>1972.0173913043475</v>
      </c>
      <c r="N15" s="26">
        <f t="shared" si="1"/>
        <v>18.899999999999999</v>
      </c>
    </row>
    <row r="16" spans="1:17" x14ac:dyDescent="0.35">
      <c r="A16">
        <v>202</v>
      </c>
      <c r="B16" t="s">
        <v>562</v>
      </c>
      <c r="C16">
        <v>34157</v>
      </c>
      <c r="D16" t="s">
        <v>95</v>
      </c>
      <c r="E16" s="26">
        <v>1478.6260869565217</v>
      </c>
      <c r="F16" s="26">
        <v>6.8019999999999996</v>
      </c>
      <c r="G16" s="26">
        <v>4702.0956521739135</v>
      </c>
      <c r="H16" s="26">
        <v>21.674000000000003</v>
      </c>
      <c r="I16" s="25">
        <v>7</v>
      </c>
      <c r="J16" s="26">
        <v>671.72795031055909</v>
      </c>
      <c r="K16" s="26">
        <v>3.0962857142857145</v>
      </c>
      <c r="L16" s="25" t="s">
        <v>543</v>
      </c>
      <c r="M16" s="26">
        <f t="shared" si="0"/>
        <v>0</v>
      </c>
      <c r="N16" s="26">
        <f t="shared" si="1"/>
        <v>0</v>
      </c>
    </row>
    <row r="17" spans="1:14" x14ac:dyDescent="0.35">
      <c r="A17">
        <v>202</v>
      </c>
      <c r="B17" t="s">
        <v>562</v>
      </c>
      <c r="C17">
        <v>62790</v>
      </c>
      <c r="D17" t="s">
        <v>130</v>
      </c>
      <c r="E17" s="26">
        <v>1268.4434782608694</v>
      </c>
      <c r="F17" s="26">
        <v>11.222</v>
      </c>
      <c r="G17" s="26">
        <v>2494.6869565217385</v>
      </c>
      <c r="H17" s="26">
        <v>22.515999999999998</v>
      </c>
      <c r="I17" s="25">
        <v>4</v>
      </c>
      <c r="J17" s="26">
        <v>623.67173913043462</v>
      </c>
      <c r="K17" s="26">
        <v>5.6289999999999996</v>
      </c>
      <c r="L17" s="25" t="s">
        <v>543</v>
      </c>
      <c r="M17" s="26">
        <f t="shared" si="0"/>
        <v>1871.0152173913038</v>
      </c>
      <c r="N17" s="26">
        <f t="shared" si="1"/>
        <v>16.887</v>
      </c>
    </row>
    <row r="18" spans="1:14" x14ac:dyDescent="0.35">
      <c r="A18">
        <v>202</v>
      </c>
      <c r="B18" t="s">
        <v>562</v>
      </c>
      <c r="C18">
        <v>52680</v>
      </c>
      <c r="D18" t="s">
        <v>124</v>
      </c>
      <c r="E18" s="26">
        <v>632.81739130434789</v>
      </c>
      <c r="F18" s="26">
        <v>3.63</v>
      </c>
      <c r="G18" s="26">
        <v>4035.8956521739128</v>
      </c>
      <c r="H18" s="26">
        <v>22.326000000000004</v>
      </c>
      <c r="I18" s="25">
        <v>9</v>
      </c>
      <c r="J18" s="26">
        <v>448.43285024154585</v>
      </c>
      <c r="K18" s="26">
        <v>2.480666666666667</v>
      </c>
      <c r="L18" s="25" t="s">
        <v>542</v>
      </c>
      <c r="M18" s="26">
        <f t="shared" ref="M18:M81" si="2">IF(L18="Regular",J18+J18*($Q$5-I18),
 IF(L18="Often",J18+J18*($Q$4-I18),
 J18+J18*($Q$3-I18)))</f>
        <v>448.43285024154585</v>
      </c>
      <c r="N18" s="26">
        <f t="shared" si="1"/>
        <v>2.480666666666667</v>
      </c>
    </row>
    <row r="19" spans="1:14" x14ac:dyDescent="0.35">
      <c r="A19">
        <v>202</v>
      </c>
      <c r="B19" t="s">
        <v>562</v>
      </c>
      <c r="C19">
        <v>34207</v>
      </c>
      <c r="D19" t="s">
        <v>117</v>
      </c>
      <c r="E19" s="26">
        <v>677.98260869565229</v>
      </c>
      <c r="F19" s="26">
        <v>5.9980000000000002</v>
      </c>
      <c r="G19" s="26">
        <v>2558.9565217391305</v>
      </c>
      <c r="H19" s="26">
        <v>22.661999999999999</v>
      </c>
      <c r="I19" s="25">
        <v>6</v>
      </c>
      <c r="J19" s="26">
        <v>426.49275362318843</v>
      </c>
      <c r="K19" s="26">
        <v>3.7769999999999997</v>
      </c>
      <c r="L19" s="25" t="s">
        <v>543</v>
      </c>
      <c r="M19" s="26">
        <f t="shared" si="2"/>
        <v>426.49275362318843</v>
      </c>
      <c r="N19" s="26">
        <f t="shared" si="1"/>
        <v>3.7769999999999997</v>
      </c>
    </row>
    <row r="20" spans="1:14" x14ac:dyDescent="0.35">
      <c r="A20">
        <v>202</v>
      </c>
      <c r="B20" t="s">
        <v>562</v>
      </c>
      <c r="C20">
        <v>34169</v>
      </c>
      <c r="D20" t="s">
        <v>104</v>
      </c>
      <c r="E20" s="26">
        <v>1175.8608695652172</v>
      </c>
      <c r="F20" s="26">
        <v>15.055999999999999</v>
      </c>
      <c r="G20" s="26">
        <v>1555.1652173913042</v>
      </c>
      <c r="H20" s="26">
        <v>18.740000000000002</v>
      </c>
      <c r="I20" s="25">
        <v>4</v>
      </c>
      <c r="J20" s="26">
        <v>388.79130434782604</v>
      </c>
      <c r="K20" s="26">
        <v>4.6850000000000005</v>
      </c>
      <c r="L20" s="25" t="s">
        <v>543</v>
      </c>
      <c r="M20" s="26">
        <f t="shared" si="2"/>
        <v>1166.3739130434781</v>
      </c>
      <c r="N20" s="26">
        <f t="shared" si="1"/>
        <v>14.055000000000001</v>
      </c>
    </row>
    <row r="21" spans="1:14" x14ac:dyDescent="0.35">
      <c r="A21">
        <v>202</v>
      </c>
      <c r="B21" t="s">
        <v>562</v>
      </c>
      <c r="C21">
        <v>58817</v>
      </c>
      <c r="D21" t="s">
        <v>129</v>
      </c>
      <c r="E21" s="26">
        <v>774.96521739130435</v>
      </c>
      <c r="F21" s="26">
        <v>6.3840000000000003</v>
      </c>
      <c r="G21" s="26">
        <v>3322.8347826086956</v>
      </c>
      <c r="H21" s="26">
        <v>27.387999999999998</v>
      </c>
      <c r="I21" s="25">
        <v>9</v>
      </c>
      <c r="J21" s="26">
        <v>369.20386473429949</v>
      </c>
      <c r="K21" s="26">
        <v>3.0431111111111111</v>
      </c>
      <c r="L21" s="25" t="s">
        <v>542</v>
      </c>
      <c r="M21" s="26">
        <f t="shared" si="2"/>
        <v>369.20386473429949</v>
      </c>
      <c r="N21" s="26">
        <f t="shared" si="1"/>
        <v>3.0431111111111111</v>
      </c>
    </row>
    <row r="22" spans="1:14" x14ac:dyDescent="0.35">
      <c r="A22">
        <v>202</v>
      </c>
      <c r="B22" t="s">
        <v>562</v>
      </c>
      <c r="C22">
        <v>12144</v>
      </c>
      <c r="D22" t="s">
        <v>76</v>
      </c>
      <c r="E22" s="26">
        <v>627.20000000000005</v>
      </c>
      <c r="F22" s="26">
        <v>5.1520000000000001</v>
      </c>
      <c r="G22" s="26">
        <v>2938.0086956521736</v>
      </c>
      <c r="H22" s="26">
        <v>25.522000000000002</v>
      </c>
      <c r="I22" s="25">
        <v>8</v>
      </c>
      <c r="J22" s="26">
        <v>367.2510869565217</v>
      </c>
      <c r="K22" s="26">
        <v>3.1902500000000003</v>
      </c>
      <c r="L22" s="25" t="s">
        <v>542</v>
      </c>
      <c r="M22" s="26">
        <f t="shared" si="2"/>
        <v>734.50217391304341</v>
      </c>
      <c r="N22" s="26">
        <f t="shared" si="1"/>
        <v>6.3805000000000005</v>
      </c>
    </row>
    <row r="23" spans="1:14" x14ac:dyDescent="0.35">
      <c r="A23">
        <v>202</v>
      </c>
      <c r="B23" t="s">
        <v>562</v>
      </c>
      <c r="C23">
        <v>12169</v>
      </c>
      <c r="D23" t="s">
        <v>83</v>
      </c>
      <c r="E23" s="26">
        <v>671.71304347826083</v>
      </c>
      <c r="F23" s="26">
        <v>4.0659999999999998</v>
      </c>
      <c r="G23" s="26">
        <v>1875.0869565217388</v>
      </c>
      <c r="H23" s="26">
        <v>11.159999999999998</v>
      </c>
      <c r="I23" s="25">
        <v>6</v>
      </c>
      <c r="J23" s="26">
        <v>312.51449275362313</v>
      </c>
      <c r="K23" s="26">
        <v>1.8599999999999997</v>
      </c>
      <c r="L23" s="25" t="s">
        <v>543</v>
      </c>
      <c r="M23" s="26">
        <f t="shared" si="2"/>
        <v>312.51449275362313</v>
      </c>
      <c r="N23" s="26">
        <f t="shared" si="1"/>
        <v>1.8599999999999997</v>
      </c>
    </row>
    <row r="24" spans="1:14" x14ac:dyDescent="0.35">
      <c r="A24">
        <v>202</v>
      </c>
      <c r="B24" t="s">
        <v>562</v>
      </c>
      <c r="C24">
        <v>63499</v>
      </c>
      <c r="D24" t="s">
        <v>135</v>
      </c>
      <c r="E24" s="26">
        <v>434.33913043478265</v>
      </c>
      <c r="F24" s="26">
        <v>3.5680000000000001</v>
      </c>
      <c r="G24" s="26">
        <v>881.08695652173924</v>
      </c>
      <c r="H24" s="26">
        <v>7.2720000000000002</v>
      </c>
      <c r="I24" s="25">
        <v>3</v>
      </c>
      <c r="J24" s="26">
        <v>293.69565217391306</v>
      </c>
      <c r="K24" s="26">
        <v>2.4239999999999999</v>
      </c>
      <c r="L24" s="25" t="s">
        <v>541</v>
      </c>
      <c r="M24" s="26">
        <f t="shared" si="2"/>
        <v>0</v>
      </c>
      <c r="N24" s="26">
        <f t="shared" si="1"/>
        <v>0</v>
      </c>
    </row>
    <row r="25" spans="1:14" x14ac:dyDescent="0.35">
      <c r="A25">
        <v>202</v>
      </c>
      <c r="B25" t="s">
        <v>562</v>
      </c>
      <c r="C25">
        <v>63480</v>
      </c>
      <c r="D25" t="s">
        <v>132</v>
      </c>
      <c r="E25" s="26">
        <v>644.4869565217391</v>
      </c>
      <c r="F25" s="26">
        <v>3.706</v>
      </c>
      <c r="G25" s="26">
        <v>1035.4347826086955</v>
      </c>
      <c r="H25" s="26">
        <v>5.9539999999999997</v>
      </c>
      <c r="I25" s="25">
        <v>4</v>
      </c>
      <c r="J25" s="26">
        <v>258.85869565217388</v>
      </c>
      <c r="K25" s="26">
        <v>1.4884999999999999</v>
      </c>
      <c r="L25" s="25" t="s">
        <v>543</v>
      </c>
      <c r="M25" s="26">
        <f t="shared" si="2"/>
        <v>776.57608695652164</v>
      </c>
      <c r="N25" s="26">
        <f t="shared" si="1"/>
        <v>4.4654999999999996</v>
      </c>
    </row>
    <row r="26" spans="1:14" x14ac:dyDescent="0.35">
      <c r="A26">
        <v>202</v>
      </c>
      <c r="B26" t="s">
        <v>562</v>
      </c>
      <c r="C26">
        <v>34159</v>
      </c>
      <c r="D26" t="s">
        <v>97</v>
      </c>
      <c r="E26" s="26">
        <v>253.20000000000002</v>
      </c>
      <c r="F26" s="26">
        <v>2.08</v>
      </c>
      <c r="G26" s="26">
        <v>253.20000000000002</v>
      </c>
      <c r="H26" s="26">
        <v>2.08</v>
      </c>
      <c r="I26" s="25">
        <v>1</v>
      </c>
      <c r="J26" s="26">
        <v>253.20000000000002</v>
      </c>
      <c r="K26" s="26">
        <v>2.08</v>
      </c>
      <c r="L26" s="25" t="s">
        <v>541</v>
      </c>
      <c r="M26" s="26">
        <f t="shared" si="2"/>
        <v>506.40000000000003</v>
      </c>
      <c r="N26" s="26">
        <f t="shared" si="1"/>
        <v>4.16</v>
      </c>
    </row>
    <row r="27" spans="1:14" x14ac:dyDescent="0.35">
      <c r="A27">
        <v>202</v>
      </c>
      <c r="B27" t="s">
        <v>562</v>
      </c>
      <c r="C27">
        <v>63839</v>
      </c>
      <c r="D27" t="s">
        <v>136</v>
      </c>
      <c r="E27" s="26">
        <v>153.38260869565215</v>
      </c>
      <c r="F27" s="26">
        <v>0.98</v>
      </c>
      <c r="G27" s="26">
        <v>288.61739130434779</v>
      </c>
      <c r="H27" s="26">
        <v>1.8439999999999999</v>
      </c>
      <c r="I27" s="25">
        <v>2</v>
      </c>
      <c r="J27" s="26">
        <v>144.3086956521739</v>
      </c>
      <c r="K27" s="26">
        <v>0.92199999999999993</v>
      </c>
      <c r="L27" s="25" t="s">
        <v>541</v>
      </c>
      <c r="M27" s="26">
        <f t="shared" si="2"/>
        <v>144.3086956521739</v>
      </c>
      <c r="N27" s="26">
        <f t="shared" si="1"/>
        <v>0.92199999999999993</v>
      </c>
    </row>
    <row r="28" spans="1:14" x14ac:dyDescent="0.35">
      <c r="A28">
        <v>202</v>
      </c>
      <c r="B28" t="s">
        <v>562</v>
      </c>
      <c r="C28">
        <v>42859</v>
      </c>
      <c r="D28" t="s">
        <v>120</v>
      </c>
      <c r="E28" s="26">
        <v>110.01739130434783</v>
      </c>
      <c r="F28" s="26">
        <v>1.4059999999999999</v>
      </c>
      <c r="G28" s="26">
        <v>243.98260869565215</v>
      </c>
      <c r="H28" s="26">
        <v>3.1179999999999999</v>
      </c>
      <c r="I28" s="25">
        <v>3</v>
      </c>
      <c r="J28" s="26">
        <v>81.327536231884054</v>
      </c>
      <c r="K28" s="26">
        <v>1.0393333333333332</v>
      </c>
      <c r="L28" s="25" t="s">
        <v>541</v>
      </c>
      <c r="M28" s="26">
        <f t="shared" si="2"/>
        <v>0</v>
      </c>
      <c r="N28" s="26">
        <f t="shared" si="1"/>
        <v>0</v>
      </c>
    </row>
    <row r="29" spans="1:14" x14ac:dyDescent="0.35">
      <c r="A29">
        <v>204</v>
      </c>
      <c r="B29" t="s">
        <v>564</v>
      </c>
      <c r="C29">
        <v>32041</v>
      </c>
      <c r="D29" t="s">
        <v>149</v>
      </c>
      <c r="E29" s="26">
        <v>15000.260869565216</v>
      </c>
      <c r="F29" s="26">
        <v>127.78</v>
      </c>
      <c r="G29" s="26">
        <v>30907.443478260866</v>
      </c>
      <c r="H29" s="26">
        <v>260.07</v>
      </c>
      <c r="I29" s="25">
        <v>5</v>
      </c>
      <c r="J29" s="26">
        <v>6181.4886956521732</v>
      </c>
      <c r="K29" s="26">
        <v>52.013999999999996</v>
      </c>
      <c r="L29" s="25" t="s">
        <v>543</v>
      </c>
      <c r="M29" s="26">
        <f t="shared" si="2"/>
        <v>12362.977391304346</v>
      </c>
      <c r="N29" s="26">
        <f t="shared" si="1"/>
        <v>104.02799999999999</v>
      </c>
    </row>
    <row r="30" spans="1:14" x14ac:dyDescent="0.35">
      <c r="A30">
        <v>204</v>
      </c>
      <c r="B30" t="s">
        <v>564</v>
      </c>
      <c r="C30">
        <v>55100</v>
      </c>
      <c r="D30" t="s">
        <v>170</v>
      </c>
      <c r="E30" s="26">
        <v>7159.6521739130421</v>
      </c>
      <c r="F30" s="26">
        <v>58.988</v>
      </c>
      <c r="G30" s="26">
        <v>10862.452173913043</v>
      </c>
      <c r="H30" s="26">
        <v>89.406000000000006</v>
      </c>
      <c r="I30" s="25">
        <v>3</v>
      </c>
      <c r="J30" s="26">
        <v>3620.8173913043479</v>
      </c>
      <c r="K30" s="26">
        <v>29.802000000000003</v>
      </c>
      <c r="L30" s="25" t="s">
        <v>541</v>
      </c>
      <c r="M30" s="26">
        <f t="shared" si="2"/>
        <v>0</v>
      </c>
      <c r="N30" s="26">
        <f t="shared" si="1"/>
        <v>0</v>
      </c>
    </row>
    <row r="31" spans="1:14" x14ac:dyDescent="0.35">
      <c r="A31">
        <v>204</v>
      </c>
      <c r="B31" t="s">
        <v>564</v>
      </c>
      <c r="C31">
        <v>34239</v>
      </c>
      <c r="D31" t="s">
        <v>153</v>
      </c>
      <c r="E31" s="26">
        <v>2728.2347826086962</v>
      </c>
      <c r="F31" s="26">
        <v>16.57</v>
      </c>
      <c r="G31" s="26">
        <v>14259.060869565219</v>
      </c>
      <c r="H31" s="26">
        <v>87.346000000000004</v>
      </c>
      <c r="I31" s="25">
        <v>9</v>
      </c>
      <c r="J31" s="26">
        <v>1584.3400966183576</v>
      </c>
      <c r="K31" s="26">
        <v>9.7051111111111119</v>
      </c>
      <c r="L31" s="25" t="s">
        <v>542</v>
      </c>
      <c r="M31" s="26">
        <f t="shared" si="2"/>
        <v>1584.3400966183576</v>
      </c>
      <c r="N31" s="26">
        <f t="shared" si="1"/>
        <v>9.7051111111111119</v>
      </c>
    </row>
    <row r="32" spans="1:14" x14ac:dyDescent="0.35">
      <c r="A32">
        <v>204</v>
      </c>
      <c r="B32" t="s">
        <v>564</v>
      </c>
      <c r="C32">
        <v>39811</v>
      </c>
      <c r="D32" t="s">
        <v>158</v>
      </c>
      <c r="E32" s="26">
        <v>2628</v>
      </c>
      <c r="F32" s="26">
        <v>13.738</v>
      </c>
      <c r="G32" s="26">
        <v>13095.165217391303</v>
      </c>
      <c r="H32" s="26">
        <v>70.006</v>
      </c>
      <c r="I32" s="25">
        <v>9</v>
      </c>
      <c r="J32" s="26">
        <v>1455.0183574879225</v>
      </c>
      <c r="K32" s="26">
        <v>7.7784444444444443</v>
      </c>
      <c r="L32" s="25" t="s">
        <v>542</v>
      </c>
      <c r="M32" s="26">
        <f t="shared" si="2"/>
        <v>1455.0183574879225</v>
      </c>
      <c r="N32" s="26">
        <f t="shared" si="1"/>
        <v>7.7784444444444443</v>
      </c>
    </row>
    <row r="33" spans="1:14" x14ac:dyDescent="0.35">
      <c r="A33">
        <v>204</v>
      </c>
      <c r="B33" t="s">
        <v>564</v>
      </c>
      <c r="C33">
        <v>34242</v>
      </c>
      <c r="D33" t="s">
        <v>156</v>
      </c>
      <c r="E33" s="26">
        <v>2409.5652173913045</v>
      </c>
      <c r="F33" s="26">
        <v>11.742000000000001</v>
      </c>
      <c r="G33" s="26">
        <v>12468.982608695653</v>
      </c>
      <c r="H33" s="26">
        <v>62.433999999999997</v>
      </c>
      <c r="I33" s="25">
        <v>9</v>
      </c>
      <c r="J33" s="26">
        <v>1385.4425120772949</v>
      </c>
      <c r="K33" s="26">
        <v>6.9371111111111112</v>
      </c>
      <c r="L33" s="25" t="s">
        <v>542</v>
      </c>
      <c r="M33" s="26">
        <f t="shared" si="2"/>
        <v>1385.4425120772949</v>
      </c>
      <c r="N33" s="26">
        <f t="shared" si="1"/>
        <v>6.9371111111111112</v>
      </c>
    </row>
    <row r="34" spans="1:14" x14ac:dyDescent="0.35">
      <c r="A34">
        <v>204</v>
      </c>
      <c r="B34" t="s">
        <v>564</v>
      </c>
      <c r="C34">
        <v>34250</v>
      </c>
      <c r="D34" t="s">
        <v>161</v>
      </c>
      <c r="E34" s="26">
        <v>1460.7565217391302</v>
      </c>
      <c r="F34" s="26">
        <v>9.032</v>
      </c>
      <c r="G34" s="26">
        <v>8050.8782608695647</v>
      </c>
      <c r="H34" s="26">
        <v>50.466000000000001</v>
      </c>
      <c r="I34" s="25">
        <v>9</v>
      </c>
      <c r="J34" s="26">
        <v>894.54202898550716</v>
      </c>
      <c r="K34" s="26">
        <v>5.6073333333333331</v>
      </c>
      <c r="L34" s="25" t="s">
        <v>542</v>
      </c>
      <c r="M34" s="26">
        <f t="shared" si="2"/>
        <v>894.54202898550716</v>
      </c>
      <c r="N34" s="26">
        <f t="shared" si="1"/>
        <v>5.6073333333333331</v>
      </c>
    </row>
    <row r="35" spans="1:14" x14ac:dyDescent="0.35">
      <c r="A35">
        <v>204</v>
      </c>
      <c r="B35" t="s">
        <v>564</v>
      </c>
      <c r="C35">
        <v>45848</v>
      </c>
      <c r="D35" t="s">
        <v>167</v>
      </c>
      <c r="E35" s="26">
        <v>835.26086956521738</v>
      </c>
      <c r="F35" s="26">
        <v>5.4580000000000002</v>
      </c>
      <c r="G35" s="26">
        <v>4949.4260869565223</v>
      </c>
      <c r="H35" s="26">
        <v>32.694000000000003</v>
      </c>
      <c r="I35" s="25">
        <v>8</v>
      </c>
      <c r="J35" s="26">
        <v>618.67826086956529</v>
      </c>
      <c r="K35" s="26">
        <v>4.0867500000000003</v>
      </c>
      <c r="L35" s="25" t="s">
        <v>542</v>
      </c>
      <c r="M35" s="26">
        <f t="shared" si="2"/>
        <v>1237.3565217391306</v>
      </c>
      <c r="N35" s="26">
        <f t="shared" si="1"/>
        <v>8.1735000000000007</v>
      </c>
    </row>
    <row r="36" spans="1:14" x14ac:dyDescent="0.35">
      <c r="A36">
        <v>204</v>
      </c>
      <c r="B36" t="s">
        <v>564</v>
      </c>
      <c r="C36">
        <v>34241</v>
      </c>
      <c r="D36" t="s">
        <v>155</v>
      </c>
      <c r="E36" s="26">
        <v>693.91304347826099</v>
      </c>
      <c r="F36" s="26">
        <v>3.99</v>
      </c>
      <c r="G36" s="26">
        <v>3580.0521739130436</v>
      </c>
      <c r="H36" s="26">
        <v>20.586000000000002</v>
      </c>
      <c r="I36" s="25">
        <v>9</v>
      </c>
      <c r="J36" s="26">
        <v>397.78357487922705</v>
      </c>
      <c r="K36" s="26">
        <v>2.2873333333333337</v>
      </c>
      <c r="L36" s="25" t="s">
        <v>542</v>
      </c>
      <c r="M36" s="26">
        <f t="shared" si="2"/>
        <v>397.78357487922705</v>
      </c>
      <c r="N36" s="26">
        <f t="shared" si="1"/>
        <v>2.2873333333333337</v>
      </c>
    </row>
    <row r="37" spans="1:14" x14ac:dyDescent="0.35">
      <c r="A37">
        <v>204</v>
      </c>
      <c r="B37" t="s">
        <v>564</v>
      </c>
      <c r="C37">
        <v>34249</v>
      </c>
      <c r="D37" t="s">
        <v>160</v>
      </c>
      <c r="E37" s="26">
        <v>706.2</v>
      </c>
      <c r="F37" s="26">
        <v>4.5119999999999996</v>
      </c>
      <c r="G37" s="26">
        <v>3002.0521739130427</v>
      </c>
      <c r="H37" s="26">
        <v>19.372</v>
      </c>
      <c r="I37" s="25">
        <v>9</v>
      </c>
      <c r="J37" s="26">
        <v>333.56135265700476</v>
      </c>
      <c r="K37" s="26">
        <v>2.1524444444444444</v>
      </c>
      <c r="L37" s="25" t="s">
        <v>542</v>
      </c>
      <c r="M37" s="26">
        <f t="shared" si="2"/>
        <v>333.56135265700476</v>
      </c>
      <c r="N37" s="26">
        <f t="shared" si="1"/>
        <v>2.1524444444444444</v>
      </c>
    </row>
    <row r="38" spans="1:14" x14ac:dyDescent="0.35">
      <c r="A38">
        <v>204</v>
      </c>
      <c r="B38" t="s">
        <v>564</v>
      </c>
      <c r="C38">
        <v>63475</v>
      </c>
      <c r="D38" t="s">
        <v>169</v>
      </c>
      <c r="E38" s="26">
        <v>599.5826086956522</v>
      </c>
      <c r="F38" s="26">
        <v>5.4279999999999999</v>
      </c>
      <c r="G38" s="26">
        <v>2933.3826086956524</v>
      </c>
      <c r="H38" s="26">
        <v>26.541000000000004</v>
      </c>
      <c r="I38" s="25">
        <v>9</v>
      </c>
      <c r="J38" s="26">
        <v>325.93140096618362</v>
      </c>
      <c r="K38" s="26">
        <v>2.9490000000000003</v>
      </c>
      <c r="L38" s="25" t="s">
        <v>542</v>
      </c>
      <c r="M38" s="26">
        <f t="shared" si="2"/>
        <v>325.93140096618362</v>
      </c>
      <c r="N38" s="26">
        <f t="shared" si="1"/>
        <v>2.9490000000000003</v>
      </c>
    </row>
    <row r="39" spans="1:14" x14ac:dyDescent="0.35">
      <c r="A39">
        <v>204</v>
      </c>
      <c r="B39" t="s">
        <v>564</v>
      </c>
      <c r="C39">
        <v>34247</v>
      </c>
      <c r="D39" t="s">
        <v>159</v>
      </c>
      <c r="E39" s="26">
        <v>494.38260869565215</v>
      </c>
      <c r="F39" s="26">
        <v>3.35</v>
      </c>
      <c r="G39" s="26">
        <v>2312.695652173913</v>
      </c>
      <c r="H39" s="26">
        <v>16.404</v>
      </c>
      <c r="I39" s="25">
        <v>9</v>
      </c>
      <c r="J39" s="26">
        <v>256.96618357487921</v>
      </c>
      <c r="K39" s="26">
        <v>1.8226666666666667</v>
      </c>
      <c r="L39" s="25" t="s">
        <v>542</v>
      </c>
      <c r="M39" s="26">
        <f t="shared" si="2"/>
        <v>256.96618357487921</v>
      </c>
      <c r="N39" s="26">
        <f t="shared" si="1"/>
        <v>1.8226666666666667</v>
      </c>
    </row>
    <row r="40" spans="1:14" x14ac:dyDescent="0.35">
      <c r="A40">
        <v>204</v>
      </c>
      <c r="B40" t="s">
        <v>564</v>
      </c>
      <c r="C40">
        <v>34240</v>
      </c>
      <c r="D40" t="s">
        <v>154</v>
      </c>
      <c r="E40" s="26">
        <v>261.06086956521744</v>
      </c>
      <c r="F40" s="26">
        <v>1.6679999999999999</v>
      </c>
      <c r="G40" s="26">
        <v>625.42608695652177</v>
      </c>
      <c r="H40" s="26">
        <v>3.9959999999999996</v>
      </c>
      <c r="I40" s="25">
        <v>4</v>
      </c>
      <c r="J40" s="26">
        <v>156.35652173913044</v>
      </c>
      <c r="K40" s="26">
        <v>0.99899999999999989</v>
      </c>
      <c r="L40" s="25" t="s">
        <v>543</v>
      </c>
      <c r="M40" s="26">
        <f t="shared" si="2"/>
        <v>469.0695652173913</v>
      </c>
      <c r="N40" s="26">
        <f t="shared" si="1"/>
        <v>2.9969999999999999</v>
      </c>
    </row>
    <row r="41" spans="1:14" x14ac:dyDescent="0.35">
      <c r="A41">
        <v>204</v>
      </c>
      <c r="B41" t="s">
        <v>564</v>
      </c>
      <c r="C41">
        <v>59535</v>
      </c>
      <c r="D41" t="s">
        <v>171</v>
      </c>
      <c r="E41" s="26">
        <v>283.2347826086957</v>
      </c>
      <c r="F41" s="26">
        <v>1.9159999999999999</v>
      </c>
      <c r="G41" s="26">
        <v>728.19130434782608</v>
      </c>
      <c r="H41" s="26">
        <v>4.9260000000000002</v>
      </c>
      <c r="I41" s="25">
        <v>5</v>
      </c>
      <c r="J41" s="26">
        <v>145.63826086956522</v>
      </c>
      <c r="K41" s="26">
        <v>0.98520000000000008</v>
      </c>
      <c r="L41" s="25" t="s">
        <v>543</v>
      </c>
      <c r="M41" s="26">
        <f t="shared" si="2"/>
        <v>291.27652173913043</v>
      </c>
      <c r="N41" s="26">
        <f t="shared" si="1"/>
        <v>1.9704000000000002</v>
      </c>
    </row>
    <row r="42" spans="1:14" x14ac:dyDescent="0.35">
      <c r="A42">
        <v>204</v>
      </c>
      <c r="B42" t="s">
        <v>564</v>
      </c>
      <c r="C42">
        <v>50339</v>
      </c>
      <c r="D42" t="s">
        <v>168</v>
      </c>
      <c r="E42" s="26">
        <v>182.77391304347827</v>
      </c>
      <c r="F42" s="26">
        <v>2.6280000000000001</v>
      </c>
      <c r="G42" s="26">
        <v>904.01739130434794</v>
      </c>
      <c r="H42" s="26">
        <v>13.05</v>
      </c>
      <c r="I42" s="25">
        <v>7</v>
      </c>
      <c r="J42" s="26">
        <v>129.14534161490684</v>
      </c>
      <c r="K42" s="26">
        <v>1.8642857142857143</v>
      </c>
      <c r="L42" s="25" t="s">
        <v>543</v>
      </c>
      <c r="M42" s="26">
        <f t="shared" si="2"/>
        <v>0</v>
      </c>
      <c r="N42" s="26">
        <f t="shared" si="1"/>
        <v>0</v>
      </c>
    </row>
    <row r="43" spans="1:14" x14ac:dyDescent="0.35">
      <c r="A43">
        <v>204</v>
      </c>
      <c r="B43" t="s">
        <v>564</v>
      </c>
      <c r="C43">
        <v>34238</v>
      </c>
      <c r="D43" t="s">
        <v>152</v>
      </c>
      <c r="E43" s="26">
        <v>153.60869565217394</v>
      </c>
      <c r="F43" s="26">
        <v>2.524</v>
      </c>
      <c r="G43" s="26">
        <v>766.47826086956525</v>
      </c>
      <c r="H43" s="26">
        <v>12.593999999999999</v>
      </c>
      <c r="I43" s="25">
        <v>7</v>
      </c>
      <c r="J43" s="26">
        <v>109.49689440993789</v>
      </c>
      <c r="K43" s="26">
        <v>1.7991428571428572</v>
      </c>
      <c r="L43" s="25" t="s">
        <v>543</v>
      </c>
      <c r="M43" s="26">
        <f t="shared" si="2"/>
        <v>0</v>
      </c>
      <c r="N43" s="26">
        <f t="shared" si="1"/>
        <v>0</v>
      </c>
    </row>
    <row r="44" spans="1:14" x14ac:dyDescent="0.35">
      <c r="A44">
        <v>204</v>
      </c>
      <c r="B44" t="s">
        <v>564</v>
      </c>
      <c r="C44">
        <v>44900</v>
      </c>
      <c r="D44" t="s">
        <v>164</v>
      </c>
      <c r="E44" s="26">
        <v>73.730434782608697</v>
      </c>
      <c r="F44" s="26">
        <v>0.53</v>
      </c>
      <c r="G44" s="26">
        <v>73.730434782608697</v>
      </c>
      <c r="H44" s="26">
        <v>0.53</v>
      </c>
      <c r="I44" s="25">
        <v>1</v>
      </c>
      <c r="J44" s="26">
        <v>73.730434782608697</v>
      </c>
      <c r="K44" s="26">
        <v>0.53</v>
      </c>
      <c r="L44" s="25" t="s">
        <v>541</v>
      </c>
      <c r="M44" s="26">
        <f t="shared" si="2"/>
        <v>147.46086956521739</v>
      </c>
      <c r="N44" s="26">
        <f t="shared" si="1"/>
        <v>1.06</v>
      </c>
    </row>
    <row r="45" spans="1:14" x14ac:dyDescent="0.35">
      <c r="A45">
        <v>205</v>
      </c>
      <c r="B45" t="s">
        <v>565</v>
      </c>
      <c r="C45">
        <v>34261</v>
      </c>
      <c r="D45" t="s">
        <v>182</v>
      </c>
      <c r="E45" s="26">
        <v>1321.0695652173913</v>
      </c>
      <c r="F45" s="26">
        <v>9.9740000000000002</v>
      </c>
      <c r="G45" s="26">
        <v>8206.6782608695648</v>
      </c>
      <c r="H45" s="26">
        <v>59.948000000000008</v>
      </c>
      <c r="I45" s="25">
        <v>9</v>
      </c>
      <c r="J45" s="26">
        <v>911.85314009661829</v>
      </c>
      <c r="K45" s="26">
        <v>6.6608888888888895</v>
      </c>
      <c r="L45" s="25" t="s">
        <v>542</v>
      </c>
      <c r="M45" s="26">
        <f t="shared" si="2"/>
        <v>911.85314009661829</v>
      </c>
      <c r="N45" s="26">
        <f t="shared" si="1"/>
        <v>6.6608888888888895</v>
      </c>
    </row>
    <row r="46" spans="1:14" x14ac:dyDescent="0.35">
      <c r="A46">
        <v>205</v>
      </c>
      <c r="B46" t="s">
        <v>565</v>
      </c>
      <c r="C46">
        <v>34258</v>
      </c>
      <c r="D46" t="s">
        <v>179</v>
      </c>
      <c r="E46" s="26">
        <v>1253.4521739130435</v>
      </c>
      <c r="F46" s="26">
        <v>9.048</v>
      </c>
      <c r="G46" s="26">
        <v>7624.7478260869575</v>
      </c>
      <c r="H46" s="26">
        <v>55.638000000000005</v>
      </c>
      <c r="I46" s="25">
        <v>9</v>
      </c>
      <c r="J46" s="26">
        <v>847.19420289855088</v>
      </c>
      <c r="K46" s="26">
        <v>6.1820000000000004</v>
      </c>
      <c r="L46" s="25" t="s">
        <v>542</v>
      </c>
      <c r="M46" s="26">
        <f t="shared" si="2"/>
        <v>847.19420289855088</v>
      </c>
      <c r="N46" s="26">
        <f t="shared" si="1"/>
        <v>6.1820000000000004</v>
      </c>
    </row>
    <row r="47" spans="1:14" x14ac:dyDescent="0.35">
      <c r="A47">
        <v>205</v>
      </c>
      <c r="B47" t="s">
        <v>565</v>
      </c>
      <c r="C47">
        <v>34255</v>
      </c>
      <c r="D47" t="s">
        <v>176</v>
      </c>
      <c r="E47" s="26">
        <v>1172.4521739130435</v>
      </c>
      <c r="F47" s="26">
        <v>8.48</v>
      </c>
      <c r="G47" s="26">
        <v>6937.6173913043476</v>
      </c>
      <c r="H47" s="26">
        <v>50.888000000000005</v>
      </c>
      <c r="I47" s="25">
        <v>9</v>
      </c>
      <c r="J47" s="26">
        <v>770.84637681159415</v>
      </c>
      <c r="K47" s="26">
        <v>5.6542222222222227</v>
      </c>
      <c r="L47" s="25" t="s">
        <v>542</v>
      </c>
      <c r="M47" s="26">
        <f t="shared" si="2"/>
        <v>770.84637681159415</v>
      </c>
      <c r="N47" s="26">
        <f t="shared" si="1"/>
        <v>5.6542222222222227</v>
      </c>
    </row>
    <row r="48" spans="1:14" x14ac:dyDescent="0.35">
      <c r="A48">
        <v>205</v>
      </c>
      <c r="B48" t="s">
        <v>565</v>
      </c>
      <c r="C48">
        <v>56816</v>
      </c>
      <c r="D48" t="s">
        <v>188</v>
      </c>
      <c r="E48" s="26">
        <v>705.31304347826085</v>
      </c>
      <c r="F48" s="26">
        <v>6.7119999999999997</v>
      </c>
      <c r="G48" s="26">
        <v>4559.9304347826082</v>
      </c>
      <c r="H48" s="26">
        <v>41.141999999999996</v>
      </c>
      <c r="I48" s="25">
        <v>9</v>
      </c>
      <c r="J48" s="26">
        <v>506.65893719806758</v>
      </c>
      <c r="K48" s="26">
        <v>4.5713333333333326</v>
      </c>
      <c r="L48" s="25" t="s">
        <v>542</v>
      </c>
      <c r="M48" s="26">
        <f t="shared" si="2"/>
        <v>506.65893719806758</v>
      </c>
      <c r="N48" s="26">
        <f t="shared" si="1"/>
        <v>4.5713333333333326</v>
      </c>
    </row>
    <row r="49" spans="1:14" x14ac:dyDescent="0.35">
      <c r="A49">
        <v>205</v>
      </c>
      <c r="B49" t="s">
        <v>565</v>
      </c>
      <c r="C49">
        <v>34262</v>
      </c>
      <c r="D49" t="s">
        <v>183</v>
      </c>
      <c r="E49" s="26">
        <v>494.42608695652166</v>
      </c>
      <c r="F49" s="26">
        <v>4.0919999999999996</v>
      </c>
      <c r="G49" s="26">
        <v>494.42608695652166</v>
      </c>
      <c r="H49" s="26">
        <v>4.0919999999999996</v>
      </c>
      <c r="I49" s="25">
        <v>1</v>
      </c>
      <c r="J49" s="26">
        <v>494.42608695652166</v>
      </c>
      <c r="K49" s="26">
        <v>4.0919999999999996</v>
      </c>
      <c r="L49" s="25" t="s">
        <v>541</v>
      </c>
      <c r="M49" s="26">
        <f t="shared" si="2"/>
        <v>988.85217391304332</v>
      </c>
      <c r="N49" s="26">
        <f t="shared" si="1"/>
        <v>8.1839999999999993</v>
      </c>
    </row>
    <row r="50" spans="1:14" x14ac:dyDescent="0.35">
      <c r="A50">
        <v>205</v>
      </c>
      <c r="B50" t="s">
        <v>565</v>
      </c>
      <c r="C50">
        <v>34267</v>
      </c>
      <c r="D50" t="s">
        <v>187</v>
      </c>
      <c r="E50" s="26">
        <v>747.58260869565208</v>
      </c>
      <c r="F50" s="26">
        <v>5.7320000000000002</v>
      </c>
      <c r="G50" s="26">
        <v>4048.5565217391299</v>
      </c>
      <c r="H50" s="26">
        <v>31.778000000000006</v>
      </c>
      <c r="I50" s="25">
        <v>9</v>
      </c>
      <c r="J50" s="26">
        <v>449.83961352657002</v>
      </c>
      <c r="K50" s="26">
        <v>3.5308888888888896</v>
      </c>
      <c r="L50" s="25" t="s">
        <v>542</v>
      </c>
      <c r="M50" s="26">
        <f t="shared" si="2"/>
        <v>449.83961352657002</v>
      </c>
      <c r="N50" s="26">
        <f t="shared" si="1"/>
        <v>3.5308888888888896</v>
      </c>
    </row>
    <row r="51" spans="1:14" x14ac:dyDescent="0.35">
      <c r="A51">
        <v>205</v>
      </c>
      <c r="B51" t="s">
        <v>565</v>
      </c>
      <c r="C51">
        <v>34266</v>
      </c>
      <c r="D51" t="s">
        <v>186</v>
      </c>
      <c r="E51" s="26">
        <v>495.34782608695662</v>
      </c>
      <c r="F51" s="26">
        <v>3.8380000000000001</v>
      </c>
      <c r="G51" s="26">
        <v>2073.0695652173913</v>
      </c>
      <c r="H51" s="26">
        <v>16.222000000000001</v>
      </c>
      <c r="I51" s="25">
        <v>7</v>
      </c>
      <c r="J51" s="26">
        <v>296.15279503105592</v>
      </c>
      <c r="K51" s="26">
        <v>2.3174285714285716</v>
      </c>
      <c r="L51" s="25" t="s">
        <v>543</v>
      </c>
      <c r="M51" s="26">
        <f t="shared" si="2"/>
        <v>0</v>
      </c>
      <c r="N51" s="26">
        <f t="shared" si="1"/>
        <v>0</v>
      </c>
    </row>
    <row r="52" spans="1:14" x14ac:dyDescent="0.35">
      <c r="A52">
        <v>205</v>
      </c>
      <c r="B52" t="s">
        <v>565</v>
      </c>
      <c r="C52">
        <v>34257</v>
      </c>
      <c r="D52" t="s">
        <v>178</v>
      </c>
      <c r="E52" s="26">
        <v>332.07826086956521</v>
      </c>
      <c r="F52" s="26">
        <v>2.5459999999999998</v>
      </c>
      <c r="G52" s="26">
        <v>1654.913043478261</v>
      </c>
      <c r="H52" s="26">
        <v>12.961</v>
      </c>
      <c r="I52" s="25">
        <v>9</v>
      </c>
      <c r="J52" s="26">
        <v>183.87922705314011</v>
      </c>
      <c r="K52" s="26">
        <v>1.4401111111111111</v>
      </c>
      <c r="L52" s="25" t="s">
        <v>542</v>
      </c>
      <c r="M52" s="26">
        <f t="shared" si="2"/>
        <v>183.87922705314011</v>
      </c>
      <c r="N52" s="26">
        <f t="shared" si="1"/>
        <v>1.4401111111111111</v>
      </c>
    </row>
    <row r="53" spans="1:14" x14ac:dyDescent="0.35">
      <c r="A53">
        <v>205</v>
      </c>
      <c r="B53" t="s">
        <v>565</v>
      </c>
      <c r="C53">
        <v>34256</v>
      </c>
      <c r="D53" t="s">
        <v>177</v>
      </c>
      <c r="E53" s="26">
        <v>168.78260869565219</v>
      </c>
      <c r="F53" s="26">
        <v>1.294</v>
      </c>
      <c r="G53" s="26">
        <v>305.99130434782609</v>
      </c>
      <c r="H53" s="26">
        <v>2.3460000000000001</v>
      </c>
      <c r="I53" s="25">
        <v>2</v>
      </c>
      <c r="J53" s="26">
        <v>152.99565217391304</v>
      </c>
      <c r="K53" s="26">
        <v>1.173</v>
      </c>
      <c r="L53" s="25" t="s">
        <v>541</v>
      </c>
      <c r="M53" s="26">
        <f t="shared" si="2"/>
        <v>152.99565217391304</v>
      </c>
      <c r="N53" s="26">
        <f t="shared" si="1"/>
        <v>1.173</v>
      </c>
    </row>
    <row r="54" spans="1:14" x14ac:dyDescent="0.35">
      <c r="A54">
        <v>205</v>
      </c>
      <c r="B54" t="s">
        <v>565</v>
      </c>
      <c r="C54">
        <v>34264</v>
      </c>
      <c r="D54" t="s">
        <v>184</v>
      </c>
      <c r="E54" s="26">
        <v>235.01739130434783</v>
      </c>
      <c r="F54" s="26">
        <v>1.802</v>
      </c>
      <c r="G54" s="26">
        <v>1202.5478260869563</v>
      </c>
      <c r="H54" s="26">
        <v>9.418000000000001</v>
      </c>
      <c r="I54" s="25">
        <v>8</v>
      </c>
      <c r="J54" s="26">
        <v>150.31847826086954</v>
      </c>
      <c r="K54" s="26">
        <v>1.1772500000000001</v>
      </c>
      <c r="L54" s="25" t="s">
        <v>542</v>
      </c>
      <c r="M54" s="26">
        <f t="shared" si="2"/>
        <v>300.63695652173908</v>
      </c>
      <c r="N54" s="26">
        <f t="shared" si="1"/>
        <v>2.3545000000000003</v>
      </c>
    </row>
    <row r="55" spans="1:14" x14ac:dyDescent="0.35">
      <c r="A55">
        <v>206</v>
      </c>
      <c r="B55" t="s">
        <v>566</v>
      </c>
      <c r="C55">
        <v>39771</v>
      </c>
      <c r="D55" t="s">
        <v>199</v>
      </c>
      <c r="E55" s="26">
        <v>545.86956521739125</v>
      </c>
      <c r="F55" s="26">
        <v>6.976</v>
      </c>
      <c r="G55" s="26">
        <v>2375.4869565217396</v>
      </c>
      <c r="H55" s="26">
        <v>30.394000000000002</v>
      </c>
      <c r="I55" s="25">
        <v>8</v>
      </c>
      <c r="J55" s="26">
        <v>296.93586956521744</v>
      </c>
      <c r="K55" s="26">
        <v>3.7992500000000002</v>
      </c>
      <c r="L55" s="25" t="s">
        <v>542</v>
      </c>
      <c r="M55" s="26">
        <f t="shared" si="2"/>
        <v>593.87173913043489</v>
      </c>
      <c r="N55" s="26">
        <f t="shared" si="1"/>
        <v>7.5985000000000005</v>
      </c>
    </row>
    <row r="56" spans="1:14" x14ac:dyDescent="0.35">
      <c r="A56">
        <v>206</v>
      </c>
      <c r="B56" t="s">
        <v>566</v>
      </c>
      <c r="C56">
        <v>34271</v>
      </c>
      <c r="D56" t="s">
        <v>196</v>
      </c>
      <c r="E56" s="26">
        <v>375.6</v>
      </c>
      <c r="F56" s="26">
        <v>21.608000000000001</v>
      </c>
      <c r="G56" s="26">
        <v>2314.0782608695654</v>
      </c>
      <c r="H56" s="26">
        <v>133.32399999999998</v>
      </c>
      <c r="I56" s="25">
        <v>9</v>
      </c>
      <c r="J56" s="26">
        <v>257.11980676328506</v>
      </c>
      <c r="K56" s="26">
        <v>14.813777777777776</v>
      </c>
      <c r="L56" s="25" t="s">
        <v>542</v>
      </c>
      <c r="M56" s="26">
        <f t="shared" si="2"/>
        <v>257.11980676328506</v>
      </c>
      <c r="N56" s="26">
        <f t="shared" si="1"/>
        <v>14.813777777777776</v>
      </c>
    </row>
    <row r="57" spans="1:14" x14ac:dyDescent="0.35">
      <c r="A57">
        <v>206</v>
      </c>
      <c r="B57" t="s">
        <v>566</v>
      </c>
      <c r="C57">
        <v>34297</v>
      </c>
      <c r="D57" t="s">
        <v>197</v>
      </c>
      <c r="E57" s="26">
        <v>237.20869565217393</v>
      </c>
      <c r="F57" s="26">
        <v>27.448</v>
      </c>
      <c r="G57" s="26">
        <v>883.13043478260863</v>
      </c>
      <c r="H57" s="26">
        <v>102.179</v>
      </c>
      <c r="I57" s="25">
        <v>8</v>
      </c>
      <c r="J57" s="26">
        <v>110.39130434782608</v>
      </c>
      <c r="K57" s="26">
        <v>12.772375</v>
      </c>
      <c r="L57" s="25" t="s">
        <v>542</v>
      </c>
      <c r="M57" s="26">
        <f t="shared" si="2"/>
        <v>220.78260869565216</v>
      </c>
      <c r="N57" s="26">
        <f t="shared" si="1"/>
        <v>25.544750000000001</v>
      </c>
    </row>
    <row r="58" spans="1:14" x14ac:dyDescent="0.35">
      <c r="A58">
        <v>207</v>
      </c>
      <c r="B58" t="s">
        <v>567</v>
      </c>
      <c r="C58">
        <v>63470</v>
      </c>
      <c r="D58" t="s">
        <v>263</v>
      </c>
      <c r="E58" s="26">
        <v>12018.739130434784</v>
      </c>
      <c r="F58" s="26">
        <v>138.262</v>
      </c>
      <c r="G58" s="26">
        <v>71881.052173913049</v>
      </c>
      <c r="H58" s="26">
        <v>834.86299999999994</v>
      </c>
      <c r="I58" s="25">
        <v>9</v>
      </c>
      <c r="J58" s="26">
        <v>7986.7835748792277</v>
      </c>
      <c r="K58" s="26">
        <v>92.762555555555551</v>
      </c>
      <c r="L58" s="25" t="s">
        <v>542</v>
      </c>
      <c r="M58" s="26">
        <f t="shared" si="2"/>
        <v>7986.7835748792277</v>
      </c>
      <c r="N58" s="26">
        <f t="shared" si="1"/>
        <v>92.762555555555551</v>
      </c>
    </row>
    <row r="59" spans="1:14" x14ac:dyDescent="0.35">
      <c r="A59">
        <v>207</v>
      </c>
      <c r="B59" t="s">
        <v>567</v>
      </c>
      <c r="C59">
        <v>63471</v>
      </c>
      <c r="D59" t="s">
        <v>264</v>
      </c>
      <c r="E59" s="26">
        <v>8207.939130434781</v>
      </c>
      <c r="F59" s="26">
        <v>91.760999999999996</v>
      </c>
      <c r="G59" s="26">
        <v>47431.808695652173</v>
      </c>
      <c r="H59" s="26">
        <v>497.702</v>
      </c>
      <c r="I59" s="25">
        <v>9</v>
      </c>
      <c r="J59" s="26">
        <v>5270.2009661835746</v>
      </c>
      <c r="K59" s="26">
        <v>55.300222222222224</v>
      </c>
      <c r="L59" s="25" t="s">
        <v>542</v>
      </c>
      <c r="M59" s="26">
        <f t="shared" si="2"/>
        <v>5270.2009661835746</v>
      </c>
      <c r="N59" s="26">
        <f t="shared" si="1"/>
        <v>55.300222222222224</v>
      </c>
    </row>
    <row r="60" spans="1:14" x14ac:dyDescent="0.35">
      <c r="A60">
        <v>207</v>
      </c>
      <c r="B60" t="s">
        <v>567</v>
      </c>
      <c r="C60">
        <v>63474</v>
      </c>
      <c r="D60" t="s">
        <v>202</v>
      </c>
      <c r="E60" s="26">
        <v>4552.2434782608698</v>
      </c>
      <c r="F60" s="26">
        <v>40.274000000000001</v>
      </c>
      <c r="G60" s="26">
        <v>26515.08695652174</v>
      </c>
      <c r="H60" s="26">
        <v>234.79000000000002</v>
      </c>
      <c r="I60" s="25">
        <v>8</v>
      </c>
      <c r="J60" s="26">
        <v>3314.3858695652175</v>
      </c>
      <c r="K60" s="26">
        <v>29.348750000000003</v>
      </c>
      <c r="L60" s="25" t="s">
        <v>542</v>
      </c>
      <c r="M60" s="26">
        <f t="shared" si="2"/>
        <v>6628.771739130435</v>
      </c>
      <c r="N60" s="26">
        <f t="shared" si="1"/>
        <v>58.697500000000005</v>
      </c>
    </row>
    <row r="61" spans="1:14" x14ac:dyDescent="0.35">
      <c r="A61">
        <v>207</v>
      </c>
      <c r="B61" t="s">
        <v>567</v>
      </c>
      <c r="C61">
        <v>66630</v>
      </c>
      <c r="D61" t="s">
        <v>220</v>
      </c>
      <c r="E61" s="26">
        <v>4602.3217391304343</v>
      </c>
      <c r="F61" s="26">
        <v>61.55</v>
      </c>
      <c r="G61" s="26">
        <v>5899.5043478260868</v>
      </c>
      <c r="H61" s="26">
        <v>78.128</v>
      </c>
      <c r="I61" s="25">
        <v>2</v>
      </c>
      <c r="J61" s="26">
        <v>2949.7521739130434</v>
      </c>
      <c r="K61" s="26">
        <v>39.064</v>
      </c>
      <c r="L61" s="25" t="s">
        <v>541</v>
      </c>
      <c r="M61" s="26">
        <f t="shared" si="2"/>
        <v>2949.7521739130434</v>
      </c>
      <c r="N61" s="26">
        <f t="shared" si="1"/>
        <v>39.064</v>
      </c>
    </row>
    <row r="62" spans="1:14" x14ac:dyDescent="0.35">
      <c r="A62">
        <v>207</v>
      </c>
      <c r="B62" t="s">
        <v>567</v>
      </c>
      <c r="C62">
        <v>54562</v>
      </c>
      <c r="D62" t="s">
        <v>243</v>
      </c>
      <c r="E62" s="26">
        <v>4126.6608695652185</v>
      </c>
      <c r="F62" s="26">
        <v>34</v>
      </c>
      <c r="G62" s="26">
        <v>17060.191304347827</v>
      </c>
      <c r="H62" s="26">
        <v>132</v>
      </c>
      <c r="I62" s="25">
        <v>8</v>
      </c>
      <c r="J62" s="26">
        <v>2132.5239130434784</v>
      </c>
      <c r="K62" s="26">
        <v>16.5</v>
      </c>
      <c r="L62" s="25" t="s">
        <v>542</v>
      </c>
      <c r="M62" s="26">
        <f t="shared" si="2"/>
        <v>4265.0478260869568</v>
      </c>
      <c r="N62" s="26">
        <f t="shared" si="1"/>
        <v>33</v>
      </c>
    </row>
    <row r="63" spans="1:14" x14ac:dyDescent="0.35">
      <c r="A63">
        <v>207</v>
      </c>
      <c r="B63" t="s">
        <v>567</v>
      </c>
      <c r="C63">
        <v>63523</v>
      </c>
      <c r="D63" t="s">
        <v>203</v>
      </c>
      <c r="E63" s="26">
        <v>3506.7478260869566</v>
      </c>
      <c r="F63" s="26">
        <v>50.457999999999998</v>
      </c>
      <c r="G63" s="26">
        <v>16488.313043478258</v>
      </c>
      <c r="H63" s="26">
        <v>237.49799999999999</v>
      </c>
      <c r="I63" s="25">
        <v>9</v>
      </c>
      <c r="J63" s="26">
        <v>1832.0347826086954</v>
      </c>
      <c r="K63" s="26">
        <v>26.388666666666666</v>
      </c>
      <c r="L63" s="25" t="s">
        <v>542</v>
      </c>
      <c r="M63" s="26">
        <f t="shared" si="2"/>
        <v>1832.0347826086954</v>
      </c>
      <c r="N63" s="26">
        <f t="shared" si="1"/>
        <v>26.388666666666666</v>
      </c>
    </row>
    <row r="64" spans="1:14" x14ac:dyDescent="0.35">
      <c r="A64">
        <v>207</v>
      </c>
      <c r="B64" t="s">
        <v>567</v>
      </c>
      <c r="C64">
        <v>63472</v>
      </c>
      <c r="D64" t="s">
        <v>251</v>
      </c>
      <c r="E64" s="26">
        <v>3176.0260869565218</v>
      </c>
      <c r="F64" s="26">
        <v>36.527999999999999</v>
      </c>
      <c r="G64" s="26">
        <v>14281.869565217392</v>
      </c>
      <c r="H64" s="26">
        <v>151.35400000000001</v>
      </c>
      <c r="I64" s="25">
        <v>8</v>
      </c>
      <c r="J64" s="26">
        <v>1785.233695652174</v>
      </c>
      <c r="K64" s="26">
        <v>18.919250000000002</v>
      </c>
      <c r="L64" s="25" t="s">
        <v>542</v>
      </c>
      <c r="M64" s="26">
        <f t="shared" si="2"/>
        <v>3570.467391304348</v>
      </c>
      <c r="N64" s="26">
        <f t="shared" si="1"/>
        <v>37.838500000000003</v>
      </c>
    </row>
    <row r="65" spans="1:14" x14ac:dyDescent="0.35">
      <c r="A65">
        <v>207</v>
      </c>
      <c r="B65" t="s">
        <v>567</v>
      </c>
      <c r="C65">
        <v>54629</v>
      </c>
      <c r="D65" t="s">
        <v>244</v>
      </c>
      <c r="E65" s="26">
        <v>2799.7999999999997</v>
      </c>
      <c r="F65" s="26">
        <v>23</v>
      </c>
      <c r="G65" s="26">
        <v>12834.286956521739</v>
      </c>
      <c r="H65" s="26">
        <v>95</v>
      </c>
      <c r="I65" s="25">
        <v>9</v>
      </c>
      <c r="J65" s="26">
        <v>1426.031884057971</v>
      </c>
      <c r="K65" s="26">
        <v>10.555555555555555</v>
      </c>
      <c r="L65" s="25" t="s">
        <v>542</v>
      </c>
      <c r="M65" s="26">
        <f t="shared" si="2"/>
        <v>1426.031884057971</v>
      </c>
      <c r="N65" s="26">
        <f t="shared" si="1"/>
        <v>10.555555555555555</v>
      </c>
    </row>
    <row r="66" spans="1:14" x14ac:dyDescent="0.35">
      <c r="A66">
        <v>207</v>
      </c>
      <c r="B66" t="s">
        <v>567</v>
      </c>
      <c r="C66">
        <v>63497</v>
      </c>
      <c r="D66" t="s">
        <v>265</v>
      </c>
      <c r="E66" s="26">
        <v>1898.9391304347823</v>
      </c>
      <c r="F66" s="26">
        <v>15.6</v>
      </c>
      <c r="G66" s="26">
        <v>5184.7565217391302</v>
      </c>
      <c r="H66" s="26">
        <v>44.921999999999997</v>
      </c>
      <c r="I66" s="25">
        <v>4</v>
      </c>
      <c r="J66" s="26">
        <v>1296.1891304347826</v>
      </c>
      <c r="K66" s="26">
        <v>11.230499999999999</v>
      </c>
      <c r="L66" s="25" t="s">
        <v>543</v>
      </c>
      <c r="M66" s="26">
        <f t="shared" si="2"/>
        <v>3888.5673913043474</v>
      </c>
      <c r="N66" s="26">
        <f t="shared" si="1"/>
        <v>33.691499999999998</v>
      </c>
    </row>
    <row r="67" spans="1:14" x14ac:dyDescent="0.35">
      <c r="A67">
        <v>207</v>
      </c>
      <c r="B67" t="s">
        <v>567</v>
      </c>
      <c r="C67">
        <v>14922</v>
      </c>
      <c r="D67" t="s">
        <v>215</v>
      </c>
      <c r="E67" s="26">
        <v>1451.5913043478261</v>
      </c>
      <c r="F67" s="26">
        <v>62</v>
      </c>
      <c r="G67" s="26">
        <v>9715.217391304348</v>
      </c>
      <c r="H67" s="26">
        <v>415</v>
      </c>
      <c r="I67" s="25">
        <v>9</v>
      </c>
      <c r="J67" s="26">
        <v>1079.4685990338164</v>
      </c>
      <c r="K67" s="26">
        <v>46.111111111111114</v>
      </c>
      <c r="L67" s="25" t="s">
        <v>542</v>
      </c>
      <c r="M67" s="26">
        <f t="shared" si="2"/>
        <v>1079.4685990338164</v>
      </c>
      <c r="N67" s="26">
        <f t="shared" si="1"/>
        <v>46.111111111111114</v>
      </c>
    </row>
    <row r="68" spans="1:14" x14ac:dyDescent="0.35">
      <c r="A68">
        <v>207</v>
      </c>
      <c r="B68" t="s">
        <v>567</v>
      </c>
      <c r="C68">
        <v>63367</v>
      </c>
      <c r="D68" t="s">
        <v>260</v>
      </c>
      <c r="E68" s="26">
        <v>1764.4260869565219</v>
      </c>
      <c r="F68" s="26">
        <v>12.682</v>
      </c>
      <c r="G68" s="26">
        <v>5932.9043478260874</v>
      </c>
      <c r="H68" s="26">
        <v>39.5</v>
      </c>
      <c r="I68" s="25">
        <v>6</v>
      </c>
      <c r="J68" s="26">
        <v>988.81739130434789</v>
      </c>
      <c r="K68" s="26">
        <v>6.583333333333333</v>
      </c>
      <c r="L68" s="25" t="s">
        <v>543</v>
      </c>
      <c r="M68" s="26">
        <f t="shared" si="2"/>
        <v>988.81739130434789</v>
      </c>
      <c r="N68" s="26">
        <f t="shared" ref="N68:N131" si="3">IF(L68="Regular",K68+K68*($Q$5-I68),
 IF(L68="Often", K68+K68*($Q$4-I68),
 K68+K68*($Q$3-I68)))</f>
        <v>6.583333333333333</v>
      </c>
    </row>
    <row r="69" spans="1:14" x14ac:dyDescent="0.35">
      <c r="A69">
        <v>207</v>
      </c>
      <c r="B69" t="s">
        <v>567</v>
      </c>
      <c r="C69">
        <v>12330</v>
      </c>
      <c r="D69" t="s">
        <v>210</v>
      </c>
      <c r="E69" s="26">
        <v>1836.2434782608693</v>
      </c>
      <c r="F69" s="26">
        <v>32</v>
      </c>
      <c r="G69" s="26">
        <v>6342.3391304347824</v>
      </c>
      <c r="H69" s="26">
        <v>101</v>
      </c>
      <c r="I69" s="25">
        <v>9</v>
      </c>
      <c r="J69" s="26">
        <v>704.70434782608697</v>
      </c>
      <c r="K69" s="26">
        <v>11.222222222222221</v>
      </c>
      <c r="L69" s="25" t="s">
        <v>542</v>
      </c>
      <c r="M69" s="26">
        <f t="shared" si="2"/>
        <v>704.70434782608697</v>
      </c>
      <c r="N69" s="26">
        <f t="shared" si="3"/>
        <v>11.222222222222221</v>
      </c>
    </row>
    <row r="70" spans="1:14" x14ac:dyDescent="0.35">
      <c r="A70">
        <v>207</v>
      </c>
      <c r="B70" t="s">
        <v>567</v>
      </c>
      <c r="C70">
        <v>64053</v>
      </c>
      <c r="D70" t="s">
        <v>266</v>
      </c>
      <c r="E70" s="26">
        <v>834.71304347826094</v>
      </c>
      <c r="F70" s="26">
        <v>8</v>
      </c>
      <c r="G70" s="26">
        <v>5634.3130434782606</v>
      </c>
      <c r="H70" s="26">
        <v>54</v>
      </c>
      <c r="I70" s="25">
        <v>9</v>
      </c>
      <c r="J70" s="26">
        <v>626.03478260869565</v>
      </c>
      <c r="K70" s="26">
        <v>6</v>
      </c>
      <c r="L70" s="25" t="s">
        <v>542</v>
      </c>
      <c r="M70" s="26">
        <f t="shared" si="2"/>
        <v>626.03478260869565</v>
      </c>
      <c r="N70" s="26">
        <f t="shared" si="3"/>
        <v>6</v>
      </c>
    </row>
    <row r="71" spans="1:14" x14ac:dyDescent="0.35">
      <c r="A71">
        <v>207</v>
      </c>
      <c r="B71" t="s">
        <v>567</v>
      </c>
      <c r="C71">
        <v>54631</v>
      </c>
      <c r="D71" t="s">
        <v>246</v>
      </c>
      <c r="E71" s="26">
        <v>1304.2608695652175</v>
      </c>
      <c r="F71" s="26">
        <v>10</v>
      </c>
      <c r="G71" s="26">
        <v>3331.1043478260872</v>
      </c>
      <c r="H71" s="26">
        <v>23</v>
      </c>
      <c r="I71" s="25">
        <v>6</v>
      </c>
      <c r="J71" s="26">
        <v>555.18405797101457</v>
      </c>
      <c r="K71" s="26">
        <v>3.8333333333333335</v>
      </c>
      <c r="L71" s="25" t="s">
        <v>543</v>
      </c>
      <c r="M71" s="26">
        <f t="shared" si="2"/>
        <v>555.18405797101457</v>
      </c>
      <c r="N71" s="26">
        <f t="shared" si="3"/>
        <v>3.8333333333333335</v>
      </c>
    </row>
    <row r="72" spans="1:14" x14ac:dyDescent="0.35">
      <c r="A72">
        <v>207</v>
      </c>
      <c r="B72" t="s">
        <v>567</v>
      </c>
      <c r="C72">
        <v>14923</v>
      </c>
      <c r="D72" t="s">
        <v>216</v>
      </c>
      <c r="E72" s="26">
        <v>781.04347826086962</v>
      </c>
      <c r="F72" s="26">
        <v>30</v>
      </c>
      <c r="G72" s="26">
        <v>4711.0347826086963</v>
      </c>
      <c r="H72" s="26">
        <v>181</v>
      </c>
      <c r="I72" s="25">
        <v>9</v>
      </c>
      <c r="J72" s="26">
        <v>523.44830917874401</v>
      </c>
      <c r="K72" s="26">
        <v>20.111111111111111</v>
      </c>
      <c r="L72" s="25" t="s">
        <v>542</v>
      </c>
      <c r="M72" s="26">
        <f t="shared" si="2"/>
        <v>523.44830917874401</v>
      </c>
      <c r="N72" s="26">
        <f t="shared" si="3"/>
        <v>20.111111111111111</v>
      </c>
    </row>
    <row r="73" spans="1:14" x14ac:dyDescent="0.35">
      <c r="A73">
        <v>207</v>
      </c>
      <c r="B73" t="s">
        <v>567</v>
      </c>
      <c r="C73">
        <v>63365</v>
      </c>
      <c r="D73" t="s">
        <v>258</v>
      </c>
      <c r="E73" s="26">
        <v>899.54782608695655</v>
      </c>
      <c r="F73" s="26">
        <v>4.1379999999999999</v>
      </c>
      <c r="G73" s="26">
        <v>2992.4521739130432</v>
      </c>
      <c r="H73" s="26">
        <v>14.854000000000003</v>
      </c>
      <c r="I73" s="25">
        <v>6</v>
      </c>
      <c r="J73" s="26">
        <v>498.7420289855072</v>
      </c>
      <c r="K73" s="26">
        <v>2.4756666666666671</v>
      </c>
      <c r="L73" s="25" t="s">
        <v>543</v>
      </c>
      <c r="M73" s="26">
        <f t="shared" si="2"/>
        <v>498.7420289855072</v>
      </c>
      <c r="N73" s="26">
        <f t="shared" si="3"/>
        <v>2.4756666666666671</v>
      </c>
    </row>
    <row r="74" spans="1:14" x14ac:dyDescent="0.35">
      <c r="A74">
        <v>207</v>
      </c>
      <c r="B74" t="s">
        <v>567</v>
      </c>
      <c r="C74">
        <v>48771</v>
      </c>
      <c r="D74" t="s">
        <v>238</v>
      </c>
      <c r="E74" s="26">
        <v>779.86956521739125</v>
      </c>
      <c r="F74" s="26">
        <v>8.1539999999999999</v>
      </c>
      <c r="G74" s="26">
        <v>3018.8608695652179</v>
      </c>
      <c r="H74" s="26">
        <v>29.000000000000004</v>
      </c>
      <c r="I74" s="25">
        <v>7</v>
      </c>
      <c r="J74" s="26">
        <v>431.26583850931684</v>
      </c>
      <c r="K74" s="26">
        <v>4.1428571428571432</v>
      </c>
      <c r="L74" s="25" t="s">
        <v>543</v>
      </c>
      <c r="M74" s="26">
        <f t="shared" si="2"/>
        <v>0</v>
      </c>
      <c r="N74" s="26">
        <f t="shared" si="3"/>
        <v>0</v>
      </c>
    </row>
    <row r="75" spans="1:14" x14ac:dyDescent="0.35">
      <c r="A75">
        <v>207</v>
      </c>
      <c r="B75" t="s">
        <v>567</v>
      </c>
      <c r="C75">
        <v>34285</v>
      </c>
      <c r="D75" t="s">
        <v>226</v>
      </c>
      <c r="E75" s="26">
        <v>410.8608695652174</v>
      </c>
      <c r="F75" s="26">
        <v>4.9219999999999997</v>
      </c>
      <c r="G75" s="26">
        <v>410.8608695652174</v>
      </c>
      <c r="H75" s="26">
        <v>4.9219999999999997</v>
      </c>
      <c r="I75" s="25">
        <v>1</v>
      </c>
      <c r="J75" s="26">
        <v>410.8608695652174</v>
      </c>
      <c r="K75" s="26">
        <v>4.9219999999999997</v>
      </c>
      <c r="L75" s="25" t="s">
        <v>541</v>
      </c>
      <c r="M75" s="26">
        <f t="shared" si="2"/>
        <v>821.7217391304348</v>
      </c>
      <c r="N75" s="26">
        <f t="shared" si="3"/>
        <v>9.8439999999999994</v>
      </c>
    </row>
    <row r="76" spans="1:14" x14ac:dyDescent="0.35">
      <c r="A76">
        <v>207</v>
      </c>
      <c r="B76" t="s">
        <v>567</v>
      </c>
      <c r="C76">
        <v>12325</v>
      </c>
      <c r="D76" t="s">
        <v>209</v>
      </c>
      <c r="E76" s="26">
        <v>851.80869565217381</v>
      </c>
      <c r="F76" s="26">
        <v>5.1559999999999997</v>
      </c>
      <c r="G76" s="26">
        <v>1589.9565217391303</v>
      </c>
      <c r="H76" s="26">
        <v>9.6239999999999988</v>
      </c>
      <c r="I76" s="25">
        <v>4</v>
      </c>
      <c r="J76" s="26">
        <v>397.48913043478257</v>
      </c>
      <c r="K76" s="26">
        <v>2.4059999999999997</v>
      </c>
      <c r="L76" s="25" t="s">
        <v>543</v>
      </c>
      <c r="M76" s="26">
        <f t="shared" si="2"/>
        <v>1192.4673913043478</v>
      </c>
      <c r="N76" s="26">
        <f t="shared" si="3"/>
        <v>7.2179999999999991</v>
      </c>
    </row>
    <row r="77" spans="1:14" x14ac:dyDescent="0.35">
      <c r="A77">
        <v>207</v>
      </c>
      <c r="B77" t="s">
        <v>567</v>
      </c>
      <c r="C77">
        <v>54630</v>
      </c>
      <c r="D77" t="s">
        <v>245</v>
      </c>
      <c r="E77" s="26">
        <v>912.99130434782614</v>
      </c>
      <c r="F77" s="26">
        <v>6</v>
      </c>
      <c r="G77" s="26">
        <v>1956.4086956521742</v>
      </c>
      <c r="H77" s="26">
        <v>13</v>
      </c>
      <c r="I77" s="25">
        <v>6</v>
      </c>
      <c r="J77" s="26">
        <v>326.06811594202901</v>
      </c>
      <c r="K77" s="26">
        <v>2.1666666666666665</v>
      </c>
      <c r="L77" s="25" t="s">
        <v>543</v>
      </c>
      <c r="M77" s="26">
        <f t="shared" si="2"/>
        <v>326.06811594202901</v>
      </c>
      <c r="N77" s="26">
        <f t="shared" si="3"/>
        <v>2.1666666666666665</v>
      </c>
    </row>
    <row r="78" spans="1:14" x14ac:dyDescent="0.35">
      <c r="A78">
        <v>207</v>
      </c>
      <c r="B78" t="s">
        <v>567</v>
      </c>
      <c r="C78">
        <v>39397</v>
      </c>
      <c r="D78" t="s">
        <v>234</v>
      </c>
      <c r="E78" s="26">
        <v>355.84347826086957</v>
      </c>
      <c r="F78" s="26">
        <v>4.1859999999999999</v>
      </c>
      <c r="G78" s="26">
        <v>544.17391304347825</v>
      </c>
      <c r="H78" s="26">
        <v>6.3520000000000003</v>
      </c>
      <c r="I78" s="25">
        <v>2</v>
      </c>
      <c r="J78" s="26">
        <v>272.08695652173913</v>
      </c>
      <c r="K78" s="26">
        <v>3.1760000000000002</v>
      </c>
      <c r="L78" s="25" t="s">
        <v>541</v>
      </c>
      <c r="M78" s="26">
        <f t="shared" si="2"/>
        <v>272.08695652173913</v>
      </c>
      <c r="N78" s="26">
        <f t="shared" si="3"/>
        <v>3.1760000000000002</v>
      </c>
    </row>
    <row r="79" spans="1:14" x14ac:dyDescent="0.35">
      <c r="A79">
        <v>207</v>
      </c>
      <c r="B79" t="s">
        <v>567</v>
      </c>
      <c r="C79">
        <v>34232</v>
      </c>
      <c r="D79" t="s">
        <v>222</v>
      </c>
      <c r="E79" s="26">
        <v>216.91304347826087</v>
      </c>
      <c r="F79" s="26">
        <v>2.7719999999999998</v>
      </c>
      <c r="G79" s="26">
        <v>216.91304347826087</v>
      </c>
      <c r="H79" s="26">
        <v>2.7719999999999998</v>
      </c>
      <c r="I79" s="25">
        <v>1</v>
      </c>
      <c r="J79" s="26">
        <v>216.91304347826087</v>
      </c>
      <c r="K79" s="26">
        <v>2.7719999999999998</v>
      </c>
      <c r="L79" s="25" t="s">
        <v>541</v>
      </c>
      <c r="M79" s="26">
        <f t="shared" si="2"/>
        <v>433.82608695652175</v>
      </c>
      <c r="N79" s="26">
        <f t="shared" si="3"/>
        <v>5.5439999999999996</v>
      </c>
    </row>
    <row r="80" spans="1:14" x14ac:dyDescent="0.35">
      <c r="A80">
        <v>207</v>
      </c>
      <c r="B80" t="s">
        <v>567</v>
      </c>
      <c r="C80">
        <v>34304</v>
      </c>
      <c r="D80" t="s">
        <v>230</v>
      </c>
      <c r="E80" s="26">
        <v>571.86956521739125</v>
      </c>
      <c r="F80" s="26">
        <v>32.898000000000003</v>
      </c>
      <c r="G80" s="26">
        <v>1665.2434782608693</v>
      </c>
      <c r="H80" s="26">
        <v>95.799000000000007</v>
      </c>
      <c r="I80" s="25">
        <v>9</v>
      </c>
      <c r="J80" s="26">
        <v>185.0270531400966</v>
      </c>
      <c r="K80" s="26">
        <v>10.644333333333334</v>
      </c>
      <c r="L80" s="25" t="s">
        <v>542</v>
      </c>
      <c r="M80" s="26">
        <f t="shared" si="2"/>
        <v>185.0270531400966</v>
      </c>
      <c r="N80" s="26">
        <f t="shared" si="3"/>
        <v>10.644333333333334</v>
      </c>
    </row>
    <row r="81" spans="1:14" x14ac:dyDescent="0.35">
      <c r="A81">
        <v>207</v>
      </c>
      <c r="B81" t="s">
        <v>567</v>
      </c>
      <c r="C81">
        <v>14926</v>
      </c>
      <c r="D81" t="s">
        <v>217</v>
      </c>
      <c r="E81" s="26">
        <v>273.8347826086956</v>
      </c>
      <c r="F81" s="26">
        <v>9</v>
      </c>
      <c r="G81" s="26">
        <v>1519.782608695652</v>
      </c>
      <c r="H81" s="26">
        <v>50</v>
      </c>
      <c r="I81" s="25">
        <v>9</v>
      </c>
      <c r="J81" s="26">
        <v>168.8647342995169</v>
      </c>
      <c r="K81" s="26">
        <v>5.5555555555555554</v>
      </c>
      <c r="L81" s="25" t="s">
        <v>542</v>
      </c>
      <c r="M81" s="26">
        <f t="shared" si="2"/>
        <v>168.8647342995169</v>
      </c>
      <c r="N81" s="26">
        <f t="shared" si="3"/>
        <v>5.5555555555555554</v>
      </c>
    </row>
    <row r="82" spans="1:14" x14ac:dyDescent="0.35">
      <c r="A82">
        <v>210</v>
      </c>
      <c r="B82" t="s">
        <v>570</v>
      </c>
      <c r="C82">
        <v>63498</v>
      </c>
      <c r="D82" t="s">
        <v>351</v>
      </c>
      <c r="E82" s="26">
        <v>2458.9130434782605</v>
      </c>
      <c r="F82" s="26">
        <v>21.754000000000001</v>
      </c>
      <c r="G82" s="26">
        <v>9277.3130434782615</v>
      </c>
      <c r="H82" s="26">
        <v>82.250000000000014</v>
      </c>
      <c r="I82" s="25">
        <v>9</v>
      </c>
      <c r="J82" s="26">
        <v>1030.8125603864735</v>
      </c>
      <c r="K82" s="26">
        <v>9.1388888888888911</v>
      </c>
      <c r="L82" s="25" t="s">
        <v>542</v>
      </c>
      <c r="M82" s="26">
        <f t="shared" ref="M82:M133" si="4">IF(L82="Regular",J82+J82*($Q$5-I82),
 IF(L82="Often",J82+J82*($Q$4-I82),
 J82+J82*($Q$3-I82)))</f>
        <v>1030.8125603864735</v>
      </c>
      <c r="N82" s="26">
        <f t="shared" si="3"/>
        <v>9.1388888888888911</v>
      </c>
    </row>
    <row r="83" spans="1:14" x14ac:dyDescent="0.35">
      <c r="A83">
        <v>213</v>
      </c>
      <c r="B83" t="s">
        <v>573</v>
      </c>
      <c r="C83">
        <v>32049</v>
      </c>
      <c r="D83" t="s">
        <v>360</v>
      </c>
      <c r="E83" s="26">
        <v>62.817391304347822</v>
      </c>
      <c r="F83" s="26">
        <v>0.14399999999999999</v>
      </c>
      <c r="G83" s="26">
        <v>62.817391304347822</v>
      </c>
      <c r="H83" s="26">
        <v>0.14399999999999999</v>
      </c>
      <c r="I83" s="25">
        <v>1</v>
      </c>
      <c r="J83" s="26">
        <v>62.817391304347822</v>
      </c>
      <c r="K83" s="26">
        <v>0.14399999999999999</v>
      </c>
      <c r="L83" s="25" t="s">
        <v>541</v>
      </c>
      <c r="M83" s="26">
        <f t="shared" si="4"/>
        <v>125.63478260869564</v>
      </c>
      <c r="N83" s="26">
        <f t="shared" si="3"/>
        <v>0.28799999999999998</v>
      </c>
    </row>
    <row r="84" spans="1:14" x14ac:dyDescent="0.35">
      <c r="A84">
        <v>214</v>
      </c>
      <c r="B84" t="s">
        <v>574</v>
      </c>
      <c r="C84">
        <v>44216</v>
      </c>
      <c r="D84" t="s">
        <v>364</v>
      </c>
      <c r="E84" s="26">
        <v>782.53043478260884</v>
      </c>
      <c r="F84" s="26">
        <v>9</v>
      </c>
      <c r="G84" s="26">
        <v>3564.8608695652179</v>
      </c>
      <c r="H84" s="26">
        <v>41</v>
      </c>
      <c r="I84" s="25">
        <v>9</v>
      </c>
      <c r="J84" s="26">
        <v>396.09565217391309</v>
      </c>
      <c r="K84" s="26">
        <v>4.5555555555555554</v>
      </c>
      <c r="L84" s="25" t="s">
        <v>542</v>
      </c>
      <c r="M84" s="26">
        <f t="shared" si="4"/>
        <v>396.09565217391309</v>
      </c>
      <c r="N84" s="26">
        <f t="shared" si="3"/>
        <v>4.5555555555555554</v>
      </c>
    </row>
    <row r="85" spans="1:14" x14ac:dyDescent="0.35">
      <c r="A85">
        <v>215</v>
      </c>
      <c r="B85" t="s">
        <v>575</v>
      </c>
      <c r="C85">
        <v>43941</v>
      </c>
      <c r="D85" t="s">
        <v>368</v>
      </c>
      <c r="E85" s="26">
        <v>4289.5913043478258</v>
      </c>
      <c r="F85" s="26">
        <v>54.817999999999998</v>
      </c>
      <c r="G85" s="26">
        <v>9009.5999999999985</v>
      </c>
      <c r="H85" s="26">
        <v>115.136</v>
      </c>
      <c r="I85" s="25">
        <v>9</v>
      </c>
      <c r="J85" s="26">
        <v>1001.0666666666665</v>
      </c>
      <c r="K85" s="26">
        <v>12.792888888888889</v>
      </c>
      <c r="L85" s="25" t="s">
        <v>542</v>
      </c>
      <c r="M85" s="26">
        <f t="shared" si="4"/>
        <v>1001.0666666666665</v>
      </c>
      <c r="N85" s="26">
        <f t="shared" si="3"/>
        <v>12.792888888888889</v>
      </c>
    </row>
    <row r="86" spans="1:14" x14ac:dyDescent="0.35">
      <c r="A86">
        <v>216</v>
      </c>
      <c r="B86" t="s">
        <v>576</v>
      </c>
      <c r="C86">
        <v>34199</v>
      </c>
      <c r="D86" t="s">
        <v>386</v>
      </c>
      <c r="E86" s="26">
        <v>9867.4782608695659</v>
      </c>
      <c r="F86" s="26">
        <v>113.991</v>
      </c>
      <c r="G86" s="26">
        <v>55671.486956521738</v>
      </c>
      <c r="H86" s="26">
        <v>640.92399999999998</v>
      </c>
      <c r="I86" s="25">
        <v>9</v>
      </c>
      <c r="J86" s="26">
        <v>6185.7207729468601</v>
      </c>
      <c r="K86" s="26">
        <v>71.213777777777779</v>
      </c>
      <c r="L86" s="25" t="s">
        <v>542</v>
      </c>
      <c r="M86" s="26">
        <f t="shared" si="4"/>
        <v>6185.7207729468601</v>
      </c>
      <c r="N86" s="26">
        <f t="shared" si="3"/>
        <v>71.213777777777779</v>
      </c>
    </row>
    <row r="87" spans="1:14" x14ac:dyDescent="0.35">
      <c r="A87">
        <v>216</v>
      </c>
      <c r="B87" t="s">
        <v>576</v>
      </c>
      <c r="C87">
        <v>34160</v>
      </c>
      <c r="D87" t="s">
        <v>381</v>
      </c>
      <c r="E87" s="26">
        <v>6251.6347826086949</v>
      </c>
      <c r="F87" s="26">
        <v>65.364000000000004</v>
      </c>
      <c r="G87" s="26">
        <v>33094.973913043475</v>
      </c>
      <c r="H87" s="26">
        <v>361.31799999999998</v>
      </c>
      <c r="I87" s="25">
        <v>9</v>
      </c>
      <c r="J87" s="26">
        <v>3677.2193236714975</v>
      </c>
      <c r="K87" s="26">
        <v>40.146444444444441</v>
      </c>
      <c r="L87" s="25" t="s">
        <v>542</v>
      </c>
      <c r="M87" s="26">
        <f t="shared" si="4"/>
        <v>3677.2193236714975</v>
      </c>
      <c r="N87" s="26">
        <f t="shared" si="3"/>
        <v>40.146444444444441</v>
      </c>
    </row>
    <row r="88" spans="1:14" x14ac:dyDescent="0.35">
      <c r="A88">
        <v>216</v>
      </c>
      <c r="B88" t="s">
        <v>576</v>
      </c>
      <c r="C88">
        <v>16182</v>
      </c>
      <c r="D88" t="s">
        <v>378</v>
      </c>
      <c r="E88" s="26">
        <v>5300.6608695652176</v>
      </c>
      <c r="F88" s="26">
        <v>55.418999999999997</v>
      </c>
      <c r="G88" s="26">
        <v>16715.330434782609</v>
      </c>
      <c r="H88" s="26">
        <v>172.58100000000002</v>
      </c>
      <c r="I88" s="25">
        <v>6</v>
      </c>
      <c r="J88" s="26">
        <v>2785.8884057971013</v>
      </c>
      <c r="K88" s="26">
        <v>28.763500000000004</v>
      </c>
      <c r="L88" s="25" t="s">
        <v>543</v>
      </c>
      <c r="M88" s="26">
        <f t="shared" si="4"/>
        <v>2785.8884057971013</v>
      </c>
      <c r="N88" s="26">
        <f t="shared" si="3"/>
        <v>28.763500000000004</v>
      </c>
    </row>
    <row r="89" spans="1:14" x14ac:dyDescent="0.35">
      <c r="A89">
        <v>216</v>
      </c>
      <c r="B89" t="s">
        <v>576</v>
      </c>
      <c r="C89">
        <v>34189</v>
      </c>
      <c r="D89" t="s">
        <v>314</v>
      </c>
      <c r="E89" s="26">
        <v>4432.6608695652167</v>
      </c>
      <c r="F89" s="26">
        <v>39.215000000000003</v>
      </c>
      <c r="G89" s="26">
        <v>21893.721739130433</v>
      </c>
      <c r="H89" s="26">
        <v>193.684</v>
      </c>
      <c r="I89" s="25">
        <v>9</v>
      </c>
      <c r="J89" s="26">
        <v>2432.6357487922705</v>
      </c>
      <c r="K89" s="26">
        <v>21.520444444444443</v>
      </c>
      <c r="L89" s="25" t="s">
        <v>542</v>
      </c>
      <c r="M89" s="26">
        <f t="shared" si="4"/>
        <v>2432.6357487922705</v>
      </c>
      <c r="N89" s="26">
        <f t="shared" si="3"/>
        <v>21.520444444444443</v>
      </c>
    </row>
    <row r="90" spans="1:14" x14ac:dyDescent="0.35">
      <c r="A90">
        <v>216</v>
      </c>
      <c r="B90" t="s">
        <v>576</v>
      </c>
      <c r="C90">
        <v>60887</v>
      </c>
      <c r="D90" t="s">
        <v>446</v>
      </c>
      <c r="E90" s="26">
        <v>2632.782608695652</v>
      </c>
      <c r="F90" s="26">
        <v>25.234000000000002</v>
      </c>
      <c r="G90" s="26">
        <v>18052.191304347823</v>
      </c>
      <c r="H90" s="26">
        <v>173.02199999999999</v>
      </c>
      <c r="I90" s="25">
        <v>9</v>
      </c>
      <c r="J90" s="26">
        <v>2005.7990338164248</v>
      </c>
      <c r="K90" s="26">
        <v>19.224666666666664</v>
      </c>
      <c r="L90" s="25" t="s">
        <v>542</v>
      </c>
      <c r="M90" s="26">
        <f t="shared" si="4"/>
        <v>2005.7990338164248</v>
      </c>
      <c r="N90" s="26">
        <f t="shared" si="3"/>
        <v>19.224666666666664</v>
      </c>
    </row>
    <row r="91" spans="1:14" x14ac:dyDescent="0.35">
      <c r="A91">
        <v>216</v>
      </c>
      <c r="B91" t="s">
        <v>576</v>
      </c>
      <c r="C91">
        <v>34200</v>
      </c>
      <c r="D91" t="s">
        <v>387</v>
      </c>
      <c r="E91" s="26">
        <v>2885.8521739130429</v>
      </c>
      <c r="F91" s="26">
        <v>27.66</v>
      </c>
      <c r="G91" s="26">
        <v>17739.147826086955</v>
      </c>
      <c r="H91" s="26">
        <v>170.02199999999999</v>
      </c>
      <c r="I91" s="25">
        <v>9</v>
      </c>
      <c r="J91" s="26">
        <v>1971.0164251207727</v>
      </c>
      <c r="K91" s="26">
        <v>18.891333333333332</v>
      </c>
      <c r="L91" s="25" t="s">
        <v>542</v>
      </c>
      <c r="M91" s="26">
        <f t="shared" si="4"/>
        <v>1971.0164251207727</v>
      </c>
      <c r="N91" s="26">
        <f t="shared" si="3"/>
        <v>18.891333333333332</v>
      </c>
    </row>
    <row r="92" spans="1:14" x14ac:dyDescent="0.35">
      <c r="A92">
        <v>216</v>
      </c>
      <c r="B92" t="s">
        <v>576</v>
      </c>
      <c r="C92">
        <v>51078</v>
      </c>
      <c r="D92" t="s">
        <v>422</v>
      </c>
      <c r="E92" s="26">
        <v>2594.3304347826088</v>
      </c>
      <c r="F92" s="26">
        <v>27.126000000000001</v>
      </c>
      <c r="G92" s="26">
        <v>10807.573913043478</v>
      </c>
      <c r="H92" s="26">
        <v>112.122</v>
      </c>
      <c r="I92" s="25">
        <v>6</v>
      </c>
      <c r="J92" s="26">
        <v>1801.2623188405796</v>
      </c>
      <c r="K92" s="26">
        <v>18.687000000000001</v>
      </c>
      <c r="L92" s="25" t="s">
        <v>543</v>
      </c>
      <c r="M92" s="26">
        <f t="shared" si="4"/>
        <v>1801.2623188405796</v>
      </c>
      <c r="N92" s="26">
        <f t="shared" si="3"/>
        <v>18.687000000000001</v>
      </c>
    </row>
    <row r="93" spans="1:14" x14ac:dyDescent="0.35">
      <c r="A93">
        <v>216</v>
      </c>
      <c r="B93" t="s">
        <v>576</v>
      </c>
      <c r="C93">
        <v>60886</v>
      </c>
      <c r="D93" t="s">
        <v>445</v>
      </c>
      <c r="E93" s="26">
        <v>3047.8782608695651</v>
      </c>
      <c r="F93" s="26">
        <v>26.962</v>
      </c>
      <c r="G93" s="26">
        <v>16102.34782608696</v>
      </c>
      <c r="H93" s="26">
        <v>142.44400000000002</v>
      </c>
      <c r="I93" s="25">
        <v>9</v>
      </c>
      <c r="J93" s="26">
        <v>1789.1497584541066</v>
      </c>
      <c r="K93" s="26">
        <v>15.827111111111114</v>
      </c>
      <c r="L93" s="25" t="s">
        <v>542</v>
      </c>
      <c r="M93" s="26">
        <f t="shared" si="4"/>
        <v>1789.1497584541066</v>
      </c>
      <c r="N93" s="26">
        <f t="shared" si="3"/>
        <v>15.827111111111114</v>
      </c>
    </row>
    <row r="94" spans="1:14" x14ac:dyDescent="0.35">
      <c r="A94">
        <v>216</v>
      </c>
      <c r="B94" t="s">
        <v>576</v>
      </c>
      <c r="C94">
        <v>39216</v>
      </c>
      <c r="D94" t="s">
        <v>396</v>
      </c>
      <c r="E94" s="26">
        <v>2472.2956521739129</v>
      </c>
      <c r="F94" s="26">
        <v>28.434000000000001</v>
      </c>
      <c r="G94" s="26">
        <v>9665.0608695652154</v>
      </c>
      <c r="H94" s="26">
        <v>102.509</v>
      </c>
      <c r="I94" s="25">
        <v>6</v>
      </c>
      <c r="J94" s="26">
        <v>1610.8434782608692</v>
      </c>
      <c r="K94" s="26">
        <v>17.084833333333332</v>
      </c>
      <c r="L94" s="25" t="s">
        <v>543</v>
      </c>
      <c r="M94" s="26">
        <f t="shared" si="4"/>
        <v>1610.8434782608692</v>
      </c>
      <c r="N94" s="26">
        <f t="shared" si="3"/>
        <v>17.084833333333332</v>
      </c>
    </row>
    <row r="95" spans="1:14" x14ac:dyDescent="0.35">
      <c r="A95">
        <v>216</v>
      </c>
      <c r="B95" t="s">
        <v>576</v>
      </c>
      <c r="C95">
        <v>52186</v>
      </c>
      <c r="D95" t="s">
        <v>423</v>
      </c>
      <c r="E95" s="26">
        <v>2048.130434782609</v>
      </c>
      <c r="F95" s="26">
        <v>26.173999999999999</v>
      </c>
      <c r="G95" s="26">
        <v>12719.904347826086</v>
      </c>
      <c r="H95" s="26">
        <v>162.554</v>
      </c>
      <c r="I95" s="25">
        <v>8</v>
      </c>
      <c r="J95" s="26">
        <v>1589.9880434782608</v>
      </c>
      <c r="K95" s="26">
        <v>20.31925</v>
      </c>
      <c r="L95" s="25" t="s">
        <v>542</v>
      </c>
      <c r="M95" s="26">
        <f t="shared" si="4"/>
        <v>3179.9760869565216</v>
      </c>
      <c r="N95" s="26">
        <f t="shared" si="3"/>
        <v>40.638500000000001</v>
      </c>
    </row>
    <row r="96" spans="1:14" x14ac:dyDescent="0.35">
      <c r="A96">
        <v>216</v>
      </c>
      <c r="B96" t="s">
        <v>576</v>
      </c>
      <c r="C96">
        <v>34197</v>
      </c>
      <c r="D96" t="s">
        <v>384</v>
      </c>
      <c r="E96" s="26">
        <v>3341.2086956521734</v>
      </c>
      <c r="F96" s="26">
        <v>32.023000000000003</v>
      </c>
      <c r="G96" s="26">
        <v>10899.173913043476</v>
      </c>
      <c r="H96" s="26">
        <v>104.46099999999998</v>
      </c>
      <c r="I96" s="25">
        <v>7</v>
      </c>
      <c r="J96" s="26">
        <v>1557.0248447204965</v>
      </c>
      <c r="K96" s="26">
        <v>14.922999999999998</v>
      </c>
      <c r="L96" s="25" t="s">
        <v>543</v>
      </c>
      <c r="M96" s="26">
        <f t="shared" si="4"/>
        <v>0</v>
      </c>
      <c r="N96" s="26">
        <f t="shared" si="3"/>
        <v>0</v>
      </c>
    </row>
    <row r="97" spans="1:14" x14ac:dyDescent="0.35">
      <c r="A97">
        <v>216</v>
      </c>
      <c r="B97" t="s">
        <v>576</v>
      </c>
      <c r="C97">
        <v>34198</v>
      </c>
      <c r="D97" t="s">
        <v>385</v>
      </c>
      <c r="E97" s="26">
        <v>2725.6260869565217</v>
      </c>
      <c r="F97" s="26">
        <v>26.123999999999999</v>
      </c>
      <c r="G97" s="26">
        <v>12137.121739130434</v>
      </c>
      <c r="H97" s="26">
        <v>116.328</v>
      </c>
      <c r="I97" s="25">
        <v>8</v>
      </c>
      <c r="J97" s="26">
        <v>1517.1402173913043</v>
      </c>
      <c r="K97" s="26">
        <v>14.541</v>
      </c>
      <c r="L97" s="25" t="s">
        <v>542</v>
      </c>
      <c r="M97" s="26">
        <f t="shared" si="4"/>
        <v>3034.2804347826086</v>
      </c>
      <c r="N97" s="26">
        <f t="shared" si="3"/>
        <v>29.082000000000001</v>
      </c>
    </row>
    <row r="98" spans="1:14" x14ac:dyDescent="0.35">
      <c r="A98">
        <v>216</v>
      </c>
      <c r="B98" t="s">
        <v>576</v>
      </c>
      <c r="C98">
        <v>65748</v>
      </c>
      <c r="D98" t="s">
        <v>463</v>
      </c>
      <c r="E98" s="26">
        <v>1834.5391304347825</v>
      </c>
      <c r="F98" s="26">
        <v>19.181999999999999</v>
      </c>
      <c r="G98" s="26">
        <v>2757.6434782608694</v>
      </c>
      <c r="H98" s="26">
        <v>28.833999999999996</v>
      </c>
      <c r="I98" s="25">
        <v>2</v>
      </c>
      <c r="J98" s="26">
        <v>1378.8217391304347</v>
      </c>
      <c r="K98" s="26">
        <v>14.416999999999998</v>
      </c>
      <c r="L98" s="25" t="s">
        <v>541</v>
      </c>
      <c r="M98" s="26">
        <f t="shared" si="4"/>
        <v>1378.8217391304347</v>
      </c>
      <c r="N98" s="26">
        <f t="shared" si="3"/>
        <v>14.416999999999998</v>
      </c>
    </row>
    <row r="99" spans="1:14" x14ac:dyDescent="0.35">
      <c r="A99">
        <v>216</v>
      </c>
      <c r="B99" t="s">
        <v>576</v>
      </c>
      <c r="C99">
        <v>11147</v>
      </c>
      <c r="D99" t="s">
        <v>375</v>
      </c>
      <c r="E99" s="26">
        <v>1823.1304347826085</v>
      </c>
      <c r="F99" s="26">
        <v>20.966999999999999</v>
      </c>
      <c r="G99" s="26">
        <v>10969.365217391303</v>
      </c>
      <c r="H99" s="26">
        <v>126.15299999999999</v>
      </c>
      <c r="I99" s="25">
        <v>8</v>
      </c>
      <c r="J99" s="26">
        <v>1371.1706521739129</v>
      </c>
      <c r="K99" s="26">
        <v>15.769124999999999</v>
      </c>
      <c r="L99" s="25" t="s">
        <v>542</v>
      </c>
      <c r="M99" s="26">
        <f t="shared" si="4"/>
        <v>2742.3413043478258</v>
      </c>
      <c r="N99" s="26">
        <f t="shared" si="3"/>
        <v>31.538249999999998</v>
      </c>
    </row>
    <row r="100" spans="1:14" x14ac:dyDescent="0.35">
      <c r="A100">
        <v>216</v>
      </c>
      <c r="B100" t="s">
        <v>576</v>
      </c>
      <c r="C100">
        <v>34196</v>
      </c>
      <c r="D100" t="s">
        <v>383</v>
      </c>
      <c r="E100" s="26">
        <v>2042.0173913043475</v>
      </c>
      <c r="F100" s="26">
        <v>19.571999999999999</v>
      </c>
      <c r="G100" s="26">
        <v>4108.8782608695647</v>
      </c>
      <c r="H100" s="26">
        <v>39.381</v>
      </c>
      <c r="I100" s="25">
        <v>3</v>
      </c>
      <c r="J100" s="26">
        <v>1369.6260869565215</v>
      </c>
      <c r="K100" s="26">
        <v>13.127000000000001</v>
      </c>
      <c r="L100" s="25" t="s">
        <v>541</v>
      </c>
      <c r="M100" s="26">
        <f t="shared" si="4"/>
        <v>0</v>
      </c>
      <c r="N100" s="26">
        <f t="shared" si="3"/>
        <v>0</v>
      </c>
    </row>
    <row r="101" spans="1:14" x14ac:dyDescent="0.35">
      <c r="A101">
        <v>216</v>
      </c>
      <c r="B101" t="s">
        <v>576</v>
      </c>
      <c r="C101">
        <v>34235</v>
      </c>
      <c r="D101" t="s">
        <v>391</v>
      </c>
      <c r="E101" s="26">
        <v>1947.8260869565217</v>
      </c>
      <c r="F101" s="26">
        <v>22.401</v>
      </c>
      <c r="G101" s="26">
        <v>10823.826086956522</v>
      </c>
      <c r="H101" s="26">
        <v>124.479</v>
      </c>
      <c r="I101" s="25">
        <v>8</v>
      </c>
      <c r="J101" s="26">
        <v>1352.9782608695652</v>
      </c>
      <c r="K101" s="26">
        <v>15.559875</v>
      </c>
      <c r="L101" s="25" t="s">
        <v>542</v>
      </c>
      <c r="M101" s="26">
        <f t="shared" si="4"/>
        <v>2705.9565217391305</v>
      </c>
      <c r="N101" s="26">
        <f t="shared" si="3"/>
        <v>31.11975</v>
      </c>
    </row>
    <row r="102" spans="1:14" x14ac:dyDescent="0.35">
      <c r="A102">
        <v>216</v>
      </c>
      <c r="B102" t="s">
        <v>576</v>
      </c>
      <c r="C102">
        <v>32044</v>
      </c>
      <c r="D102" t="s">
        <v>380</v>
      </c>
      <c r="E102" s="26">
        <v>2743.4260869565219</v>
      </c>
      <c r="F102" s="26">
        <v>24.398</v>
      </c>
      <c r="G102" s="26">
        <v>4023.2173913043484</v>
      </c>
      <c r="H102" s="26">
        <v>36.389000000000003</v>
      </c>
      <c r="I102" s="25">
        <v>3</v>
      </c>
      <c r="J102" s="26">
        <v>1341.0724637681162</v>
      </c>
      <c r="K102" s="26">
        <v>12.129666666666667</v>
      </c>
      <c r="L102" s="25" t="s">
        <v>541</v>
      </c>
      <c r="M102" s="26">
        <f t="shared" si="4"/>
        <v>0</v>
      </c>
      <c r="N102" s="26">
        <f t="shared" si="3"/>
        <v>0</v>
      </c>
    </row>
    <row r="103" spans="1:14" x14ac:dyDescent="0.35">
      <c r="A103">
        <v>216</v>
      </c>
      <c r="B103" t="s">
        <v>576</v>
      </c>
      <c r="C103">
        <v>44450</v>
      </c>
      <c r="D103" t="s">
        <v>408</v>
      </c>
      <c r="E103" s="26">
        <v>1909.4173913043478</v>
      </c>
      <c r="F103" s="26">
        <v>24.402000000000001</v>
      </c>
      <c r="G103" s="26">
        <v>10208.147826086957</v>
      </c>
      <c r="H103" s="26">
        <v>129.20699999999999</v>
      </c>
      <c r="I103" s="25">
        <v>8</v>
      </c>
      <c r="J103" s="26">
        <v>1276.0184782608696</v>
      </c>
      <c r="K103" s="26">
        <v>16.150874999999999</v>
      </c>
      <c r="L103" s="25" t="s">
        <v>542</v>
      </c>
      <c r="M103" s="26">
        <f t="shared" si="4"/>
        <v>2552.0369565217393</v>
      </c>
      <c r="N103" s="26">
        <f t="shared" si="3"/>
        <v>32.301749999999998</v>
      </c>
    </row>
    <row r="104" spans="1:14" x14ac:dyDescent="0.35">
      <c r="A104">
        <v>216</v>
      </c>
      <c r="B104" t="s">
        <v>576</v>
      </c>
      <c r="C104">
        <v>65747</v>
      </c>
      <c r="D104" t="s">
        <v>462</v>
      </c>
      <c r="E104" s="26">
        <v>1289.1999999999998</v>
      </c>
      <c r="F104" s="26">
        <v>13.478</v>
      </c>
      <c r="G104" s="26">
        <v>2523.304347826087</v>
      </c>
      <c r="H104" s="26">
        <v>26.381</v>
      </c>
      <c r="I104" s="25">
        <v>2</v>
      </c>
      <c r="J104" s="26">
        <v>1261.6521739130435</v>
      </c>
      <c r="K104" s="26">
        <v>13.1905</v>
      </c>
      <c r="L104" s="25" t="s">
        <v>541</v>
      </c>
      <c r="M104" s="26">
        <f t="shared" si="4"/>
        <v>1261.6521739130435</v>
      </c>
      <c r="N104" s="26">
        <f t="shared" si="3"/>
        <v>13.1905</v>
      </c>
    </row>
    <row r="105" spans="1:14" x14ac:dyDescent="0.35">
      <c r="A105">
        <v>216</v>
      </c>
      <c r="B105" t="s">
        <v>576</v>
      </c>
      <c r="C105">
        <v>32043</v>
      </c>
      <c r="D105" t="s">
        <v>379</v>
      </c>
      <c r="E105" s="26">
        <v>2131.3217391304352</v>
      </c>
      <c r="F105" s="26">
        <v>18.853999999999999</v>
      </c>
      <c r="G105" s="26">
        <v>9760.1739130434798</v>
      </c>
      <c r="H105" s="26">
        <v>86.34</v>
      </c>
      <c r="I105" s="25">
        <v>8</v>
      </c>
      <c r="J105" s="26">
        <v>1220.021739130435</v>
      </c>
      <c r="K105" s="26">
        <v>10.7925</v>
      </c>
      <c r="L105" s="25" t="s">
        <v>542</v>
      </c>
      <c r="M105" s="26">
        <f t="shared" si="4"/>
        <v>2440.04347826087</v>
      </c>
      <c r="N105" s="26">
        <f t="shared" si="3"/>
        <v>21.585000000000001</v>
      </c>
    </row>
    <row r="106" spans="1:14" x14ac:dyDescent="0.35">
      <c r="A106">
        <v>216</v>
      </c>
      <c r="B106" t="s">
        <v>576</v>
      </c>
      <c r="C106">
        <v>34949</v>
      </c>
      <c r="D106" t="s">
        <v>394</v>
      </c>
      <c r="E106" s="26">
        <v>2213.1565217391308</v>
      </c>
      <c r="F106" s="26">
        <v>19.577999999999999</v>
      </c>
      <c r="G106" s="26">
        <v>10451.991304347826</v>
      </c>
      <c r="H106" s="26">
        <v>92.46</v>
      </c>
      <c r="I106" s="25">
        <v>9</v>
      </c>
      <c r="J106" s="26">
        <v>1161.3323671497585</v>
      </c>
      <c r="K106" s="26">
        <v>10.273333333333333</v>
      </c>
      <c r="L106" s="25" t="s">
        <v>542</v>
      </c>
      <c r="M106" s="26">
        <f t="shared" si="4"/>
        <v>1161.3323671497585</v>
      </c>
      <c r="N106" s="26">
        <f t="shared" si="3"/>
        <v>10.273333333333333</v>
      </c>
    </row>
    <row r="107" spans="1:14" x14ac:dyDescent="0.35">
      <c r="A107">
        <v>216</v>
      </c>
      <c r="B107" t="s">
        <v>576</v>
      </c>
      <c r="C107">
        <v>46386</v>
      </c>
      <c r="D107" t="s">
        <v>416</v>
      </c>
      <c r="E107" s="26">
        <v>1848.3999999999999</v>
      </c>
      <c r="F107" s="26">
        <v>16.352</v>
      </c>
      <c r="G107" s="26">
        <v>6813.6434782608694</v>
      </c>
      <c r="H107" s="26">
        <v>60.28</v>
      </c>
      <c r="I107" s="25">
        <v>6</v>
      </c>
      <c r="J107" s="26">
        <v>1135.6072463768116</v>
      </c>
      <c r="K107" s="26">
        <v>10.046666666666667</v>
      </c>
      <c r="L107" s="25" t="s">
        <v>543</v>
      </c>
      <c r="M107" s="26">
        <f t="shared" si="4"/>
        <v>1135.6072463768116</v>
      </c>
      <c r="N107" s="26">
        <f t="shared" si="3"/>
        <v>10.046666666666667</v>
      </c>
    </row>
    <row r="108" spans="1:14" x14ac:dyDescent="0.35">
      <c r="A108">
        <v>216</v>
      </c>
      <c r="B108" t="s">
        <v>576</v>
      </c>
      <c r="C108">
        <v>63735</v>
      </c>
      <c r="D108" t="s">
        <v>461</v>
      </c>
      <c r="E108" s="26">
        <v>1437.304347826087</v>
      </c>
      <c r="F108" s="26">
        <v>11.808</v>
      </c>
      <c r="G108" s="26">
        <v>2812.5478260869568</v>
      </c>
      <c r="H108" s="26">
        <v>23.106000000000002</v>
      </c>
      <c r="I108" s="25">
        <v>3</v>
      </c>
      <c r="J108" s="26">
        <v>937.51594202898559</v>
      </c>
      <c r="K108" s="26">
        <v>7.7020000000000008</v>
      </c>
      <c r="L108" s="25" t="s">
        <v>541</v>
      </c>
      <c r="M108" s="26">
        <f t="shared" si="4"/>
        <v>0</v>
      </c>
      <c r="N108" s="26">
        <f t="shared" si="3"/>
        <v>0</v>
      </c>
    </row>
    <row r="109" spans="1:14" x14ac:dyDescent="0.35">
      <c r="A109">
        <v>216</v>
      </c>
      <c r="B109" t="s">
        <v>576</v>
      </c>
      <c r="C109">
        <v>47251</v>
      </c>
      <c r="D109" t="s">
        <v>418</v>
      </c>
      <c r="E109" s="26">
        <v>1254.9652173913043</v>
      </c>
      <c r="F109" s="26">
        <v>13.122</v>
      </c>
      <c r="G109" s="26">
        <v>5628.7304347826084</v>
      </c>
      <c r="H109" s="26">
        <v>58.854000000000006</v>
      </c>
      <c r="I109" s="25">
        <v>7</v>
      </c>
      <c r="J109" s="26">
        <v>804.10434782608695</v>
      </c>
      <c r="K109" s="26">
        <v>8.4077142857142864</v>
      </c>
      <c r="L109" s="25" t="s">
        <v>543</v>
      </c>
      <c r="M109" s="26">
        <f t="shared" si="4"/>
        <v>0</v>
      </c>
      <c r="N109" s="26">
        <f t="shared" si="3"/>
        <v>0</v>
      </c>
    </row>
    <row r="110" spans="1:14" x14ac:dyDescent="0.35">
      <c r="A110">
        <v>216</v>
      </c>
      <c r="B110" t="s">
        <v>576</v>
      </c>
      <c r="C110">
        <v>45416</v>
      </c>
      <c r="D110" t="s">
        <v>412</v>
      </c>
      <c r="E110" s="26">
        <v>1189.1565217391303</v>
      </c>
      <c r="F110" s="26">
        <v>11.79</v>
      </c>
      <c r="G110" s="26">
        <v>6604.1913043478253</v>
      </c>
      <c r="H110" s="26">
        <v>65.477999999999994</v>
      </c>
      <c r="I110" s="25">
        <v>9</v>
      </c>
      <c r="J110" s="26">
        <v>733.79903381642498</v>
      </c>
      <c r="K110" s="26">
        <v>7.2753333333333323</v>
      </c>
      <c r="L110" s="25" t="s">
        <v>542</v>
      </c>
      <c r="M110" s="26">
        <f t="shared" si="4"/>
        <v>733.79903381642498</v>
      </c>
      <c r="N110" s="26">
        <f t="shared" si="3"/>
        <v>7.2753333333333323</v>
      </c>
    </row>
    <row r="111" spans="1:14" x14ac:dyDescent="0.35">
      <c r="A111">
        <v>216</v>
      </c>
      <c r="B111" t="s">
        <v>576</v>
      </c>
      <c r="C111">
        <v>47745</v>
      </c>
      <c r="D111" t="s">
        <v>420</v>
      </c>
      <c r="E111" s="26">
        <v>1378.1391304347828</v>
      </c>
      <c r="F111" s="26">
        <v>31.704999999999998</v>
      </c>
      <c r="G111" s="26">
        <v>2663.6608695652176</v>
      </c>
      <c r="H111" s="26">
        <v>61.279999999999994</v>
      </c>
      <c r="I111" s="25">
        <v>5</v>
      </c>
      <c r="J111" s="26">
        <v>532.73217391304354</v>
      </c>
      <c r="K111" s="26">
        <v>12.255999999999998</v>
      </c>
      <c r="L111" s="25" t="s">
        <v>543</v>
      </c>
      <c r="M111" s="26">
        <f t="shared" si="4"/>
        <v>1065.4643478260871</v>
      </c>
      <c r="N111" s="26">
        <f t="shared" si="3"/>
        <v>24.511999999999997</v>
      </c>
    </row>
    <row r="112" spans="1:14" x14ac:dyDescent="0.35">
      <c r="A112">
        <v>216</v>
      </c>
      <c r="B112" t="s">
        <v>576</v>
      </c>
      <c r="C112">
        <v>35005</v>
      </c>
      <c r="D112" t="s">
        <v>395</v>
      </c>
      <c r="E112" s="26">
        <v>860.77391304347839</v>
      </c>
      <c r="F112" s="26">
        <v>11</v>
      </c>
      <c r="G112" s="26">
        <v>1173.7826086956522</v>
      </c>
      <c r="H112" s="26">
        <v>15</v>
      </c>
      <c r="I112" s="25">
        <v>3</v>
      </c>
      <c r="J112" s="26">
        <v>391.26086956521743</v>
      </c>
      <c r="K112" s="26">
        <v>5</v>
      </c>
      <c r="L112" s="25" t="s">
        <v>541</v>
      </c>
      <c r="M112" s="26">
        <f t="shared" si="4"/>
        <v>0</v>
      </c>
      <c r="N112" s="26">
        <f t="shared" si="3"/>
        <v>0</v>
      </c>
    </row>
    <row r="113" spans="1:14" x14ac:dyDescent="0.35">
      <c r="A113">
        <v>216</v>
      </c>
      <c r="B113" t="s">
        <v>576</v>
      </c>
      <c r="C113">
        <v>35003</v>
      </c>
      <c r="D113" t="s">
        <v>395</v>
      </c>
      <c r="E113" s="26">
        <v>565.10434782608695</v>
      </c>
      <c r="F113" s="26">
        <v>13</v>
      </c>
      <c r="G113" s="26">
        <v>3303.6869565217389</v>
      </c>
      <c r="H113" s="26">
        <v>76</v>
      </c>
      <c r="I113" s="25">
        <v>9</v>
      </c>
      <c r="J113" s="26">
        <v>367.07632850241544</v>
      </c>
      <c r="K113" s="26">
        <v>8.4444444444444446</v>
      </c>
      <c r="L113" s="25" t="s">
        <v>542</v>
      </c>
      <c r="M113" s="26">
        <f t="shared" si="4"/>
        <v>367.07632850241544</v>
      </c>
      <c r="N113" s="26">
        <f t="shared" si="3"/>
        <v>8.4444444444444446</v>
      </c>
    </row>
    <row r="114" spans="1:14" x14ac:dyDescent="0.35">
      <c r="A114">
        <v>216</v>
      </c>
      <c r="B114" t="s">
        <v>576</v>
      </c>
      <c r="C114">
        <v>62607</v>
      </c>
      <c r="D114" t="s">
        <v>454</v>
      </c>
      <c r="E114" s="26">
        <v>417.33913043478253</v>
      </c>
      <c r="F114" s="26">
        <v>6</v>
      </c>
      <c r="G114" s="26">
        <v>2434.478260869565</v>
      </c>
      <c r="H114" s="26">
        <v>35</v>
      </c>
      <c r="I114" s="25">
        <v>7</v>
      </c>
      <c r="J114" s="26">
        <v>347.78260869565213</v>
      </c>
      <c r="K114" s="26">
        <v>5</v>
      </c>
      <c r="L114" s="25" t="s">
        <v>543</v>
      </c>
      <c r="M114" s="26">
        <f t="shared" si="4"/>
        <v>0</v>
      </c>
      <c r="N114" s="26">
        <f t="shared" si="3"/>
        <v>0</v>
      </c>
    </row>
    <row r="115" spans="1:14" x14ac:dyDescent="0.35">
      <c r="A115">
        <v>216</v>
      </c>
      <c r="B115" t="s">
        <v>576</v>
      </c>
      <c r="C115">
        <v>47669</v>
      </c>
      <c r="D115" t="s">
        <v>419</v>
      </c>
      <c r="E115" s="26">
        <v>549.29565217391314</v>
      </c>
      <c r="F115" s="26">
        <v>11.282</v>
      </c>
      <c r="G115" s="26">
        <v>1454.7391304347827</v>
      </c>
      <c r="H115" s="26">
        <v>29.878999999999998</v>
      </c>
      <c r="I115" s="25">
        <v>5</v>
      </c>
      <c r="J115" s="26">
        <v>290.94782608695652</v>
      </c>
      <c r="K115" s="26">
        <v>5.9757999999999996</v>
      </c>
      <c r="L115" s="25" t="s">
        <v>543</v>
      </c>
      <c r="M115" s="26">
        <f t="shared" si="4"/>
        <v>581.89565217391305</v>
      </c>
      <c r="N115" s="26">
        <f t="shared" si="3"/>
        <v>11.951599999999999</v>
      </c>
    </row>
    <row r="116" spans="1:14" x14ac:dyDescent="0.35">
      <c r="A116">
        <v>218</v>
      </c>
      <c r="B116" t="s">
        <v>578</v>
      </c>
      <c r="C116">
        <v>58339</v>
      </c>
      <c r="D116" t="s">
        <v>475</v>
      </c>
      <c r="E116" s="26">
        <v>677.5826086956522</v>
      </c>
      <c r="F116" s="26">
        <v>78</v>
      </c>
      <c r="G116" s="26">
        <v>3883.0695652173913</v>
      </c>
      <c r="H116" s="26">
        <v>447</v>
      </c>
      <c r="I116" s="25">
        <v>9</v>
      </c>
      <c r="J116" s="26">
        <v>431.45217391304345</v>
      </c>
      <c r="K116" s="26">
        <v>49.666666666666664</v>
      </c>
      <c r="L116" s="25" t="s">
        <v>542</v>
      </c>
      <c r="M116" s="26">
        <f t="shared" si="4"/>
        <v>431.45217391304345</v>
      </c>
      <c r="N116" s="26">
        <f t="shared" si="3"/>
        <v>49.666666666666664</v>
      </c>
    </row>
    <row r="117" spans="1:14" x14ac:dyDescent="0.35">
      <c r="A117">
        <v>218</v>
      </c>
      <c r="B117" t="s">
        <v>578</v>
      </c>
      <c r="C117">
        <v>34383</v>
      </c>
      <c r="D117" t="s">
        <v>465</v>
      </c>
      <c r="E117" s="26">
        <v>599.79999999999995</v>
      </c>
      <c r="F117" s="26">
        <v>23</v>
      </c>
      <c r="G117" s="26">
        <v>2373.1217391304349</v>
      </c>
      <c r="H117" s="26">
        <v>91</v>
      </c>
      <c r="I117" s="25">
        <v>9</v>
      </c>
      <c r="J117" s="26">
        <v>263.68019323671501</v>
      </c>
      <c r="K117" s="26">
        <v>10.111111111111111</v>
      </c>
      <c r="L117" s="25" t="s">
        <v>542</v>
      </c>
      <c r="M117" s="26">
        <f t="shared" si="4"/>
        <v>263.68019323671501</v>
      </c>
      <c r="N117" s="26">
        <f t="shared" si="3"/>
        <v>10.111111111111111</v>
      </c>
    </row>
    <row r="118" spans="1:14" x14ac:dyDescent="0.35">
      <c r="A118">
        <v>218</v>
      </c>
      <c r="B118" t="s">
        <v>578</v>
      </c>
      <c r="C118">
        <v>58340</v>
      </c>
      <c r="D118" t="s">
        <v>476</v>
      </c>
      <c r="E118" s="26">
        <v>286.66956521739138</v>
      </c>
      <c r="F118" s="26">
        <v>33</v>
      </c>
      <c r="G118" s="26">
        <v>2015.3739130434783</v>
      </c>
      <c r="H118" s="26">
        <v>232</v>
      </c>
      <c r="I118" s="25">
        <v>9</v>
      </c>
      <c r="J118" s="26">
        <v>223.9304347826087</v>
      </c>
      <c r="K118" s="26">
        <v>25.777777777777779</v>
      </c>
      <c r="L118" s="25" t="s">
        <v>542</v>
      </c>
      <c r="M118" s="26">
        <f t="shared" si="4"/>
        <v>223.9304347826087</v>
      </c>
      <c r="N118" s="26">
        <f t="shared" si="3"/>
        <v>25.777777777777779</v>
      </c>
    </row>
    <row r="119" spans="1:14" x14ac:dyDescent="0.35">
      <c r="A119">
        <v>218</v>
      </c>
      <c r="B119" t="s">
        <v>578</v>
      </c>
      <c r="C119">
        <v>54428</v>
      </c>
      <c r="D119" t="s">
        <v>472</v>
      </c>
      <c r="E119" s="26">
        <v>203.47826086956522</v>
      </c>
      <c r="F119" s="26">
        <v>18</v>
      </c>
      <c r="G119" s="26">
        <v>1243.4782608695652</v>
      </c>
      <c r="H119" s="26">
        <v>110</v>
      </c>
      <c r="I119" s="25">
        <v>9</v>
      </c>
      <c r="J119" s="26">
        <v>138.16425120772948</v>
      </c>
      <c r="K119" s="26">
        <v>12.222222222222221</v>
      </c>
      <c r="L119" s="25" t="s">
        <v>542</v>
      </c>
      <c r="M119" s="26">
        <f t="shared" si="4"/>
        <v>138.16425120772948</v>
      </c>
      <c r="N119" s="26">
        <f t="shared" si="3"/>
        <v>12.222222222222221</v>
      </c>
    </row>
    <row r="120" spans="1:14" x14ac:dyDescent="0.35">
      <c r="A120">
        <v>218</v>
      </c>
      <c r="B120" t="s">
        <v>578</v>
      </c>
      <c r="C120">
        <v>65605</v>
      </c>
      <c r="D120" t="s">
        <v>486</v>
      </c>
      <c r="E120" s="26">
        <v>106.22608695652174</v>
      </c>
      <c r="F120" s="26">
        <v>1.018</v>
      </c>
      <c r="G120" s="26">
        <v>106.22608695652174</v>
      </c>
      <c r="H120" s="26">
        <v>1.018</v>
      </c>
      <c r="I120" s="25">
        <v>1</v>
      </c>
      <c r="J120" s="26">
        <v>106.22608695652174</v>
      </c>
      <c r="K120" s="26">
        <v>1.018</v>
      </c>
      <c r="L120" s="25" t="s">
        <v>541</v>
      </c>
      <c r="M120" s="26">
        <f t="shared" si="4"/>
        <v>212.45217391304348</v>
      </c>
      <c r="N120" s="26">
        <f t="shared" si="3"/>
        <v>2.036</v>
      </c>
    </row>
    <row r="121" spans="1:14" x14ac:dyDescent="0.35">
      <c r="A121">
        <v>218</v>
      </c>
      <c r="B121" t="s">
        <v>578</v>
      </c>
      <c r="C121">
        <v>34385</v>
      </c>
      <c r="D121" t="s">
        <v>466</v>
      </c>
      <c r="E121" s="26">
        <v>125.18260869565218</v>
      </c>
      <c r="F121" s="26">
        <v>4</v>
      </c>
      <c r="G121" s="26">
        <v>464.20869565217396</v>
      </c>
      <c r="H121" s="26">
        <v>16</v>
      </c>
      <c r="I121" s="25">
        <v>6</v>
      </c>
      <c r="J121" s="26">
        <v>77.368115942028993</v>
      </c>
      <c r="K121" s="26">
        <v>2.6666666666666665</v>
      </c>
      <c r="L121" s="25" t="s">
        <v>543</v>
      </c>
      <c r="M121" s="26">
        <f t="shared" si="4"/>
        <v>77.368115942028993</v>
      </c>
      <c r="N121" s="26">
        <f t="shared" si="3"/>
        <v>2.6666666666666665</v>
      </c>
    </row>
    <row r="122" spans="1:14" x14ac:dyDescent="0.35">
      <c r="A122">
        <v>218</v>
      </c>
      <c r="B122" t="s">
        <v>578</v>
      </c>
      <c r="C122">
        <v>64641</v>
      </c>
      <c r="D122" t="s">
        <v>347</v>
      </c>
      <c r="E122" s="26">
        <v>40</v>
      </c>
      <c r="F122" s="26">
        <v>0.23</v>
      </c>
      <c r="G122" s="26">
        <v>40</v>
      </c>
      <c r="H122" s="26">
        <v>0.23</v>
      </c>
      <c r="I122" s="25">
        <v>1</v>
      </c>
      <c r="J122" s="26">
        <v>40</v>
      </c>
      <c r="K122" s="26">
        <v>0.23</v>
      </c>
      <c r="L122" s="25" t="s">
        <v>541</v>
      </c>
      <c r="M122" s="26">
        <f t="shared" si="4"/>
        <v>80</v>
      </c>
      <c r="N122" s="26">
        <f t="shared" si="3"/>
        <v>0.46</v>
      </c>
    </row>
    <row r="123" spans="1:14" x14ac:dyDescent="0.35">
      <c r="A123">
        <v>224</v>
      </c>
      <c r="B123" t="s">
        <v>584</v>
      </c>
      <c r="C123">
        <v>53854</v>
      </c>
      <c r="D123" t="s">
        <v>508</v>
      </c>
      <c r="E123" s="26">
        <v>2961.6347826086958</v>
      </c>
      <c r="F123" s="26">
        <v>8.5359999999999996</v>
      </c>
      <c r="G123" s="26">
        <v>19159.008695652174</v>
      </c>
      <c r="H123" s="26">
        <v>55.22</v>
      </c>
      <c r="I123" s="25">
        <v>9</v>
      </c>
      <c r="J123" s="26">
        <v>2128.7787439613526</v>
      </c>
      <c r="K123" s="26">
        <v>6.1355555555555554</v>
      </c>
      <c r="L123" s="25" t="s">
        <v>542</v>
      </c>
      <c r="M123" s="26">
        <f t="shared" si="4"/>
        <v>2128.7787439613526</v>
      </c>
      <c r="N123" s="26">
        <f t="shared" si="3"/>
        <v>6.1355555555555554</v>
      </c>
    </row>
    <row r="124" spans="1:14" x14ac:dyDescent="0.35">
      <c r="A124">
        <v>224</v>
      </c>
      <c r="B124" t="s">
        <v>584</v>
      </c>
      <c r="C124">
        <v>61155</v>
      </c>
      <c r="D124" t="s">
        <v>515</v>
      </c>
      <c r="E124" s="26">
        <v>2477.4347826086955</v>
      </c>
      <c r="F124" s="26">
        <v>95</v>
      </c>
      <c r="G124" s="26">
        <v>13378.147826086955</v>
      </c>
      <c r="H124" s="26">
        <v>513</v>
      </c>
      <c r="I124" s="25">
        <v>9</v>
      </c>
      <c r="J124" s="26">
        <v>1486.4608695652173</v>
      </c>
      <c r="K124" s="26">
        <v>57</v>
      </c>
      <c r="L124" s="25" t="s">
        <v>542</v>
      </c>
      <c r="M124" s="26">
        <f t="shared" si="4"/>
        <v>1486.4608695652173</v>
      </c>
      <c r="N124" s="26">
        <f t="shared" si="3"/>
        <v>57</v>
      </c>
    </row>
    <row r="125" spans="1:14" x14ac:dyDescent="0.35">
      <c r="A125">
        <v>224</v>
      </c>
      <c r="B125" t="s">
        <v>584</v>
      </c>
      <c r="C125">
        <v>52933</v>
      </c>
      <c r="D125" t="s">
        <v>500</v>
      </c>
      <c r="E125" s="26">
        <v>1266.7739130434782</v>
      </c>
      <c r="F125" s="26">
        <v>3.6419999999999999</v>
      </c>
      <c r="G125" s="26">
        <v>7327.9913043478264</v>
      </c>
      <c r="H125" s="26">
        <v>21.067999999999998</v>
      </c>
      <c r="I125" s="25">
        <v>9</v>
      </c>
      <c r="J125" s="26">
        <v>814.22125603864743</v>
      </c>
      <c r="K125" s="26">
        <v>2.3408888888888888</v>
      </c>
      <c r="L125" s="25" t="s">
        <v>542</v>
      </c>
      <c r="M125" s="26">
        <f t="shared" si="4"/>
        <v>814.22125603864743</v>
      </c>
      <c r="N125" s="26">
        <f t="shared" si="3"/>
        <v>2.3408888888888888</v>
      </c>
    </row>
    <row r="126" spans="1:14" x14ac:dyDescent="0.35">
      <c r="A126">
        <v>224</v>
      </c>
      <c r="B126" t="s">
        <v>584</v>
      </c>
      <c r="C126">
        <v>52937</v>
      </c>
      <c r="D126" t="s">
        <v>504</v>
      </c>
      <c r="E126" s="26">
        <v>1268.695652173913</v>
      </c>
      <c r="F126" s="26">
        <v>2.9180000000000001</v>
      </c>
      <c r="G126" s="26">
        <v>6954.8173913043483</v>
      </c>
      <c r="H126" s="26">
        <v>16.335999999999999</v>
      </c>
      <c r="I126" s="25">
        <v>9</v>
      </c>
      <c r="J126" s="26">
        <v>772.75748792270542</v>
      </c>
      <c r="K126" s="26">
        <v>1.8151111111111109</v>
      </c>
      <c r="L126" s="25" t="s">
        <v>542</v>
      </c>
      <c r="M126" s="26">
        <f t="shared" si="4"/>
        <v>772.75748792270542</v>
      </c>
      <c r="N126" s="26">
        <f t="shared" si="3"/>
        <v>1.8151111111111109</v>
      </c>
    </row>
    <row r="127" spans="1:14" x14ac:dyDescent="0.35">
      <c r="A127">
        <v>224</v>
      </c>
      <c r="B127" t="s">
        <v>584</v>
      </c>
      <c r="C127">
        <v>60726</v>
      </c>
      <c r="D127" t="s">
        <v>514</v>
      </c>
      <c r="E127" s="26">
        <v>1108.1826086956523</v>
      </c>
      <c r="F127" s="26">
        <v>3.194</v>
      </c>
      <c r="G127" s="26">
        <v>6669.173913043478</v>
      </c>
      <c r="H127" s="26">
        <v>19.221999999999998</v>
      </c>
      <c r="I127" s="25">
        <v>9</v>
      </c>
      <c r="J127" s="26">
        <v>741.01932367149755</v>
      </c>
      <c r="K127" s="26">
        <v>2.1357777777777773</v>
      </c>
      <c r="L127" s="25" t="s">
        <v>542</v>
      </c>
      <c r="M127" s="26">
        <f t="shared" si="4"/>
        <v>741.01932367149755</v>
      </c>
      <c r="N127" s="26">
        <f t="shared" si="3"/>
        <v>2.1357777777777773</v>
      </c>
    </row>
    <row r="128" spans="1:14" x14ac:dyDescent="0.35">
      <c r="A128">
        <v>224</v>
      </c>
      <c r="B128" t="s">
        <v>584</v>
      </c>
      <c r="C128">
        <v>59021</v>
      </c>
      <c r="D128" t="s">
        <v>513</v>
      </c>
      <c r="E128" s="26">
        <v>652.17391304347825</v>
      </c>
      <c r="F128" s="26">
        <v>5</v>
      </c>
      <c r="G128" s="26">
        <v>3443.4260869565219</v>
      </c>
      <c r="H128" s="26">
        <v>26</v>
      </c>
      <c r="I128" s="25">
        <v>9</v>
      </c>
      <c r="J128" s="26">
        <v>382.60289855072466</v>
      </c>
      <c r="K128" s="26">
        <v>2.8888888888888888</v>
      </c>
      <c r="L128" s="25" t="s">
        <v>542</v>
      </c>
      <c r="M128" s="26">
        <f t="shared" si="4"/>
        <v>382.60289855072466</v>
      </c>
      <c r="N128" s="26">
        <f t="shared" si="3"/>
        <v>2.8888888888888888</v>
      </c>
    </row>
    <row r="129" spans="1:14" x14ac:dyDescent="0.35">
      <c r="A129">
        <v>224</v>
      </c>
      <c r="B129" t="s">
        <v>584</v>
      </c>
      <c r="C129">
        <v>53985</v>
      </c>
      <c r="D129" t="s">
        <v>509</v>
      </c>
      <c r="E129" s="26">
        <v>587.82608695652175</v>
      </c>
      <c r="F129" s="26">
        <v>1.69</v>
      </c>
      <c r="G129" s="26">
        <v>2698.434782608696</v>
      </c>
      <c r="H129" s="26">
        <v>7.758</v>
      </c>
      <c r="I129" s="25">
        <v>9</v>
      </c>
      <c r="J129" s="26">
        <v>299.82608695652175</v>
      </c>
      <c r="K129" s="26">
        <v>0.86199999999999999</v>
      </c>
      <c r="L129" s="25" t="s">
        <v>542</v>
      </c>
      <c r="M129" s="26">
        <f t="shared" si="4"/>
        <v>299.82608695652175</v>
      </c>
      <c r="N129" s="26">
        <f t="shared" si="3"/>
        <v>0.86199999999999999</v>
      </c>
    </row>
    <row r="130" spans="1:14" x14ac:dyDescent="0.35">
      <c r="A130">
        <v>224</v>
      </c>
      <c r="B130" t="s">
        <v>584</v>
      </c>
      <c r="C130">
        <v>50186</v>
      </c>
      <c r="D130" t="s">
        <v>498</v>
      </c>
      <c r="E130" s="26">
        <v>491.30434782608694</v>
      </c>
      <c r="F130" s="26">
        <v>1.4159999999999999</v>
      </c>
      <c r="G130" s="26">
        <v>2695.1130434782608</v>
      </c>
      <c r="H130" s="26">
        <v>7.7679999999999998</v>
      </c>
      <c r="I130" s="25">
        <v>9</v>
      </c>
      <c r="J130" s="26">
        <v>299.45700483091787</v>
      </c>
      <c r="K130" s="26">
        <v>0.86311111111111105</v>
      </c>
      <c r="L130" s="25" t="s">
        <v>542</v>
      </c>
      <c r="M130" s="26">
        <f t="shared" si="4"/>
        <v>299.45700483091787</v>
      </c>
      <c r="N130" s="26">
        <f t="shared" si="3"/>
        <v>0.86311111111111105</v>
      </c>
    </row>
    <row r="131" spans="1:14" x14ac:dyDescent="0.35">
      <c r="A131">
        <v>224</v>
      </c>
      <c r="B131" t="s">
        <v>584</v>
      </c>
      <c r="C131">
        <v>64449</v>
      </c>
      <c r="D131" t="s">
        <v>520</v>
      </c>
      <c r="E131" s="26">
        <v>573.87826086956522</v>
      </c>
      <c r="F131" s="26">
        <v>1.6539999999999999</v>
      </c>
      <c r="G131" s="26">
        <v>2682.652173913044</v>
      </c>
      <c r="H131" s="26">
        <v>7.7320000000000002</v>
      </c>
      <c r="I131" s="25">
        <v>9</v>
      </c>
      <c r="J131" s="26">
        <v>298.07246376811599</v>
      </c>
      <c r="K131" s="26">
        <v>0.85911111111111116</v>
      </c>
      <c r="L131" s="25" t="s">
        <v>542</v>
      </c>
      <c r="M131" s="26">
        <f t="shared" si="4"/>
        <v>298.07246376811599</v>
      </c>
      <c r="N131" s="26">
        <f t="shared" si="3"/>
        <v>0.85911111111111116</v>
      </c>
    </row>
    <row r="132" spans="1:14" x14ac:dyDescent="0.35">
      <c r="A132">
        <v>224</v>
      </c>
      <c r="B132" t="s">
        <v>584</v>
      </c>
      <c r="C132">
        <v>59020</v>
      </c>
      <c r="D132" t="s">
        <v>512</v>
      </c>
      <c r="E132" s="26">
        <v>521.70434782608697</v>
      </c>
      <c r="F132" s="26">
        <v>4</v>
      </c>
      <c r="G132" s="26">
        <v>2512.8782608695651</v>
      </c>
      <c r="H132" s="26">
        <v>19</v>
      </c>
      <c r="I132" s="25">
        <v>9</v>
      </c>
      <c r="J132" s="26">
        <v>279.2086956521739</v>
      </c>
      <c r="K132" s="26">
        <v>2.1111111111111112</v>
      </c>
      <c r="L132" s="25" t="s">
        <v>542</v>
      </c>
      <c r="M132" s="26">
        <f t="shared" si="4"/>
        <v>279.2086956521739</v>
      </c>
      <c r="N132" s="26">
        <f>IF(L132="Regular",K132+K132*($Q$5-I132),
 IF(L132="Often", K132+K132*($Q$4-I132),
 K132+K132*($Q$3-I132)))</f>
        <v>2.1111111111111112</v>
      </c>
    </row>
    <row r="133" spans="1:14" x14ac:dyDescent="0.35">
      <c r="A133">
        <v>224</v>
      </c>
      <c r="B133" t="s">
        <v>584</v>
      </c>
      <c r="C133">
        <v>65480</v>
      </c>
      <c r="D133" t="s">
        <v>521</v>
      </c>
      <c r="E133" s="26">
        <v>415.304347826087</v>
      </c>
      <c r="F133" s="26">
        <v>1.194</v>
      </c>
      <c r="G133" s="26">
        <v>1719.6521739130435</v>
      </c>
      <c r="H133" s="26">
        <v>4.9440000000000008</v>
      </c>
      <c r="I133" s="25">
        <v>9</v>
      </c>
      <c r="J133" s="26">
        <v>191.07246376811594</v>
      </c>
      <c r="K133" s="26">
        <v>0.54933333333333345</v>
      </c>
      <c r="L133" s="25" t="s">
        <v>542</v>
      </c>
      <c r="M133" s="26">
        <f t="shared" si="4"/>
        <v>191.07246376811594</v>
      </c>
      <c r="N133" s="26">
        <f>IF(L133="Regular",K133+K133*($Q$5-I133),
 IF(L133="Often", K133+K133*($Q$4-I133),
 K133+K133*($Q$3-I133)))</f>
        <v>0.54933333333333345</v>
      </c>
    </row>
    <row r="134" spans="1:14" x14ac:dyDescent="0.35">
      <c r="E134" s="26">
        <f>SUM(E3:E133)</f>
        <v>248594.27391304335</v>
      </c>
      <c r="F134" s="26">
        <f t="shared" ref="F134:M134" si="5">SUM(F3:F133)</f>
        <v>2701.570999999999</v>
      </c>
      <c r="G134" s="26">
        <f t="shared" si="5"/>
        <v>1031376.2739130432</v>
      </c>
      <c r="H134" s="26">
        <f t="shared" si="5"/>
        <v>11564.751999999993</v>
      </c>
      <c r="I134" s="25">
        <f t="shared" si="5"/>
        <v>889</v>
      </c>
      <c r="J134" s="26">
        <f t="shared" si="5"/>
        <v>140663.48182884746</v>
      </c>
      <c r="K134" s="26">
        <f t="shared" si="5"/>
        <v>1557.5562365079363</v>
      </c>
      <c r="M134" s="26">
        <f t="shared" si="5"/>
        <v>168220.14091787438</v>
      </c>
    </row>
  </sheetData>
  <pageMargins left="0.7" right="0.7" top="0.75" bottom="0.75" header="0.3" footer="0.3"/>
  <ignoredErrors>
    <ignoredError sqref="M3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C0FC4-A30E-4686-8470-577339F2905A}">
  <dimension ref="A1:K422"/>
  <sheetViews>
    <sheetView topLeftCell="B1" workbookViewId="0">
      <selection activeCell="D6" sqref="D6"/>
    </sheetView>
  </sheetViews>
  <sheetFormatPr defaultRowHeight="13" x14ac:dyDescent="0.35"/>
  <cols>
    <col min="1" max="1" width="40.69921875" bestFit="1" customWidth="1"/>
    <col min="2" max="2" width="13.69921875" bestFit="1" customWidth="1"/>
    <col min="3" max="3" width="12.796875" bestFit="1" customWidth="1"/>
    <col min="4" max="4" width="8.19921875" bestFit="1" customWidth="1"/>
    <col min="5" max="5" width="11.09765625" bestFit="1" customWidth="1"/>
    <col min="6" max="6" width="7.5" bestFit="1" customWidth="1"/>
    <col min="7" max="7" width="7" bestFit="1" customWidth="1"/>
    <col min="8" max="8" width="12" customWidth="1"/>
    <col min="9" max="9" width="15.59765625" bestFit="1" customWidth="1"/>
    <col min="10" max="10" width="13.3984375" bestFit="1" customWidth="1"/>
    <col min="11" max="11" width="11.296875" bestFit="1" customWidth="1"/>
  </cols>
  <sheetData>
    <row r="1" spans="1:11" ht="16" thickBot="1" x14ac:dyDescent="0.4">
      <c r="A1" s="79" t="s">
        <v>553</v>
      </c>
      <c r="B1" s="80"/>
      <c r="C1" s="80"/>
      <c r="D1" s="80"/>
      <c r="E1" s="80"/>
      <c r="F1" s="80"/>
      <c r="G1" s="80"/>
      <c r="H1" s="80"/>
      <c r="I1" s="80"/>
      <c r="J1" s="80"/>
      <c r="K1" s="81"/>
    </row>
    <row r="2" spans="1:11" ht="13.5" thickBot="1" x14ac:dyDescent="0.4"/>
    <row r="3" spans="1:11" s="28" customFormat="1" ht="44.5" customHeight="1" thickBot="1" x14ac:dyDescent="0.4">
      <c r="A3" s="82" t="s">
        <v>560</v>
      </c>
      <c r="B3" s="83"/>
      <c r="C3" s="82" t="s">
        <v>558</v>
      </c>
      <c r="D3" s="83"/>
      <c r="E3" s="82" t="s">
        <v>552</v>
      </c>
      <c r="F3" s="83"/>
      <c r="G3" s="82" t="s">
        <v>559</v>
      </c>
      <c r="H3" s="84"/>
      <c r="I3" s="83"/>
      <c r="J3" s="82" t="s">
        <v>594</v>
      </c>
      <c r="K3" s="83"/>
    </row>
    <row r="4" spans="1:11" s="28" customFormat="1" ht="65.5" customHeight="1" thickBot="1" x14ac:dyDescent="0.4">
      <c r="A4" s="42" t="s">
        <v>547</v>
      </c>
      <c r="B4" s="53" t="s">
        <v>544</v>
      </c>
      <c r="C4" s="43" t="s">
        <v>554</v>
      </c>
      <c r="D4" s="44" t="s">
        <v>555</v>
      </c>
      <c r="E4" s="45" t="s">
        <v>549</v>
      </c>
      <c r="F4" s="44" t="s">
        <v>550</v>
      </c>
      <c r="G4" s="45" t="s">
        <v>551</v>
      </c>
      <c r="H4" s="45" t="s">
        <v>556</v>
      </c>
      <c r="I4" s="44" t="s">
        <v>557</v>
      </c>
      <c r="J4" s="46" t="s">
        <v>595</v>
      </c>
      <c r="K4" s="44" t="s">
        <v>626</v>
      </c>
    </row>
    <row r="5" spans="1:11" ht="13.5" thickBot="1" x14ac:dyDescent="0.4">
      <c r="A5" s="33" t="s">
        <v>562</v>
      </c>
      <c r="B5" s="37"/>
      <c r="C5" s="29"/>
      <c r="D5" s="56"/>
      <c r="E5" s="26"/>
      <c r="F5" s="56"/>
      <c r="G5" s="25"/>
      <c r="H5" s="26"/>
      <c r="I5" s="56"/>
      <c r="J5" s="26"/>
      <c r="K5" s="56"/>
    </row>
    <row r="6" spans="1:11" x14ac:dyDescent="0.35">
      <c r="A6" s="34" t="s">
        <v>129</v>
      </c>
      <c r="B6" s="1" t="s">
        <v>542</v>
      </c>
      <c r="C6" s="29">
        <v>3322.8347826086956</v>
      </c>
      <c r="D6" s="56">
        <v>27.387999999999998</v>
      </c>
      <c r="E6" s="26">
        <v>774.96521739130435</v>
      </c>
      <c r="F6" s="56">
        <v>6.3840000000000003</v>
      </c>
      <c r="G6" s="25">
        <v>9</v>
      </c>
      <c r="H6" s="26">
        <v>369.20386473429949</v>
      </c>
      <c r="I6" s="56">
        <v>3.0431111111111111</v>
      </c>
      <c r="J6" s="26">
        <v>369.20386473429949</v>
      </c>
      <c r="K6" s="56">
        <v>3.0431111111111111</v>
      </c>
    </row>
    <row r="7" spans="1:11" x14ac:dyDescent="0.35">
      <c r="A7" s="34" t="s">
        <v>74</v>
      </c>
      <c r="B7" s="1" t="s">
        <v>542</v>
      </c>
      <c r="C7" s="29">
        <v>19684.81739130435</v>
      </c>
      <c r="D7" s="56">
        <v>109.78100000000001</v>
      </c>
      <c r="E7" s="26">
        <v>4750.3304347826088</v>
      </c>
      <c r="F7" s="56">
        <v>27.315999999999999</v>
      </c>
      <c r="G7" s="25">
        <v>9</v>
      </c>
      <c r="H7" s="26">
        <v>2187.2019323671502</v>
      </c>
      <c r="I7" s="56">
        <v>12.19788888888889</v>
      </c>
      <c r="J7" s="26">
        <v>2187.2019323671502</v>
      </c>
      <c r="K7" s="56">
        <v>12.19788888888889</v>
      </c>
    </row>
    <row r="8" spans="1:11" x14ac:dyDescent="0.35">
      <c r="A8" s="34" t="s">
        <v>76</v>
      </c>
      <c r="B8" s="1" t="s">
        <v>542</v>
      </c>
      <c r="C8" s="29">
        <v>2938.0086956521736</v>
      </c>
      <c r="D8" s="56">
        <v>25.522000000000002</v>
      </c>
      <c r="E8" s="26">
        <v>627.20000000000005</v>
      </c>
      <c r="F8" s="56">
        <v>5.1520000000000001</v>
      </c>
      <c r="G8" s="25">
        <v>8</v>
      </c>
      <c r="H8" s="26">
        <v>367.2510869565217</v>
      </c>
      <c r="I8" s="56">
        <v>3.1902500000000003</v>
      </c>
      <c r="J8" s="26">
        <v>734.50217391304341</v>
      </c>
      <c r="K8" s="56">
        <v>6.3805000000000005</v>
      </c>
    </row>
    <row r="9" spans="1:11" x14ac:dyDescent="0.35">
      <c r="A9" s="34" t="s">
        <v>119</v>
      </c>
      <c r="B9" s="1" t="s">
        <v>542</v>
      </c>
      <c r="C9" s="29">
        <v>10043.669565217391</v>
      </c>
      <c r="D9" s="56">
        <v>289.02499999999998</v>
      </c>
      <c r="E9" s="26">
        <v>1975.0521739130429</v>
      </c>
      <c r="F9" s="56">
        <v>56.796999999999997</v>
      </c>
      <c r="G9" s="25">
        <v>9</v>
      </c>
      <c r="H9" s="26">
        <v>1115.9632850241546</v>
      </c>
      <c r="I9" s="56">
        <v>32.113888888888887</v>
      </c>
      <c r="J9" s="26">
        <v>1115.9632850241546</v>
      </c>
      <c r="K9" s="56">
        <v>32.113888888888887</v>
      </c>
    </row>
    <row r="10" spans="1:11" x14ac:dyDescent="0.35">
      <c r="A10" s="34" t="s">
        <v>93</v>
      </c>
      <c r="B10" s="1" t="s">
        <v>541</v>
      </c>
      <c r="C10" s="29">
        <v>986.00869565217374</v>
      </c>
      <c r="D10" s="56">
        <v>9.4499999999999993</v>
      </c>
      <c r="E10" s="26">
        <v>986.00869565217374</v>
      </c>
      <c r="F10" s="56">
        <v>9.4499999999999993</v>
      </c>
      <c r="G10" s="25">
        <v>1</v>
      </c>
      <c r="H10" s="26">
        <v>986.00869565217374</v>
      </c>
      <c r="I10" s="56">
        <v>9.4499999999999993</v>
      </c>
      <c r="J10" s="26">
        <v>1972.0173913043475</v>
      </c>
      <c r="K10" s="56">
        <v>18.899999999999999</v>
      </c>
    </row>
    <row r="11" spans="1:11" x14ac:dyDescent="0.35">
      <c r="A11" s="34" t="s">
        <v>95</v>
      </c>
      <c r="B11" s="1" t="s">
        <v>543</v>
      </c>
      <c r="C11" s="29">
        <v>4702.0956521739135</v>
      </c>
      <c r="D11" s="56">
        <v>21.674000000000003</v>
      </c>
      <c r="E11" s="26">
        <v>1478.6260869565217</v>
      </c>
      <c r="F11" s="56">
        <v>6.8019999999999996</v>
      </c>
      <c r="G11" s="25">
        <v>7</v>
      </c>
      <c r="H11" s="26">
        <v>671.72795031055909</v>
      </c>
      <c r="I11" s="56">
        <v>3.0962857142857145</v>
      </c>
      <c r="J11" s="26">
        <v>0</v>
      </c>
      <c r="K11" s="56">
        <v>0</v>
      </c>
    </row>
    <row r="12" spans="1:11" x14ac:dyDescent="0.35">
      <c r="A12" s="34" t="s">
        <v>136</v>
      </c>
      <c r="B12" s="1" t="s">
        <v>541</v>
      </c>
      <c r="C12" s="29">
        <v>288.61739130434779</v>
      </c>
      <c r="D12" s="56">
        <v>1.8439999999999999</v>
      </c>
      <c r="E12" s="26">
        <v>153.38260869565215</v>
      </c>
      <c r="F12" s="56">
        <v>0.98</v>
      </c>
      <c r="G12" s="25">
        <v>2</v>
      </c>
      <c r="H12" s="26">
        <v>144.3086956521739</v>
      </c>
      <c r="I12" s="56">
        <v>0.92199999999999993</v>
      </c>
      <c r="J12" s="26">
        <v>144.3086956521739</v>
      </c>
      <c r="K12" s="56">
        <v>0.92199999999999993</v>
      </c>
    </row>
    <row r="13" spans="1:11" x14ac:dyDescent="0.35">
      <c r="A13" s="34" t="s">
        <v>120</v>
      </c>
      <c r="B13" s="1" t="s">
        <v>541</v>
      </c>
      <c r="C13" s="29">
        <v>243.98260869565215</v>
      </c>
      <c r="D13" s="56">
        <v>3.1179999999999999</v>
      </c>
      <c r="E13" s="26">
        <v>110.01739130434783</v>
      </c>
      <c r="F13" s="56">
        <v>1.4059999999999999</v>
      </c>
      <c r="G13" s="25">
        <v>3</v>
      </c>
      <c r="H13" s="26">
        <v>81.327536231884054</v>
      </c>
      <c r="I13" s="56">
        <v>1.0393333333333332</v>
      </c>
      <c r="J13" s="26">
        <v>0</v>
      </c>
      <c r="K13" s="56">
        <v>0</v>
      </c>
    </row>
    <row r="14" spans="1:11" x14ac:dyDescent="0.35">
      <c r="A14" s="34" t="s">
        <v>89</v>
      </c>
      <c r="B14" s="1" t="s">
        <v>542</v>
      </c>
      <c r="C14" s="29">
        <v>9181.4695652173923</v>
      </c>
      <c r="D14" s="56">
        <v>114.64399999999999</v>
      </c>
      <c r="E14" s="26">
        <v>3349.8608695652174</v>
      </c>
      <c r="F14" s="56">
        <v>44.834000000000003</v>
      </c>
      <c r="G14" s="25">
        <v>9</v>
      </c>
      <c r="H14" s="26">
        <v>1020.1632850241547</v>
      </c>
      <c r="I14" s="56">
        <v>12.738222222222221</v>
      </c>
      <c r="J14" s="26">
        <v>1020.1632850241547</v>
      </c>
      <c r="K14" s="56">
        <v>12.738222222222221</v>
      </c>
    </row>
    <row r="15" spans="1:11" x14ac:dyDescent="0.35">
      <c r="A15" s="34" t="s">
        <v>130</v>
      </c>
      <c r="B15" s="1" t="s">
        <v>543</v>
      </c>
      <c r="C15" s="29">
        <v>2494.6869565217385</v>
      </c>
      <c r="D15" s="56">
        <v>22.515999999999998</v>
      </c>
      <c r="E15" s="26">
        <v>1268.4434782608694</v>
      </c>
      <c r="F15" s="56">
        <v>11.222</v>
      </c>
      <c r="G15" s="25">
        <v>4</v>
      </c>
      <c r="H15" s="26">
        <v>623.67173913043462</v>
      </c>
      <c r="I15" s="56">
        <v>5.6289999999999996</v>
      </c>
      <c r="J15" s="26">
        <v>1871.0152173913038</v>
      </c>
      <c r="K15" s="56">
        <v>16.887</v>
      </c>
    </row>
    <row r="16" spans="1:11" x14ac:dyDescent="0.35">
      <c r="A16" s="34" t="s">
        <v>97</v>
      </c>
      <c r="B16" s="1" t="s">
        <v>541</v>
      </c>
      <c r="C16" s="29">
        <v>253.20000000000002</v>
      </c>
      <c r="D16" s="56">
        <v>2.08</v>
      </c>
      <c r="E16" s="26">
        <v>253.20000000000002</v>
      </c>
      <c r="F16" s="56">
        <v>2.08</v>
      </c>
      <c r="G16" s="25">
        <v>1</v>
      </c>
      <c r="H16" s="26">
        <v>253.20000000000002</v>
      </c>
      <c r="I16" s="56">
        <v>2.08</v>
      </c>
      <c r="J16" s="26">
        <v>506.40000000000003</v>
      </c>
      <c r="K16" s="56">
        <v>4.16</v>
      </c>
    </row>
    <row r="17" spans="1:11" x14ac:dyDescent="0.35">
      <c r="A17" s="34" t="s">
        <v>80</v>
      </c>
      <c r="B17" s="1" t="s">
        <v>542</v>
      </c>
      <c r="C17" s="29">
        <v>8994.9217391304337</v>
      </c>
      <c r="D17" s="56">
        <v>55.138999999999996</v>
      </c>
      <c r="E17" s="26">
        <v>1719.4347826086955</v>
      </c>
      <c r="F17" s="56">
        <v>10.986000000000001</v>
      </c>
      <c r="G17" s="25">
        <v>9</v>
      </c>
      <c r="H17" s="26">
        <v>999.43574879227037</v>
      </c>
      <c r="I17" s="56">
        <v>6.1265555555555551</v>
      </c>
      <c r="J17" s="26">
        <v>999.43574879227037</v>
      </c>
      <c r="K17" s="56">
        <v>6.1265555555555551</v>
      </c>
    </row>
    <row r="18" spans="1:11" x14ac:dyDescent="0.35">
      <c r="A18" s="34" t="s">
        <v>104</v>
      </c>
      <c r="B18" s="1" t="s">
        <v>543</v>
      </c>
      <c r="C18" s="29">
        <v>1555.1652173913042</v>
      </c>
      <c r="D18" s="56">
        <v>18.740000000000002</v>
      </c>
      <c r="E18" s="26">
        <v>1175.8608695652172</v>
      </c>
      <c r="F18" s="56">
        <v>15.055999999999999</v>
      </c>
      <c r="G18" s="25">
        <v>4</v>
      </c>
      <c r="H18" s="26">
        <v>388.79130434782604</v>
      </c>
      <c r="I18" s="56">
        <v>4.6850000000000005</v>
      </c>
      <c r="J18" s="26">
        <v>1166.3739130434781</v>
      </c>
      <c r="K18" s="56">
        <v>14.055000000000001</v>
      </c>
    </row>
    <row r="19" spans="1:11" x14ac:dyDescent="0.35">
      <c r="A19" s="34" t="s">
        <v>135</v>
      </c>
      <c r="B19" s="1" t="s">
        <v>541</v>
      </c>
      <c r="C19" s="29">
        <v>881.08695652173924</v>
      </c>
      <c r="D19" s="56">
        <v>7.2720000000000002</v>
      </c>
      <c r="E19" s="26">
        <v>434.33913043478265</v>
      </c>
      <c r="F19" s="56">
        <v>3.5680000000000001</v>
      </c>
      <c r="G19" s="25">
        <v>3</v>
      </c>
      <c r="H19" s="26">
        <v>293.69565217391306</v>
      </c>
      <c r="I19" s="56">
        <v>2.4239999999999999</v>
      </c>
      <c r="J19" s="26">
        <v>0</v>
      </c>
      <c r="K19" s="56">
        <v>0</v>
      </c>
    </row>
    <row r="20" spans="1:11" x14ac:dyDescent="0.35">
      <c r="A20" s="34" t="s">
        <v>107</v>
      </c>
      <c r="B20" s="1" t="s">
        <v>542</v>
      </c>
      <c r="C20" s="29">
        <v>38195.721739130437</v>
      </c>
      <c r="D20" s="56">
        <v>248.18800000000002</v>
      </c>
      <c r="E20" s="26">
        <v>9697.6521739130421</v>
      </c>
      <c r="F20" s="56">
        <v>64.841999999999999</v>
      </c>
      <c r="G20" s="25">
        <v>9</v>
      </c>
      <c r="H20" s="26">
        <v>4243.9690821256045</v>
      </c>
      <c r="I20" s="56">
        <v>27.576444444444448</v>
      </c>
      <c r="J20" s="26">
        <v>4243.9690821256045</v>
      </c>
      <c r="K20" s="56">
        <v>27.576444444444448</v>
      </c>
    </row>
    <row r="21" spans="1:11" x14ac:dyDescent="0.35">
      <c r="A21" s="34" t="s">
        <v>115</v>
      </c>
      <c r="B21" s="1" t="s">
        <v>542</v>
      </c>
      <c r="C21" s="29">
        <v>10324.408695652173</v>
      </c>
      <c r="D21" s="56">
        <v>67.807999999999993</v>
      </c>
      <c r="E21" s="26">
        <v>2623.3565217391306</v>
      </c>
      <c r="F21" s="56">
        <v>18.954000000000001</v>
      </c>
      <c r="G21" s="25">
        <v>8</v>
      </c>
      <c r="H21" s="26">
        <v>1290.5510869565217</v>
      </c>
      <c r="I21" s="56">
        <v>8.4759999999999991</v>
      </c>
      <c r="J21" s="26">
        <v>2581.1021739130433</v>
      </c>
      <c r="K21" s="56">
        <v>16.951999999999998</v>
      </c>
    </row>
    <row r="22" spans="1:11" x14ac:dyDescent="0.35">
      <c r="A22" s="34" t="s">
        <v>117</v>
      </c>
      <c r="B22" s="1" t="s">
        <v>543</v>
      </c>
      <c r="C22" s="29">
        <v>2558.9565217391305</v>
      </c>
      <c r="D22" s="56">
        <v>22.661999999999999</v>
      </c>
      <c r="E22" s="26">
        <v>677.98260869565229</v>
      </c>
      <c r="F22" s="56">
        <v>5.9980000000000002</v>
      </c>
      <c r="G22" s="25">
        <v>6</v>
      </c>
      <c r="H22" s="26">
        <v>426.49275362318843</v>
      </c>
      <c r="I22" s="56">
        <v>3.7769999999999997</v>
      </c>
      <c r="J22" s="26">
        <v>426.49275362318843</v>
      </c>
      <c r="K22" s="56">
        <v>3.7769999999999997</v>
      </c>
    </row>
    <row r="23" spans="1:11" x14ac:dyDescent="0.35">
      <c r="A23" s="34" t="s">
        <v>139</v>
      </c>
      <c r="B23" s="1" t="s">
        <v>543</v>
      </c>
      <c r="C23" s="29">
        <v>7785.5565217391295</v>
      </c>
      <c r="D23" s="56">
        <v>24.926000000000002</v>
      </c>
      <c r="E23" s="26">
        <v>6900.652173913043</v>
      </c>
      <c r="F23" s="56">
        <v>22.1</v>
      </c>
      <c r="G23" s="25">
        <v>4</v>
      </c>
      <c r="H23" s="26">
        <v>1946.3891304347824</v>
      </c>
      <c r="I23" s="56">
        <v>6.2315000000000005</v>
      </c>
      <c r="J23" s="26">
        <v>5839.1673913043469</v>
      </c>
      <c r="K23" s="56">
        <v>18.694500000000001</v>
      </c>
    </row>
    <row r="24" spans="1:11" x14ac:dyDescent="0.35">
      <c r="A24" s="34" t="s">
        <v>124</v>
      </c>
      <c r="B24" s="1" t="s">
        <v>542</v>
      </c>
      <c r="C24" s="29">
        <v>4035.8956521739128</v>
      </c>
      <c r="D24" s="56">
        <v>22.326000000000004</v>
      </c>
      <c r="E24" s="26">
        <v>632.81739130434789</v>
      </c>
      <c r="F24" s="56">
        <v>3.63</v>
      </c>
      <c r="G24" s="25">
        <v>9</v>
      </c>
      <c r="H24" s="26">
        <v>448.43285024154585</v>
      </c>
      <c r="I24" s="56">
        <v>2.480666666666667</v>
      </c>
      <c r="J24" s="26">
        <v>448.43285024154585</v>
      </c>
      <c r="K24" s="56">
        <v>2.480666666666667</v>
      </c>
    </row>
    <row r="25" spans="1:11" x14ac:dyDescent="0.35">
      <c r="A25" s="34" t="s">
        <v>84</v>
      </c>
      <c r="B25" s="1" t="s">
        <v>543</v>
      </c>
      <c r="C25" s="29">
        <v>5119.5391304347831</v>
      </c>
      <c r="D25" s="56">
        <v>14.749000000000001</v>
      </c>
      <c r="E25" s="26">
        <v>1483.7739130434782</v>
      </c>
      <c r="F25" s="56">
        <v>4.266</v>
      </c>
      <c r="G25" s="25">
        <v>5</v>
      </c>
      <c r="H25" s="26">
        <v>1023.9078260869567</v>
      </c>
      <c r="I25" s="56">
        <v>2.9498000000000002</v>
      </c>
      <c r="J25" s="26">
        <v>2047.8156521739133</v>
      </c>
      <c r="K25" s="56">
        <v>5.8996000000000004</v>
      </c>
    </row>
    <row r="26" spans="1:11" x14ac:dyDescent="0.35">
      <c r="A26" s="34" t="s">
        <v>125</v>
      </c>
      <c r="B26" s="1" t="s">
        <v>542</v>
      </c>
      <c r="C26" s="29">
        <v>30254.165217391306</v>
      </c>
      <c r="D26" s="56">
        <v>250.96199999999999</v>
      </c>
      <c r="E26" s="26">
        <v>4882.826086956522</v>
      </c>
      <c r="F26" s="56">
        <v>40.112000000000002</v>
      </c>
      <c r="G26" s="25">
        <v>9</v>
      </c>
      <c r="H26" s="26">
        <v>3361.5739130434786</v>
      </c>
      <c r="I26" s="56">
        <v>27.884666666666664</v>
      </c>
      <c r="J26" s="26">
        <v>3361.5739130434786</v>
      </c>
      <c r="K26" s="56">
        <v>27.884666666666664</v>
      </c>
    </row>
    <row r="27" spans="1:11" x14ac:dyDescent="0.35">
      <c r="A27" s="34" t="s">
        <v>83</v>
      </c>
      <c r="B27" s="1" t="s">
        <v>543</v>
      </c>
      <c r="C27" s="29">
        <v>1875.0869565217388</v>
      </c>
      <c r="D27" s="56">
        <v>11.159999999999998</v>
      </c>
      <c r="E27" s="26">
        <v>671.71304347826083</v>
      </c>
      <c r="F27" s="56">
        <v>4.0659999999999998</v>
      </c>
      <c r="G27" s="25">
        <v>6</v>
      </c>
      <c r="H27" s="26">
        <v>312.51449275362313</v>
      </c>
      <c r="I27" s="56">
        <v>1.8599999999999997</v>
      </c>
      <c r="J27" s="26">
        <v>312.51449275362313</v>
      </c>
      <c r="K27" s="56">
        <v>1.8599999999999997</v>
      </c>
    </row>
    <row r="28" spans="1:11" x14ac:dyDescent="0.35">
      <c r="A28" s="34" t="s">
        <v>133</v>
      </c>
      <c r="B28" s="1" t="s">
        <v>542</v>
      </c>
      <c r="C28" s="29">
        <v>9174.1217391304344</v>
      </c>
      <c r="D28" s="56">
        <v>79.697000000000003</v>
      </c>
      <c r="E28" s="26">
        <v>1697.9304347826087</v>
      </c>
      <c r="F28" s="56">
        <v>16.294</v>
      </c>
      <c r="G28" s="25">
        <v>9</v>
      </c>
      <c r="H28" s="26">
        <v>1019.3468599033816</v>
      </c>
      <c r="I28" s="56">
        <v>8.8552222222222223</v>
      </c>
      <c r="J28" s="26">
        <v>1019.3468599033816</v>
      </c>
      <c r="K28" s="56">
        <v>8.8552222222222223</v>
      </c>
    </row>
    <row r="29" spans="1:11" ht="13.5" thickBot="1" x14ac:dyDescent="0.4">
      <c r="A29" s="35" t="s">
        <v>132</v>
      </c>
      <c r="B29" s="1" t="s">
        <v>543</v>
      </c>
      <c r="C29" s="29">
        <v>1035.4347826086955</v>
      </c>
      <c r="D29" s="56">
        <v>5.9539999999999997</v>
      </c>
      <c r="E29" s="26">
        <v>644.4869565217391</v>
      </c>
      <c r="F29" s="56">
        <v>3.706</v>
      </c>
      <c r="G29" s="25">
        <v>4</v>
      </c>
      <c r="H29" s="26">
        <v>258.85869565217388</v>
      </c>
      <c r="I29" s="56">
        <v>1.4884999999999999</v>
      </c>
      <c r="J29" s="26">
        <v>776.57608695652164</v>
      </c>
      <c r="K29" s="56">
        <v>4.4654999999999996</v>
      </c>
    </row>
    <row r="30" spans="1:11" ht="13.5" thickBot="1" x14ac:dyDescent="0.4">
      <c r="A30" s="1" t="s">
        <v>597</v>
      </c>
      <c r="C30" s="30">
        <v>175929.45217391304</v>
      </c>
      <c r="D30" s="57">
        <v>1456.6249999999998</v>
      </c>
      <c r="E30" s="31">
        <v>48969.913043478256</v>
      </c>
      <c r="F30" s="57">
        <v>386.00100000000009</v>
      </c>
      <c r="G30" s="32">
        <v>147</v>
      </c>
      <c r="H30" s="31">
        <v>23833.987467218769</v>
      </c>
      <c r="I30" s="57">
        <v>190.31533571428574</v>
      </c>
      <c r="J30" s="31">
        <v>33143.576763285026</v>
      </c>
      <c r="K30" s="57">
        <v>245.96976666666666</v>
      </c>
    </row>
    <row r="31" spans="1:11" ht="13.5" thickBot="1" x14ac:dyDescent="0.4">
      <c r="A31" s="38" t="s">
        <v>584</v>
      </c>
      <c r="B31" s="51"/>
      <c r="C31" s="29"/>
      <c r="D31" s="56"/>
      <c r="E31" s="26"/>
      <c r="F31" s="56"/>
      <c r="G31" s="25"/>
      <c r="H31" s="26"/>
      <c r="I31" s="56"/>
      <c r="J31" s="26"/>
      <c r="K31" s="56"/>
    </row>
    <row r="32" spans="1:11" x14ac:dyDescent="0.35">
      <c r="A32" s="34" t="s">
        <v>498</v>
      </c>
      <c r="B32" s="1" t="s">
        <v>542</v>
      </c>
      <c r="C32" s="29">
        <v>2695.1130434782608</v>
      </c>
      <c r="D32" s="56">
        <v>7.7679999999999998</v>
      </c>
      <c r="E32" s="26">
        <v>491.30434782608694</v>
      </c>
      <c r="F32" s="56">
        <v>1.4159999999999999</v>
      </c>
      <c r="G32" s="25">
        <v>9</v>
      </c>
      <c r="H32" s="26">
        <v>299.45700483091787</v>
      </c>
      <c r="I32" s="56">
        <v>0.86311111111111105</v>
      </c>
      <c r="J32" s="26">
        <v>299.45700483091787</v>
      </c>
      <c r="K32" s="56">
        <v>0.86311111111111105</v>
      </c>
    </row>
    <row r="33" spans="1:11" x14ac:dyDescent="0.35">
      <c r="A33" s="34" t="s">
        <v>504</v>
      </c>
      <c r="B33" s="1" t="s">
        <v>542</v>
      </c>
      <c r="C33" s="29">
        <v>6954.8173913043483</v>
      </c>
      <c r="D33" s="56">
        <v>16.335999999999999</v>
      </c>
      <c r="E33" s="26">
        <v>1268.695652173913</v>
      </c>
      <c r="F33" s="56">
        <v>2.9180000000000001</v>
      </c>
      <c r="G33" s="25">
        <v>9</v>
      </c>
      <c r="H33" s="26">
        <v>772.75748792270542</v>
      </c>
      <c r="I33" s="56">
        <v>1.8151111111111109</v>
      </c>
      <c r="J33" s="26">
        <v>772.75748792270542</v>
      </c>
      <c r="K33" s="56">
        <v>1.8151111111111109</v>
      </c>
    </row>
    <row r="34" spans="1:11" x14ac:dyDescent="0.35">
      <c r="A34" s="34" t="s">
        <v>521</v>
      </c>
      <c r="B34" s="1" t="s">
        <v>542</v>
      </c>
      <c r="C34" s="29">
        <v>1719.6521739130435</v>
      </c>
      <c r="D34" s="56">
        <v>4.9440000000000008</v>
      </c>
      <c r="E34" s="26">
        <v>415.304347826087</v>
      </c>
      <c r="F34" s="56">
        <v>1.194</v>
      </c>
      <c r="G34" s="25">
        <v>9</v>
      </c>
      <c r="H34" s="26">
        <v>191.07246376811594</v>
      </c>
      <c r="I34" s="56">
        <v>0.54933333333333345</v>
      </c>
      <c r="J34" s="26">
        <v>191.07246376811594</v>
      </c>
      <c r="K34" s="56">
        <v>0.54933333333333345</v>
      </c>
    </row>
    <row r="35" spans="1:11" x14ac:dyDescent="0.35">
      <c r="A35" s="34" t="s">
        <v>508</v>
      </c>
      <c r="B35" s="1" t="s">
        <v>542</v>
      </c>
      <c r="C35" s="29">
        <v>19159.008695652174</v>
      </c>
      <c r="D35" s="56">
        <v>55.22</v>
      </c>
      <c r="E35" s="26">
        <v>2961.6347826086958</v>
      </c>
      <c r="F35" s="56">
        <v>8.5359999999999996</v>
      </c>
      <c r="G35" s="25">
        <v>9</v>
      </c>
      <c r="H35" s="26">
        <v>2128.7787439613526</v>
      </c>
      <c r="I35" s="56">
        <v>6.1355555555555554</v>
      </c>
      <c r="J35" s="26">
        <v>2128.7787439613526</v>
      </c>
      <c r="K35" s="56">
        <v>6.1355555555555554</v>
      </c>
    </row>
    <row r="36" spans="1:11" x14ac:dyDescent="0.35">
      <c r="A36" s="34" t="s">
        <v>500</v>
      </c>
      <c r="B36" s="1" t="s">
        <v>542</v>
      </c>
      <c r="C36" s="29">
        <v>7327.9913043478264</v>
      </c>
      <c r="D36" s="56">
        <v>21.067999999999998</v>
      </c>
      <c r="E36" s="26">
        <v>1266.7739130434782</v>
      </c>
      <c r="F36" s="56">
        <v>3.6419999999999999</v>
      </c>
      <c r="G36" s="25">
        <v>9</v>
      </c>
      <c r="H36" s="26">
        <v>814.22125603864743</v>
      </c>
      <c r="I36" s="56">
        <v>2.3408888888888888</v>
      </c>
      <c r="J36" s="26">
        <v>814.22125603864743</v>
      </c>
      <c r="K36" s="56">
        <v>2.3408888888888888</v>
      </c>
    </row>
    <row r="37" spans="1:11" x14ac:dyDescent="0.35">
      <c r="A37" s="34" t="s">
        <v>512</v>
      </c>
      <c r="B37" s="1" t="s">
        <v>542</v>
      </c>
      <c r="C37" s="29">
        <v>2512.8782608695651</v>
      </c>
      <c r="D37" s="56">
        <v>19</v>
      </c>
      <c r="E37" s="26">
        <v>521.70434782608697</v>
      </c>
      <c r="F37" s="56">
        <v>4</v>
      </c>
      <c r="G37" s="25">
        <v>9</v>
      </c>
      <c r="H37" s="26">
        <v>279.2086956521739</v>
      </c>
      <c r="I37" s="56">
        <v>2.1111111111111112</v>
      </c>
      <c r="J37" s="26">
        <v>279.2086956521739</v>
      </c>
      <c r="K37" s="56">
        <v>2.1111111111111112</v>
      </c>
    </row>
    <row r="38" spans="1:11" x14ac:dyDescent="0.35">
      <c r="A38" s="34" t="s">
        <v>513</v>
      </c>
      <c r="B38" s="1" t="s">
        <v>542</v>
      </c>
      <c r="C38" s="29">
        <v>3443.4260869565219</v>
      </c>
      <c r="D38" s="56">
        <v>26</v>
      </c>
      <c r="E38" s="26">
        <v>652.17391304347825</v>
      </c>
      <c r="F38" s="56">
        <v>5</v>
      </c>
      <c r="G38" s="25">
        <v>9</v>
      </c>
      <c r="H38" s="26">
        <v>382.60289855072466</v>
      </c>
      <c r="I38" s="56">
        <v>2.8888888888888888</v>
      </c>
      <c r="J38" s="26">
        <v>382.60289855072466</v>
      </c>
      <c r="K38" s="56">
        <v>2.8888888888888888</v>
      </c>
    </row>
    <row r="39" spans="1:11" x14ac:dyDescent="0.35">
      <c r="A39" s="34" t="s">
        <v>514</v>
      </c>
      <c r="B39" s="1" t="s">
        <v>542</v>
      </c>
      <c r="C39" s="29">
        <v>6669.173913043478</v>
      </c>
      <c r="D39" s="56">
        <v>19.221999999999998</v>
      </c>
      <c r="E39" s="26">
        <v>1108.1826086956523</v>
      </c>
      <c r="F39" s="56">
        <v>3.194</v>
      </c>
      <c r="G39" s="25">
        <v>9</v>
      </c>
      <c r="H39" s="26">
        <v>741.01932367149755</v>
      </c>
      <c r="I39" s="56">
        <v>2.1357777777777773</v>
      </c>
      <c r="J39" s="26">
        <v>741.01932367149755</v>
      </c>
      <c r="K39" s="56">
        <v>2.1357777777777773</v>
      </c>
    </row>
    <row r="40" spans="1:11" x14ac:dyDescent="0.35">
      <c r="A40" s="34" t="s">
        <v>520</v>
      </c>
      <c r="B40" s="1" t="s">
        <v>542</v>
      </c>
      <c r="C40" s="29">
        <v>2682.652173913044</v>
      </c>
      <c r="D40" s="56">
        <v>7.7320000000000002</v>
      </c>
      <c r="E40" s="26">
        <v>573.87826086956522</v>
      </c>
      <c r="F40" s="56">
        <v>1.6539999999999999</v>
      </c>
      <c r="G40" s="25">
        <v>9</v>
      </c>
      <c r="H40" s="26">
        <v>298.07246376811599</v>
      </c>
      <c r="I40" s="56">
        <v>0.85911111111111116</v>
      </c>
      <c r="J40" s="26">
        <v>298.07246376811599</v>
      </c>
      <c r="K40" s="56">
        <v>0.85911111111111116</v>
      </c>
    </row>
    <row r="41" spans="1:11" x14ac:dyDescent="0.35">
      <c r="A41" s="34" t="s">
        <v>515</v>
      </c>
      <c r="B41" s="1" t="s">
        <v>542</v>
      </c>
      <c r="C41" s="29">
        <v>13378.147826086955</v>
      </c>
      <c r="D41" s="56">
        <v>513</v>
      </c>
      <c r="E41" s="26">
        <v>2477.4347826086955</v>
      </c>
      <c r="F41" s="56">
        <v>95</v>
      </c>
      <c r="G41" s="25">
        <v>9</v>
      </c>
      <c r="H41" s="26">
        <v>1486.4608695652173</v>
      </c>
      <c r="I41" s="56">
        <v>57</v>
      </c>
      <c r="J41" s="26">
        <v>1486.4608695652173</v>
      </c>
      <c r="K41" s="56">
        <v>57</v>
      </c>
    </row>
    <row r="42" spans="1:11" ht="13.5" thickBot="1" x14ac:dyDescent="0.4">
      <c r="A42" s="35" t="s">
        <v>509</v>
      </c>
      <c r="B42" s="1" t="s">
        <v>542</v>
      </c>
      <c r="C42" s="29">
        <v>2698.434782608696</v>
      </c>
      <c r="D42" s="56">
        <v>7.758</v>
      </c>
      <c r="E42" s="26">
        <v>587.82608695652175</v>
      </c>
      <c r="F42" s="56">
        <v>1.69</v>
      </c>
      <c r="G42" s="25">
        <v>9</v>
      </c>
      <c r="H42" s="26">
        <v>299.82608695652175</v>
      </c>
      <c r="I42" s="56">
        <v>0.86199999999999999</v>
      </c>
      <c r="J42" s="26">
        <v>299.82608695652175</v>
      </c>
      <c r="K42" s="56">
        <v>0.86199999999999999</v>
      </c>
    </row>
    <row r="43" spans="1:11" ht="13.5" thickBot="1" x14ac:dyDescent="0.4">
      <c r="A43" s="1" t="s">
        <v>598</v>
      </c>
      <c r="C43" s="39">
        <v>69241.295652173925</v>
      </c>
      <c r="D43" s="58">
        <v>698.048</v>
      </c>
      <c r="E43" s="40">
        <v>12324.913043478262</v>
      </c>
      <c r="F43" s="58">
        <v>128.244</v>
      </c>
      <c r="G43" s="41">
        <v>99</v>
      </c>
      <c r="H43" s="40">
        <v>7693.4772946859903</v>
      </c>
      <c r="I43" s="58">
        <v>77.560888888888883</v>
      </c>
      <c r="J43" s="40">
        <v>7693.4772946859903</v>
      </c>
      <c r="K43" s="58">
        <v>77.560888888888883</v>
      </c>
    </row>
    <row r="44" spans="1:11" ht="13.5" thickBot="1" x14ac:dyDescent="0.4">
      <c r="A44" s="38" t="s">
        <v>573</v>
      </c>
      <c r="B44" s="51"/>
      <c r="C44" s="29"/>
      <c r="D44" s="56"/>
      <c r="E44" s="26"/>
      <c r="F44" s="56"/>
      <c r="G44" s="25"/>
      <c r="H44" s="26"/>
      <c r="I44" s="56"/>
      <c r="J44" s="26"/>
      <c r="K44" s="56"/>
    </row>
    <row r="45" spans="1:11" ht="13.5" thickBot="1" x14ac:dyDescent="0.4">
      <c r="A45" s="27" t="s">
        <v>360</v>
      </c>
      <c r="B45" s="1" t="s">
        <v>541</v>
      </c>
      <c r="C45" s="29">
        <v>62.817391304347822</v>
      </c>
      <c r="D45" s="56">
        <v>0.14399999999999999</v>
      </c>
      <c r="E45" s="26">
        <v>62.817391304347822</v>
      </c>
      <c r="F45" s="56">
        <v>0.14399999999999999</v>
      </c>
      <c r="G45" s="25">
        <v>1</v>
      </c>
      <c r="H45" s="26">
        <v>62.817391304347822</v>
      </c>
      <c r="I45" s="56">
        <v>0.14399999999999999</v>
      </c>
      <c r="J45" s="26">
        <v>125.63478260869564</v>
      </c>
      <c r="K45" s="56">
        <v>0.28799999999999998</v>
      </c>
    </row>
    <row r="46" spans="1:11" ht="13.5" thickBot="1" x14ac:dyDescent="0.4">
      <c r="A46" s="1" t="s">
        <v>599</v>
      </c>
      <c r="C46" s="39">
        <v>62.817391304347822</v>
      </c>
      <c r="D46" s="58">
        <v>0.14399999999999999</v>
      </c>
      <c r="E46" s="40">
        <v>62.817391304347822</v>
      </c>
      <c r="F46" s="58">
        <v>0.14399999999999999</v>
      </c>
      <c r="G46" s="41">
        <v>1</v>
      </c>
      <c r="H46" s="40">
        <v>62.817391304347822</v>
      </c>
      <c r="I46" s="58">
        <v>0.14399999999999999</v>
      </c>
      <c r="J46" s="40">
        <v>125.63478260869564</v>
      </c>
      <c r="K46" s="58">
        <v>0.28799999999999998</v>
      </c>
    </row>
    <row r="47" spans="1:11" ht="13.5" thickBot="1" x14ac:dyDescent="0.4">
      <c r="A47" s="38" t="s">
        <v>576</v>
      </c>
      <c r="B47" s="51"/>
      <c r="C47" s="29"/>
      <c r="D47" s="56"/>
      <c r="E47" s="26"/>
      <c r="F47" s="56"/>
      <c r="G47" s="25"/>
      <c r="H47" s="26"/>
      <c r="I47" s="56"/>
      <c r="J47" s="26"/>
      <c r="K47" s="56"/>
    </row>
    <row r="48" spans="1:11" x14ac:dyDescent="0.35">
      <c r="A48" s="34" t="s">
        <v>412</v>
      </c>
      <c r="B48" s="1" t="s">
        <v>542</v>
      </c>
      <c r="C48" s="29">
        <v>6604.1913043478253</v>
      </c>
      <c r="D48" s="56">
        <v>65.477999999999994</v>
      </c>
      <c r="E48" s="26">
        <v>1189.1565217391303</v>
      </c>
      <c r="F48" s="56">
        <v>11.79</v>
      </c>
      <c r="G48" s="25">
        <v>9</v>
      </c>
      <c r="H48" s="26">
        <v>733.79903381642498</v>
      </c>
      <c r="I48" s="56">
        <v>7.2753333333333323</v>
      </c>
      <c r="J48" s="26">
        <v>733.79903381642498</v>
      </c>
      <c r="K48" s="56">
        <v>7.2753333333333323</v>
      </c>
    </row>
    <row r="49" spans="1:11" x14ac:dyDescent="0.35">
      <c r="A49" s="34" t="s">
        <v>394</v>
      </c>
      <c r="B49" s="1" t="s">
        <v>542</v>
      </c>
      <c r="C49" s="29">
        <v>10451.991304347826</v>
      </c>
      <c r="D49" s="56">
        <v>92.46</v>
      </c>
      <c r="E49" s="26">
        <v>2213.1565217391308</v>
      </c>
      <c r="F49" s="56">
        <v>19.577999999999999</v>
      </c>
      <c r="G49" s="25">
        <v>9</v>
      </c>
      <c r="H49" s="26">
        <v>1161.3323671497585</v>
      </c>
      <c r="I49" s="56">
        <v>10.273333333333333</v>
      </c>
      <c r="J49" s="26">
        <v>1161.3323671497585</v>
      </c>
      <c r="K49" s="56">
        <v>10.273333333333333</v>
      </c>
    </row>
    <row r="50" spans="1:11" x14ac:dyDescent="0.35">
      <c r="A50" s="34" t="s">
        <v>381</v>
      </c>
      <c r="B50" s="1" t="s">
        <v>542</v>
      </c>
      <c r="C50" s="29">
        <v>33094.973913043475</v>
      </c>
      <c r="D50" s="56">
        <v>361.31799999999998</v>
      </c>
      <c r="E50" s="26">
        <v>6251.6347826086949</v>
      </c>
      <c r="F50" s="56">
        <v>65.364000000000004</v>
      </c>
      <c r="G50" s="25">
        <v>9</v>
      </c>
      <c r="H50" s="26">
        <v>3677.2193236714975</v>
      </c>
      <c r="I50" s="56">
        <v>40.146444444444441</v>
      </c>
      <c r="J50" s="26">
        <v>3677.2193236714975</v>
      </c>
      <c r="K50" s="56">
        <v>40.146444444444441</v>
      </c>
    </row>
    <row r="51" spans="1:11" x14ac:dyDescent="0.35">
      <c r="A51" s="34" t="s">
        <v>446</v>
      </c>
      <c r="B51" s="1" t="s">
        <v>542</v>
      </c>
      <c r="C51" s="29">
        <v>18052.191304347823</v>
      </c>
      <c r="D51" s="56">
        <v>173.02199999999999</v>
      </c>
      <c r="E51" s="26">
        <v>2632.782608695652</v>
      </c>
      <c r="F51" s="56">
        <v>25.234000000000002</v>
      </c>
      <c r="G51" s="25">
        <v>9</v>
      </c>
      <c r="H51" s="26">
        <v>2005.7990338164248</v>
      </c>
      <c r="I51" s="56">
        <v>19.224666666666664</v>
      </c>
      <c r="J51" s="26">
        <v>2005.7990338164248</v>
      </c>
      <c r="K51" s="56">
        <v>19.224666666666664</v>
      </c>
    </row>
    <row r="52" spans="1:11" x14ac:dyDescent="0.35">
      <c r="A52" s="34" t="s">
        <v>445</v>
      </c>
      <c r="B52" s="1" t="s">
        <v>542</v>
      </c>
      <c r="C52" s="29">
        <v>16102.34782608696</v>
      </c>
      <c r="D52" s="56">
        <v>142.44400000000002</v>
      </c>
      <c r="E52" s="26">
        <v>3047.8782608695651</v>
      </c>
      <c r="F52" s="56">
        <v>26.962</v>
      </c>
      <c r="G52" s="25">
        <v>9</v>
      </c>
      <c r="H52" s="26">
        <v>1789.1497584541066</v>
      </c>
      <c r="I52" s="56">
        <v>15.827111111111114</v>
      </c>
      <c r="J52" s="26">
        <v>1789.1497584541066</v>
      </c>
      <c r="K52" s="56">
        <v>15.827111111111114</v>
      </c>
    </row>
    <row r="53" spans="1:11" x14ac:dyDescent="0.35">
      <c r="A53" s="34" t="s">
        <v>395</v>
      </c>
      <c r="B53" s="1" t="s">
        <v>541</v>
      </c>
      <c r="C53" s="29">
        <v>1173.7826086956522</v>
      </c>
      <c r="D53" s="56">
        <v>15</v>
      </c>
      <c r="E53" s="26">
        <v>860.77391304347839</v>
      </c>
      <c r="F53" s="56">
        <v>11</v>
      </c>
      <c r="G53" s="25">
        <v>3</v>
      </c>
      <c r="H53" s="26">
        <v>391.26086956521743</v>
      </c>
      <c r="I53" s="56">
        <v>5</v>
      </c>
      <c r="J53" s="26">
        <v>0</v>
      </c>
      <c r="K53" s="56">
        <v>0</v>
      </c>
    </row>
    <row r="54" spans="1:11" x14ac:dyDescent="0.35">
      <c r="A54" s="36"/>
      <c r="B54" s="1" t="s">
        <v>542</v>
      </c>
      <c r="C54" s="29">
        <v>3303.6869565217389</v>
      </c>
      <c r="D54" s="56">
        <v>76</v>
      </c>
      <c r="E54" s="26">
        <v>565.10434782608695</v>
      </c>
      <c r="F54" s="56">
        <v>13</v>
      </c>
      <c r="G54" s="25">
        <v>9</v>
      </c>
      <c r="H54" s="26">
        <v>367.07632850241544</v>
      </c>
      <c r="I54" s="56">
        <v>8.4444444444444446</v>
      </c>
      <c r="J54" s="26">
        <v>367.07632850241544</v>
      </c>
      <c r="K54" s="56">
        <v>8.4444444444444446</v>
      </c>
    </row>
    <row r="55" spans="1:11" x14ac:dyDescent="0.35">
      <c r="A55" s="34" t="s">
        <v>418</v>
      </c>
      <c r="B55" s="1" t="s">
        <v>543</v>
      </c>
      <c r="C55" s="29">
        <v>5628.7304347826084</v>
      </c>
      <c r="D55" s="56">
        <v>58.854000000000006</v>
      </c>
      <c r="E55" s="26">
        <v>1254.9652173913043</v>
      </c>
      <c r="F55" s="56">
        <v>13.122</v>
      </c>
      <c r="G55" s="25">
        <v>7</v>
      </c>
      <c r="H55" s="26">
        <v>804.10434782608695</v>
      </c>
      <c r="I55" s="56">
        <v>8.4077142857142864</v>
      </c>
      <c r="J55" s="26">
        <v>0</v>
      </c>
      <c r="K55" s="56">
        <v>0</v>
      </c>
    </row>
    <row r="56" spans="1:11" x14ac:dyDescent="0.35">
      <c r="A56" s="34" t="s">
        <v>385</v>
      </c>
      <c r="B56" s="1" t="s">
        <v>542</v>
      </c>
      <c r="C56" s="29">
        <v>12137.121739130434</v>
      </c>
      <c r="D56" s="56">
        <v>116.328</v>
      </c>
      <c r="E56" s="26">
        <v>2725.6260869565217</v>
      </c>
      <c r="F56" s="56">
        <v>26.123999999999999</v>
      </c>
      <c r="G56" s="25">
        <v>8</v>
      </c>
      <c r="H56" s="26">
        <v>1517.1402173913043</v>
      </c>
      <c r="I56" s="56">
        <v>14.541</v>
      </c>
      <c r="J56" s="26">
        <v>3034.2804347826086</v>
      </c>
      <c r="K56" s="56">
        <v>29.082000000000001</v>
      </c>
    </row>
    <row r="57" spans="1:11" x14ac:dyDescent="0.35">
      <c r="A57" s="34" t="s">
        <v>387</v>
      </c>
      <c r="B57" s="1" t="s">
        <v>542</v>
      </c>
      <c r="C57" s="29">
        <v>17739.147826086955</v>
      </c>
      <c r="D57" s="56">
        <v>170.02199999999999</v>
      </c>
      <c r="E57" s="26">
        <v>2885.8521739130429</v>
      </c>
      <c r="F57" s="56">
        <v>27.66</v>
      </c>
      <c r="G57" s="25">
        <v>9</v>
      </c>
      <c r="H57" s="26">
        <v>1971.0164251207727</v>
      </c>
      <c r="I57" s="56">
        <v>18.891333333333332</v>
      </c>
      <c r="J57" s="26">
        <v>1971.0164251207727</v>
      </c>
      <c r="K57" s="56">
        <v>18.891333333333332</v>
      </c>
    </row>
    <row r="58" spans="1:11" x14ac:dyDescent="0.35">
      <c r="A58" s="34" t="s">
        <v>423</v>
      </c>
      <c r="B58" s="1" t="s">
        <v>542</v>
      </c>
      <c r="C58" s="29">
        <v>12719.904347826086</v>
      </c>
      <c r="D58" s="56">
        <v>162.554</v>
      </c>
      <c r="E58" s="26">
        <v>2048.130434782609</v>
      </c>
      <c r="F58" s="56">
        <v>26.173999999999999</v>
      </c>
      <c r="G58" s="25">
        <v>8</v>
      </c>
      <c r="H58" s="26">
        <v>1589.9880434782608</v>
      </c>
      <c r="I58" s="56">
        <v>20.31925</v>
      </c>
      <c r="J58" s="26">
        <v>3179.9760869565216</v>
      </c>
      <c r="K58" s="56">
        <v>40.638500000000001</v>
      </c>
    </row>
    <row r="59" spans="1:11" x14ac:dyDescent="0.35">
      <c r="A59" s="34" t="s">
        <v>386</v>
      </c>
      <c r="B59" s="1" t="s">
        <v>542</v>
      </c>
      <c r="C59" s="29">
        <v>55671.486956521738</v>
      </c>
      <c r="D59" s="56">
        <v>640.92399999999998</v>
      </c>
      <c r="E59" s="26">
        <v>9867.4782608695659</v>
      </c>
      <c r="F59" s="56">
        <v>113.991</v>
      </c>
      <c r="G59" s="25">
        <v>9</v>
      </c>
      <c r="H59" s="26">
        <v>6185.7207729468601</v>
      </c>
      <c r="I59" s="56">
        <v>71.213777777777779</v>
      </c>
      <c r="J59" s="26">
        <v>6185.7207729468601</v>
      </c>
      <c r="K59" s="56">
        <v>71.213777777777779</v>
      </c>
    </row>
    <row r="60" spans="1:11" x14ac:dyDescent="0.35">
      <c r="A60" s="34" t="s">
        <v>384</v>
      </c>
      <c r="B60" s="1" t="s">
        <v>543</v>
      </c>
      <c r="C60" s="29">
        <v>10899.173913043476</v>
      </c>
      <c r="D60" s="56">
        <v>104.46099999999998</v>
      </c>
      <c r="E60" s="26">
        <v>3341.2086956521734</v>
      </c>
      <c r="F60" s="56">
        <v>32.023000000000003</v>
      </c>
      <c r="G60" s="25">
        <v>7</v>
      </c>
      <c r="H60" s="26">
        <v>1557.0248447204965</v>
      </c>
      <c r="I60" s="56">
        <v>14.922999999999998</v>
      </c>
      <c r="J60" s="26">
        <v>0</v>
      </c>
      <c r="K60" s="56">
        <v>0</v>
      </c>
    </row>
    <row r="61" spans="1:11" x14ac:dyDescent="0.35">
      <c r="A61" s="34" t="s">
        <v>383</v>
      </c>
      <c r="B61" s="1" t="s">
        <v>541</v>
      </c>
      <c r="C61" s="29">
        <v>4108.8782608695647</v>
      </c>
      <c r="D61" s="56">
        <v>39.381</v>
      </c>
      <c r="E61" s="26">
        <v>2042.0173913043475</v>
      </c>
      <c r="F61" s="56">
        <v>19.571999999999999</v>
      </c>
      <c r="G61" s="25">
        <v>3</v>
      </c>
      <c r="H61" s="26">
        <v>1369.6260869565215</v>
      </c>
      <c r="I61" s="56">
        <v>13.127000000000001</v>
      </c>
      <c r="J61" s="26">
        <v>0</v>
      </c>
      <c r="K61" s="56">
        <v>0</v>
      </c>
    </row>
    <row r="62" spans="1:11" x14ac:dyDescent="0.35">
      <c r="A62" s="34" t="s">
        <v>422</v>
      </c>
      <c r="B62" s="1" t="s">
        <v>543</v>
      </c>
      <c r="C62" s="29">
        <v>10807.573913043478</v>
      </c>
      <c r="D62" s="56">
        <v>112.122</v>
      </c>
      <c r="E62" s="26">
        <v>2594.3304347826088</v>
      </c>
      <c r="F62" s="56">
        <v>27.126000000000001</v>
      </c>
      <c r="G62" s="25">
        <v>6</v>
      </c>
      <c r="H62" s="26">
        <v>1801.2623188405796</v>
      </c>
      <c r="I62" s="56">
        <v>18.687000000000001</v>
      </c>
      <c r="J62" s="26">
        <v>1801.2623188405796</v>
      </c>
      <c r="K62" s="56">
        <v>18.687000000000001</v>
      </c>
    </row>
    <row r="63" spans="1:11" x14ac:dyDescent="0.35">
      <c r="A63" s="34" t="s">
        <v>420</v>
      </c>
      <c r="B63" s="1" t="s">
        <v>543</v>
      </c>
      <c r="C63" s="29">
        <v>2663.6608695652176</v>
      </c>
      <c r="D63" s="56">
        <v>61.279999999999994</v>
      </c>
      <c r="E63" s="26">
        <v>1378.1391304347828</v>
      </c>
      <c r="F63" s="56">
        <v>31.704999999999998</v>
      </c>
      <c r="G63" s="25">
        <v>5</v>
      </c>
      <c r="H63" s="26">
        <v>532.73217391304354</v>
      </c>
      <c r="I63" s="56">
        <v>12.255999999999998</v>
      </c>
      <c r="J63" s="26">
        <v>1065.4643478260871</v>
      </c>
      <c r="K63" s="56">
        <v>24.511999999999997</v>
      </c>
    </row>
    <row r="64" spans="1:11" x14ac:dyDescent="0.35">
      <c r="A64" s="34" t="s">
        <v>408</v>
      </c>
      <c r="B64" s="1" t="s">
        <v>542</v>
      </c>
      <c r="C64" s="29">
        <v>10208.147826086957</v>
      </c>
      <c r="D64" s="56">
        <v>129.20699999999999</v>
      </c>
      <c r="E64" s="26">
        <v>1909.4173913043478</v>
      </c>
      <c r="F64" s="56">
        <v>24.402000000000001</v>
      </c>
      <c r="G64" s="25">
        <v>8</v>
      </c>
      <c r="H64" s="26">
        <v>1276.0184782608696</v>
      </c>
      <c r="I64" s="56">
        <v>16.150874999999999</v>
      </c>
      <c r="J64" s="26">
        <v>2552.0369565217393</v>
      </c>
      <c r="K64" s="56">
        <v>32.301749999999998</v>
      </c>
    </row>
    <row r="65" spans="1:11" x14ac:dyDescent="0.35">
      <c r="A65" s="34" t="s">
        <v>396</v>
      </c>
      <c r="B65" s="1" t="s">
        <v>543</v>
      </c>
      <c r="C65" s="29">
        <v>9665.0608695652154</v>
      </c>
      <c r="D65" s="56">
        <v>102.509</v>
      </c>
      <c r="E65" s="26">
        <v>2472.2956521739129</v>
      </c>
      <c r="F65" s="56">
        <v>28.434000000000001</v>
      </c>
      <c r="G65" s="25">
        <v>6</v>
      </c>
      <c r="H65" s="26">
        <v>1610.8434782608692</v>
      </c>
      <c r="I65" s="56">
        <v>17.084833333333332</v>
      </c>
      <c r="J65" s="26">
        <v>1610.8434782608692</v>
      </c>
      <c r="K65" s="56">
        <v>17.084833333333332</v>
      </c>
    </row>
    <row r="66" spans="1:11" x14ac:dyDescent="0.35">
      <c r="A66" s="34" t="s">
        <v>314</v>
      </c>
      <c r="B66" s="1" t="s">
        <v>542</v>
      </c>
      <c r="C66" s="29">
        <v>21893.721739130433</v>
      </c>
      <c r="D66" s="56">
        <v>193.684</v>
      </c>
      <c r="E66" s="26">
        <v>4432.6608695652167</v>
      </c>
      <c r="F66" s="56">
        <v>39.215000000000003</v>
      </c>
      <c r="G66" s="25">
        <v>9</v>
      </c>
      <c r="H66" s="26">
        <v>2432.6357487922705</v>
      </c>
      <c r="I66" s="56">
        <v>21.520444444444443</v>
      </c>
      <c r="J66" s="26">
        <v>2432.6357487922705</v>
      </c>
      <c r="K66" s="56">
        <v>21.520444444444443</v>
      </c>
    </row>
    <row r="67" spans="1:11" x14ac:dyDescent="0.35">
      <c r="A67" s="34" t="s">
        <v>391</v>
      </c>
      <c r="B67" s="1" t="s">
        <v>542</v>
      </c>
      <c r="C67" s="29">
        <v>10823.826086956522</v>
      </c>
      <c r="D67" s="56">
        <v>124.479</v>
      </c>
      <c r="E67" s="26">
        <v>1947.8260869565217</v>
      </c>
      <c r="F67" s="56">
        <v>22.401</v>
      </c>
      <c r="G67" s="25">
        <v>8</v>
      </c>
      <c r="H67" s="26">
        <v>1352.9782608695652</v>
      </c>
      <c r="I67" s="56">
        <v>15.559875</v>
      </c>
      <c r="J67" s="26">
        <v>2705.9565217391305</v>
      </c>
      <c r="K67" s="56">
        <v>31.11975</v>
      </c>
    </row>
    <row r="68" spans="1:11" x14ac:dyDescent="0.35">
      <c r="A68" s="34" t="s">
        <v>379</v>
      </c>
      <c r="B68" s="1" t="s">
        <v>542</v>
      </c>
      <c r="C68" s="29">
        <v>9760.1739130434798</v>
      </c>
      <c r="D68" s="56">
        <v>86.34</v>
      </c>
      <c r="E68" s="26">
        <v>2131.3217391304352</v>
      </c>
      <c r="F68" s="56">
        <v>18.853999999999999</v>
      </c>
      <c r="G68" s="25">
        <v>8</v>
      </c>
      <c r="H68" s="26">
        <v>1220.021739130435</v>
      </c>
      <c r="I68" s="56">
        <v>10.7925</v>
      </c>
      <c r="J68" s="26">
        <v>2440.04347826087</v>
      </c>
      <c r="K68" s="56">
        <v>21.585000000000001</v>
      </c>
    </row>
    <row r="69" spans="1:11" x14ac:dyDescent="0.35">
      <c r="A69" s="34" t="s">
        <v>380</v>
      </c>
      <c r="B69" s="1" t="s">
        <v>541</v>
      </c>
      <c r="C69" s="29">
        <v>4023.2173913043484</v>
      </c>
      <c r="D69" s="56">
        <v>36.389000000000003</v>
      </c>
      <c r="E69" s="26">
        <v>2743.4260869565219</v>
      </c>
      <c r="F69" s="56">
        <v>24.398</v>
      </c>
      <c r="G69" s="25">
        <v>3</v>
      </c>
      <c r="H69" s="26">
        <v>1341.0724637681162</v>
      </c>
      <c r="I69" s="56">
        <v>12.129666666666667</v>
      </c>
      <c r="J69" s="26">
        <v>0</v>
      </c>
      <c r="K69" s="56">
        <v>0</v>
      </c>
    </row>
    <row r="70" spans="1:11" x14ac:dyDescent="0.35">
      <c r="A70" s="34" t="s">
        <v>461</v>
      </c>
      <c r="B70" s="1" t="s">
        <v>541</v>
      </c>
      <c r="C70" s="29">
        <v>2812.5478260869568</v>
      </c>
      <c r="D70" s="56">
        <v>23.106000000000002</v>
      </c>
      <c r="E70" s="26">
        <v>1437.304347826087</v>
      </c>
      <c r="F70" s="56">
        <v>11.808</v>
      </c>
      <c r="G70" s="25">
        <v>3</v>
      </c>
      <c r="H70" s="26">
        <v>937.51594202898559</v>
      </c>
      <c r="I70" s="56">
        <v>7.7020000000000008</v>
      </c>
      <c r="J70" s="26">
        <v>0</v>
      </c>
      <c r="K70" s="56">
        <v>0</v>
      </c>
    </row>
    <row r="71" spans="1:11" x14ac:dyDescent="0.35">
      <c r="A71" s="34" t="s">
        <v>454</v>
      </c>
      <c r="B71" s="1" t="s">
        <v>543</v>
      </c>
      <c r="C71" s="29">
        <v>2434.478260869565</v>
      </c>
      <c r="D71" s="56">
        <v>35</v>
      </c>
      <c r="E71" s="26">
        <v>417.33913043478253</v>
      </c>
      <c r="F71" s="56">
        <v>6</v>
      </c>
      <c r="G71" s="25">
        <v>7</v>
      </c>
      <c r="H71" s="26">
        <v>347.78260869565213</v>
      </c>
      <c r="I71" s="56">
        <v>5</v>
      </c>
      <c r="J71" s="26">
        <v>0</v>
      </c>
      <c r="K71" s="56">
        <v>0</v>
      </c>
    </row>
    <row r="72" spans="1:11" x14ac:dyDescent="0.35">
      <c r="A72" s="34" t="s">
        <v>378</v>
      </c>
      <c r="B72" s="1" t="s">
        <v>543</v>
      </c>
      <c r="C72" s="29">
        <v>16715.330434782609</v>
      </c>
      <c r="D72" s="56">
        <v>172.58100000000002</v>
      </c>
      <c r="E72" s="26">
        <v>5300.6608695652176</v>
      </c>
      <c r="F72" s="56">
        <v>55.418999999999997</v>
      </c>
      <c r="G72" s="25">
        <v>6</v>
      </c>
      <c r="H72" s="26">
        <v>2785.8884057971013</v>
      </c>
      <c r="I72" s="56">
        <v>28.763500000000004</v>
      </c>
      <c r="J72" s="26">
        <v>2785.8884057971013</v>
      </c>
      <c r="K72" s="56">
        <v>28.763500000000004</v>
      </c>
    </row>
    <row r="73" spans="1:11" x14ac:dyDescent="0.35">
      <c r="A73" s="34" t="s">
        <v>416</v>
      </c>
      <c r="B73" s="1" t="s">
        <v>543</v>
      </c>
      <c r="C73" s="29">
        <v>6813.6434782608694</v>
      </c>
      <c r="D73" s="56">
        <v>60.28</v>
      </c>
      <c r="E73" s="26">
        <v>1848.3999999999999</v>
      </c>
      <c r="F73" s="56">
        <v>16.352</v>
      </c>
      <c r="G73" s="25">
        <v>6</v>
      </c>
      <c r="H73" s="26">
        <v>1135.6072463768116</v>
      </c>
      <c r="I73" s="56">
        <v>10.046666666666667</v>
      </c>
      <c r="J73" s="26">
        <v>1135.6072463768116</v>
      </c>
      <c r="K73" s="56">
        <v>10.046666666666667</v>
      </c>
    </row>
    <row r="74" spans="1:11" x14ac:dyDescent="0.35">
      <c r="A74" s="34" t="s">
        <v>419</v>
      </c>
      <c r="B74" s="1" t="s">
        <v>543</v>
      </c>
      <c r="C74" s="29">
        <v>1454.7391304347827</v>
      </c>
      <c r="D74" s="56">
        <v>29.878999999999998</v>
      </c>
      <c r="E74" s="26">
        <v>549.29565217391314</v>
      </c>
      <c r="F74" s="56">
        <v>11.282</v>
      </c>
      <c r="G74" s="25">
        <v>5</v>
      </c>
      <c r="H74" s="26">
        <v>290.94782608695652</v>
      </c>
      <c r="I74" s="56">
        <v>5.9757999999999996</v>
      </c>
      <c r="J74" s="26">
        <v>581.89565217391305</v>
      </c>
      <c r="K74" s="56">
        <v>11.951599999999999</v>
      </c>
    </row>
    <row r="75" spans="1:11" x14ac:dyDescent="0.35">
      <c r="A75" s="34" t="s">
        <v>375</v>
      </c>
      <c r="B75" s="1" t="s">
        <v>542</v>
      </c>
      <c r="C75" s="29">
        <v>10969.365217391303</v>
      </c>
      <c r="D75" s="56">
        <v>126.15299999999999</v>
      </c>
      <c r="E75" s="26">
        <v>1823.1304347826085</v>
      </c>
      <c r="F75" s="56">
        <v>20.966999999999999</v>
      </c>
      <c r="G75" s="25">
        <v>8</v>
      </c>
      <c r="H75" s="26">
        <v>1371.1706521739129</v>
      </c>
      <c r="I75" s="56">
        <v>15.769124999999999</v>
      </c>
      <c r="J75" s="26">
        <v>2742.3413043478258</v>
      </c>
      <c r="K75" s="56">
        <v>31.538249999999998</v>
      </c>
    </row>
    <row r="76" spans="1:11" x14ac:dyDescent="0.35">
      <c r="A76" s="34" t="s">
        <v>463</v>
      </c>
      <c r="B76" s="1" t="s">
        <v>541</v>
      </c>
      <c r="C76" s="29">
        <v>2757.6434782608694</v>
      </c>
      <c r="D76" s="56">
        <v>28.833999999999996</v>
      </c>
      <c r="E76" s="26">
        <v>1834.5391304347825</v>
      </c>
      <c r="F76" s="56">
        <v>19.181999999999999</v>
      </c>
      <c r="G76" s="25">
        <v>2</v>
      </c>
      <c r="H76" s="26">
        <v>1378.8217391304347</v>
      </c>
      <c r="I76" s="56">
        <v>14.416999999999998</v>
      </c>
      <c r="J76" s="26">
        <v>1378.8217391304347</v>
      </c>
      <c r="K76" s="56">
        <v>14.416999999999998</v>
      </c>
    </row>
    <row r="77" spans="1:11" ht="13.5" thickBot="1" x14ac:dyDescent="0.4">
      <c r="A77" s="35" t="s">
        <v>462</v>
      </c>
      <c r="B77" s="1" t="s">
        <v>541</v>
      </c>
      <c r="C77" s="29">
        <v>2523.304347826087</v>
      </c>
      <c r="D77" s="56">
        <v>26.381</v>
      </c>
      <c r="E77" s="26">
        <v>1289.1999999999998</v>
      </c>
      <c r="F77" s="56">
        <v>13.478</v>
      </c>
      <c r="G77" s="25">
        <v>2</v>
      </c>
      <c r="H77" s="26">
        <v>1261.6521739130435</v>
      </c>
      <c r="I77" s="56">
        <v>13.1905</v>
      </c>
      <c r="J77" s="26">
        <v>1261.6521739130435</v>
      </c>
      <c r="K77" s="56">
        <v>13.1905</v>
      </c>
    </row>
    <row r="78" spans="1:11" ht="13.5" thickBot="1" x14ac:dyDescent="0.4">
      <c r="A78" s="1" t="s">
        <v>600</v>
      </c>
      <c r="C78" s="39">
        <v>334014.04347826075</v>
      </c>
      <c r="D78" s="58">
        <v>3566.47</v>
      </c>
      <c r="E78" s="40">
        <v>75035.052173913034</v>
      </c>
      <c r="F78" s="58">
        <v>802.61699999999996</v>
      </c>
      <c r="G78" s="41">
        <v>200</v>
      </c>
      <c r="H78" s="40">
        <v>46197.208709454804</v>
      </c>
      <c r="I78" s="58">
        <v>492.66019484126974</v>
      </c>
      <c r="J78" s="40">
        <v>48599.818937198084</v>
      </c>
      <c r="K78" s="58">
        <v>537.73523888888894</v>
      </c>
    </row>
    <row r="79" spans="1:11" ht="13.5" thickBot="1" x14ac:dyDescent="0.4">
      <c r="A79" s="38" t="s">
        <v>561</v>
      </c>
      <c r="B79" s="51"/>
      <c r="C79" s="29"/>
      <c r="D79" s="56"/>
      <c r="E79" s="26"/>
      <c r="F79" s="56"/>
      <c r="G79" s="25"/>
      <c r="H79" s="26"/>
      <c r="I79" s="56"/>
      <c r="J79" s="26"/>
      <c r="K79" s="56"/>
    </row>
    <row r="80" spans="1:11" x14ac:dyDescent="0.35">
      <c r="A80" s="34" t="s">
        <v>32</v>
      </c>
      <c r="B80" s="1" t="s">
        <v>541</v>
      </c>
      <c r="C80" s="29">
        <v>590.70000000000005</v>
      </c>
      <c r="D80" s="56">
        <v>33</v>
      </c>
      <c r="E80" s="26">
        <v>590.70000000000005</v>
      </c>
      <c r="F80" s="56">
        <v>33</v>
      </c>
      <c r="G80" s="25">
        <v>1</v>
      </c>
      <c r="H80" s="26">
        <v>590.70000000000005</v>
      </c>
      <c r="I80" s="56">
        <v>33</v>
      </c>
      <c r="J80" s="26">
        <v>1181.4000000000001</v>
      </c>
      <c r="K80" s="56">
        <v>66</v>
      </c>
    </row>
    <row r="81" spans="1:11" ht="13.5" thickBot="1" x14ac:dyDescent="0.4">
      <c r="A81" s="35" t="s">
        <v>34</v>
      </c>
      <c r="B81" s="1" t="s">
        <v>541</v>
      </c>
      <c r="C81" s="29">
        <v>201.66956521739129</v>
      </c>
      <c r="D81" s="56">
        <v>8</v>
      </c>
      <c r="E81" s="26">
        <v>151.25217391304346</v>
      </c>
      <c r="F81" s="56">
        <v>6</v>
      </c>
      <c r="G81" s="25">
        <v>2</v>
      </c>
      <c r="H81" s="26">
        <v>100.83478260869565</v>
      </c>
      <c r="I81" s="56">
        <v>4</v>
      </c>
      <c r="J81" s="26">
        <v>100.83478260869565</v>
      </c>
      <c r="K81" s="56">
        <v>4</v>
      </c>
    </row>
    <row r="82" spans="1:11" ht="13.5" thickBot="1" x14ac:dyDescent="0.4">
      <c r="A82" s="1" t="s">
        <v>601</v>
      </c>
      <c r="C82" s="39">
        <v>792.36956521739137</v>
      </c>
      <c r="D82" s="58">
        <v>41</v>
      </c>
      <c r="E82" s="40">
        <v>741.95217391304345</v>
      </c>
      <c r="F82" s="58">
        <v>39</v>
      </c>
      <c r="G82" s="41">
        <v>3</v>
      </c>
      <c r="H82" s="40">
        <v>691.53478260869565</v>
      </c>
      <c r="I82" s="58">
        <v>37</v>
      </c>
      <c r="J82" s="40">
        <v>1282.2347826086957</v>
      </c>
      <c r="K82" s="58">
        <v>70</v>
      </c>
    </row>
    <row r="83" spans="1:11" ht="13.5" thickBot="1" x14ac:dyDescent="0.4">
      <c r="A83" s="38" t="s">
        <v>574</v>
      </c>
      <c r="B83" s="51"/>
      <c r="C83" s="29"/>
      <c r="D83" s="56"/>
      <c r="E83" s="26"/>
      <c r="F83" s="56"/>
      <c r="G83" s="25"/>
      <c r="H83" s="26"/>
      <c r="I83" s="56"/>
      <c r="J83" s="26"/>
      <c r="K83" s="56"/>
    </row>
    <row r="84" spans="1:11" ht="13.5" thickBot="1" x14ac:dyDescent="0.4">
      <c r="A84" s="35" t="s">
        <v>364</v>
      </c>
      <c r="B84" s="1" t="s">
        <v>542</v>
      </c>
      <c r="C84" s="29">
        <v>3564.8608695652179</v>
      </c>
      <c r="D84" s="56">
        <v>41</v>
      </c>
      <c r="E84" s="26">
        <v>782.53043478260884</v>
      </c>
      <c r="F84" s="56">
        <v>9</v>
      </c>
      <c r="G84" s="25">
        <v>9</v>
      </c>
      <c r="H84" s="26">
        <v>396.09565217391309</v>
      </c>
      <c r="I84" s="56">
        <v>4.5555555555555554</v>
      </c>
      <c r="J84" s="26">
        <v>396.09565217391309</v>
      </c>
      <c r="K84" s="56">
        <v>4.5555555555555554</v>
      </c>
    </row>
    <row r="85" spans="1:11" ht="13.5" thickBot="1" x14ac:dyDescent="0.4">
      <c r="A85" s="1" t="s">
        <v>602</v>
      </c>
      <c r="C85" s="39">
        <v>3564.8608695652179</v>
      </c>
      <c r="D85" s="58">
        <v>41</v>
      </c>
      <c r="E85" s="40">
        <v>782.53043478260884</v>
      </c>
      <c r="F85" s="58">
        <v>9</v>
      </c>
      <c r="G85" s="41">
        <v>9</v>
      </c>
      <c r="H85" s="40">
        <v>396.09565217391309</v>
      </c>
      <c r="I85" s="58">
        <v>4.5555555555555554</v>
      </c>
      <c r="J85" s="40">
        <v>396.09565217391309</v>
      </c>
      <c r="K85" s="58">
        <v>4.5555555555555554</v>
      </c>
    </row>
    <row r="86" spans="1:11" ht="13.5" thickBot="1" x14ac:dyDescent="0.4">
      <c r="A86" s="38" t="s">
        <v>575</v>
      </c>
      <c r="B86" s="51"/>
      <c r="C86" s="29"/>
      <c r="D86" s="56"/>
      <c r="E86" s="26"/>
      <c r="F86" s="56"/>
      <c r="G86" s="25"/>
      <c r="H86" s="26"/>
      <c r="I86" s="56"/>
      <c r="J86" s="26"/>
      <c r="K86" s="56"/>
    </row>
    <row r="87" spans="1:11" ht="13.5" thickBot="1" x14ac:dyDescent="0.4">
      <c r="A87" s="35" t="s">
        <v>368</v>
      </c>
      <c r="B87" s="1" t="s">
        <v>542</v>
      </c>
      <c r="C87" s="29">
        <v>9009.5999999999985</v>
      </c>
      <c r="D87" s="56">
        <v>115.136</v>
      </c>
      <c r="E87" s="26">
        <v>4289.5913043478258</v>
      </c>
      <c r="F87" s="56">
        <v>54.817999999999998</v>
      </c>
      <c r="G87" s="25">
        <v>9</v>
      </c>
      <c r="H87" s="26">
        <v>1001.0666666666665</v>
      </c>
      <c r="I87" s="56">
        <v>12.792888888888889</v>
      </c>
      <c r="J87" s="26">
        <v>1001.0666666666665</v>
      </c>
      <c r="K87" s="56">
        <v>12.792888888888889</v>
      </c>
    </row>
    <row r="88" spans="1:11" ht="13.5" thickBot="1" x14ac:dyDescent="0.4">
      <c r="A88" s="1" t="s">
        <v>603</v>
      </c>
      <c r="C88" s="39">
        <v>9009.5999999999985</v>
      </c>
      <c r="D88" s="58">
        <v>115.136</v>
      </c>
      <c r="E88" s="40">
        <v>4289.5913043478258</v>
      </c>
      <c r="F88" s="58">
        <v>54.817999999999998</v>
      </c>
      <c r="G88" s="41">
        <v>9</v>
      </c>
      <c r="H88" s="40">
        <v>1001.0666666666665</v>
      </c>
      <c r="I88" s="58">
        <v>12.792888888888889</v>
      </c>
      <c r="J88" s="40">
        <v>1001.0666666666665</v>
      </c>
      <c r="K88" s="58">
        <v>12.792888888888889</v>
      </c>
    </row>
    <row r="89" spans="1:11" ht="13.5" thickBot="1" x14ac:dyDescent="0.4">
      <c r="A89" s="38" t="s">
        <v>578</v>
      </c>
      <c r="B89" s="51"/>
      <c r="C89" s="29"/>
      <c r="D89" s="56"/>
      <c r="E89" s="26"/>
      <c r="F89" s="56"/>
      <c r="G89" s="25"/>
      <c r="H89" s="26"/>
      <c r="I89" s="56"/>
      <c r="J89" s="26"/>
      <c r="K89" s="56"/>
    </row>
    <row r="90" spans="1:11" x14ac:dyDescent="0.35">
      <c r="A90" s="34" t="s">
        <v>465</v>
      </c>
      <c r="B90" s="1" t="s">
        <v>542</v>
      </c>
      <c r="C90" s="29">
        <v>2373.1217391304349</v>
      </c>
      <c r="D90" s="56">
        <v>91</v>
      </c>
      <c r="E90" s="26">
        <v>599.79999999999995</v>
      </c>
      <c r="F90" s="56">
        <v>23</v>
      </c>
      <c r="G90" s="25">
        <v>9</v>
      </c>
      <c r="H90" s="26">
        <v>263.68019323671501</v>
      </c>
      <c r="I90" s="56">
        <v>10.111111111111111</v>
      </c>
      <c r="J90" s="26">
        <v>263.68019323671501</v>
      </c>
      <c r="K90" s="56">
        <v>10.111111111111111</v>
      </c>
    </row>
    <row r="91" spans="1:11" x14ac:dyDescent="0.35">
      <c r="A91" s="34" t="s">
        <v>347</v>
      </c>
      <c r="B91" s="1" t="s">
        <v>541</v>
      </c>
      <c r="C91" s="29">
        <v>40</v>
      </c>
      <c r="D91" s="56">
        <v>0.23</v>
      </c>
      <c r="E91" s="26">
        <v>40</v>
      </c>
      <c r="F91" s="56">
        <v>0.23</v>
      </c>
      <c r="G91" s="25">
        <v>1</v>
      </c>
      <c r="H91" s="26">
        <v>40</v>
      </c>
      <c r="I91" s="56">
        <v>0.23</v>
      </c>
      <c r="J91" s="26">
        <v>80</v>
      </c>
      <c r="K91" s="56">
        <v>0.46</v>
      </c>
    </row>
    <row r="92" spans="1:11" x14ac:dyDescent="0.35">
      <c r="A92" s="34" t="s">
        <v>472</v>
      </c>
      <c r="B92" s="1" t="s">
        <v>542</v>
      </c>
      <c r="C92" s="29">
        <v>1243.4782608695652</v>
      </c>
      <c r="D92" s="56">
        <v>110</v>
      </c>
      <c r="E92" s="26">
        <v>203.47826086956522</v>
      </c>
      <c r="F92" s="56">
        <v>18</v>
      </c>
      <c r="G92" s="25">
        <v>9</v>
      </c>
      <c r="H92" s="26">
        <v>138.16425120772948</v>
      </c>
      <c r="I92" s="56">
        <v>12.222222222222221</v>
      </c>
      <c r="J92" s="26">
        <v>138.16425120772948</v>
      </c>
      <c r="K92" s="56">
        <v>12.222222222222221</v>
      </c>
    </row>
    <row r="93" spans="1:11" x14ac:dyDescent="0.35">
      <c r="A93" s="34" t="s">
        <v>486</v>
      </c>
      <c r="B93" s="1" t="s">
        <v>541</v>
      </c>
      <c r="C93" s="29">
        <v>106.22608695652174</v>
      </c>
      <c r="D93" s="56">
        <v>1.018</v>
      </c>
      <c r="E93" s="26">
        <v>106.22608695652174</v>
      </c>
      <c r="F93" s="56">
        <v>1.018</v>
      </c>
      <c r="G93" s="25">
        <v>1</v>
      </c>
      <c r="H93" s="26">
        <v>106.22608695652174</v>
      </c>
      <c r="I93" s="56">
        <v>1.018</v>
      </c>
      <c r="J93" s="26">
        <v>212.45217391304348</v>
      </c>
      <c r="K93" s="56">
        <v>2.036</v>
      </c>
    </row>
    <row r="94" spans="1:11" x14ac:dyDescent="0.35">
      <c r="A94" s="34" t="s">
        <v>466</v>
      </c>
      <c r="B94" s="1" t="s">
        <v>543</v>
      </c>
      <c r="C94" s="29">
        <v>464.20869565217396</v>
      </c>
      <c r="D94" s="56">
        <v>16</v>
      </c>
      <c r="E94" s="26">
        <v>125.18260869565218</v>
      </c>
      <c r="F94" s="56">
        <v>4</v>
      </c>
      <c r="G94" s="25">
        <v>6</v>
      </c>
      <c r="H94" s="26">
        <v>77.368115942028993</v>
      </c>
      <c r="I94" s="56">
        <v>2.6666666666666665</v>
      </c>
      <c r="J94" s="26">
        <v>77.368115942028993</v>
      </c>
      <c r="K94" s="56">
        <v>2.6666666666666665</v>
      </c>
    </row>
    <row r="95" spans="1:11" x14ac:dyDescent="0.35">
      <c r="A95" s="34" t="s">
        <v>475</v>
      </c>
      <c r="B95" s="1" t="s">
        <v>542</v>
      </c>
      <c r="C95" s="29">
        <v>3883.0695652173913</v>
      </c>
      <c r="D95" s="56">
        <v>447</v>
      </c>
      <c r="E95" s="26">
        <v>677.5826086956522</v>
      </c>
      <c r="F95" s="56">
        <v>78</v>
      </c>
      <c r="G95" s="25">
        <v>9</v>
      </c>
      <c r="H95" s="26">
        <v>431.45217391304345</v>
      </c>
      <c r="I95" s="56">
        <v>49.666666666666664</v>
      </c>
      <c r="J95" s="26">
        <v>431.45217391304345</v>
      </c>
      <c r="K95" s="56">
        <v>49.666666666666664</v>
      </c>
    </row>
    <row r="96" spans="1:11" ht="13.5" thickBot="1" x14ac:dyDescent="0.4">
      <c r="A96" s="35" t="s">
        <v>476</v>
      </c>
      <c r="B96" s="1" t="s">
        <v>542</v>
      </c>
      <c r="C96" s="29">
        <v>2015.3739130434783</v>
      </c>
      <c r="D96" s="56">
        <v>232</v>
      </c>
      <c r="E96" s="26">
        <v>286.66956521739138</v>
      </c>
      <c r="F96" s="56">
        <v>33</v>
      </c>
      <c r="G96" s="25">
        <v>9</v>
      </c>
      <c r="H96" s="26">
        <v>223.9304347826087</v>
      </c>
      <c r="I96" s="56">
        <v>25.777777777777779</v>
      </c>
      <c r="J96" s="26">
        <v>223.9304347826087</v>
      </c>
      <c r="K96" s="56">
        <v>25.777777777777779</v>
      </c>
    </row>
    <row r="97" spans="1:11" ht="13.5" thickBot="1" x14ac:dyDescent="0.4">
      <c r="A97" s="1" t="s">
        <v>604</v>
      </c>
      <c r="C97" s="39">
        <v>10125.478260869566</v>
      </c>
      <c r="D97" s="58">
        <v>897.24800000000005</v>
      </c>
      <c r="E97" s="40">
        <v>2038.9391304347828</v>
      </c>
      <c r="F97" s="58">
        <v>157.24799999999999</v>
      </c>
      <c r="G97" s="41">
        <v>44</v>
      </c>
      <c r="H97" s="40">
        <v>1280.8212560386473</v>
      </c>
      <c r="I97" s="58">
        <v>101.69244444444445</v>
      </c>
      <c r="J97" s="40">
        <v>1427.0473429951692</v>
      </c>
      <c r="K97" s="58">
        <v>102.94044444444444</v>
      </c>
    </row>
    <row r="98" spans="1:11" ht="13.5" thickBot="1" x14ac:dyDescent="0.4">
      <c r="A98" s="38" t="s">
        <v>570</v>
      </c>
      <c r="B98" s="51"/>
      <c r="C98" s="29"/>
      <c r="D98" s="56"/>
      <c r="E98" s="26"/>
      <c r="F98" s="56"/>
      <c r="G98" s="25"/>
      <c r="H98" s="26"/>
      <c r="I98" s="56"/>
      <c r="J98" s="26"/>
      <c r="K98" s="56"/>
    </row>
    <row r="99" spans="1:11" ht="13.5" thickBot="1" x14ac:dyDescent="0.4">
      <c r="A99" s="35" t="s">
        <v>351</v>
      </c>
      <c r="B99" s="1" t="s">
        <v>542</v>
      </c>
      <c r="C99" s="29">
        <v>9277.3130434782615</v>
      </c>
      <c r="D99" s="56">
        <v>82.250000000000014</v>
      </c>
      <c r="E99" s="26">
        <v>2458.9130434782605</v>
      </c>
      <c r="F99" s="56">
        <v>21.754000000000001</v>
      </c>
      <c r="G99" s="25">
        <v>9</v>
      </c>
      <c r="H99" s="26">
        <v>1030.8125603864735</v>
      </c>
      <c r="I99" s="56">
        <v>9.1388888888888911</v>
      </c>
      <c r="J99" s="26">
        <v>1030.8125603864735</v>
      </c>
      <c r="K99" s="56">
        <v>9.1388888888888911</v>
      </c>
    </row>
    <row r="100" spans="1:11" ht="13.5" thickBot="1" x14ac:dyDescent="0.4">
      <c r="A100" s="1" t="s">
        <v>605</v>
      </c>
      <c r="C100" s="39">
        <v>9277.3130434782615</v>
      </c>
      <c r="D100" s="58">
        <v>82.250000000000014</v>
      </c>
      <c r="E100" s="40">
        <v>2458.9130434782605</v>
      </c>
      <c r="F100" s="58">
        <v>21.754000000000001</v>
      </c>
      <c r="G100" s="41">
        <v>9</v>
      </c>
      <c r="H100" s="40">
        <v>1030.8125603864735</v>
      </c>
      <c r="I100" s="58">
        <v>9.1388888888888911</v>
      </c>
      <c r="J100" s="40">
        <v>1030.8125603864735</v>
      </c>
      <c r="K100" s="58">
        <v>9.1388888888888911</v>
      </c>
    </row>
    <row r="101" spans="1:11" ht="13.5" thickBot="1" x14ac:dyDescent="0.4">
      <c r="A101" s="33" t="s">
        <v>564</v>
      </c>
      <c r="B101" s="37"/>
      <c r="C101" s="29"/>
      <c r="D101" s="56"/>
      <c r="E101" s="26"/>
      <c r="F101" s="56"/>
      <c r="G101" s="25"/>
      <c r="H101" s="26"/>
      <c r="I101" s="56"/>
      <c r="J101" s="26"/>
      <c r="K101" s="56"/>
    </row>
    <row r="102" spans="1:11" x14ac:dyDescent="0.35">
      <c r="A102" s="34" t="s">
        <v>152</v>
      </c>
      <c r="B102" s="1" t="s">
        <v>543</v>
      </c>
      <c r="C102" s="29">
        <v>766.47826086956525</v>
      </c>
      <c r="D102" s="56">
        <v>12.593999999999999</v>
      </c>
      <c r="E102" s="26">
        <v>153.60869565217394</v>
      </c>
      <c r="F102" s="56">
        <v>2.524</v>
      </c>
      <c r="G102" s="25">
        <v>7</v>
      </c>
      <c r="H102" s="26">
        <v>109.49689440993789</v>
      </c>
      <c r="I102" s="56">
        <v>1.7991428571428572</v>
      </c>
      <c r="J102" s="26">
        <v>0</v>
      </c>
      <c r="K102" s="56">
        <v>0</v>
      </c>
    </row>
    <row r="103" spans="1:11" x14ac:dyDescent="0.35">
      <c r="A103" s="34" t="s">
        <v>149</v>
      </c>
      <c r="B103" s="1" t="s">
        <v>543</v>
      </c>
      <c r="C103" s="29">
        <v>30907.443478260866</v>
      </c>
      <c r="D103" s="56">
        <v>260.07</v>
      </c>
      <c r="E103" s="26">
        <v>15000.260869565216</v>
      </c>
      <c r="F103" s="56">
        <v>127.78</v>
      </c>
      <c r="G103" s="25">
        <v>5</v>
      </c>
      <c r="H103" s="26">
        <v>6181.4886956521732</v>
      </c>
      <c r="I103" s="56">
        <v>52.013999999999996</v>
      </c>
      <c r="J103" s="26">
        <v>12362.977391304346</v>
      </c>
      <c r="K103" s="56">
        <v>104.02799999999999</v>
      </c>
    </row>
    <row r="104" spans="1:11" x14ac:dyDescent="0.35">
      <c r="A104" s="34" t="s">
        <v>156</v>
      </c>
      <c r="B104" s="1" t="s">
        <v>542</v>
      </c>
      <c r="C104" s="29">
        <v>12468.982608695653</v>
      </c>
      <c r="D104" s="56">
        <v>62.433999999999997</v>
      </c>
      <c r="E104" s="26">
        <v>2409.5652173913045</v>
      </c>
      <c r="F104" s="56">
        <v>11.742000000000001</v>
      </c>
      <c r="G104" s="25">
        <v>9</v>
      </c>
      <c r="H104" s="26">
        <v>1385.4425120772949</v>
      </c>
      <c r="I104" s="56">
        <v>6.9371111111111112</v>
      </c>
      <c r="J104" s="26">
        <v>1385.4425120772949</v>
      </c>
      <c r="K104" s="56">
        <v>6.9371111111111112</v>
      </c>
    </row>
    <row r="105" spans="1:11" x14ac:dyDescent="0.35">
      <c r="A105" s="34" t="s">
        <v>171</v>
      </c>
      <c r="B105" s="1" t="s">
        <v>543</v>
      </c>
      <c r="C105" s="29">
        <v>728.19130434782608</v>
      </c>
      <c r="D105" s="56">
        <v>4.9260000000000002</v>
      </c>
      <c r="E105" s="26">
        <v>283.2347826086957</v>
      </c>
      <c r="F105" s="56">
        <v>1.9159999999999999</v>
      </c>
      <c r="G105" s="25">
        <v>5</v>
      </c>
      <c r="H105" s="26">
        <v>145.63826086956522</v>
      </c>
      <c r="I105" s="56">
        <v>0.98520000000000008</v>
      </c>
      <c r="J105" s="26">
        <v>291.27652173913043</v>
      </c>
      <c r="K105" s="56">
        <v>1.9704000000000002</v>
      </c>
    </row>
    <row r="106" spans="1:11" x14ac:dyDescent="0.35">
      <c r="A106" s="34" t="s">
        <v>168</v>
      </c>
      <c r="B106" s="1" t="s">
        <v>543</v>
      </c>
      <c r="C106" s="29">
        <v>904.01739130434794</v>
      </c>
      <c r="D106" s="56">
        <v>13.05</v>
      </c>
      <c r="E106" s="26">
        <v>182.77391304347827</v>
      </c>
      <c r="F106" s="56">
        <v>2.6280000000000001</v>
      </c>
      <c r="G106" s="25">
        <v>7</v>
      </c>
      <c r="H106" s="26">
        <v>129.14534161490684</v>
      </c>
      <c r="I106" s="56">
        <v>1.8642857142857143</v>
      </c>
      <c r="J106" s="26">
        <v>0</v>
      </c>
      <c r="K106" s="56">
        <v>0</v>
      </c>
    </row>
    <row r="107" spans="1:11" x14ac:dyDescent="0.35">
      <c r="A107" s="34" t="s">
        <v>153</v>
      </c>
      <c r="B107" s="1" t="s">
        <v>542</v>
      </c>
      <c r="C107" s="29">
        <v>14259.060869565219</v>
      </c>
      <c r="D107" s="56">
        <v>87.346000000000004</v>
      </c>
      <c r="E107" s="26">
        <v>2728.2347826086962</v>
      </c>
      <c r="F107" s="56">
        <v>16.57</v>
      </c>
      <c r="G107" s="25">
        <v>9</v>
      </c>
      <c r="H107" s="26">
        <v>1584.3400966183576</v>
      </c>
      <c r="I107" s="56">
        <v>9.7051111111111119</v>
      </c>
      <c r="J107" s="26">
        <v>1584.3400966183576</v>
      </c>
      <c r="K107" s="56">
        <v>9.7051111111111119</v>
      </c>
    </row>
    <row r="108" spans="1:11" x14ac:dyDescent="0.35">
      <c r="A108" s="34" t="s">
        <v>155</v>
      </c>
      <c r="B108" s="1" t="s">
        <v>542</v>
      </c>
      <c r="C108" s="29">
        <v>3580.0521739130436</v>
      </c>
      <c r="D108" s="56">
        <v>20.586000000000002</v>
      </c>
      <c r="E108" s="26">
        <v>693.91304347826099</v>
      </c>
      <c r="F108" s="56">
        <v>3.99</v>
      </c>
      <c r="G108" s="25">
        <v>9</v>
      </c>
      <c r="H108" s="26">
        <v>397.78357487922705</v>
      </c>
      <c r="I108" s="56">
        <v>2.2873333333333337</v>
      </c>
      <c r="J108" s="26">
        <v>397.78357487922705</v>
      </c>
      <c r="K108" s="56">
        <v>2.2873333333333337</v>
      </c>
    </row>
    <row r="109" spans="1:11" x14ac:dyDescent="0.35">
      <c r="A109" s="34" t="s">
        <v>154</v>
      </c>
      <c r="B109" s="1" t="s">
        <v>543</v>
      </c>
      <c r="C109" s="29">
        <v>625.42608695652177</v>
      </c>
      <c r="D109" s="56">
        <v>3.9959999999999996</v>
      </c>
      <c r="E109" s="26">
        <v>261.06086956521744</v>
      </c>
      <c r="F109" s="56">
        <v>1.6679999999999999</v>
      </c>
      <c r="G109" s="25">
        <v>4</v>
      </c>
      <c r="H109" s="26">
        <v>156.35652173913044</v>
      </c>
      <c r="I109" s="56">
        <v>0.99899999999999989</v>
      </c>
      <c r="J109" s="26">
        <v>469.0695652173913</v>
      </c>
      <c r="K109" s="56">
        <v>2.9969999999999999</v>
      </c>
    </row>
    <row r="110" spans="1:11" x14ac:dyDescent="0.35">
      <c r="A110" s="34" t="s">
        <v>170</v>
      </c>
      <c r="B110" s="1" t="s">
        <v>541</v>
      </c>
      <c r="C110" s="29">
        <v>10862.452173913043</v>
      </c>
      <c r="D110" s="56">
        <v>89.406000000000006</v>
      </c>
      <c r="E110" s="26">
        <v>7159.6521739130421</v>
      </c>
      <c r="F110" s="56">
        <v>58.988</v>
      </c>
      <c r="G110" s="25">
        <v>3</v>
      </c>
      <c r="H110" s="26">
        <v>3620.8173913043479</v>
      </c>
      <c r="I110" s="56">
        <v>29.802000000000003</v>
      </c>
      <c r="J110" s="26">
        <v>0</v>
      </c>
      <c r="K110" s="56">
        <v>0</v>
      </c>
    </row>
    <row r="111" spans="1:11" x14ac:dyDescent="0.35">
      <c r="A111" s="34" t="s">
        <v>158</v>
      </c>
      <c r="B111" s="1" t="s">
        <v>542</v>
      </c>
      <c r="C111" s="29">
        <v>13095.165217391303</v>
      </c>
      <c r="D111" s="56">
        <v>70.006</v>
      </c>
      <c r="E111" s="26">
        <v>2628</v>
      </c>
      <c r="F111" s="56">
        <v>13.738</v>
      </c>
      <c r="G111" s="25">
        <v>9</v>
      </c>
      <c r="H111" s="26">
        <v>1455.0183574879225</v>
      </c>
      <c r="I111" s="56">
        <v>7.7784444444444443</v>
      </c>
      <c r="J111" s="26">
        <v>1455.0183574879225</v>
      </c>
      <c r="K111" s="56">
        <v>7.7784444444444443</v>
      </c>
    </row>
    <row r="112" spans="1:11" x14ac:dyDescent="0.35">
      <c r="A112" s="34" t="s">
        <v>164</v>
      </c>
      <c r="B112" s="1" t="s">
        <v>541</v>
      </c>
      <c r="C112" s="29">
        <v>73.730434782608697</v>
      </c>
      <c r="D112" s="56">
        <v>0.53</v>
      </c>
      <c r="E112" s="26">
        <v>73.730434782608697</v>
      </c>
      <c r="F112" s="56">
        <v>0.53</v>
      </c>
      <c r="G112" s="25">
        <v>1</v>
      </c>
      <c r="H112" s="26">
        <v>73.730434782608697</v>
      </c>
      <c r="I112" s="56">
        <v>0.53</v>
      </c>
      <c r="J112" s="26">
        <v>147.46086956521739</v>
      </c>
      <c r="K112" s="56">
        <v>1.06</v>
      </c>
    </row>
    <row r="113" spans="1:11" x14ac:dyDescent="0.35">
      <c r="A113" s="34" t="s">
        <v>159</v>
      </c>
      <c r="B113" s="1" t="s">
        <v>542</v>
      </c>
      <c r="C113" s="29">
        <v>2312.695652173913</v>
      </c>
      <c r="D113" s="56">
        <v>16.404</v>
      </c>
      <c r="E113" s="26">
        <v>494.38260869565215</v>
      </c>
      <c r="F113" s="56">
        <v>3.35</v>
      </c>
      <c r="G113" s="25">
        <v>9</v>
      </c>
      <c r="H113" s="26">
        <v>256.96618357487921</v>
      </c>
      <c r="I113" s="56">
        <v>1.8226666666666667</v>
      </c>
      <c r="J113" s="26">
        <v>256.96618357487921</v>
      </c>
      <c r="K113" s="56">
        <v>1.8226666666666667</v>
      </c>
    </row>
    <row r="114" spans="1:11" x14ac:dyDescent="0.35">
      <c r="A114" s="34" t="s">
        <v>160</v>
      </c>
      <c r="B114" s="1" t="s">
        <v>542</v>
      </c>
      <c r="C114" s="29">
        <v>3002.0521739130427</v>
      </c>
      <c r="D114" s="56">
        <v>19.372</v>
      </c>
      <c r="E114" s="26">
        <v>706.2</v>
      </c>
      <c r="F114" s="56">
        <v>4.5119999999999996</v>
      </c>
      <c r="G114" s="25">
        <v>9</v>
      </c>
      <c r="H114" s="26">
        <v>333.56135265700476</v>
      </c>
      <c r="I114" s="56">
        <v>2.1524444444444444</v>
      </c>
      <c r="J114" s="26">
        <v>333.56135265700476</v>
      </c>
      <c r="K114" s="56">
        <v>2.1524444444444444</v>
      </c>
    </row>
    <row r="115" spans="1:11" x14ac:dyDescent="0.35">
      <c r="A115" s="34" t="s">
        <v>161</v>
      </c>
      <c r="B115" s="1" t="s">
        <v>542</v>
      </c>
      <c r="C115" s="29">
        <v>8050.8782608695647</v>
      </c>
      <c r="D115" s="56">
        <v>50.466000000000001</v>
      </c>
      <c r="E115" s="26">
        <v>1460.7565217391302</v>
      </c>
      <c r="F115" s="56">
        <v>9.032</v>
      </c>
      <c r="G115" s="25">
        <v>9</v>
      </c>
      <c r="H115" s="26">
        <v>894.54202898550716</v>
      </c>
      <c r="I115" s="56">
        <v>5.6073333333333331</v>
      </c>
      <c r="J115" s="26">
        <v>894.54202898550716</v>
      </c>
      <c r="K115" s="56">
        <v>5.6073333333333331</v>
      </c>
    </row>
    <row r="116" spans="1:11" x14ac:dyDescent="0.35">
      <c r="A116" s="34" t="s">
        <v>167</v>
      </c>
      <c r="B116" s="1" t="s">
        <v>542</v>
      </c>
      <c r="C116" s="29">
        <v>4949.4260869565223</v>
      </c>
      <c r="D116" s="56">
        <v>32.694000000000003</v>
      </c>
      <c r="E116" s="26">
        <v>835.26086956521738</v>
      </c>
      <c r="F116" s="56">
        <v>5.4580000000000002</v>
      </c>
      <c r="G116" s="25">
        <v>8</v>
      </c>
      <c r="H116" s="26">
        <v>618.67826086956529</v>
      </c>
      <c r="I116" s="56">
        <v>4.0867500000000003</v>
      </c>
      <c r="J116" s="26">
        <v>1237.3565217391306</v>
      </c>
      <c r="K116" s="56">
        <v>8.1735000000000007</v>
      </c>
    </row>
    <row r="117" spans="1:11" ht="13.5" thickBot="1" x14ac:dyDescent="0.4">
      <c r="A117" s="35" t="s">
        <v>169</v>
      </c>
      <c r="B117" s="1" t="s">
        <v>542</v>
      </c>
      <c r="C117" s="29">
        <v>2933.3826086956524</v>
      </c>
      <c r="D117" s="56">
        <v>26.541000000000004</v>
      </c>
      <c r="E117" s="26">
        <v>599.5826086956522</v>
      </c>
      <c r="F117" s="56">
        <v>5.4279999999999999</v>
      </c>
      <c r="G117" s="25">
        <v>9</v>
      </c>
      <c r="H117" s="26">
        <v>325.93140096618362</v>
      </c>
      <c r="I117" s="56">
        <v>2.9490000000000003</v>
      </c>
      <c r="J117" s="26">
        <v>325.93140096618362</v>
      </c>
      <c r="K117" s="56">
        <v>2.9490000000000003</v>
      </c>
    </row>
    <row r="118" spans="1:11" ht="13.5" thickBot="1" x14ac:dyDescent="0.4">
      <c r="A118" s="1" t="s">
        <v>606</v>
      </c>
      <c r="C118" s="30">
        <v>109519.4347826087</v>
      </c>
      <c r="D118" s="57">
        <v>770.42099999999982</v>
      </c>
      <c r="E118" s="31">
        <v>35670.217391304344</v>
      </c>
      <c r="F118" s="57">
        <v>269.85399999999998</v>
      </c>
      <c r="G118" s="32">
        <v>112</v>
      </c>
      <c r="H118" s="31">
        <v>17668.937308488614</v>
      </c>
      <c r="I118" s="57">
        <v>131.31982301587303</v>
      </c>
      <c r="J118" s="31">
        <v>21141.726376811588</v>
      </c>
      <c r="K118" s="57">
        <v>157.46834444444445</v>
      </c>
    </row>
    <row r="119" spans="1:11" ht="13.5" thickBot="1" x14ac:dyDescent="0.4">
      <c r="A119" s="38" t="s">
        <v>565</v>
      </c>
      <c r="B119" s="51"/>
      <c r="C119" s="29"/>
      <c r="D119" s="56"/>
      <c r="E119" s="26"/>
      <c r="F119" s="56"/>
      <c r="G119" s="25"/>
      <c r="H119" s="26"/>
      <c r="I119" s="56"/>
      <c r="J119" s="26"/>
      <c r="K119" s="56"/>
    </row>
    <row r="120" spans="1:11" x14ac:dyDescent="0.35">
      <c r="A120" s="34" t="s">
        <v>176</v>
      </c>
      <c r="B120" s="1" t="s">
        <v>542</v>
      </c>
      <c r="C120" s="29">
        <v>6937.6173913043476</v>
      </c>
      <c r="D120" s="56">
        <v>50.888000000000005</v>
      </c>
      <c r="E120" s="26">
        <v>1172.4521739130435</v>
      </c>
      <c r="F120" s="56">
        <v>8.48</v>
      </c>
      <c r="G120" s="25">
        <v>9</v>
      </c>
      <c r="H120" s="26">
        <v>770.84637681159415</v>
      </c>
      <c r="I120" s="56">
        <v>5.6542222222222227</v>
      </c>
      <c r="J120" s="26">
        <v>770.84637681159415</v>
      </c>
      <c r="K120" s="56">
        <v>5.6542222222222227</v>
      </c>
    </row>
    <row r="121" spans="1:11" x14ac:dyDescent="0.35">
      <c r="A121" s="34" t="s">
        <v>178</v>
      </c>
      <c r="B121" s="1" t="s">
        <v>542</v>
      </c>
      <c r="C121" s="29">
        <v>1654.913043478261</v>
      </c>
      <c r="D121" s="56">
        <v>12.961</v>
      </c>
      <c r="E121" s="26">
        <v>332.07826086956521</v>
      </c>
      <c r="F121" s="56">
        <v>2.5459999999999998</v>
      </c>
      <c r="G121" s="25">
        <v>9</v>
      </c>
      <c r="H121" s="26">
        <v>183.87922705314011</v>
      </c>
      <c r="I121" s="56">
        <v>1.4401111111111111</v>
      </c>
      <c r="J121" s="26">
        <v>183.87922705314011</v>
      </c>
      <c r="K121" s="56">
        <v>1.4401111111111111</v>
      </c>
    </row>
    <row r="122" spans="1:11" x14ac:dyDescent="0.35">
      <c r="A122" s="34" t="s">
        <v>177</v>
      </c>
      <c r="B122" s="1" t="s">
        <v>541</v>
      </c>
      <c r="C122" s="29">
        <v>305.99130434782609</v>
      </c>
      <c r="D122" s="56">
        <v>2.3460000000000001</v>
      </c>
      <c r="E122" s="26">
        <v>168.78260869565219</v>
      </c>
      <c r="F122" s="56">
        <v>1.294</v>
      </c>
      <c r="G122" s="25">
        <v>2</v>
      </c>
      <c r="H122" s="26">
        <v>152.99565217391304</v>
      </c>
      <c r="I122" s="56">
        <v>1.173</v>
      </c>
      <c r="J122" s="26">
        <v>152.99565217391304</v>
      </c>
      <c r="K122" s="56">
        <v>1.173</v>
      </c>
    </row>
    <row r="123" spans="1:11" x14ac:dyDescent="0.35">
      <c r="A123" s="34" t="s">
        <v>182</v>
      </c>
      <c r="B123" s="1" t="s">
        <v>542</v>
      </c>
      <c r="C123" s="29">
        <v>8206.6782608695648</v>
      </c>
      <c r="D123" s="56">
        <v>59.948000000000008</v>
      </c>
      <c r="E123" s="26">
        <v>1321.0695652173913</v>
      </c>
      <c r="F123" s="56">
        <v>9.9740000000000002</v>
      </c>
      <c r="G123" s="25">
        <v>9</v>
      </c>
      <c r="H123" s="26">
        <v>911.85314009661829</v>
      </c>
      <c r="I123" s="56">
        <v>6.6608888888888895</v>
      </c>
      <c r="J123" s="26">
        <v>911.85314009661829</v>
      </c>
      <c r="K123" s="56">
        <v>6.6608888888888895</v>
      </c>
    </row>
    <row r="124" spans="1:11" x14ac:dyDescent="0.35">
      <c r="A124" s="34" t="s">
        <v>183</v>
      </c>
      <c r="B124" s="1" t="s">
        <v>541</v>
      </c>
      <c r="C124" s="29">
        <v>494.42608695652166</v>
      </c>
      <c r="D124" s="56">
        <v>4.0919999999999996</v>
      </c>
      <c r="E124" s="26">
        <v>494.42608695652166</v>
      </c>
      <c r="F124" s="56">
        <v>4.0919999999999996</v>
      </c>
      <c r="G124" s="25">
        <v>1</v>
      </c>
      <c r="H124" s="26">
        <v>494.42608695652166</v>
      </c>
      <c r="I124" s="56">
        <v>4.0919999999999996</v>
      </c>
      <c r="J124" s="26">
        <v>988.85217391304332</v>
      </c>
      <c r="K124" s="56">
        <v>8.1839999999999993</v>
      </c>
    </row>
    <row r="125" spans="1:11" x14ac:dyDescent="0.35">
      <c r="A125" s="34" t="s">
        <v>184</v>
      </c>
      <c r="B125" s="1" t="s">
        <v>542</v>
      </c>
      <c r="C125" s="29">
        <v>1202.5478260869563</v>
      </c>
      <c r="D125" s="56">
        <v>9.418000000000001</v>
      </c>
      <c r="E125" s="26">
        <v>235.01739130434783</v>
      </c>
      <c r="F125" s="56">
        <v>1.802</v>
      </c>
      <c r="G125" s="25">
        <v>8</v>
      </c>
      <c r="H125" s="26">
        <v>150.31847826086954</v>
      </c>
      <c r="I125" s="56">
        <v>1.1772500000000001</v>
      </c>
      <c r="J125" s="26">
        <v>300.63695652173908</v>
      </c>
      <c r="K125" s="56">
        <v>2.3545000000000003</v>
      </c>
    </row>
    <row r="126" spans="1:11" x14ac:dyDescent="0.35">
      <c r="A126" s="34" t="s">
        <v>179</v>
      </c>
      <c r="B126" s="1" t="s">
        <v>542</v>
      </c>
      <c r="C126" s="29">
        <v>7624.7478260869575</v>
      </c>
      <c r="D126" s="56">
        <v>55.638000000000005</v>
      </c>
      <c r="E126" s="26">
        <v>1253.4521739130435</v>
      </c>
      <c r="F126" s="56">
        <v>9.048</v>
      </c>
      <c r="G126" s="25">
        <v>9</v>
      </c>
      <c r="H126" s="26">
        <v>847.19420289855088</v>
      </c>
      <c r="I126" s="56">
        <v>6.1820000000000004</v>
      </c>
      <c r="J126" s="26">
        <v>847.19420289855088</v>
      </c>
      <c r="K126" s="56">
        <v>6.1820000000000004</v>
      </c>
    </row>
    <row r="127" spans="1:11" x14ac:dyDescent="0.35">
      <c r="A127" s="34" t="s">
        <v>186</v>
      </c>
      <c r="B127" s="1" t="s">
        <v>543</v>
      </c>
      <c r="C127" s="29">
        <v>2073.0695652173913</v>
      </c>
      <c r="D127" s="56">
        <v>16.222000000000001</v>
      </c>
      <c r="E127" s="26">
        <v>495.34782608695662</v>
      </c>
      <c r="F127" s="56">
        <v>3.8380000000000001</v>
      </c>
      <c r="G127" s="25">
        <v>7</v>
      </c>
      <c r="H127" s="26">
        <v>296.15279503105592</v>
      </c>
      <c r="I127" s="56">
        <v>2.3174285714285716</v>
      </c>
      <c r="J127" s="26">
        <v>0</v>
      </c>
      <c r="K127" s="56">
        <v>0</v>
      </c>
    </row>
    <row r="128" spans="1:11" x14ac:dyDescent="0.35">
      <c r="A128" s="34" t="s">
        <v>187</v>
      </c>
      <c r="B128" s="1" t="s">
        <v>542</v>
      </c>
      <c r="C128" s="29">
        <v>4048.5565217391299</v>
      </c>
      <c r="D128" s="56">
        <v>31.778000000000006</v>
      </c>
      <c r="E128" s="26">
        <v>747.58260869565208</v>
      </c>
      <c r="F128" s="56">
        <v>5.7320000000000002</v>
      </c>
      <c r="G128" s="25">
        <v>9</v>
      </c>
      <c r="H128" s="26">
        <v>449.83961352657002</v>
      </c>
      <c r="I128" s="56">
        <v>3.5308888888888896</v>
      </c>
      <c r="J128" s="26">
        <v>449.83961352657002</v>
      </c>
      <c r="K128" s="56">
        <v>3.5308888888888896</v>
      </c>
    </row>
    <row r="129" spans="1:11" ht="13.5" thickBot="1" x14ac:dyDescent="0.4">
      <c r="A129" s="35" t="s">
        <v>188</v>
      </c>
      <c r="B129" s="1" t="s">
        <v>542</v>
      </c>
      <c r="C129" s="29">
        <v>4559.9304347826082</v>
      </c>
      <c r="D129" s="56">
        <v>41.141999999999996</v>
      </c>
      <c r="E129" s="26">
        <v>705.31304347826085</v>
      </c>
      <c r="F129" s="56">
        <v>6.7119999999999997</v>
      </c>
      <c r="G129" s="25">
        <v>9</v>
      </c>
      <c r="H129" s="26">
        <v>506.65893719806758</v>
      </c>
      <c r="I129" s="56">
        <v>4.5713333333333326</v>
      </c>
      <c r="J129" s="26">
        <v>506.65893719806758</v>
      </c>
      <c r="K129" s="56">
        <v>4.5713333333333326</v>
      </c>
    </row>
    <row r="130" spans="1:11" ht="13.5" thickBot="1" x14ac:dyDescent="0.4">
      <c r="A130" s="1" t="s">
        <v>607</v>
      </c>
      <c r="C130" s="39">
        <v>37108.478260869568</v>
      </c>
      <c r="D130" s="58">
        <v>284.43300000000005</v>
      </c>
      <c r="E130" s="40">
        <v>6925.521739130435</v>
      </c>
      <c r="F130" s="58">
        <v>53.518000000000001</v>
      </c>
      <c r="G130" s="41">
        <v>72</v>
      </c>
      <c r="H130" s="40">
        <v>4764.1645100069009</v>
      </c>
      <c r="I130" s="58">
        <v>36.799123015873022</v>
      </c>
      <c r="J130" s="40">
        <v>5112.7562801932363</v>
      </c>
      <c r="K130" s="58">
        <v>39.75094444444445</v>
      </c>
    </row>
    <row r="131" spans="1:11" ht="13.5" thickBot="1" x14ac:dyDescent="0.4">
      <c r="A131" s="38" t="s">
        <v>566</v>
      </c>
      <c r="B131" s="51"/>
      <c r="C131" s="29"/>
      <c r="D131" s="56"/>
      <c r="E131" s="26"/>
      <c r="F131" s="56"/>
      <c r="G131" s="25"/>
      <c r="H131" s="26"/>
      <c r="I131" s="56"/>
      <c r="J131" s="26"/>
      <c r="K131" s="56"/>
    </row>
    <row r="132" spans="1:11" x14ac:dyDescent="0.35">
      <c r="A132" s="34" t="s">
        <v>199</v>
      </c>
      <c r="B132" s="1" t="s">
        <v>542</v>
      </c>
      <c r="C132" s="29">
        <v>2375.4869565217396</v>
      </c>
      <c r="D132" s="56">
        <v>30.394000000000002</v>
      </c>
      <c r="E132" s="26">
        <v>545.86956521739125</v>
      </c>
      <c r="F132" s="56">
        <v>6.976</v>
      </c>
      <c r="G132" s="25">
        <v>8</v>
      </c>
      <c r="H132" s="26">
        <v>296.93586956521744</v>
      </c>
      <c r="I132" s="56">
        <v>3.7992500000000002</v>
      </c>
      <c r="J132" s="26">
        <v>593.87173913043489</v>
      </c>
      <c r="K132" s="56">
        <v>7.5985000000000005</v>
      </c>
    </row>
    <row r="133" spans="1:11" x14ac:dyDescent="0.35">
      <c r="A133" s="34" t="s">
        <v>196</v>
      </c>
      <c r="B133" s="1" t="s">
        <v>542</v>
      </c>
      <c r="C133" s="29">
        <v>2314.0782608695654</v>
      </c>
      <c r="D133" s="56">
        <v>133.32399999999998</v>
      </c>
      <c r="E133" s="26">
        <v>375.6</v>
      </c>
      <c r="F133" s="56">
        <v>21.608000000000001</v>
      </c>
      <c r="G133" s="25">
        <v>9</v>
      </c>
      <c r="H133" s="26">
        <v>257.11980676328506</v>
      </c>
      <c r="I133" s="56">
        <v>14.813777777777776</v>
      </c>
      <c r="J133" s="26">
        <v>257.11980676328506</v>
      </c>
      <c r="K133" s="56">
        <v>14.813777777777776</v>
      </c>
    </row>
    <row r="134" spans="1:11" ht="13.5" thickBot="1" x14ac:dyDescent="0.4">
      <c r="A134" s="35" t="s">
        <v>197</v>
      </c>
      <c r="B134" s="1" t="s">
        <v>542</v>
      </c>
      <c r="C134" s="29">
        <v>883.13043478260863</v>
      </c>
      <c r="D134" s="56">
        <v>102.179</v>
      </c>
      <c r="E134" s="26">
        <v>237.20869565217393</v>
      </c>
      <c r="F134" s="56">
        <v>27.448</v>
      </c>
      <c r="G134" s="25">
        <v>8</v>
      </c>
      <c r="H134" s="26">
        <v>110.39130434782608</v>
      </c>
      <c r="I134" s="56">
        <v>12.772375</v>
      </c>
      <c r="J134" s="26">
        <v>220.78260869565216</v>
      </c>
      <c r="K134" s="56">
        <v>25.544750000000001</v>
      </c>
    </row>
    <row r="135" spans="1:11" ht="13.5" thickBot="1" x14ac:dyDescent="0.4">
      <c r="A135" s="1" t="s">
        <v>608</v>
      </c>
      <c r="C135" s="39">
        <v>5572.6956521739139</v>
      </c>
      <c r="D135" s="58">
        <v>265.89699999999999</v>
      </c>
      <c r="E135" s="40">
        <v>1158.6782608695653</v>
      </c>
      <c r="F135" s="58">
        <v>56.031999999999996</v>
      </c>
      <c r="G135" s="41">
        <v>25</v>
      </c>
      <c r="H135" s="40">
        <v>664.44698067632862</v>
      </c>
      <c r="I135" s="58">
        <v>31.385402777777777</v>
      </c>
      <c r="J135" s="40">
        <v>1071.7741545893721</v>
      </c>
      <c r="K135" s="58">
        <v>47.957027777777782</v>
      </c>
    </row>
    <row r="136" spans="1:11" ht="13.5" thickBot="1" x14ac:dyDescent="0.4">
      <c r="A136" s="38" t="s">
        <v>567</v>
      </c>
      <c r="B136" s="51"/>
      <c r="C136" s="29"/>
      <c r="D136" s="56"/>
      <c r="E136" s="26"/>
      <c r="F136" s="56"/>
      <c r="G136" s="25"/>
      <c r="H136" s="26"/>
      <c r="I136" s="56"/>
      <c r="J136" s="26"/>
      <c r="K136" s="56"/>
    </row>
    <row r="137" spans="1:11" x14ac:dyDescent="0.35">
      <c r="A137" s="34" t="s">
        <v>263</v>
      </c>
      <c r="B137" s="1" t="s">
        <v>542</v>
      </c>
      <c r="C137" s="29">
        <v>71881.052173913049</v>
      </c>
      <c r="D137" s="56">
        <v>834.86299999999994</v>
      </c>
      <c r="E137" s="26">
        <v>12018.739130434784</v>
      </c>
      <c r="F137" s="56">
        <v>138.262</v>
      </c>
      <c r="G137" s="25">
        <v>9</v>
      </c>
      <c r="H137" s="26">
        <v>7986.7835748792277</v>
      </c>
      <c r="I137" s="56">
        <v>92.762555555555551</v>
      </c>
      <c r="J137" s="26">
        <v>7986.7835748792277</v>
      </c>
      <c r="K137" s="56">
        <v>92.762555555555551</v>
      </c>
    </row>
    <row r="138" spans="1:11" x14ac:dyDescent="0.35">
      <c r="A138" s="34" t="s">
        <v>217</v>
      </c>
      <c r="B138" s="1" t="s">
        <v>542</v>
      </c>
      <c r="C138" s="29">
        <v>1519.782608695652</v>
      </c>
      <c r="D138" s="56">
        <v>50</v>
      </c>
      <c r="E138" s="26">
        <v>273.8347826086956</v>
      </c>
      <c r="F138" s="56">
        <v>9</v>
      </c>
      <c r="G138" s="25">
        <v>9</v>
      </c>
      <c r="H138" s="26">
        <v>168.8647342995169</v>
      </c>
      <c r="I138" s="56">
        <v>5.5555555555555554</v>
      </c>
      <c r="J138" s="26">
        <v>168.8647342995169</v>
      </c>
      <c r="K138" s="56">
        <v>5.5555555555555554</v>
      </c>
    </row>
    <row r="139" spans="1:11" x14ac:dyDescent="0.35">
      <c r="A139" s="34" t="s">
        <v>215</v>
      </c>
      <c r="B139" s="1" t="s">
        <v>542</v>
      </c>
      <c r="C139" s="29">
        <v>9715.217391304348</v>
      </c>
      <c r="D139" s="56">
        <v>415</v>
      </c>
      <c r="E139" s="26">
        <v>1451.5913043478261</v>
      </c>
      <c r="F139" s="56">
        <v>62</v>
      </c>
      <c r="G139" s="25">
        <v>9</v>
      </c>
      <c r="H139" s="26">
        <v>1079.4685990338164</v>
      </c>
      <c r="I139" s="56">
        <v>46.111111111111114</v>
      </c>
      <c r="J139" s="26">
        <v>1079.4685990338164</v>
      </c>
      <c r="K139" s="56">
        <v>46.111111111111114</v>
      </c>
    </row>
    <row r="140" spans="1:11" x14ac:dyDescent="0.35">
      <c r="A140" s="34" t="s">
        <v>216</v>
      </c>
      <c r="B140" s="1" t="s">
        <v>542</v>
      </c>
      <c r="C140" s="29">
        <v>4711.0347826086963</v>
      </c>
      <c r="D140" s="56">
        <v>181</v>
      </c>
      <c r="E140" s="26">
        <v>781.04347826086962</v>
      </c>
      <c r="F140" s="56">
        <v>30</v>
      </c>
      <c r="G140" s="25">
        <v>9</v>
      </c>
      <c r="H140" s="26">
        <v>523.44830917874401</v>
      </c>
      <c r="I140" s="56">
        <v>20.111111111111111</v>
      </c>
      <c r="J140" s="26">
        <v>523.44830917874401</v>
      </c>
      <c r="K140" s="56">
        <v>20.111111111111111</v>
      </c>
    </row>
    <row r="141" spans="1:11" x14ac:dyDescent="0.35">
      <c r="A141" s="34" t="s">
        <v>220</v>
      </c>
      <c r="B141" s="1" t="s">
        <v>541</v>
      </c>
      <c r="C141" s="29">
        <v>5899.5043478260868</v>
      </c>
      <c r="D141" s="56">
        <v>78.128</v>
      </c>
      <c r="E141" s="26">
        <v>4602.3217391304343</v>
      </c>
      <c r="F141" s="56">
        <v>61.55</v>
      </c>
      <c r="G141" s="25">
        <v>2</v>
      </c>
      <c r="H141" s="26">
        <v>2949.7521739130434</v>
      </c>
      <c r="I141" s="56">
        <v>39.064</v>
      </c>
      <c r="J141" s="26">
        <v>2949.7521739130434</v>
      </c>
      <c r="K141" s="56">
        <v>39.064</v>
      </c>
    </row>
    <row r="142" spans="1:11" x14ac:dyDescent="0.35">
      <c r="A142" s="34" t="s">
        <v>202</v>
      </c>
      <c r="B142" s="1" t="s">
        <v>542</v>
      </c>
      <c r="C142" s="29">
        <v>26515.08695652174</v>
      </c>
      <c r="D142" s="56">
        <v>234.79000000000002</v>
      </c>
      <c r="E142" s="26">
        <v>4552.2434782608698</v>
      </c>
      <c r="F142" s="56">
        <v>40.274000000000001</v>
      </c>
      <c r="G142" s="25">
        <v>8</v>
      </c>
      <c r="H142" s="26">
        <v>3314.3858695652175</v>
      </c>
      <c r="I142" s="56">
        <v>29.348750000000003</v>
      </c>
      <c r="J142" s="26">
        <v>6628.771739130435</v>
      </c>
      <c r="K142" s="56">
        <v>58.697500000000005</v>
      </c>
    </row>
    <row r="143" spans="1:11" x14ac:dyDescent="0.35">
      <c r="A143" s="34" t="s">
        <v>266</v>
      </c>
      <c r="B143" s="1" t="s">
        <v>542</v>
      </c>
      <c r="C143" s="29">
        <v>5634.3130434782606</v>
      </c>
      <c r="D143" s="56">
        <v>54</v>
      </c>
      <c r="E143" s="26">
        <v>834.71304347826094</v>
      </c>
      <c r="F143" s="56">
        <v>8</v>
      </c>
      <c r="G143" s="25">
        <v>9</v>
      </c>
      <c r="H143" s="26">
        <v>626.03478260869565</v>
      </c>
      <c r="I143" s="56">
        <v>6</v>
      </c>
      <c r="J143" s="26">
        <v>626.03478260869565</v>
      </c>
      <c r="K143" s="56">
        <v>6</v>
      </c>
    </row>
    <row r="144" spans="1:11" x14ac:dyDescent="0.35">
      <c r="A144" s="34" t="s">
        <v>238</v>
      </c>
      <c r="B144" s="1" t="s">
        <v>543</v>
      </c>
      <c r="C144" s="29">
        <v>3018.8608695652179</v>
      </c>
      <c r="D144" s="56">
        <v>29.000000000000004</v>
      </c>
      <c r="E144" s="26">
        <v>779.86956521739125</v>
      </c>
      <c r="F144" s="56">
        <v>8.1539999999999999</v>
      </c>
      <c r="G144" s="25">
        <v>7</v>
      </c>
      <c r="H144" s="26">
        <v>431.26583850931684</v>
      </c>
      <c r="I144" s="56">
        <v>4.1428571428571432</v>
      </c>
      <c r="J144" s="26">
        <v>0</v>
      </c>
      <c r="K144" s="56">
        <v>0</v>
      </c>
    </row>
    <row r="145" spans="1:11" x14ac:dyDescent="0.35">
      <c r="A145" s="34" t="s">
        <v>203</v>
      </c>
      <c r="B145" s="1" t="s">
        <v>542</v>
      </c>
      <c r="C145" s="29">
        <v>16488.313043478258</v>
      </c>
      <c r="D145" s="56">
        <v>237.49799999999999</v>
      </c>
      <c r="E145" s="26">
        <v>3506.7478260869566</v>
      </c>
      <c r="F145" s="56">
        <v>50.457999999999998</v>
      </c>
      <c r="G145" s="25">
        <v>9</v>
      </c>
      <c r="H145" s="26">
        <v>1832.0347826086954</v>
      </c>
      <c r="I145" s="56">
        <v>26.388666666666666</v>
      </c>
      <c r="J145" s="26">
        <v>1832.0347826086954</v>
      </c>
      <c r="K145" s="56">
        <v>26.388666666666666</v>
      </c>
    </row>
    <row r="146" spans="1:11" x14ac:dyDescent="0.35">
      <c r="A146" s="34" t="s">
        <v>226</v>
      </c>
      <c r="B146" s="1" t="s">
        <v>541</v>
      </c>
      <c r="C146" s="29">
        <v>410.8608695652174</v>
      </c>
      <c r="D146" s="56">
        <v>4.9219999999999997</v>
      </c>
      <c r="E146" s="26">
        <v>410.8608695652174</v>
      </c>
      <c r="F146" s="56">
        <v>4.9219999999999997</v>
      </c>
      <c r="G146" s="25">
        <v>1</v>
      </c>
      <c r="H146" s="26">
        <v>410.8608695652174</v>
      </c>
      <c r="I146" s="56">
        <v>4.9219999999999997</v>
      </c>
      <c r="J146" s="26">
        <v>821.7217391304348</v>
      </c>
      <c r="K146" s="56">
        <v>9.8439999999999994</v>
      </c>
    </row>
    <row r="147" spans="1:11" x14ac:dyDescent="0.35">
      <c r="A147" s="34" t="s">
        <v>265</v>
      </c>
      <c r="B147" s="1" t="s">
        <v>543</v>
      </c>
      <c r="C147" s="29">
        <v>5184.7565217391302</v>
      </c>
      <c r="D147" s="56">
        <v>44.921999999999997</v>
      </c>
      <c r="E147" s="26">
        <v>1898.9391304347823</v>
      </c>
      <c r="F147" s="56">
        <v>15.6</v>
      </c>
      <c r="G147" s="25">
        <v>4</v>
      </c>
      <c r="H147" s="26">
        <v>1296.1891304347826</v>
      </c>
      <c r="I147" s="56">
        <v>11.230499999999999</v>
      </c>
      <c r="J147" s="26">
        <v>3888.5673913043474</v>
      </c>
      <c r="K147" s="56">
        <v>33.691499999999998</v>
      </c>
    </row>
    <row r="148" spans="1:11" x14ac:dyDescent="0.35">
      <c r="A148" s="34" t="s">
        <v>264</v>
      </c>
      <c r="B148" s="1" t="s">
        <v>542</v>
      </c>
      <c r="C148" s="29">
        <v>47431.808695652173</v>
      </c>
      <c r="D148" s="56">
        <v>497.702</v>
      </c>
      <c r="E148" s="26">
        <v>8207.939130434781</v>
      </c>
      <c r="F148" s="56">
        <v>91.760999999999996</v>
      </c>
      <c r="G148" s="25">
        <v>9</v>
      </c>
      <c r="H148" s="26">
        <v>5270.2009661835746</v>
      </c>
      <c r="I148" s="56">
        <v>55.300222222222224</v>
      </c>
      <c r="J148" s="26">
        <v>5270.2009661835746</v>
      </c>
      <c r="K148" s="56">
        <v>55.300222222222224</v>
      </c>
    </row>
    <row r="149" spans="1:11" x14ac:dyDescent="0.35">
      <c r="A149" s="34" t="s">
        <v>222</v>
      </c>
      <c r="B149" s="1" t="s">
        <v>541</v>
      </c>
      <c r="C149" s="29">
        <v>216.91304347826087</v>
      </c>
      <c r="D149" s="56">
        <v>2.7719999999999998</v>
      </c>
      <c r="E149" s="26">
        <v>216.91304347826087</v>
      </c>
      <c r="F149" s="56">
        <v>2.7719999999999998</v>
      </c>
      <c r="G149" s="25">
        <v>1</v>
      </c>
      <c r="H149" s="26">
        <v>216.91304347826087</v>
      </c>
      <c r="I149" s="56">
        <v>2.7719999999999998</v>
      </c>
      <c r="J149" s="26">
        <v>433.82608695652175</v>
      </c>
      <c r="K149" s="56">
        <v>5.5439999999999996</v>
      </c>
    </row>
    <row r="150" spans="1:11" x14ac:dyDescent="0.35">
      <c r="A150" s="34" t="s">
        <v>258</v>
      </c>
      <c r="B150" s="1" t="s">
        <v>543</v>
      </c>
      <c r="C150" s="29">
        <v>2992.4521739130432</v>
      </c>
      <c r="D150" s="56">
        <v>14.854000000000003</v>
      </c>
      <c r="E150" s="26">
        <v>899.54782608695655</v>
      </c>
      <c r="F150" s="56">
        <v>4.1379999999999999</v>
      </c>
      <c r="G150" s="25">
        <v>6</v>
      </c>
      <c r="H150" s="26">
        <v>498.7420289855072</v>
      </c>
      <c r="I150" s="56">
        <v>2.4756666666666671</v>
      </c>
      <c r="J150" s="26">
        <v>498.7420289855072</v>
      </c>
      <c r="K150" s="56">
        <v>2.4756666666666671</v>
      </c>
    </row>
    <row r="151" spans="1:11" x14ac:dyDescent="0.35">
      <c r="A151" s="34" t="s">
        <v>244</v>
      </c>
      <c r="B151" s="1" t="s">
        <v>542</v>
      </c>
      <c r="C151" s="29">
        <v>12834.286956521739</v>
      </c>
      <c r="D151" s="56">
        <v>95</v>
      </c>
      <c r="E151" s="26">
        <v>2799.7999999999997</v>
      </c>
      <c r="F151" s="56">
        <v>23</v>
      </c>
      <c r="G151" s="25">
        <v>9</v>
      </c>
      <c r="H151" s="26">
        <v>1426.031884057971</v>
      </c>
      <c r="I151" s="56">
        <v>10.555555555555555</v>
      </c>
      <c r="J151" s="26">
        <v>1426.031884057971</v>
      </c>
      <c r="K151" s="56">
        <v>10.555555555555555</v>
      </c>
    </row>
    <row r="152" spans="1:11" x14ac:dyDescent="0.35">
      <c r="A152" s="34" t="s">
        <v>243</v>
      </c>
      <c r="B152" s="1" t="s">
        <v>542</v>
      </c>
      <c r="C152" s="29">
        <v>17060.191304347827</v>
      </c>
      <c r="D152" s="56">
        <v>132</v>
      </c>
      <c r="E152" s="26">
        <v>4126.6608695652185</v>
      </c>
      <c r="F152" s="56">
        <v>34</v>
      </c>
      <c r="G152" s="25">
        <v>8</v>
      </c>
      <c r="H152" s="26">
        <v>2132.5239130434784</v>
      </c>
      <c r="I152" s="56">
        <v>16.5</v>
      </c>
      <c r="J152" s="26">
        <v>4265.0478260869568</v>
      </c>
      <c r="K152" s="56">
        <v>33</v>
      </c>
    </row>
    <row r="153" spans="1:11" x14ac:dyDescent="0.35">
      <c r="A153" s="34" t="s">
        <v>245</v>
      </c>
      <c r="B153" s="1" t="s">
        <v>543</v>
      </c>
      <c r="C153" s="29">
        <v>1956.4086956521742</v>
      </c>
      <c r="D153" s="56">
        <v>13</v>
      </c>
      <c r="E153" s="26">
        <v>912.99130434782614</v>
      </c>
      <c r="F153" s="56">
        <v>6</v>
      </c>
      <c r="G153" s="25">
        <v>6</v>
      </c>
      <c r="H153" s="26">
        <v>326.06811594202901</v>
      </c>
      <c r="I153" s="56">
        <v>2.1666666666666665</v>
      </c>
      <c r="J153" s="26">
        <v>326.06811594202901</v>
      </c>
      <c r="K153" s="56">
        <v>2.1666666666666665</v>
      </c>
    </row>
    <row r="154" spans="1:11" x14ac:dyDescent="0.35">
      <c r="A154" s="34" t="s">
        <v>246</v>
      </c>
      <c r="B154" s="1" t="s">
        <v>543</v>
      </c>
      <c r="C154" s="29">
        <v>3331.1043478260872</v>
      </c>
      <c r="D154" s="56">
        <v>23</v>
      </c>
      <c r="E154" s="26">
        <v>1304.2608695652175</v>
      </c>
      <c r="F154" s="56">
        <v>10</v>
      </c>
      <c r="G154" s="25">
        <v>6</v>
      </c>
      <c r="H154" s="26">
        <v>555.18405797101457</v>
      </c>
      <c r="I154" s="56">
        <v>3.8333333333333335</v>
      </c>
      <c r="J154" s="26">
        <v>555.18405797101457</v>
      </c>
      <c r="K154" s="56">
        <v>3.8333333333333335</v>
      </c>
    </row>
    <row r="155" spans="1:11" x14ac:dyDescent="0.35">
      <c r="A155" s="34" t="s">
        <v>260</v>
      </c>
      <c r="B155" s="1" t="s">
        <v>543</v>
      </c>
      <c r="C155" s="29">
        <v>5932.9043478260874</v>
      </c>
      <c r="D155" s="56">
        <v>39.5</v>
      </c>
      <c r="E155" s="26">
        <v>1764.4260869565219</v>
      </c>
      <c r="F155" s="56">
        <v>12.682</v>
      </c>
      <c r="G155" s="25">
        <v>6</v>
      </c>
      <c r="H155" s="26">
        <v>988.81739130434789</v>
      </c>
      <c r="I155" s="56">
        <v>6.583333333333333</v>
      </c>
      <c r="J155" s="26">
        <v>988.81739130434789</v>
      </c>
      <c r="K155" s="56">
        <v>6.583333333333333</v>
      </c>
    </row>
    <row r="156" spans="1:11" x14ac:dyDescent="0.35">
      <c r="A156" s="34" t="s">
        <v>251</v>
      </c>
      <c r="B156" s="1" t="s">
        <v>542</v>
      </c>
      <c r="C156" s="29">
        <v>14281.869565217392</v>
      </c>
      <c r="D156" s="56">
        <v>151.35400000000001</v>
      </c>
      <c r="E156" s="26">
        <v>3176.0260869565218</v>
      </c>
      <c r="F156" s="56">
        <v>36.527999999999999</v>
      </c>
      <c r="G156" s="25">
        <v>8</v>
      </c>
      <c r="H156" s="26">
        <v>1785.233695652174</v>
      </c>
      <c r="I156" s="56">
        <v>18.919250000000002</v>
      </c>
      <c r="J156" s="26">
        <v>3570.467391304348</v>
      </c>
      <c r="K156" s="56">
        <v>37.838500000000003</v>
      </c>
    </row>
    <row r="157" spans="1:11" x14ac:dyDescent="0.35">
      <c r="A157" s="34" t="s">
        <v>230</v>
      </c>
      <c r="B157" s="1" t="s">
        <v>542</v>
      </c>
      <c r="C157" s="29">
        <v>1665.2434782608693</v>
      </c>
      <c r="D157" s="56">
        <v>95.799000000000007</v>
      </c>
      <c r="E157" s="26">
        <v>571.86956521739125</v>
      </c>
      <c r="F157" s="56">
        <v>32.898000000000003</v>
      </c>
      <c r="G157" s="25">
        <v>9</v>
      </c>
      <c r="H157" s="26">
        <v>185.0270531400966</v>
      </c>
      <c r="I157" s="56">
        <v>10.644333333333334</v>
      </c>
      <c r="J157" s="26">
        <v>185.0270531400966</v>
      </c>
      <c r="K157" s="56">
        <v>10.644333333333334</v>
      </c>
    </row>
    <row r="158" spans="1:11" x14ac:dyDescent="0.35">
      <c r="A158" s="34" t="s">
        <v>234</v>
      </c>
      <c r="B158" s="1" t="s">
        <v>541</v>
      </c>
      <c r="C158" s="29">
        <v>544.17391304347825</v>
      </c>
      <c r="D158" s="56">
        <v>6.3520000000000003</v>
      </c>
      <c r="E158" s="26">
        <v>355.84347826086957</v>
      </c>
      <c r="F158" s="56">
        <v>4.1859999999999999</v>
      </c>
      <c r="G158" s="25">
        <v>2</v>
      </c>
      <c r="H158" s="26">
        <v>272.08695652173913</v>
      </c>
      <c r="I158" s="56">
        <v>3.1760000000000002</v>
      </c>
      <c r="J158" s="26">
        <v>272.08695652173913</v>
      </c>
      <c r="K158" s="56">
        <v>3.1760000000000002</v>
      </c>
    </row>
    <row r="159" spans="1:11" x14ac:dyDescent="0.35">
      <c r="A159" s="34" t="s">
        <v>209</v>
      </c>
      <c r="B159" s="1" t="s">
        <v>543</v>
      </c>
      <c r="C159" s="29">
        <v>1589.9565217391303</v>
      </c>
      <c r="D159" s="56">
        <v>9.6239999999999988</v>
      </c>
      <c r="E159" s="26">
        <v>851.80869565217381</v>
      </c>
      <c r="F159" s="56">
        <v>5.1559999999999997</v>
      </c>
      <c r="G159" s="25">
        <v>4</v>
      </c>
      <c r="H159" s="26">
        <v>397.48913043478257</v>
      </c>
      <c r="I159" s="56">
        <v>2.4059999999999997</v>
      </c>
      <c r="J159" s="26">
        <v>1192.4673913043478</v>
      </c>
      <c r="K159" s="56">
        <v>7.2179999999999991</v>
      </c>
    </row>
    <row r="160" spans="1:11" ht="13.5" thickBot="1" x14ac:dyDescent="0.4">
      <c r="A160" s="35" t="s">
        <v>210</v>
      </c>
      <c r="B160" s="1" t="s">
        <v>542</v>
      </c>
      <c r="C160" s="29">
        <v>6342.3391304347824</v>
      </c>
      <c r="D160" s="56">
        <v>101</v>
      </c>
      <c r="E160" s="26">
        <v>1836.2434782608693</v>
      </c>
      <c r="F160" s="56">
        <v>32</v>
      </c>
      <c r="G160" s="25">
        <v>9</v>
      </c>
      <c r="H160" s="26">
        <v>704.70434782608697</v>
      </c>
      <c r="I160" s="56">
        <v>11.222222222222221</v>
      </c>
      <c r="J160" s="26">
        <v>704.70434782608697</v>
      </c>
      <c r="K160" s="56">
        <v>11.222222222222221</v>
      </c>
    </row>
    <row r="161" spans="1:11" ht="13.5" thickBot="1" x14ac:dyDescent="0.4">
      <c r="A161" s="1" t="s">
        <v>609</v>
      </c>
      <c r="C161" s="39">
        <v>267158.43478260876</v>
      </c>
      <c r="D161" s="58">
        <v>3346.079999999999</v>
      </c>
      <c r="E161" s="40">
        <v>58135.234782608692</v>
      </c>
      <c r="F161" s="58">
        <v>723.34100000000012</v>
      </c>
      <c r="G161" s="41">
        <v>159</v>
      </c>
      <c r="H161" s="40">
        <v>35378.111249137335</v>
      </c>
      <c r="I161" s="58">
        <v>432.19169047619044</v>
      </c>
      <c r="J161" s="40">
        <v>46194.119323671483</v>
      </c>
      <c r="K161" s="58">
        <v>527.78383333333318</v>
      </c>
    </row>
    <row r="162" spans="1:11" ht="13.5" thickBot="1" x14ac:dyDescent="0.4">
      <c r="A162" s="47" t="s">
        <v>548</v>
      </c>
      <c r="B162" s="52"/>
      <c r="C162" s="48">
        <v>1031376.2739130433</v>
      </c>
      <c r="D162" s="59">
        <v>11564.752000000004</v>
      </c>
      <c r="E162" s="49">
        <v>248594.27391304341</v>
      </c>
      <c r="F162" s="59">
        <v>2701.5709999999999</v>
      </c>
      <c r="G162" s="50">
        <v>889</v>
      </c>
      <c r="H162" s="49">
        <v>140663.48182884741</v>
      </c>
      <c r="I162" s="59">
        <v>1557.5562365079368</v>
      </c>
      <c r="J162" s="49">
        <v>168220.14091787432</v>
      </c>
      <c r="K162" s="59">
        <v>1833.9418222222228</v>
      </c>
    </row>
    <row r="165" spans="1:11" ht="13.5" thickBot="1" x14ac:dyDescent="0.4"/>
    <row r="167" spans="1:11" ht="13.5" thickBot="1" x14ac:dyDescent="0.4"/>
    <row r="169" spans="1:11" ht="13.5" thickBot="1" x14ac:dyDescent="0.4"/>
    <row r="171" spans="1:11" ht="13.5" thickBot="1" x14ac:dyDescent="0.4"/>
    <row r="172" spans="1:11" ht="13.5" thickBot="1" x14ac:dyDescent="0.4"/>
    <row r="173" spans="1:11" ht="13.5" thickBot="1" x14ac:dyDescent="0.4"/>
    <row r="174" spans="1:11" ht="13.5" thickBot="1" x14ac:dyDescent="0.4"/>
    <row r="175" spans="1:11" ht="13.5" thickBot="1" x14ac:dyDescent="0.4"/>
    <row r="176" spans="1:11" ht="13.5" thickBot="1" x14ac:dyDescent="0.4"/>
    <row r="177" ht="13.5" thickBot="1" x14ac:dyDescent="0.4"/>
    <row r="178" ht="13.5" thickBot="1" x14ac:dyDescent="0.4"/>
    <row r="179" ht="13.5" thickBot="1" x14ac:dyDescent="0.4"/>
    <row r="181" ht="13.5" thickBot="1" x14ac:dyDescent="0.4"/>
    <row r="183" ht="13.5" thickBot="1" x14ac:dyDescent="0.4"/>
    <row r="185" ht="13.5" thickBot="1" x14ac:dyDescent="0.4"/>
    <row r="187" ht="13.5" thickBot="1" x14ac:dyDescent="0.4"/>
    <row r="189" ht="13.5" thickBot="1" x14ac:dyDescent="0.4"/>
    <row r="191" ht="13.5" thickBot="1" x14ac:dyDescent="0.4"/>
    <row r="193" ht="13.5" thickBot="1" x14ac:dyDescent="0.4"/>
    <row r="195" ht="13.5" thickBot="1" x14ac:dyDescent="0.4"/>
    <row r="197" ht="13.5" thickBot="1" x14ac:dyDescent="0.4"/>
    <row r="199" ht="13.5" thickBot="1" x14ac:dyDescent="0.4"/>
    <row r="201" ht="13.5" thickBot="1" x14ac:dyDescent="0.4"/>
    <row r="203" ht="13.5" thickBot="1" x14ac:dyDescent="0.4"/>
    <row r="205" ht="13.5" thickBot="1" x14ac:dyDescent="0.4"/>
    <row r="207" ht="13.5" thickBot="1" x14ac:dyDescent="0.4"/>
    <row r="209" ht="13.5" thickBot="1" x14ac:dyDescent="0.4"/>
    <row r="211" ht="13.5" thickBot="1" x14ac:dyDescent="0.4"/>
    <row r="212" ht="13.5" thickBot="1" x14ac:dyDescent="0.4"/>
    <row r="213" ht="13.5" thickBot="1" x14ac:dyDescent="0.4"/>
    <row r="215" ht="13.5" thickBot="1" x14ac:dyDescent="0.4"/>
    <row r="217" ht="13.5" thickBot="1" x14ac:dyDescent="0.4"/>
    <row r="219" ht="13.5" thickBot="1" x14ac:dyDescent="0.4"/>
    <row r="221" ht="13.5" thickBot="1" x14ac:dyDescent="0.4"/>
    <row r="223" ht="13.5" thickBot="1" x14ac:dyDescent="0.4"/>
    <row r="225" ht="13.5" thickBot="1" x14ac:dyDescent="0.4"/>
    <row r="227" ht="13.5" thickBot="1" x14ac:dyDescent="0.4"/>
    <row r="229" ht="13.5" thickBot="1" x14ac:dyDescent="0.4"/>
    <row r="231" ht="13.5" thickBot="1" x14ac:dyDescent="0.4"/>
    <row r="232" ht="13.5" thickBot="1" x14ac:dyDescent="0.4"/>
    <row r="233" ht="13.5" thickBot="1" x14ac:dyDescent="0.4"/>
    <row r="234" ht="13.5" thickBot="1" x14ac:dyDescent="0.4"/>
    <row r="235" ht="13.5" thickBot="1" x14ac:dyDescent="0.4"/>
    <row r="237" ht="13.5" thickBot="1" x14ac:dyDescent="0.4"/>
    <row r="239" ht="13.5" thickBot="1" x14ac:dyDescent="0.4"/>
    <row r="240" ht="13.5" thickBot="1" x14ac:dyDescent="0.4"/>
    <row r="241" ht="13.5" thickBot="1" x14ac:dyDescent="0.4"/>
    <row r="242" ht="13.5" thickBot="1" x14ac:dyDescent="0.4"/>
    <row r="243" ht="13.5" thickBot="1" x14ac:dyDescent="0.4"/>
    <row r="245" ht="13.5" thickBot="1" x14ac:dyDescent="0.4"/>
    <row r="247" ht="13.5" thickBot="1" x14ac:dyDescent="0.4"/>
    <row r="249" ht="13.5" thickBot="1" x14ac:dyDescent="0.4"/>
    <row r="251" ht="13.5" thickBot="1" x14ac:dyDescent="0.4"/>
    <row r="253" ht="13.5" thickBot="1" x14ac:dyDescent="0.4"/>
    <row r="255" ht="13.5" thickBot="1" x14ac:dyDescent="0.4"/>
    <row r="257" ht="13.5" thickBot="1" x14ac:dyDescent="0.4"/>
    <row r="259" ht="13.5" thickBot="1" x14ac:dyDescent="0.4"/>
    <row r="261" ht="13.5" thickBot="1" x14ac:dyDescent="0.4"/>
    <row r="263" ht="13.5" thickBot="1" x14ac:dyDescent="0.4"/>
    <row r="265" ht="13.5" thickBot="1" x14ac:dyDescent="0.4"/>
    <row r="267" ht="13.5" thickBot="1" x14ac:dyDescent="0.4"/>
    <row r="269" ht="13.5" thickBot="1" x14ac:dyDescent="0.4"/>
    <row r="271" ht="13.5" thickBot="1" x14ac:dyDescent="0.4"/>
    <row r="273" ht="13.5" thickBot="1" x14ac:dyDescent="0.4"/>
    <row r="275" ht="13.5" thickBot="1" x14ac:dyDescent="0.4"/>
    <row r="277" ht="13.5" thickBot="1" x14ac:dyDescent="0.4"/>
    <row r="279" ht="13.5" thickBot="1" x14ac:dyDescent="0.4"/>
    <row r="281" ht="13.5" thickBot="1" x14ac:dyDescent="0.4"/>
    <row r="283" ht="13.5" thickBot="1" x14ac:dyDescent="0.4"/>
    <row r="285" ht="13.5" thickBot="1" x14ac:dyDescent="0.4"/>
    <row r="287" ht="13.5" thickBot="1" x14ac:dyDescent="0.4"/>
    <row r="289" ht="13.5" thickBot="1" x14ac:dyDescent="0.4"/>
    <row r="290" ht="13.5" thickBot="1" x14ac:dyDescent="0.4"/>
    <row r="291" ht="13.5" thickBot="1" x14ac:dyDescent="0.4"/>
    <row r="292" ht="13.5" thickBot="1" x14ac:dyDescent="0.4"/>
    <row r="295" ht="13.5" thickBot="1" x14ac:dyDescent="0.4"/>
    <row r="298" ht="13.5" thickBot="1" x14ac:dyDescent="0.4"/>
    <row r="301" ht="13.5" thickBot="1" x14ac:dyDescent="0.4"/>
    <row r="304" ht="13.5" thickBot="1" x14ac:dyDescent="0.4"/>
    <row r="305" ht="13.5" thickBot="1" x14ac:dyDescent="0.4"/>
    <row r="306" ht="13.5" thickBot="1" x14ac:dyDescent="0.4"/>
    <row r="309" ht="13.5" thickBot="1" x14ac:dyDescent="0.4"/>
    <row r="312" ht="13.5" thickBot="1" x14ac:dyDescent="0.4"/>
    <row r="315" ht="13.5" thickBot="1" x14ac:dyDescent="0.4"/>
    <row r="318" ht="13.5" thickBot="1" x14ac:dyDescent="0.4"/>
    <row r="321" ht="13.5" thickBot="1" x14ac:dyDescent="0.4"/>
    <row r="324" ht="13.5" thickBot="1" x14ac:dyDescent="0.4"/>
    <row r="327" ht="13.5" thickBot="1" x14ac:dyDescent="0.4"/>
    <row r="330" ht="13.5" thickBot="1" x14ac:dyDescent="0.4"/>
    <row r="333" ht="13.5" thickBot="1" x14ac:dyDescent="0.4"/>
    <row r="335" ht="13.5" thickBot="1" x14ac:dyDescent="0.4"/>
    <row r="336" ht="13.5" thickBot="1" x14ac:dyDescent="0.4"/>
    <row r="337" ht="13.5" thickBot="1" x14ac:dyDescent="0.4"/>
    <row r="338" ht="13.5" thickBot="1" x14ac:dyDescent="0.4"/>
    <row r="341" ht="13.5" thickBot="1" x14ac:dyDescent="0.4"/>
    <row r="344" ht="13.5" thickBot="1" x14ac:dyDescent="0.4"/>
    <row r="346" ht="13.5" thickBot="1" x14ac:dyDescent="0.4"/>
    <row r="347" ht="13.5" thickBot="1" x14ac:dyDescent="0.4"/>
    <row r="348" ht="13.5" thickBot="1" x14ac:dyDescent="0.4"/>
    <row r="349" ht="13.5" thickBot="1" x14ac:dyDescent="0.4"/>
    <row r="352" ht="13.5" thickBot="1" x14ac:dyDescent="0.4"/>
    <row r="355" ht="13.5" thickBot="1" x14ac:dyDescent="0.4"/>
    <row r="358" ht="13.5" thickBot="1" x14ac:dyDescent="0.4"/>
    <row r="361" ht="13.5" thickBot="1" x14ac:dyDescent="0.4"/>
    <row r="364" ht="13.5" thickBot="1" x14ac:dyDescent="0.4"/>
    <row r="367" ht="13.5" thickBot="1" x14ac:dyDescent="0.4"/>
    <row r="370" ht="13.5" thickBot="1" x14ac:dyDescent="0.4"/>
    <row r="373" ht="13.5" thickBot="1" x14ac:dyDescent="0.4"/>
    <row r="376" ht="13.5" thickBot="1" x14ac:dyDescent="0.4"/>
    <row r="379" ht="13.5" thickBot="1" x14ac:dyDescent="0.4"/>
    <row r="382" ht="13.5" thickBot="1" x14ac:dyDescent="0.4"/>
    <row r="385" ht="13.5" thickBot="1" x14ac:dyDescent="0.4"/>
    <row r="388" ht="13.5" thickBot="1" x14ac:dyDescent="0.4"/>
    <row r="391" ht="13.5" thickBot="1" x14ac:dyDescent="0.4"/>
    <row r="394" ht="13.5" thickBot="1" x14ac:dyDescent="0.4"/>
    <row r="397" ht="13.5" thickBot="1" x14ac:dyDescent="0.4"/>
    <row r="400" ht="13.5" thickBot="1" x14ac:dyDescent="0.4"/>
    <row r="403" ht="13.5" thickBot="1" x14ac:dyDescent="0.4"/>
    <row r="406" ht="13.5" thickBot="1" x14ac:dyDescent="0.4"/>
    <row r="409" ht="13.5" thickBot="1" x14ac:dyDescent="0.4"/>
    <row r="412" ht="13.5" thickBot="1" x14ac:dyDescent="0.4"/>
    <row r="415" ht="13.5" thickBot="1" x14ac:dyDescent="0.4"/>
    <row r="418" ht="13.5" thickBot="1" x14ac:dyDescent="0.4"/>
    <row r="420" ht="13.5" thickBot="1" x14ac:dyDescent="0.4"/>
    <row r="421" ht="13.5" thickBot="1" x14ac:dyDescent="0.4"/>
    <row r="422" ht="13.5" thickBot="1" x14ac:dyDescent="0.4"/>
  </sheetData>
  <mergeCells count="6">
    <mergeCell ref="A1:K1"/>
    <mergeCell ref="A3:B3"/>
    <mergeCell ref="J3:K3"/>
    <mergeCell ref="G3:I3"/>
    <mergeCell ref="E3:F3"/>
    <mergeCell ref="C3:D3"/>
  </mergeCells>
  <dataValidations xWindow="1454" yWindow="497" count="1">
    <dataValidation type="list" allowBlank="1" showInputMessage="1" promptTitle="Select " prompt="Select target type" sqref="M4" xr:uid="{BD2648C2-4156-48E1-B763-FFB23F178A83}">
      <formula1>"Average,Stretch"</formula1>
    </dataValidation>
  </dataValidations>
  <pageMargins left="0.70866141732283472" right="0.70866141732283472" top="0.74803149606299213" bottom="0.74803149606299213" header="0.31496062992125984" footer="0.31496062992125984"/>
  <pageSetup paperSize="9" scale="80" fitToHeight="0" orientation="landscape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A7E2D-3656-43C5-9C52-BB244EABE6B8}">
  <dimension ref="A1:AD162"/>
  <sheetViews>
    <sheetView topLeftCell="A7" workbookViewId="0">
      <selection activeCell="G11" sqref="G11"/>
    </sheetView>
  </sheetViews>
  <sheetFormatPr defaultRowHeight="13" x14ac:dyDescent="0.35"/>
  <cols>
    <col min="1" max="1" width="43.3984375" bestFit="1" customWidth="1"/>
    <col min="2" max="2" width="10.09765625" style="54" bestFit="1" customWidth="1"/>
    <col min="3" max="3" width="11.09765625" style="54" bestFit="1" customWidth="1"/>
    <col min="4" max="4" width="9.09765625" style="54" bestFit="1" customWidth="1"/>
    <col min="5" max="5" width="11.59765625" style="54" customWidth="1"/>
    <col min="6" max="6" width="10.19921875" style="54" customWidth="1"/>
    <col min="9" max="9" width="13.19921875" bestFit="1" customWidth="1"/>
    <col min="10" max="10" width="6.8984375" bestFit="1" customWidth="1"/>
    <col min="11" max="11" width="4.69921875" bestFit="1" customWidth="1"/>
    <col min="12" max="12" width="10.59765625" customWidth="1"/>
  </cols>
  <sheetData>
    <row r="1" spans="1:30" x14ac:dyDescent="0.35">
      <c r="A1" t="s">
        <v>553</v>
      </c>
    </row>
    <row r="2" spans="1:30" ht="26.5" thickBot="1" x14ac:dyDescent="0.4">
      <c r="H2" s="28" t="s">
        <v>613</v>
      </c>
    </row>
    <row r="3" spans="1:30" s="28" customFormat="1" ht="26" customHeight="1" thickBot="1" x14ac:dyDescent="0.4">
      <c r="A3" s="28" t="s">
        <v>560</v>
      </c>
      <c r="B3" s="85" t="s">
        <v>559</v>
      </c>
      <c r="C3" s="85"/>
      <c r="D3" s="85"/>
      <c r="E3" s="85" t="s">
        <v>612</v>
      </c>
      <c r="F3" s="85"/>
      <c r="H3" s="28" t="s">
        <v>611</v>
      </c>
      <c r="I3" s="86" t="s">
        <v>615</v>
      </c>
      <c r="J3" s="87"/>
      <c r="K3" s="88"/>
      <c r="L3" s="86" t="s">
        <v>619</v>
      </c>
      <c r="M3" s="87"/>
      <c r="N3" s="88"/>
      <c r="O3" s="86" t="s">
        <v>620</v>
      </c>
      <c r="P3" s="87"/>
      <c r="Q3" s="88"/>
      <c r="R3" s="86" t="s">
        <v>621</v>
      </c>
      <c r="S3" s="87"/>
      <c r="T3" s="88"/>
      <c r="U3" s="86" t="s">
        <v>622</v>
      </c>
      <c r="V3" s="87"/>
      <c r="W3" s="88"/>
      <c r="X3" s="86" t="s">
        <v>624</v>
      </c>
      <c r="Y3" s="87"/>
      <c r="Z3" s="88"/>
      <c r="AA3" s="86" t="s">
        <v>625</v>
      </c>
      <c r="AB3" s="87"/>
      <c r="AC3" s="88"/>
      <c r="AD3" s="28" t="s">
        <v>617</v>
      </c>
    </row>
    <row r="4" spans="1:30" s="28" customFormat="1" ht="14" customHeight="1" x14ac:dyDescent="0.35">
      <c r="A4" s="28" t="s">
        <v>547</v>
      </c>
      <c r="B4" s="55" t="s">
        <v>544</v>
      </c>
      <c r="C4" s="55" t="s">
        <v>556</v>
      </c>
      <c r="D4" s="55" t="s">
        <v>557</v>
      </c>
      <c r="E4" s="55" t="s">
        <v>595</v>
      </c>
      <c r="F4" s="55" t="s">
        <v>596</v>
      </c>
      <c r="H4" s="28" t="s">
        <v>614</v>
      </c>
      <c r="I4" s="89">
        <v>1</v>
      </c>
      <c r="J4" s="89"/>
      <c r="K4" s="89"/>
      <c r="L4" s="89">
        <v>2</v>
      </c>
      <c r="M4" s="89"/>
      <c r="N4" s="89"/>
      <c r="O4" s="89">
        <v>3</v>
      </c>
      <c r="P4" s="89"/>
      <c r="Q4" s="89"/>
      <c r="R4" s="89">
        <v>4</v>
      </c>
      <c r="S4" s="89"/>
      <c r="T4" s="89"/>
      <c r="U4" s="89">
        <v>5</v>
      </c>
      <c r="V4" s="89"/>
      <c r="W4" s="89"/>
      <c r="X4" s="89">
        <v>6</v>
      </c>
      <c r="Y4" s="89"/>
      <c r="Z4" s="89"/>
      <c r="AA4" s="89">
        <v>7</v>
      </c>
      <c r="AB4" s="89"/>
      <c r="AC4" s="89"/>
    </row>
    <row r="5" spans="1:30" ht="14.5" customHeight="1" x14ac:dyDescent="0.35">
      <c r="A5" t="s">
        <v>562</v>
      </c>
      <c r="I5" t="s">
        <v>623</v>
      </c>
      <c r="J5" t="s">
        <v>616</v>
      </c>
      <c r="K5" t="s">
        <v>618</v>
      </c>
      <c r="L5" t="s">
        <v>623</v>
      </c>
      <c r="M5" t="s">
        <v>616</v>
      </c>
      <c r="N5" t="s">
        <v>618</v>
      </c>
      <c r="O5" t="s">
        <v>623</v>
      </c>
      <c r="P5" t="s">
        <v>616</v>
      </c>
      <c r="Q5" t="s">
        <v>618</v>
      </c>
      <c r="R5" t="s">
        <v>623</v>
      </c>
      <c r="S5" t="s">
        <v>616</v>
      </c>
      <c r="T5" t="s">
        <v>618</v>
      </c>
      <c r="U5" t="s">
        <v>623</v>
      </c>
      <c r="V5" t="s">
        <v>616</v>
      </c>
      <c r="W5" t="s">
        <v>618</v>
      </c>
      <c r="X5" t="s">
        <v>623</v>
      </c>
      <c r="Y5" t="s">
        <v>616</v>
      </c>
      <c r="Z5" t="s">
        <v>618</v>
      </c>
      <c r="AA5" t="s">
        <v>623</v>
      </c>
      <c r="AB5" t="s">
        <v>616</v>
      </c>
      <c r="AC5" t="s">
        <v>618</v>
      </c>
    </row>
    <row r="6" spans="1:30" x14ac:dyDescent="0.35">
      <c r="A6" t="s">
        <v>129</v>
      </c>
      <c r="B6" s="54" t="s">
        <v>542</v>
      </c>
      <c r="C6" s="54">
        <v>369.20386473429949</v>
      </c>
      <c r="D6" s="54">
        <v>3.0431111111111111</v>
      </c>
      <c r="E6" s="54">
        <v>369.20386473429949</v>
      </c>
      <c r="F6" s="54">
        <v>0.67624691358024691</v>
      </c>
      <c r="H6">
        <f>IF($H$3="Average",ROUND(D6,0),IF($H$3="Stretch",ROUND(F6,0),0))</f>
        <v>3</v>
      </c>
      <c r="I6">
        <v>1</v>
      </c>
      <c r="J6">
        <f>IF(I6&lt;$H6,$H6-$I6)</f>
        <v>2</v>
      </c>
      <c r="K6">
        <v>1</v>
      </c>
      <c r="L6">
        <f>I6+J6-K6</f>
        <v>2</v>
      </c>
      <c r="M6">
        <f>IF(K6&lt;$H6,$H6-L6)</f>
        <v>1</v>
      </c>
      <c r="O6">
        <f>L6+M6-N6</f>
        <v>3</v>
      </c>
      <c r="P6">
        <f>IF(N6&lt;$H6,$H6-O6)</f>
        <v>0</v>
      </c>
      <c r="Q6">
        <v>3</v>
      </c>
      <c r="R6">
        <f>O6+P6-Q6</f>
        <v>0</v>
      </c>
      <c r="S6">
        <f>IF(Q6&lt;$H6,$H6-R6,0)</f>
        <v>0</v>
      </c>
      <c r="U6">
        <f>R6+S6-T6</f>
        <v>0</v>
      </c>
      <c r="V6">
        <f>IF(T6&lt;$H6,$H6-U6)</f>
        <v>3</v>
      </c>
      <c r="X6">
        <f>U6+V6-W6</f>
        <v>3</v>
      </c>
      <c r="Y6">
        <f>IF(W6&lt;$H6,$H6-X6)</f>
        <v>0</v>
      </c>
      <c r="AA6">
        <f>X6+Y6-Z6</f>
        <v>3</v>
      </c>
      <c r="AB6">
        <f>IF(Z6&lt;$H6,$H6-AA6)</f>
        <v>0</v>
      </c>
    </row>
    <row r="7" spans="1:30" x14ac:dyDescent="0.35">
      <c r="A7" t="s">
        <v>74</v>
      </c>
      <c r="B7" s="54" t="s">
        <v>542</v>
      </c>
      <c r="C7" s="54">
        <v>2187.2019323671502</v>
      </c>
      <c r="D7" s="54">
        <v>12.19788888888889</v>
      </c>
      <c r="E7" s="54">
        <v>2187.2019323671502</v>
      </c>
      <c r="F7" s="54">
        <v>2.7106419753086421</v>
      </c>
      <c r="H7">
        <f t="shared" ref="H7:H70" si="0">IF($H$3="Average",ROUND(D7,0),IF($H$3="Stretch",ROUND(F7,0),0))</f>
        <v>12</v>
      </c>
      <c r="I7">
        <v>1</v>
      </c>
      <c r="J7">
        <f>IF(I7&lt;$H7,$H7-$I7)</f>
        <v>11</v>
      </c>
      <c r="K7">
        <v>1</v>
      </c>
      <c r="L7">
        <f>I7+J7-K7</f>
        <v>11</v>
      </c>
      <c r="M7">
        <f>IF(K7&lt;$H7,$H7-L7)</f>
        <v>1</v>
      </c>
      <c r="O7">
        <f>L7+M7-N7</f>
        <v>12</v>
      </c>
      <c r="P7">
        <f>IF(N7&lt;$H7,$H7-O7)</f>
        <v>0</v>
      </c>
      <c r="Q7">
        <v>3</v>
      </c>
      <c r="R7">
        <f>O7+P7-Q7</f>
        <v>9</v>
      </c>
      <c r="S7">
        <f>IF(Q7&lt;$H7,$H7-R7,0)</f>
        <v>3</v>
      </c>
      <c r="U7">
        <f>R7+S7-T7</f>
        <v>12</v>
      </c>
      <c r="V7">
        <f>IF(T7&lt;$H7,$H7-U7)</f>
        <v>0</v>
      </c>
      <c r="X7">
        <f>U7+V7-W7</f>
        <v>12</v>
      </c>
      <c r="Y7">
        <f>IF(W7&lt;$H7,$H7-X7)</f>
        <v>0</v>
      </c>
      <c r="AA7">
        <f>X7+Y7-Z7</f>
        <v>12</v>
      </c>
      <c r="AB7">
        <f>IF(Z7&lt;$H7,$H7-AA7)</f>
        <v>0</v>
      </c>
    </row>
    <row r="8" spans="1:30" x14ac:dyDescent="0.35">
      <c r="A8" t="s">
        <v>76</v>
      </c>
      <c r="B8" s="54" t="s">
        <v>542</v>
      </c>
      <c r="C8" s="54">
        <v>367.2510869565217</v>
      </c>
      <c r="D8" s="54">
        <v>3.1902500000000003</v>
      </c>
      <c r="E8" s="54">
        <v>413.15747282608692</v>
      </c>
      <c r="F8" s="54">
        <v>0.79756250000000006</v>
      </c>
      <c r="H8">
        <f t="shared" si="0"/>
        <v>3</v>
      </c>
    </row>
    <row r="9" spans="1:30" x14ac:dyDescent="0.35">
      <c r="A9" t="s">
        <v>119</v>
      </c>
      <c r="B9" s="54" t="s">
        <v>542</v>
      </c>
      <c r="C9" s="54">
        <v>1115.9632850241546</v>
      </c>
      <c r="D9" s="54">
        <v>32.113888888888887</v>
      </c>
      <c r="E9" s="54">
        <v>1115.9632850241546</v>
      </c>
      <c r="F9" s="54">
        <v>7.1364197530864191</v>
      </c>
      <c r="H9">
        <f t="shared" si="0"/>
        <v>32</v>
      </c>
    </row>
    <row r="10" spans="1:30" x14ac:dyDescent="0.35">
      <c r="A10" t="s">
        <v>93</v>
      </c>
      <c r="B10" s="54" t="s">
        <v>541</v>
      </c>
      <c r="C10" s="54">
        <v>986.00869565217374</v>
      </c>
      <c r="D10" s="54">
        <v>9.4499999999999993</v>
      </c>
      <c r="E10" s="54">
        <v>2958.0260869565213</v>
      </c>
      <c r="F10" s="54">
        <v>18.899999999999999</v>
      </c>
      <c r="H10">
        <f t="shared" si="0"/>
        <v>9</v>
      </c>
    </row>
    <row r="11" spans="1:30" x14ac:dyDescent="0.35">
      <c r="A11" t="s">
        <v>95</v>
      </c>
      <c r="B11" s="54" t="s">
        <v>543</v>
      </c>
      <c r="C11" s="54">
        <v>671.72795031055909</v>
      </c>
      <c r="D11" s="54">
        <v>3.0962857142857145</v>
      </c>
      <c r="E11" s="54">
        <v>575.76681455190783</v>
      </c>
      <c r="F11" s="54">
        <v>0.88465306122448983</v>
      </c>
      <c r="H11">
        <f t="shared" si="0"/>
        <v>3</v>
      </c>
    </row>
    <row r="12" spans="1:30" x14ac:dyDescent="0.35">
      <c r="A12" t="s">
        <v>136</v>
      </c>
      <c r="B12" s="54" t="s">
        <v>541</v>
      </c>
      <c r="C12" s="54">
        <v>144.3086956521739</v>
      </c>
      <c r="D12" s="54">
        <v>0.92199999999999993</v>
      </c>
      <c r="E12" s="54">
        <v>216.46304347826083</v>
      </c>
      <c r="F12" s="54">
        <v>0.92199999999999993</v>
      </c>
      <c r="H12">
        <f t="shared" si="0"/>
        <v>1</v>
      </c>
    </row>
    <row r="13" spans="1:30" x14ac:dyDescent="0.35">
      <c r="A13" t="s">
        <v>120</v>
      </c>
      <c r="B13" s="54" t="s">
        <v>541</v>
      </c>
      <c r="C13" s="54">
        <v>81.327536231884054</v>
      </c>
      <c r="D13" s="54">
        <v>1.0393333333333332</v>
      </c>
      <c r="E13" s="54">
        <v>81.327536231884054</v>
      </c>
      <c r="F13" s="54">
        <v>0.69288888888888878</v>
      </c>
      <c r="H13">
        <f t="shared" si="0"/>
        <v>1</v>
      </c>
    </row>
    <row r="14" spans="1:30" x14ac:dyDescent="0.35">
      <c r="A14" t="s">
        <v>89</v>
      </c>
      <c r="B14" s="54" t="s">
        <v>542</v>
      </c>
      <c r="C14" s="54">
        <v>1020.1632850241547</v>
      </c>
      <c r="D14" s="54">
        <v>12.738222222222221</v>
      </c>
      <c r="E14" s="54">
        <v>1020.1632850241547</v>
      </c>
      <c r="F14" s="54">
        <v>2.8307160493827159</v>
      </c>
      <c r="H14">
        <f t="shared" si="0"/>
        <v>13</v>
      </c>
    </row>
    <row r="15" spans="1:30" x14ac:dyDescent="0.35">
      <c r="A15" t="s">
        <v>130</v>
      </c>
      <c r="B15" s="54" t="s">
        <v>543</v>
      </c>
      <c r="C15" s="54">
        <v>623.67173913043462</v>
      </c>
      <c r="D15" s="54">
        <v>5.6289999999999996</v>
      </c>
      <c r="E15" s="54">
        <v>935.50760869565192</v>
      </c>
      <c r="F15" s="54">
        <v>2.8144999999999998</v>
      </c>
      <c r="H15">
        <f t="shared" si="0"/>
        <v>6</v>
      </c>
    </row>
    <row r="16" spans="1:30" x14ac:dyDescent="0.35">
      <c r="A16" t="s">
        <v>97</v>
      </c>
      <c r="B16" s="54" t="s">
        <v>541</v>
      </c>
      <c r="C16" s="54">
        <v>253.20000000000002</v>
      </c>
      <c r="D16" s="54">
        <v>2.08</v>
      </c>
      <c r="E16" s="54">
        <v>759.6</v>
      </c>
      <c r="F16" s="54">
        <v>4.16</v>
      </c>
      <c r="H16">
        <f t="shared" si="0"/>
        <v>2</v>
      </c>
    </row>
    <row r="17" spans="1:8" x14ac:dyDescent="0.35">
      <c r="A17" t="s">
        <v>80</v>
      </c>
      <c r="B17" s="54" t="s">
        <v>542</v>
      </c>
      <c r="C17" s="54">
        <v>999.43574879227037</v>
      </c>
      <c r="D17" s="54">
        <v>6.1265555555555551</v>
      </c>
      <c r="E17" s="54">
        <v>999.43574879227037</v>
      </c>
      <c r="F17" s="54">
        <v>1.3614567901234567</v>
      </c>
      <c r="H17">
        <f t="shared" si="0"/>
        <v>6</v>
      </c>
    </row>
    <row r="18" spans="1:8" x14ac:dyDescent="0.35">
      <c r="A18" t="s">
        <v>104</v>
      </c>
      <c r="B18" s="54" t="s">
        <v>543</v>
      </c>
      <c r="C18" s="54">
        <v>388.79130434782604</v>
      </c>
      <c r="D18" s="54">
        <v>4.6850000000000005</v>
      </c>
      <c r="E18" s="54">
        <v>583.18695652173903</v>
      </c>
      <c r="F18" s="54">
        <v>2.3425000000000002</v>
      </c>
      <c r="H18">
        <f t="shared" si="0"/>
        <v>5</v>
      </c>
    </row>
    <row r="19" spans="1:8" x14ac:dyDescent="0.35">
      <c r="A19" t="s">
        <v>135</v>
      </c>
      <c r="B19" s="54" t="s">
        <v>541</v>
      </c>
      <c r="C19" s="54">
        <v>293.69565217391306</v>
      </c>
      <c r="D19" s="54">
        <v>2.4239999999999999</v>
      </c>
      <c r="E19" s="54">
        <v>293.69565217391306</v>
      </c>
      <c r="F19" s="54">
        <v>1.6159999999999999</v>
      </c>
      <c r="H19">
        <f t="shared" si="0"/>
        <v>2</v>
      </c>
    </row>
    <row r="20" spans="1:8" x14ac:dyDescent="0.35">
      <c r="A20" t="s">
        <v>107</v>
      </c>
      <c r="B20" s="54" t="s">
        <v>542</v>
      </c>
      <c r="C20" s="54">
        <v>4243.9690821256045</v>
      </c>
      <c r="D20" s="54">
        <v>27.576444444444448</v>
      </c>
      <c r="E20" s="54">
        <v>4243.9690821256045</v>
      </c>
      <c r="F20" s="54">
        <v>6.1280987654320995</v>
      </c>
      <c r="H20">
        <f t="shared" si="0"/>
        <v>28</v>
      </c>
    </row>
    <row r="21" spans="1:8" x14ac:dyDescent="0.35">
      <c r="A21" t="s">
        <v>115</v>
      </c>
      <c r="B21" s="54" t="s">
        <v>542</v>
      </c>
      <c r="C21" s="54">
        <v>1290.5510869565217</v>
      </c>
      <c r="D21" s="54">
        <v>8.4759999999999991</v>
      </c>
      <c r="E21" s="54">
        <v>1451.869972826087</v>
      </c>
      <c r="F21" s="54">
        <v>2.1189999999999998</v>
      </c>
      <c r="H21">
        <f t="shared" si="0"/>
        <v>8</v>
      </c>
    </row>
    <row r="22" spans="1:8" x14ac:dyDescent="0.35">
      <c r="A22" t="s">
        <v>117</v>
      </c>
      <c r="B22" s="54" t="s">
        <v>543</v>
      </c>
      <c r="C22" s="54">
        <v>426.49275362318843</v>
      </c>
      <c r="D22" s="54">
        <v>3.7769999999999997</v>
      </c>
      <c r="E22" s="54">
        <v>426.49275362318843</v>
      </c>
      <c r="F22" s="54">
        <v>1.2589999999999999</v>
      </c>
      <c r="H22">
        <f t="shared" si="0"/>
        <v>4</v>
      </c>
    </row>
    <row r="23" spans="1:8" x14ac:dyDescent="0.35">
      <c r="A23" t="s">
        <v>139</v>
      </c>
      <c r="B23" s="54" t="s">
        <v>543</v>
      </c>
      <c r="C23" s="54">
        <v>1946.3891304347824</v>
      </c>
      <c r="D23" s="54">
        <v>6.2315000000000005</v>
      </c>
      <c r="E23" s="54">
        <v>2919.5836956521734</v>
      </c>
      <c r="F23" s="54">
        <v>3.1157500000000002</v>
      </c>
      <c r="H23">
        <f t="shared" si="0"/>
        <v>6</v>
      </c>
    </row>
    <row r="24" spans="1:8" x14ac:dyDescent="0.35">
      <c r="A24" t="s">
        <v>124</v>
      </c>
      <c r="B24" s="54" t="s">
        <v>542</v>
      </c>
      <c r="C24" s="54">
        <v>448.43285024154585</v>
      </c>
      <c r="D24" s="54">
        <v>2.480666666666667</v>
      </c>
      <c r="E24" s="54">
        <v>448.43285024154585</v>
      </c>
      <c r="F24" s="54">
        <v>0.55125925925925934</v>
      </c>
      <c r="H24">
        <f t="shared" si="0"/>
        <v>2</v>
      </c>
    </row>
    <row r="25" spans="1:8" x14ac:dyDescent="0.35">
      <c r="A25" t="s">
        <v>84</v>
      </c>
      <c r="B25" s="54" t="s">
        <v>543</v>
      </c>
      <c r="C25" s="54">
        <v>1023.9078260869567</v>
      </c>
      <c r="D25" s="54">
        <v>2.9498000000000002</v>
      </c>
      <c r="E25" s="54">
        <v>1228.6893913043482</v>
      </c>
      <c r="F25" s="54">
        <v>1.1799200000000001</v>
      </c>
      <c r="H25">
        <f t="shared" si="0"/>
        <v>3</v>
      </c>
    </row>
    <row r="26" spans="1:8" x14ac:dyDescent="0.35">
      <c r="A26" t="s">
        <v>125</v>
      </c>
      <c r="B26" s="54" t="s">
        <v>542</v>
      </c>
      <c r="C26" s="54">
        <v>3361.5739130434786</v>
      </c>
      <c r="D26" s="54">
        <v>27.884666666666664</v>
      </c>
      <c r="E26" s="54">
        <v>3361.5739130434786</v>
      </c>
      <c r="F26" s="54">
        <v>6.1965925925925918</v>
      </c>
      <c r="H26">
        <f t="shared" si="0"/>
        <v>28</v>
      </c>
    </row>
    <row r="27" spans="1:8" x14ac:dyDescent="0.35">
      <c r="A27" t="s">
        <v>83</v>
      </c>
      <c r="B27" s="54" t="s">
        <v>543</v>
      </c>
      <c r="C27" s="54">
        <v>312.51449275362313</v>
      </c>
      <c r="D27" s="54">
        <v>1.8599999999999997</v>
      </c>
      <c r="E27" s="54">
        <v>312.51449275362313</v>
      </c>
      <c r="F27" s="54">
        <v>0.61999999999999988</v>
      </c>
      <c r="H27">
        <f t="shared" si="0"/>
        <v>2</v>
      </c>
    </row>
    <row r="28" spans="1:8" x14ac:dyDescent="0.35">
      <c r="A28" t="s">
        <v>133</v>
      </c>
      <c r="B28" s="54" t="s">
        <v>542</v>
      </c>
      <c r="C28" s="54">
        <v>1019.3468599033816</v>
      </c>
      <c r="D28" s="54">
        <v>8.8552222222222223</v>
      </c>
      <c r="E28" s="54">
        <v>1019.3468599033816</v>
      </c>
      <c r="F28" s="54">
        <v>1.9678271604938271</v>
      </c>
      <c r="H28">
        <f t="shared" si="0"/>
        <v>9</v>
      </c>
    </row>
    <row r="29" spans="1:8" x14ac:dyDescent="0.35">
      <c r="A29" t="s">
        <v>132</v>
      </c>
      <c r="B29" s="54" t="s">
        <v>543</v>
      </c>
      <c r="C29" s="54">
        <v>258.85869565217388</v>
      </c>
      <c r="D29" s="54">
        <v>1.4884999999999999</v>
      </c>
      <c r="E29" s="54">
        <v>388.28804347826082</v>
      </c>
      <c r="F29" s="54">
        <v>0.74424999999999997</v>
      </c>
      <c r="H29">
        <f t="shared" si="0"/>
        <v>1</v>
      </c>
    </row>
    <row r="30" spans="1:8" x14ac:dyDescent="0.35">
      <c r="A30" t="s">
        <v>597</v>
      </c>
      <c r="C30" s="54">
        <v>23833.987467218769</v>
      </c>
      <c r="D30" s="54">
        <v>190.31533571428574</v>
      </c>
      <c r="E30" s="54">
        <v>28309.460342329683</v>
      </c>
      <c r="F30" s="54">
        <v>71.727283709372628</v>
      </c>
      <c r="H30">
        <f t="shared" si="0"/>
        <v>190</v>
      </c>
    </row>
    <row r="31" spans="1:8" x14ac:dyDescent="0.35">
      <c r="A31" t="s">
        <v>584</v>
      </c>
      <c r="H31">
        <f t="shared" si="0"/>
        <v>0</v>
      </c>
    </row>
    <row r="32" spans="1:8" x14ac:dyDescent="0.35">
      <c r="A32" t="s">
        <v>498</v>
      </c>
      <c r="B32" s="54" t="s">
        <v>542</v>
      </c>
      <c r="C32" s="54">
        <v>299.45700483091787</v>
      </c>
      <c r="D32" s="54">
        <v>0.86311111111111105</v>
      </c>
      <c r="E32" s="54">
        <v>299.45700483091787</v>
      </c>
      <c r="F32" s="54">
        <v>0.19180246913580246</v>
      </c>
      <c r="H32">
        <f t="shared" si="0"/>
        <v>1</v>
      </c>
    </row>
    <row r="33" spans="1:8" x14ac:dyDescent="0.35">
      <c r="A33" t="s">
        <v>504</v>
      </c>
      <c r="B33" s="54" t="s">
        <v>542</v>
      </c>
      <c r="C33" s="54">
        <v>772.75748792270542</v>
      </c>
      <c r="D33" s="54">
        <v>1.8151111111111109</v>
      </c>
      <c r="E33" s="54">
        <v>772.75748792270542</v>
      </c>
      <c r="F33" s="54">
        <v>0.40335802469135795</v>
      </c>
      <c r="H33">
        <f t="shared" si="0"/>
        <v>2</v>
      </c>
    </row>
    <row r="34" spans="1:8" x14ac:dyDescent="0.35">
      <c r="A34" t="s">
        <v>521</v>
      </c>
      <c r="B34" s="54" t="s">
        <v>542</v>
      </c>
      <c r="C34" s="54">
        <v>191.07246376811594</v>
      </c>
      <c r="D34" s="54">
        <v>0.54933333333333345</v>
      </c>
      <c r="E34" s="54">
        <v>191.07246376811594</v>
      </c>
      <c r="F34" s="54">
        <v>0.1220740740740741</v>
      </c>
      <c r="H34">
        <f t="shared" si="0"/>
        <v>1</v>
      </c>
    </row>
    <row r="35" spans="1:8" x14ac:dyDescent="0.35">
      <c r="A35" t="s">
        <v>508</v>
      </c>
      <c r="B35" s="54" t="s">
        <v>542</v>
      </c>
      <c r="C35" s="54">
        <v>2128.7787439613526</v>
      </c>
      <c r="D35" s="54">
        <v>6.1355555555555554</v>
      </c>
      <c r="E35" s="54">
        <v>2128.7787439613526</v>
      </c>
      <c r="F35" s="54">
        <v>1.3634567901234567</v>
      </c>
      <c r="H35">
        <f t="shared" si="0"/>
        <v>6</v>
      </c>
    </row>
    <row r="36" spans="1:8" x14ac:dyDescent="0.35">
      <c r="A36" t="s">
        <v>500</v>
      </c>
      <c r="B36" s="54" t="s">
        <v>542</v>
      </c>
      <c r="C36" s="54">
        <v>814.22125603864743</v>
      </c>
      <c r="D36" s="54">
        <v>2.3408888888888888</v>
      </c>
      <c r="E36" s="54">
        <v>814.22125603864743</v>
      </c>
      <c r="F36" s="54">
        <v>0.52019753086419751</v>
      </c>
      <c r="H36">
        <f t="shared" si="0"/>
        <v>2</v>
      </c>
    </row>
    <row r="37" spans="1:8" x14ac:dyDescent="0.35">
      <c r="A37" t="s">
        <v>512</v>
      </c>
      <c r="B37" s="54" t="s">
        <v>542</v>
      </c>
      <c r="C37" s="54">
        <v>279.2086956521739</v>
      </c>
      <c r="D37" s="54">
        <v>2.1111111111111112</v>
      </c>
      <c r="E37" s="54">
        <v>279.2086956521739</v>
      </c>
      <c r="F37" s="54">
        <v>0.46913580246913583</v>
      </c>
      <c r="H37">
        <f t="shared" si="0"/>
        <v>2</v>
      </c>
    </row>
    <row r="38" spans="1:8" x14ac:dyDescent="0.35">
      <c r="A38" t="s">
        <v>513</v>
      </c>
      <c r="B38" s="54" t="s">
        <v>542</v>
      </c>
      <c r="C38" s="54">
        <v>382.60289855072466</v>
      </c>
      <c r="D38" s="54">
        <v>2.8888888888888888</v>
      </c>
      <c r="E38" s="54">
        <v>382.60289855072466</v>
      </c>
      <c r="F38" s="54">
        <v>0.64197530864197527</v>
      </c>
      <c r="H38">
        <f t="shared" si="0"/>
        <v>3</v>
      </c>
    </row>
    <row r="39" spans="1:8" x14ac:dyDescent="0.35">
      <c r="A39" t="s">
        <v>514</v>
      </c>
      <c r="B39" s="54" t="s">
        <v>542</v>
      </c>
      <c r="C39" s="54">
        <v>741.01932367149755</v>
      </c>
      <c r="D39" s="54">
        <v>2.1357777777777773</v>
      </c>
      <c r="E39" s="54">
        <v>741.01932367149755</v>
      </c>
      <c r="F39" s="54">
        <v>0.4746172839506172</v>
      </c>
      <c r="H39">
        <f t="shared" si="0"/>
        <v>2</v>
      </c>
    </row>
    <row r="40" spans="1:8" x14ac:dyDescent="0.35">
      <c r="A40" t="s">
        <v>520</v>
      </c>
      <c r="B40" s="54" t="s">
        <v>542</v>
      </c>
      <c r="C40" s="54">
        <v>298.07246376811599</v>
      </c>
      <c r="D40" s="54">
        <v>0.85911111111111116</v>
      </c>
      <c r="E40" s="54">
        <v>298.07246376811599</v>
      </c>
      <c r="F40" s="54">
        <v>0.1909135802469136</v>
      </c>
      <c r="H40">
        <f t="shared" si="0"/>
        <v>1</v>
      </c>
    </row>
    <row r="41" spans="1:8" x14ac:dyDescent="0.35">
      <c r="A41" t="s">
        <v>515</v>
      </c>
      <c r="B41" s="54" t="s">
        <v>542</v>
      </c>
      <c r="C41" s="54">
        <v>1486.4608695652173</v>
      </c>
      <c r="D41" s="54">
        <v>57</v>
      </c>
      <c r="E41" s="54">
        <v>1486.4608695652173</v>
      </c>
      <c r="F41" s="54">
        <v>12.666666666666666</v>
      </c>
      <c r="H41">
        <f t="shared" si="0"/>
        <v>57</v>
      </c>
    </row>
    <row r="42" spans="1:8" x14ac:dyDescent="0.35">
      <c r="A42" t="s">
        <v>509</v>
      </c>
      <c r="B42" s="54" t="s">
        <v>542</v>
      </c>
      <c r="C42" s="54">
        <v>299.82608695652175</v>
      </c>
      <c r="D42" s="54">
        <v>0.86199999999999999</v>
      </c>
      <c r="E42" s="54">
        <v>299.82608695652175</v>
      </c>
      <c r="F42" s="54">
        <v>0.19155555555555556</v>
      </c>
      <c r="H42">
        <f t="shared" si="0"/>
        <v>1</v>
      </c>
    </row>
    <row r="43" spans="1:8" x14ac:dyDescent="0.35">
      <c r="A43" t="s">
        <v>598</v>
      </c>
      <c r="C43" s="54">
        <v>7693.4772946859903</v>
      </c>
      <c r="D43" s="54">
        <v>77.560888888888883</v>
      </c>
      <c r="E43" s="54">
        <v>7693.4772946859903</v>
      </c>
      <c r="F43" s="54">
        <v>17.235753086419752</v>
      </c>
      <c r="H43">
        <f t="shared" si="0"/>
        <v>78</v>
      </c>
    </row>
    <row r="44" spans="1:8" x14ac:dyDescent="0.35">
      <c r="A44" t="s">
        <v>573</v>
      </c>
      <c r="H44">
        <f t="shared" si="0"/>
        <v>0</v>
      </c>
    </row>
    <row r="45" spans="1:8" x14ac:dyDescent="0.35">
      <c r="A45" t="s">
        <v>360</v>
      </c>
      <c r="B45" s="54" t="s">
        <v>541</v>
      </c>
      <c r="C45" s="54">
        <v>62.817391304347822</v>
      </c>
      <c r="D45" s="54">
        <v>0.14399999999999999</v>
      </c>
      <c r="E45" s="54">
        <v>188.45217391304345</v>
      </c>
      <c r="F45" s="54">
        <v>0.28799999999999998</v>
      </c>
      <c r="H45">
        <f t="shared" si="0"/>
        <v>0</v>
      </c>
    </row>
    <row r="46" spans="1:8" x14ac:dyDescent="0.35">
      <c r="A46" t="s">
        <v>599</v>
      </c>
      <c r="C46" s="54">
        <v>62.817391304347822</v>
      </c>
      <c r="D46" s="54">
        <v>0.14399999999999999</v>
      </c>
      <c r="E46" s="54">
        <v>188.45217391304345</v>
      </c>
      <c r="F46" s="54">
        <v>0.28799999999999998</v>
      </c>
      <c r="H46">
        <f t="shared" si="0"/>
        <v>0</v>
      </c>
    </row>
    <row r="47" spans="1:8" x14ac:dyDescent="0.35">
      <c r="A47" t="s">
        <v>576</v>
      </c>
      <c r="H47">
        <f t="shared" si="0"/>
        <v>0</v>
      </c>
    </row>
    <row r="48" spans="1:8" x14ac:dyDescent="0.35">
      <c r="A48" t="s">
        <v>412</v>
      </c>
      <c r="B48" s="54" t="s">
        <v>542</v>
      </c>
      <c r="C48" s="54">
        <v>733.79903381642498</v>
      </c>
      <c r="D48" s="54">
        <v>7.2753333333333323</v>
      </c>
      <c r="E48" s="54">
        <v>733.79903381642498</v>
      </c>
      <c r="F48" s="54">
        <v>1.6167407407407406</v>
      </c>
      <c r="H48">
        <f t="shared" si="0"/>
        <v>7</v>
      </c>
    </row>
    <row r="49" spans="1:8" x14ac:dyDescent="0.35">
      <c r="A49" t="s">
        <v>394</v>
      </c>
      <c r="B49" s="54" t="s">
        <v>542</v>
      </c>
      <c r="C49" s="54">
        <v>1161.3323671497585</v>
      </c>
      <c r="D49" s="54">
        <v>10.273333333333333</v>
      </c>
      <c r="E49" s="54">
        <v>1161.3323671497585</v>
      </c>
      <c r="F49" s="54">
        <v>2.2829629629629631</v>
      </c>
      <c r="H49">
        <f t="shared" si="0"/>
        <v>10</v>
      </c>
    </row>
    <row r="50" spans="1:8" x14ac:dyDescent="0.35">
      <c r="A50" t="s">
        <v>381</v>
      </c>
      <c r="B50" s="54" t="s">
        <v>542</v>
      </c>
      <c r="C50" s="54">
        <v>3677.2193236714975</v>
      </c>
      <c r="D50" s="54">
        <v>40.146444444444441</v>
      </c>
      <c r="E50" s="54">
        <v>3677.2193236714975</v>
      </c>
      <c r="F50" s="54">
        <v>8.9214320987654308</v>
      </c>
      <c r="H50">
        <f t="shared" si="0"/>
        <v>40</v>
      </c>
    </row>
    <row r="51" spans="1:8" x14ac:dyDescent="0.35">
      <c r="A51" t="s">
        <v>446</v>
      </c>
      <c r="B51" s="54" t="s">
        <v>542</v>
      </c>
      <c r="C51" s="54">
        <v>2005.7990338164248</v>
      </c>
      <c r="D51" s="54">
        <v>19.224666666666664</v>
      </c>
      <c r="E51" s="54">
        <v>2005.7990338164248</v>
      </c>
      <c r="F51" s="54">
        <v>4.2721481481481476</v>
      </c>
      <c r="H51">
        <f t="shared" si="0"/>
        <v>19</v>
      </c>
    </row>
    <row r="52" spans="1:8" x14ac:dyDescent="0.35">
      <c r="A52" t="s">
        <v>445</v>
      </c>
      <c r="B52" s="54" t="s">
        <v>542</v>
      </c>
      <c r="C52" s="54">
        <v>1789.1497584541066</v>
      </c>
      <c r="D52" s="54">
        <v>15.827111111111114</v>
      </c>
      <c r="E52" s="54">
        <v>1789.1497584541066</v>
      </c>
      <c r="F52" s="54">
        <v>3.5171358024691362</v>
      </c>
      <c r="H52">
        <f t="shared" si="0"/>
        <v>16</v>
      </c>
    </row>
    <row r="53" spans="1:8" x14ac:dyDescent="0.35">
      <c r="A53" t="s">
        <v>395</v>
      </c>
      <c r="B53" s="54" t="s">
        <v>541</v>
      </c>
      <c r="C53" s="54">
        <v>391.26086956521743</v>
      </c>
      <c r="D53" s="54">
        <v>5</v>
      </c>
      <c r="E53" s="54">
        <v>391.26086956521738</v>
      </c>
      <c r="F53" s="54">
        <v>3.3333333333333335</v>
      </c>
      <c r="H53">
        <f t="shared" si="0"/>
        <v>5</v>
      </c>
    </row>
    <row r="54" spans="1:8" x14ac:dyDescent="0.35">
      <c r="B54" s="54" t="s">
        <v>542</v>
      </c>
      <c r="C54" s="54">
        <v>367.07632850241544</v>
      </c>
      <c r="D54" s="54">
        <v>8.4444444444444446</v>
      </c>
      <c r="E54" s="54">
        <v>367.07632850241544</v>
      </c>
      <c r="F54" s="54">
        <v>1.8765432098765433</v>
      </c>
      <c r="H54">
        <f t="shared" si="0"/>
        <v>8</v>
      </c>
    </row>
    <row r="55" spans="1:8" x14ac:dyDescent="0.35">
      <c r="A55" t="s">
        <v>418</v>
      </c>
      <c r="B55" s="54" t="s">
        <v>543</v>
      </c>
      <c r="C55" s="54">
        <v>804.10434782608695</v>
      </c>
      <c r="D55" s="54">
        <v>8.4077142857142864</v>
      </c>
      <c r="E55" s="54">
        <v>689.23229813664602</v>
      </c>
      <c r="F55" s="54">
        <v>2.4022040816326533</v>
      </c>
      <c r="H55">
        <f t="shared" si="0"/>
        <v>8</v>
      </c>
    </row>
    <row r="56" spans="1:8" x14ac:dyDescent="0.35">
      <c r="A56" t="s">
        <v>385</v>
      </c>
      <c r="B56" s="54" t="s">
        <v>542</v>
      </c>
      <c r="C56" s="54">
        <v>1517.1402173913043</v>
      </c>
      <c r="D56" s="54">
        <v>14.541</v>
      </c>
      <c r="E56" s="54">
        <v>1706.7827445652174</v>
      </c>
      <c r="F56" s="54">
        <v>3.6352500000000001</v>
      </c>
      <c r="H56">
        <f t="shared" si="0"/>
        <v>15</v>
      </c>
    </row>
    <row r="57" spans="1:8" x14ac:dyDescent="0.35">
      <c r="A57" t="s">
        <v>387</v>
      </c>
      <c r="B57" s="54" t="s">
        <v>542</v>
      </c>
      <c r="C57" s="54">
        <v>1971.0164251207727</v>
      </c>
      <c r="D57" s="54">
        <v>18.891333333333332</v>
      </c>
      <c r="E57" s="54">
        <v>1971.0164251207727</v>
      </c>
      <c r="F57" s="54">
        <v>4.1980740740740741</v>
      </c>
      <c r="H57">
        <f t="shared" si="0"/>
        <v>19</v>
      </c>
    </row>
    <row r="58" spans="1:8" x14ac:dyDescent="0.35">
      <c r="A58" t="s">
        <v>423</v>
      </c>
      <c r="B58" s="54" t="s">
        <v>542</v>
      </c>
      <c r="C58" s="54">
        <v>1589.9880434782608</v>
      </c>
      <c r="D58" s="54">
        <v>20.31925</v>
      </c>
      <c r="E58" s="54">
        <v>1788.7365489130434</v>
      </c>
      <c r="F58" s="54">
        <v>5.0798125000000001</v>
      </c>
      <c r="H58">
        <f t="shared" si="0"/>
        <v>20</v>
      </c>
    </row>
    <row r="59" spans="1:8" x14ac:dyDescent="0.35">
      <c r="A59" t="s">
        <v>386</v>
      </c>
      <c r="B59" s="54" t="s">
        <v>542</v>
      </c>
      <c r="C59" s="54">
        <v>6185.7207729468601</v>
      </c>
      <c r="D59" s="54">
        <v>71.213777777777779</v>
      </c>
      <c r="E59" s="54">
        <v>6185.7207729468601</v>
      </c>
      <c r="F59" s="54">
        <v>15.825283950617283</v>
      </c>
      <c r="H59">
        <f t="shared" si="0"/>
        <v>71</v>
      </c>
    </row>
    <row r="60" spans="1:8" x14ac:dyDescent="0.35">
      <c r="A60" t="s">
        <v>384</v>
      </c>
      <c r="B60" s="54" t="s">
        <v>543</v>
      </c>
      <c r="C60" s="54">
        <v>1557.0248447204965</v>
      </c>
      <c r="D60" s="54">
        <v>14.922999999999998</v>
      </c>
      <c r="E60" s="54">
        <v>1334.5927240461399</v>
      </c>
      <c r="F60" s="54">
        <v>4.2637142857142853</v>
      </c>
      <c r="H60">
        <f t="shared" si="0"/>
        <v>15</v>
      </c>
    </row>
    <row r="61" spans="1:8" x14ac:dyDescent="0.35">
      <c r="A61" t="s">
        <v>383</v>
      </c>
      <c r="B61" s="54" t="s">
        <v>541</v>
      </c>
      <c r="C61" s="54">
        <v>1369.6260869565215</v>
      </c>
      <c r="D61" s="54">
        <v>13.127000000000001</v>
      </c>
      <c r="E61" s="54">
        <v>1369.6260869565215</v>
      </c>
      <c r="F61" s="54">
        <v>8.7513333333333332</v>
      </c>
      <c r="H61">
        <f t="shared" si="0"/>
        <v>13</v>
      </c>
    </row>
    <row r="62" spans="1:8" x14ac:dyDescent="0.35">
      <c r="A62" t="s">
        <v>422</v>
      </c>
      <c r="B62" s="54" t="s">
        <v>543</v>
      </c>
      <c r="C62" s="54">
        <v>1801.2623188405796</v>
      </c>
      <c r="D62" s="54">
        <v>18.687000000000001</v>
      </c>
      <c r="E62" s="54">
        <v>1801.2623188405796</v>
      </c>
      <c r="F62" s="54">
        <v>6.2290000000000001</v>
      </c>
      <c r="H62">
        <f t="shared" si="0"/>
        <v>19</v>
      </c>
    </row>
    <row r="63" spans="1:8" x14ac:dyDescent="0.35">
      <c r="A63" t="s">
        <v>420</v>
      </c>
      <c r="B63" s="54" t="s">
        <v>543</v>
      </c>
      <c r="C63" s="54">
        <v>532.73217391304354</v>
      </c>
      <c r="D63" s="54">
        <v>12.255999999999998</v>
      </c>
      <c r="E63" s="54">
        <v>639.27860869565234</v>
      </c>
      <c r="F63" s="54">
        <v>4.9023999999999992</v>
      </c>
      <c r="H63">
        <f t="shared" si="0"/>
        <v>12</v>
      </c>
    </row>
    <row r="64" spans="1:8" x14ac:dyDescent="0.35">
      <c r="A64" t="s">
        <v>408</v>
      </c>
      <c r="B64" s="54" t="s">
        <v>542</v>
      </c>
      <c r="C64" s="54">
        <v>1276.0184782608696</v>
      </c>
      <c r="D64" s="54">
        <v>16.150874999999999</v>
      </c>
      <c r="E64" s="54">
        <v>1435.5207880434784</v>
      </c>
      <c r="F64" s="54">
        <v>4.0377187499999998</v>
      </c>
      <c r="H64">
        <f t="shared" si="0"/>
        <v>16</v>
      </c>
    </row>
    <row r="65" spans="1:8" x14ac:dyDescent="0.35">
      <c r="A65" t="s">
        <v>396</v>
      </c>
      <c r="B65" s="54" t="s">
        <v>543</v>
      </c>
      <c r="C65" s="54">
        <v>1610.8434782608692</v>
      </c>
      <c r="D65" s="54">
        <v>17.084833333333332</v>
      </c>
      <c r="E65" s="54">
        <v>1610.8434782608692</v>
      </c>
      <c r="F65" s="54">
        <v>5.6949444444444444</v>
      </c>
      <c r="H65">
        <f t="shared" si="0"/>
        <v>17</v>
      </c>
    </row>
    <row r="66" spans="1:8" x14ac:dyDescent="0.35">
      <c r="A66" t="s">
        <v>314</v>
      </c>
      <c r="B66" s="54" t="s">
        <v>542</v>
      </c>
      <c r="C66" s="54">
        <v>2432.6357487922705</v>
      </c>
      <c r="D66" s="54">
        <v>21.520444444444443</v>
      </c>
      <c r="E66" s="54">
        <v>2432.6357487922705</v>
      </c>
      <c r="F66" s="54">
        <v>4.7823209876543205</v>
      </c>
      <c r="H66">
        <f t="shared" si="0"/>
        <v>22</v>
      </c>
    </row>
    <row r="67" spans="1:8" x14ac:dyDescent="0.35">
      <c r="A67" t="s">
        <v>391</v>
      </c>
      <c r="B67" s="54" t="s">
        <v>542</v>
      </c>
      <c r="C67" s="54">
        <v>1352.9782608695652</v>
      </c>
      <c r="D67" s="54">
        <v>15.559875</v>
      </c>
      <c r="E67" s="54">
        <v>1522.100543478261</v>
      </c>
      <c r="F67" s="54">
        <v>3.88996875</v>
      </c>
      <c r="H67">
        <f t="shared" si="0"/>
        <v>16</v>
      </c>
    </row>
    <row r="68" spans="1:8" x14ac:dyDescent="0.35">
      <c r="A68" t="s">
        <v>379</v>
      </c>
      <c r="B68" s="54" t="s">
        <v>542</v>
      </c>
      <c r="C68" s="54">
        <v>1220.021739130435</v>
      </c>
      <c r="D68" s="54">
        <v>10.7925</v>
      </c>
      <c r="E68" s="54">
        <v>1372.5244565217395</v>
      </c>
      <c r="F68" s="54">
        <v>2.6981250000000001</v>
      </c>
      <c r="H68">
        <f t="shared" si="0"/>
        <v>11</v>
      </c>
    </row>
    <row r="69" spans="1:8" x14ac:dyDescent="0.35">
      <c r="A69" t="s">
        <v>380</v>
      </c>
      <c r="B69" s="54" t="s">
        <v>541</v>
      </c>
      <c r="C69" s="54">
        <v>1341.0724637681162</v>
      </c>
      <c r="D69" s="54">
        <v>12.129666666666667</v>
      </c>
      <c r="E69" s="54">
        <v>1341.0724637681162</v>
      </c>
      <c r="F69" s="54">
        <v>8.0864444444444441</v>
      </c>
      <c r="H69">
        <f t="shared" si="0"/>
        <v>12</v>
      </c>
    </row>
    <row r="70" spans="1:8" x14ac:dyDescent="0.35">
      <c r="A70" t="s">
        <v>461</v>
      </c>
      <c r="B70" s="54" t="s">
        <v>541</v>
      </c>
      <c r="C70" s="54">
        <v>937.51594202898559</v>
      </c>
      <c r="D70" s="54">
        <v>7.7020000000000008</v>
      </c>
      <c r="E70" s="54">
        <v>937.51594202898559</v>
      </c>
      <c r="F70" s="54">
        <v>5.1346666666666669</v>
      </c>
      <c r="H70">
        <f t="shared" si="0"/>
        <v>8</v>
      </c>
    </row>
    <row r="71" spans="1:8" x14ac:dyDescent="0.35">
      <c r="A71" t="s">
        <v>454</v>
      </c>
      <c r="B71" s="54" t="s">
        <v>543</v>
      </c>
      <c r="C71" s="54">
        <v>347.78260869565213</v>
      </c>
      <c r="D71" s="54">
        <v>5</v>
      </c>
      <c r="E71" s="54">
        <v>298.09937888198755</v>
      </c>
      <c r="F71" s="54">
        <v>1.4285714285714286</v>
      </c>
      <c r="H71">
        <f t="shared" ref="H71:H134" si="1">IF($H$3="Average",ROUND(D71,0),IF($H$3="Stretch",ROUND(F71,0),0))</f>
        <v>5</v>
      </c>
    </row>
    <row r="72" spans="1:8" x14ac:dyDescent="0.35">
      <c r="A72" t="s">
        <v>378</v>
      </c>
      <c r="B72" s="54" t="s">
        <v>543</v>
      </c>
      <c r="C72" s="54">
        <v>2785.8884057971013</v>
      </c>
      <c r="D72" s="54">
        <v>28.763500000000004</v>
      </c>
      <c r="E72" s="54">
        <v>2785.8884057971013</v>
      </c>
      <c r="F72" s="54">
        <v>9.5878333333333341</v>
      </c>
      <c r="H72">
        <f t="shared" si="1"/>
        <v>29</v>
      </c>
    </row>
    <row r="73" spans="1:8" x14ac:dyDescent="0.35">
      <c r="A73" t="s">
        <v>416</v>
      </c>
      <c r="B73" s="54" t="s">
        <v>543</v>
      </c>
      <c r="C73" s="54">
        <v>1135.6072463768116</v>
      </c>
      <c r="D73" s="54">
        <v>10.046666666666667</v>
      </c>
      <c r="E73" s="54">
        <v>1135.6072463768116</v>
      </c>
      <c r="F73" s="54">
        <v>3.3488888888888888</v>
      </c>
      <c r="H73">
        <f t="shared" si="1"/>
        <v>10</v>
      </c>
    </row>
    <row r="74" spans="1:8" x14ac:dyDescent="0.35">
      <c r="A74" t="s">
        <v>419</v>
      </c>
      <c r="B74" s="54" t="s">
        <v>543</v>
      </c>
      <c r="C74" s="54">
        <v>290.94782608695652</v>
      </c>
      <c r="D74" s="54">
        <v>5.9757999999999996</v>
      </c>
      <c r="E74" s="54">
        <v>349.13739130434783</v>
      </c>
      <c r="F74" s="54">
        <v>2.39032</v>
      </c>
      <c r="H74">
        <f t="shared" si="1"/>
        <v>6</v>
      </c>
    </row>
    <row r="75" spans="1:8" x14ac:dyDescent="0.35">
      <c r="A75" t="s">
        <v>375</v>
      </c>
      <c r="B75" s="54" t="s">
        <v>542</v>
      </c>
      <c r="C75" s="54">
        <v>1371.1706521739129</v>
      </c>
      <c r="D75" s="54">
        <v>15.769124999999999</v>
      </c>
      <c r="E75" s="54">
        <v>1542.566983695652</v>
      </c>
      <c r="F75" s="54">
        <v>3.9422812499999997</v>
      </c>
      <c r="H75">
        <f t="shared" si="1"/>
        <v>16</v>
      </c>
    </row>
    <row r="76" spans="1:8" x14ac:dyDescent="0.35">
      <c r="A76" t="s">
        <v>463</v>
      </c>
      <c r="B76" s="54" t="s">
        <v>541</v>
      </c>
      <c r="C76" s="54">
        <v>1378.8217391304347</v>
      </c>
      <c r="D76" s="54">
        <v>14.416999999999998</v>
      </c>
      <c r="E76" s="54">
        <v>2068.2326086956518</v>
      </c>
      <c r="F76" s="54">
        <v>14.416999999999998</v>
      </c>
      <c r="H76">
        <f t="shared" si="1"/>
        <v>14</v>
      </c>
    </row>
    <row r="77" spans="1:8" x14ac:dyDescent="0.35">
      <c r="A77" t="s">
        <v>462</v>
      </c>
      <c r="B77" s="54" t="s">
        <v>541</v>
      </c>
      <c r="C77" s="54">
        <v>1261.6521739130435</v>
      </c>
      <c r="D77" s="54">
        <v>13.1905</v>
      </c>
      <c r="E77" s="54">
        <v>1892.4782608695652</v>
      </c>
      <c r="F77" s="54">
        <v>13.1905</v>
      </c>
      <c r="H77">
        <f t="shared" si="1"/>
        <v>13</v>
      </c>
    </row>
    <row r="78" spans="1:8" x14ac:dyDescent="0.35">
      <c r="A78" t="s">
        <v>600</v>
      </c>
      <c r="C78" s="54">
        <v>46197.208709454804</v>
      </c>
      <c r="D78" s="54">
        <v>492.66019484126974</v>
      </c>
      <c r="E78" s="54">
        <v>48336.108939712132</v>
      </c>
      <c r="F78" s="54">
        <v>163.73695246567144</v>
      </c>
      <c r="H78">
        <f t="shared" si="1"/>
        <v>493</v>
      </c>
    </row>
    <row r="79" spans="1:8" x14ac:dyDescent="0.35">
      <c r="A79" t="s">
        <v>561</v>
      </c>
      <c r="H79">
        <f t="shared" si="1"/>
        <v>0</v>
      </c>
    </row>
    <row r="80" spans="1:8" x14ac:dyDescent="0.35">
      <c r="A80" t="s">
        <v>32</v>
      </c>
      <c r="B80" s="54" t="s">
        <v>541</v>
      </c>
      <c r="C80" s="54">
        <v>590.70000000000005</v>
      </c>
      <c r="D80" s="54">
        <v>33</v>
      </c>
      <c r="E80" s="54">
        <v>1772.1000000000001</v>
      </c>
      <c r="F80" s="54">
        <v>66</v>
      </c>
      <c r="H80">
        <f t="shared" si="1"/>
        <v>33</v>
      </c>
    </row>
    <row r="81" spans="1:8" x14ac:dyDescent="0.35">
      <c r="A81" t="s">
        <v>34</v>
      </c>
      <c r="B81" s="54" t="s">
        <v>541</v>
      </c>
      <c r="C81" s="54">
        <v>100.83478260869565</v>
      </c>
      <c r="D81" s="54">
        <v>4</v>
      </c>
      <c r="E81" s="54">
        <v>151.25217391304346</v>
      </c>
      <c r="F81" s="54">
        <v>4</v>
      </c>
      <c r="H81">
        <f t="shared" si="1"/>
        <v>4</v>
      </c>
    </row>
    <row r="82" spans="1:8" x14ac:dyDescent="0.35">
      <c r="A82" t="s">
        <v>601</v>
      </c>
      <c r="C82" s="54">
        <v>691.53478260869565</v>
      </c>
      <c r="D82" s="54">
        <v>37</v>
      </c>
      <c r="E82" s="54">
        <v>1923.3521739130435</v>
      </c>
      <c r="F82" s="54">
        <v>70</v>
      </c>
      <c r="H82">
        <f t="shared" si="1"/>
        <v>37</v>
      </c>
    </row>
    <row r="83" spans="1:8" x14ac:dyDescent="0.35">
      <c r="A83" t="s">
        <v>574</v>
      </c>
      <c r="H83">
        <f t="shared" si="1"/>
        <v>0</v>
      </c>
    </row>
    <row r="84" spans="1:8" x14ac:dyDescent="0.35">
      <c r="A84" t="s">
        <v>364</v>
      </c>
      <c r="B84" s="54" t="s">
        <v>542</v>
      </c>
      <c r="C84" s="54">
        <v>396.09565217391309</v>
      </c>
      <c r="D84" s="54">
        <v>4.5555555555555554</v>
      </c>
      <c r="E84" s="54">
        <v>396.09565217391309</v>
      </c>
      <c r="F84" s="54">
        <v>1.0123456790123457</v>
      </c>
      <c r="H84">
        <f t="shared" si="1"/>
        <v>5</v>
      </c>
    </row>
    <row r="85" spans="1:8" x14ac:dyDescent="0.35">
      <c r="A85" t="s">
        <v>602</v>
      </c>
      <c r="C85" s="54">
        <v>396.09565217391309</v>
      </c>
      <c r="D85" s="54">
        <v>4.5555555555555554</v>
      </c>
      <c r="E85" s="54">
        <v>396.09565217391309</v>
      </c>
      <c r="F85" s="54">
        <v>1.0123456790123457</v>
      </c>
      <c r="H85">
        <f t="shared" si="1"/>
        <v>5</v>
      </c>
    </row>
    <row r="86" spans="1:8" x14ac:dyDescent="0.35">
      <c r="A86" t="s">
        <v>575</v>
      </c>
      <c r="H86">
        <f t="shared" si="1"/>
        <v>0</v>
      </c>
    </row>
    <row r="87" spans="1:8" x14ac:dyDescent="0.35">
      <c r="A87" t="s">
        <v>368</v>
      </c>
      <c r="B87" s="54" t="s">
        <v>542</v>
      </c>
      <c r="C87" s="54">
        <v>1001.0666666666665</v>
      </c>
      <c r="D87" s="54">
        <v>12.792888888888889</v>
      </c>
      <c r="E87" s="54">
        <v>1001.0666666666665</v>
      </c>
      <c r="F87" s="54">
        <v>2.8428641975308642</v>
      </c>
      <c r="H87">
        <f t="shared" si="1"/>
        <v>13</v>
      </c>
    </row>
    <row r="88" spans="1:8" x14ac:dyDescent="0.35">
      <c r="A88" t="s">
        <v>603</v>
      </c>
      <c r="C88" s="54">
        <v>1001.0666666666665</v>
      </c>
      <c r="D88" s="54">
        <v>12.792888888888889</v>
      </c>
      <c r="E88" s="54">
        <v>1001.0666666666665</v>
      </c>
      <c r="F88" s="54">
        <v>2.8428641975308642</v>
      </c>
      <c r="H88">
        <f t="shared" si="1"/>
        <v>13</v>
      </c>
    </row>
    <row r="89" spans="1:8" x14ac:dyDescent="0.35">
      <c r="A89" t="s">
        <v>578</v>
      </c>
      <c r="H89">
        <f t="shared" si="1"/>
        <v>0</v>
      </c>
    </row>
    <row r="90" spans="1:8" x14ac:dyDescent="0.35">
      <c r="A90" t="s">
        <v>465</v>
      </c>
      <c r="B90" s="54" t="s">
        <v>542</v>
      </c>
      <c r="C90" s="54">
        <v>263.68019323671501</v>
      </c>
      <c r="D90" s="54">
        <v>10.111111111111111</v>
      </c>
      <c r="E90" s="54">
        <v>263.68019323671501</v>
      </c>
      <c r="F90" s="54">
        <v>2.2469135802469133</v>
      </c>
      <c r="H90">
        <f t="shared" si="1"/>
        <v>10</v>
      </c>
    </row>
    <row r="91" spans="1:8" x14ac:dyDescent="0.35">
      <c r="A91" t="s">
        <v>347</v>
      </c>
      <c r="B91" s="54" t="s">
        <v>541</v>
      </c>
      <c r="C91" s="54">
        <v>40</v>
      </c>
      <c r="D91" s="54">
        <v>0.23</v>
      </c>
      <c r="E91" s="54">
        <v>120</v>
      </c>
      <c r="F91" s="54">
        <v>0.46</v>
      </c>
      <c r="H91">
        <f t="shared" si="1"/>
        <v>0</v>
      </c>
    </row>
    <row r="92" spans="1:8" x14ac:dyDescent="0.35">
      <c r="A92" t="s">
        <v>472</v>
      </c>
      <c r="B92" s="54" t="s">
        <v>542</v>
      </c>
      <c r="C92" s="54">
        <v>138.16425120772948</v>
      </c>
      <c r="D92" s="54">
        <v>12.222222222222221</v>
      </c>
      <c r="E92" s="54">
        <v>138.16425120772948</v>
      </c>
      <c r="F92" s="54">
        <v>2.716049382716049</v>
      </c>
      <c r="H92">
        <f t="shared" si="1"/>
        <v>12</v>
      </c>
    </row>
    <row r="93" spans="1:8" x14ac:dyDescent="0.35">
      <c r="A93" t="s">
        <v>486</v>
      </c>
      <c r="B93" s="54" t="s">
        <v>541</v>
      </c>
      <c r="C93" s="54">
        <v>106.22608695652174</v>
      </c>
      <c r="D93" s="54">
        <v>1.018</v>
      </c>
      <c r="E93" s="54">
        <v>318.67826086956524</v>
      </c>
      <c r="F93" s="54">
        <v>2.036</v>
      </c>
      <c r="H93">
        <f t="shared" si="1"/>
        <v>1</v>
      </c>
    </row>
    <row r="94" spans="1:8" x14ac:dyDescent="0.35">
      <c r="A94" t="s">
        <v>466</v>
      </c>
      <c r="B94" s="54" t="s">
        <v>543</v>
      </c>
      <c r="C94" s="54">
        <v>77.368115942028993</v>
      </c>
      <c r="D94" s="54">
        <v>2.6666666666666665</v>
      </c>
      <c r="E94" s="54">
        <v>77.368115942028993</v>
      </c>
      <c r="F94" s="54">
        <v>0.88888888888888884</v>
      </c>
      <c r="H94">
        <f t="shared" si="1"/>
        <v>3</v>
      </c>
    </row>
    <row r="95" spans="1:8" x14ac:dyDescent="0.35">
      <c r="A95" t="s">
        <v>475</v>
      </c>
      <c r="B95" s="54" t="s">
        <v>542</v>
      </c>
      <c r="C95" s="54">
        <v>431.45217391304345</v>
      </c>
      <c r="D95" s="54">
        <v>49.666666666666664</v>
      </c>
      <c r="E95" s="54">
        <v>431.45217391304345</v>
      </c>
      <c r="F95" s="54">
        <v>11.037037037037036</v>
      </c>
      <c r="H95">
        <f t="shared" si="1"/>
        <v>50</v>
      </c>
    </row>
    <row r="96" spans="1:8" x14ac:dyDescent="0.35">
      <c r="A96" t="s">
        <v>476</v>
      </c>
      <c r="B96" s="54" t="s">
        <v>542</v>
      </c>
      <c r="C96" s="54">
        <v>223.9304347826087</v>
      </c>
      <c r="D96" s="54">
        <v>25.777777777777779</v>
      </c>
      <c r="E96" s="54">
        <v>223.9304347826087</v>
      </c>
      <c r="F96" s="54">
        <v>5.7283950617283956</v>
      </c>
      <c r="H96">
        <f t="shared" si="1"/>
        <v>26</v>
      </c>
    </row>
    <row r="97" spans="1:8" x14ac:dyDescent="0.35">
      <c r="A97" t="s">
        <v>604</v>
      </c>
      <c r="C97" s="54">
        <v>1280.8212560386473</v>
      </c>
      <c r="D97" s="54">
        <v>101.69244444444445</v>
      </c>
      <c r="E97" s="54">
        <v>1573.273429951691</v>
      </c>
      <c r="F97" s="54">
        <v>25.113283950617284</v>
      </c>
      <c r="H97">
        <f t="shared" si="1"/>
        <v>102</v>
      </c>
    </row>
    <row r="98" spans="1:8" x14ac:dyDescent="0.35">
      <c r="A98" t="s">
        <v>570</v>
      </c>
      <c r="H98">
        <f t="shared" si="1"/>
        <v>0</v>
      </c>
    </row>
    <row r="99" spans="1:8" x14ac:dyDescent="0.35">
      <c r="A99" t="s">
        <v>351</v>
      </c>
      <c r="B99" s="54" t="s">
        <v>542</v>
      </c>
      <c r="C99" s="54">
        <v>1030.8125603864735</v>
      </c>
      <c r="D99" s="54">
        <v>9.1388888888888911</v>
      </c>
      <c r="E99" s="54">
        <v>1030.8125603864735</v>
      </c>
      <c r="F99" s="54">
        <v>2.0308641975308648</v>
      </c>
      <c r="H99">
        <f t="shared" si="1"/>
        <v>9</v>
      </c>
    </row>
    <row r="100" spans="1:8" x14ac:dyDescent="0.35">
      <c r="A100" t="s">
        <v>605</v>
      </c>
      <c r="C100" s="54">
        <v>1030.8125603864735</v>
      </c>
      <c r="D100" s="54">
        <v>9.1388888888888911</v>
      </c>
      <c r="E100" s="54">
        <v>1030.8125603864735</v>
      </c>
      <c r="F100" s="54">
        <v>2.0308641975308648</v>
      </c>
      <c r="H100">
        <f t="shared" si="1"/>
        <v>9</v>
      </c>
    </row>
    <row r="101" spans="1:8" x14ac:dyDescent="0.35">
      <c r="A101" t="s">
        <v>564</v>
      </c>
      <c r="H101">
        <f t="shared" si="1"/>
        <v>0</v>
      </c>
    </row>
    <row r="102" spans="1:8" x14ac:dyDescent="0.35">
      <c r="A102" t="s">
        <v>152</v>
      </c>
      <c r="B102" s="54" t="s">
        <v>543</v>
      </c>
      <c r="C102" s="54">
        <v>109.49689440993789</v>
      </c>
      <c r="D102" s="54">
        <v>1.7991428571428572</v>
      </c>
      <c r="E102" s="54">
        <v>93.854480922803901</v>
      </c>
      <c r="F102" s="54">
        <v>0.51404081632653065</v>
      </c>
      <c r="H102">
        <f t="shared" si="1"/>
        <v>2</v>
      </c>
    </row>
    <row r="103" spans="1:8" x14ac:dyDescent="0.35">
      <c r="A103" t="s">
        <v>149</v>
      </c>
      <c r="B103" s="54" t="s">
        <v>543</v>
      </c>
      <c r="C103" s="54">
        <v>6181.4886956521732</v>
      </c>
      <c r="D103" s="54">
        <v>52.013999999999996</v>
      </c>
      <c r="E103" s="54">
        <v>7417.7864347826071</v>
      </c>
      <c r="F103" s="54">
        <v>20.805599999999998</v>
      </c>
      <c r="H103">
        <f t="shared" si="1"/>
        <v>52</v>
      </c>
    </row>
    <row r="104" spans="1:8" x14ac:dyDescent="0.35">
      <c r="A104" t="s">
        <v>156</v>
      </c>
      <c r="B104" s="54" t="s">
        <v>542</v>
      </c>
      <c r="C104" s="54">
        <v>1385.4425120772949</v>
      </c>
      <c r="D104" s="54">
        <v>6.9371111111111112</v>
      </c>
      <c r="E104" s="54">
        <v>1385.4425120772949</v>
      </c>
      <c r="F104" s="54">
        <v>1.5415802469135802</v>
      </c>
      <c r="H104">
        <f t="shared" si="1"/>
        <v>7</v>
      </c>
    </row>
    <row r="105" spans="1:8" x14ac:dyDescent="0.35">
      <c r="A105" t="s">
        <v>171</v>
      </c>
      <c r="B105" s="54" t="s">
        <v>543</v>
      </c>
      <c r="C105" s="54">
        <v>145.63826086956522</v>
      </c>
      <c r="D105" s="54">
        <v>0.98520000000000008</v>
      </c>
      <c r="E105" s="54">
        <v>174.76591304347824</v>
      </c>
      <c r="F105" s="54">
        <v>0.39408000000000004</v>
      </c>
      <c r="H105">
        <f t="shared" si="1"/>
        <v>1</v>
      </c>
    </row>
    <row r="106" spans="1:8" x14ac:dyDescent="0.35">
      <c r="A106" t="s">
        <v>168</v>
      </c>
      <c r="B106" s="54" t="s">
        <v>543</v>
      </c>
      <c r="C106" s="54">
        <v>129.14534161490684</v>
      </c>
      <c r="D106" s="54">
        <v>1.8642857142857143</v>
      </c>
      <c r="E106" s="54">
        <v>110.69600709849158</v>
      </c>
      <c r="F106" s="54">
        <v>0.53265306122448985</v>
      </c>
      <c r="H106">
        <f t="shared" si="1"/>
        <v>2</v>
      </c>
    </row>
    <row r="107" spans="1:8" x14ac:dyDescent="0.35">
      <c r="A107" t="s">
        <v>153</v>
      </c>
      <c r="B107" s="54" t="s">
        <v>542</v>
      </c>
      <c r="C107" s="54">
        <v>1584.3400966183576</v>
      </c>
      <c r="D107" s="54">
        <v>9.7051111111111119</v>
      </c>
      <c r="E107" s="54">
        <v>1584.3400966183576</v>
      </c>
      <c r="F107" s="54">
        <v>2.1566913580246916</v>
      </c>
      <c r="H107">
        <f t="shared" si="1"/>
        <v>10</v>
      </c>
    </row>
    <row r="108" spans="1:8" x14ac:dyDescent="0.35">
      <c r="A108" t="s">
        <v>155</v>
      </c>
      <c r="B108" s="54" t="s">
        <v>542</v>
      </c>
      <c r="C108" s="54">
        <v>397.78357487922705</v>
      </c>
      <c r="D108" s="54">
        <v>2.2873333333333337</v>
      </c>
      <c r="E108" s="54">
        <v>397.78357487922705</v>
      </c>
      <c r="F108" s="54">
        <v>0.50829629629629636</v>
      </c>
      <c r="H108">
        <f t="shared" si="1"/>
        <v>2</v>
      </c>
    </row>
    <row r="109" spans="1:8" x14ac:dyDescent="0.35">
      <c r="A109" t="s">
        <v>154</v>
      </c>
      <c r="B109" s="54" t="s">
        <v>543</v>
      </c>
      <c r="C109" s="54">
        <v>156.35652173913044</v>
      </c>
      <c r="D109" s="54">
        <v>0.99899999999999989</v>
      </c>
      <c r="E109" s="54">
        <v>234.53478260869565</v>
      </c>
      <c r="F109" s="54">
        <v>0.49949999999999994</v>
      </c>
      <c r="H109">
        <f t="shared" si="1"/>
        <v>1</v>
      </c>
    </row>
    <row r="110" spans="1:8" x14ac:dyDescent="0.35">
      <c r="A110" t="s">
        <v>170</v>
      </c>
      <c r="B110" s="54" t="s">
        <v>541</v>
      </c>
      <c r="C110" s="54">
        <v>3620.8173913043479</v>
      </c>
      <c r="D110" s="54">
        <v>29.802000000000003</v>
      </c>
      <c r="E110" s="54">
        <v>3620.8173913043474</v>
      </c>
      <c r="F110" s="54">
        <v>19.868000000000002</v>
      </c>
      <c r="H110">
        <f t="shared" si="1"/>
        <v>30</v>
      </c>
    </row>
    <row r="111" spans="1:8" x14ac:dyDescent="0.35">
      <c r="A111" t="s">
        <v>158</v>
      </c>
      <c r="B111" s="54" t="s">
        <v>542</v>
      </c>
      <c r="C111" s="54">
        <v>1455.0183574879225</v>
      </c>
      <c r="D111" s="54">
        <v>7.7784444444444443</v>
      </c>
      <c r="E111" s="54">
        <v>1455.0183574879225</v>
      </c>
      <c r="F111" s="54">
        <v>1.7285432098765432</v>
      </c>
      <c r="H111">
        <f t="shared" si="1"/>
        <v>8</v>
      </c>
    </row>
    <row r="112" spans="1:8" x14ac:dyDescent="0.35">
      <c r="A112" t="s">
        <v>164</v>
      </c>
      <c r="B112" s="54" t="s">
        <v>541</v>
      </c>
      <c r="C112" s="54">
        <v>73.730434782608697</v>
      </c>
      <c r="D112" s="54">
        <v>0.53</v>
      </c>
      <c r="E112" s="54">
        <v>221.19130434782608</v>
      </c>
      <c r="F112" s="54">
        <v>1.06</v>
      </c>
      <c r="H112">
        <f t="shared" si="1"/>
        <v>1</v>
      </c>
    </row>
    <row r="113" spans="1:8" x14ac:dyDescent="0.35">
      <c r="A113" t="s">
        <v>159</v>
      </c>
      <c r="B113" s="54" t="s">
        <v>542</v>
      </c>
      <c r="C113" s="54">
        <v>256.96618357487921</v>
      </c>
      <c r="D113" s="54">
        <v>1.8226666666666667</v>
      </c>
      <c r="E113" s="54">
        <v>256.96618357487921</v>
      </c>
      <c r="F113" s="54">
        <v>0.40503703703703703</v>
      </c>
      <c r="H113">
        <f t="shared" si="1"/>
        <v>2</v>
      </c>
    </row>
    <row r="114" spans="1:8" x14ac:dyDescent="0.35">
      <c r="A114" t="s">
        <v>160</v>
      </c>
      <c r="B114" s="54" t="s">
        <v>542</v>
      </c>
      <c r="C114" s="54">
        <v>333.56135265700476</v>
      </c>
      <c r="D114" s="54">
        <v>2.1524444444444444</v>
      </c>
      <c r="E114" s="54">
        <v>333.5613526570047</v>
      </c>
      <c r="F114" s="54">
        <v>0.47832098765432096</v>
      </c>
      <c r="H114">
        <f t="shared" si="1"/>
        <v>2</v>
      </c>
    </row>
    <row r="115" spans="1:8" x14ac:dyDescent="0.35">
      <c r="A115" t="s">
        <v>161</v>
      </c>
      <c r="B115" s="54" t="s">
        <v>542</v>
      </c>
      <c r="C115" s="54">
        <v>894.54202898550716</v>
      </c>
      <c r="D115" s="54">
        <v>5.6073333333333331</v>
      </c>
      <c r="E115" s="54">
        <v>894.54202898550716</v>
      </c>
      <c r="F115" s="54">
        <v>1.2460740740740741</v>
      </c>
      <c r="H115">
        <f t="shared" si="1"/>
        <v>6</v>
      </c>
    </row>
    <row r="116" spans="1:8" x14ac:dyDescent="0.35">
      <c r="A116" t="s">
        <v>167</v>
      </c>
      <c r="B116" s="54" t="s">
        <v>542</v>
      </c>
      <c r="C116" s="54">
        <v>618.67826086956529</v>
      </c>
      <c r="D116" s="54">
        <v>4.0867500000000003</v>
      </c>
      <c r="E116" s="54">
        <v>696.0130434782609</v>
      </c>
      <c r="F116" s="54">
        <v>1.0216875000000001</v>
      </c>
      <c r="H116">
        <f t="shared" si="1"/>
        <v>4</v>
      </c>
    </row>
    <row r="117" spans="1:8" x14ac:dyDescent="0.35">
      <c r="A117" t="s">
        <v>169</v>
      </c>
      <c r="B117" s="54" t="s">
        <v>542</v>
      </c>
      <c r="C117" s="54">
        <v>325.93140096618362</v>
      </c>
      <c r="D117" s="54">
        <v>2.9490000000000003</v>
      </c>
      <c r="E117" s="54">
        <v>325.93140096618356</v>
      </c>
      <c r="F117" s="54">
        <v>0.65533333333333343</v>
      </c>
      <c r="H117">
        <f t="shared" si="1"/>
        <v>3</v>
      </c>
    </row>
    <row r="118" spans="1:8" x14ac:dyDescent="0.35">
      <c r="A118" t="s">
        <v>606</v>
      </c>
      <c r="C118" s="54">
        <v>17668.937308488614</v>
      </c>
      <c r="D118" s="54">
        <v>131.31982301587303</v>
      </c>
      <c r="E118" s="54">
        <v>19203.24486483289</v>
      </c>
      <c r="F118" s="54">
        <v>53.415437920760901</v>
      </c>
      <c r="H118">
        <f t="shared" si="1"/>
        <v>131</v>
      </c>
    </row>
    <row r="119" spans="1:8" x14ac:dyDescent="0.35">
      <c r="A119" t="s">
        <v>565</v>
      </c>
      <c r="H119">
        <f t="shared" si="1"/>
        <v>0</v>
      </c>
    </row>
    <row r="120" spans="1:8" x14ac:dyDescent="0.35">
      <c r="A120" t="s">
        <v>176</v>
      </c>
      <c r="B120" s="54" t="s">
        <v>542</v>
      </c>
      <c r="C120" s="54">
        <v>770.84637681159415</v>
      </c>
      <c r="D120" s="54">
        <v>5.6542222222222227</v>
      </c>
      <c r="E120" s="54">
        <v>770.84637681159415</v>
      </c>
      <c r="F120" s="54">
        <v>1.256493827160494</v>
      </c>
      <c r="H120">
        <f t="shared" si="1"/>
        <v>6</v>
      </c>
    </row>
    <row r="121" spans="1:8" x14ac:dyDescent="0.35">
      <c r="A121" t="s">
        <v>178</v>
      </c>
      <c r="B121" s="54" t="s">
        <v>542</v>
      </c>
      <c r="C121" s="54">
        <v>183.87922705314011</v>
      </c>
      <c r="D121" s="54">
        <v>1.4401111111111111</v>
      </c>
      <c r="E121" s="54">
        <v>183.87922705314011</v>
      </c>
      <c r="F121" s="54">
        <v>0.32002469135802469</v>
      </c>
      <c r="H121">
        <f t="shared" si="1"/>
        <v>1</v>
      </c>
    </row>
    <row r="122" spans="1:8" x14ac:dyDescent="0.35">
      <c r="A122" t="s">
        <v>177</v>
      </c>
      <c r="B122" s="54" t="s">
        <v>541</v>
      </c>
      <c r="C122" s="54">
        <v>152.99565217391304</v>
      </c>
      <c r="D122" s="54">
        <v>1.173</v>
      </c>
      <c r="E122" s="54">
        <v>229.49347826086955</v>
      </c>
      <c r="F122" s="54">
        <v>1.173</v>
      </c>
      <c r="H122">
        <f t="shared" si="1"/>
        <v>1</v>
      </c>
    </row>
    <row r="123" spans="1:8" x14ac:dyDescent="0.35">
      <c r="A123" t="s">
        <v>182</v>
      </c>
      <c r="B123" s="54" t="s">
        <v>542</v>
      </c>
      <c r="C123" s="54">
        <v>911.85314009661829</v>
      </c>
      <c r="D123" s="54">
        <v>6.6608888888888895</v>
      </c>
      <c r="E123" s="54">
        <v>911.85314009661829</v>
      </c>
      <c r="F123" s="54">
        <v>1.4801975308641977</v>
      </c>
      <c r="H123">
        <f t="shared" si="1"/>
        <v>7</v>
      </c>
    </row>
    <row r="124" spans="1:8" x14ac:dyDescent="0.35">
      <c r="A124" t="s">
        <v>183</v>
      </c>
      <c r="B124" s="54" t="s">
        <v>541</v>
      </c>
      <c r="C124" s="54">
        <v>494.42608695652166</v>
      </c>
      <c r="D124" s="54">
        <v>4.0919999999999996</v>
      </c>
      <c r="E124" s="54">
        <v>1483.278260869565</v>
      </c>
      <c r="F124" s="54">
        <v>8.1839999999999993</v>
      </c>
      <c r="H124">
        <f t="shared" si="1"/>
        <v>4</v>
      </c>
    </row>
    <row r="125" spans="1:8" x14ac:dyDescent="0.35">
      <c r="A125" t="s">
        <v>184</v>
      </c>
      <c r="B125" s="54" t="s">
        <v>542</v>
      </c>
      <c r="C125" s="54">
        <v>150.31847826086954</v>
      </c>
      <c r="D125" s="54">
        <v>1.1772500000000001</v>
      </c>
      <c r="E125" s="54">
        <v>169.10828804347824</v>
      </c>
      <c r="F125" s="54">
        <v>0.29431250000000003</v>
      </c>
      <c r="H125">
        <f t="shared" si="1"/>
        <v>1</v>
      </c>
    </row>
    <row r="126" spans="1:8" x14ac:dyDescent="0.35">
      <c r="A126" t="s">
        <v>179</v>
      </c>
      <c r="B126" s="54" t="s">
        <v>542</v>
      </c>
      <c r="C126" s="54">
        <v>847.19420289855088</v>
      </c>
      <c r="D126" s="54">
        <v>6.1820000000000004</v>
      </c>
      <c r="E126" s="54">
        <v>847.19420289855088</v>
      </c>
      <c r="F126" s="54">
        <v>1.3737777777777778</v>
      </c>
      <c r="H126">
        <f t="shared" si="1"/>
        <v>6</v>
      </c>
    </row>
    <row r="127" spans="1:8" x14ac:dyDescent="0.35">
      <c r="A127" t="s">
        <v>186</v>
      </c>
      <c r="B127" s="54" t="s">
        <v>543</v>
      </c>
      <c r="C127" s="54">
        <v>296.15279503105592</v>
      </c>
      <c r="D127" s="54">
        <v>2.3174285714285716</v>
      </c>
      <c r="E127" s="54">
        <v>253.84525288376221</v>
      </c>
      <c r="F127" s="54">
        <v>0.66212244897959194</v>
      </c>
      <c r="H127">
        <f t="shared" si="1"/>
        <v>2</v>
      </c>
    </row>
    <row r="128" spans="1:8" x14ac:dyDescent="0.35">
      <c r="A128" t="s">
        <v>187</v>
      </c>
      <c r="B128" s="54" t="s">
        <v>542</v>
      </c>
      <c r="C128" s="54">
        <v>449.83961352657002</v>
      </c>
      <c r="D128" s="54">
        <v>3.5308888888888896</v>
      </c>
      <c r="E128" s="54">
        <v>449.83961352657002</v>
      </c>
      <c r="F128" s="54">
        <v>0.7846419753086421</v>
      </c>
      <c r="H128">
        <f t="shared" si="1"/>
        <v>4</v>
      </c>
    </row>
    <row r="129" spans="1:8" x14ac:dyDescent="0.35">
      <c r="A129" t="s">
        <v>188</v>
      </c>
      <c r="B129" s="54" t="s">
        <v>542</v>
      </c>
      <c r="C129" s="54">
        <v>506.65893719806758</v>
      </c>
      <c r="D129" s="54">
        <v>4.5713333333333326</v>
      </c>
      <c r="E129" s="54">
        <v>506.65893719806758</v>
      </c>
      <c r="F129" s="54">
        <v>1.0158518518518518</v>
      </c>
      <c r="H129">
        <f t="shared" si="1"/>
        <v>5</v>
      </c>
    </row>
    <row r="130" spans="1:8" x14ac:dyDescent="0.35">
      <c r="A130" t="s">
        <v>607</v>
      </c>
      <c r="C130" s="54">
        <v>4764.1645100069009</v>
      </c>
      <c r="D130" s="54">
        <v>36.799123015873022</v>
      </c>
      <c r="E130" s="54">
        <v>5805.9967776422163</v>
      </c>
      <c r="F130" s="54">
        <v>16.544422603300578</v>
      </c>
      <c r="H130">
        <f t="shared" si="1"/>
        <v>37</v>
      </c>
    </row>
    <row r="131" spans="1:8" x14ac:dyDescent="0.35">
      <c r="A131" t="s">
        <v>566</v>
      </c>
      <c r="H131">
        <f t="shared" si="1"/>
        <v>0</v>
      </c>
    </row>
    <row r="132" spans="1:8" x14ac:dyDescent="0.35">
      <c r="A132" t="s">
        <v>199</v>
      </c>
      <c r="B132" s="54" t="s">
        <v>542</v>
      </c>
      <c r="C132" s="54">
        <v>296.93586956521744</v>
      </c>
      <c r="D132" s="54">
        <v>3.7992500000000002</v>
      </c>
      <c r="E132" s="54">
        <v>334.0528532608696</v>
      </c>
      <c r="F132" s="54">
        <v>0.94981250000000006</v>
      </c>
      <c r="H132">
        <f t="shared" si="1"/>
        <v>4</v>
      </c>
    </row>
    <row r="133" spans="1:8" x14ac:dyDescent="0.35">
      <c r="A133" t="s">
        <v>196</v>
      </c>
      <c r="B133" s="54" t="s">
        <v>542</v>
      </c>
      <c r="C133" s="54">
        <v>257.11980676328506</v>
      </c>
      <c r="D133" s="54">
        <v>14.813777777777776</v>
      </c>
      <c r="E133" s="54">
        <v>257.11980676328506</v>
      </c>
      <c r="F133" s="54">
        <v>3.2919506172839501</v>
      </c>
      <c r="H133">
        <f t="shared" si="1"/>
        <v>15</v>
      </c>
    </row>
    <row r="134" spans="1:8" x14ac:dyDescent="0.35">
      <c r="A134" t="s">
        <v>197</v>
      </c>
      <c r="B134" s="54" t="s">
        <v>542</v>
      </c>
      <c r="C134" s="54">
        <v>110.39130434782608</v>
      </c>
      <c r="D134" s="54">
        <v>12.772375</v>
      </c>
      <c r="E134" s="54">
        <v>124.19021739130434</v>
      </c>
      <c r="F134" s="54">
        <v>3.1930937500000001</v>
      </c>
      <c r="H134">
        <f t="shared" si="1"/>
        <v>13</v>
      </c>
    </row>
    <row r="135" spans="1:8" x14ac:dyDescent="0.35">
      <c r="A135" t="s">
        <v>608</v>
      </c>
      <c r="C135" s="54">
        <v>664.44698067632862</v>
      </c>
      <c r="D135" s="54">
        <v>31.385402777777777</v>
      </c>
      <c r="E135" s="54">
        <v>715.36287741545902</v>
      </c>
      <c r="F135" s="54">
        <v>7.4348568672839503</v>
      </c>
      <c r="H135">
        <f t="shared" ref="H135:H161" si="2">IF($H$3="Average",ROUND(D135,0),IF($H$3="Stretch",ROUND(F135,0),0))</f>
        <v>31</v>
      </c>
    </row>
    <row r="136" spans="1:8" x14ac:dyDescent="0.35">
      <c r="A136" t="s">
        <v>567</v>
      </c>
      <c r="H136">
        <f t="shared" si="2"/>
        <v>0</v>
      </c>
    </row>
    <row r="137" spans="1:8" x14ac:dyDescent="0.35">
      <c r="A137" t="s">
        <v>263</v>
      </c>
      <c r="B137" s="54" t="s">
        <v>542</v>
      </c>
      <c r="C137" s="54">
        <v>7986.7835748792277</v>
      </c>
      <c r="D137" s="54">
        <v>92.762555555555551</v>
      </c>
      <c r="E137" s="54">
        <v>7986.7835748792277</v>
      </c>
      <c r="F137" s="54">
        <v>20.613901234567901</v>
      </c>
      <c r="H137">
        <f t="shared" si="2"/>
        <v>93</v>
      </c>
    </row>
    <row r="138" spans="1:8" x14ac:dyDescent="0.35">
      <c r="A138" t="s">
        <v>217</v>
      </c>
      <c r="B138" s="54" t="s">
        <v>542</v>
      </c>
      <c r="C138" s="54">
        <v>168.8647342995169</v>
      </c>
      <c r="D138" s="54">
        <v>5.5555555555555554</v>
      </c>
      <c r="E138" s="54">
        <v>168.8647342995169</v>
      </c>
      <c r="F138" s="54">
        <v>1.2345679012345678</v>
      </c>
      <c r="H138">
        <f t="shared" si="2"/>
        <v>6</v>
      </c>
    </row>
    <row r="139" spans="1:8" x14ac:dyDescent="0.35">
      <c r="A139" t="s">
        <v>215</v>
      </c>
      <c r="B139" s="54" t="s">
        <v>542</v>
      </c>
      <c r="C139" s="54">
        <v>1079.4685990338164</v>
      </c>
      <c r="D139" s="54">
        <v>46.111111111111114</v>
      </c>
      <c r="E139" s="54">
        <v>1079.4685990338164</v>
      </c>
      <c r="F139" s="54">
        <v>10.246913580246915</v>
      </c>
      <c r="H139">
        <f t="shared" si="2"/>
        <v>46</v>
      </c>
    </row>
    <row r="140" spans="1:8" x14ac:dyDescent="0.35">
      <c r="A140" t="s">
        <v>216</v>
      </c>
      <c r="B140" s="54" t="s">
        <v>542</v>
      </c>
      <c r="C140" s="54">
        <v>523.44830917874401</v>
      </c>
      <c r="D140" s="54">
        <v>20.111111111111111</v>
      </c>
      <c r="E140" s="54">
        <v>523.44830917874401</v>
      </c>
      <c r="F140" s="54">
        <v>4.4691358024691361</v>
      </c>
      <c r="H140">
        <f t="shared" si="2"/>
        <v>20</v>
      </c>
    </row>
    <row r="141" spans="1:8" x14ac:dyDescent="0.35">
      <c r="A141" t="s">
        <v>220</v>
      </c>
      <c r="B141" s="54" t="s">
        <v>541</v>
      </c>
      <c r="C141" s="54">
        <v>2949.7521739130434</v>
      </c>
      <c r="D141" s="54">
        <v>39.064</v>
      </c>
      <c r="E141" s="54">
        <v>4424.6282608695656</v>
      </c>
      <c r="F141" s="54">
        <v>39.064</v>
      </c>
      <c r="H141">
        <f t="shared" si="2"/>
        <v>39</v>
      </c>
    </row>
    <row r="142" spans="1:8" x14ac:dyDescent="0.35">
      <c r="A142" t="s">
        <v>202</v>
      </c>
      <c r="B142" s="54" t="s">
        <v>542</v>
      </c>
      <c r="C142" s="54">
        <v>3314.3858695652175</v>
      </c>
      <c r="D142" s="54">
        <v>29.348750000000003</v>
      </c>
      <c r="E142" s="54">
        <v>3728.6841032608695</v>
      </c>
      <c r="F142" s="54">
        <v>7.3371875000000006</v>
      </c>
      <c r="H142">
        <f t="shared" si="2"/>
        <v>29</v>
      </c>
    </row>
    <row r="143" spans="1:8" x14ac:dyDescent="0.35">
      <c r="A143" t="s">
        <v>266</v>
      </c>
      <c r="B143" s="54" t="s">
        <v>542</v>
      </c>
      <c r="C143" s="54">
        <v>626.03478260869565</v>
      </c>
      <c r="D143" s="54">
        <v>6</v>
      </c>
      <c r="E143" s="54">
        <v>626.03478260869565</v>
      </c>
      <c r="F143" s="54">
        <v>1.3333333333333333</v>
      </c>
      <c r="H143">
        <f t="shared" si="2"/>
        <v>6</v>
      </c>
    </row>
    <row r="144" spans="1:8" x14ac:dyDescent="0.35">
      <c r="A144" t="s">
        <v>238</v>
      </c>
      <c r="B144" s="54" t="s">
        <v>543</v>
      </c>
      <c r="C144" s="54">
        <v>431.26583850931684</v>
      </c>
      <c r="D144" s="54">
        <v>4.1428571428571432</v>
      </c>
      <c r="E144" s="54">
        <v>369.65643300798587</v>
      </c>
      <c r="F144" s="54">
        <v>1.1836734693877553</v>
      </c>
      <c r="H144">
        <f t="shared" si="2"/>
        <v>4</v>
      </c>
    </row>
    <row r="145" spans="1:8" x14ac:dyDescent="0.35">
      <c r="A145" t="s">
        <v>203</v>
      </c>
      <c r="B145" s="54" t="s">
        <v>542</v>
      </c>
      <c r="C145" s="54">
        <v>1832.0347826086954</v>
      </c>
      <c r="D145" s="54">
        <v>26.388666666666666</v>
      </c>
      <c r="E145" s="54">
        <v>1832.0347826086954</v>
      </c>
      <c r="F145" s="54">
        <v>5.8641481481481481</v>
      </c>
      <c r="H145">
        <f t="shared" si="2"/>
        <v>26</v>
      </c>
    </row>
    <row r="146" spans="1:8" x14ac:dyDescent="0.35">
      <c r="A146" t="s">
        <v>226</v>
      </c>
      <c r="B146" s="54" t="s">
        <v>541</v>
      </c>
      <c r="C146" s="54">
        <v>410.8608695652174</v>
      </c>
      <c r="D146" s="54">
        <v>4.9219999999999997</v>
      </c>
      <c r="E146" s="54">
        <v>1232.5826086956522</v>
      </c>
      <c r="F146" s="54">
        <v>9.8439999999999994</v>
      </c>
      <c r="H146">
        <f t="shared" si="2"/>
        <v>5</v>
      </c>
    </row>
    <row r="147" spans="1:8" x14ac:dyDescent="0.35">
      <c r="A147" t="s">
        <v>265</v>
      </c>
      <c r="B147" s="54" t="s">
        <v>543</v>
      </c>
      <c r="C147" s="54">
        <v>1296.1891304347826</v>
      </c>
      <c r="D147" s="54">
        <v>11.230499999999999</v>
      </c>
      <c r="E147" s="54">
        <v>1944.2836956521737</v>
      </c>
      <c r="F147" s="54">
        <v>5.6152499999999996</v>
      </c>
      <c r="H147">
        <f t="shared" si="2"/>
        <v>11</v>
      </c>
    </row>
    <row r="148" spans="1:8" x14ac:dyDescent="0.35">
      <c r="A148" t="s">
        <v>264</v>
      </c>
      <c r="B148" s="54" t="s">
        <v>542</v>
      </c>
      <c r="C148" s="54">
        <v>5270.2009661835746</v>
      </c>
      <c r="D148" s="54">
        <v>55.300222222222224</v>
      </c>
      <c r="E148" s="54">
        <v>5270.2009661835746</v>
      </c>
      <c r="F148" s="54">
        <v>12.288938271604939</v>
      </c>
      <c r="H148">
        <f t="shared" si="2"/>
        <v>55</v>
      </c>
    </row>
    <row r="149" spans="1:8" x14ac:dyDescent="0.35">
      <c r="A149" t="s">
        <v>222</v>
      </c>
      <c r="B149" s="54" t="s">
        <v>541</v>
      </c>
      <c r="C149" s="54">
        <v>216.91304347826087</v>
      </c>
      <c r="D149" s="54">
        <v>2.7719999999999998</v>
      </c>
      <c r="E149" s="54">
        <v>650.73913043478262</v>
      </c>
      <c r="F149" s="54">
        <v>5.5439999999999996</v>
      </c>
      <c r="H149">
        <f t="shared" si="2"/>
        <v>3</v>
      </c>
    </row>
    <row r="150" spans="1:8" x14ac:dyDescent="0.35">
      <c r="A150" t="s">
        <v>258</v>
      </c>
      <c r="B150" s="54" t="s">
        <v>543</v>
      </c>
      <c r="C150" s="54">
        <v>498.7420289855072</v>
      </c>
      <c r="D150" s="54">
        <v>2.4756666666666671</v>
      </c>
      <c r="E150" s="54">
        <v>498.7420289855072</v>
      </c>
      <c r="F150" s="54">
        <v>0.82522222222222241</v>
      </c>
      <c r="H150">
        <f t="shared" si="2"/>
        <v>2</v>
      </c>
    </row>
    <row r="151" spans="1:8" x14ac:dyDescent="0.35">
      <c r="A151" t="s">
        <v>244</v>
      </c>
      <c r="B151" s="54" t="s">
        <v>542</v>
      </c>
      <c r="C151" s="54">
        <v>1426.031884057971</v>
      </c>
      <c r="D151" s="54">
        <v>10.555555555555555</v>
      </c>
      <c r="E151" s="54">
        <v>1426.0318840579707</v>
      </c>
      <c r="F151" s="54">
        <v>2.3456790123456788</v>
      </c>
      <c r="H151">
        <f t="shared" si="2"/>
        <v>11</v>
      </c>
    </row>
    <row r="152" spans="1:8" x14ac:dyDescent="0.35">
      <c r="A152" t="s">
        <v>243</v>
      </c>
      <c r="B152" s="54" t="s">
        <v>542</v>
      </c>
      <c r="C152" s="54">
        <v>2132.5239130434784</v>
      </c>
      <c r="D152" s="54">
        <v>16.5</v>
      </c>
      <c r="E152" s="54">
        <v>2399.0894021739132</v>
      </c>
      <c r="F152" s="54">
        <v>4.125</v>
      </c>
      <c r="H152">
        <f t="shared" si="2"/>
        <v>17</v>
      </c>
    </row>
    <row r="153" spans="1:8" x14ac:dyDescent="0.35">
      <c r="A153" t="s">
        <v>245</v>
      </c>
      <c r="B153" s="54" t="s">
        <v>543</v>
      </c>
      <c r="C153" s="54">
        <v>326.06811594202901</v>
      </c>
      <c r="D153" s="54">
        <v>2.1666666666666665</v>
      </c>
      <c r="E153" s="54">
        <v>326.06811594202901</v>
      </c>
      <c r="F153" s="54">
        <v>0.72222222222222221</v>
      </c>
      <c r="H153">
        <f t="shared" si="2"/>
        <v>2</v>
      </c>
    </row>
    <row r="154" spans="1:8" x14ac:dyDescent="0.35">
      <c r="A154" t="s">
        <v>246</v>
      </c>
      <c r="B154" s="54" t="s">
        <v>543</v>
      </c>
      <c r="C154" s="54">
        <v>555.18405797101457</v>
      </c>
      <c r="D154" s="54">
        <v>3.8333333333333335</v>
      </c>
      <c r="E154" s="54">
        <v>555.18405797101457</v>
      </c>
      <c r="F154" s="54">
        <v>1.2777777777777779</v>
      </c>
      <c r="H154">
        <f t="shared" si="2"/>
        <v>4</v>
      </c>
    </row>
    <row r="155" spans="1:8" x14ac:dyDescent="0.35">
      <c r="A155" t="s">
        <v>260</v>
      </c>
      <c r="B155" s="54" t="s">
        <v>543</v>
      </c>
      <c r="C155" s="54">
        <v>988.81739130434789</v>
      </c>
      <c r="D155" s="54">
        <v>6.583333333333333</v>
      </c>
      <c r="E155" s="54">
        <v>988.81739130434789</v>
      </c>
      <c r="F155" s="54">
        <v>2.1944444444444442</v>
      </c>
      <c r="H155">
        <f t="shared" si="2"/>
        <v>7</v>
      </c>
    </row>
    <row r="156" spans="1:8" x14ac:dyDescent="0.35">
      <c r="A156" t="s">
        <v>251</v>
      </c>
      <c r="B156" s="54" t="s">
        <v>542</v>
      </c>
      <c r="C156" s="54">
        <v>1785.233695652174</v>
      </c>
      <c r="D156" s="54">
        <v>18.919250000000002</v>
      </c>
      <c r="E156" s="54">
        <v>2008.3879076086957</v>
      </c>
      <c r="F156" s="54">
        <v>4.7298125000000004</v>
      </c>
      <c r="H156">
        <f t="shared" si="2"/>
        <v>19</v>
      </c>
    </row>
    <row r="157" spans="1:8" x14ac:dyDescent="0.35">
      <c r="A157" t="s">
        <v>230</v>
      </c>
      <c r="B157" s="54" t="s">
        <v>542</v>
      </c>
      <c r="C157" s="54">
        <v>185.0270531400966</v>
      </c>
      <c r="D157" s="54">
        <v>10.644333333333334</v>
      </c>
      <c r="E157" s="54">
        <v>185.0270531400966</v>
      </c>
      <c r="F157" s="54">
        <v>2.3654074074074076</v>
      </c>
      <c r="H157">
        <f t="shared" si="2"/>
        <v>11</v>
      </c>
    </row>
    <row r="158" spans="1:8" x14ac:dyDescent="0.35">
      <c r="A158" t="s">
        <v>234</v>
      </c>
      <c r="B158" s="54" t="s">
        <v>541</v>
      </c>
      <c r="C158" s="54">
        <v>272.08695652173913</v>
      </c>
      <c r="D158" s="54">
        <v>3.1760000000000002</v>
      </c>
      <c r="E158" s="54">
        <v>408.13043478260869</v>
      </c>
      <c r="F158" s="54">
        <v>3.1760000000000002</v>
      </c>
      <c r="H158">
        <f t="shared" si="2"/>
        <v>3</v>
      </c>
    </row>
    <row r="159" spans="1:8" x14ac:dyDescent="0.35">
      <c r="A159" t="s">
        <v>209</v>
      </c>
      <c r="B159" s="54" t="s">
        <v>543</v>
      </c>
      <c r="C159" s="54">
        <v>397.48913043478257</v>
      </c>
      <c r="D159" s="54">
        <v>2.4059999999999997</v>
      </c>
      <c r="E159" s="54">
        <v>596.23369565217388</v>
      </c>
      <c r="F159" s="54">
        <v>1.2029999999999998</v>
      </c>
      <c r="H159">
        <f t="shared" si="2"/>
        <v>2</v>
      </c>
    </row>
    <row r="160" spans="1:8" x14ac:dyDescent="0.35">
      <c r="A160" t="s">
        <v>210</v>
      </c>
      <c r="B160" s="54" t="s">
        <v>542</v>
      </c>
      <c r="C160" s="54">
        <v>704.70434782608697</v>
      </c>
      <c r="D160" s="54">
        <v>11.222222222222221</v>
      </c>
      <c r="E160" s="54">
        <v>704.70434782608697</v>
      </c>
      <c r="F160" s="54">
        <v>2.4938271604938271</v>
      </c>
      <c r="H160">
        <f t="shared" si="2"/>
        <v>11</v>
      </c>
    </row>
    <row r="161" spans="1:8" x14ac:dyDescent="0.35">
      <c r="A161" t="s">
        <v>609</v>
      </c>
      <c r="C161" s="54">
        <v>35378.111249137335</v>
      </c>
      <c r="D161" s="54">
        <v>432.19169047619044</v>
      </c>
      <c r="E161" s="54">
        <v>39933.826300157751</v>
      </c>
      <c r="F161" s="54">
        <v>150.09744198790628</v>
      </c>
      <c r="H161">
        <f t="shared" si="2"/>
        <v>432</v>
      </c>
    </row>
    <row r="162" spans="1:8" x14ac:dyDescent="0.35">
      <c r="A162" t="s">
        <v>548</v>
      </c>
      <c r="C162" s="54">
        <v>140663.48182884741</v>
      </c>
      <c r="D162" s="54">
        <v>1557.5562365079368</v>
      </c>
      <c r="E162" s="54">
        <v>156110.530053781</v>
      </c>
      <c r="F162" s="54">
        <v>581.47950666540703</v>
      </c>
    </row>
  </sheetData>
  <mergeCells count="16">
    <mergeCell ref="E3:F3"/>
    <mergeCell ref="B3:D3"/>
    <mergeCell ref="AA3:AC3"/>
    <mergeCell ref="I4:K4"/>
    <mergeCell ref="L4:N4"/>
    <mergeCell ref="O4:Q4"/>
    <mergeCell ref="R4:T4"/>
    <mergeCell ref="U4:W4"/>
    <mergeCell ref="X4:Z4"/>
    <mergeCell ref="AA4:AC4"/>
    <mergeCell ref="I3:K3"/>
    <mergeCell ref="L3:N3"/>
    <mergeCell ref="O3:Q3"/>
    <mergeCell ref="R3:T3"/>
    <mergeCell ref="U3:W3"/>
    <mergeCell ref="X3:Z3"/>
  </mergeCells>
  <dataValidations count="1">
    <dataValidation type="list" allowBlank="1" showInputMessage="1" sqref="H3" xr:uid="{39C04586-19B8-4F83-BC10-E2977ECCACAA}">
      <formula1>"Average, Stretch"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CC7DE-1AFD-49D1-8692-600540F04DEC}">
  <dimension ref="A1:K54"/>
  <sheetViews>
    <sheetView workbookViewId="0">
      <selection activeCell="G54" sqref="G54"/>
    </sheetView>
  </sheetViews>
  <sheetFormatPr defaultRowHeight="13" x14ac:dyDescent="0.35"/>
  <cols>
    <col min="1" max="1" width="76.3984375" bestFit="1" customWidth="1"/>
    <col min="2" max="2" width="18.796875" bestFit="1" customWidth="1"/>
    <col min="3" max="3" width="36.8984375" bestFit="1" customWidth="1"/>
    <col min="4" max="4" width="18" bestFit="1" customWidth="1"/>
    <col min="6" max="6" width="61.8984375" bestFit="1" customWidth="1"/>
    <col min="7" max="7" width="18" bestFit="1" customWidth="1"/>
    <col min="8" max="8" width="14.296875" bestFit="1" customWidth="1"/>
    <col min="9" max="9" width="9.796875" bestFit="1" customWidth="1"/>
    <col min="10" max="10" width="25.59765625" bestFit="1" customWidth="1"/>
    <col min="11" max="11" width="18.19921875" bestFit="1" customWidth="1"/>
  </cols>
  <sheetData>
    <row r="1" spans="1:11" ht="20.5" x14ac:dyDescent="0.35">
      <c r="A1" s="90" t="s">
        <v>627</v>
      </c>
      <c r="B1" s="90"/>
      <c r="C1" s="90"/>
      <c r="D1" s="90"/>
      <c r="E1" s="90"/>
      <c r="F1" s="90"/>
      <c r="G1" s="90"/>
      <c r="H1" s="90"/>
    </row>
    <row r="3" spans="1:11" ht="15.5" x14ac:dyDescent="0.35">
      <c r="A3" s="61" t="s">
        <v>628</v>
      </c>
      <c r="F3" s="61" t="s">
        <v>640</v>
      </c>
      <c r="J3" s="67" t="s">
        <v>657</v>
      </c>
    </row>
    <row r="4" spans="1:11" x14ac:dyDescent="0.35">
      <c r="A4" s="62" t="s">
        <v>629</v>
      </c>
      <c r="B4" s="62" t="s">
        <v>630</v>
      </c>
      <c r="C4" s="62" t="s">
        <v>631</v>
      </c>
      <c r="D4" s="62" t="s">
        <v>632</v>
      </c>
      <c r="F4" s="64" t="s">
        <v>641</v>
      </c>
      <c r="G4" s="64" t="s">
        <v>642</v>
      </c>
      <c r="H4" s="64" t="s">
        <v>629</v>
      </c>
      <c r="J4" s="60" t="s">
        <v>658</v>
      </c>
      <c r="K4" t="s">
        <v>659</v>
      </c>
    </row>
    <row r="5" spans="1:11" x14ac:dyDescent="0.35">
      <c r="A5" t="s">
        <v>633</v>
      </c>
      <c r="B5" s="25">
        <v>334014</v>
      </c>
      <c r="C5" s="25">
        <v>3566</v>
      </c>
      <c r="D5" s="25">
        <v>46197</v>
      </c>
      <c r="F5" t="s">
        <v>643</v>
      </c>
      <c r="G5" s="25">
        <v>71881</v>
      </c>
      <c r="H5" t="s">
        <v>567</v>
      </c>
      <c r="J5" s="60" t="s">
        <v>660</v>
      </c>
      <c r="K5" t="s">
        <v>661</v>
      </c>
    </row>
    <row r="6" spans="1:11" x14ac:dyDescent="0.35">
      <c r="A6" t="s">
        <v>567</v>
      </c>
      <c r="B6" s="25">
        <v>267158</v>
      </c>
      <c r="C6" s="25">
        <v>3346</v>
      </c>
      <c r="D6" s="25">
        <v>35378</v>
      </c>
      <c r="F6" t="s">
        <v>386</v>
      </c>
      <c r="G6" s="25">
        <v>55671</v>
      </c>
      <c r="H6" t="s">
        <v>644</v>
      </c>
      <c r="J6" s="60" t="s">
        <v>662</v>
      </c>
      <c r="K6" t="s">
        <v>663</v>
      </c>
    </row>
    <row r="7" spans="1:11" x14ac:dyDescent="0.35">
      <c r="A7" t="s">
        <v>562</v>
      </c>
      <c r="B7" s="25">
        <v>175929</v>
      </c>
      <c r="C7" s="25">
        <v>1457</v>
      </c>
      <c r="D7" s="25">
        <v>23834</v>
      </c>
      <c r="F7" t="s">
        <v>264</v>
      </c>
      <c r="G7" s="25">
        <v>47431</v>
      </c>
      <c r="H7" t="s">
        <v>567</v>
      </c>
      <c r="J7" s="60" t="s">
        <v>664</v>
      </c>
      <c r="K7" t="s">
        <v>665</v>
      </c>
    </row>
    <row r="8" spans="1:11" x14ac:dyDescent="0.35">
      <c r="A8" t="s">
        <v>564</v>
      </c>
      <c r="B8" s="25">
        <v>109519</v>
      </c>
      <c r="C8" s="25">
        <v>770</v>
      </c>
      <c r="D8" s="25">
        <v>17669</v>
      </c>
      <c r="F8" t="s">
        <v>107</v>
      </c>
      <c r="G8" s="25">
        <v>38195</v>
      </c>
      <c r="H8" t="s">
        <v>562</v>
      </c>
      <c r="J8" s="60" t="s">
        <v>666</v>
      </c>
      <c r="K8" t="s">
        <v>667</v>
      </c>
    </row>
    <row r="9" spans="1:11" x14ac:dyDescent="0.35">
      <c r="A9" t="s">
        <v>634</v>
      </c>
      <c r="B9" s="25">
        <v>69241</v>
      </c>
      <c r="C9" s="25">
        <v>698</v>
      </c>
      <c r="D9" s="25">
        <v>7693</v>
      </c>
      <c r="F9" t="s">
        <v>381</v>
      </c>
      <c r="G9" s="25">
        <v>33095</v>
      </c>
      <c r="H9" t="s">
        <v>644</v>
      </c>
    </row>
    <row r="10" spans="1:11" x14ac:dyDescent="0.35">
      <c r="A10" t="s">
        <v>565</v>
      </c>
      <c r="B10" s="25">
        <v>37108</v>
      </c>
      <c r="C10" s="25">
        <v>284</v>
      </c>
      <c r="D10" s="25">
        <v>4764</v>
      </c>
      <c r="F10" t="s">
        <v>149</v>
      </c>
      <c r="G10" s="25">
        <v>30907</v>
      </c>
      <c r="H10" t="s">
        <v>564</v>
      </c>
    </row>
    <row r="11" spans="1:11" x14ac:dyDescent="0.35">
      <c r="A11" t="s">
        <v>578</v>
      </c>
      <c r="B11" s="25">
        <v>10125</v>
      </c>
      <c r="C11" s="25">
        <v>897</v>
      </c>
      <c r="D11" s="25">
        <v>1281</v>
      </c>
      <c r="F11" t="s">
        <v>125</v>
      </c>
      <c r="G11" s="25">
        <v>30254</v>
      </c>
      <c r="H11" t="s">
        <v>562</v>
      </c>
    </row>
    <row r="12" spans="1:11" x14ac:dyDescent="0.35">
      <c r="A12" t="s">
        <v>575</v>
      </c>
      <c r="B12" s="25">
        <v>9010</v>
      </c>
      <c r="C12" s="25">
        <v>115</v>
      </c>
      <c r="D12" s="25">
        <v>1001</v>
      </c>
      <c r="F12" t="s">
        <v>202</v>
      </c>
      <c r="G12" s="25">
        <v>26515</v>
      </c>
      <c r="H12" t="s">
        <v>567</v>
      </c>
    </row>
    <row r="13" spans="1:11" x14ac:dyDescent="0.35">
      <c r="A13" t="s">
        <v>570</v>
      </c>
      <c r="B13" s="25">
        <v>9277</v>
      </c>
      <c r="C13" s="25">
        <v>82</v>
      </c>
      <c r="D13" s="25">
        <v>1031</v>
      </c>
      <c r="F13" t="s">
        <v>314</v>
      </c>
      <c r="G13" s="25">
        <v>21894</v>
      </c>
      <c r="H13" t="s">
        <v>644</v>
      </c>
    </row>
    <row r="14" spans="1:11" x14ac:dyDescent="0.35">
      <c r="A14" t="s">
        <v>566</v>
      </c>
      <c r="B14" s="25">
        <v>5573</v>
      </c>
      <c r="C14" s="25">
        <v>266</v>
      </c>
      <c r="D14" s="25">
        <v>664</v>
      </c>
      <c r="F14" t="s">
        <v>645</v>
      </c>
      <c r="G14" s="25">
        <v>19685</v>
      </c>
      <c r="H14" t="s">
        <v>562</v>
      </c>
    </row>
    <row r="17" spans="1:9" ht="15.5" x14ac:dyDescent="0.35">
      <c r="A17" s="61" t="s">
        <v>635</v>
      </c>
      <c r="F17" s="61" t="s">
        <v>646</v>
      </c>
    </row>
    <row r="18" spans="1:9" x14ac:dyDescent="0.35">
      <c r="A18" s="63" t="s">
        <v>544</v>
      </c>
      <c r="B18" s="63" t="s">
        <v>636</v>
      </c>
      <c r="C18" s="63" t="s">
        <v>590</v>
      </c>
      <c r="F18" s="65" t="s">
        <v>629</v>
      </c>
      <c r="G18" s="65" t="s">
        <v>632</v>
      </c>
      <c r="H18" s="65" t="s">
        <v>647</v>
      </c>
      <c r="I18" s="65" t="s">
        <v>648</v>
      </c>
    </row>
    <row r="19" spans="1:9" x14ac:dyDescent="0.35">
      <c r="A19" t="s">
        <v>542</v>
      </c>
      <c r="B19">
        <v>80</v>
      </c>
      <c r="C19" t="s">
        <v>637</v>
      </c>
      <c r="F19" t="s">
        <v>649</v>
      </c>
      <c r="G19" s="25">
        <v>46197</v>
      </c>
      <c r="H19" s="25">
        <v>48600</v>
      </c>
      <c r="I19" s="66">
        <f>((H19-G19)/G19)</f>
        <v>5.2016364699006432E-2</v>
      </c>
    </row>
    <row r="20" spans="1:9" x14ac:dyDescent="0.35">
      <c r="A20" t="s">
        <v>543</v>
      </c>
      <c r="B20">
        <v>35</v>
      </c>
      <c r="C20" t="s">
        <v>638</v>
      </c>
      <c r="F20" t="s">
        <v>567</v>
      </c>
      <c r="G20" s="25">
        <v>35378</v>
      </c>
      <c r="H20" s="25">
        <v>46194</v>
      </c>
      <c r="I20" s="66">
        <f>((H20-G20)/G20)</f>
        <v>0.30572672282209284</v>
      </c>
    </row>
    <row r="21" spans="1:9" x14ac:dyDescent="0.35">
      <c r="A21" t="s">
        <v>541</v>
      </c>
      <c r="B21">
        <v>17</v>
      </c>
      <c r="C21" t="s">
        <v>639</v>
      </c>
      <c r="F21" t="s">
        <v>562</v>
      </c>
      <c r="G21" s="25">
        <v>23834</v>
      </c>
      <c r="H21" s="25">
        <v>33144</v>
      </c>
      <c r="I21" s="66">
        <f>((H21-G21)/G21)</f>
        <v>0.39061844423932196</v>
      </c>
    </row>
    <row r="22" spans="1:9" x14ac:dyDescent="0.35">
      <c r="F22" t="s">
        <v>564</v>
      </c>
      <c r="G22" s="25">
        <v>17669</v>
      </c>
      <c r="H22" s="25">
        <v>21142</v>
      </c>
      <c r="I22" s="66">
        <f>((H22-G22)/G22)</f>
        <v>0.19655894504499405</v>
      </c>
    </row>
    <row r="23" spans="1:9" x14ac:dyDescent="0.35">
      <c r="F23" t="s">
        <v>565</v>
      </c>
      <c r="G23" s="25">
        <v>4764</v>
      </c>
      <c r="H23" s="25">
        <v>5113</v>
      </c>
      <c r="I23" s="66">
        <f>((H23-G23)/G23)</f>
        <v>7.325776658270361E-2</v>
      </c>
    </row>
    <row r="47" spans="1:8" ht="16.5" x14ac:dyDescent="0.35">
      <c r="A47" s="91" t="s">
        <v>650</v>
      </c>
      <c r="B47" s="91"/>
      <c r="C47" s="91"/>
      <c r="D47" s="91"/>
      <c r="E47" s="91"/>
      <c r="F47" s="91"/>
      <c r="G47" s="91"/>
      <c r="H47" s="91"/>
    </row>
    <row r="49" spans="1:1" ht="26" x14ac:dyDescent="0.35">
      <c r="A49" s="28" t="s">
        <v>651</v>
      </c>
    </row>
    <row r="50" spans="1:1" ht="26" x14ac:dyDescent="0.35">
      <c r="A50" s="28" t="s">
        <v>652</v>
      </c>
    </row>
    <row r="51" spans="1:1" ht="26" x14ac:dyDescent="0.35">
      <c r="A51" s="28" t="s">
        <v>653</v>
      </c>
    </row>
    <row r="52" spans="1:1" ht="26" x14ac:dyDescent="0.35">
      <c r="A52" s="28" t="s">
        <v>654</v>
      </c>
    </row>
    <row r="53" spans="1:1" ht="26" x14ac:dyDescent="0.35">
      <c r="A53" s="28" t="s">
        <v>655</v>
      </c>
    </row>
    <row r="54" spans="1:1" ht="26" x14ac:dyDescent="0.35">
      <c r="A54" s="28" t="s">
        <v>656</v>
      </c>
    </row>
  </sheetData>
  <mergeCells count="2">
    <mergeCell ref="A1:H1"/>
    <mergeCell ref="A47:H4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07330-C7EC-4976-9ACE-347DE7796401}">
  <dimension ref="A1:S46"/>
  <sheetViews>
    <sheetView tabSelected="1" topLeftCell="A24" workbookViewId="0">
      <selection activeCell="B25" sqref="B25"/>
    </sheetView>
  </sheetViews>
  <sheetFormatPr defaultRowHeight="13" x14ac:dyDescent="0.35"/>
  <cols>
    <col min="1" max="1" width="28" customWidth="1"/>
    <col min="2" max="14" width="15" customWidth="1"/>
    <col min="15" max="15" width="16" customWidth="1"/>
    <col min="17" max="19" width="14" customWidth="1"/>
  </cols>
  <sheetData>
    <row r="1" spans="1:15" ht="20.5" x14ac:dyDescent="0.35">
      <c r="A1" s="92" t="s">
        <v>668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</row>
    <row r="3" spans="1:15" ht="15.5" x14ac:dyDescent="0.35">
      <c r="A3" s="68" t="s">
        <v>669</v>
      </c>
    </row>
    <row r="5" spans="1:15" x14ac:dyDescent="0.35">
      <c r="A5" s="62"/>
      <c r="B5" s="62" t="s">
        <v>670</v>
      </c>
      <c r="C5" s="62"/>
      <c r="D5" s="62"/>
      <c r="E5" s="62"/>
      <c r="F5" s="62"/>
      <c r="G5" s="62" t="s">
        <v>671</v>
      </c>
      <c r="H5" s="62" t="s">
        <v>671</v>
      </c>
      <c r="I5" s="62" t="s">
        <v>672</v>
      </c>
      <c r="J5" s="62"/>
      <c r="K5" s="62"/>
      <c r="L5" s="62"/>
      <c r="M5" s="62" t="s">
        <v>673</v>
      </c>
      <c r="N5" s="62" t="s">
        <v>673</v>
      </c>
      <c r="O5" s="62" t="s">
        <v>674</v>
      </c>
    </row>
    <row r="6" spans="1:15" x14ac:dyDescent="0.35">
      <c r="A6" s="62" t="s">
        <v>675</v>
      </c>
      <c r="B6" s="62" t="s">
        <v>676</v>
      </c>
      <c r="C6" s="62" t="s">
        <v>677</v>
      </c>
      <c r="D6" s="62" t="s">
        <v>678</v>
      </c>
      <c r="E6" s="62" t="s">
        <v>679</v>
      </c>
      <c r="F6" s="62" t="s">
        <v>680</v>
      </c>
      <c r="G6" s="62" t="s">
        <v>681</v>
      </c>
      <c r="H6" s="62" t="s">
        <v>682</v>
      </c>
      <c r="I6" s="62" t="s">
        <v>676</v>
      </c>
      <c r="J6" s="62" t="s">
        <v>677</v>
      </c>
      <c r="K6" s="62" t="s">
        <v>678</v>
      </c>
      <c r="L6" s="62" t="s">
        <v>679</v>
      </c>
      <c r="M6" s="62" t="s">
        <v>681</v>
      </c>
      <c r="N6" s="62" t="s">
        <v>682</v>
      </c>
      <c r="O6" s="62" t="s">
        <v>683</v>
      </c>
    </row>
    <row r="7" spans="1:15" x14ac:dyDescent="0.35">
      <c r="A7" s="69" t="s">
        <v>684</v>
      </c>
      <c r="B7" s="70">
        <v>46083</v>
      </c>
      <c r="C7" s="70">
        <v>46090</v>
      </c>
      <c r="D7" s="70">
        <v>46097</v>
      </c>
      <c r="E7" s="70">
        <v>46104</v>
      </c>
      <c r="F7" s="70">
        <v>46111</v>
      </c>
      <c r="G7" s="69"/>
      <c r="H7" s="69"/>
      <c r="I7" s="70">
        <v>46118</v>
      </c>
      <c r="J7" s="70">
        <v>46125</v>
      </c>
      <c r="K7" s="70">
        <v>46132</v>
      </c>
      <c r="L7" s="70">
        <v>46139</v>
      </c>
      <c r="M7" s="69"/>
      <c r="N7" s="69"/>
      <c r="O7" s="69" t="s">
        <v>685</v>
      </c>
    </row>
    <row r="8" spans="1:15" x14ac:dyDescent="0.35">
      <c r="A8" s="71" t="s">
        <v>686</v>
      </c>
      <c r="B8" s="72">
        <f>SUMIF(Data!F:F,"&gt;0",Data!F:F)</f>
        <v>227079.90434782603</v>
      </c>
      <c r="C8" s="72">
        <f>SUMIF(Data!H:H,"&gt;0",Data!H:H)</f>
        <v>197195.46086956523</v>
      </c>
      <c r="D8" s="72">
        <f>SUMIF(Data!J:J,"&gt;0",Data!J:J)</f>
        <v>184388.55652173923</v>
      </c>
      <c r="E8" s="72">
        <f>SUMIF(Data!L:L,"&gt;0",Data!L:L)</f>
        <v>288596.38260869577</v>
      </c>
      <c r="F8" s="72">
        <f>SUMIF(Data!N:N,"&gt;0",Data!N:N)</f>
        <v>286859.42608695652</v>
      </c>
      <c r="G8" s="72">
        <f>SUM(B8:F8)</f>
        <v>1184119.7304347828</v>
      </c>
      <c r="H8" s="72">
        <f>G8/5</f>
        <v>236823.94608695657</v>
      </c>
      <c r="I8" s="72">
        <f>SUMIF(Data!P:P,"&gt;0",Data!P:P)</f>
        <v>179693.02608695652</v>
      </c>
      <c r="J8" s="72">
        <f>SUMIF(Data!R:R,"&gt;0",Data!R:R)</f>
        <v>174205.1478260869</v>
      </c>
      <c r="K8" s="72">
        <f>SUMIF(Data!T:T,"&gt;0",Data!T:T)</f>
        <v>264691.09565217397</v>
      </c>
      <c r="L8" s="72">
        <f>SUMIF(Data!V:V,"&gt;0",Data!V:V)</f>
        <v>260043.54782608699</v>
      </c>
      <c r="M8" s="72">
        <f>SUM(I8:L8)</f>
        <v>878632.81739130442</v>
      </c>
      <c r="N8" s="72">
        <f>M8/4</f>
        <v>219658.2043478261</v>
      </c>
      <c r="O8" s="72">
        <f>N8-H8</f>
        <v>-17165.741739130463</v>
      </c>
    </row>
    <row r="10" spans="1:15" ht="15.5" x14ac:dyDescent="0.35">
      <c r="A10" s="68" t="s">
        <v>687</v>
      </c>
    </row>
    <row r="11" spans="1:15" x14ac:dyDescent="0.35">
      <c r="A11" s="62" t="s">
        <v>629</v>
      </c>
      <c r="B11" s="62" t="s">
        <v>676</v>
      </c>
      <c r="C11" s="62" t="s">
        <v>677</v>
      </c>
      <c r="D11" s="62" t="s">
        <v>678</v>
      </c>
      <c r="E11" s="62" t="s">
        <v>679</v>
      </c>
      <c r="F11" s="62" t="s">
        <v>680</v>
      </c>
      <c r="G11" s="62" t="s">
        <v>688</v>
      </c>
      <c r="H11" s="62" t="s">
        <v>689</v>
      </c>
      <c r="I11" s="62" t="s">
        <v>676</v>
      </c>
      <c r="J11" s="62" t="s">
        <v>677</v>
      </c>
      <c r="K11" s="62" t="s">
        <v>678</v>
      </c>
      <c r="L11" s="62" t="s">
        <v>679</v>
      </c>
      <c r="M11" s="62" t="s">
        <v>690</v>
      </c>
      <c r="N11" s="62" t="s">
        <v>691</v>
      </c>
      <c r="O11" s="62" t="s">
        <v>683</v>
      </c>
    </row>
    <row r="12" spans="1:15" x14ac:dyDescent="0.35">
      <c r="A12" t="s">
        <v>562</v>
      </c>
      <c r="B12" s="25">
        <f>SUMIF(Data!$B:$B,"BEEF",Data!$F:$F)</f>
        <v>23725.973913043483</v>
      </c>
      <c r="C12" s="25">
        <f>SUMIF(Data!$B:$B,"BEEF",Data!$H:$H)</f>
        <v>17387.156521739129</v>
      </c>
      <c r="D12" s="25">
        <f>SUMIF(Data!$B:$B,"BEEF",Data!$J:$J)</f>
        <v>16551.347826086952</v>
      </c>
      <c r="E12" s="25">
        <f>SUMIF(Data!$B:$B,"BEEF",Data!$L:$L)</f>
        <v>26909.991304347819</v>
      </c>
      <c r="F12" s="25">
        <f>SUMIF(Data!$B:$B,"BEEF",Data!$N:$N)</f>
        <v>21533.965217391309</v>
      </c>
      <c r="G12" s="25">
        <f t="shared" ref="G12:G21" si="0">SUM(B12:F12)</f>
        <v>106108.43478260869</v>
      </c>
      <c r="H12" s="25">
        <f t="shared" ref="H12:H21" si="1">G12/5</f>
        <v>21221.686956521738</v>
      </c>
      <c r="I12" s="25">
        <f>SUMIF(Data!$B:$B,"BEEF",Data!$P:$P)</f>
        <v>12573.504347826087</v>
      </c>
      <c r="J12" s="25">
        <f>SUMIF(Data!$B:$B,"BEEF",Data!$R:$R)</f>
        <v>14651.478260869566</v>
      </c>
      <c r="K12" s="25">
        <f>SUMIF(Data!$B:$B,"BEEF",Data!$T:$T)</f>
        <v>20630.556521739127</v>
      </c>
      <c r="L12" s="25">
        <f>SUMIF(Data!$B:$B,"BEEF",Data!$V:$V)</f>
        <v>21965.478260869568</v>
      </c>
      <c r="M12" s="25">
        <f t="shared" ref="M12:M21" si="2">SUM(I12:L12)</f>
        <v>69821.01739130434</v>
      </c>
      <c r="N12" s="25">
        <f t="shared" ref="N12:N21" si="3">M12/4</f>
        <v>17455.254347826085</v>
      </c>
      <c r="O12" s="75">
        <f t="shared" ref="O12:O21" si="4">N12-H12</f>
        <v>-3766.4326086956535</v>
      </c>
    </row>
    <row r="13" spans="1:15" x14ac:dyDescent="0.35">
      <c r="A13" t="s">
        <v>567</v>
      </c>
      <c r="B13" s="25">
        <f>SUMIF(Data!$B:$B,"PORK",Data!$F:$F)</f>
        <v>28630.46956521739</v>
      </c>
      <c r="C13" s="25">
        <f>SUMIF(Data!$B:$B,"PORK",Data!$H:$H)</f>
        <v>27864.243478260862</v>
      </c>
      <c r="D13" s="25">
        <f>SUMIF(Data!$B:$B,"PORK",Data!$J:$J)</f>
        <v>26016.182608695653</v>
      </c>
      <c r="E13" s="25">
        <f>SUMIF(Data!$B:$B,"PORK",Data!$L:$L)</f>
        <v>38961.878260869562</v>
      </c>
      <c r="F13" s="25">
        <f>SUMIF(Data!$B:$B,"PORK",Data!$N:$N)</f>
        <v>40240.686956521742</v>
      </c>
      <c r="G13" s="25">
        <f t="shared" si="0"/>
        <v>161713.4608695652</v>
      </c>
      <c r="H13" s="25">
        <f t="shared" si="1"/>
        <v>32342.692173913041</v>
      </c>
      <c r="I13" s="25">
        <f>SUMIF(Data!$B:$B,"PORK",Data!$P:$P)</f>
        <v>23092.426086956519</v>
      </c>
      <c r="J13" s="25">
        <f>SUMIF(Data!$B:$B,"PORK",Data!$R:$R)</f>
        <v>21468.104347826091</v>
      </c>
      <c r="K13" s="25">
        <f>SUMIF(Data!$B:$B,"PORK",Data!$T:$T)</f>
        <v>32821.226086956529</v>
      </c>
      <c r="L13" s="25">
        <f>SUMIF(Data!$B:$B,"PORK",Data!$V:$V)</f>
        <v>28063.217391304348</v>
      </c>
      <c r="M13" s="25">
        <f t="shared" si="2"/>
        <v>105444.97391304349</v>
      </c>
      <c r="N13" s="25">
        <f t="shared" si="3"/>
        <v>26361.243478260873</v>
      </c>
      <c r="O13" s="75">
        <f t="shared" si="4"/>
        <v>-5981.4486956521687</v>
      </c>
    </row>
    <row r="14" spans="1:15" x14ac:dyDescent="0.35">
      <c r="A14" t="s">
        <v>564</v>
      </c>
      <c r="B14" s="25">
        <f>SUMIF(Data!$B:$B,"LAMB",Data!$F:$F)</f>
        <v>6809.782608695652</v>
      </c>
      <c r="C14" s="25">
        <f>SUMIF(Data!$B:$B,"LAMB",Data!$H:$H)</f>
        <v>7706.6695652173912</v>
      </c>
      <c r="D14" s="25">
        <f>SUMIF(Data!$B:$B,"LAMB",Data!$J:$J)</f>
        <v>6749.7652173913057</v>
      </c>
      <c r="E14" s="25">
        <f>SUMIF(Data!$B:$B,"LAMB",Data!$L:$L)</f>
        <v>13589.234782608697</v>
      </c>
      <c r="F14" s="25">
        <f>SUMIF(Data!$B:$B,"LAMB",Data!$N:$N)</f>
        <v>17694.643478260867</v>
      </c>
      <c r="G14" s="25">
        <f t="shared" si="0"/>
        <v>52550.095652173914</v>
      </c>
      <c r="H14" s="25">
        <f t="shared" si="1"/>
        <v>10510.019130434783</v>
      </c>
      <c r="I14" s="25">
        <f>SUMIF(Data!$B:$B,"LAMB",Data!$P:$P)</f>
        <v>7647.8956521739128</v>
      </c>
      <c r="J14" s="25">
        <f>SUMIF(Data!$B:$B,"LAMB",Data!$R:$R)</f>
        <v>6176.5304347826077</v>
      </c>
      <c r="K14" s="25">
        <f>SUMIF(Data!$B:$B,"LAMB",Data!$T:$T)</f>
        <v>22848.504347826085</v>
      </c>
      <c r="L14" s="25">
        <f>SUMIF(Data!$B:$B,"LAMB",Data!$V:$V)</f>
        <v>20296.408695652171</v>
      </c>
      <c r="M14" s="25">
        <f t="shared" si="2"/>
        <v>56969.339130434775</v>
      </c>
      <c r="N14" s="25">
        <f t="shared" si="3"/>
        <v>14242.334782608694</v>
      </c>
      <c r="O14" s="75">
        <f t="shared" si="4"/>
        <v>3732.3156521739111</v>
      </c>
    </row>
    <row r="15" spans="1:15" x14ac:dyDescent="0.35">
      <c r="A15" t="s">
        <v>565</v>
      </c>
      <c r="B15" s="25">
        <f>SUMIF(Data!$B:$B,"MUTTON",Data!$F:$F)</f>
        <v>1995.9217391304348</v>
      </c>
      <c r="C15" s="25">
        <f>SUMIF(Data!$B:$B,"MUTTON",Data!$H:$H)</f>
        <v>5630.2</v>
      </c>
      <c r="D15" s="25">
        <f>SUMIF(Data!$B:$B,"MUTTON",Data!$J:$J)</f>
        <v>3179.6434782608694</v>
      </c>
      <c r="E15" s="25">
        <f>SUMIF(Data!$B:$B,"MUTTON",Data!$L:$L)</f>
        <v>5563.5043478260868</v>
      </c>
      <c r="F15" s="25">
        <f>SUMIF(Data!$B:$B,"MUTTON",Data!$N:$N)</f>
        <v>5494.7478260869566</v>
      </c>
      <c r="G15" s="25">
        <f t="shared" si="0"/>
        <v>21864.017391304347</v>
      </c>
      <c r="H15" s="25">
        <f t="shared" si="1"/>
        <v>4372.8034782608693</v>
      </c>
      <c r="I15" s="25">
        <f>SUMIF(Data!$B:$B,"MUTTON",Data!$P:$P)</f>
        <v>2615.4086956521737</v>
      </c>
      <c r="J15" s="25">
        <f>SUMIF(Data!$B:$B,"MUTTON",Data!$R:$R)</f>
        <v>4047.1043478260872</v>
      </c>
      <c r="K15" s="25">
        <f>SUMIF(Data!$B:$B,"MUTTON",Data!$T:$T)</f>
        <v>3175.2347826086957</v>
      </c>
      <c r="L15" s="25">
        <f>SUMIF(Data!$B:$B,"MUTTON",Data!$V:$V)</f>
        <v>5406.7130434782612</v>
      </c>
      <c r="M15" s="25">
        <f t="shared" si="2"/>
        <v>15244.460869565217</v>
      </c>
      <c r="N15" s="25">
        <f t="shared" si="3"/>
        <v>3811.1152173913042</v>
      </c>
      <c r="O15" s="75">
        <f t="shared" si="4"/>
        <v>-561.68826086956506</v>
      </c>
    </row>
    <row r="16" spans="1:15" x14ac:dyDescent="0.35">
      <c r="A16" t="s">
        <v>692</v>
      </c>
      <c r="B16" s="25">
        <f>SUMIF(Data!$B:$B,"BUTCH  WORS/MINCE/PAT",Data!$F:$F)</f>
        <v>39449.999999999993</v>
      </c>
      <c r="C16" s="25">
        <f>SUMIF(Data!$B:$B,"BUTCH  WORS/MINCE/PAT",Data!$H:$H)</f>
        <v>30977.365217391303</v>
      </c>
      <c r="D16" s="25">
        <f>SUMIF(Data!$B:$B,"BUTCH  WORS/MINCE/PAT",Data!$J:$J)</f>
        <v>30462.947826086962</v>
      </c>
      <c r="E16" s="25">
        <f>SUMIF(Data!$B:$B,"BUTCH  WORS/MINCE/PAT",Data!$L:$L)</f>
        <v>43151.565217391311</v>
      </c>
      <c r="F16" s="25">
        <f>SUMIF(Data!$B:$B,"BUTCH  WORS/MINCE/PAT",Data!$N:$N)</f>
        <v>41844.64347826087</v>
      </c>
      <c r="G16" s="25">
        <f t="shared" si="0"/>
        <v>185886.52173913046</v>
      </c>
      <c r="H16" s="25">
        <f t="shared" si="1"/>
        <v>37177.304347826095</v>
      </c>
      <c r="I16" s="25">
        <f>SUMIF(Data!$B:$B,"BUTCH  WORS/MINCE/PAT",Data!$P:$P)</f>
        <v>34155.382608695647</v>
      </c>
      <c r="J16" s="25">
        <f>SUMIF(Data!$B:$B,"BUTCH  WORS/MINCE/PAT",Data!$R:$R)</f>
        <v>31334.721739130437</v>
      </c>
      <c r="K16" s="25">
        <f>SUMIF(Data!$B:$B,"BUTCH  WORS/MINCE/PAT",Data!$T:$T)</f>
        <v>40959.565217391311</v>
      </c>
      <c r="L16" s="25">
        <f>SUMIF(Data!$B:$B,"BUTCH  WORS/MINCE/PAT",Data!$V:$V)</f>
        <v>41677.852173913052</v>
      </c>
      <c r="M16" s="25">
        <f t="shared" si="2"/>
        <v>148127.52173913043</v>
      </c>
      <c r="N16" s="25">
        <f t="shared" si="3"/>
        <v>37031.880434782608</v>
      </c>
      <c r="O16" s="75">
        <f t="shared" si="4"/>
        <v>-145.42391304348712</v>
      </c>
    </row>
    <row r="17" spans="1:19" x14ac:dyDescent="0.35">
      <c r="A17" t="s">
        <v>693</v>
      </c>
      <c r="B17" s="25">
        <f>SUMIF(Data!$B:$B,"BILT&amp; DROEWORS BUY IN",Data!$F:$F)</f>
        <v>7886.9739130434782</v>
      </c>
      <c r="C17" s="25">
        <f>SUMIF(Data!$B:$B,"BILT&amp; DROEWORS BUY IN",Data!$H:$H)</f>
        <v>6466.9391304347828</v>
      </c>
      <c r="D17" s="25">
        <f>SUMIF(Data!$B:$B,"BILT&amp; DROEWORS BUY IN",Data!$J:$J)</f>
        <v>6232.9652173913046</v>
      </c>
      <c r="E17" s="25">
        <f>SUMIF(Data!$B:$B,"BILT&amp; DROEWORS BUY IN",Data!$L:$L)</f>
        <v>9835.8086956521729</v>
      </c>
      <c r="F17" s="25">
        <f>SUMIF(Data!$B:$B,"BILT&amp; DROEWORS BUY IN",Data!$N:$N)</f>
        <v>8640.4782608695659</v>
      </c>
      <c r="G17" s="25">
        <f t="shared" si="0"/>
        <v>39063.165217391303</v>
      </c>
      <c r="H17" s="25">
        <f t="shared" si="1"/>
        <v>7812.6330434782603</v>
      </c>
      <c r="I17" s="25">
        <f>SUMIF(Data!$B:$B,"BILT&amp; DROEWORS BUY IN",Data!$P:$P)</f>
        <v>5832.6173913043485</v>
      </c>
      <c r="J17" s="25">
        <f>SUMIF(Data!$B:$B,"BILT&amp; DROEWORS BUY IN",Data!$R:$R)</f>
        <v>6585.304347826087</v>
      </c>
      <c r="K17" s="25">
        <f>SUMIF(Data!$B:$B,"BILT&amp; DROEWORS BUY IN",Data!$T:$T)</f>
        <v>8325.4782608695641</v>
      </c>
      <c r="L17" s="25">
        <f>SUMIF(Data!$B:$B,"BILT&amp; DROEWORS BUY IN",Data!$V:$V)</f>
        <v>9434.7304347826102</v>
      </c>
      <c r="M17" s="25">
        <f t="shared" si="2"/>
        <v>30178.130434782612</v>
      </c>
      <c r="N17" s="25">
        <f t="shared" si="3"/>
        <v>7544.5326086956529</v>
      </c>
      <c r="O17" s="75">
        <f t="shared" si="4"/>
        <v>-268.10043478260741</v>
      </c>
    </row>
    <row r="18" spans="1:19" x14ac:dyDescent="0.35">
      <c r="A18" t="s">
        <v>578</v>
      </c>
      <c r="B18" s="25">
        <f>SUMIF(Data!$B:$B,"BUTCHERY SPICE",Data!$F:$F)</f>
        <v>1354.9391304347826</v>
      </c>
      <c r="C18" s="25">
        <f>SUMIF(Data!$B:$B,"BUTCHERY SPICE",Data!$H:$H)</f>
        <v>893.28695652173917</v>
      </c>
      <c r="D18" s="25">
        <f>SUMIF(Data!$B:$B,"BUTCHERY SPICE",Data!$J:$J)</f>
        <v>734.26086956521749</v>
      </c>
      <c r="E18" s="25">
        <f>SUMIF(Data!$B:$B,"BUTCHERY SPICE",Data!$L:$L)</f>
        <v>1573.6782608695651</v>
      </c>
      <c r="F18" s="25">
        <f>SUMIF(Data!$B:$B,"BUTCHERY SPICE",Data!$N:$N)</f>
        <v>1228.7130434782609</v>
      </c>
      <c r="G18" s="25">
        <f t="shared" si="0"/>
        <v>5784.8782608695656</v>
      </c>
      <c r="H18" s="25">
        <f t="shared" si="1"/>
        <v>1156.9756521739132</v>
      </c>
      <c r="I18" s="25">
        <f>SUMIF(Data!$B:$B,"BUTCHERY SPICE",Data!$P:$P)</f>
        <v>782.87826086956534</v>
      </c>
      <c r="J18" s="25">
        <f>SUMIF(Data!$B:$B,"BUTCHERY SPICE",Data!$R:$R)</f>
        <v>1235.7652173913043</v>
      </c>
      <c r="K18" s="25">
        <f>SUMIF(Data!$B:$B,"BUTCHERY SPICE",Data!$T:$T)</f>
        <v>1581.6521739130437</v>
      </c>
      <c r="L18" s="25">
        <f>SUMIF(Data!$B:$B,"BUTCHERY SPICE",Data!$V:$V)</f>
        <v>740.304347826087</v>
      </c>
      <c r="M18" s="25">
        <f t="shared" si="2"/>
        <v>4340.6000000000004</v>
      </c>
      <c r="N18" s="25">
        <f t="shared" si="3"/>
        <v>1085.1500000000001</v>
      </c>
      <c r="O18" s="75">
        <f t="shared" si="4"/>
        <v>-71.825652173913113</v>
      </c>
    </row>
    <row r="19" spans="1:19" x14ac:dyDescent="0.35">
      <c r="A19" t="s">
        <v>370</v>
      </c>
      <c r="B19" s="25">
        <f>SUMIF(Data!$B:$B,"BUTCHERY SNOEK",Data!$F:$F)</f>
        <v>563.42608695652177</v>
      </c>
      <c r="C19" s="25">
        <f>SUMIF(Data!$B:$B,"BUTCHERY SNOEK",Data!$H:$H)</f>
        <v>437.74782608695654</v>
      </c>
      <c r="D19" s="25">
        <f>SUMIF(Data!$B:$B,"BUTCHERY SNOEK",Data!$J:$J)</f>
        <v>331.00869565217397</v>
      </c>
      <c r="E19" s="25">
        <f>SUMIF(Data!$B:$B,"BUTCHERY SNOEK",Data!$L:$L)</f>
        <v>1473.9478260869566</v>
      </c>
      <c r="F19" s="25">
        <f>SUMIF(Data!$B:$B,"BUTCHERY SNOEK",Data!$N:$N)</f>
        <v>4289.5913043478258</v>
      </c>
      <c r="G19" s="25">
        <f t="shared" si="0"/>
        <v>7095.7217391304348</v>
      </c>
      <c r="H19" s="25">
        <f t="shared" si="1"/>
        <v>1419.1443478260869</v>
      </c>
      <c r="I19" s="25">
        <f>SUMIF(Data!$B:$B,"BUTCHERY SNOEK",Data!$P:$P)</f>
        <v>489.22608695652173</v>
      </c>
      <c r="J19" s="25">
        <f>SUMIF(Data!$B:$B,"BUTCHERY SNOEK",Data!$R:$R)</f>
        <v>392.66956521739121</v>
      </c>
      <c r="K19" s="25">
        <f>SUMIF(Data!$B:$B,"BUTCHERY SNOEK",Data!$T:$T)</f>
        <v>514.73913043478262</v>
      </c>
      <c r="L19" s="25">
        <f>SUMIF(Data!$B:$B,"BUTCHERY SNOEK",Data!$V:$V)</f>
        <v>517.24347826086944</v>
      </c>
      <c r="M19" s="25">
        <f t="shared" si="2"/>
        <v>1913.8782608695651</v>
      </c>
      <c r="N19" s="25">
        <f t="shared" si="3"/>
        <v>478.46956521739128</v>
      </c>
      <c r="O19" s="75">
        <f t="shared" si="4"/>
        <v>-940.67478260869564</v>
      </c>
    </row>
    <row r="20" spans="1:19" x14ac:dyDescent="0.35">
      <c r="A20" t="s">
        <v>694</v>
      </c>
      <c r="B20" s="25">
        <f>SUMIF(Data!$B:$B,"BUTCHERY OSTRICH",Data!$F:$F)</f>
        <v>782.53043478260884</v>
      </c>
      <c r="C20" s="25">
        <f>SUMIF(Data!$B:$B,"BUTCHERY OSTRICH",Data!$H:$H)</f>
        <v>173.89565217391305</v>
      </c>
      <c r="D20" s="25">
        <f>SUMIF(Data!$B:$B,"BUTCHERY OSTRICH",Data!$J:$J)</f>
        <v>521.68695652173915</v>
      </c>
      <c r="E20" s="25">
        <f>SUMIF(Data!$B:$B,"BUTCHERY OSTRICH",Data!$L:$L)</f>
        <v>347.7913043478261</v>
      </c>
      <c r="F20" s="25">
        <f>SUMIF(Data!$B:$B,"BUTCHERY OSTRICH",Data!$N:$N)</f>
        <v>434.73913043478262</v>
      </c>
      <c r="G20" s="25">
        <f t="shared" si="0"/>
        <v>2260.6434782608699</v>
      </c>
      <c r="H20" s="25">
        <f t="shared" si="1"/>
        <v>452.12869565217397</v>
      </c>
      <c r="I20" s="25">
        <f>SUMIF(Data!$B:$B,"BUTCHERY OSTRICH",Data!$P:$P)</f>
        <v>347.7913043478261</v>
      </c>
      <c r="J20" s="25">
        <f>SUMIF(Data!$B:$B,"BUTCHERY OSTRICH",Data!$R:$R)</f>
        <v>260.84347826086952</v>
      </c>
      <c r="K20" s="25">
        <f>SUMIF(Data!$B:$B,"BUTCHERY OSTRICH",Data!$T:$T)</f>
        <v>260.84347826086952</v>
      </c>
      <c r="L20" s="25">
        <f>SUMIF(Data!$B:$B,"BUTCHERY OSTRICH",Data!$V:$V)</f>
        <v>434.73913043478262</v>
      </c>
      <c r="M20" s="25">
        <f t="shared" si="2"/>
        <v>1304.2173913043475</v>
      </c>
      <c r="N20" s="25">
        <f t="shared" si="3"/>
        <v>326.05434782608688</v>
      </c>
      <c r="O20" s="75">
        <f t="shared" si="4"/>
        <v>-126.07434782608709</v>
      </c>
      <c r="Q20" t="s">
        <v>629</v>
      </c>
      <c r="R20" t="s">
        <v>720</v>
      </c>
      <c r="S20" t="s">
        <v>721</v>
      </c>
    </row>
    <row r="21" spans="1:19" x14ac:dyDescent="0.35">
      <c r="A21" t="s">
        <v>695</v>
      </c>
      <c r="B21" s="25">
        <f>SUMIF(Data!$B:$B,"PET MINCE/DROEWORS",Data!$F:$F)</f>
        <v>1001.4086956521738</v>
      </c>
      <c r="C21" s="25">
        <f>SUMIF(Data!$B:$B,"PET MINCE/DROEWORS",Data!$H:$H)</f>
        <v>784.73913043478262</v>
      </c>
      <c r="D21" s="25">
        <f>SUMIF(Data!$B:$B,"PET MINCE/DROEWORS",Data!$J:$J)</f>
        <v>412.7652173913043</v>
      </c>
      <c r="E21" s="25">
        <f>SUMIF(Data!$B:$B,"PET MINCE/DROEWORS",Data!$L:$L)</f>
        <v>381.46086956521742</v>
      </c>
      <c r="F21" s="25">
        <f>SUMIF(Data!$B:$B,"PET MINCE/DROEWORS",Data!$N:$N)</f>
        <v>816.32173913043482</v>
      </c>
      <c r="G21" s="25">
        <f t="shared" si="0"/>
        <v>3396.695652173913</v>
      </c>
      <c r="H21" s="25">
        <f t="shared" si="1"/>
        <v>679.33913043478265</v>
      </c>
      <c r="I21" s="25">
        <f>SUMIF(Data!$B:$B,"PET MINCE/DROEWORS",Data!$P:$P)</f>
        <v>459.70434782608697</v>
      </c>
      <c r="J21" s="25">
        <f>SUMIF(Data!$B:$B,"PET MINCE/DROEWORS",Data!$R:$R)</f>
        <v>550.64347826086953</v>
      </c>
      <c r="K21" s="25">
        <f>SUMIF(Data!$B:$B,"PET MINCE/DROEWORS",Data!$T:$T)</f>
        <v>833.49565217391296</v>
      </c>
      <c r="L21" s="25">
        <f>SUMIF(Data!$B:$B,"PET MINCE/DROEWORS",Data!$V:$V)</f>
        <v>332.15652173913054</v>
      </c>
      <c r="M21" s="25">
        <f t="shared" si="2"/>
        <v>2176</v>
      </c>
      <c r="N21" s="25">
        <f t="shared" si="3"/>
        <v>544</v>
      </c>
      <c r="O21" s="75">
        <f t="shared" si="4"/>
        <v>-135.33913043478265</v>
      </c>
      <c r="Q21" t="s">
        <v>562</v>
      </c>
      <c r="R21">
        <f t="shared" ref="R21:R26" si="5">H12</f>
        <v>21221.686956521738</v>
      </c>
      <c r="S21">
        <f t="shared" ref="S21:S26" si="6">N12</f>
        <v>17455.254347826085</v>
      </c>
    </row>
    <row r="22" spans="1:19" x14ac:dyDescent="0.35">
      <c r="Q22" t="s">
        <v>567</v>
      </c>
      <c r="R22">
        <f t="shared" si="5"/>
        <v>32342.692173913041</v>
      </c>
      <c r="S22">
        <f t="shared" si="6"/>
        <v>26361.243478260873</v>
      </c>
    </row>
    <row r="23" spans="1:19" x14ac:dyDescent="0.35">
      <c r="Q23" t="s">
        <v>564</v>
      </c>
      <c r="R23">
        <f t="shared" si="5"/>
        <v>10510.019130434783</v>
      </c>
      <c r="S23">
        <f t="shared" si="6"/>
        <v>14242.334782608694</v>
      </c>
    </row>
    <row r="24" spans="1:19" ht="15.5" x14ac:dyDescent="0.35">
      <c r="A24" s="68" t="s">
        <v>696</v>
      </c>
      <c r="Q24" t="s">
        <v>565</v>
      </c>
      <c r="R24">
        <f t="shared" si="5"/>
        <v>4372.8034782608693</v>
      </c>
      <c r="S24">
        <f t="shared" si="6"/>
        <v>3811.1152173913042</v>
      </c>
    </row>
    <row r="25" spans="1:19" x14ac:dyDescent="0.35">
      <c r="A25" s="62" t="s">
        <v>697</v>
      </c>
      <c r="B25" s="62" t="s">
        <v>698</v>
      </c>
      <c r="C25" s="62" t="s">
        <v>699</v>
      </c>
      <c r="D25" s="62" t="s">
        <v>700</v>
      </c>
      <c r="E25" s="62" t="s">
        <v>701</v>
      </c>
      <c r="F25" s="62" t="s">
        <v>702</v>
      </c>
      <c r="G25" s="62" t="s">
        <v>703</v>
      </c>
      <c r="Q25" t="s">
        <v>692</v>
      </c>
      <c r="R25">
        <f t="shared" si="5"/>
        <v>37177.304347826095</v>
      </c>
      <c r="S25">
        <f t="shared" si="6"/>
        <v>37031.880434782608</v>
      </c>
    </row>
    <row r="26" spans="1:19" x14ac:dyDescent="0.35">
      <c r="A26" t="s">
        <v>642</v>
      </c>
      <c r="B26" s="73">
        <f>G8</f>
        <v>1184119.7304347828</v>
      </c>
      <c r="C26" s="73">
        <f>M8</f>
        <v>878632.81739130442</v>
      </c>
      <c r="D26" s="73">
        <f>C26-B26</f>
        <v>-305486.91304347839</v>
      </c>
      <c r="E26" s="74">
        <f>IF(B26=0,0,(C26-B26)/B26)</f>
        <v>-0.25798650693144881</v>
      </c>
      <c r="F26" s="73">
        <f>H8</f>
        <v>236823.94608695657</v>
      </c>
      <c r="G26" s="73">
        <f>N8</f>
        <v>219658.2043478261</v>
      </c>
      <c r="Q26" t="s">
        <v>693</v>
      </c>
      <c r="R26">
        <f t="shared" si="5"/>
        <v>7812.6330434782603</v>
      </c>
      <c r="S26">
        <f t="shared" si="6"/>
        <v>7544.5326086956529</v>
      </c>
    </row>
    <row r="29" spans="1:19" ht="15.5" x14ac:dyDescent="0.35">
      <c r="A29" s="68" t="s">
        <v>704</v>
      </c>
    </row>
    <row r="30" spans="1:19" x14ac:dyDescent="0.35">
      <c r="A30" s="62" t="s">
        <v>705</v>
      </c>
      <c r="B30" s="62">
        <v>1</v>
      </c>
      <c r="C30" s="62">
        <v>2</v>
      </c>
      <c r="D30" s="62">
        <v>3</v>
      </c>
      <c r="E30" s="62">
        <v>4</v>
      </c>
      <c r="F30" s="62">
        <v>5</v>
      </c>
      <c r="G30" s="62">
        <v>6</v>
      </c>
      <c r="H30" s="62">
        <v>7</v>
      </c>
      <c r="I30" s="62">
        <v>8</v>
      </c>
      <c r="J30" s="62">
        <v>9</v>
      </c>
      <c r="K30" s="62" t="s">
        <v>706</v>
      </c>
    </row>
    <row r="31" spans="1:19" x14ac:dyDescent="0.35">
      <c r="A31" s="69" t="s">
        <v>707</v>
      </c>
      <c r="B31" s="69" t="s">
        <v>708</v>
      </c>
      <c r="C31" s="69" t="s">
        <v>708</v>
      </c>
      <c r="D31" s="69" t="s">
        <v>708</v>
      </c>
      <c r="E31" s="69" t="s">
        <v>708</v>
      </c>
      <c r="F31" s="69" t="s">
        <v>708</v>
      </c>
      <c r="G31" s="69" t="s">
        <v>709</v>
      </c>
      <c r="H31" s="69" t="s">
        <v>709</v>
      </c>
      <c r="I31" s="69" t="s">
        <v>709</v>
      </c>
      <c r="J31" s="69" t="s">
        <v>709</v>
      </c>
      <c r="K31" s="69"/>
    </row>
    <row r="32" spans="1:19" x14ac:dyDescent="0.35">
      <c r="A32" s="69" t="s">
        <v>684</v>
      </c>
      <c r="B32" s="70">
        <v>46083</v>
      </c>
      <c r="C32" s="70">
        <v>46090</v>
      </c>
      <c r="D32" s="70">
        <v>46097</v>
      </c>
      <c r="E32" s="70">
        <v>46104</v>
      </c>
      <c r="F32" s="70">
        <v>46111</v>
      </c>
      <c r="G32" s="70">
        <v>46118</v>
      </c>
      <c r="H32" s="70">
        <v>46125</v>
      </c>
      <c r="I32" s="70">
        <v>46132</v>
      </c>
      <c r="J32" s="70">
        <v>46139</v>
      </c>
      <c r="K32" s="69"/>
    </row>
    <row r="33" spans="1:18" x14ac:dyDescent="0.35">
      <c r="A33" t="s">
        <v>710</v>
      </c>
      <c r="B33" s="25">
        <f>B8</f>
        <v>227079.90434782603</v>
      </c>
      <c r="C33" s="25">
        <f>C8</f>
        <v>197195.46086956523</v>
      </c>
      <c r="D33" s="25">
        <f>D8</f>
        <v>184388.55652173923</v>
      </c>
      <c r="E33" s="25">
        <f>E8</f>
        <v>288596.38260869577</v>
      </c>
      <c r="F33" s="25">
        <f>F8</f>
        <v>286859.42608695652</v>
      </c>
      <c r="G33" s="25">
        <f>I8</f>
        <v>179693.02608695652</v>
      </c>
      <c r="H33" s="25">
        <f>J8</f>
        <v>174205.1478260869</v>
      </c>
      <c r="I33" s="25">
        <f>K8</f>
        <v>264691.09565217397</v>
      </c>
      <c r="J33" s="25">
        <f>L8</f>
        <v>260043.54782608699</v>
      </c>
      <c r="K33" s="25">
        <f>MAX(B33:J33)</f>
        <v>288596.38260869577</v>
      </c>
    </row>
    <row r="34" spans="1:18" x14ac:dyDescent="0.35">
      <c r="A34" t="s">
        <v>711</v>
      </c>
      <c r="B34" t="s">
        <v>712</v>
      </c>
      <c r="C34" s="75">
        <f t="shared" ref="C34:J34" si="7">C33-B33</f>
        <v>-29884.4434782608</v>
      </c>
      <c r="D34" s="75">
        <f t="shared" si="7"/>
        <v>-12806.904347825999</v>
      </c>
      <c r="E34" s="75">
        <f t="shared" si="7"/>
        <v>104207.82608695654</v>
      </c>
      <c r="F34" s="75">
        <f t="shared" si="7"/>
        <v>-1736.9565217392519</v>
      </c>
      <c r="G34" s="75">
        <f t="shared" si="7"/>
        <v>-107166.39999999999</v>
      </c>
      <c r="H34" s="75">
        <f t="shared" si="7"/>
        <v>-5487.8782608696201</v>
      </c>
      <c r="I34" s="75">
        <f t="shared" si="7"/>
        <v>90485.947826087067</v>
      </c>
      <c r="J34" s="75">
        <f t="shared" si="7"/>
        <v>-4647.5478260869859</v>
      </c>
    </row>
    <row r="35" spans="1:18" x14ac:dyDescent="0.35">
      <c r="A35" t="s">
        <v>713</v>
      </c>
      <c r="B35" t="s">
        <v>712</v>
      </c>
      <c r="C35" s="76">
        <f t="shared" ref="C35:J35" si="8">IF(B33=0,0,C34/B33)</f>
        <v>-0.13160320621099866</v>
      </c>
      <c r="D35" s="76">
        <f t="shared" si="8"/>
        <v>-6.4945228918312253E-2</v>
      </c>
      <c r="E35" s="76">
        <f t="shared" si="8"/>
        <v>0.56515343496748149</v>
      </c>
      <c r="F35" s="76">
        <f t="shared" si="8"/>
        <v>-6.0186358056135772E-3</v>
      </c>
      <c r="G35" s="76">
        <f t="shared" si="8"/>
        <v>-0.37358507427088811</v>
      </c>
      <c r="H35" s="76">
        <f t="shared" si="8"/>
        <v>-3.0540296306290383E-2</v>
      </c>
      <c r="I35" s="76">
        <f t="shared" si="8"/>
        <v>0.51942177917969057</v>
      </c>
      <c r="J35" s="76">
        <f t="shared" si="8"/>
        <v>-1.7558383725133877E-2</v>
      </c>
    </row>
    <row r="38" spans="1:18" ht="15.5" x14ac:dyDescent="0.35">
      <c r="A38" s="68" t="s">
        <v>714</v>
      </c>
      <c r="Q38" t="s">
        <v>675</v>
      </c>
      <c r="R38" t="s">
        <v>722</v>
      </c>
    </row>
    <row r="39" spans="1:18" x14ac:dyDescent="0.35">
      <c r="Q39" t="s">
        <v>723</v>
      </c>
      <c r="R39">
        <f>C34</f>
        <v>-29884.4434782608</v>
      </c>
    </row>
    <row r="40" spans="1:18" x14ac:dyDescent="0.35">
      <c r="A40" t="s">
        <v>715</v>
      </c>
      <c r="Q40" t="s">
        <v>724</v>
      </c>
      <c r="R40">
        <f>D34</f>
        <v>-12806.904347825999</v>
      </c>
    </row>
    <row r="41" spans="1:18" x14ac:dyDescent="0.35">
      <c r="A41" t="s">
        <v>716</v>
      </c>
      <c r="Q41" t="s">
        <v>725</v>
      </c>
      <c r="R41">
        <f>E34</f>
        <v>104207.82608695654</v>
      </c>
    </row>
    <row r="42" spans="1:18" x14ac:dyDescent="0.35">
      <c r="A42" t="s">
        <v>717</v>
      </c>
      <c r="Q42" t="s">
        <v>726</v>
      </c>
      <c r="R42">
        <f>F34</f>
        <v>-1736.9565217392519</v>
      </c>
    </row>
    <row r="43" spans="1:18" x14ac:dyDescent="0.35">
      <c r="A43" t="s">
        <v>718</v>
      </c>
      <c r="Q43" t="s">
        <v>727</v>
      </c>
      <c r="R43">
        <f>G34</f>
        <v>-107166.39999999999</v>
      </c>
    </row>
    <row r="44" spans="1:18" x14ac:dyDescent="0.35">
      <c r="A44" t="s">
        <v>719</v>
      </c>
      <c r="Q44" t="s">
        <v>728</v>
      </c>
      <c r="R44">
        <f>H34</f>
        <v>-5487.8782608696201</v>
      </c>
    </row>
    <row r="45" spans="1:18" x14ac:dyDescent="0.35">
      <c r="Q45" t="s">
        <v>729</v>
      </c>
      <c r="R45">
        <f>I34</f>
        <v>90485.947826087067</v>
      </c>
    </row>
    <row r="46" spans="1:18" x14ac:dyDescent="0.35">
      <c r="Q46" t="s">
        <v>730</v>
      </c>
      <c r="R46">
        <f>J34</f>
        <v>-4647.5478260869859</v>
      </c>
    </row>
  </sheetData>
  <mergeCells count="1">
    <mergeCell ref="A1:O1"/>
  </mergeCells>
  <conditionalFormatting sqref="C34:J34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O12:O21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Data</vt:lpstr>
      <vt:lpstr>Lookup</vt:lpstr>
      <vt:lpstr>Summary</vt:lpstr>
      <vt:lpstr>Summary Pivot</vt:lpstr>
      <vt:lpstr>Sheet1</vt:lpstr>
      <vt:lpstr>Sales Insights</vt:lpstr>
      <vt:lpstr>March vs April</vt:lpstr>
      <vt:lpstr>'Summary Pivot'!Print_Titles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Gerhard Stimie</cp:lastModifiedBy>
  <cp:lastPrinted>2026-05-08T11:36:03Z</cp:lastPrinted>
  <dcterms:created xsi:type="dcterms:W3CDTF">2026-05-06T15:55:29Z</dcterms:created>
  <dcterms:modified xsi:type="dcterms:W3CDTF">2026-05-10T07:32:56Z</dcterms:modified>
</cp:coreProperties>
</file>
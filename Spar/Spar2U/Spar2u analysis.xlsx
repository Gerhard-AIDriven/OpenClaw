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stim\.openclaw\workspace\Spar\Spar2U\"/>
    </mc:Choice>
  </mc:AlternateContent>
  <xr:revisionPtr revIDLastSave="0" documentId="13_ncr:1_{EA9F409F-3114-4635-AD6E-D0F7F4330815}" xr6:coauthVersionLast="47" xr6:coauthVersionMax="47" xr10:uidLastSave="{00000000-0000-0000-0000-000000000000}"/>
  <bookViews>
    <workbookView xWindow="-110" yWindow="-110" windowWidth="19420" windowHeight="10300" firstSheet="1" activeTab="3" xr2:uid="{00000000-000D-0000-FFFF-FFFF00000000}"/>
  </bookViews>
  <sheets>
    <sheet name="Overview" sheetId="4" r:id="rId1"/>
    <sheet name="Insights" sheetId="2" r:id="rId2"/>
    <sheet name="Weekly Forecast" sheetId="3" r:id="rId3"/>
    <sheet name="Transactions" sheetId="1"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3" l="1"/>
  <c r="J5" i="3"/>
  <c r="G61" i="3"/>
  <c r="G60" i="3"/>
  <c r="G59" i="3"/>
  <c r="G58" i="3"/>
  <c r="G57" i="3"/>
  <c r="G56" i="3"/>
  <c r="G55" i="3"/>
  <c r="G54" i="3"/>
  <c r="G53" i="3"/>
  <c r="F61" i="3"/>
  <c r="F60" i="3"/>
  <c r="F59" i="3"/>
  <c r="F58" i="3"/>
  <c r="F57" i="3"/>
  <c r="F56" i="3"/>
  <c r="F55" i="3"/>
  <c r="F54" i="3"/>
  <c r="F53" i="3"/>
  <c r="E61" i="3"/>
  <c r="E60" i="3"/>
  <c r="E59" i="3"/>
  <c r="E58" i="3"/>
  <c r="E57" i="3"/>
  <c r="E56" i="3"/>
  <c r="E55" i="3"/>
  <c r="E54" i="3"/>
  <c r="E53" i="3"/>
  <c r="D61" i="3"/>
  <c r="D60" i="3"/>
  <c r="D59" i="3"/>
  <c r="D58" i="3"/>
  <c r="D57" i="3"/>
  <c r="D56" i="3"/>
  <c r="D55" i="3"/>
  <c r="D54" i="3"/>
  <c r="D53" i="3"/>
  <c r="C61" i="3" a="1"/>
  <c r="C61" i="3" s="1"/>
  <c r="C60" i="3"/>
  <c r="C60" i="3" a="1"/>
  <c r="C59" i="3" a="1"/>
  <c r="C59" i="3" s="1"/>
  <c r="C58" i="3" a="1"/>
  <c r="C58" i="3" s="1"/>
  <c r="C57" i="3" a="1"/>
  <c r="C57" i="3" s="1"/>
  <c r="C56" i="3"/>
  <c r="C56" i="3" a="1"/>
  <c r="C55" i="3" a="1"/>
  <c r="C55" i="3" s="1"/>
  <c r="C54" i="3" a="1"/>
  <c r="C54" i="3" s="1"/>
  <c r="C53" i="3" a="1"/>
  <c r="C53" i="3" s="1"/>
  <c r="B6" i="3" a="1"/>
  <c r="B6" i="3" s="1"/>
  <c r="B48" i="3" a="1"/>
  <c r="B48" i="3" s="1"/>
  <c r="B47" i="3" a="1"/>
  <c r="B47" i="3" s="1"/>
  <c r="B46" i="3" a="1"/>
  <c r="B46" i="3" s="1"/>
  <c r="B45" i="3" a="1"/>
  <c r="B45" i="3" s="1"/>
  <c r="B44" i="3" a="1"/>
  <c r="B44" i="3" s="1"/>
  <c r="B43" i="3" a="1"/>
  <c r="B43" i="3" s="1"/>
  <c r="B42" i="3" a="1"/>
  <c r="B42" i="3" s="1"/>
  <c r="B41" i="3" a="1"/>
  <c r="B41" i="3" s="1"/>
  <c r="B40" i="3" a="1"/>
  <c r="B40" i="3" s="1"/>
  <c r="B39" i="3" a="1"/>
  <c r="B39" i="3" s="1"/>
  <c r="B38" i="3" a="1"/>
  <c r="B38" i="3" s="1"/>
  <c r="B37" i="3" a="1"/>
  <c r="B37" i="3" s="1"/>
  <c r="B36" i="3" a="1"/>
  <c r="B36" i="3" s="1"/>
  <c r="B35" i="3" a="1"/>
  <c r="B35" i="3" s="1"/>
  <c r="B34" i="3" a="1"/>
  <c r="B34" i="3" s="1"/>
  <c r="B33" i="3" a="1"/>
  <c r="B33" i="3" s="1"/>
  <c r="B32" i="3" a="1"/>
  <c r="B32" i="3" s="1"/>
  <c r="B31" i="3" a="1"/>
  <c r="B31" i="3" s="1"/>
  <c r="B30" i="3" a="1"/>
  <c r="B30" i="3" s="1"/>
  <c r="B29" i="3" a="1"/>
  <c r="B29" i="3" s="1"/>
  <c r="B28" i="3" a="1"/>
  <c r="B28" i="3" s="1"/>
  <c r="B27" i="3" a="1"/>
  <c r="B27" i="3" s="1"/>
  <c r="B26" i="3" a="1"/>
  <c r="B26" i="3" s="1"/>
  <c r="B25" i="3" a="1"/>
  <c r="B25" i="3" s="1"/>
  <c r="B24" i="3" a="1"/>
  <c r="B24" i="3" s="1"/>
  <c r="B23" i="3" a="1"/>
  <c r="B23" i="3" s="1"/>
  <c r="B22" i="3" a="1"/>
  <c r="B22" i="3" s="1"/>
  <c r="B21" i="3" a="1"/>
  <c r="B21" i="3" s="1"/>
  <c r="B20" i="3" a="1"/>
  <c r="B20" i="3" s="1"/>
  <c r="B19" i="3" a="1"/>
  <c r="B19" i="3" s="1"/>
  <c r="B18" i="3" a="1"/>
  <c r="B18" i="3" s="1"/>
  <c r="B17" i="3" a="1"/>
  <c r="B17" i="3" s="1"/>
  <c r="B16" i="3" a="1"/>
  <c r="B16" i="3" s="1"/>
  <c r="B15" i="3" a="1"/>
  <c r="B15" i="3" s="1"/>
  <c r="B48" i="2"/>
  <c r="B49" i="2"/>
  <c r="B50" i="2"/>
  <c r="B51" i="2"/>
  <c r="B52" i="2"/>
  <c r="D42" i="2"/>
  <c r="D41" i="2"/>
  <c r="D40" i="2"/>
  <c r="D39" i="2"/>
  <c r="D38" i="2"/>
  <c r="D37" i="2"/>
  <c r="D36" i="2"/>
  <c r="D35" i="2"/>
  <c r="D34" i="2"/>
  <c r="C42" i="2" a="1"/>
  <c r="C42" i="2" s="1"/>
  <c r="C41" i="2" a="1"/>
  <c r="C41" i="2" s="1"/>
  <c r="C40" i="2" a="1"/>
  <c r="C40" i="2" s="1"/>
  <c r="C39" i="2" a="1"/>
  <c r="C39" i="2" s="1"/>
  <c r="C38" i="2" a="1"/>
  <c r="C38" i="2" s="1"/>
  <c r="C37" i="2" a="1"/>
  <c r="C37" i="2" s="1"/>
  <c r="C36" i="2" a="1"/>
  <c r="C36" i="2" s="1"/>
  <c r="C35" i="2" a="1"/>
  <c r="C35" i="2" s="1"/>
  <c r="C34" i="2" a="1"/>
  <c r="C34" i="2" s="1"/>
  <c r="B42" i="2" a="1"/>
  <c r="B42" i="2" s="1"/>
  <c r="B41" i="2" a="1"/>
  <c r="B41" i="2" s="1"/>
  <c r="B40" i="2" a="1"/>
  <c r="B40" i="2" s="1"/>
  <c r="B39" i="2" a="1"/>
  <c r="B39" i="2" s="1"/>
  <c r="B38" i="2" a="1"/>
  <c r="B38" i="2" s="1"/>
  <c r="B37" i="2" a="1"/>
  <c r="B37" i="2" s="1"/>
  <c r="B36" i="2" a="1"/>
  <c r="B36" i="2" s="1"/>
  <c r="B35" i="2" a="1"/>
  <c r="B35" i="2" s="1"/>
  <c r="B34" i="2" a="1"/>
  <c r="B34" i="2" s="1"/>
  <c r="J5" i="2"/>
  <c r="G5" i="2"/>
  <c r="D5" i="2"/>
  <c r="A5" i="2"/>
  <c r="B61" i="3"/>
  <c r="B60" i="3"/>
  <c r="B59" i="3"/>
  <c r="B58" i="3"/>
  <c r="B54" i="3"/>
  <c r="B57" i="3"/>
  <c r="B56" i="3"/>
  <c r="B55" i="3"/>
  <c r="B53" i="3"/>
  <c r="G5" i="3" l="1"/>
  <c r="D5" i="3"/>
  <c r="A5"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<sst xmlns="http://schemas.openxmlformats.org/spreadsheetml/2006/main" count="9946" uniqueCount="2295">
  <si>
    <t>Cust. No.</t>
  </si>
  <si>
    <t>Doc. No.</t>
  </si>
  <si>
    <t>Doc. Type</t>
  </si>
  <si>
    <t>Date</t>
  </si>
  <si>
    <t>Origin</t>
  </si>
  <si>
    <t>Nett Value</t>
  </si>
  <si>
    <t>VAT</t>
  </si>
  <si>
    <t>Total Value</t>
  </si>
  <si>
    <t>Comment</t>
  </si>
  <si>
    <t>999999</t>
  </si>
  <si>
    <t>510424</t>
  </si>
  <si>
    <t>Inv</t>
  </si>
  <si>
    <t>01/01/2026</t>
  </si>
  <si>
    <t>Sigma</t>
  </si>
  <si>
    <t>510425</t>
  </si>
  <si>
    <t>510426</t>
  </si>
  <si>
    <t>510427</t>
  </si>
  <si>
    <t>510433</t>
  </si>
  <si>
    <t>510434</t>
  </si>
  <si>
    <t>510435</t>
  </si>
  <si>
    <t>510441</t>
  </si>
  <si>
    <t>510443</t>
  </si>
  <si>
    <t>510444</t>
  </si>
  <si>
    <t>510449</t>
  </si>
  <si>
    <t>02/01/2026</t>
  </si>
  <si>
    <t>510453</t>
  </si>
  <si>
    <t>510456</t>
  </si>
  <si>
    <t>510652</t>
  </si>
  <si>
    <t>510653</t>
  </si>
  <si>
    <t>511412</t>
  </si>
  <si>
    <t>511413</t>
  </si>
  <si>
    <t>511414</t>
  </si>
  <si>
    <t>511421</t>
  </si>
  <si>
    <t>03/01/2026</t>
  </si>
  <si>
    <t>511423</t>
  </si>
  <si>
    <t>511424</t>
  </si>
  <si>
    <t>511426</t>
  </si>
  <si>
    <t>511430</t>
  </si>
  <si>
    <t>511434</t>
  </si>
  <si>
    <t>511436</t>
  </si>
  <si>
    <t>511438</t>
  </si>
  <si>
    <t>511445</t>
  </si>
  <si>
    <t>04/01/2026</t>
  </si>
  <si>
    <t>511446</t>
  </si>
  <si>
    <t>511450</t>
  </si>
  <si>
    <t>511451</t>
  </si>
  <si>
    <t>511456</t>
  </si>
  <si>
    <t>511457</t>
  </si>
  <si>
    <t>511458</t>
  </si>
  <si>
    <t>511459</t>
  </si>
  <si>
    <t>511462</t>
  </si>
  <si>
    <t>511463</t>
  </si>
  <si>
    <t>511464</t>
  </si>
  <si>
    <t>511468</t>
  </si>
  <si>
    <t>511493</t>
  </si>
  <si>
    <t>05/01/2026</t>
  </si>
  <si>
    <t>511570</t>
  </si>
  <si>
    <t>511571</t>
  </si>
  <si>
    <t>511580</t>
  </si>
  <si>
    <t>511589</t>
  </si>
  <si>
    <t>06/01/2026</t>
  </si>
  <si>
    <t>511605</t>
  </si>
  <si>
    <t>511607</t>
  </si>
  <si>
    <t>511608</t>
  </si>
  <si>
    <t>511609</t>
  </si>
  <si>
    <t>511610</t>
  </si>
  <si>
    <t>511952</t>
  </si>
  <si>
    <t>512004</t>
  </si>
  <si>
    <t>512049</t>
  </si>
  <si>
    <t>07/01/2026</t>
  </si>
  <si>
    <t>512091</t>
  </si>
  <si>
    <t>512132</t>
  </si>
  <si>
    <t>512141</t>
  </si>
  <si>
    <t>512175</t>
  </si>
  <si>
    <t>512186</t>
  </si>
  <si>
    <t>512187</t>
  </si>
  <si>
    <t>512188</t>
  </si>
  <si>
    <t>512202</t>
  </si>
  <si>
    <t>08/01/2026</t>
  </si>
  <si>
    <t>512203</t>
  </si>
  <si>
    <t>512222</t>
  </si>
  <si>
    <t>512251</t>
  </si>
  <si>
    <t>512323</t>
  </si>
  <si>
    <t>512332</t>
  </si>
  <si>
    <t>512333</t>
  </si>
  <si>
    <t>512348</t>
  </si>
  <si>
    <t>09/01/2026</t>
  </si>
  <si>
    <t>512362</t>
  </si>
  <si>
    <t>512363</t>
  </si>
  <si>
    <t>512385</t>
  </si>
  <si>
    <t>512386</t>
  </si>
  <si>
    <t>512397</t>
  </si>
  <si>
    <t>512398</t>
  </si>
  <si>
    <t>512407</t>
  </si>
  <si>
    <t>512413</t>
  </si>
  <si>
    <t>512420</t>
  </si>
  <si>
    <t>512421</t>
  </si>
  <si>
    <t>512422</t>
  </si>
  <si>
    <t>512434</t>
  </si>
  <si>
    <t>10/01/2026</t>
  </si>
  <si>
    <t>512452</t>
  </si>
  <si>
    <t>512453</t>
  </si>
  <si>
    <t>512454</t>
  </si>
  <si>
    <t>512470</t>
  </si>
  <si>
    <t>512471</t>
  </si>
  <si>
    <t>512493</t>
  </si>
  <si>
    <t>11/01/2026</t>
  </si>
  <si>
    <t>512494</t>
  </si>
  <si>
    <t>512496</t>
  </si>
  <si>
    <t>512498</t>
  </si>
  <si>
    <t>512514</t>
  </si>
  <si>
    <t>512515</t>
  </si>
  <si>
    <t>512518</t>
  </si>
  <si>
    <t>12/01/2026</t>
  </si>
  <si>
    <t>512519</t>
  </si>
  <si>
    <t>512520</t>
  </si>
  <si>
    <t>512521</t>
  </si>
  <si>
    <t>512522</t>
  </si>
  <si>
    <t>512523</t>
  </si>
  <si>
    <t>512524</t>
  </si>
  <si>
    <t>512682</t>
  </si>
  <si>
    <t>13/01/2026</t>
  </si>
  <si>
    <t>512699</t>
  </si>
  <si>
    <t>512717</t>
  </si>
  <si>
    <t>512734</t>
  </si>
  <si>
    <t>512738</t>
  </si>
  <si>
    <t>512742</t>
  </si>
  <si>
    <t>512743</t>
  </si>
  <si>
    <t>512750</t>
  </si>
  <si>
    <t>512774</t>
  </si>
  <si>
    <t>14/01/2026</t>
  </si>
  <si>
    <t>512815</t>
  </si>
  <si>
    <t>512835</t>
  </si>
  <si>
    <t>512843</t>
  </si>
  <si>
    <t>512844</t>
  </si>
  <si>
    <t>512857</t>
  </si>
  <si>
    <t>15/01/2026</t>
  </si>
  <si>
    <t>512858</t>
  </si>
  <si>
    <t>512923</t>
  </si>
  <si>
    <t>512924</t>
  </si>
  <si>
    <t>512947</t>
  </si>
  <si>
    <t>512966</t>
  </si>
  <si>
    <t>512967</t>
  </si>
  <si>
    <t>513004</t>
  </si>
  <si>
    <t>16/01/2026</t>
  </si>
  <si>
    <t>513021</t>
  </si>
  <si>
    <t>513022</t>
  </si>
  <si>
    <t>513023</t>
  </si>
  <si>
    <t>513033</t>
  </si>
  <si>
    <t>513041</t>
  </si>
  <si>
    <t>513042</t>
  </si>
  <si>
    <t>513057</t>
  </si>
  <si>
    <t>17/01/2026</t>
  </si>
  <si>
    <t>513058</t>
  </si>
  <si>
    <t>513061</t>
  </si>
  <si>
    <t>513062</t>
  </si>
  <si>
    <t>513076</t>
  </si>
  <si>
    <t>513077</t>
  </si>
  <si>
    <t>513079</t>
  </si>
  <si>
    <t>513080</t>
  </si>
  <si>
    <t>513090</t>
  </si>
  <si>
    <t>513093</t>
  </si>
  <si>
    <t>513094</t>
  </si>
  <si>
    <t>513095</t>
  </si>
  <si>
    <t>513096</t>
  </si>
  <si>
    <t>513103</t>
  </si>
  <si>
    <t>18/01/2026</t>
  </si>
  <si>
    <t>513107</t>
  </si>
  <si>
    <t>513108</t>
  </si>
  <si>
    <t>513113</t>
  </si>
  <si>
    <t>513115</t>
  </si>
  <si>
    <t>513116</t>
  </si>
  <si>
    <t>513117</t>
  </si>
  <si>
    <t>513136</t>
  </si>
  <si>
    <t>19/01/2026</t>
  </si>
  <si>
    <t>513161</t>
  </si>
  <si>
    <t>513162</t>
  </si>
  <si>
    <t>513165</t>
  </si>
  <si>
    <t>513168</t>
  </si>
  <si>
    <t>513187</t>
  </si>
  <si>
    <t>513188</t>
  </si>
  <si>
    <t>513194</t>
  </si>
  <si>
    <t>513201</t>
  </si>
  <si>
    <t>513220</t>
  </si>
  <si>
    <t>20/01/2026</t>
  </si>
  <si>
    <t>513235</t>
  </si>
  <si>
    <t>513240</t>
  </si>
  <si>
    <t>513268</t>
  </si>
  <si>
    <t>21/01/2026</t>
  </si>
  <si>
    <t>513277</t>
  </si>
  <si>
    <t>513278</t>
  </si>
  <si>
    <t>513286</t>
  </si>
  <si>
    <t>513290</t>
  </si>
  <si>
    <t>513293</t>
  </si>
  <si>
    <t>513320</t>
  </si>
  <si>
    <t>22/01/2026</t>
  </si>
  <si>
    <t>513331</t>
  </si>
  <si>
    <t>513339</t>
  </si>
  <si>
    <t>513340</t>
  </si>
  <si>
    <t>513341</t>
  </si>
  <si>
    <t>513349</t>
  </si>
  <si>
    <t>513358</t>
  </si>
  <si>
    <t>513359</t>
  </si>
  <si>
    <t>513362</t>
  </si>
  <si>
    <t>513363</t>
  </si>
  <si>
    <t>513402</t>
  </si>
  <si>
    <t>23/01/2026</t>
  </si>
  <si>
    <t>513404</t>
  </si>
  <si>
    <t>513408</t>
  </si>
  <si>
    <t>513411</t>
  </si>
  <si>
    <t>513412</t>
  </si>
  <si>
    <t>513418</t>
  </si>
  <si>
    <t>24/01/2026</t>
  </si>
  <si>
    <t>513421</t>
  </si>
  <si>
    <t>513427</t>
  </si>
  <si>
    <t>513428</t>
  </si>
  <si>
    <t>513429</t>
  </si>
  <si>
    <t>513431</t>
  </si>
  <si>
    <t>513432</t>
  </si>
  <si>
    <t>513433</t>
  </si>
  <si>
    <t>513434</t>
  </si>
  <si>
    <t>513435</t>
  </si>
  <si>
    <t>513438</t>
  </si>
  <si>
    <t>513443</t>
  </si>
  <si>
    <t>25/01/2026</t>
  </si>
  <si>
    <t>513446</t>
  </si>
  <si>
    <t>513451</t>
  </si>
  <si>
    <t>513452</t>
  </si>
  <si>
    <t>513454</t>
  </si>
  <si>
    <t>513456</t>
  </si>
  <si>
    <t>513457</t>
  </si>
  <si>
    <t>513458</t>
  </si>
  <si>
    <t>513459</t>
  </si>
  <si>
    <t>513529</t>
  </si>
  <si>
    <t>26/01/2026</t>
  </si>
  <si>
    <t>513543</t>
  </si>
  <si>
    <t>513552</t>
  </si>
  <si>
    <t>513553</t>
  </si>
  <si>
    <t>513564</t>
  </si>
  <si>
    <t>27/01/2026</t>
  </si>
  <si>
    <t>513569</t>
  </si>
  <si>
    <t>513570</t>
  </si>
  <si>
    <t>513575</t>
  </si>
  <si>
    <t>513581</t>
  </si>
  <si>
    <t>513592</t>
  </si>
  <si>
    <t>513593</t>
  </si>
  <si>
    <t>513594</t>
  </si>
  <si>
    <t>513599</t>
  </si>
  <si>
    <t>513611</t>
  </si>
  <si>
    <t>28/01/2026</t>
  </si>
  <si>
    <t>513615</t>
  </si>
  <si>
    <t>513619</t>
  </si>
  <si>
    <t>513620</t>
  </si>
  <si>
    <t>513622</t>
  </si>
  <si>
    <t>513623</t>
  </si>
  <si>
    <t>513626</t>
  </si>
  <si>
    <t>513627</t>
  </si>
  <si>
    <t>513632</t>
  </si>
  <si>
    <t>513634</t>
  </si>
  <si>
    <t>513635</t>
  </si>
  <si>
    <t>513636</t>
  </si>
  <si>
    <t>513648</t>
  </si>
  <si>
    <t>29/01/2026</t>
  </si>
  <si>
    <t>513942</t>
  </si>
  <si>
    <t>513947</t>
  </si>
  <si>
    <t>513954</t>
  </si>
  <si>
    <t>30/01/2026</t>
  </si>
  <si>
    <t>513970</t>
  </si>
  <si>
    <t>513971</t>
  </si>
  <si>
    <t>513972</t>
  </si>
  <si>
    <t>513977</t>
  </si>
  <si>
    <t>513980</t>
  </si>
  <si>
    <t>513981</t>
  </si>
  <si>
    <t>513985</t>
  </si>
  <si>
    <t>513987</t>
  </si>
  <si>
    <t>31/01/2026</t>
  </si>
  <si>
    <t>513988</t>
  </si>
  <si>
    <t>513989</t>
  </si>
  <si>
    <t>513992</t>
  </si>
  <si>
    <t>513996</t>
  </si>
  <si>
    <t>513997</t>
  </si>
  <si>
    <t>513998</t>
  </si>
  <si>
    <t>513999</t>
  </si>
  <si>
    <t>514002</t>
  </si>
  <si>
    <t>514003</t>
  </si>
  <si>
    <t>514010</t>
  </si>
  <si>
    <t>01/02/2026</t>
  </si>
  <si>
    <t>514011</t>
  </si>
  <si>
    <t>514012</t>
  </si>
  <si>
    <t>514028</t>
  </si>
  <si>
    <t>514033</t>
  </si>
  <si>
    <t>514034</t>
  </si>
  <si>
    <t>514035</t>
  </si>
  <si>
    <t>514056</t>
  </si>
  <si>
    <t>02/02/2026</t>
  </si>
  <si>
    <t>514065</t>
  </si>
  <si>
    <t>514075</t>
  </si>
  <si>
    <t>514087</t>
  </si>
  <si>
    <t>514105</t>
  </si>
  <si>
    <t>514114</t>
  </si>
  <si>
    <t>514115</t>
  </si>
  <si>
    <t>514117</t>
  </si>
  <si>
    <t>514118</t>
  </si>
  <si>
    <t>514122</t>
  </si>
  <si>
    <t>514123</t>
  </si>
  <si>
    <t>514124</t>
  </si>
  <si>
    <t>514126</t>
  </si>
  <si>
    <t>514129</t>
  </si>
  <si>
    <t>514141</t>
  </si>
  <si>
    <t>03/02/2026</t>
  </si>
  <si>
    <t>514152</t>
  </si>
  <si>
    <t>514154</t>
  </si>
  <si>
    <t>514155</t>
  </si>
  <si>
    <t>514166</t>
  </si>
  <si>
    <t>514167</t>
  </si>
  <si>
    <t>515099</t>
  </si>
  <si>
    <t>515100</t>
  </si>
  <si>
    <t>515669</t>
  </si>
  <si>
    <t>515674</t>
  </si>
  <si>
    <t>515675</t>
  </si>
  <si>
    <t>515679</t>
  </si>
  <si>
    <t>515680</t>
  </si>
  <si>
    <t>515708</t>
  </si>
  <si>
    <t>04/02/2026</t>
  </si>
  <si>
    <t>515709</t>
  </si>
  <si>
    <t>515710</t>
  </si>
  <si>
    <t>515720</t>
  </si>
  <si>
    <t>515721</t>
  </si>
  <si>
    <t>515727</t>
  </si>
  <si>
    <t>05/02/2026</t>
  </si>
  <si>
    <t>515728</t>
  </si>
  <si>
    <t>515729</t>
  </si>
  <si>
    <t>515730</t>
  </si>
  <si>
    <t>515731</t>
  </si>
  <si>
    <t>515732</t>
  </si>
  <si>
    <t>515733</t>
  </si>
  <si>
    <t>515734</t>
  </si>
  <si>
    <t>515735</t>
  </si>
  <si>
    <t>515736</t>
  </si>
  <si>
    <t>515737</t>
  </si>
  <si>
    <t>515820</t>
  </si>
  <si>
    <t>06/02/2026</t>
  </si>
  <si>
    <t>515834</t>
  </si>
  <si>
    <t>515839</t>
  </si>
  <si>
    <t>515840</t>
  </si>
  <si>
    <t>515844</t>
  </si>
  <si>
    <t>07/02/2026</t>
  </si>
  <si>
    <t>515848</t>
  </si>
  <si>
    <t>515849</t>
  </si>
  <si>
    <t>515850</t>
  </si>
  <si>
    <t>515851</t>
  </si>
  <si>
    <t>515854</t>
  </si>
  <si>
    <t>515855</t>
  </si>
  <si>
    <t>515856</t>
  </si>
  <si>
    <t>515857</t>
  </si>
  <si>
    <t>515858</t>
  </si>
  <si>
    <t>515859</t>
  </si>
  <si>
    <t>515860</t>
  </si>
  <si>
    <t>515862</t>
  </si>
  <si>
    <t>515863</t>
  </si>
  <si>
    <t>515868</t>
  </si>
  <si>
    <t>08/02/2026</t>
  </si>
  <si>
    <t>515869</t>
  </si>
  <si>
    <t>515878</t>
  </si>
  <si>
    <t>515880</t>
  </si>
  <si>
    <t>515933</t>
  </si>
  <si>
    <t>09/02/2026</t>
  </si>
  <si>
    <t>515948</t>
  </si>
  <si>
    <t>515960</t>
  </si>
  <si>
    <t>515976</t>
  </si>
  <si>
    <t>10/02/2026</t>
  </si>
  <si>
    <t>515983</t>
  </si>
  <si>
    <t>515994</t>
  </si>
  <si>
    <t>515999</t>
  </si>
  <si>
    <t>516256</t>
  </si>
  <si>
    <t>516370</t>
  </si>
  <si>
    <t>516388</t>
  </si>
  <si>
    <t>516389</t>
  </si>
  <si>
    <t>516403</t>
  </si>
  <si>
    <t>516423</t>
  </si>
  <si>
    <t>516444</t>
  </si>
  <si>
    <t>516445</t>
  </si>
  <si>
    <t>516509</t>
  </si>
  <si>
    <t>11/02/2026</t>
  </si>
  <si>
    <t>516512</t>
  </si>
  <si>
    <t>516513</t>
  </si>
  <si>
    <t>516514</t>
  </si>
  <si>
    <t>516580</t>
  </si>
  <si>
    <t>516606</t>
  </si>
  <si>
    <t>12/02/2026</t>
  </si>
  <si>
    <t>516610</t>
  </si>
  <si>
    <t>516619</t>
  </si>
  <si>
    <t>516671</t>
  </si>
  <si>
    <t>516672</t>
  </si>
  <si>
    <t>516679</t>
  </si>
  <si>
    <t>516711</t>
  </si>
  <si>
    <t>516725</t>
  </si>
  <si>
    <t>516727</t>
  </si>
  <si>
    <t>516771</t>
  </si>
  <si>
    <t>13/02/2026</t>
  </si>
  <si>
    <t>516800</t>
  </si>
  <si>
    <t>516817</t>
  </si>
  <si>
    <t>516831</t>
  </si>
  <si>
    <t>516832</t>
  </si>
  <si>
    <t>516879</t>
  </si>
  <si>
    <t>14/02/2026</t>
  </si>
  <si>
    <t>516885</t>
  </si>
  <si>
    <t>516886</t>
  </si>
  <si>
    <t>516890</t>
  </si>
  <si>
    <t>516892</t>
  </si>
  <si>
    <t>516893</t>
  </si>
  <si>
    <t>516894</t>
  </si>
  <si>
    <t>516910</t>
  </si>
  <si>
    <t>15/02/2026</t>
  </si>
  <si>
    <t>516911</t>
  </si>
  <si>
    <t>516912</t>
  </si>
  <si>
    <t>516916</t>
  </si>
  <si>
    <t>516917</t>
  </si>
  <si>
    <t>516920</t>
  </si>
  <si>
    <t>516921</t>
  </si>
  <si>
    <t>517021</t>
  </si>
  <si>
    <t>16/02/2026</t>
  </si>
  <si>
    <t>517056</t>
  </si>
  <si>
    <t>517057</t>
  </si>
  <si>
    <t>517064</t>
  </si>
  <si>
    <t>517065</t>
  </si>
  <si>
    <t>517067</t>
  </si>
  <si>
    <t>517111</t>
  </si>
  <si>
    <t>17/02/2026</t>
  </si>
  <si>
    <t>517117</t>
  </si>
  <si>
    <t>517118</t>
  </si>
  <si>
    <t>517119</t>
  </si>
  <si>
    <t>517131</t>
  </si>
  <si>
    <t>517133</t>
  </si>
  <si>
    <t>517143</t>
  </si>
  <si>
    <t>517144</t>
  </si>
  <si>
    <t>517145</t>
  </si>
  <si>
    <t>517146</t>
  </si>
  <si>
    <t>517148</t>
  </si>
  <si>
    <t>517149</t>
  </si>
  <si>
    <t>517158</t>
  </si>
  <si>
    <t>517159</t>
  </si>
  <si>
    <t>517201</t>
  </si>
  <si>
    <t>18/02/2026</t>
  </si>
  <si>
    <t>517221</t>
  </si>
  <si>
    <t>517237</t>
  </si>
  <si>
    <t>517241</t>
  </si>
  <si>
    <t>517242</t>
  </si>
  <si>
    <t>517259</t>
  </si>
  <si>
    <t>19/02/2026</t>
  </si>
  <si>
    <t>517307</t>
  </si>
  <si>
    <t>517327</t>
  </si>
  <si>
    <t>517333</t>
  </si>
  <si>
    <t>517335</t>
  </si>
  <si>
    <t>517344</t>
  </si>
  <si>
    <t>517345</t>
  </si>
  <si>
    <t>517401</t>
  </si>
  <si>
    <t>20/02/2026</t>
  </si>
  <si>
    <t>517402</t>
  </si>
  <si>
    <t>517403</t>
  </si>
  <si>
    <t>517411</t>
  </si>
  <si>
    <t>517418</t>
  </si>
  <si>
    <t>517428</t>
  </si>
  <si>
    <t>21/02/2026</t>
  </si>
  <si>
    <t>517443</t>
  </si>
  <si>
    <t>517448</t>
  </si>
  <si>
    <t>517455</t>
  </si>
  <si>
    <t>517456</t>
  </si>
  <si>
    <t>517457</t>
  </si>
  <si>
    <t>517461</t>
  </si>
  <si>
    <t>517464</t>
  </si>
  <si>
    <t>517466</t>
  </si>
  <si>
    <t>517491</t>
  </si>
  <si>
    <t>22/02/2026</t>
  </si>
  <si>
    <t>517492</t>
  </si>
  <si>
    <t>517493</t>
  </si>
  <si>
    <t>517495</t>
  </si>
  <si>
    <t>517497</t>
  </si>
  <si>
    <t>517498</t>
  </si>
  <si>
    <t>517512</t>
  </si>
  <si>
    <t>23/02/2026</t>
  </si>
  <si>
    <t>517554</t>
  </si>
  <si>
    <t>517564</t>
  </si>
  <si>
    <t>517596</t>
  </si>
  <si>
    <t>517597</t>
  </si>
  <si>
    <t>517601</t>
  </si>
  <si>
    <t>517606</t>
  </si>
  <si>
    <t>517612</t>
  </si>
  <si>
    <t>517614</t>
  </si>
  <si>
    <t>517615</t>
  </si>
  <si>
    <t>517639</t>
  </si>
  <si>
    <t>24/02/2026</t>
  </si>
  <si>
    <t>517640</t>
  </si>
  <si>
    <t>517643</t>
  </si>
  <si>
    <t>517666</t>
  </si>
  <si>
    <t>517667</t>
  </si>
  <si>
    <t>517668</t>
  </si>
  <si>
    <t>517669</t>
  </si>
  <si>
    <t>517675</t>
  </si>
  <si>
    <t>517689</t>
  </si>
  <si>
    <t>25/02/2026</t>
  </si>
  <si>
    <t>517690</t>
  </si>
  <si>
    <t>517691</t>
  </si>
  <si>
    <t>517704</t>
  </si>
  <si>
    <t>517705</t>
  </si>
  <si>
    <t>517714</t>
  </si>
  <si>
    <t>517730</t>
  </si>
  <si>
    <t>517763</t>
  </si>
  <si>
    <t>26/02/2026</t>
  </si>
  <si>
    <t>517764</t>
  </si>
  <si>
    <t>517765</t>
  </si>
  <si>
    <t>517777</t>
  </si>
  <si>
    <t>517779</t>
  </si>
  <si>
    <t>517780</t>
  </si>
  <si>
    <t>517784</t>
  </si>
  <si>
    <t>517785</t>
  </si>
  <si>
    <t>517786</t>
  </si>
  <si>
    <t>517789</t>
  </si>
  <si>
    <t>517790</t>
  </si>
  <si>
    <t>517791</t>
  </si>
  <si>
    <t>517796</t>
  </si>
  <si>
    <t>517828</t>
  </si>
  <si>
    <t>27/02/2026</t>
  </si>
  <si>
    <t>517832</t>
  </si>
  <si>
    <t>517835</t>
  </si>
  <si>
    <t>517836</t>
  </si>
  <si>
    <t>517837</t>
  </si>
  <si>
    <t>517838</t>
  </si>
  <si>
    <t>517847</t>
  </si>
  <si>
    <t>28/02/2026</t>
  </si>
  <si>
    <t>517851</t>
  </si>
  <si>
    <t>517853</t>
  </si>
  <si>
    <t>517854</t>
  </si>
  <si>
    <t>517855</t>
  </si>
  <si>
    <t>517856</t>
  </si>
  <si>
    <t>517859</t>
  </si>
  <si>
    <t>517864</t>
  </si>
  <si>
    <t>517865</t>
  </si>
  <si>
    <t>517866</t>
  </si>
  <si>
    <t>517870</t>
  </si>
  <si>
    <t>01/03/2026</t>
  </si>
  <si>
    <t>517874</t>
  </si>
  <si>
    <t>517875</t>
  </si>
  <si>
    <t>517877</t>
  </si>
  <si>
    <t>517878</t>
  </si>
  <si>
    <t>517879</t>
  </si>
  <si>
    <t>517880</t>
  </si>
  <si>
    <t>517881</t>
  </si>
  <si>
    <t>517882</t>
  </si>
  <si>
    <t>517902</t>
  </si>
  <si>
    <t>02/03/2026</t>
  </si>
  <si>
    <t>517944</t>
  </si>
  <si>
    <t>517945</t>
  </si>
  <si>
    <t>517946</t>
  </si>
  <si>
    <t>517954</t>
  </si>
  <si>
    <t>517967</t>
  </si>
  <si>
    <t>518662</t>
  </si>
  <si>
    <t>518663</t>
  </si>
  <si>
    <t>518664</t>
  </si>
  <si>
    <t>519463</t>
  </si>
  <si>
    <t>519483</t>
  </si>
  <si>
    <t>03/03/2026</t>
  </si>
  <si>
    <t>519502</t>
  </si>
  <si>
    <t>519503</t>
  </si>
  <si>
    <t>519504</t>
  </si>
  <si>
    <t>519507</t>
  </si>
  <si>
    <t>519508</t>
  </si>
  <si>
    <t>519514</t>
  </si>
  <si>
    <t>519515</t>
  </si>
  <si>
    <t>519516</t>
  </si>
  <si>
    <t>519527</t>
  </si>
  <si>
    <t>04/03/2026</t>
  </si>
  <si>
    <t>520525</t>
  </si>
  <si>
    <t>520526</t>
  </si>
  <si>
    <t>520532</t>
  </si>
  <si>
    <t>520533</t>
  </si>
  <si>
    <t>520534</t>
  </si>
  <si>
    <t>520537</t>
  </si>
  <si>
    <t>520562</t>
  </si>
  <si>
    <t>05/03/2026</t>
  </si>
  <si>
    <t>520575</t>
  </si>
  <si>
    <t>520596</t>
  </si>
  <si>
    <t>520599</t>
  </si>
  <si>
    <t>520603</t>
  </si>
  <si>
    <t>520643</t>
  </si>
  <si>
    <t>06/03/2026</t>
  </si>
  <si>
    <t>520644</t>
  </si>
  <si>
    <t>520645</t>
  </si>
  <si>
    <t>520650</t>
  </si>
  <si>
    <t>520651</t>
  </si>
  <si>
    <t>520652</t>
  </si>
  <si>
    <t>520654</t>
  </si>
  <si>
    <t>520655</t>
  </si>
  <si>
    <t>520659</t>
  </si>
  <si>
    <t>07/03/2026</t>
  </si>
  <si>
    <t>520666</t>
  </si>
  <si>
    <t>520667</t>
  </si>
  <si>
    <t>520668</t>
  </si>
  <si>
    <t>520669</t>
  </si>
  <si>
    <t>520670</t>
  </si>
  <si>
    <t>520678</t>
  </si>
  <si>
    <t>08/03/2026</t>
  </si>
  <si>
    <t>520679</t>
  </si>
  <si>
    <t>520684</t>
  </si>
  <si>
    <t>520685</t>
  </si>
  <si>
    <t>520686</t>
  </si>
  <si>
    <t>520688</t>
  </si>
  <si>
    <t>520689</t>
  </si>
  <si>
    <t>520690</t>
  </si>
  <si>
    <t>520697</t>
  </si>
  <si>
    <t>09/03/2026</t>
  </si>
  <si>
    <t>520717</t>
  </si>
  <si>
    <t>521104</t>
  </si>
  <si>
    <t>521138</t>
  </si>
  <si>
    <t>521140</t>
  </si>
  <si>
    <t>521146</t>
  </si>
  <si>
    <t>521151</t>
  </si>
  <si>
    <t>521158</t>
  </si>
  <si>
    <t>521159</t>
  </si>
  <si>
    <t>521171</t>
  </si>
  <si>
    <t>521210</t>
  </si>
  <si>
    <t>10/03/2026</t>
  </si>
  <si>
    <t>521239</t>
  </si>
  <si>
    <t>521240</t>
  </si>
  <si>
    <t>521246</t>
  </si>
  <si>
    <t>521284</t>
  </si>
  <si>
    <t>521285</t>
  </si>
  <si>
    <t>521295</t>
  </si>
  <si>
    <t>521309</t>
  </si>
  <si>
    <t>521310</t>
  </si>
  <si>
    <t>521311</t>
  </si>
  <si>
    <t>521325</t>
  </si>
  <si>
    <t>521326</t>
  </si>
  <si>
    <t>521327</t>
  </si>
  <si>
    <t>521339</t>
  </si>
  <si>
    <t>11/03/2026</t>
  </si>
  <si>
    <t>521351</t>
  </si>
  <si>
    <t>521357</t>
  </si>
  <si>
    <t>521381</t>
  </si>
  <si>
    <t>521382</t>
  </si>
  <si>
    <t>521400</t>
  </si>
  <si>
    <t>521402</t>
  </si>
  <si>
    <t>521408</t>
  </si>
  <si>
    <t>521409</t>
  </si>
  <si>
    <t>521419</t>
  </si>
  <si>
    <t>521458</t>
  </si>
  <si>
    <t>12/03/2026</t>
  </si>
  <si>
    <t>521487</t>
  </si>
  <si>
    <t>521519</t>
  </si>
  <si>
    <t>521520</t>
  </si>
  <si>
    <t>521535</t>
  </si>
  <si>
    <t>521537</t>
  </si>
  <si>
    <t>521593</t>
  </si>
  <si>
    <t>13/03/2026</t>
  </si>
  <si>
    <t>521594</t>
  </si>
  <si>
    <t>521612</t>
  </si>
  <si>
    <t>521617</t>
  </si>
  <si>
    <t>521621</t>
  </si>
  <si>
    <t>521629</t>
  </si>
  <si>
    <t>521646</t>
  </si>
  <si>
    <t>14/03/2026</t>
  </si>
  <si>
    <t>521665</t>
  </si>
  <si>
    <t>521666</t>
  </si>
  <si>
    <t>521669</t>
  </si>
  <si>
    <t>521670</t>
  </si>
  <si>
    <t>521671</t>
  </si>
  <si>
    <t>521672</t>
  </si>
  <si>
    <t>521673</t>
  </si>
  <si>
    <t>521683</t>
  </si>
  <si>
    <t>15/03/2026</t>
  </si>
  <si>
    <t>521684</t>
  </si>
  <si>
    <t>521685</t>
  </si>
  <si>
    <t>521686</t>
  </si>
  <si>
    <t>521694</t>
  </si>
  <si>
    <t>521699</t>
  </si>
  <si>
    <t>521700</t>
  </si>
  <si>
    <t>521705</t>
  </si>
  <si>
    <t>521706</t>
  </si>
  <si>
    <t>521707</t>
  </si>
  <si>
    <t>521711</t>
  </si>
  <si>
    <t>521712</t>
  </si>
  <si>
    <t>521730</t>
  </si>
  <si>
    <t>16/03/2026</t>
  </si>
  <si>
    <t>521795</t>
  </si>
  <si>
    <t>521796</t>
  </si>
  <si>
    <t>521818</t>
  </si>
  <si>
    <t>521824</t>
  </si>
  <si>
    <t>521825</t>
  </si>
  <si>
    <t>521859</t>
  </si>
  <si>
    <t>17/03/2026</t>
  </si>
  <si>
    <t>521868</t>
  </si>
  <si>
    <t>521883</t>
  </si>
  <si>
    <t>521924</t>
  </si>
  <si>
    <t>18/03/2026</t>
  </si>
  <si>
    <t>521925</t>
  </si>
  <si>
    <t>521926</t>
  </si>
  <si>
    <t>521927</t>
  </si>
  <si>
    <t>521928</t>
  </si>
  <si>
    <t>521929</t>
  </si>
  <si>
    <t>521930</t>
  </si>
  <si>
    <t>521931</t>
  </si>
  <si>
    <t>521932</t>
  </si>
  <si>
    <t>522008</t>
  </si>
  <si>
    <t>19/03/2026</t>
  </si>
  <si>
    <t>522030</t>
  </si>
  <si>
    <t>522031</t>
  </si>
  <si>
    <t>522032</t>
  </si>
  <si>
    <t>522052</t>
  </si>
  <si>
    <t>522053</t>
  </si>
  <si>
    <t>522060</t>
  </si>
  <si>
    <t>522065</t>
  </si>
  <si>
    <t>522079</t>
  </si>
  <si>
    <t>20/03/2026</t>
  </si>
  <si>
    <t>522089</t>
  </si>
  <si>
    <t>522090</t>
  </si>
  <si>
    <t>522105</t>
  </si>
  <si>
    <t>522107</t>
  </si>
  <si>
    <t>522108</t>
  </si>
  <si>
    <t>522109</t>
  </si>
  <si>
    <t>522111</t>
  </si>
  <si>
    <t>522124</t>
  </si>
  <si>
    <t>21/03/2026</t>
  </si>
  <si>
    <t>522136</t>
  </si>
  <si>
    <t>522137</t>
  </si>
  <si>
    <t>522138</t>
  </si>
  <si>
    <t>522139</t>
  </si>
  <si>
    <t>522140</t>
  </si>
  <si>
    <t>522141</t>
  </si>
  <si>
    <t>522145</t>
  </si>
  <si>
    <t>522150</t>
  </si>
  <si>
    <t>22/03/2026</t>
  </si>
  <si>
    <t>522153</t>
  </si>
  <si>
    <t>522159</t>
  </si>
  <si>
    <t>522160</t>
  </si>
  <si>
    <t>522161</t>
  </si>
  <si>
    <t>522162</t>
  </si>
  <si>
    <t>23/03/2026</t>
  </si>
  <si>
    <t>522163</t>
  </si>
  <si>
    <t>522164</t>
  </si>
  <si>
    <t>522165</t>
  </si>
  <si>
    <t>522166</t>
  </si>
  <si>
    <t>522167</t>
  </si>
  <si>
    <t>522265</t>
  </si>
  <si>
    <t>24/03/2026</t>
  </si>
  <si>
    <t>522266</t>
  </si>
  <si>
    <t>522295</t>
  </si>
  <si>
    <t>522300</t>
  </si>
  <si>
    <t>522308</t>
  </si>
  <si>
    <t>522309</t>
  </si>
  <si>
    <t>522310</t>
  </si>
  <si>
    <t>522312</t>
  </si>
  <si>
    <t>522319</t>
  </si>
  <si>
    <t>25/03/2026</t>
  </si>
  <si>
    <t>522320</t>
  </si>
  <si>
    <t>522321</t>
  </si>
  <si>
    <t>522322</t>
  </si>
  <si>
    <t>522323</t>
  </si>
  <si>
    <t>522324</t>
  </si>
  <si>
    <t>522431</t>
  </si>
  <si>
    <t>26/03/2026</t>
  </si>
  <si>
    <t>522436</t>
  </si>
  <si>
    <t>522445</t>
  </si>
  <si>
    <t>522450</t>
  </si>
  <si>
    <t>522454</t>
  </si>
  <si>
    <t>522455</t>
  </si>
  <si>
    <t>522459</t>
  </si>
  <si>
    <t>522463</t>
  </si>
  <si>
    <t>522488</t>
  </si>
  <si>
    <t>27/03/2026</t>
  </si>
  <si>
    <t>522496</t>
  </si>
  <si>
    <t>522499</t>
  </si>
  <si>
    <t>522509</t>
  </si>
  <si>
    <t>522510</t>
  </si>
  <si>
    <t>522511</t>
  </si>
  <si>
    <t>522516</t>
  </si>
  <si>
    <t>28/03/2026</t>
  </si>
  <si>
    <t>522519</t>
  </si>
  <si>
    <t>522521</t>
  </si>
  <si>
    <t>522524</t>
  </si>
  <si>
    <t>522525</t>
  </si>
  <si>
    <t>522526</t>
  </si>
  <si>
    <t>522527</t>
  </si>
  <si>
    <t>522528</t>
  </si>
  <si>
    <t>522530</t>
  </si>
  <si>
    <t>522531</t>
  </si>
  <si>
    <t>522532</t>
  </si>
  <si>
    <t>522541</t>
  </si>
  <si>
    <t>29/03/2026</t>
  </si>
  <si>
    <t>522542</t>
  </si>
  <si>
    <t>522548</t>
  </si>
  <si>
    <t>522550</t>
  </si>
  <si>
    <t>522552</t>
  </si>
  <si>
    <t>522553</t>
  </si>
  <si>
    <t>522586</t>
  </si>
  <si>
    <t>30/03/2026</t>
  </si>
  <si>
    <t>522602</t>
  </si>
  <si>
    <t>522603</t>
  </si>
  <si>
    <t>522606</t>
  </si>
  <si>
    <t>522610</t>
  </si>
  <si>
    <t>522612</t>
  </si>
  <si>
    <t>522614</t>
  </si>
  <si>
    <t>522615</t>
  </si>
  <si>
    <t>522616</t>
  </si>
  <si>
    <t>522618</t>
  </si>
  <si>
    <t>522621</t>
  </si>
  <si>
    <t>522625</t>
  </si>
  <si>
    <t>31/03/2026</t>
  </si>
  <si>
    <t>522634</t>
  </si>
  <si>
    <t>522636</t>
  </si>
  <si>
    <t>522644</t>
  </si>
  <si>
    <t>522653</t>
  </si>
  <si>
    <t>522654</t>
  </si>
  <si>
    <t>522655</t>
  </si>
  <si>
    <t>522656</t>
  </si>
  <si>
    <t>522660</t>
  </si>
  <si>
    <t>522665</t>
  </si>
  <si>
    <t>522666</t>
  </si>
  <si>
    <t>522668</t>
  </si>
  <si>
    <t>522672</t>
  </si>
  <si>
    <t>522673</t>
  </si>
  <si>
    <t>522674</t>
  </si>
  <si>
    <t>522697</t>
  </si>
  <si>
    <t>01/04/2026</t>
  </si>
  <si>
    <t>522698</t>
  </si>
  <si>
    <t>522711</t>
  </si>
  <si>
    <t>522720</t>
  </si>
  <si>
    <t>522721</t>
  </si>
  <si>
    <t>522722</t>
  </si>
  <si>
    <t>522723</t>
  </si>
  <si>
    <t>522726</t>
  </si>
  <si>
    <t>522757</t>
  </si>
  <si>
    <t>02/04/2026</t>
  </si>
  <si>
    <t>522769</t>
  </si>
  <si>
    <t>522770</t>
  </si>
  <si>
    <t>522771</t>
  </si>
  <si>
    <t>522785</t>
  </si>
  <si>
    <t>522792</t>
  </si>
  <si>
    <t>522793</t>
  </si>
  <si>
    <t>522796</t>
  </si>
  <si>
    <t>522804</t>
  </si>
  <si>
    <t>03/04/2026</t>
  </si>
  <si>
    <t>522805</t>
  </si>
  <si>
    <t>522806</t>
  </si>
  <si>
    <t>522807</t>
  </si>
  <si>
    <t>522809</t>
  </si>
  <si>
    <t>522810</t>
  </si>
  <si>
    <t>522811</t>
  </si>
  <si>
    <t>522812</t>
  </si>
  <si>
    <t>522813</t>
  </si>
  <si>
    <t>522814</t>
  </si>
  <si>
    <t>522815</t>
  </si>
  <si>
    <t>522816</t>
  </si>
  <si>
    <t>522827</t>
  </si>
  <si>
    <t>04/04/2026</t>
  </si>
  <si>
    <t>522828</t>
  </si>
  <si>
    <t>522830</t>
  </si>
  <si>
    <t>522831</t>
  </si>
  <si>
    <t>522832</t>
  </si>
  <si>
    <t>522835</t>
  </si>
  <si>
    <t>522837</t>
  </si>
  <si>
    <t>522838</t>
  </si>
  <si>
    <t>522839</t>
  </si>
  <si>
    <t>522841</t>
  </si>
  <si>
    <t>05/04/2026</t>
  </si>
  <si>
    <t>522844</t>
  </si>
  <si>
    <t>522848</t>
  </si>
  <si>
    <t>522849</t>
  </si>
  <si>
    <t>522850</t>
  </si>
  <si>
    <t>522855</t>
  </si>
  <si>
    <t>06/04/2026</t>
  </si>
  <si>
    <t>522869</t>
  </si>
  <si>
    <t>522873</t>
  </si>
  <si>
    <t>522874</t>
  </si>
  <si>
    <t>522875</t>
  </si>
  <si>
    <t>522876</t>
  </si>
  <si>
    <t>522877</t>
  </si>
  <si>
    <t>522878</t>
  </si>
  <si>
    <t>522882</t>
  </si>
  <si>
    <t>522883</t>
  </si>
  <si>
    <t>522884</t>
  </si>
  <si>
    <t>522886</t>
  </si>
  <si>
    <t>522916</t>
  </si>
  <si>
    <t>07/04/2026</t>
  </si>
  <si>
    <t>522917</t>
  </si>
  <si>
    <t>522947</t>
  </si>
  <si>
    <t>522948</t>
  </si>
  <si>
    <t>522977</t>
  </si>
  <si>
    <t>522978</t>
  </si>
  <si>
    <t>522980</t>
  </si>
  <si>
    <t>522982</t>
  </si>
  <si>
    <t>522991</t>
  </si>
  <si>
    <t>08/04/2026</t>
  </si>
  <si>
    <t>523004</t>
  </si>
  <si>
    <t>523007</t>
  </si>
  <si>
    <t>523017</t>
  </si>
  <si>
    <t>523022</t>
  </si>
  <si>
    <t>523024</t>
  </si>
  <si>
    <t>523028</t>
  </si>
  <si>
    <t>523029</t>
  </si>
  <si>
    <t>523040</t>
  </si>
  <si>
    <t>09/04/2026</t>
  </si>
  <si>
    <t>523058</t>
  </si>
  <si>
    <t>523069</t>
  </si>
  <si>
    <t>523477</t>
  </si>
  <si>
    <t>523509</t>
  </si>
  <si>
    <t>523514</t>
  </si>
  <si>
    <t>523519</t>
  </si>
  <si>
    <t>523549</t>
  </si>
  <si>
    <t>10/04/2026</t>
  </si>
  <si>
    <t>523555</t>
  </si>
  <si>
    <t>523579</t>
  </si>
  <si>
    <t>523580</t>
  </si>
  <si>
    <t>523581</t>
  </si>
  <si>
    <t>523589</t>
  </si>
  <si>
    <t>523590</t>
  </si>
  <si>
    <t>523608</t>
  </si>
  <si>
    <t>523619</t>
  </si>
  <si>
    <t>523630</t>
  </si>
  <si>
    <t>523632</t>
  </si>
  <si>
    <t>523633</t>
  </si>
  <si>
    <t>523636</t>
  </si>
  <si>
    <t>523666</t>
  </si>
  <si>
    <t>11/04/2026</t>
  </si>
  <si>
    <t>523675</t>
  </si>
  <si>
    <t>523703</t>
  </si>
  <si>
    <t>523714</t>
  </si>
  <si>
    <t>523715</t>
  </si>
  <si>
    <t>523716</t>
  </si>
  <si>
    <t>523732</t>
  </si>
  <si>
    <t>12/04/2026</t>
  </si>
  <si>
    <t>523733</t>
  </si>
  <si>
    <t>523738</t>
  </si>
  <si>
    <t>523739</t>
  </si>
  <si>
    <t>523740</t>
  </si>
  <si>
    <t>523741</t>
  </si>
  <si>
    <t>523863</t>
  </si>
  <si>
    <t>13/04/2026</t>
  </si>
  <si>
    <t>523900</t>
  </si>
  <si>
    <t>523901</t>
  </si>
  <si>
    <t>523948</t>
  </si>
  <si>
    <t>14/04/2026</t>
  </si>
  <si>
    <t>523949</t>
  </si>
  <si>
    <t>523952</t>
  </si>
  <si>
    <t>524016</t>
  </si>
  <si>
    <t>15/04/2026</t>
  </si>
  <si>
    <t>524017</t>
  </si>
  <si>
    <t>524053</t>
  </si>
  <si>
    <t>524067</t>
  </si>
  <si>
    <t>16/04/2026</t>
  </si>
  <si>
    <t>524096</t>
  </si>
  <si>
    <t>524106</t>
  </si>
  <si>
    <t>524107</t>
  </si>
  <si>
    <t>524108</t>
  </si>
  <si>
    <t>524109</t>
  </si>
  <si>
    <t>524127</t>
  </si>
  <si>
    <t>524136</t>
  </si>
  <si>
    <t>524137</t>
  </si>
  <si>
    <t>524166</t>
  </si>
  <si>
    <t>17/04/2026</t>
  </si>
  <si>
    <t>524177</t>
  </si>
  <si>
    <t>524183</t>
  </si>
  <si>
    <t>524185</t>
  </si>
  <si>
    <t>524186</t>
  </si>
  <si>
    <t>524187</t>
  </si>
  <si>
    <t>524188</t>
  </si>
  <si>
    <t>524189</t>
  </si>
  <si>
    <t>524191</t>
  </si>
  <si>
    <t>524193</t>
  </si>
  <si>
    <t>524194</t>
  </si>
  <si>
    <t>524198</t>
  </si>
  <si>
    <t>18/04/2026</t>
  </si>
  <si>
    <t>524199</t>
  </si>
  <si>
    <t>524200</t>
  </si>
  <si>
    <t>524209</t>
  </si>
  <si>
    <t>524213</t>
  </si>
  <si>
    <t>524216</t>
  </si>
  <si>
    <t>524217</t>
  </si>
  <si>
    <t>524218</t>
  </si>
  <si>
    <t>524221</t>
  </si>
  <si>
    <t>524223</t>
  </si>
  <si>
    <t>524224</t>
  </si>
  <si>
    <t>524226</t>
  </si>
  <si>
    <t>524227</t>
  </si>
  <si>
    <t>524228</t>
  </si>
  <si>
    <t>524229</t>
  </si>
  <si>
    <t>524230</t>
  </si>
  <si>
    <t>524231</t>
  </si>
  <si>
    <t>524238</t>
  </si>
  <si>
    <t>19/04/2026</t>
  </si>
  <si>
    <t>524242</t>
  </si>
  <si>
    <t>524243</t>
  </si>
  <si>
    <t>524244</t>
  </si>
  <si>
    <t>524245</t>
  </si>
  <si>
    <t>524251</t>
  </si>
  <si>
    <t>524252</t>
  </si>
  <si>
    <t>524276</t>
  </si>
  <si>
    <t>20/04/2026</t>
  </si>
  <si>
    <t>524277</t>
  </si>
  <si>
    <t>524332</t>
  </si>
  <si>
    <t>524333</t>
  </si>
  <si>
    <t>524334</t>
  </si>
  <si>
    <t>524335</t>
  </si>
  <si>
    <t>524346</t>
  </si>
  <si>
    <t>524350</t>
  </si>
  <si>
    <t>524351</t>
  </si>
  <si>
    <t>524357</t>
  </si>
  <si>
    <t>524358</t>
  </si>
  <si>
    <t>524392</t>
  </si>
  <si>
    <t>21/04/2026</t>
  </si>
  <si>
    <t>524401</t>
  </si>
  <si>
    <t>524407</t>
  </si>
  <si>
    <t>524412</t>
  </si>
  <si>
    <t>524413</t>
  </si>
  <si>
    <t>524416</t>
  </si>
  <si>
    <t>524419</t>
  </si>
  <si>
    <t>524420</t>
  </si>
  <si>
    <t>524425</t>
  </si>
  <si>
    <t>524456</t>
  </si>
  <si>
    <t>22/04/2026</t>
  </si>
  <si>
    <t>524469</t>
  </si>
  <si>
    <t>524470</t>
  </si>
  <si>
    <t>524471</t>
  </si>
  <si>
    <t>524472</t>
  </si>
  <si>
    <t>524477</t>
  </si>
  <si>
    <t>524483</t>
  </si>
  <si>
    <t>524487</t>
  </si>
  <si>
    <t>524531</t>
  </si>
  <si>
    <t>23/04/2026</t>
  </si>
  <si>
    <t>524543</t>
  </si>
  <si>
    <t>524544</t>
  </si>
  <si>
    <t>524549</t>
  </si>
  <si>
    <t>524551</t>
  </si>
  <si>
    <t>524554</t>
  </si>
  <si>
    <t>524560</t>
  </si>
  <si>
    <t>24/04/2026</t>
  </si>
  <si>
    <t>524569</t>
  </si>
  <si>
    <t>524572</t>
  </si>
  <si>
    <t>524574</t>
  </si>
  <si>
    <t>524575</t>
  </si>
  <si>
    <t>524586</t>
  </si>
  <si>
    <t>524590</t>
  </si>
  <si>
    <t>524595</t>
  </si>
  <si>
    <t>524599</t>
  </si>
  <si>
    <t>524600</t>
  </si>
  <si>
    <t>524601</t>
  </si>
  <si>
    <t>524602</t>
  </si>
  <si>
    <t>524606</t>
  </si>
  <si>
    <t>524613</t>
  </si>
  <si>
    <t>25/04/2026</t>
  </si>
  <si>
    <t>524622</t>
  </si>
  <si>
    <t>524627</t>
  </si>
  <si>
    <t>524628</t>
  </si>
  <si>
    <t>524629</t>
  </si>
  <si>
    <t>524631</t>
  </si>
  <si>
    <t>524632</t>
  </si>
  <si>
    <t>524634</t>
  </si>
  <si>
    <t>524637</t>
  </si>
  <si>
    <t>524640</t>
  </si>
  <si>
    <t>26/04/2026</t>
  </si>
  <si>
    <t>524641</t>
  </si>
  <si>
    <t>524650</t>
  </si>
  <si>
    <t>524651</t>
  </si>
  <si>
    <t>524652</t>
  </si>
  <si>
    <t>524653</t>
  </si>
  <si>
    <t>524654</t>
  </si>
  <si>
    <t>524672</t>
  </si>
  <si>
    <t>27/04/2026</t>
  </si>
  <si>
    <t>524673</t>
  </si>
  <si>
    <t>524674</t>
  </si>
  <si>
    <t>524676</t>
  </si>
  <si>
    <t>524683</t>
  </si>
  <si>
    <t>524684</t>
  </si>
  <si>
    <t>524685</t>
  </si>
  <si>
    <t>524746</t>
  </si>
  <si>
    <t>28/04/2026</t>
  </si>
  <si>
    <t>524747</t>
  </si>
  <si>
    <t>524757</t>
  </si>
  <si>
    <t>524758</t>
  </si>
  <si>
    <t>524759</t>
  </si>
  <si>
    <t>524786</t>
  </si>
  <si>
    <t>29/04/2026</t>
  </si>
  <si>
    <t>524794</t>
  </si>
  <si>
    <t>524795</t>
  </si>
  <si>
    <t>524803</t>
  </si>
  <si>
    <t>524804</t>
  </si>
  <si>
    <t>524819</t>
  </si>
  <si>
    <t>30/04/2026</t>
  </si>
  <si>
    <t>524849</t>
  </si>
  <si>
    <t>524858</t>
  </si>
  <si>
    <t>524866</t>
  </si>
  <si>
    <t>524867</t>
  </si>
  <si>
    <t>524870</t>
  </si>
  <si>
    <t>524872</t>
  </si>
  <si>
    <t>524873</t>
  </si>
  <si>
    <t>524874</t>
  </si>
  <si>
    <t>524886</t>
  </si>
  <si>
    <t>01/05/2026</t>
  </si>
  <si>
    <t>524891</t>
  </si>
  <si>
    <t>524892</t>
  </si>
  <si>
    <t>524893</t>
  </si>
  <si>
    <t>524894</t>
  </si>
  <si>
    <t>524896</t>
  </si>
  <si>
    <t>524897</t>
  </si>
  <si>
    <t>524898</t>
  </si>
  <si>
    <t>524899</t>
  </si>
  <si>
    <t>524900</t>
  </si>
  <si>
    <t>524901</t>
  </si>
  <si>
    <t>524914</t>
  </si>
  <si>
    <t>02/05/2026</t>
  </si>
  <si>
    <t>524915</t>
  </si>
  <si>
    <t>524919</t>
  </si>
  <si>
    <t>524920</t>
  </si>
  <si>
    <t>524921</t>
  </si>
  <si>
    <t>524924</t>
  </si>
  <si>
    <t>524933</t>
  </si>
  <si>
    <t>03/05/2026</t>
  </si>
  <si>
    <t>524935</t>
  </si>
  <si>
    <t>524938</t>
  </si>
  <si>
    <t>524939</t>
  </si>
  <si>
    <t>524940</t>
  </si>
  <si>
    <t>524942</t>
  </si>
  <si>
    <t>524975</t>
  </si>
  <si>
    <t>04/05/2026</t>
  </si>
  <si>
    <t>525015</t>
  </si>
  <si>
    <t>525016</t>
  </si>
  <si>
    <t>525017</t>
  </si>
  <si>
    <t>525018</t>
  </si>
  <si>
    <t>525026</t>
  </si>
  <si>
    <t>525027</t>
  </si>
  <si>
    <t>525039</t>
  </si>
  <si>
    <t>525042</t>
  </si>
  <si>
    <t>525076</t>
  </si>
  <si>
    <t>05/05/2026</t>
  </si>
  <si>
    <t>525077</t>
  </si>
  <si>
    <t>525094</t>
  </si>
  <si>
    <t>525098</t>
  </si>
  <si>
    <t>525099</t>
  </si>
  <si>
    <t>525100</t>
  </si>
  <si>
    <t>525113</t>
  </si>
  <si>
    <t>06/05/2026</t>
  </si>
  <si>
    <t>525117</t>
  </si>
  <si>
    <t>525143</t>
  </si>
  <si>
    <t>525147</t>
  </si>
  <si>
    <t>525148</t>
  </si>
  <si>
    <t>525149</t>
  </si>
  <si>
    <t>525179</t>
  </si>
  <si>
    <t>07/05/2026</t>
  </si>
  <si>
    <t>525180</t>
  </si>
  <si>
    <t>525199</t>
  </si>
  <si>
    <t>525200</t>
  </si>
  <si>
    <t>525201</t>
  </si>
  <si>
    <t>525204</t>
  </si>
  <si>
    <t>525205</t>
  </si>
  <si>
    <t>525211</t>
  </si>
  <si>
    <t>525504</t>
  </si>
  <si>
    <t>525513</t>
  </si>
  <si>
    <t>525519</t>
  </si>
  <si>
    <t>525533</t>
  </si>
  <si>
    <t>08/05/2026</t>
  </si>
  <si>
    <t>525566</t>
  </si>
  <si>
    <t>525567</t>
  </si>
  <si>
    <t>525568</t>
  </si>
  <si>
    <t>525569</t>
  </si>
  <si>
    <t>525588</t>
  </si>
  <si>
    <t>525603</t>
  </si>
  <si>
    <t>525604</t>
  </si>
  <si>
    <t>525646</t>
  </si>
  <si>
    <t>09/05/2026</t>
  </si>
  <si>
    <t>525654</t>
  </si>
  <si>
    <t>525664</t>
  </si>
  <si>
    <t>525665</t>
  </si>
  <si>
    <t>525674</t>
  </si>
  <si>
    <t>525675</t>
  </si>
  <si>
    <t>525684</t>
  </si>
  <si>
    <t>525685</t>
  </si>
  <si>
    <t>525686</t>
  </si>
  <si>
    <t>525693</t>
  </si>
  <si>
    <t>525695</t>
  </si>
  <si>
    <t>525701</t>
  </si>
  <si>
    <t>525706</t>
  </si>
  <si>
    <t>525714</t>
  </si>
  <si>
    <t>10/05/2026</t>
  </si>
  <si>
    <t>525719</t>
  </si>
  <si>
    <t>525723</t>
  </si>
  <si>
    <t>525724</t>
  </si>
  <si>
    <t>525725</t>
  </si>
  <si>
    <t>525732</t>
  </si>
  <si>
    <t>525733</t>
  </si>
  <si>
    <t>525734</t>
  </si>
  <si>
    <t>525735</t>
  </si>
  <si>
    <t>525745</t>
  </si>
  <si>
    <t>525746</t>
  </si>
  <si>
    <t>525747</t>
  </si>
  <si>
    <t>525748</t>
  </si>
  <si>
    <t>525749</t>
  </si>
  <si>
    <t>525750</t>
  </si>
  <si>
    <t>525751</t>
  </si>
  <si>
    <t>525762</t>
  </si>
  <si>
    <t>11/05/2026</t>
  </si>
  <si>
    <t>525763</t>
  </si>
  <si>
    <t>525839</t>
  </si>
  <si>
    <t>525840</t>
  </si>
  <si>
    <t>525842</t>
  </si>
  <si>
    <t>525857</t>
  </si>
  <si>
    <t>12/05/2026</t>
  </si>
  <si>
    <t>525863</t>
  </si>
  <si>
    <t>525876</t>
  </si>
  <si>
    <t>525908</t>
  </si>
  <si>
    <t>525911</t>
  </si>
  <si>
    <t>525917</t>
  </si>
  <si>
    <t>525919</t>
  </si>
  <si>
    <t>525926</t>
  </si>
  <si>
    <t>525945</t>
  </si>
  <si>
    <t>13/05/2026</t>
  </si>
  <si>
    <t>525946</t>
  </si>
  <si>
    <t>525972</t>
  </si>
  <si>
    <t>525977</t>
  </si>
  <si>
    <t>525979</t>
  </si>
  <si>
    <t>526006</t>
  </si>
  <si>
    <t>526020</t>
  </si>
  <si>
    <t>526044</t>
  </si>
  <si>
    <t>14/05/2026</t>
  </si>
  <si>
    <t>526045</t>
  </si>
  <si>
    <t>526066</t>
  </si>
  <si>
    <t>526069</t>
  </si>
  <si>
    <t>526072</t>
  </si>
  <si>
    <t>526073</t>
  </si>
  <si>
    <t>526081</t>
  </si>
  <si>
    <t>15/05/2026</t>
  </si>
  <si>
    <t>526088</t>
  </si>
  <si>
    <t>526113</t>
  </si>
  <si>
    <t>526114</t>
  </si>
  <si>
    <t>526130</t>
  </si>
  <si>
    <t>526131</t>
  </si>
  <si>
    <t>526132</t>
  </si>
  <si>
    <t>526141</t>
  </si>
  <si>
    <t>526143</t>
  </si>
  <si>
    <t>526144</t>
  </si>
  <si>
    <t>526167</t>
  </si>
  <si>
    <t>16/05/2026</t>
  </si>
  <si>
    <t>526168</t>
  </si>
  <si>
    <t>526176</t>
  </si>
  <si>
    <t>526177</t>
  </si>
  <si>
    <t>526179</t>
  </si>
  <si>
    <t>526189</t>
  </si>
  <si>
    <t>17/05/2026</t>
  </si>
  <si>
    <t>526190</t>
  </si>
  <si>
    <t>526191</t>
  </si>
  <si>
    <t>526195</t>
  </si>
  <si>
    <t>526202</t>
  </si>
  <si>
    <t>526203</t>
  </si>
  <si>
    <t>526208</t>
  </si>
  <si>
    <t>526209</t>
  </si>
  <si>
    <t>526210</t>
  </si>
  <si>
    <t>526233</t>
  </si>
  <si>
    <t>18/05/2026</t>
  </si>
  <si>
    <t>526251</t>
  </si>
  <si>
    <t>526252</t>
  </si>
  <si>
    <t>526296</t>
  </si>
  <si>
    <t>526297</t>
  </si>
  <si>
    <t>526298</t>
  </si>
  <si>
    <t>526306</t>
  </si>
  <si>
    <t>526307</t>
  </si>
  <si>
    <t>526318</t>
  </si>
  <si>
    <t>526319</t>
  </si>
  <si>
    <t>526320</t>
  </si>
  <si>
    <t>526322</t>
  </si>
  <si>
    <t>526332</t>
  </si>
  <si>
    <t>19/05/2026</t>
  </si>
  <si>
    <t>526337</t>
  </si>
  <si>
    <t>526357</t>
  </si>
  <si>
    <t>526358</t>
  </si>
  <si>
    <t>526389</t>
  </si>
  <si>
    <t>20/05/2026</t>
  </si>
  <si>
    <t>526396</t>
  </si>
  <si>
    <t>526397</t>
  </si>
  <si>
    <t>526398</t>
  </si>
  <si>
    <t>526399</t>
  </si>
  <si>
    <t>526400</t>
  </si>
  <si>
    <t>526416</t>
  </si>
  <si>
    <t>526417</t>
  </si>
  <si>
    <t>526418</t>
  </si>
  <si>
    <t>526428</t>
  </si>
  <si>
    <t>526452</t>
  </si>
  <si>
    <t>21/05/2026</t>
  </si>
  <si>
    <t>526474</t>
  </si>
  <si>
    <t>526531</t>
  </si>
  <si>
    <t>526533</t>
  </si>
  <si>
    <t>526537</t>
  </si>
  <si>
    <t>526559</t>
  </si>
  <si>
    <t>22/05/2026</t>
  </si>
  <si>
    <t>526565</t>
  </si>
  <si>
    <t>526566</t>
  </si>
  <si>
    <t>526572</t>
  </si>
  <si>
    <t>526594</t>
  </si>
  <si>
    <t>526644</t>
  </si>
  <si>
    <t>23/05/2026</t>
  </si>
  <si>
    <t>526650</t>
  </si>
  <si>
    <t>526656</t>
  </si>
  <si>
    <t>526662</t>
  </si>
  <si>
    <t>24/05/2026</t>
  </si>
  <si>
    <t>526663</t>
  </si>
  <si>
    <t>526664</t>
  </si>
  <si>
    <t>526668</t>
  </si>
  <si>
    <t>526669</t>
  </si>
  <si>
    <t>526670</t>
  </si>
  <si>
    <t>526673</t>
  </si>
  <si>
    <t>526675</t>
  </si>
  <si>
    <t>526724</t>
  </si>
  <si>
    <t>25/05/2026</t>
  </si>
  <si>
    <t>526774</t>
  </si>
  <si>
    <t>526779</t>
  </si>
  <si>
    <t>526782</t>
  </si>
  <si>
    <t>526783</t>
  </si>
  <si>
    <t>526800</t>
  </si>
  <si>
    <t>26/05/2026</t>
  </si>
  <si>
    <t>526801</t>
  </si>
  <si>
    <t>526813</t>
  </si>
  <si>
    <t>526817</t>
  </si>
  <si>
    <t>526854</t>
  </si>
  <si>
    <t>27/05/2026</t>
  </si>
  <si>
    <t>526856</t>
  </si>
  <si>
    <t>526857</t>
  </si>
  <si>
    <t>526858</t>
  </si>
  <si>
    <t>526864</t>
  </si>
  <si>
    <t>526881</t>
  </si>
  <si>
    <t>28/05/2026</t>
  </si>
  <si>
    <t>526893</t>
  </si>
  <si>
    <t>526901</t>
  </si>
  <si>
    <t>526902</t>
  </si>
  <si>
    <t>526910</t>
  </si>
  <si>
    <t>526911</t>
  </si>
  <si>
    <t>526912</t>
  </si>
  <si>
    <t>526952</t>
  </si>
  <si>
    <t>29/05/2026</t>
  </si>
  <si>
    <t>526973</t>
  </si>
  <si>
    <t>30/05/2026</t>
  </si>
  <si>
    <t>526977</t>
  </si>
  <si>
    <t>526978</t>
  </si>
  <si>
    <t>526981</t>
  </si>
  <si>
    <t>526982</t>
  </si>
  <si>
    <t>526983</t>
  </si>
  <si>
    <t>526984</t>
  </si>
  <si>
    <t>526987</t>
  </si>
  <si>
    <t>31/05/2026</t>
  </si>
  <si>
    <t>526988</t>
  </si>
  <si>
    <t>526989</t>
  </si>
  <si>
    <t>526992</t>
  </si>
  <si>
    <t>526993</t>
  </si>
  <si>
    <t>526996</t>
  </si>
  <si>
    <t>526998</t>
  </si>
  <si>
    <t>526999</t>
  </si>
  <si>
    <t>527397</t>
  </si>
  <si>
    <t>01/06/2026</t>
  </si>
  <si>
    <t>527420</t>
  </si>
  <si>
    <t>527421</t>
  </si>
  <si>
    <t>527424</t>
  </si>
  <si>
    <t>527430</t>
  </si>
  <si>
    <t>527437</t>
  </si>
  <si>
    <t>02/06/2026</t>
  </si>
  <si>
    <t>527443</t>
  </si>
  <si>
    <t>527444</t>
  </si>
  <si>
    <t>527449</t>
  </si>
  <si>
    <t>527450</t>
  </si>
  <si>
    <t>527453</t>
  </si>
  <si>
    <t>527456</t>
  </si>
  <si>
    <t>527461</t>
  </si>
  <si>
    <t>527462</t>
  </si>
  <si>
    <t>527463</t>
  </si>
  <si>
    <t>527494</t>
  </si>
  <si>
    <t>03/06/2026</t>
  </si>
  <si>
    <t>527509</t>
  </si>
  <si>
    <t>527510</t>
  </si>
  <si>
    <t>527511</t>
  </si>
  <si>
    <t>527512</t>
  </si>
  <si>
    <t>527516</t>
  </si>
  <si>
    <t>527524</t>
  </si>
  <si>
    <t>527531</t>
  </si>
  <si>
    <t>04/06/2026</t>
  </si>
  <si>
    <t>527541</t>
  </si>
  <si>
    <t>527546</t>
  </si>
  <si>
    <t>527547</t>
  </si>
  <si>
    <t>527563</t>
  </si>
  <si>
    <t>527565</t>
  </si>
  <si>
    <t>527569</t>
  </si>
  <si>
    <t>527574</t>
  </si>
  <si>
    <t>527575</t>
  </si>
  <si>
    <t>527576</t>
  </si>
  <si>
    <t>527582</t>
  </si>
  <si>
    <t>05/06/2026</t>
  </si>
  <si>
    <t>527586</t>
  </si>
  <si>
    <t>527601</t>
  </si>
  <si>
    <t>527608</t>
  </si>
  <si>
    <t>527609</t>
  </si>
  <si>
    <t>527615</t>
  </si>
  <si>
    <t>06/06/2026</t>
  </si>
  <si>
    <t>527617</t>
  </si>
  <si>
    <t>527618</t>
  </si>
  <si>
    <t>527620</t>
  </si>
  <si>
    <t>527621</t>
  </si>
  <si>
    <t>527622</t>
  </si>
  <si>
    <t>527628</t>
  </si>
  <si>
    <t>07/06/2026</t>
  </si>
  <si>
    <t>527637</t>
  </si>
  <si>
    <t>527638</t>
  </si>
  <si>
    <t>527639</t>
  </si>
  <si>
    <t>527685</t>
  </si>
  <si>
    <t>08/06/2026</t>
  </si>
  <si>
    <t>527693</t>
  </si>
  <si>
    <t>527701</t>
  </si>
  <si>
    <t>527708</t>
  </si>
  <si>
    <t>527715</t>
  </si>
  <si>
    <t>09/06/2026</t>
  </si>
  <si>
    <t>527722</t>
  </si>
  <si>
    <t>527725</t>
  </si>
  <si>
    <t>527730</t>
  </si>
  <si>
    <t>527735</t>
  </si>
  <si>
    <t>527973</t>
  </si>
  <si>
    <t>528043</t>
  </si>
  <si>
    <t>10/06/2026</t>
  </si>
  <si>
    <t>528082</t>
  </si>
  <si>
    <t>528083</t>
  </si>
  <si>
    <t>528106</t>
  </si>
  <si>
    <t>528108</t>
  </si>
  <si>
    <t>528109</t>
  </si>
  <si>
    <t>528110</t>
  </si>
  <si>
    <t>528116</t>
  </si>
  <si>
    <t>528117</t>
  </si>
  <si>
    <t>528120</t>
  </si>
  <si>
    <t>528124</t>
  </si>
  <si>
    <t>528133</t>
  </si>
  <si>
    <t>11/06/2026</t>
  </si>
  <si>
    <t>528158</t>
  </si>
  <si>
    <t>528269</t>
  </si>
  <si>
    <t>528272</t>
  </si>
  <si>
    <t>528278</t>
  </si>
  <si>
    <t>528281</t>
  </si>
  <si>
    <t>528290</t>
  </si>
  <si>
    <t>528291</t>
  </si>
  <si>
    <t>528764</t>
  </si>
  <si>
    <t>12/06/2026</t>
  </si>
  <si>
    <t>528765</t>
  </si>
  <si>
    <t>528790</t>
  </si>
  <si>
    <t>528794</t>
  </si>
  <si>
    <t>528815</t>
  </si>
  <si>
    <t>528818</t>
  </si>
  <si>
    <t>528868</t>
  </si>
  <si>
    <t>13/06/2026</t>
  </si>
  <si>
    <t>528869</t>
  </si>
  <si>
    <t>528872</t>
  </si>
  <si>
    <t>528880</t>
  </si>
  <si>
    <t>528883</t>
  </si>
  <si>
    <t>528887</t>
  </si>
  <si>
    <t>528888</t>
  </si>
  <si>
    <t>528890</t>
  </si>
  <si>
    <t>528891</t>
  </si>
  <si>
    <t>528892</t>
  </si>
  <si>
    <t>528893</t>
  </si>
  <si>
    <t>528895</t>
  </si>
  <si>
    <t>528898</t>
  </si>
  <si>
    <t>14/06/2026</t>
  </si>
  <si>
    <t>528899</t>
  </si>
  <si>
    <t>528904</t>
  </si>
  <si>
    <t>528905</t>
  </si>
  <si>
    <t>528921</t>
  </si>
  <si>
    <t>528923</t>
  </si>
  <si>
    <t>528924</t>
  </si>
  <si>
    <t>528957</t>
  </si>
  <si>
    <t>15/06/2026</t>
  </si>
  <si>
    <t>528992</t>
  </si>
  <si>
    <t>528993</t>
  </si>
  <si>
    <t>529014</t>
  </si>
  <si>
    <t>529015</t>
  </si>
  <si>
    <t>529023</t>
  </si>
  <si>
    <t>529024</t>
  </si>
  <si>
    <t>529026</t>
  </si>
  <si>
    <t>529027</t>
  </si>
  <si>
    <t>529032</t>
  </si>
  <si>
    <t>529033</t>
  </si>
  <si>
    <t>529038</t>
  </si>
  <si>
    <t>529067</t>
  </si>
  <si>
    <t>16/06/2026</t>
  </si>
  <si>
    <t>529085</t>
  </si>
  <si>
    <t>529086</t>
  </si>
  <si>
    <t>529087</t>
  </si>
  <si>
    <t>529091</t>
  </si>
  <si>
    <t>529101</t>
  </si>
  <si>
    <t>529102</t>
  </si>
  <si>
    <t>529128</t>
  </si>
  <si>
    <t>17/06/2026</t>
  </si>
  <si>
    <t>529135</t>
  </si>
  <si>
    <t>529141</t>
  </si>
  <si>
    <t>529158</t>
  </si>
  <si>
    <t>529164</t>
  </si>
  <si>
    <t>529196</t>
  </si>
  <si>
    <t>18/06/2026</t>
  </si>
  <si>
    <t>529207</t>
  </si>
  <si>
    <t>529227</t>
  </si>
  <si>
    <t>529228</t>
  </si>
  <si>
    <t>529261</t>
  </si>
  <si>
    <t>19/06/2026</t>
  </si>
  <si>
    <t>529263</t>
  </si>
  <si>
    <t>529264</t>
  </si>
  <si>
    <t>529265</t>
  </si>
  <si>
    <t>529270</t>
  </si>
  <si>
    <t>20/06/2026</t>
  </si>
  <si>
    <t>529271</t>
  </si>
  <si>
    <t>529272</t>
  </si>
  <si>
    <t>529282</t>
  </si>
  <si>
    <t>529287</t>
  </si>
  <si>
    <t>529289</t>
  </si>
  <si>
    <t>529290</t>
  </si>
  <si>
    <t>529291</t>
  </si>
  <si>
    <t>529292</t>
  </si>
  <si>
    <t>529295</t>
  </si>
  <si>
    <t>529297</t>
  </si>
  <si>
    <t>529298</t>
  </si>
  <si>
    <t>529313</t>
  </si>
  <si>
    <t>21/06/2026</t>
  </si>
  <si>
    <t>529320</t>
  </si>
  <si>
    <t>529321</t>
  </si>
  <si>
    <t>529322</t>
  </si>
  <si>
    <t>529329</t>
  </si>
  <si>
    <t>529330</t>
  </si>
  <si>
    <t>529331</t>
  </si>
  <si>
    <t>529405</t>
  </si>
  <si>
    <t>22/06/2026</t>
  </si>
  <si>
    <t>529411</t>
  </si>
  <si>
    <t>529428</t>
  </si>
  <si>
    <t>23/06/2026</t>
  </si>
  <si>
    <t>529433</t>
  </si>
  <si>
    <t>529438</t>
  </si>
  <si>
    <t>529445</t>
  </si>
  <si>
    <t>529450</t>
  </si>
  <si>
    <t>529468</t>
  </si>
  <si>
    <t>24/06/2026</t>
  </si>
  <si>
    <t>529481</t>
  </si>
  <si>
    <t>529483</t>
  </si>
  <si>
    <t>529484</t>
  </si>
  <si>
    <t>529488</t>
  </si>
  <si>
    <t>529494</t>
  </si>
  <si>
    <t>529495</t>
  </si>
  <si>
    <t>529499</t>
  </si>
  <si>
    <t>529514</t>
  </si>
  <si>
    <t>25/06/2026</t>
  </si>
  <si>
    <t>529517</t>
  </si>
  <si>
    <t>529518</t>
  </si>
  <si>
    <t>529527</t>
  </si>
  <si>
    <t>529530</t>
  </si>
  <si>
    <t>529531</t>
  </si>
  <si>
    <t>529537</t>
  </si>
  <si>
    <t>529538</t>
  </si>
  <si>
    <t>529541</t>
  </si>
  <si>
    <t>529542</t>
  </si>
  <si>
    <t>529550</t>
  </si>
  <si>
    <t>26/06/2026</t>
  </si>
  <si>
    <t>529551</t>
  </si>
  <si>
    <t>529572</t>
  </si>
  <si>
    <t>529581</t>
  </si>
  <si>
    <t>529587</t>
  </si>
  <si>
    <t>529594</t>
  </si>
  <si>
    <t>27/06/2026</t>
  </si>
  <si>
    <t>529598</t>
  </si>
  <si>
    <t>529599</t>
  </si>
  <si>
    <t>529600</t>
  </si>
  <si>
    <t>529601</t>
  </si>
  <si>
    <t>529602</t>
  </si>
  <si>
    <t>529603</t>
  </si>
  <si>
    <t>529604</t>
  </si>
  <si>
    <t>529605</t>
  </si>
  <si>
    <t>529607</t>
  </si>
  <si>
    <t>529611</t>
  </si>
  <si>
    <t>28/06/2026</t>
  </si>
  <si>
    <t>529612</t>
  </si>
  <si>
    <t>529618</t>
  </si>
  <si>
    <t>529621</t>
  </si>
  <si>
    <t>529622</t>
  </si>
  <si>
    <t>529623</t>
  </si>
  <si>
    <t>529624</t>
  </si>
  <si>
    <t>529625</t>
  </si>
  <si>
    <t>529637</t>
  </si>
  <si>
    <t>29/06/2026</t>
  </si>
  <si>
    <t>529645</t>
  </si>
  <si>
    <t>529649</t>
  </si>
  <si>
    <t>529657</t>
  </si>
  <si>
    <t>529658</t>
  </si>
  <si>
    <t>529664</t>
  </si>
  <si>
    <t>529670</t>
  </si>
  <si>
    <t>529671</t>
  </si>
  <si>
    <t>529684</t>
  </si>
  <si>
    <t>529685</t>
  </si>
  <si>
    <t>529705</t>
  </si>
  <si>
    <t>30/06/2026</t>
  </si>
  <si>
    <t>529716</t>
  </si>
  <si>
    <t>529717</t>
  </si>
  <si>
    <t>529719</t>
  </si>
  <si>
    <t>529720</t>
  </si>
  <si>
    <t>529721</t>
  </si>
  <si>
    <t>529728</t>
  </si>
  <si>
    <t>529733</t>
  </si>
  <si>
    <t>529734</t>
  </si>
  <si>
    <t>529749</t>
  </si>
  <si>
    <t>01/07/2026</t>
  </si>
  <si>
    <t>529750</t>
  </si>
  <si>
    <t>529774</t>
  </si>
  <si>
    <t>529775</t>
  </si>
  <si>
    <t>529776</t>
  </si>
  <si>
    <t>529777</t>
  </si>
  <si>
    <t>529781</t>
  </si>
  <si>
    <t>529782</t>
  </si>
  <si>
    <t>529783</t>
  </si>
  <si>
    <t>529786</t>
  </si>
  <si>
    <t>529788</t>
  </si>
  <si>
    <t>529789</t>
  </si>
  <si>
    <t>529798</t>
  </si>
  <si>
    <t>02/07/2026</t>
  </si>
  <si>
    <t>529812</t>
  </si>
  <si>
    <t>529840</t>
  </si>
  <si>
    <t>529845</t>
  </si>
  <si>
    <t>529849</t>
  </si>
  <si>
    <t>529852</t>
  </si>
  <si>
    <t>529853</t>
  </si>
  <si>
    <t>529865</t>
  </si>
  <si>
    <t>03/07/2026</t>
  </si>
  <si>
    <t>529872</t>
  </si>
  <si>
    <t>529884</t>
  </si>
  <si>
    <t>529887</t>
  </si>
  <si>
    <t>529892</t>
  </si>
  <si>
    <t>529893</t>
  </si>
  <si>
    <t>529894</t>
  </si>
  <si>
    <t>04/07/2026</t>
  </si>
  <si>
    <t>529898</t>
  </si>
  <si>
    <t>529900</t>
  </si>
  <si>
    <t>529906</t>
  </si>
  <si>
    <t>529907</t>
  </si>
  <si>
    <t>529908</t>
  </si>
  <si>
    <t>529910</t>
  </si>
  <si>
    <t>529911</t>
  </si>
  <si>
    <t>529918</t>
  </si>
  <si>
    <t>05/07/2026</t>
  </si>
  <si>
    <t>529924</t>
  </si>
  <si>
    <t>529925</t>
  </si>
  <si>
    <t>529926</t>
  </si>
  <si>
    <t>529927</t>
  </si>
  <si>
    <t>529928</t>
  </si>
  <si>
    <t>529949</t>
  </si>
  <si>
    <t>06/07/2026</t>
  </si>
  <si>
    <t>529950</t>
  </si>
  <si>
    <t>529956</t>
  </si>
  <si>
    <t>529968</t>
  </si>
  <si>
    <t>529969</t>
  </si>
  <si>
    <t>529970</t>
  </si>
  <si>
    <t>529971</t>
  </si>
  <si>
    <t>529974</t>
  </si>
  <si>
    <t>529975</t>
  </si>
  <si>
    <t>529976</t>
  </si>
  <si>
    <t>529984</t>
  </si>
  <si>
    <t>529986</t>
  </si>
  <si>
    <t>529987</t>
  </si>
  <si>
    <t>529992</t>
  </si>
  <si>
    <t>530006</t>
  </si>
  <si>
    <t>07/07/2026</t>
  </si>
  <si>
    <t>530007</t>
  </si>
  <si>
    <t>530013</t>
  </si>
  <si>
    <t>531264</t>
  </si>
  <si>
    <t>531265</t>
  </si>
  <si>
    <t>531473</t>
  </si>
  <si>
    <t>08/07/2026</t>
  </si>
  <si>
    <t>532228</t>
  </si>
  <si>
    <t>532229</t>
  </si>
  <si>
    <t>532235</t>
  </si>
  <si>
    <t>532236</t>
  </si>
  <si>
    <t>532528</t>
  </si>
  <si>
    <t>532536</t>
  </si>
  <si>
    <t>532566</t>
  </si>
  <si>
    <t>09/07/2026</t>
  </si>
  <si>
    <t>532610</t>
  </si>
  <si>
    <t>532611</t>
  </si>
  <si>
    <t>532612</t>
  </si>
  <si>
    <t>532619</t>
  </si>
  <si>
    <t>532672</t>
  </si>
  <si>
    <t>532687</t>
  </si>
  <si>
    <t>532738</t>
  </si>
  <si>
    <t>10/07/2026</t>
  </si>
  <si>
    <t>532739</t>
  </si>
  <si>
    <t>532765</t>
  </si>
  <si>
    <t>532768</t>
  </si>
  <si>
    <t>532773</t>
  </si>
  <si>
    <t>532778</t>
  </si>
  <si>
    <t>532821</t>
  </si>
  <si>
    <t>11/07/2026</t>
  </si>
  <si>
    <t>532822</t>
  </si>
  <si>
    <t>532827</t>
  </si>
  <si>
    <t>532828</t>
  </si>
  <si>
    <t>532829</t>
  </si>
  <si>
    <t>532834</t>
  </si>
  <si>
    <t>532837</t>
  </si>
  <si>
    <t>532850</t>
  </si>
  <si>
    <t>12/07/2026</t>
  </si>
  <si>
    <t>532856</t>
  </si>
  <si>
    <t>532857</t>
  </si>
  <si>
    <t>532864</t>
  </si>
  <si>
    <t>532947</t>
  </si>
  <si>
    <t>13/07/2026</t>
  </si>
  <si>
    <t>532948</t>
  </si>
  <si>
    <t>532959</t>
  </si>
  <si>
    <t>532960</t>
  </si>
  <si>
    <t>532965</t>
  </si>
  <si>
    <t>533000</t>
  </si>
  <si>
    <t>14/07/2026</t>
  </si>
  <si>
    <t>533001</t>
  </si>
  <si>
    <t>533016</t>
  </si>
  <si>
    <t>533017</t>
  </si>
  <si>
    <t>533018</t>
  </si>
  <si>
    <t>533028</t>
  </si>
  <si>
    <t>533034</t>
  </si>
  <si>
    <t>533035</t>
  </si>
  <si>
    <t>533068</t>
  </si>
  <si>
    <t>15/07/2026</t>
  </si>
  <si>
    <t>533080</t>
  </si>
  <si>
    <t>533081</t>
  </si>
  <si>
    <t>533092</t>
  </si>
  <si>
    <t>533093</t>
  </si>
  <si>
    <t>533096</t>
  </si>
  <si>
    <t>533116</t>
  </si>
  <si>
    <t>16/07/2026</t>
  </si>
  <si>
    <t>533117</t>
  </si>
  <si>
    <t>533155</t>
  </si>
  <si>
    <t>533171</t>
  </si>
  <si>
    <t>533180</t>
  </si>
  <si>
    <t>533219</t>
  </si>
  <si>
    <t>17/07/2026</t>
  </si>
  <si>
    <t>533234</t>
  </si>
  <si>
    <t>533235</t>
  </si>
  <si>
    <t>533254</t>
  </si>
  <si>
    <t>18/07/2026</t>
  </si>
  <si>
    <t>533262</t>
  </si>
  <si>
    <t>533263</t>
  </si>
  <si>
    <t>533269</t>
  </si>
  <si>
    <t>533270</t>
  </si>
  <si>
    <t>533272</t>
  </si>
  <si>
    <t>533273</t>
  </si>
  <si>
    <t>533276</t>
  </si>
  <si>
    <t>533279</t>
  </si>
  <si>
    <t>19/07/2026</t>
  </si>
  <si>
    <t>533280</t>
  </si>
  <si>
    <t>533281</t>
  </si>
  <si>
    <t>533282</t>
  </si>
  <si>
    <t>533285</t>
  </si>
  <si>
    <t>533380</t>
  </si>
  <si>
    <t>20/07/2026</t>
  </si>
  <si>
    <t>533406</t>
  </si>
  <si>
    <t>21/07/2026</t>
  </si>
  <si>
    <t>533415</t>
  </si>
  <si>
    <t>533421</t>
  </si>
  <si>
    <t>533431</t>
  </si>
  <si>
    <t>533499</t>
  </si>
  <si>
    <t>22/07/2026</t>
  </si>
  <si>
    <t>533537</t>
  </si>
  <si>
    <t>23/07/2026</t>
  </si>
  <si>
    <t>533554</t>
  </si>
  <si>
    <t>533555</t>
  </si>
  <si>
    <t>533563</t>
  </si>
  <si>
    <t>533564</t>
  </si>
  <si>
    <t>533582</t>
  </si>
  <si>
    <t>24/07/2026</t>
  </si>
  <si>
    <t>533590</t>
  </si>
  <si>
    <t>533598</t>
  </si>
  <si>
    <t>533599</t>
  </si>
  <si>
    <t>533608</t>
  </si>
  <si>
    <t>533609</t>
  </si>
  <si>
    <t>533610</t>
  </si>
  <si>
    <t>533611</t>
  </si>
  <si>
    <t>533616</t>
  </si>
  <si>
    <t>25/07/2026</t>
  </si>
  <si>
    <t>533617</t>
  </si>
  <si>
    <t>533623</t>
  </si>
  <si>
    <t>533625</t>
  </si>
  <si>
    <t>533626</t>
  </si>
  <si>
    <t>533627</t>
  </si>
  <si>
    <t>533628</t>
  </si>
  <si>
    <t>533631</t>
  </si>
  <si>
    <t>533635</t>
  </si>
  <si>
    <t>26/07/2026</t>
  </si>
  <si>
    <t>533636</t>
  </si>
  <si>
    <t>533638</t>
  </si>
  <si>
    <t>533639</t>
  </si>
  <si>
    <t>533640</t>
  </si>
  <si>
    <t>533643</t>
  </si>
  <si>
    <t>533644</t>
  </si>
  <si>
    <t>533645</t>
  </si>
  <si>
    <t>533646</t>
  </si>
  <si>
    <t>533653</t>
  </si>
  <si>
    <t>533654</t>
  </si>
  <si>
    <t>533679</t>
  </si>
  <si>
    <t>27/07/2026</t>
  </si>
  <si>
    <t>533680</t>
  </si>
  <si>
    <t>533711</t>
  </si>
  <si>
    <t>533712</t>
  </si>
  <si>
    <t>533737</t>
  </si>
  <si>
    <t>533739</t>
  </si>
  <si>
    <t>533740</t>
  </si>
  <si>
    <t>533741</t>
  </si>
  <si>
    <t>533768</t>
  </si>
  <si>
    <t>28/07/2026</t>
  </si>
  <si>
    <t>533769</t>
  </si>
  <si>
    <t>535111</t>
  </si>
  <si>
    <t>535112</t>
  </si>
  <si>
    <t>535116</t>
  </si>
  <si>
    <t>535119</t>
  </si>
  <si>
    <t>535200</t>
  </si>
  <si>
    <t>30/07/2026</t>
  </si>
  <si>
    <t>535201</t>
  </si>
  <si>
    <t>535202</t>
  </si>
  <si>
    <t>535203</t>
  </si>
  <si>
    <t>535204</t>
  </si>
  <si>
    <t>535205</t>
  </si>
  <si>
    <t>535206</t>
  </si>
  <si>
    <t>535207</t>
  </si>
  <si>
    <t>535208</t>
  </si>
  <si>
    <t>535209</t>
  </si>
  <si>
    <t>535210</t>
  </si>
  <si>
    <t>535211</t>
  </si>
  <si>
    <t>535212</t>
  </si>
  <si>
    <t>535213</t>
  </si>
  <si>
    <t>535214</t>
  </si>
  <si>
    <t>535217</t>
  </si>
  <si>
    <t>535218</t>
  </si>
  <si>
    <t>535219</t>
  </si>
  <si>
    <t>535220</t>
  </si>
  <si>
    <t>535221</t>
  </si>
  <si>
    <t>535222</t>
  </si>
  <si>
    <t>535223</t>
  </si>
  <si>
    <t>535224</t>
  </si>
  <si>
    <t>535225</t>
  </si>
  <si>
    <t>535226</t>
  </si>
  <si>
    <t>535227</t>
  </si>
  <si>
    <t>535228</t>
  </si>
  <si>
    <t>535229</t>
  </si>
  <si>
    <t>535230</t>
  </si>
  <si>
    <t>535231</t>
  </si>
  <si>
    <t>535234</t>
  </si>
  <si>
    <t>535235</t>
  </si>
  <si>
    <t>535236</t>
  </si>
  <si>
    <t>535237</t>
  </si>
  <si>
    <t>535238</t>
  </si>
  <si>
    <t>535239</t>
  </si>
  <si>
    <t>535240</t>
  </si>
  <si>
    <t>535241</t>
  </si>
  <si>
    <t>535242</t>
  </si>
  <si>
    <t>535243</t>
  </si>
  <si>
    <t>535244</t>
  </si>
  <si>
    <t>535245</t>
  </si>
  <si>
    <t>535246</t>
  </si>
  <si>
    <t>535247</t>
  </si>
  <si>
    <t>535248</t>
  </si>
  <si>
    <t>535249</t>
  </si>
  <si>
    <t>535255</t>
  </si>
  <si>
    <t>535256</t>
  </si>
  <si>
    <t>535257</t>
  </si>
  <si>
    <t>535258</t>
  </si>
  <si>
    <t>535259</t>
  </si>
  <si>
    <t>535260</t>
  </si>
  <si>
    <t>535300</t>
  </si>
  <si>
    <t>31/07/2026</t>
  </si>
  <si>
    <t>535301</t>
  </si>
  <si>
    <t>535302</t>
  </si>
  <si>
    <t>535303</t>
  </si>
  <si>
    <t>535304</t>
  </si>
  <si>
    <t>535305</t>
  </si>
  <si>
    <t>535306</t>
  </si>
  <si>
    <t>535307</t>
  </si>
  <si>
    <t>535308</t>
  </si>
  <si>
    <t>535309</t>
  </si>
  <si>
    <t>535310</t>
  </si>
  <si>
    <t>535311</t>
  </si>
  <si>
    <t>535312</t>
  </si>
  <si>
    <t>535313</t>
  </si>
  <si>
    <t>535314</t>
  </si>
  <si>
    <t>535315</t>
  </si>
  <si>
    <t>535316</t>
  </si>
  <si>
    <t>535317</t>
  </si>
  <si>
    <t>535318</t>
  </si>
  <si>
    <t>535319</t>
  </si>
  <si>
    <t>535320</t>
  </si>
  <si>
    <t>535321</t>
  </si>
  <si>
    <t>535322</t>
  </si>
  <si>
    <t>535332</t>
  </si>
  <si>
    <t>01/08/2026</t>
  </si>
  <si>
    <t>535333</t>
  </si>
  <si>
    <t>535338</t>
  </si>
  <si>
    <t>535339</t>
  </si>
  <si>
    <t>535340</t>
  </si>
  <si>
    <t>535341</t>
  </si>
  <si>
    <t>535342</t>
  </si>
  <si>
    <t>535343</t>
  </si>
  <si>
    <t>535344</t>
  </si>
  <si>
    <t>535345</t>
  </si>
  <si>
    <t>535346</t>
  </si>
  <si>
    <t>535350</t>
  </si>
  <si>
    <t>02/08/2026</t>
  </si>
  <si>
    <t>535353</t>
  </si>
  <si>
    <t>535354</t>
  </si>
  <si>
    <t>535356</t>
  </si>
  <si>
    <t>535357</t>
  </si>
  <si>
    <t>535358</t>
  </si>
  <si>
    <t>535359</t>
  </si>
  <si>
    <t>535364</t>
  </si>
  <si>
    <t>03/08/2026</t>
  </si>
  <si>
    <t>535380</t>
  </si>
  <si>
    <t>535412</t>
  </si>
  <si>
    <t>535430</t>
  </si>
  <si>
    <t>535445</t>
  </si>
  <si>
    <t>535446</t>
  </si>
  <si>
    <t>535478</t>
  </si>
  <si>
    <t>04/08/2026</t>
  </si>
  <si>
    <t>535481</t>
  </si>
  <si>
    <t>535484</t>
  </si>
  <si>
    <t>535489</t>
  </si>
  <si>
    <t>535491</t>
  </si>
  <si>
    <t>535494</t>
  </si>
  <si>
    <t>535504</t>
  </si>
  <si>
    <t>05/08/2026</t>
  </si>
  <si>
    <t>535517</t>
  </si>
  <si>
    <t>535518</t>
  </si>
  <si>
    <t>535529</t>
  </si>
  <si>
    <t>535828</t>
  </si>
  <si>
    <t>535837</t>
  </si>
  <si>
    <t>535838</t>
  </si>
  <si>
    <t>535839</t>
  </si>
  <si>
    <t>535850</t>
  </si>
  <si>
    <t>535859</t>
  </si>
  <si>
    <t>535986</t>
  </si>
  <si>
    <t>06/08/2026</t>
  </si>
  <si>
    <t>535998</t>
  </si>
  <si>
    <t>535999</t>
  </si>
  <si>
    <t>536000</t>
  </si>
  <si>
    <t>536032</t>
  </si>
  <si>
    <t>07/08/2026</t>
  </si>
  <si>
    <t>536043</t>
  </si>
  <si>
    <t>536054</t>
  </si>
  <si>
    <t>536055</t>
  </si>
  <si>
    <t>536085</t>
  </si>
  <si>
    <t>536100</t>
  </si>
  <si>
    <t>536104</t>
  </si>
  <si>
    <t>536121</t>
  </si>
  <si>
    <t>08/08/2026</t>
  </si>
  <si>
    <t>536130</t>
  </si>
  <si>
    <t>536131</t>
  </si>
  <si>
    <t>536135</t>
  </si>
  <si>
    <t>536139</t>
  </si>
  <si>
    <t>536140</t>
  </si>
  <si>
    <t>536141</t>
  </si>
  <si>
    <t>536144</t>
  </si>
  <si>
    <t>536153</t>
  </si>
  <si>
    <t>09/08/2026</t>
  </si>
  <si>
    <t>536154</t>
  </si>
  <si>
    <t>536155</t>
  </si>
  <si>
    <t>536160</t>
  </si>
  <si>
    <t>536165</t>
  </si>
  <si>
    <t>536166</t>
  </si>
  <si>
    <t>536168</t>
  </si>
  <si>
    <t>536169</t>
  </si>
  <si>
    <t>536171</t>
  </si>
  <si>
    <t>536172</t>
  </si>
  <si>
    <t>536202</t>
  </si>
  <si>
    <t>10/08/2026</t>
  </si>
  <si>
    <t>536211</t>
  </si>
  <si>
    <t>536216</t>
  </si>
  <si>
    <t>536221</t>
  </si>
  <si>
    <t>536222</t>
  </si>
  <si>
    <t>536231</t>
  </si>
  <si>
    <t>536232</t>
  </si>
  <si>
    <t>536299</t>
  </si>
  <si>
    <t>11/08/2026</t>
  </si>
  <si>
    <t>536316</t>
  </si>
  <si>
    <t>536322</t>
  </si>
  <si>
    <t>536323</t>
  </si>
  <si>
    <t>536331</t>
  </si>
  <si>
    <t>536332</t>
  </si>
  <si>
    <t>536333</t>
  </si>
  <si>
    <t>536353</t>
  </si>
  <si>
    <t>12/08/2026</t>
  </si>
  <si>
    <t>536358</t>
  </si>
  <si>
    <t>536359</t>
  </si>
  <si>
    <t>536389</t>
  </si>
  <si>
    <t>536390</t>
  </si>
  <si>
    <t>536404</t>
  </si>
  <si>
    <t>13/08/2026</t>
  </si>
  <si>
    <t>536412</t>
  </si>
  <si>
    <t>536414</t>
  </si>
  <si>
    <t>536435</t>
  </si>
  <si>
    <t>536467</t>
  </si>
  <si>
    <t>536468</t>
  </si>
  <si>
    <t>536470</t>
  </si>
  <si>
    <t>536476</t>
  </si>
  <si>
    <t>14/08/2026</t>
  </si>
  <si>
    <t>536485</t>
  </si>
  <si>
    <t>536500</t>
  </si>
  <si>
    <t>536508</t>
  </si>
  <si>
    <t>536516</t>
  </si>
  <si>
    <t>536517</t>
  </si>
  <si>
    <t>536532</t>
  </si>
  <si>
    <t>536541</t>
  </si>
  <si>
    <t>15/08/2026</t>
  </si>
  <si>
    <t>536542</t>
  </si>
  <si>
    <t>536547</t>
  </si>
  <si>
    <t>536553</t>
  </si>
  <si>
    <t>536559</t>
  </si>
  <si>
    <t>536560</t>
  </si>
  <si>
    <t>536561</t>
  </si>
  <si>
    <t>536572</t>
  </si>
  <si>
    <t>16/08/2026</t>
  </si>
  <si>
    <t>536574</t>
  </si>
  <si>
    <t>536575</t>
  </si>
  <si>
    <t>536576</t>
  </si>
  <si>
    <t>536577</t>
  </si>
  <si>
    <t>536578</t>
  </si>
  <si>
    <t>536579</t>
  </si>
  <si>
    <t>536585</t>
  </si>
  <si>
    <t>536646</t>
  </si>
  <si>
    <t>17/08/2026</t>
  </si>
  <si>
    <t>536664</t>
  </si>
  <si>
    <t>536665</t>
  </si>
  <si>
    <t>536670</t>
  </si>
  <si>
    <t>536684</t>
  </si>
  <si>
    <t>536685</t>
  </si>
  <si>
    <t>536686</t>
  </si>
  <si>
    <t>536687</t>
  </si>
  <si>
    <t>536693</t>
  </si>
  <si>
    <t>536694</t>
  </si>
  <si>
    <t>536697</t>
  </si>
  <si>
    <t>536720</t>
  </si>
  <si>
    <t>18/08/2026</t>
  </si>
  <si>
    <t>536727</t>
  </si>
  <si>
    <t>536744</t>
  </si>
  <si>
    <t>536745</t>
  </si>
  <si>
    <t>536805</t>
  </si>
  <si>
    <t>19/08/2026</t>
  </si>
  <si>
    <t>536809</t>
  </si>
  <si>
    <t>536812</t>
  </si>
  <si>
    <t>536826</t>
  </si>
  <si>
    <t>20/08/2026</t>
  </si>
  <si>
    <t>536849</t>
  </si>
  <si>
    <t>536866</t>
  </si>
  <si>
    <t>536870</t>
  </si>
  <si>
    <t>536875</t>
  </si>
  <si>
    <t>536880</t>
  </si>
  <si>
    <t>21/08/2026</t>
  </si>
  <si>
    <t>536888</t>
  </si>
  <si>
    <t>536890</t>
  </si>
  <si>
    <t>536908</t>
  </si>
  <si>
    <t>536914</t>
  </si>
  <si>
    <t>536919</t>
  </si>
  <si>
    <t>536920</t>
  </si>
  <si>
    <t>536927</t>
  </si>
  <si>
    <t>22/08/2026</t>
  </si>
  <si>
    <t>536928</t>
  </si>
  <si>
    <t>536929</t>
  </si>
  <si>
    <t>536931</t>
  </si>
  <si>
    <t>536932</t>
  </si>
  <si>
    <t>536933</t>
  </si>
  <si>
    <t>536934</t>
  </si>
  <si>
    <t>536935</t>
  </si>
  <si>
    <t>536936</t>
  </si>
  <si>
    <t>536937</t>
  </si>
  <si>
    <t>536938</t>
  </si>
  <si>
    <t>536940</t>
  </si>
  <si>
    <t>536941</t>
  </si>
  <si>
    <t>536947</t>
  </si>
  <si>
    <t>23/08/2026</t>
  </si>
  <si>
    <t>536948</t>
  </si>
  <si>
    <t>536949</t>
  </si>
  <si>
    <t>536952</t>
  </si>
  <si>
    <t>536953</t>
  </si>
  <si>
    <t>536954</t>
  </si>
  <si>
    <t>536956</t>
  </si>
  <si>
    <t>536957</t>
  </si>
  <si>
    <t>24/08/2026</t>
  </si>
  <si>
    <t>536958</t>
  </si>
  <si>
    <t>536959</t>
  </si>
  <si>
    <t>536960</t>
  </si>
  <si>
    <t>536961</t>
  </si>
  <si>
    <t>536962</t>
  </si>
  <si>
    <t>536963</t>
  </si>
  <si>
    <t>536964</t>
  </si>
  <si>
    <t>536965</t>
  </si>
  <si>
    <t>537071</t>
  </si>
  <si>
    <t>25/08/2026</t>
  </si>
  <si>
    <t>537072</t>
  </si>
  <si>
    <t>537074</t>
  </si>
  <si>
    <t>537077</t>
  </si>
  <si>
    <t>537096</t>
  </si>
  <si>
    <t>537106</t>
  </si>
  <si>
    <t>26/08/2026</t>
  </si>
  <si>
    <t>537107</t>
  </si>
  <si>
    <t>537108</t>
  </si>
  <si>
    <t>537120</t>
  </si>
  <si>
    <t>537121</t>
  </si>
  <si>
    <t>537122</t>
  </si>
  <si>
    <t>537123</t>
  </si>
  <si>
    <t>537130</t>
  </si>
  <si>
    <t>27/08/2026</t>
  </si>
  <si>
    <t>537131</t>
  </si>
  <si>
    <t>537143</t>
  </si>
  <si>
    <t>537144</t>
  </si>
  <si>
    <t>537145</t>
  </si>
  <si>
    <t>537154</t>
  </si>
  <si>
    <t>537164</t>
  </si>
  <si>
    <t>28/08/2026</t>
  </si>
  <si>
    <t>537165</t>
  </si>
  <si>
    <t>537178</t>
  </si>
  <si>
    <t>537179</t>
  </si>
  <si>
    <t>537180</t>
  </si>
  <si>
    <t>537187</t>
  </si>
  <si>
    <t>537188</t>
  </si>
  <si>
    <t>537193</t>
  </si>
  <si>
    <t>29/08/2026</t>
  </si>
  <si>
    <t>537194</t>
  </si>
  <si>
    <t>537195</t>
  </si>
  <si>
    <t>537198</t>
  </si>
  <si>
    <t>537199</t>
  </si>
  <si>
    <t>537203</t>
  </si>
  <si>
    <t>537204</t>
  </si>
  <si>
    <t>537205</t>
  </si>
  <si>
    <t>537206</t>
  </si>
  <si>
    <t>537207</t>
  </si>
  <si>
    <t>537208</t>
  </si>
  <si>
    <t>537209</t>
  </si>
  <si>
    <t>537210</t>
  </si>
  <si>
    <t>537211</t>
  </si>
  <si>
    <t>537222</t>
  </si>
  <si>
    <t>30/08/2026</t>
  </si>
  <si>
    <t>537223</t>
  </si>
  <si>
    <t>537224</t>
  </si>
  <si>
    <t>537225</t>
  </si>
  <si>
    <t>537226</t>
  </si>
  <si>
    <t>537227</t>
  </si>
  <si>
    <t>537228</t>
  </si>
  <si>
    <t>537229</t>
  </si>
  <si>
    <t>537230</t>
  </si>
  <si>
    <t>537231</t>
  </si>
  <si>
    <t>537232</t>
  </si>
  <si>
    <t>537233</t>
  </si>
  <si>
    <t>537304</t>
  </si>
  <si>
    <t>31/08/2026</t>
  </si>
  <si>
    <t>537305</t>
  </si>
  <si>
    <t>537312</t>
  </si>
  <si>
    <t>01/09/2026</t>
  </si>
  <si>
    <t>537321</t>
  </si>
  <si>
    <t>537327</t>
  </si>
  <si>
    <t>537330</t>
  </si>
  <si>
    <t>537331</t>
  </si>
  <si>
    <t>537339</t>
  </si>
  <si>
    <t>537340</t>
  </si>
  <si>
    <t>537368</t>
  </si>
  <si>
    <t>02/09/2026</t>
  </si>
  <si>
    <t>537374</t>
  </si>
  <si>
    <t>537375</t>
  </si>
  <si>
    <t>537376</t>
  </si>
  <si>
    <t>537382</t>
  </si>
  <si>
    <t>537383</t>
  </si>
  <si>
    <t>537385</t>
  </si>
  <si>
    <t>537386</t>
  </si>
  <si>
    <t>537389</t>
  </si>
  <si>
    <t>537390</t>
  </si>
  <si>
    <t>537392</t>
  </si>
  <si>
    <t>537431</t>
  </si>
  <si>
    <t>03/09/2026</t>
  </si>
  <si>
    <t>537439</t>
  </si>
  <si>
    <t>537440</t>
  </si>
  <si>
    <t>537442</t>
  </si>
  <si>
    <t>537443</t>
  </si>
  <si>
    <t>537453</t>
  </si>
  <si>
    <t>04/09/2026</t>
  </si>
  <si>
    <t>537461</t>
  </si>
  <si>
    <t>537462</t>
  </si>
  <si>
    <t>537463</t>
  </si>
  <si>
    <t>537475</t>
  </si>
  <si>
    <t>537478</t>
  </si>
  <si>
    <t>537482</t>
  </si>
  <si>
    <t>537487</t>
  </si>
  <si>
    <t>537493</t>
  </si>
  <si>
    <t>05/09/2026</t>
  </si>
  <si>
    <t>537494</t>
  </si>
  <si>
    <t>537495</t>
  </si>
  <si>
    <t>537497</t>
  </si>
  <si>
    <t>537498</t>
  </si>
  <si>
    <t>537499</t>
  </si>
  <si>
    <t>537500</t>
  </si>
  <si>
    <t>537501</t>
  </si>
  <si>
    <t>537507</t>
  </si>
  <si>
    <t>06/09/2026</t>
  </si>
  <si>
    <t>537508</t>
  </si>
  <si>
    <t>537509</t>
  </si>
  <si>
    <t>537510</t>
  </si>
  <si>
    <t>537511</t>
  </si>
  <si>
    <t>537517</t>
  </si>
  <si>
    <t>537518</t>
  </si>
  <si>
    <t>537519</t>
  </si>
  <si>
    <t>537521</t>
  </si>
  <si>
    <t>537550</t>
  </si>
  <si>
    <t>07/09/2026</t>
  </si>
  <si>
    <t>537566</t>
  </si>
  <si>
    <t>537580</t>
  </si>
  <si>
    <t>537581</t>
  </si>
  <si>
    <t>537586</t>
  </si>
  <si>
    <t>537591</t>
  </si>
  <si>
    <t>537592</t>
  </si>
  <si>
    <t>537593</t>
  </si>
  <si>
    <t>537616</t>
  </si>
  <si>
    <t>08/09/2026</t>
  </si>
  <si>
    <t>537617</t>
  </si>
  <si>
    <t>537627</t>
  </si>
  <si>
    <t>537629</t>
  </si>
  <si>
    <t>537630</t>
  </si>
  <si>
    <t>537656</t>
  </si>
  <si>
    <t>09/09/2026</t>
  </si>
  <si>
    <t>537669</t>
  </si>
  <si>
    <t>537670</t>
  </si>
  <si>
    <t>537775</t>
  </si>
  <si>
    <t>537936</t>
  </si>
  <si>
    <t>537947</t>
  </si>
  <si>
    <t>537962</t>
  </si>
  <si>
    <t>537963</t>
  </si>
  <si>
    <t>537964</t>
  </si>
  <si>
    <t>537965</t>
  </si>
  <si>
    <t>537966</t>
  </si>
  <si>
    <t>538043</t>
  </si>
  <si>
    <t>10/09/2026</t>
  </si>
  <si>
    <t>538076</t>
  </si>
  <si>
    <t>538077</t>
  </si>
  <si>
    <t>Invoice Transaction Insights</t>
  </si>
  <si>
    <t>Complete analysis of 1,968 invoices | 1 Jan–10 Sep 2026 | September is month-to-date</t>
  </si>
  <si>
    <t>TOTAL VALUE</t>
  </si>
  <si>
    <t>INVOICE COUNT</t>
  </si>
  <si>
    <t>AVERAGE INVOICE</t>
  </si>
  <si>
    <t>MEDIAN INVOICE</t>
  </si>
  <si>
    <t>STORY IN BRIEF</t>
  </si>
  <si>
    <t>This worksheet is a clean invoice ledger: every record belongs to customer 999999, document type Inv, and origin Sigma. Total billed value is 810,627.09, with a typical invoice of 329.96 (median) versus a 411.90 average, indicating a right-skew from a small number of large invoices. July is the strongest completed month at 109,158.51, while August has the highest completed-month average invoice at 448.54. September currently totals 32,233.48 through 10 September and should not be compared directly with full months. Data integrity is strong—Nett Value plus VAT matches Total Value for every row, document numbers are unique, and there are no zero or negative transactions; however, all comments are blank and the constant customer/type/origin fields limit segmentation.</t>
  </si>
  <si>
    <t>VISUAL OVERVIEW</t>
  </si>
  <si>
    <t>MONTHLY PERFORMANCE</t>
  </si>
  <si>
    <t>Month</t>
  </si>
  <si>
    <t>Invoices</t>
  </si>
  <si>
    <t>Average Invoice</t>
  </si>
  <si>
    <t>TOP 10 INVOICES</t>
  </si>
  <si>
    <t>Type</t>
  </si>
  <si>
    <t>TRANSACTION SIZE DISTRIBUTION</t>
  </si>
  <si>
    <t>Invoice Band</t>
  </si>
  <si>
    <t>Count</t>
  </si>
  <si>
    <t>Under 100</t>
  </si>
  <si>
    <t>100–249.99</t>
  </si>
  <si>
    <t>250–499.99</t>
  </si>
  <si>
    <t>500–999.99</t>
  </si>
  <si>
    <t>1,000+</t>
  </si>
  <si>
    <t>DATA QUALITY &amp; SCOPE</t>
  </si>
  <si>
    <t>Check</t>
  </si>
  <si>
    <t>Result</t>
  </si>
  <si>
    <t>Assessment</t>
  </si>
  <si>
    <t>Nett + VAT = Total</t>
  </si>
  <si>
    <t>1,968 / 1,968</t>
  </si>
  <si>
    <t>Pass</t>
  </si>
  <si>
    <t>Unique document numbers</t>
  </si>
  <si>
    <t>Zero / negative totals</t>
  </si>
  <si>
    <t>Nonblank comments</t>
  </si>
  <si>
    <t>Attention</t>
  </si>
  <si>
    <t>Distinct customer/type/origin</t>
  </si>
  <si>
    <t>Limited scope</t>
  </si>
  <si>
    <t>Weekly Invoice Forecast | September–October 2026</t>
  </si>
  <si>
    <t>Monday–Sunday weeks | ETS trained on complete weeks from 5 Jan–30 Aug | Actuals currently through 10 Sep</t>
  </si>
  <si>
    <t>SEPTEMBER W/C FORECAST</t>
  </si>
  <si>
    <t>OCTOBER W/C FORECAST</t>
  </si>
  <si>
    <t>SEPTEMBER ACTUAL TO DATE</t>
  </si>
  <si>
    <t>SEPTEMBER VARIANCE TO DATE</t>
  </si>
  <si>
    <t>MODEL NOTES</t>
  </si>
  <si>
    <t>TRAINING HISTORY — COMPLETE WEEKS</t>
  </si>
  <si>
    <t>Week Commencing</t>
  </si>
  <si>
    <t>Actual Total Value</t>
  </si>
  <si>
    <t>FORECAST VS ACTUAL</t>
  </si>
  <si>
    <t>Actual Available</t>
  </si>
  <si>
    <t>Variance %</t>
  </si>
  <si>
    <t>Coverage</t>
  </si>
  <si>
    <t>Full-Week Forecast</t>
  </si>
  <si>
    <t>Forecast to Date</t>
  </si>
  <si>
    <t>Variance to Date</t>
  </si>
  <si>
    <t>Invoice Analysis Workbook</t>
  </si>
  <si>
    <t>Transaction insights and September–October weekly forecast</t>
  </si>
  <si>
    <t>CONTENTS</t>
  </si>
  <si>
    <t>PURPOSE</t>
  </si>
  <si>
    <t>Insights</t>
  </si>
  <si>
    <t>Invoice KPIs, monthly trends, distribution, and data-quality findings.</t>
  </si>
  <si>
    <t>Weekly Forecast</t>
  </si>
  <si>
    <t>Monday–Sunday ETS forecast with September actual comparison.</t>
  </si>
  <si>
    <t>Transactions</t>
  </si>
  <si>
    <t>Source invoice ledger used by both analytical sheets.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</si>
</sst>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dd\ mmm\ yyyy"/>
    <numFmt numFmtId="166" formatCode="0.0%"/>
  </numFmts>
  <fonts count="16" x14ac:knownFonts="1">
    <font>
      <sz val="11"/>
      <color theme="1"/>
      <name val="Calibri"/>
      <family val="2"/>
      <scheme val="minor"/>
    </font>
    <font>
      <b/>
      <sz val="18"/>
      <color rgb="FFFFFFFF"/>
      <name val="Aptos"/>
    </font>
    <font>
      <i/>
      <sz val="10"/>
      <color rgb="FF5B6573"/>
      <name val="Aptos"/>
    </font>
    <font>
      <b/>
      <sz val="11"/>
      <color rgb="FFFFFFFF"/>
      <name val="Aptos"/>
    </font>
    <font>
      <b/>
      <sz val="20"/>
      <color rgb="FF16324F"/>
      <name val="Aptos"/>
    </font>
    <font>
      <b/>
      <sz val="10"/>
      <color rgb="FFFFFFFF"/>
      <name val="Aptos"/>
    </font>
    <font>
      <sz val="10"/>
      <color theme="1"/>
      <name val="Aptos"/>
    </font>
    <font>
      <sz val="10"/>
      <color rgb="FF16324F"/>
      <name val="Aptos"/>
    </font>
    <font>
      <b/>
      <sz val="10"/>
      <color rgb="FF2A9D8F"/>
      <name val="Aptos"/>
    </font>
    <font>
      <b/>
      <sz val="10"/>
      <color rgb="FFC94C4C"/>
      <name val="Aptos"/>
    </font>
    <font>
      <i/>
      <sz val="11"/>
      <color rgb="FF5B6573"/>
      <name val="Aptos"/>
    </font>
    <font>
      <sz val="11"/>
      <color theme="1"/>
      <name val="Aptos"/>
    </font>
    <font>
      <sz val="11"/>
      <color rgb="FF16324F"/>
      <name val="Aptos"/>
    </font>
    <font>
      <b/>
      <sz val="20"/>
      <color rgb="FFFFFFFF"/>
      <name val="Aptos"/>
    </font>
    <font>
      <b/>
      <sz val="11"/>
      <color rgb="FF2F75B5"/>
      <name val="Aptos"/>
    </font>
    <font>
      <sz val="11"/>
      <color rgb="FF5B6573"/>
      <name val="Aptos"/>
    </font>
  </fonts>
  <fills count="7">
    <fill>
      <patternFill patternType="none"/>
    </fill>
    <fill>
      <patternFill patternType="gray125"/>
    </fill>
    <fill>
      <patternFill patternType="solid">
        <fgColor rgb="FF16324F"/>
        <bgColor indexed="64"/>
      </patternFill>
    </fill>
    <fill>
      <patternFill patternType="solid">
        <fgColor rgb="FF2F75B5"/>
        <bgColor indexed="64"/>
      </patternFill>
    </fill>
    <fill>
      <patternFill patternType="solid">
        <fgColor rgb="FFF5F8FA"/>
        <bgColor indexed="64"/>
      </patternFill>
    </fill>
    <fill>
      <patternFill patternType="solid">
        <fgColor rgb="FF2A9D8F"/>
        <bgColor indexed="64"/>
      </patternFill>
    </fill>
    <fill>
      <patternFill patternType="solid">
        <fgColor rgb="FFEAF2F8"/>
        <bgColor indexed="64"/>
      </patternFill>
    </fill>
  </fills>
  <borders count="2">
    <border>
      <left/>
      <right/>
      <top/>
      <bottom/>
      <diagonal/>
    </border>
    <border>
      <left/>
      <right/>
      <top/>
      <bottom style="thin">
        <color rgb="FFD9E2F3"/>
      </bottom>
      <diagonal/>
    </border>
  </borders>
  <cellStyleXfs count="1">
    <xf numFmtId="0" fontId="0" fillId="0" borderId="0"/>
  </cellStyleXfs>
  <cellXfs count="46">
    <xf numFmtId="0" fontId="0" fillId="0" borderId="0" xfId="0"/>
    <xf numFmtId="0" fontId="3" fillId="3" borderId="0" xfId="0" applyFont="1" applyFill="1"/>
    <xf numFmtId="0" fontId="6" fillId="0" borderId="0" xfId="0" applyFont="1"/>
    <xf numFmtId="0" fontId="5" fillId="2" borderId="0" xfId="0" applyFont="1" applyFill="1" applyAlignment="1">
      <alignment horizontal="center"/>
    </xf>
    <xf numFmtId="164" fontId="6" fillId="0" borderId="0" xfId="0" applyNumberFormat="1" applyFont="1" applyAlignment="1">
      <alignment horizontal="left"/>
    </xf>
    <xf numFmtId="3" fontId="6" fillId="0" borderId="0" xfId="0" applyNumberFormat="1" applyFont="1" applyAlignment="1">
      <alignment horizontal="right"/>
    </xf>
    <xf numFmtId="4" fontId="6" fillId="0" borderId="0" xfId="0" applyNumberFormat="1" applyFont="1" applyAlignment="1">
      <alignment horizontal="right"/>
    </xf>
    <xf numFmtId="14" fontId="6" fillId="0" borderId="0" xfId="0" applyNumberFormat="1" applyFont="1"/>
    <xf numFmtId="4" fontId="6" fillId="0" borderId="0" xfId="0" applyNumberFormat="1" applyFont="1"/>
    <xf numFmtId="164" fontId="6" fillId="0" borderId="1" xfId="0" applyNumberFormat="1" applyFont="1" applyBorder="1" applyAlignment="1">
      <alignment horizontal="left"/>
    </xf>
    <xf numFmtId="3" fontId="6" fillId="0" borderId="1" xfId="0" applyNumberFormat="1" applyFont="1" applyBorder="1" applyAlignment="1">
      <alignment horizontal="right"/>
    </xf>
    <xf numFmtId="4" fontId="6" fillId="0" borderId="1" xfId="0" applyNumberFormat="1" applyFont="1" applyBorder="1" applyAlignment="1">
      <alignment horizontal="right"/>
    </xf>
    <xf numFmtId="14" fontId="6" fillId="0" borderId="1" xfId="0" applyNumberFormat="1" applyFont="1" applyBorder="1"/>
    <xf numFmtId="0" fontId="6" fillId="0" borderId="1" xfId="0" applyFont="1" applyBorder="1"/>
    <xf numFmtId="4" fontId="6" fillId="0" borderId="1" xfId="0" applyNumberFormat="1" applyFont="1" applyBorder="1"/>
    <xf numFmtId="3" fontId="6" fillId="0" borderId="0" xfId="0" applyNumberFormat="1" applyFont="1"/>
    <xf numFmtId="0" fontId="8" fillId="0" borderId="0" xfId="0" applyFont="1"/>
    <xf numFmtId="0" fontId="9" fillId="0" borderId="0" xfId="0" applyFont="1"/>
    <xf numFmtId="3" fontId="6" fillId="0" borderId="1" xfId="0" applyNumberFormat="1" applyFont="1" applyBorder="1"/>
    <xf numFmtId="0" fontId="9" fillId="0" borderId="1" xfId="0" applyFont="1" applyBorder="1"/>
    <xf numFmtId="0" fontId="3" fillId="3" borderId="0" xfId="0" applyFont="1" applyFill="1"/>
    <xf numFmtId="0" fontId="7" fillId="6" borderId="0" xfId="0" applyFont="1" applyFill="1" applyAlignment="1">
      <alignment vertical="center" wrapText="1"/>
    </xf>
    <xf numFmtId="0" fontId="3" fillId="2" borderId="0" xfId="0" applyFont="1" applyFill="1"/>
    <xf numFmtId="0" fontId="3" fillId="5" borderId="0" xfId="0" applyFont="1" applyFill="1"/>
    <xf numFmtId="0" fontId="1" fillId="2" borderId="0" xfId="0" applyFont="1" applyFill="1"/>
    <xf numFmtId="0" fontId="6" fillId="0" borderId="0" xfId="0" applyFont="1"/>
    <xf numFmtId="0" fontId="2" fillId="0" borderId="0" xfId="0" applyFont="1"/>
    <xf numFmtId="0" fontId="5" fillId="3" borderId="0" xfId="0" applyFont="1" applyFill="1" applyAlignment="1">
      <alignment horizontal="center"/>
    </xf>
    <xf numFmtId="4" fontId="4" fillId="4" borderId="0" xfId="0" applyNumberFormat="1" applyFont="1" applyFill="1"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xf>
    <xf numFmtId="3" fontId="4" fillId="4" borderId="0" xfId="0" applyNumberFormat="1" applyFont="1" applyFill="1" applyAlignment="1">
      <alignment horizontal="center" vertical="center"/>
    </xf>
    <xf numFmtId="0" fontId="10" fillId="0" borderId="0" xfId="0" applyFont="1"/>
    <xf numFmtId="0" fontId="11" fillId="0" borderId="0" xfId="0" applyFont="1"/>
    <xf numFmtId="0" fontId="3" fillId="3" borderId="0" xfId="0" applyFont="1" applyFill="1" applyAlignment="1">
      <alignment horizontal="center"/>
    </xf>
    <xf numFmtId="0" fontId="3" fillId="5" borderId="0" xfId="0" applyFont="1" applyFill="1" applyAlignment="1">
      <alignment horizontal="center"/>
    </xf>
    <xf numFmtId="165" fontId="4" fillId="4" borderId="0" xfId="0" applyNumberFormat="1" applyFont="1" applyFill="1" applyAlignment="1">
      <alignment horizontal="center" vertical="center"/>
    </xf>
    <xf numFmtId="0" fontId="12" fillId="6" borderId="0" xfId="0" applyFont="1" applyFill="1" applyAlignment="1">
      <alignment vertical="center" wrapText="1"/>
    </xf>
    <xf numFmtId="165" fontId="11" fillId="0" borderId="0" xfId="0" applyNumberFormat="1" applyFont="1"/>
    <xf numFmtId="4" fontId="11" fillId="0" borderId="0" xfId="0" applyNumberFormat="1" applyFont="1"/>
    <xf numFmtId="0" fontId="3" fillId="3" borderId="0" xfId="0" applyFont="1" applyFill="1" applyAlignment="1">
      <alignment horizontal="center"/>
    </xf>
    <xf numFmtId="166" fontId="11" fillId="0" borderId="0" xfId="0" applyNumberFormat="1" applyFont="1"/>
    <xf numFmtId="0" fontId="13" fillId="2" borderId="0" xfId="0" applyFont="1" applyFill="1"/>
    <xf numFmtId="0" fontId="11" fillId="0" borderId="0" xfId="0" applyFont="1"/>
    <xf numFmtId="0" fontId="14" fillId="0" borderId="0" xfId="0" applyFont="1"/>
    <xf numFmtId="0" fontId="15"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a:t>Monthly Invoice Value</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Insights!$C$33</c:f>
              <c:strCache>
                <c:ptCount val="1"/>
                <c:pt idx="0">
                  <c:v>Total Value</c:v>
                </c:pt>
              </c:strCache>
            </c:strRef>
          </c:tx>
          <c:spPr>
            <a:ln w="28575" cap="rnd">
              <a:solidFill>
                <a:srgbClr val="2F75B5"/>
              </a:solidFill>
              <a:prstDash val="solid"/>
              <a:round/>
            </a:ln>
            <a:effectLst/>
          </c:spPr>
          <c:marker>
            <c:symbol val="circle"/>
            <c:size val="5"/>
            <c:spPr>
              <a:solidFill>
                <a:schemeClr val="accent1"/>
              </a:solidFill>
              <a:ln w="9525">
                <a:solidFill>
                  <a:schemeClr val="accent1"/>
                </a:solidFill>
              </a:ln>
              <a:effectLst/>
            </c:spPr>
          </c:marker>
          <c:cat>
            <c:numRef>
              <c:f>Insights!$A$34:$A$42</c:f>
              <c:numCache>
                <c:formatCode>mmm\ yyyy</c:formatCode>
                <c:ptCount val="9"/>
                <c:pt idx="0">
                  <c:v>46023</c:v>
                </c:pt>
                <c:pt idx="1">
                  <c:v>46054</c:v>
                </c:pt>
                <c:pt idx="2">
                  <c:v>46082</c:v>
                </c:pt>
                <c:pt idx="3">
                  <c:v>46113</c:v>
                </c:pt>
                <c:pt idx="4">
                  <c:v>46143</c:v>
                </c:pt>
                <c:pt idx="5">
                  <c:v>46174</c:v>
                </c:pt>
                <c:pt idx="6">
                  <c:v>46204</c:v>
                </c:pt>
                <c:pt idx="7">
                  <c:v>46235</c:v>
                </c:pt>
                <c:pt idx="8">
                  <c:v>46266</c:v>
                </c:pt>
              </c:numCache>
            </c:numRef>
          </c:cat>
          <c:val>
            <c:numRef>
              <c:f>Insights!$C$34:$C$42</c:f>
              <c:numCache>
                <c:formatCode>#,##0.00</c:formatCode>
                <c:ptCount val="9"/>
                <c:pt idx="0">
                  <c:v>95095.849999999948</c:v>
                </c:pt>
                <c:pt idx="1">
                  <c:v>85826.989999999947</c:v>
                </c:pt>
                <c:pt idx="2">
                  <c:v>104577.30000000003</c:v>
                </c:pt>
                <c:pt idx="3">
                  <c:v>94734.529999999941</c:v>
                </c:pt>
                <c:pt idx="4">
                  <c:v>96275.609999999971</c:v>
                </c:pt>
                <c:pt idx="5">
                  <c:v>90009.29</c:v>
                </c:pt>
                <c:pt idx="6">
                  <c:v>109158.51000000008</c:v>
                </c:pt>
                <c:pt idx="7">
                  <c:v>102715.52999999993</c:v>
                </c:pt>
                <c:pt idx="8">
                  <c:v>32233.480000000003</c:v>
                </c:pt>
              </c:numCache>
            </c:numRef>
          </c:val>
          <c:smooth val="0"/>
          <c:extLst>
            <c:ext xmlns:c16="http://schemas.microsoft.com/office/drawing/2014/chart" uri="{C3380CC4-5D6E-409C-BE32-E72D297353CC}">
              <c16:uniqueId val="{00000000-FB13-495B-8A81-75CD9EC15E5C}"/>
            </c:ext>
          </c:extLst>
        </c:ser>
        <c:dLbls>
          <c:showLegendKey val="0"/>
          <c:showVal val="0"/>
          <c:showCatName val="0"/>
          <c:showSerName val="0"/>
          <c:showPercent val="0"/>
          <c:showBubbleSize val="0"/>
        </c:dLbls>
        <c:marker val="1"/>
        <c:smooth val="0"/>
        <c:axId val="1331667824"/>
        <c:axId val="1364876240"/>
      </c:lineChart>
      <c:dateAx>
        <c:axId val="1331667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 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876240"/>
        <c:crosses val="autoZero"/>
        <c:auto val="0"/>
        <c:lblOffset val="100"/>
        <c:baseTimeUnit val="months"/>
      </c:dateAx>
      <c:valAx>
        <c:axId val="1364876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Total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667824"/>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a:t>Invoice Count by Value Band</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Insights!$B$47</c:f>
              <c:strCache>
                <c:ptCount val="1"/>
                <c:pt idx="0">
                  <c:v>Count</c:v>
                </c:pt>
              </c:strCache>
            </c:strRef>
          </c:tx>
          <c:spPr>
            <a:solidFill>
              <a:srgbClr val="2A9D8F"/>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Insights!$A$48:$A$52</c:f>
              <c:strCache>
                <c:ptCount val="5"/>
                <c:pt idx="0">
                  <c:v>Under 100</c:v>
                </c:pt>
                <c:pt idx="1">
                  <c:v>100–249.99</c:v>
                </c:pt>
                <c:pt idx="2">
                  <c:v>250–499.99</c:v>
                </c:pt>
                <c:pt idx="3">
                  <c:v>500–999.99</c:v>
                </c:pt>
                <c:pt idx="4">
                  <c:v>1,000+</c:v>
                </c:pt>
              </c:strCache>
            </c:strRef>
          </c:cat>
          <c:val>
            <c:numRef>
              <c:f>Insights!$B$48:$B$52</c:f>
              <c:numCache>
                <c:formatCode>#,##0</c:formatCode>
                <c:ptCount val="5"/>
                <c:pt idx="0">
                  <c:v>16</c:v>
                </c:pt>
                <c:pt idx="1">
                  <c:v>652</c:v>
                </c:pt>
                <c:pt idx="2">
                  <c:v>762</c:v>
                </c:pt>
                <c:pt idx="3">
                  <c:v>444</c:v>
                </c:pt>
                <c:pt idx="4">
                  <c:v>94</c:v>
                </c:pt>
              </c:numCache>
            </c:numRef>
          </c:val>
          <c:extLst>
            <c:ext xmlns:c16="http://schemas.microsoft.com/office/drawing/2014/chart" uri="{C3380CC4-5D6E-409C-BE32-E72D297353CC}">
              <c16:uniqueId val="{00000000-9FF6-47FA-A42A-1E2B5D0DA2C3}"/>
            </c:ext>
          </c:extLst>
        </c:ser>
        <c:dLbls>
          <c:showLegendKey val="0"/>
          <c:showVal val="0"/>
          <c:showCatName val="0"/>
          <c:showSerName val="0"/>
          <c:showPercent val="0"/>
          <c:showBubbleSize val="0"/>
        </c:dLbls>
        <c:gapWidth val="182"/>
        <c:axId val="1331659008"/>
        <c:axId val="1543264815"/>
      </c:barChart>
      <c:catAx>
        <c:axId val="13316590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Invoice Band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264815"/>
        <c:crosses val="autoZero"/>
        <c:auto val="1"/>
        <c:lblAlgn val="ctr"/>
        <c:lblOffset val="100"/>
        <c:noMultiLvlLbl val="0"/>
      </c:catAx>
      <c:valAx>
        <c:axId val="15432648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Invoice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659008"/>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0" verticalDpi="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a:t>Weekly Actual Value Used for ETS Training</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'Weekly Forecast'!$B$14</c:f>
              <c:strCache>
                <c:ptCount val="1"/>
                <c:pt idx="0">
                  <c:v>Actual Total Value</c:v>
                </c:pt>
              </c:strCache>
            </c:strRef>
          </c:tx>
          <c:spPr>
            <a:ln w="25400" cap="rnd">
              <a:solidFill>
                <a:srgbClr val="2F75B5"/>
              </a:solidFill>
              <a:prstDash val="solid"/>
              <a:round/>
            </a:ln>
            <a:effectLst/>
          </c:spPr>
          <c:marker>
            <c:symbol val="circle"/>
            <c:size val="5"/>
            <c:spPr>
              <a:solidFill>
                <a:schemeClr val="accent1"/>
              </a:solidFill>
              <a:ln w="9525">
                <a:solidFill>
                  <a:schemeClr val="accent1"/>
                </a:solidFill>
              </a:ln>
              <a:effectLst/>
            </c:spPr>
          </c:marker>
          <c:cat>
            <c:numRef>
              <c:f>'Weekly Forecast'!$A$15:$A$48</c:f>
              <c:numCache>
                <c:formatCode>dd\ mmm\ yyyy</c:formatCode>
                <c:ptCount val="34"/>
                <c:pt idx="0">
                  <c:v>46027</c:v>
                </c:pt>
                <c:pt idx="1">
                  <c:v>46034</c:v>
                </c:pt>
                <c:pt idx="2">
                  <c:v>46041</c:v>
                </c:pt>
                <c:pt idx="3">
                  <c:v>46048</c:v>
                </c:pt>
                <c:pt idx="4">
                  <c:v>46055</c:v>
                </c:pt>
                <c:pt idx="5">
                  <c:v>46062</c:v>
                </c:pt>
                <c:pt idx="6">
                  <c:v>46069</c:v>
                </c:pt>
                <c:pt idx="7">
                  <c:v>46076</c:v>
                </c:pt>
                <c:pt idx="8">
                  <c:v>46083</c:v>
                </c:pt>
                <c:pt idx="9">
                  <c:v>46090</c:v>
                </c:pt>
                <c:pt idx="10">
                  <c:v>46097</c:v>
                </c:pt>
                <c:pt idx="11">
                  <c:v>46104</c:v>
                </c:pt>
                <c:pt idx="12">
                  <c:v>46111</c:v>
                </c:pt>
                <c:pt idx="13">
                  <c:v>46118</c:v>
                </c:pt>
                <c:pt idx="14">
                  <c:v>46125</c:v>
                </c:pt>
                <c:pt idx="15">
                  <c:v>46132</c:v>
                </c:pt>
                <c:pt idx="16">
                  <c:v>46139</c:v>
                </c:pt>
                <c:pt idx="17">
                  <c:v>46146</c:v>
                </c:pt>
                <c:pt idx="18">
                  <c:v>46153</c:v>
                </c:pt>
                <c:pt idx="19">
                  <c:v>46160</c:v>
                </c:pt>
                <c:pt idx="20">
                  <c:v>46167</c:v>
                </c:pt>
                <c:pt idx="21">
                  <c:v>46174</c:v>
                </c:pt>
                <c:pt idx="22">
                  <c:v>46181</c:v>
                </c:pt>
                <c:pt idx="23">
                  <c:v>46188</c:v>
                </c:pt>
                <c:pt idx="24">
                  <c:v>46195</c:v>
                </c:pt>
                <c:pt idx="25">
                  <c:v>46202</c:v>
                </c:pt>
                <c:pt idx="26">
                  <c:v>46209</c:v>
                </c:pt>
                <c:pt idx="27">
                  <c:v>46216</c:v>
                </c:pt>
                <c:pt idx="28">
                  <c:v>46223</c:v>
                </c:pt>
                <c:pt idx="29">
                  <c:v>46230</c:v>
                </c:pt>
                <c:pt idx="30">
                  <c:v>46237</c:v>
                </c:pt>
                <c:pt idx="31">
                  <c:v>46244</c:v>
                </c:pt>
                <c:pt idx="32">
                  <c:v>46251</c:v>
                </c:pt>
                <c:pt idx="33">
                  <c:v>46258</c:v>
                </c:pt>
              </c:numCache>
            </c:numRef>
          </c:cat>
          <c:val>
            <c:numRef>
              <c:f>'Weekly Forecast'!$B$15:$B$48</c:f>
              <c:numCache>
                <c:formatCode>#,##0.00</c:formatCode>
                <c:ptCount val="34"/>
                <c:pt idx="0">
                  <c:v>19710.649999999998</c:v>
                </c:pt>
                <c:pt idx="1">
                  <c:v>21183.829999999991</c:v>
                </c:pt>
                <c:pt idx="2">
                  <c:v>23156.71</c:v>
                </c:pt>
                <c:pt idx="3">
                  <c:v>21543.730000000007</c:v>
                </c:pt>
                <c:pt idx="4">
                  <c:v>23580.849999999995</c:v>
                </c:pt>
                <c:pt idx="5">
                  <c:v>15377.179999999997</c:v>
                </c:pt>
                <c:pt idx="6">
                  <c:v>19002.299999999996</c:v>
                </c:pt>
                <c:pt idx="7">
                  <c:v>29847.090000000007</c:v>
                </c:pt>
                <c:pt idx="8">
                  <c:v>19678.3</c:v>
                </c:pt>
                <c:pt idx="9">
                  <c:v>26078.409999999993</c:v>
                </c:pt>
                <c:pt idx="10">
                  <c:v>20271.039999999994</c:v>
                </c:pt>
                <c:pt idx="11">
                  <c:v>25353.049999999996</c:v>
                </c:pt>
                <c:pt idx="12">
                  <c:v>22784.599999999995</c:v>
                </c:pt>
                <c:pt idx="13">
                  <c:v>25669.419999999991</c:v>
                </c:pt>
                <c:pt idx="14">
                  <c:v>19870.999999999993</c:v>
                </c:pt>
                <c:pt idx="15">
                  <c:v>22998.619999999992</c:v>
                </c:pt>
                <c:pt idx="16">
                  <c:v>23936.719999999998</c:v>
                </c:pt>
                <c:pt idx="17">
                  <c:v>28295.660000000011</c:v>
                </c:pt>
                <c:pt idx="18">
                  <c:v>18562.510000000006</c:v>
                </c:pt>
                <c:pt idx="19">
                  <c:v>20776.329999999991</c:v>
                </c:pt>
                <c:pt idx="20">
                  <c:v>16928.920000000002</c:v>
                </c:pt>
                <c:pt idx="21">
                  <c:v>21851.539999999997</c:v>
                </c:pt>
                <c:pt idx="22">
                  <c:v>20786.19999999999</c:v>
                </c:pt>
                <c:pt idx="23">
                  <c:v>19282.87</c:v>
                </c:pt>
                <c:pt idx="24">
                  <c:v>21700.989999999998</c:v>
                </c:pt>
                <c:pt idx="25">
                  <c:v>21595.579999999994</c:v>
                </c:pt>
                <c:pt idx="26">
                  <c:v>18931.499999999996</c:v>
                </c:pt>
                <c:pt idx="27">
                  <c:v>16285.899999999992</c:v>
                </c:pt>
                <c:pt idx="28">
                  <c:v>19302.370000000006</c:v>
                </c:pt>
                <c:pt idx="29">
                  <c:v>49257.070000000007</c:v>
                </c:pt>
                <c:pt idx="30">
                  <c:v>21302.489999999998</c:v>
                </c:pt>
                <c:pt idx="31">
                  <c:v>19757.97</c:v>
                </c:pt>
                <c:pt idx="32">
                  <c:v>23360.840000000007</c:v>
                </c:pt>
                <c:pt idx="33">
                  <c:v>28011.119999999984</c:v>
                </c:pt>
              </c:numCache>
            </c:numRef>
          </c:val>
          <c:smooth val="0"/>
          <c:extLst>
            <c:ext xmlns:c16="http://schemas.microsoft.com/office/drawing/2014/chart" uri="{C3380CC4-5D6E-409C-BE32-E72D297353CC}">
              <c16:uniqueId val="{00000000-CD5B-4C19-8AD0-FE5BFFD5824E}"/>
            </c:ext>
          </c:extLst>
        </c:ser>
        <c:dLbls>
          <c:showLegendKey val="0"/>
          <c:showVal val="0"/>
          <c:showCatName val="0"/>
          <c:showSerName val="0"/>
          <c:showPercent val="0"/>
          <c:showBubbleSize val="0"/>
        </c:dLbls>
        <c:marker val="1"/>
        <c:smooth val="0"/>
        <c:axId val="1611526864"/>
        <c:axId val="1429916527"/>
      </c:lineChart>
      <c:dateAx>
        <c:axId val="1611526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Week Commencing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 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916527"/>
        <c:crosses val="autoZero"/>
        <c:auto val="0"/>
        <c:lblOffset val="100"/>
        <c:baseTimeUnit val="days"/>
        <c:majorUnit val="28"/>
      </c:dateAx>
      <c:valAx>
        <c:axId val="1429916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Total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526864"/>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ZA"/>
              <a:t>Weekly Forecast vs Available Actuals</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'Weekly Forecast'!$B$52</c:f>
              <c:strCache>
                <c:ptCount val="1"/>
                <c:pt idx="0">
                  <c:v>Full-Week Forecast</c:v>
                </c:pt>
              </c:strCache>
            </c:strRef>
          </c:tx>
          <c:spPr>
            <a:solidFill>
              <a:srgbClr val="2F75B5"/>
            </a:solidFill>
            <a:ln>
              <a:noFill/>
            </a:ln>
            <a:effectLst/>
          </c:spPr>
          <c:invertIfNegative val="0"/>
          <c:cat>
            <c:numRef>
              <c:f>'Weekly Forecast'!$A$53:$A$61</c:f>
              <c:numCache>
                <c:formatCode>dd\ mmm\ yyyy</c:formatCode>
                <c:ptCount val="9"/>
                <c:pt idx="0">
                  <c:v>46265</c:v>
                </c:pt>
                <c:pt idx="1">
                  <c:v>46272</c:v>
                </c:pt>
                <c:pt idx="2">
                  <c:v>46279</c:v>
                </c:pt>
                <c:pt idx="3">
                  <c:v>46286</c:v>
                </c:pt>
                <c:pt idx="4">
                  <c:v>46293</c:v>
                </c:pt>
                <c:pt idx="5">
                  <c:v>46300</c:v>
                </c:pt>
                <c:pt idx="6">
                  <c:v>46307</c:v>
                </c:pt>
                <c:pt idx="7">
                  <c:v>46314</c:v>
                </c:pt>
                <c:pt idx="8">
                  <c:v>46321</c:v>
                </c:pt>
              </c:numCache>
            </c:numRef>
          </c:cat>
          <c:val>
            <c:numRef>
              <c:f>'Weekly Forecast'!$B$53:$B$61</c:f>
              <c:numCache>
                <c:formatCode>#,##0.00</c:formatCode>
                <c:ptCount val="9"/>
                <c:pt idx="0">
                  <c:v>24313.215259554701</c:v>
                </c:pt>
                <c:pt idx="1">
                  <c:v>24409.942410174903</c:v>
                </c:pt>
                <c:pt idx="2">
                  <c:v>24506.669560795071</c:v>
                </c:pt>
                <c:pt idx="3">
                  <c:v>24603.396711415269</c:v>
                </c:pt>
                <c:pt idx="4">
                  <c:v>24700.123862035442</c:v>
                </c:pt>
                <c:pt idx="5">
                  <c:v>24796.851012655639</c:v>
                </c:pt>
                <c:pt idx="6">
                  <c:v>24893.578163275808</c:v>
                </c:pt>
                <c:pt idx="7">
                  <c:v>24990.305313896009</c:v>
                </c:pt>
                <c:pt idx="8">
                  <c:v>25087.032464516178</c:v>
                </c:pt>
              </c:numCache>
            </c:numRef>
          </c:val>
          <c:extLst>
            <c:ext xmlns:c16="http://schemas.microsoft.com/office/drawing/2014/chart" uri="{C3380CC4-5D6E-409C-BE32-E72D297353CC}">
              <c16:uniqueId val="{00000000-B394-4372-8871-8B12B0F29375}"/>
            </c:ext>
          </c:extLst>
        </c:ser>
        <c:ser>
          <c:idx val="1"/>
          <c:order val="1"/>
          <c:tx>
            <c:v>Actual Available</c:v>
          </c:tx>
          <c:spPr>
            <a:solidFill>
              <a:srgbClr val="2A9D8F"/>
            </a:solidFill>
            <a:ln>
              <a:noFill/>
            </a:ln>
            <a:effectLst/>
          </c:spPr>
          <c:invertIfNegative val="0"/>
          <c:cat>
            <c:numRef>
              <c:f>'Weekly Forecast'!$A$53:$A$61</c:f>
              <c:numCache>
                <c:formatCode>dd\ mmm\ yyyy</c:formatCode>
                <c:ptCount val="9"/>
                <c:pt idx="0">
                  <c:v>46265</c:v>
                </c:pt>
                <c:pt idx="1">
                  <c:v>46272</c:v>
                </c:pt>
                <c:pt idx="2">
                  <c:v>46279</c:v>
                </c:pt>
                <c:pt idx="3">
                  <c:v>46286</c:v>
                </c:pt>
                <c:pt idx="4">
                  <c:v>46293</c:v>
                </c:pt>
                <c:pt idx="5">
                  <c:v>46300</c:v>
                </c:pt>
                <c:pt idx="6">
                  <c:v>46307</c:v>
                </c:pt>
                <c:pt idx="7">
                  <c:v>46314</c:v>
                </c:pt>
                <c:pt idx="8">
                  <c:v>46321</c:v>
                </c:pt>
              </c:numCache>
            </c:numRef>
          </c:cat>
          <c:val>
            <c:numRef>
              <c:f>'Weekly Forecast'!$C$53:$C$61</c:f>
              <c:numCache>
                <c:formatCode>#,##0.00</c:formatCode>
                <c:ptCount val="9"/>
                <c:pt idx="0">
                  <c:v>22257.12999999999</c:v>
                </c:pt>
                <c:pt idx="1">
                  <c:v>10433.239999999996</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B394-4372-8871-8B12B0F29375}"/>
            </c:ext>
          </c:extLst>
        </c:ser>
        <c:dLbls>
          <c:showLegendKey val="0"/>
          <c:showVal val="0"/>
          <c:showCatName val="0"/>
          <c:showSerName val="0"/>
          <c:showPercent val="0"/>
          <c:showBubbleSize val="0"/>
        </c:dLbls>
        <c:gapWidth val="219"/>
        <c:overlap val="-27"/>
        <c:axId val="1491875936"/>
        <c:axId val="1429945807"/>
      </c:barChart>
      <c:dateAx>
        <c:axId val="1491875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Week Commencing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dd\ mmm"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945807"/>
        <c:crosses val="autoZero"/>
        <c:auto val="0"/>
        <c:lblOffset val="100"/>
        <c:baseTimeUnit val="days"/>
        <c:majorUnit val="7"/>
      </c:dateAx>
      <c:valAx>
        <c:axId val="1429945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Total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875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0</xdr:rowOff>
    </xdr:from>
    <xdr:to>
      <xdr:col>6</xdr:col>
      <xdr:colOff>0</xdr:colOff>
      <xdr:row>29</xdr:row>
      <xdr:rowOff>0</xdr:rowOff>
    </xdr:to>
    <xdr:graphicFrame macro="">
      <xdr:nvGraphicFramePr>
        <xdr:cNvPr id="2" name="Monthly Total Value">
          <a:extLst>
            <a:ext uri="{FF2B5EF4-FFF2-40B4-BE49-F238E27FC236}">
              <a16:creationId xmlns:a16="http://schemas.microsoft.com/office/drawing/2014/main" id="{F7DE19D6-AEB2-EE14-8B4C-2ACA1D062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69850</xdr:colOff>
      <xdr:row>11</xdr:row>
      <xdr:rowOff>273050</xdr:rowOff>
    </xdr:from>
    <xdr:to>
      <xdr:col>12</xdr:col>
      <xdr:colOff>69850</xdr:colOff>
      <xdr:row>27</xdr:row>
      <xdr:rowOff>177800</xdr:rowOff>
    </xdr:to>
    <xdr:graphicFrame macro="">
      <xdr:nvGraphicFramePr>
        <xdr:cNvPr id="3" name="Transaction Size Distribution">
          <a:extLst>
            <a:ext uri="{FF2B5EF4-FFF2-40B4-BE49-F238E27FC236}">
              <a16:creationId xmlns:a16="http://schemas.microsoft.com/office/drawing/2014/main" id="{98F6D1CF-6779-E1DF-8028-FB15951563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12</xdr:row>
      <xdr:rowOff>0</xdr:rowOff>
    </xdr:from>
    <xdr:to>
      <xdr:col>12</xdr:col>
      <xdr:colOff>0</xdr:colOff>
      <xdr:row>31</xdr:row>
      <xdr:rowOff>0</xdr:rowOff>
    </xdr:to>
    <xdr:graphicFrame macro="">
      <xdr:nvGraphicFramePr>
        <xdr:cNvPr id="4" name="Weekly Training History">
          <a:extLst>
            <a:ext uri="{FF2B5EF4-FFF2-40B4-BE49-F238E27FC236}">
              <a16:creationId xmlns:a16="http://schemas.microsoft.com/office/drawing/2014/main" id="{2223C707-3B3C-EB82-03BD-B3148BA553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615950</xdr:colOff>
      <xdr:row>33</xdr:row>
      <xdr:rowOff>0</xdr:rowOff>
    </xdr:from>
    <xdr:to>
      <xdr:col>12</xdr:col>
      <xdr:colOff>0</xdr:colOff>
      <xdr:row>49</xdr:row>
      <xdr:rowOff>0</xdr:rowOff>
    </xdr:to>
    <xdr:graphicFrame macro="">
      <xdr:nvGraphicFramePr>
        <xdr:cNvPr id="6" name="Forecast vs Actual">
          <a:extLst>
            <a:ext uri="{FF2B5EF4-FFF2-40B4-BE49-F238E27FC236}">
              <a16:creationId xmlns:a16="http://schemas.microsoft.com/office/drawing/2014/main" id="{20F3ACE2-9112-D03B-C550-5CFEE85239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E5F60-3A2D-4B91-A625-95AEE9DB3F93}">
  <dimension ref="A1:H8"/>
  <sheetViews>
    <sheetView workbookViewId="0">
      <selection activeCell="S11" sqref="S11"/>
    </sheetView>
  </sheetViews>
  <sheetFormatPr defaultRowHeight="14.5" x14ac:dyDescent="0.35"/>
  <cols>
    <col min="1" max="1" width="36.36328125" customWidth="1"/>
    <col min="2" max="2" width="63.6328125" customWidth="1"/>
    <col min="3" max="8" width="9.08984375" customWidth="1"/>
  </cols>
  <sheetData>
    <row r="1" spans="1:8" ht="26" x14ac:dyDescent="0.6">
      <c r="A1" s="42" t="s">
        <v>2285</v>
      </c>
      <c r="B1" s="42"/>
      <c r="C1" s="42"/>
      <c r="D1" s="42"/>
      <c r="E1" s="42"/>
      <c r="F1" s="42"/>
      <c r="G1" s="42"/>
      <c r="H1" s="42"/>
    </row>
    <row r="2" spans="1:8" x14ac:dyDescent="0.35">
      <c r="A2" s="32" t="s">
        <v>2286</v>
      </c>
      <c r="B2" s="43"/>
      <c r="C2" s="43"/>
      <c r="D2" s="43"/>
      <c r="E2" s="43"/>
      <c r="F2" s="43"/>
      <c r="G2" s="43"/>
      <c r="H2" s="43"/>
    </row>
    <row r="3" spans="1:8" x14ac:dyDescent="0.35">
      <c r="A3" s="33"/>
      <c r="B3" s="33"/>
      <c r="C3" s="33"/>
      <c r="D3" s="33"/>
      <c r="E3" s="33"/>
      <c r="F3" s="33"/>
      <c r="G3" s="33"/>
      <c r="H3" s="33"/>
    </row>
    <row r="4" spans="1:8" x14ac:dyDescent="0.35">
      <c r="A4" s="33"/>
      <c r="B4" s="33"/>
      <c r="C4" s="33"/>
      <c r="D4" s="33"/>
      <c r="E4" s="33"/>
      <c r="F4" s="33"/>
      <c r="G4" s="33"/>
      <c r="H4" s="33"/>
    </row>
    <row r="5" spans="1:8" x14ac:dyDescent="0.35">
      <c r="A5" s="1" t="s">
        <v>2287</v>
      </c>
      <c r="B5" s="1" t="s">
        <v>2288</v>
      </c>
      <c r="C5" s="33"/>
      <c r="D5" s="33"/>
      <c r="E5" s="33"/>
      <c r="F5" s="33"/>
      <c r="G5" s="33"/>
      <c r="H5" s="33"/>
    </row>
    <row r="6" spans="1:8" x14ac:dyDescent="0.35">
      <c r="A6" s="44" t="s">
        <v>2289</v>
      </c>
      <c r="B6" s="45" t="s">
        <v>2290</v>
      </c>
      <c r="C6" s="33"/>
      <c r="D6" s="33"/>
      <c r="E6" s="33"/>
      <c r="F6" s="33"/>
      <c r="G6" s="33"/>
      <c r="H6" s="33"/>
    </row>
    <row r="7" spans="1:8" x14ac:dyDescent="0.35">
      <c r="A7" s="44" t="s">
        <v>2291</v>
      </c>
      <c r="B7" s="45" t="s">
        <v>2292</v>
      </c>
      <c r="C7" s="33"/>
      <c r="D7" s="33"/>
      <c r="E7" s="33"/>
      <c r="F7" s="33"/>
      <c r="G7" s="33"/>
      <c r="H7" s="33"/>
    </row>
    <row r="8" spans="1:8" x14ac:dyDescent="0.35">
      <c r="A8" s="44" t="s">
        <v>2293</v>
      </c>
      <c r="B8" s="45" t="s">
        <v>2294</v>
      </c>
      <c r="C8" s="33"/>
      <c r="D8" s="33"/>
      <c r="E8" s="33"/>
      <c r="F8" s="33"/>
      <c r="G8" s="33"/>
      <c r="H8" s="33"/>
    </row>
  </sheetData>
  <mergeCells count="2">
    <mergeCell ref="A1:H1"/>
    <mergeCell ref="A2:H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8D31C-F1F0-4A95-B6AD-23B83748B116}">
  <dimension ref="A1:L52"/>
  <sheetViews>
    <sheetView topLeftCell="A41" workbookViewId="0">
      <selection activeCell="D55" sqref="D55"/>
    </sheetView>
  </sheetViews>
  <sheetFormatPr defaultRowHeight="14.5" x14ac:dyDescent="0.35"/>
  <cols>
    <col min="1" max="2" width="12.7265625" customWidth="1"/>
    <col min="3" max="3" width="13.6328125" customWidth="1"/>
    <col min="4" max="4" width="12.7265625" customWidth="1"/>
    <col min="5" max="5" width="4" customWidth="1"/>
    <col min="6" max="6" width="24.1796875" bestFit="1" customWidth="1"/>
    <col min="7" max="7" width="12.7265625" customWidth="1"/>
    <col min="8" max="8" width="11.81640625" customWidth="1"/>
    <col min="9" max="10" width="12.7265625" customWidth="1"/>
    <col min="11" max="11" width="13.6328125" customWidth="1"/>
    <col min="12" max="12" width="15.453125" customWidth="1"/>
  </cols>
  <sheetData>
    <row r="1" spans="1:12" ht="30" customHeight="1" x14ac:dyDescent="0.55000000000000004">
      <c r="A1" s="24" t="s">
        <v>2232</v>
      </c>
      <c r="B1" s="25"/>
      <c r="C1" s="25"/>
      <c r="D1" s="25"/>
      <c r="E1" s="25"/>
      <c r="F1" s="25"/>
      <c r="G1" s="25"/>
      <c r="H1" s="25"/>
      <c r="I1" s="25"/>
      <c r="J1" s="25"/>
      <c r="K1" s="25"/>
      <c r="L1" s="25"/>
    </row>
    <row r="2" spans="1:12" x14ac:dyDescent="0.35">
      <c r="A2" s="26" t="s">
        <v>2233</v>
      </c>
      <c r="B2" s="25"/>
      <c r="C2" s="25"/>
      <c r="D2" s="25"/>
      <c r="E2" s="25"/>
      <c r="F2" s="25"/>
      <c r="G2" s="25"/>
      <c r="H2" s="25"/>
      <c r="I2" s="25"/>
      <c r="J2" s="25"/>
      <c r="K2" s="25"/>
      <c r="L2" s="25"/>
    </row>
    <row r="3" spans="1:12" x14ac:dyDescent="0.35">
      <c r="A3" s="2"/>
      <c r="B3" s="2"/>
      <c r="C3" s="2"/>
      <c r="D3" s="2"/>
      <c r="E3" s="2"/>
      <c r="F3" s="2"/>
      <c r="G3" s="2"/>
      <c r="H3" s="2"/>
      <c r="I3" s="2"/>
      <c r="J3" s="2"/>
      <c r="K3" s="2"/>
      <c r="L3" s="2"/>
    </row>
    <row r="4" spans="1:12" x14ac:dyDescent="0.35">
      <c r="A4" s="27" t="s">
        <v>2234</v>
      </c>
      <c r="B4" s="27"/>
      <c r="C4" s="27"/>
      <c r="D4" s="30" t="s">
        <v>2235</v>
      </c>
      <c r="E4" s="30"/>
      <c r="F4" s="30"/>
      <c r="G4" s="30" t="s">
        <v>2236</v>
      </c>
      <c r="H4" s="30"/>
      <c r="I4" s="30"/>
      <c r="J4" s="30" t="s">
        <v>2237</v>
      </c>
      <c r="K4" s="30"/>
      <c r="L4" s="30"/>
    </row>
    <row r="5" spans="1:12" ht="24" customHeight="1" x14ac:dyDescent="0.35">
      <c r="A5" s="28">
        <f>SUM(Transactions!$H$2:$H$1969)</f>
        <v>810627.08999999787</v>
      </c>
      <c r="B5" s="29"/>
      <c r="C5" s="29"/>
      <c r="D5" s="31">
        <f>COUNTA(Transactions!$B$2:$B$1969)</f>
        <v>1968</v>
      </c>
      <c r="E5" s="29"/>
      <c r="F5" s="29"/>
      <c r="G5" s="28">
        <f>AVERAGE(Transactions!$H$2:$H$1969)</f>
        <v>411.9040091463404</v>
      </c>
      <c r="H5" s="29"/>
      <c r="I5" s="29"/>
      <c r="J5" s="28">
        <f>MEDIAN(Transactions!$H$2:$H$1969)</f>
        <v>329.95500000000004</v>
      </c>
      <c r="K5" s="29"/>
      <c r="L5" s="29"/>
    </row>
    <row r="6" spans="1:12" ht="24" customHeight="1" x14ac:dyDescent="0.35">
      <c r="A6" s="29"/>
      <c r="B6" s="29"/>
      <c r="C6" s="29"/>
      <c r="D6" s="29"/>
      <c r="E6" s="29"/>
      <c r="F6" s="29"/>
      <c r="G6" s="29"/>
      <c r="H6" s="29"/>
      <c r="I6" s="29"/>
      <c r="J6" s="29"/>
      <c r="K6" s="29"/>
      <c r="L6" s="29"/>
    </row>
    <row r="7" spans="1:12" x14ac:dyDescent="0.35">
      <c r="A7" s="2"/>
      <c r="B7" s="2"/>
      <c r="C7" s="2"/>
      <c r="D7" s="2"/>
      <c r="E7" s="2"/>
      <c r="F7" s="2"/>
      <c r="G7" s="2"/>
      <c r="H7" s="2"/>
      <c r="I7" s="2"/>
      <c r="J7" s="2"/>
      <c r="K7" s="2"/>
      <c r="L7" s="2"/>
    </row>
    <row r="8" spans="1:12" x14ac:dyDescent="0.35">
      <c r="A8" s="20" t="s">
        <v>2238</v>
      </c>
      <c r="B8" s="20"/>
      <c r="C8" s="20"/>
      <c r="D8" s="20"/>
      <c r="E8" s="20"/>
      <c r="F8" s="20"/>
      <c r="G8" s="20"/>
      <c r="H8" s="20"/>
      <c r="I8" s="20"/>
      <c r="J8" s="20"/>
      <c r="K8" s="20"/>
      <c r="L8" s="20"/>
    </row>
    <row r="9" spans="1:12" ht="22" customHeight="1" x14ac:dyDescent="0.35">
      <c r="A9" s="21" t="s">
        <v>2239</v>
      </c>
      <c r="B9" s="21"/>
      <c r="C9" s="21"/>
      <c r="D9" s="21"/>
      <c r="E9" s="21"/>
      <c r="F9" s="21"/>
      <c r="G9" s="21"/>
      <c r="H9" s="21"/>
      <c r="I9" s="21"/>
      <c r="J9" s="21"/>
      <c r="K9" s="21"/>
      <c r="L9" s="21"/>
    </row>
    <row r="10" spans="1:12" ht="22" customHeight="1" x14ac:dyDescent="0.35">
      <c r="A10" s="21"/>
      <c r="B10" s="21"/>
      <c r="C10" s="21"/>
      <c r="D10" s="21"/>
      <c r="E10" s="21"/>
      <c r="F10" s="21"/>
      <c r="G10" s="21"/>
      <c r="H10" s="21"/>
      <c r="I10" s="21"/>
      <c r="J10" s="21"/>
      <c r="K10" s="21"/>
      <c r="L10" s="21"/>
    </row>
    <row r="11" spans="1:12" ht="22" customHeight="1" x14ac:dyDescent="0.35">
      <c r="A11" s="21"/>
      <c r="B11" s="21"/>
      <c r="C11" s="21"/>
      <c r="D11" s="21"/>
      <c r="E11" s="21"/>
      <c r="F11" s="21"/>
      <c r="G11" s="21"/>
      <c r="H11" s="21"/>
      <c r="I11" s="21"/>
      <c r="J11" s="21"/>
      <c r="K11" s="21"/>
      <c r="L11" s="21"/>
    </row>
    <row r="12" spans="1:12" ht="22" customHeight="1" x14ac:dyDescent="0.35">
      <c r="A12" s="21"/>
      <c r="B12" s="21"/>
      <c r="C12" s="21"/>
      <c r="D12" s="21"/>
      <c r="E12" s="21"/>
      <c r="F12" s="21"/>
      <c r="G12" s="21"/>
      <c r="H12" s="21"/>
      <c r="I12" s="21"/>
      <c r="J12" s="21"/>
      <c r="K12" s="21"/>
      <c r="L12" s="21"/>
    </row>
    <row r="13" spans="1:12" x14ac:dyDescent="0.35">
      <c r="A13" s="22" t="s">
        <v>2240</v>
      </c>
      <c r="B13" s="22"/>
      <c r="C13" s="22"/>
      <c r="D13" s="22"/>
      <c r="E13" s="22"/>
      <c r="F13" s="22"/>
      <c r="G13" s="22"/>
      <c r="H13" s="22"/>
      <c r="I13" s="22"/>
      <c r="J13" s="22"/>
      <c r="K13" s="22"/>
      <c r="L13" s="22"/>
    </row>
    <row r="14" spans="1:12" x14ac:dyDescent="0.35">
      <c r="A14" s="2"/>
      <c r="B14" s="2"/>
      <c r="C14" s="2"/>
      <c r="D14" s="2"/>
      <c r="E14" s="2"/>
      <c r="F14" s="2"/>
      <c r="G14" s="2"/>
      <c r="H14" s="2"/>
      <c r="I14" s="2"/>
      <c r="J14" s="2"/>
      <c r="K14" s="2"/>
      <c r="L14" s="2"/>
    </row>
    <row r="15" spans="1:12" x14ac:dyDescent="0.35">
      <c r="A15" s="2"/>
      <c r="B15" s="2"/>
      <c r="C15" s="2"/>
      <c r="D15" s="2"/>
      <c r="E15" s="2"/>
      <c r="F15" s="2"/>
      <c r="G15" s="2"/>
      <c r="H15" s="2"/>
      <c r="I15" s="2"/>
      <c r="J15" s="2"/>
      <c r="K15" s="2"/>
      <c r="L15" s="2"/>
    </row>
    <row r="16" spans="1:12" x14ac:dyDescent="0.35">
      <c r="A16" s="2"/>
      <c r="B16" s="2"/>
      <c r="C16" s="2"/>
      <c r="D16" s="2"/>
      <c r="E16" s="2"/>
      <c r="F16" s="2"/>
      <c r="G16" s="2"/>
      <c r="H16" s="2"/>
      <c r="I16" s="2"/>
      <c r="J16" s="2"/>
      <c r="K16" s="2"/>
      <c r="L16" s="2"/>
    </row>
    <row r="17" spans="1:12" x14ac:dyDescent="0.35">
      <c r="A17" s="2"/>
      <c r="B17" s="2"/>
      <c r="C17" s="2"/>
      <c r="D17" s="2"/>
      <c r="E17" s="2"/>
      <c r="F17" s="2"/>
      <c r="G17" s="2"/>
      <c r="H17" s="2"/>
      <c r="I17" s="2"/>
      <c r="J17" s="2"/>
      <c r="K17" s="2"/>
      <c r="L17" s="2"/>
    </row>
    <row r="18" spans="1:12" x14ac:dyDescent="0.35">
      <c r="A18" s="2"/>
      <c r="B18" s="2"/>
      <c r="C18" s="2"/>
      <c r="D18" s="2"/>
      <c r="E18" s="2"/>
      <c r="F18" s="2"/>
      <c r="G18" s="2"/>
      <c r="H18" s="2"/>
      <c r="I18" s="2"/>
      <c r="J18" s="2"/>
      <c r="K18" s="2"/>
      <c r="L18" s="2"/>
    </row>
    <row r="19" spans="1:12" x14ac:dyDescent="0.35">
      <c r="A19" s="2"/>
      <c r="B19" s="2"/>
      <c r="C19" s="2"/>
      <c r="D19" s="2"/>
      <c r="E19" s="2"/>
      <c r="F19" s="2"/>
      <c r="G19" s="2"/>
      <c r="H19" s="2"/>
      <c r="I19" s="2"/>
      <c r="J19" s="2"/>
      <c r="K19" s="2"/>
      <c r="L19" s="2"/>
    </row>
    <row r="20" spans="1:12" x14ac:dyDescent="0.35">
      <c r="A20" s="2"/>
      <c r="B20" s="2"/>
      <c r="C20" s="2"/>
      <c r="D20" s="2"/>
      <c r="E20" s="2"/>
      <c r="F20" s="2"/>
      <c r="G20" s="2"/>
      <c r="H20" s="2"/>
      <c r="I20" s="2"/>
      <c r="J20" s="2"/>
      <c r="K20" s="2"/>
      <c r="L20" s="2"/>
    </row>
    <row r="21" spans="1:12" x14ac:dyDescent="0.35">
      <c r="A21" s="2"/>
      <c r="B21" s="2"/>
      <c r="C21" s="2"/>
      <c r="D21" s="2"/>
      <c r="E21" s="2"/>
      <c r="F21" s="2"/>
      <c r="G21" s="2"/>
      <c r="H21" s="2"/>
      <c r="I21" s="2"/>
      <c r="J21" s="2"/>
      <c r="K21" s="2"/>
      <c r="L21" s="2"/>
    </row>
    <row r="22" spans="1:12" x14ac:dyDescent="0.35">
      <c r="A22" s="2"/>
      <c r="B22" s="2"/>
      <c r="C22" s="2"/>
      <c r="D22" s="2"/>
      <c r="E22" s="2"/>
      <c r="F22" s="2"/>
      <c r="G22" s="2"/>
      <c r="H22" s="2"/>
      <c r="I22" s="2"/>
      <c r="J22" s="2"/>
      <c r="K22" s="2"/>
      <c r="L22" s="2"/>
    </row>
    <row r="23" spans="1:12" x14ac:dyDescent="0.35">
      <c r="A23" s="2"/>
      <c r="B23" s="2"/>
      <c r="C23" s="2"/>
      <c r="D23" s="2"/>
      <c r="E23" s="2"/>
      <c r="F23" s="2"/>
      <c r="G23" s="2"/>
      <c r="H23" s="2"/>
      <c r="I23" s="2"/>
      <c r="J23" s="2"/>
      <c r="K23" s="2"/>
      <c r="L23" s="2"/>
    </row>
    <row r="24" spans="1:12" x14ac:dyDescent="0.35">
      <c r="A24" s="2"/>
      <c r="B24" s="2"/>
      <c r="C24" s="2"/>
      <c r="D24" s="2"/>
      <c r="E24" s="2"/>
      <c r="F24" s="2"/>
      <c r="G24" s="2"/>
      <c r="H24" s="2"/>
      <c r="I24" s="2"/>
      <c r="J24" s="2"/>
      <c r="K24" s="2"/>
      <c r="L24" s="2"/>
    </row>
    <row r="25" spans="1:12" x14ac:dyDescent="0.35">
      <c r="A25" s="2"/>
      <c r="B25" s="2"/>
      <c r="C25" s="2"/>
      <c r="D25" s="2"/>
      <c r="E25" s="2"/>
      <c r="F25" s="2"/>
      <c r="G25" s="2"/>
      <c r="H25" s="2"/>
      <c r="I25" s="2"/>
      <c r="J25" s="2"/>
      <c r="K25" s="2"/>
      <c r="L25" s="2"/>
    </row>
    <row r="26" spans="1:12" x14ac:dyDescent="0.35">
      <c r="A26" s="2"/>
      <c r="B26" s="2"/>
      <c r="C26" s="2"/>
      <c r="D26" s="2"/>
      <c r="E26" s="2"/>
      <c r="F26" s="2"/>
      <c r="G26" s="2"/>
      <c r="H26" s="2"/>
      <c r="I26" s="2"/>
      <c r="J26" s="2"/>
      <c r="K26" s="2"/>
      <c r="L26" s="2"/>
    </row>
    <row r="27" spans="1:12" x14ac:dyDescent="0.35">
      <c r="A27" s="2"/>
      <c r="B27" s="2"/>
      <c r="C27" s="2"/>
      <c r="D27" s="2"/>
      <c r="E27" s="2"/>
      <c r="F27" s="2"/>
      <c r="G27" s="2"/>
      <c r="H27" s="2"/>
      <c r="I27" s="2"/>
      <c r="J27" s="2"/>
      <c r="K27" s="2"/>
      <c r="L27" s="2"/>
    </row>
    <row r="28" spans="1:12" x14ac:dyDescent="0.35">
      <c r="A28" s="2"/>
      <c r="B28" s="2"/>
      <c r="C28" s="2"/>
      <c r="D28" s="2"/>
      <c r="E28" s="2"/>
      <c r="F28" s="2"/>
      <c r="G28" s="2"/>
      <c r="H28" s="2"/>
      <c r="I28" s="2"/>
      <c r="J28" s="2"/>
      <c r="K28" s="2"/>
      <c r="L28" s="2"/>
    </row>
    <row r="29" spans="1:12" x14ac:dyDescent="0.35">
      <c r="A29" s="2"/>
      <c r="B29" s="2"/>
      <c r="C29" s="2"/>
      <c r="D29" s="2"/>
      <c r="E29" s="2"/>
      <c r="F29" s="2"/>
      <c r="G29" s="2"/>
      <c r="H29" s="2"/>
      <c r="I29" s="2"/>
      <c r="J29" s="2"/>
      <c r="K29" s="2"/>
      <c r="L29" s="2"/>
    </row>
    <row r="30" spans="1:12" x14ac:dyDescent="0.35">
      <c r="A30" s="2"/>
      <c r="B30" s="2"/>
      <c r="C30" s="2"/>
      <c r="D30" s="2"/>
      <c r="E30" s="2"/>
      <c r="F30" s="2"/>
      <c r="G30" s="2"/>
      <c r="H30" s="2"/>
      <c r="I30" s="2"/>
      <c r="J30" s="2"/>
      <c r="K30" s="2"/>
      <c r="L30" s="2"/>
    </row>
    <row r="31" spans="1:12" x14ac:dyDescent="0.35">
      <c r="A31" s="2"/>
      <c r="B31" s="2"/>
      <c r="C31" s="2"/>
      <c r="D31" s="2"/>
      <c r="E31" s="2"/>
      <c r="F31" s="2"/>
      <c r="G31" s="2"/>
      <c r="H31" s="2"/>
      <c r="I31" s="2"/>
      <c r="J31" s="2"/>
      <c r="K31" s="2"/>
      <c r="L31" s="2"/>
    </row>
    <row r="32" spans="1:12" x14ac:dyDescent="0.35">
      <c r="A32" s="20" t="s">
        <v>2241</v>
      </c>
      <c r="B32" s="20"/>
      <c r="C32" s="20"/>
      <c r="D32" s="20"/>
      <c r="E32" s="2"/>
      <c r="F32" s="20" t="s">
        <v>2245</v>
      </c>
      <c r="G32" s="20"/>
      <c r="H32" s="20"/>
      <c r="I32" s="20"/>
      <c r="J32" s="20"/>
      <c r="K32" s="20"/>
      <c r="L32" s="20"/>
    </row>
    <row r="33" spans="1:12" x14ac:dyDescent="0.35">
      <c r="A33" s="3" t="s">
        <v>2242</v>
      </c>
      <c r="B33" s="3" t="s">
        <v>2243</v>
      </c>
      <c r="C33" s="3" t="s">
        <v>7</v>
      </c>
      <c r="D33" s="3" t="s">
        <v>2244</v>
      </c>
      <c r="E33" s="2"/>
      <c r="F33" s="3" t="s">
        <v>3</v>
      </c>
      <c r="G33" s="3" t="s">
        <v>1</v>
      </c>
      <c r="H33" s="3" t="s">
        <v>5</v>
      </c>
      <c r="I33" s="3" t="s">
        <v>6</v>
      </c>
      <c r="J33" s="3" t="s">
        <v>7</v>
      </c>
      <c r="K33" s="3" t="s">
        <v>2246</v>
      </c>
      <c r="L33" s="3" t="s">
        <v>4</v>
      </c>
    </row>
    <row r="34" spans="1:12" x14ac:dyDescent="0.35">
      <c r="A34" s="4">
        <v>46023</v>
      </c>
      <c r="B34" s="5" cm="1">
        <f t="array" ref="B34">SUMPRODUCT(--(RIGHT(Transactions!$D$2:$D$1969,4)=TEXT(YEAR($A34),"0")),--(MID(Transactions!$D$2:$D$1969,4,2)=TEXT(MONTH($A34),"00")))</f>
        <v>242</v>
      </c>
      <c r="C34" s="6" cm="1">
        <f t="array" ref="C34">SUMPRODUCT((RIGHT(Transactions!$D$2:$D$1969,4)=TEXT(YEAR($A34),"0"))*(MID(Transactions!$D$2:$D$1969,4,2)=TEXT(MONTH($A34),"00"))*Transactions!$H$2:$H$1969)</f>
        <v>95095.849999999948</v>
      </c>
      <c r="D34" s="6">
        <f>IF(B34=0,0,C34/B34)</f>
        <v>392.95805785123946</v>
      </c>
      <c r="E34" s="2"/>
      <c r="F34" s="7">
        <v>46273</v>
      </c>
      <c r="G34" s="2">
        <v>536154</v>
      </c>
      <c r="H34" s="8">
        <v>1972.93</v>
      </c>
      <c r="I34" s="8">
        <v>244.05</v>
      </c>
      <c r="J34" s="8">
        <v>2216.98</v>
      </c>
      <c r="K34" s="2" t="s">
        <v>11</v>
      </c>
      <c r="L34" s="2" t="s">
        <v>13</v>
      </c>
    </row>
    <row r="35" spans="1:12" x14ac:dyDescent="0.35">
      <c r="A35" s="4">
        <v>46054</v>
      </c>
      <c r="B35" s="5" cm="1">
        <f t="array" ref="B35">SUMPRODUCT(--(RIGHT(Transactions!$D$2:$D$1969,4)=TEXT(YEAR($A35),"0")),--(MID(Transactions!$D$2:$D$1969,4,2)=TEXT(MONTH($A35),"00")))</f>
        <v>226</v>
      </c>
      <c r="C35" s="6" cm="1">
        <f t="array" ref="C35">SUMPRODUCT((RIGHT(Transactions!$D$2:$D$1969,4)=TEXT(YEAR($A35),"0"))*(MID(Transactions!$D$2:$D$1969,4,2)=TEXT(MONTH($A35),"00"))*Transactions!$H$2:$H$1969)</f>
        <v>85826.989999999947</v>
      </c>
      <c r="D35" s="6">
        <f t="shared" ref="D35:D42" si="0">IF(B35=0,0,C35/B35)</f>
        <v>379.76544247787587</v>
      </c>
      <c r="E35" s="2"/>
      <c r="F35" s="2" t="s">
        <v>174</v>
      </c>
      <c r="G35" s="2">
        <v>513188</v>
      </c>
      <c r="H35" s="8">
        <v>1879.11</v>
      </c>
      <c r="I35" s="8">
        <v>167.44</v>
      </c>
      <c r="J35" s="8">
        <v>2046.55</v>
      </c>
      <c r="K35" s="2" t="s">
        <v>11</v>
      </c>
      <c r="L35" s="2" t="s">
        <v>13</v>
      </c>
    </row>
    <row r="36" spans="1:12" x14ac:dyDescent="0.35">
      <c r="A36" s="4">
        <v>46082</v>
      </c>
      <c r="B36" s="5" cm="1">
        <f t="array" ref="B36">SUMPRODUCT(--(RIGHT(Transactions!$D$2:$D$1969,4)=TEXT(YEAR($A36),"0")),--(MID(Transactions!$D$2:$D$1969,4,2)=TEXT(MONTH($A36),"00")))</f>
        <v>251</v>
      </c>
      <c r="C36" s="6" cm="1">
        <f t="array" ref="C36">SUMPRODUCT((RIGHT(Transactions!$D$2:$D$1969,4)=TEXT(YEAR($A36),"0"))*(MID(Transactions!$D$2:$D$1969,4,2)=TEXT(MONTH($A36),"00"))*Transactions!$H$2:$H$1969)</f>
        <v>104577.30000000003</v>
      </c>
      <c r="D36" s="6">
        <f t="shared" si="0"/>
        <v>416.64262948207187</v>
      </c>
      <c r="E36" s="2"/>
      <c r="F36" s="2" t="s">
        <v>1864</v>
      </c>
      <c r="G36" s="2">
        <v>535316</v>
      </c>
      <c r="H36" s="8">
        <v>1772.4</v>
      </c>
      <c r="I36" s="8">
        <v>189.08</v>
      </c>
      <c r="J36" s="8">
        <v>1961.48</v>
      </c>
      <c r="K36" s="2" t="s">
        <v>11</v>
      </c>
      <c r="L36" s="2" t="s">
        <v>13</v>
      </c>
    </row>
    <row r="37" spans="1:12" x14ac:dyDescent="0.35">
      <c r="A37" s="4">
        <v>46113</v>
      </c>
      <c r="B37" s="5" cm="1">
        <f t="array" ref="B37">SUMPRODUCT(--(RIGHT(Transactions!$D$2:$D$1969,4)=TEXT(YEAR($A37),"0")),--(MID(Transactions!$D$2:$D$1969,4,2)=TEXT(MONTH($A37),"00")))</f>
        <v>244</v>
      </c>
      <c r="C37" s="6" cm="1">
        <f t="array" ref="C37">SUMPRODUCT((RIGHT(Transactions!$D$2:$D$1969,4)=TEXT(YEAR($A37),"0"))*(MID(Transactions!$D$2:$D$1969,4,2)=TEXT(MONTH($A37),"00"))*Transactions!$H$2:$H$1969)</f>
        <v>94734.529999999941</v>
      </c>
      <c r="D37" s="6">
        <f t="shared" si="0"/>
        <v>388.25627049180304</v>
      </c>
      <c r="E37" s="2"/>
      <c r="F37" s="7">
        <v>46121</v>
      </c>
      <c r="G37" s="2">
        <v>537475</v>
      </c>
      <c r="H37" s="8">
        <v>1775.52</v>
      </c>
      <c r="I37" s="8">
        <v>174.55</v>
      </c>
      <c r="J37" s="8">
        <v>1950.07</v>
      </c>
      <c r="K37" s="2" t="s">
        <v>11</v>
      </c>
      <c r="L37" s="2" t="s">
        <v>13</v>
      </c>
    </row>
    <row r="38" spans="1:12" x14ac:dyDescent="0.35">
      <c r="A38" s="4">
        <v>46143</v>
      </c>
      <c r="B38" s="5" cm="1">
        <f t="array" ref="B38">SUMPRODUCT(--(RIGHT(Transactions!$D$2:$D$1969,4)=TEXT(YEAR($A38),"0")),--(MID(Transactions!$D$2:$D$1969,4,2)=TEXT(MONTH($A38),"00")))</f>
        <v>226</v>
      </c>
      <c r="C38" s="6" cm="1">
        <f t="array" ref="C38">SUMPRODUCT((RIGHT(Transactions!$D$2:$D$1969,4)=TEXT(YEAR($A38),"0"))*(MID(Transactions!$D$2:$D$1969,4,2)=TEXT(MONTH($A38),"00"))*Transactions!$H$2:$H$1969)</f>
        <v>96275.609999999971</v>
      </c>
      <c r="D38" s="6">
        <f t="shared" si="0"/>
        <v>425.99827433628303</v>
      </c>
      <c r="E38" s="2"/>
      <c r="F38" s="7">
        <v>46357</v>
      </c>
      <c r="G38" s="2">
        <v>512519</v>
      </c>
      <c r="H38" s="8">
        <v>1726.64</v>
      </c>
      <c r="I38" s="8">
        <v>208.91</v>
      </c>
      <c r="J38" s="8">
        <v>1935.55</v>
      </c>
      <c r="K38" s="2" t="s">
        <v>11</v>
      </c>
      <c r="L38" s="2" t="s">
        <v>13</v>
      </c>
    </row>
    <row r="39" spans="1:12" x14ac:dyDescent="0.35">
      <c r="A39" s="4">
        <v>46174</v>
      </c>
      <c r="B39" s="5" cm="1">
        <f t="array" ref="B39">SUMPRODUCT(--(RIGHT(Transactions!$D$2:$D$1969,4)=TEXT(YEAR($A39),"0")),--(MID(Transactions!$D$2:$D$1969,4,2)=TEXT(MONTH($A39),"00")))</f>
        <v>219</v>
      </c>
      <c r="C39" s="6" cm="1">
        <f t="array" ref="C39">SUMPRODUCT((RIGHT(Transactions!$D$2:$D$1969,4)=TEXT(YEAR($A39),"0"))*(MID(Transactions!$D$2:$D$1969,4,2)=TEXT(MONTH($A39),"00"))*Transactions!$H$2:$H$1969)</f>
        <v>90009.29</v>
      </c>
      <c r="D39" s="6">
        <f t="shared" si="0"/>
        <v>411.00132420091319</v>
      </c>
      <c r="E39" s="2"/>
      <c r="F39" s="7">
        <v>46086</v>
      </c>
      <c r="G39" s="2">
        <v>524938</v>
      </c>
      <c r="H39" s="8">
        <v>1497.78</v>
      </c>
      <c r="I39" s="8">
        <v>165.88</v>
      </c>
      <c r="J39" s="8">
        <v>1663.66</v>
      </c>
      <c r="K39" s="2" t="s">
        <v>11</v>
      </c>
      <c r="L39" s="2" t="s">
        <v>13</v>
      </c>
    </row>
    <row r="40" spans="1:12" x14ac:dyDescent="0.35">
      <c r="A40" s="4">
        <v>46204</v>
      </c>
      <c r="B40" s="5" cm="1">
        <f t="array" ref="B40">SUMPRODUCT(--(RIGHT(Transactions!$D$2:$D$1969,4)=TEXT(YEAR($A40),"0")),--(MID(Transactions!$D$2:$D$1969,4,2)=TEXT(MONTH($A40),"00")))</f>
        <v>256</v>
      </c>
      <c r="C40" s="6" cm="1">
        <f t="array" ref="C40">SUMPRODUCT((RIGHT(Transactions!$D$2:$D$1969,4)=TEXT(YEAR($A40),"0"))*(MID(Transactions!$D$2:$D$1969,4,2)=TEXT(MONTH($A40),"00"))*Transactions!$H$2:$H$1969)</f>
        <v>109158.51000000008</v>
      </c>
      <c r="D40" s="6">
        <f t="shared" si="0"/>
        <v>426.40042968750032</v>
      </c>
      <c r="E40" s="2"/>
      <c r="F40" s="7">
        <v>46150</v>
      </c>
      <c r="G40" s="2">
        <v>535837</v>
      </c>
      <c r="H40" s="8">
        <v>1494.48</v>
      </c>
      <c r="I40" s="8">
        <v>163.13999999999999</v>
      </c>
      <c r="J40" s="8">
        <v>1657.62</v>
      </c>
      <c r="K40" s="2" t="s">
        <v>11</v>
      </c>
      <c r="L40" s="2" t="s">
        <v>13</v>
      </c>
    </row>
    <row r="41" spans="1:12" x14ac:dyDescent="0.35">
      <c r="A41" s="4">
        <v>46235</v>
      </c>
      <c r="B41" s="5" cm="1">
        <f t="array" ref="B41">SUMPRODUCT(--(RIGHT(Transactions!$D$2:$D$1969,4)=TEXT(YEAR($A41),"0")),--(MID(Transactions!$D$2:$D$1969,4,2)=TEXT(MONTH($A41),"00")))</f>
        <v>229</v>
      </c>
      <c r="C41" s="6" cm="1">
        <f t="array" ref="C41">SUMPRODUCT((RIGHT(Transactions!$D$2:$D$1969,4)=TEXT(YEAR($A41),"0"))*(MID(Transactions!$D$2:$D$1969,4,2)=TEXT(MONTH($A41),"00"))*Transactions!$H$2:$H$1969)</f>
        <v>102715.52999999993</v>
      </c>
      <c r="D41" s="6">
        <f t="shared" si="0"/>
        <v>448.53943231441013</v>
      </c>
      <c r="E41" s="2"/>
      <c r="F41" s="7">
        <v>46061</v>
      </c>
      <c r="G41" s="2">
        <v>535356</v>
      </c>
      <c r="H41" s="8">
        <v>1423.26</v>
      </c>
      <c r="I41" s="8">
        <v>177.35</v>
      </c>
      <c r="J41" s="8">
        <v>1600.61</v>
      </c>
      <c r="K41" s="2" t="s">
        <v>11</v>
      </c>
      <c r="L41" s="2" t="s">
        <v>13</v>
      </c>
    </row>
    <row r="42" spans="1:12" x14ac:dyDescent="0.35">
      <c r="A42" s="9">
        <v>46266</v>
      </c>
      <c r="B42" s="10" cm="1">
        <f t="array" ref="B42">SUMPRODUCT(--(RIGHT(Transactions!$D$2:$D$1969,4)=TEXT(YEAR($A42),"0")),--(MID(Transactions!$D$2:$D$1969,4,2)=TEXT(MONTH($A42),"00")))</f>
        <v>75</v>
      </c>
      <c r="C42" s="11" cm="1">
        <f t="array" ref="C42">SUMPRODUCT((RIGHT(Transactions!$D$2:$D$1969,4)=TEXT(YEAR($A42),"0"))*(MID(Transactions!$D$2:$D$1969,4,2)=TEXT(MONTH($A42),"00"))*Transactions!$H$2:$H$1969)</f>
        <v>32233.480000000003</v>
      </c>
      <c r="D42" s="11">
        <f t="shared" si="0"/>
        <v>429.77973333333335</v>
      </c>
      <c r="E42" s="2"/>
      <c r="F42" s="2" t="s">
        <v>1447</v>
      </c>
      <c r="G42" s="2">
        <v>528891</v>
      </c>
      <c r="H42" s="8">
        <v>1331.95</v>
      </c>
      <c r="I42" s="8">
        <v>171.68</v>
      </c>
      <c r="J42" s="8">
        <v>1503.63</v>
      </c>
      <c r="K42" s="2" t="s">
        <v>11</v>
      </c>
      <c r="L42" s="2" t="s">
        <v>13</v>
      </c>
    </row>
    <row r="43" spans="1:12" x14ac:dyDescent="0.35">
      <c r="A43" s="2"/>
      <c r="B43" s="2"/>
      <c r="C43" s="2"/>
      <c r="D43" s="2"/>
      <c r="E43" s="2"/>
      <c r="F43" s="12">
        <v>46083</v>
      </c>
      <c r="G43" s="13">
        <v>515674</v>
      </c>
      <c r="H43" s="14">
        <v>1330.02</v>
      </c>
      <c r="I43" s="14">
        <v>169.51</v>
      </c>
      <c r="J43" s="14">
        <v>1499.53</v>
      </c>
      <c r="K43" s="13" t="s">
        <v>11</v>
      </c>
      <c r="L43" s="13" t="s">
        <v>13</v>
      </c>
    </row>
    <row r="44" spans="1:12" x14ac:dyDescent="0.35">
      <c r="A44" s="2"/>
      <c r="B44" s="2"/>
      <c r="C44" s="2"/>
      <c r="D44" s="2"/>
      <c r="E44" s="2"/>
      <c r="F44" s="2"/>
      <c r="G44" s="2"/>
      <c r="H44" s="2"/>
      <c r="I44" s="2"/>
      <c r="J44" s="2"/>
      <c r="K44" s="2"/>
      <c r="L44" s="2"/>
    </row>
    <row r="45" spans="1:12" x14ac:dyDescent="0.35">
      <c r="A45" s="2"/>
      <c r="B45" s="2"/>
      <c r="C45" s="2"/>
      <c r="D45" s="2"/>
      <c r="E45" s="2"/>
      <c r="F45" s="2"/>
      <c r="G45" s="2"/>
      <c r="H45" s="2"/>
      <c r="I45" s="2"/>
      <c r="J45" s="2"/>
      <c r="K45" s="2"/>
      <c r="L45" s="2"/>
    </row>
    <row r="46" spans="1:12" x14ac:dyDescent="0.35">
      <c r="A46" s="23" t="s">
        <v>2247</v>
      </c>
      <c r="B46" s="23"/>
      <c r="C46" s="23"/>
      <c r="D46" s="23"/>
      <c r="E46" s="2"/>
      <c r="F46" s="23" t="s">
        <v>2255</v>
      </c>
      <c r="G46" s="23"/>
      <c r="H46" s="23"/>
      <c r="I46" s="23"/>
      <c r="J46" s="23"/>
      <c r="K46" s="23"/>
      <c r="L46" s="23"/>
    </row>
    <row r="47" spans="1:12" x14ac:dyDescent="0.35">
      <c r="A47" s="3" t="s">
        <v>2248</v>
      </c>
      <c r="B47" s="3" t="s">
        <v>2249</v>
      </c>
      <c r="C47" s="2"/>
      <c r="D47" s="2"/>
      <c r="E47" s="2"/>
      <c r="F47" s="3" t="s">
        <v>2256</v>
      </c>
      <c r="G47" s="3" t="s">
        <v>2257</v>
      </c>
      <c r="H47" s="3" t="s">
        <v>2258</v>
      </c>
      <c r="I47" s="2"/>
      <c r="J47" s="2"/>
      <c r="K47" s="2"/>
      <c r="L47" s="2"/>
    </row>
    <row r="48" spans="1:12" x14ac:dyDescent="0.35">
      <c r="A48" s="2" t="s">
        <v>2250</v>
      </c>
      <c r="B48" s="15">
        <f>COUNTIF(Transactions!$H$2:$H$1969,"&lt;100")</f>
        <v>16</v>
      </c>
      <c r="C48" s="2"/>
      <c r="D48" s="2"/>
      <c r="E48" s="2"/>
      <c r="F48" s="2" t="s">
        <v>2259</v>
      </c>
      <c r="G48" s="2" t="s">
        <v>2260</v>
      </c>
      <c r="H48" s="16" t="s">
        <v>2261</v>
      </c>
      <c r="I48" s="2"/>
      <c r="J48" s="2"/>
      <c r="K48" s="2"/>
      <c r="L48" s="2"/>
    </row>
    <row r="49" spans="1:12" x14ac:dyDescent="0.35">
      <c r="A49" s="2" t="s">
        <v>2251</v>
      </c>
      <c r="B49" s="15">
        <f>COUNTIFS(Transactions!$H$2:$H$1969,"&gt;=100",Transactions!$H$2:$H$1969,"&lt;250")</f>
        <v>652</v>
      </c>
      <c r="C49" s="2"/>
      <c r="D49" s="2"/>
      <c r="E49" s="2"/>
      <c r="F49" s="2" t="s">
        <v>2262</v>
      </c>
      <c r="G49" s="2" t="s">
        <v>2260</v>
      </c>
      <c r="H49" s="16" t="s">
        <v>2261</v>
      </c>
      <c r="I49" s="2"/>
      <c r="J49" s="2"/>
      <c r="K49" s="2"/>
      <c r="L49" s="2"/>
    </row>
    <row r="50" spans="1:12" x14ac:dyDescent="0.35">
      <c r="A50" s="2" t="s">
        <v>2252</v>
      </c>
      <c r="B50" s="15">
        <f>COUNTIFS(Transactions!$H$2:$H$1969,"&gt;=250",Transactions!$H$2:$H$1969,"&lt;500")</f>
        <v>762</v>
      </c>
      <c r="C50" s="2"/>
      <c r="D50" s="2"/>
      <c r="E50" s="2"/>
      <c r="F50" s="2" t="s">
        <v>2263</v>
      </c>
      <c r="G50" s="2">
        <v>0</v>
      </c>
      <c r="H50" s="16" t="s">
        <v>2261</v>
      </c>
      <c r="I50" s="2"/>
      <c r="J50" s="2"/>
      <c r="K50" s="2"/>
      <c r="L50" s="2"/>
    </row>
    <row r="51" spans="1:12" x14ac:dyDescent="0.35">
      <c r="A51" s="2" t="s">
        <v>2253</v>
      </c>
      <c r="B51" s="15">
        <f>COUNTIFS(Transactions!$H$2:$H$1969,"&gt;=500",Transactions!$H$2:$H$1969,"&lt;1000")</f>
        <v>444</v>
      </c>
      <c r="C51" s="2"/>
      <c r="D51" s="2"/>
      <c r="E51" s="2"/>
      <c r="F51" s="2" t="s">
        <v>2264</v>
      </c>
      <c r="G51" s="2">
        <v>0</v>
      </c>
      <c r="H51" s="17" t="s">
        <v>2265</v>
      </c>
      <c r="I51" s="2"/>
      <c r="J51" s="2"/>
      <c r="K51" s="2"/>
      <c r="L51" s="2"/>
    </row>
    <row r="52" spans="1:12" x14ac:dyDescent="0.35">
      <c r="A52" s="13" t="s">
        <v>2254</v>
      </c>
      <c r="B52" s="18">
        <f>COUNTIF(Transactions!$H$2:$H$1969,"&gt;=1000")</f>
        <v>94</v>
      </c>
      <c r="C52" s="2"/>
      <c r="D52" s="2"/>
      <c r="E52" s="2"/>
      <c r="F52" s="13" t="s">
        <v>2266</v>
      </c>
      <c r="G52" s="12">
        <v>36892</v>
      </c>
      <c r="H52" s="19" t="s">
        <v>2267</v>
      </c>
      <c r="I52" s="2"/>
      <c r="J52" s="2"/>
      <c r="K52" s="2"/>
      <c r="L52" s="2"/>
    </row>
  </sheetData>
  <mergeCells count="17">
    <mergeCell ref="A46:D46"/>
    <mergeCell ref="F46:L46"/>
    <mergeCell ref="A1:L1"/>
    <mergeCell ref="A2:L2"/>
    <mergeCell ref="A4:C4"/>
    <mergeCell ref="A5:C6"/>
    <mergeCell ref="D4:F4"/>
    <mergeCell ref="D5:F6"/>
    <mergeCell ref="G4:I4"/>
    <mergeCell ref="G5:I6"/>
    <mergeCell ref="J4:L4"/>
    <mergeCell ref="J5:L6"/>
    <mergeCell ref="A8:L8"/>
    <mergeCell ref="A9:L12"/>
    <mergeCell ref="A13:L13"/>
    <mergeCell ref="A32:D32"/>
    <mergeCell ref="F32:L32"/>
  </mergeCells>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3E48-7F38-4593-9F83-89E1F568CCE7}">
  <dimension ref="A1:L61"/>
  <sheetViews>
    <sheetView topLeftCell="D26" workbookViewId="0">
      <selection activeCell="S11" sqref="S11"/>
    </sheetView>
  </sheetViews>
  <sheetFormatPr defaultRowHeight="14.5" x14ac:dyDescent="0.35"/>
  <cols>
    <col min="1" max="1" width="12.7265625" customWidth="1"/>
    <col min="2" max="4" width="13.6328125" customWidth="1"/>
    <col min="5" max="6" width="11.81640625" customWidth="1"/>
    <col min="7" max="7" width="19.08984375" customWidth="1"/>
    <col min="8" max="8" width="3.26953125" customWidth="1"/>
    <col min="9" max="12" width="12.7265625" customWidth="1"/>
  </cols>
  <sheetData>
    <row r="1" spans="1:12" ht="23.5" x14ac:dyDescent="0.55000000000000004">
      <c r="A1" s="24" t="s">
        <v>2268</v>
      </c>
      <c r="B1" s="24"/>
      <c r="C1" s="24"/>
      <c r="D1" s="24"/>
      <c r="E1" s="24"/>
      <c r="F1" s="24"/>
      <c r="G1" s="24"/>
      <c r="H1" s="24"/>
      <c r="I1" s="24"/>
      <c r="J1" s="24"/>
      <c r="K1" s="24"/>
      <c r="L1" s="24"/>
    </row>
    <row r="2" spans="1:12" x14ac:dyDescent="0.35">
      <c r="A2" s="32" t="s">
        <v>2269</v>
      </c>
      <c r="B2" s="32"/>
      <c r="C2" s="32"/>
      <c r="D2" s="32"/>
      <c r="E2" s="32"/>
      <c r="F2" s="32"/>
      <c r="G2" s="32"/>
      <c r="H2" s="32"/>
      <c r="I2" s="32"/>
      <c r="J2" s="32"/>
      <c r="K2" s="32"/>
      <c r="L2" s="32"/>
    </row>
    <row r="3" spans="1:12" x14ac:dyDescent="0.35">
      <c r="A3" s="33"/>
      <c r="B3" s="33"/>
      <c r="C3" s="33"/>
      <c r="D3" s="33"/>
      <c r="E3" s="33"/>
      <c r="F3" s="33"/>
      <c r="G3" s="33"/>
      <c r="H3" s="33"/>
      <c r="I3" s="33"/>
      <c r="J3" s="33"/>
      <c r="K3" s="33"/>
      <c r="L3" s="33"/>
    </row>
    <row r="4" spans="1:12" x14ac:dyDescent="0.35">
      <c r="A4" s="34" t="s">
        <v>2270</v>
      </c>
      <c r="B4" s="34"/>
      <c r="C4" s="34"/>
      <c r="D4" s="34" t="s">
        <v>2271</v>
      </c>
      <c r="E4" s="34"/>
      <c r="F4" s="34"/>
      <c r="G4" s="35" t="s">
        <v>2272</v>
      </c>
      <c r="H4" s="35"/>
      <c r="I4" s="35"/>
      <c r="J4" s="35" t="s">
        <v>2273</v>
      </c>
      <c r="K4" s="35"/>
      <c r="L4" s="35"/>
    </row>
    <row r="5" spans="1:12" x14ac:dyDescent="0.35">
      <c r="A5" s="28">
        <f>SUM(B53:B57)</f>
        <v>122533.34780397538</v>
      </c>
      <c r="B5" s="29"/>
      <c r="C5" s="29"/>
      <c r="D5" s="28">
        <f>SUM(B58:B61)</f>
        <v>99767.766954343635</v>
      </c>
      <c r="E5" s="29"/>
      <c r="F5" s="29"/>
      <c r="G5" s="28">
        <f>SUM(C53:C57)</f>
        <v>32690.369999999988</v>
      </c>
      <c r="H5" s="29"/>
      <c r="I5" s="29"/>
      <c r="J5" s="28">
        <f>SUM(C53:C57)-SUM(D53:D57)</f>
        <v>-5571.3837796546577</v>
      </c>
      <c r="K5" s="29"/>
      <c r="L5" s="29"/>
    </row>
    <row r="6" spans="1:12" x14ac:dyDescent="0.35">
      <c r="A6" s="29"/>
      <c r="B6" s="36" cm="1">
        <f t="array" ref="B6">DATE(VALUE(RIGHT(LOOKUP(2,1/(Transactions!$D$2:$D$1969&lt;&gt;""),Transactions!$D$2:$D$1969),4)),VALUE(MID(LOOKUP(2,1/(Transactions!$D$2:$D$1969&lt;&gt;""),Transactions!$D$2:$D$1969),4,2)),VALUE(LEFT(LOOKUP(2,1/(Transactions!$D$2:$D$1969&lt;&gt;""),Transactions!$D$2:$D$1969),2)))</f>
        <v>46275</v>
      </c>
      <c r="C6" s="29"/>
      <c r="D6" s="29"/>
      <c r="E6" s="29"/>
      <c r="F6" s="29"/>
      <c r="G6" s="29"/>
      <c r="H6" s="29"/>
      <c r="I6" s="29"/>
      <c r="J6" s="29"/>
      <c r="K6" s="29"/>
      <c r="L6" s="29"/>
    </row>
    <row r="7" spans="1:12" x14ac:dyDescent="0.35">
      <c r="A7" s="33"/>
      <c r="B7" s="33"/>
      <c r="C7" s="33"/>
      <c r="D7" s="33"/>
      <c r="E7" s="33"/>
      <c r="F7" s="33"/>
      <c r="G7" s="33"/>
      <c r="H7" s="33"/>
      <c r="I7" s="33"/>
      <c r="J7" s="33"/>
      <c r="K7" s="33"/>
      <c r="L7" s="33"/>
    </row>
    <row r="8" spans="1:12" x14ac:dyDescent="0.35">
      <c r="A8" s="20" t="s">
        <v>2274</v>
      </c>
      <c r="B8" s="20"/>
      <c r="C8" s="20"/>
      <c r="D8" s="20"/>
      <c r="E8" s="20"/>
      <c r="F8" s="20"/>
      <c r="G8" s="20"/>
      <c r="H8" s="20"/>
      <c r="I8" s="20"/>
      <c r="J8" s="20"/>
      <c r="K8" s="20"/>
      <c r="L8" s="20"/>
    </row>
    <row r="9" spans="1:12" ht="24" customHeight="1" x14ac:dyDescent="0.35">
      <c r="A9" s="37" t="str">
        <f>"ETS projects "&amp;TEXT(A5,"#,##0.00")&amp;" across the five September week-commencing periods and "&amp;TEXT(D5,"#,##0.00")&amp;" across the four October periods. Actuals through "&amp;TEXT(B6,"dd mmm")&amp;" are "&amp;TEXT(G5,"#,##0.00")&amp;", which is "&amp;TEXT(ABS(J5),"#,##0.00")&amp;IF(J5&lt;0," below"," above")&amp;" the comparable forecast-to-date. Training uses 34 complete Monday–Sunday weeks from 5 Jan through 30 Aug; the partial boundary periods 1–4 Jan and 31 Aug are excluded from training."</f>
        <v>ETS projects 122,533.35 across the five September week-commencing periods and 99,767.77 across the four October periods. Actuals through 10 Sep are 32,690.37, which is 5,571.38 below the comparable forecast-to-date. Training uses 34 complete Monday–Sunday weeks from 5 Jan through 30 Aug; the partial boundary periods 1–4 Jan and 31 Aug are excluded from training.</v>
      </c>
      <c r="B9" s="37"/>
      <c r="C9" s="37"/>
      <c r="D9" s="37"/>
      <c r="E9" s="37"/>
      <c r="F9" s="37"/>
      <c r="G9" s="37"/>
      <c r="H9" s="37"/>
      <c r="I9" s="37"/>
      <c r="J9" s="37"/>
      <c r="K9" s="37"/>
      <c r="L9" s="37"/>
    </row>
    <row r="10" spans="1:12" ht="24" customHeight="1" x14ac:dyDescent="0.35">
      <c r="A10" s="37"/>
      <c r="B10" s="37"/>
      <c r="C10" s="37"/>
      <c r="D10" s="37"/>
      <c r="E10" s="37"/>
      <c r="F10" s="37"/>
      <c r="G10" s="37"/>
      <c r="H10" s="37"/>
      <c r="I10" s="37"/>
      <c r="J10" s="37"/>
      <c r="K10" s="37"/>
      <c r="L10" s="37"/>
    </row>
    <row r="11" spans="1:12" ht="24" customHeight="1" x14ac:dyDescent="0.35">
      <c r="A11" s="37"/>
      <c r="B11" s="37"/>
      <c r="C11" s="37"/>
      <c r="D11" s="37"/>
      <c r="E11" s="37"/>
      <c r="F11" s="37"/>
      <c r="G11" s="37"/>
      <c r="H11" s="37"/>
      <c r="I11" s="37"/>
      <c r="J11" s="37"/>
      <c r="K11" s="37"/>
      <c r="L11" s="37"/>
    </row>
    <row r="12" spans="1:12" x14ac:dyDescent="0.35">
      <c r="A12" s="33"/>
      <c r="B12" s="33"/>
      <c r="C12" s="33"/>
      <c r="D12" s="33"/>
      <c r="E12" s="33"/>
      <c r="F12" s="33"/>
      <c r="G12" s="33"/>
      <c r="H12" s="33"/>
      <c r="I12" s="33"/>
      <c r="J12" s="33"/>
      <c r="K12" s="33"/>
      <c r="L12" s="33"/>
    </row>
    <row r="13" spans="1:12" x14ac:dyDescent="0.35">
      <c r="A13" s="22" t="s">
        <v>2275</v>
      </c>
      <c r="B13" s="22"/>
      <c r="C13" s="22"/>
      <c r="D13" s="22"/>
      <c r="E13" s="22"/>
      <c r="F13" s="22"/>
      <c r="G13" s="33"/>
      <c r="H13" s="33"/>
      <c r="I13" s="33"/>
      <c r="J13" s="33"/>
      <c r="K13" s="33"/>
      <c r="L13" s="33"/>
    </row>
    <row r="14" spans="1:12" x14ac:dyDescent="0.35">
      <c r="A14" s="1" t="s">
        <v>2276</v>
      </c>
      <c r="B14" s="1" t="s">
        <v>2277</v>
      </c>
      <c r="C14" s="33"/>
      <c r="D14" s="33"/>
      <c r="E14" s="33"/>
      <c r="F14" s="33"/>
      <c r="G14" s="33"/>
      <c r="H14" s="33"/>
      <c r="I14" s="33"/>
      <c r="J14" s="33"/>
      <c r="K14" s="33"/>
      <c r="L14" s="33"/>
    </row>
    <row r="15" spans="1:12" x14ac:dyDescent="0.35">
      <c r="A15" s="38">
        <v>46027</v>
      </c>
      <c r="B15" s="39" cm="1">
        <f t="array" ref="B15">SUMPRODUCT((DATE(VALUE(RIGHT(Transactions!$D$2:$D$1969,4)),VALUE(MID(Transactions!$D$2:$D$1969,4,2)),VALUE(LEFT(Transactions!$D$2:$D$1969,2)))&gt;=A15)*(DATE(VALUE(RIGHT(Transactions!$D$2:$D$1969,4)),VALUE(MID(Transactions!$D$2:$D$1969,4,2)),VALUE(LEFT(Transactions!$D$2:$D$1969,2)))&lt;=A15+6)*Transactions!$H$2:$H$1969)</f>
        <v>19710.649999999998</v>
      </c>
      <c r="C15" s="33"/>
      <c r="D15" s="33"/>
      <c r="E15" s="33"/>
      <c r="F15" s="33"/>
      <c r="G15" s="33"/>
      <c r="H15" s="33"/>
      <c r="I15" s="33"/>
      <c r="J15" s="33"/>
      <c r="K15" s="33"/>
      <c r="L15" s="33"/>
    </row>
    <row r="16" spans="1:12" x14ac:dyDescent="0.35">
      <c r="A16" s="38">
        <v>46034</v>
      </c>
      <c r="B16" s="39" cm="1">
        <f t="array" ref="B16">SUMPRODUCT((DATE(VALUE(RIGHT(Transactions!$D$2:$D$1969,4)),VALUE(MID(Transactions!$D$2:$D$1969,4,2)),VALUE(LEFT(Transactions!$D$2:$D$1969,2)))&gt;=A16)*(DATE(VALUE(RIGHT(Transactions!$D$2:$D$1969,4)),VALUE(MID(Transactions!$D$2:$D$1969,4,2)),VALUE(LEFT(Transactions!$D$2:$D$1969,2)))&lt;=A16+6)*Transactions!$H$2:$H$1969)</f>
        <v>21183.829999999991</v>
      </c>
      <c r="C16" s="33"/>
      <c r="D16" s="33"/>
      <c r="E16" s="33"/>
      <c r="F16" s="33"/>
      <c r="G16" s="33"/>
      <c r="H16" s="33"/>
      <c r="I16" s="33"/>
      <c r="J16" s="33"/>
      <c r="K16" s="33"/>
      <c r="L16" s="33"/>
    </row>
    <row r="17" spans="1:12" x14ac:dyDescent="0.35">
      <c r="A17" s="38">
        <v>46041</v>
      </c>
      <c r="B17" s="39" cm="1">
        <f t="array" ref="B17">SUMPRODUCT((DATE(VALUE(RIGHT(Transactions!$D$2:$D$1969,4)),VALUE(MID(Transactions!$D$2:$D$1969,4,2)),VALUE(LEFT(Transactions!$D$2:$D$1969,2)))&gt;=A17)*(DATE(VALUE(RIGHT(Transactions!$D$2:$D$1969,4)),VALUE(MID(Transactions!$D$2:$D$1969,4,2)),VALUE(LEFT(Transactions!$D$2:$D$1969,2)))&lt;=A17+6)*Transactions!$H$2:$H$1969)</f>
        <v>23156.71</v>
      </c>
      <c r="C17" s="33"/>
      <c r="D17" s="33"/>
      <c r="E17" s="33"/>
      <c r="F17" s="33"/>
      <c r="G17" s="33"/>
      <c r="H17" s="33"/>
      <c r="I17" s="33"/>
      <c r="J17" s="33"/>
      <c r="K17" s="33"/>
      <c r="L17" s="33"/>
    </row>
    <row r="18" spans="1:12" x14ac:dyDescent="0.35">
      <c r="A18" s="38">
        <v>46048</v>
      </c>
      <c r="B18" s="39" cm="1">
        <f t="array" ref="B18">SUMPRODUCT((DATE(VALUE(RIGHT(Transactions!$D$2:$D$1969,4)),VALUE(MID(Transactions!$D$2:$D$1969,4,2)),VALUE(LEFT(Transactions!$D$2:$D$1969,2)))&gt;=A18)*(DATE(VALUE(RIGHT(Transactions!$D$2:$D$1969,4)),VALUE(MID(Transactions!$D$2:$D$1969,4,2)),VALUE(LEFT(Transactions!$D$2:$D$1969,2)))&lt;=A18+6)*Transactions!$H$2:$H$1969)</f>
        <v>21543.730000000007</v>
      </c>
      <c r="C18" s="33"/>
      <c r="D18" s="33"/>
      <c r="E18" s="33"/>
      <c r="F18" s="33"/>
      <c r="G18" s="33"/>
      <c r="H18" s="33"/>
      <c r="I18" s="33"/>
      <c r="J18" s="33"/>
      <c r="K18" s="33"/>
      <c r="L18" s="33"/>
    </row>
    <row r="19" spans="1:12" x14ac:dyDescent="0.35">
      <c r="A19" s="38">
        <v>46055</v>
      </c>
      <c r="B19" s="39" cm="1">
        <f t="array" ref="B19">SUMPRODUCT((DATE(VALUE(RIGHT(Transactions!$D$2:$D$1969,4)),VALUE(MID(Transactions!$D$2:$D$1969,4,2)),VALUE(LEFT(Transactions!$D$2:$D$1969,2)))&gt;=A19)*(DATE(VALUE(RIGHT(Transactions!$D$2:$D$1969,4)),VALUE(MID(Transactions!$D$2:$D$1969,4,2)),VALUE(LEFT(Transactions!$D$2:$D$1969,2)))&lt;=A19+6)*Transactions!$H$2:$H$1969)</f>
        <v>23580.849999999995</v>
      </c>
      <c r="C19" s="33"/>
      <c r="D19" s="33"/>
      <c r="E19" s="33"/>
      <c r="F19" s="33"/>
      <c r="G19" s="33"/>
      <c r="H19" s="33"/>
      <c r="I19" s="33"/>
      <c r="J19" s="33"/>
      <c r="K19" s="33"/>
      <c r="L19" s="33"/>
    </row>
    <row r="20" spans="1:12" x14ac:dyDescent="0.35">
      <c r="A20" s="38">
        <v>46062</v>
      </c>
      <c r="B20" s="39" cm="1">
        <f t="array" ref="B20">SUMPRODUCT((DATE(VALUE(RIGHT(Transactions!$D$2:$D$1969,4)),VALUE(MID(Transactions!$D$2:$D$1969,4,2)),VALUE(LEFT(Transactions!$D$2:$D$1969,2)))&gt;=A20)*(DATE(VALUE(RIGHT(Transactions!$D$2:$D$1969,4)),VALUE(MID(Transactions!$D$2:$D$1969,4,2)),VALUE(LEFT(Transactions!$D$2:$D$1969,2)))&lt;=A20+6)*Transactions!$H$2:$H$1969)</f>
        <v>15377.179999999997</v>
      </c>
      <c r="C20" s="33"/>
      <c r="D20" s="33"/>
      <c r="E20" s="33"/>
      <c r="F20" s="33"/>
      <c r="G20" s="33"/>
      <c r="H20" s="33"/>
      <c r="I20" s="33"/>
      <c r="J20" s="33"/>
      <c r="K20" s="33"/>
      <c r="L20" s="33"/>
    </row>
    <row r="21" spans="1:12" x14ac:dyDescent="0.35">
      <c r="A21" s="38">
        <v>46069</v>
      </c>
      <c r="B21" s="39" cm="1">
        <f t="array" ref="B21">SUMPRODUCT((DATE(VALUE(RIGHT(Transactions!$D$2:$D$1969,4)),VALUE(MID(Transactions!$D$2:$D$1969,4,2)),VALUE(LEFT(Transactions!$D$2:$D$1969,2)))&gt;=A21)*(DATE(VALUE(RIGHT(Transactions!$D$2:$D$1969,4)),VALUE(MID(Transactions!$D$2:$D$1969,4,2)),VALUE(LEFT(Transactions!$D$2:$D$1969,2)))&lt;=A21+6)*Transactions!$H$2:$H$1969)</f>
        <v>19002.299999999996</v>
      </c>
      <c r="C21" s="33"/>
      <c r="D21" s="33"/>
      <c r="E21" s="33"/>
      <c r="F21" s="33"/>
      <c r="G21" s="33"/>
      <c r="H21" s="33"/>
      <c r="I21" s="33"/>
      <c r="J21" s="33"/>
      <c r="K21" s="33"/>
      <c r="L21" s="33"/>
    </row>
    <row r="22" spans="1:12" x14ac:dyDescent="0.35">
      <c r="A22" s="38">
        <v>46076</v>
      </c>
      <c r="B22" s="39" cm="1">
        <f t="array" ref="B22">SUMPRODUCT((DATE(VALUE(RIGHT(Transactions!$D$2:$D$1969,4)),VALUE(MID(Transactions!$D$2:$D$1969,4,2)),VALUE(LEFT(Transactions!$D$2:$D$1969,2)))&gt;=A22)*(DATE(VALUE(RIGHT(Transactions!$D$2:$D$1969,4)),VALUE(MID(Transactions!$D$2:$D$1969,4,2)),VALUE(LEFT(Transactions!$D$2:$D$1969,2)))&lt;=A22+6)*Transactions!$H$2:$H$1969)</f>
        <v>29847.090000000007</v>
      </c>
      <c r="C22" s="33"/>
      <c r="D22" s="33"/>
      <c r="E22" s="33"/>
      <c r="F22" s="33"/>
      <c r="G22" s="33"/>
      <c r="H22" s="33"/>
      <c r="I22" s="33"/>
      <c r="J22" s="33"/>
      <c r="K22" s="33"/>
      <c r="L22" s="33"/>
    </row>
    <row r="23" spans="1:12" x14ac:dyDescent="0.35">
      <c r="A23" s="38">
        <v>46083</v>
      </c>
      <c r="B23" s="39" cm="1">
        <f t="array" ref="B23">SUMPRODUCT((DATE(VALUE(RIGHT(Transactions!$D$2:$D$1969,4)),VALUE(MID(Transactions!$D$2:$D$1969,4,2)),VALUE(LEFT(Transactions!$D$2:$D$1969,2)))&gt;=A23)*(DATE(VALUE(RIGHT(Transactions!$D$2:$D$1969,4)),VALUE(MID(Transactions!$D$2:$D$1969,4,2)),VALUE(LEFT(Transactions!$D$2:$D$1969,2)))&lt;=A23+6)*Transactions!$H$2:$H$1969)</f>
        <v>19678.3</v>
      </c>
      <c r="C23" s="33"/>
      <c r="D23" s="33"/>
      <c r="E23" s="33"/>
      <c r="F23" s="33"/>
      <c r="G23" s="33"/>
      <c r="H23" s="33"/>
      <c r="I23" s="33"/>
      <c r="J23" s="33"/>
      <c r="K23" s="33"/>
      <c r="L23" s="33"/>
    </row>
    <row r="24" spans="1:12" x14ac:dyDescent="0.35">
      <c r="A24" s="38">
        <v>46090</v>
      </c>
      <c r="B24" s="39" cm="1">
        <f t="array" ref="B24">SUMPRODUCT((DATE(VALUE(RIGHT(Transactions!$D$2:$D$1969,4)),VALUE(MID(Transactions!$D$2:$D$1969,4,2)),VALUE(LEFT(Transactions!$D$2:$D$1969,2)))&gt;=A24)*(DATE(VALUE(RIGHT(Transactions!$D$2:$D$1969,4)),VALUE(MID(Transactions!$D$2:$D$1969,4,2)),VALUE(LEFT(Transactions!$D$2:$D$1969,2)))&lt;=A24+6)*Transactions!$H$2:$H$1969)</f>
        <v>26078.409999999993</v>
      </c>
      <c r="C24" s="33"/>
      <c r="D24" s="33"/>
      <c r="E24" s="33"/>
      <c r="F24" s="33"/>
      <c r="G24" s="33"/>
      <c r="H24" s="33"/>
      <c r="I24" s="33"/>
      <c r="J24" s="33"/>
      <c r="K24" s="33"/>
      <c r="L24" s="33"/>
    </row>
    <row r="25" spans="1:12" x14ac:dyDescent="0.35">
      <c r="A25" s="38">
        <v>46097</v>
      </c>
      <c r="B25" s="39" cm="1">
        <f t="array" ref="B25">SUMPRODUCT((DATE(VALUE(RIGHT(Transactions!$D$2:$D$1969,4)),VALUE(MID(Transactions!$D$2:$D$1969,4,2)),VALUE(LEFT(Transactions!$D$2:$D$1969,2)))&gt;=A25)*(DATE(VALUE(RIGHT(Transactions!$D$2:$D$1969,4)),VALUE(MID(Transactions!$D$2:$D$1969,4,2)),VALUE(LEFT(Transactions!$D$2:$D$1969,2)))&lt;=A25+6)*Transactions!$H$2:$H$1969)</f>
        <v>20271.039999999994</v>
      </c>
      <c r="C25" s="33"/>
      <c r="D25" s="33"/>
      <c r="E25" s="33"/>
      <c r="F25" s="33"/>
      <c r="G25" s="33"/>
      <c r="H25" s="33"/>
      <c r="I25" s="33"/>
      <c r="J25" s="33"/>
      <c r="K25" s="33"/>
      <c r="L25" s="33"/>
    </row>
    <row r="26" spans="1:12" x14ac:dyDescent="0.35">
      <c r="A26" s="38">
        <v>46104</v>
      </c>
      <c r="B26" s="39" cm="1">
        <f t="array" ref="B26">SUMPRODUCT((DATE(VALUE(RIGHT(Transactions!$D$2:$D$1969,4)),VALUE(MID(Transactions!$D$2:$D$1969,4,2)),VALUE(LEFT(Transactions!$D$2:$D$1969,2)))&gt;=A26)*(DATE(VALUE(RIGHT(Transactions!$D$2:$D$1969,4)),VALUE(MID(Transactions!$D$2:$D$1969,4,2)),VALUE(LEFT(Transactions!$D$2:$D$1969,2)))&lt;=A26+6)*Transactions!$H$2:$H$1969)</f>
        <v>25353.049999999996</v>
      </c>
      <c r="C26" s="33"/>
      <c r="D26" s="33"/>
      <c r="E26" s="33"/>
      <c r="F26" s="33"/>
      <c r="G26" s="33"/>
      <c r="H26" s="33"/>
      <c r="I26" s="33"/>
      <c r="J26" s="33"/>
      <c r="K26" s="33"/>
      <c r="L26" s="33"/>
    </row>
    <row r="27" spans="1:12" x14ac:dyDescent="0.35">
      <c r="A27" s="38">
        <v>46111</v>
      </c>
      <c r="B27" s="39" cm="1">
        <f t="array" ref="B27">SUMPRODUCT((DATE(VALUE(RIGHT(Transactions!$D$2:$D$1969,4)),VALUE(MID(Transactions!$D$2:$D$1969,4,2)),VALUE(LEFT(Transactions!$D$2:$D$1969,2)))&gt;=A27)*(DATE(VALUE(RIGHT(Transactions!$D$2:$D$1969,4)),VALUE(MID(Transactions!$D$2:$D$1969,4,2)),VALUE(LEFT(Transactions!$D$2:$D$1969,2)))&lt;=A27+6)*Transactions!$H$2:$H$1969)</f>
        <v>22784.599999999995</v>
      </c>
      <c r="C27" s="33"/>
      <c r="D27" s="33"/>
      <c r="E27" s="33"/>
      <c r="F27" s="33"/>
      <c r="G27" s="33"/>
      <c r="H27" s="33"/>
      <c r="I27" s="33"/>
      <c r="J27" s="33"/>
      <c r="K27" s="33"/>
      <c r="L27" s="33"/>
    </row>
    <row r="28" spans="1:12" x14ac:dyDescent="0.35">
      <c r="A28" s="38">
        <v>46118</v>
      </c>
      <c r="B28" s="39" cm="1">
        <f t="array" ref="B28">SUMPRODUCT((DATE(VALUE(RIGHT(Transactions!$D$2:$D$1969,4)),VALUE(MID(Transactions!$D$2:$D$1969,4,2)),VALUE(LEFT(Transactions!$D$2:$D$1969,2)))&gt;=A28)*(DATE(VALUE(RIGHT(Transactions!$D$2:$D$1969,4)),VALUE(MID(Transactions!$D$2:$D$1969,4,2)),VALUE(LEFT(Transactions!$D$2:$D$1969,2)))&lt;=A28+6)*Transactions!$H$2:$H$1969)</f>
        <v>25669.419999999991</v>
      </c>
      <c r="C28" s="33"/>
      <c r="D28" s="33"/>
      <c r="E28" s="33"/>
      <c r="F28" s="33"/>
      <c r="G28" s="33"/>
      <c r="H28" s="33"/>
      <c r="I28" s="33"/>
      <c r="J28" s="33"/>
      <c r="K28" s="33"/>
      <c r="L28" s="33"/>
    </row>
    <row r="29" spans="1:12" x14ac:dyDescent="0.35">
      <c r="A29" s="38">
        <v>46125</v>
      </c>
      <c r="B29" s="39" cm="1">
        <f t="array" ref="B29">SUMPRODUCT((DATE(VALUE(RIGHT(Transactions!$D$2:$D$1969,4)),VALUE(MID(Transactions!$D$2:$D$1969,4,2)),VALUE(LEFT(Transactions!$D$2:$D$1969,2)))&gt;=A29)*(DATE(VALUE(RIGHT(Transactions!$D$2:$D$1969,4)),VALUE(MID(Transactions!$D$2:$D$1969,4,2)),VALUE(LEFT(Transactions!$D$2:$D$1969,2)))&lt;=A29+6)*Transactions!$H$2:$H$1969)</f>
        <v>19870.999999999993</v>
      </c>
      <c r="C29" s="33"/>
      <c r="D29" s="33"/>
      <c r="E29" s="33"/>
      <c r="F29" s="33"/>
      <c r="G29" s="33"/>
      <c r="H29" s="33"/>
      <c r="I29" s="33"/>
      <c r="J29" s="33"/>
      <c r="K29" s="33"/>
      <c r="L29" s="33"/>
    </row>
    <row r="30" spans="1:12" x14ac:dyDescent="0.35">
      <c r="A30" s="38">
        <v>46132</v>
      </c>
      <c r="B30" s="39" cm="1">
        <f t="array" ref="B30">SUMPRODUCT((DATE(VALUE(RIGHT(Transactions!$D$2:$D$1969,4)),VALUE(MID(Transactions!$D$2:$D$1969,4,2)),VALUE(LEFT(Transactions!$D$2:$D$1969,2)))&gt;=A30)*(DATE(VALUE(RIGHT(Transactions!$D$2:$D$1969,4)),VALUE(MID(Transactions!$D$2:$D$1969,4,2)),VALUE(LEFT(Transactions!$D$2:$D$1969,2)))&lt;=A30+6)*Transactions!$H$2:$H$1969)</f>
        <v>22998.619999999992</v>
      </c>
      <c r="C30" s="33"/>
      <c r="D30" s="33"/>
      <c r="E30" s="33"/>
      <c r="F30" s="33"/>
      <c r="G30" s="33"/>
      <c r="H30" s="33"/>
      <c r="I30" s="33"/>
      <c r="J30" s="33"/>
      <c r="K30" s="33"/>
      <c r="L30" s="33"/>
    </row>
    <row r="31" spans="1:12" x14ac:dyDescent="0.35">
      <c r="A31" s="38">
        <v>46139</v>
      </c>
      <c r="B31" s="39" cm="1">
        <f t="array" ref="B31">SUMPRODUCT((DATE(VALUE(RIGHT(Transactions!$D$2:$D$1969,4)),VALUE(MID(Transactions!$D$2:$D$1969,4,2)),VALUE(LEFT(Transactions!$D$2:$D$1969,2)))&gt;=A31)*(DATE(VALUE(RIGHT(Transactions!$D$2:$D$1969,4)),VALUE(MID(Transactions!$D$2:$D$1969,4,2)),VALUE(LEFT(Transactions!$D$2:$D$1969,2)))&lt;=A31+6)*Transactions!$H$2:$H$1969)</f>
        <v>23936.719999999998</v>
      </c>
      <c r="C31" s="33"/>
      <c r="D31" s="33"/>
      <c r="E31" s="33"/>
      <c r="F31" s="33"/>
      <c r="G31" s="33"/>
      <c r="H31" s="33"/>
      <c r="I31" s="33"/>
      <c r="J31" s="33"/>
      <c r="K31" s="33"/>
      <c r="L31" s="33"/>
    </row>
    <row r="32" spans="1:12" x14ac:dyDescent="0.35">
      <c r="A32" s="38">
        <v>46146</v>
      </c>
      <c r="B32" s="39" cm="1">
        <f t="array" ref="B32">SUMPRODUCT((DATE(VALUE(RIGHT(Transactions!$D$2:$D$1969,4)),VALUE(MID(Transactions!$D$2:$D$1969,4,2)),VALUE(LEFT(Transactions!$D$2:$D$1969,2)))&gt;=A32)*(DATE(VALUE(RIGHT(Transactions!$D$2:$D$1969,4)),VALUE(MID(Transactions!$D$2:$D$1969,4,2)),VALUE(LEFT(Transactions!$D$2:$D$1969,2)))&lt;=A32+6)*Transactions!$H$2:$H$1969)</f>
        <v>28295.660000000011</v>
      </c>
      <c r="C32" s="33"/>
      <c r="D32" s="33"/>
      <c r="E32" s="33"/>
      <c r="F32" s="33"/>
      <c r="G32" s="33"/>
      <c r="H32" s="33"/>
      <c r="I32" s="33"/>
      <c r="J32" s="33"/>
      <c r="K32" s="33"/>
      <c r="L32" s="33"/>
    </row>
    <row r="33" spans="1:12" x14ac:dyDescent="0.35">
      <c r="A33" s="38">
        <v>46153</v>
      </c>
      <c r="B33" s="39" cm="1">
        <f t="array" ref="B33">SUMPRODUCT((DATE(VALUE(RIGHT(Transactions!$D$2:$D$1969,4)),VALUE(MID(Transactions!$D$2:$D$1969,4,2)),VALUE(LEFT(Transactions!$D$2:$D$1969,2)))&gt;=A33)*(DATE(VALUE(RIGHT(Transactions!$D$2:$D$1969,4)),VALUE(MID(Transactions!$D$2:$D$1969,4,2)),VALUE(LEFT(Transactions!$D$2:$D$1969,2)))&lt;=A33+6)*Transactions!$H$2:$H$1969)</f>
        <v>18562.510000000006</v>
      </c>
      <c r="C33" s="33"/>
      <c r="D33" s="33"/>
      <c r="E33" s="33"/>
      <c r="F33" s="33"/>
      <c r="G33" s="33"/>
      <c r="H33" s="33"/>
      <c r="I33" s="33"/>
      <c r="J33" s="33"/>
      <c r="K33" s="33"/>
      <c r="L33" s="33"/>
    </row>
    <row r="34" spans="1:12" x14ac:dyDescent="0.35">
      <c r="A34" s="38">
        <v>46160</v>
      </c>
      <c r="B34" s="39" cm="1">
        <f t="array" ref="B34">SUMPRODUCT((DATE(VALUE(RIGHT(Transactions!$D$2:$D$1969,4)),VALUE(MID(Transactions!$D$2:$D$1969,4,2)),VALUE(LEFT(Transactions!$D$2:$D$1969,2)))&gt;=A34)*(DATE(VALUE(RIGHT(Transactions!$D$2:$D$1969,4)),VALUE(MID(Transactions!$D$2:$D$1969,4,2)),VALUE(LEFT(Transactions!$D$2:$D$1969,2)))&lt;=A34+6)*Transactions!$H$2:$H$1969)</f>
        <v>20776.329999999991</v>
      </c>
      <c r="C34" s="33"/>
      <c r="D34" s="33"/>
      <c r="E34" s="33"/>
      <c r="F34" s="33"/>
      <c r="G34" s="33"/>
      <c r="H34" s="33"/>
      <c r="I34" s="33"/>
      <c r="J34" s="33"/>
      <c r="K34" s="33"/>
      <c r="L34" s="33"/>
    </row>
    <row r="35" spans="1:12" x14ac:dyDescent="0.35">
      <c r="A35" s="38">
        <v>46167</v>
      </c>
      <c r="B35" s="39" cm="1">
        <f t="array" ref="B35">SUMPRODUCT((DATE(VALUE(RIGHT(Transactions!$D$2:$D$1969,4)),VALUE(MID(Transactions!$D$2:$D$1969,4,2)),VALUE(LEFT(Transactions!$D$2:$D$1969,2)))&gt;=A35)*(DATE(VALUE(RIGHT(Transactions!$D$2:$D$1969,4)),VALUE(MID(Transactions!$D$2:$D$1969,4,2)),VALUE(LEFT(Transactions!$D$2:$D$1969,2)))&lt;=A35+6)*Transactions!$H$2:$H$1969)</f>
        <v>16928.920000000002</v>
      </c>
      <c r="C35" s="33"/>
      <c r="D35" s="33"/>
      <c r="E35" s="33"/>
      <c r="F35" s="33"/>
      <c r="G35" s="33"/>
      <c r="H35" s="33"/>
      <c r="I35" s="33"/>
      <c r="J35" s="33"/>
      <c r="K35" s="33"/>
      <c r="L35" s="33"/>
    </row>
    <row r="36" spans="1:12" x14ac:dyDescent="0.35">
      <c r="A36" s="38">
        <v>46174</v>
      </c>
      <c r="B36" s="39" cm="1">
        <f t="array" ref="B36">SUMPRODUCT((DATE(VALUE(RIGHT(Transactions!$D$2:$D$1969,4)),VALUE(MID(Transactions!$D$2:$D$1969,4,2)),VALUE(LEFT(Transactions!$D$2:$D$1969,2)))&gt;=A36)*(DATE(VALUE(RIGHT(Transactions!$D$2:$D$1969,4)),VALUE(MID(Transactions!$D$2:$D$1969,4,2)),VALUE(LEFT(Transactions!$D$2:$D$1969,2)))&lt;=A36+6)*Transactions!$H$2:$H$1969)</f>
        <v>21851.539999999997</v>
      </c>
      <c r="C36" s="33"/>
      <c r="D36" s="33"/>
      <c r="E36" s="33"/>
      <c r="F36" s="33"/>
      <c r="G36" s="33"/>
      <c r="H36" s="33"/>
      <c r="I36" s="33"/>
      <c r="J36" s="33"/>
      <c r="K36" s="33"/>
      <c r="L36" s="33"/>
    </row>
    <row r="37" spans="1:12" x14ac:dyDescent="0.35">
      <c r="A37" s="38">
        <v>46181</v>
      </c>
      <c r="B37" s="39" cm="1">
        <f t="array" ref="B37">SUMPRODUCT((DATE(VALUE(RIGHT(Transactions!$D$2:$D$1969,4)),VALUE(MID(Transactions!$D$2:$D$1969,4,2)),VALUE(LEFT(Transactions!$D$2:$D$1969,2)))&gt;=A37)*(DATE(VALUE(RIGHT(Transactions!$D$2:$D$1969,4)),VALUE(MID(Transactions!$D$2:$D$1969,4,2)),VALUE(LEFT(Transactions!$D$2:$D$1969,2)))&lt;=A37+6)*Transactions!$H$2:$H$1969)</f>
        <v>20786.19999999999</v>
      </c>
      <c r="C37" s="33"/>
      <c r="D37" s="33"/>
      <c r="E37" s="33"/>
      <c r="F37" s="33"/>
      <c r="G37" s="33"/>
      <c r="H37" s="33"/>
      <c r="I37" s="33"/>
      <c r="J37" s="33"/>
      <c r="K37" s="33"/>
      <c r="L37" s="33"/>
    </row>
    <row r="38" spans="1:12" x14ac:dyDescent="0.35">
      <c r="A38" s="38">
        <v>46188</v>
      </c>
      <c r="B38" s="39" cm="1">
        <f t="array" ref="B38">SUMPRODUCT((DATE(VALUE(RIGHT(Transactions!$D$2:$D$1969,4)),VALUE(MID(Transactions!$D$2:$D$1969,4,2)),VALUE(LEFT(Transactions!$D$2:$D$1969,2)))&gt;=A38)*(DATE(VALUE(RIGHT(Transactions!$D$2:$D$1969,4)),VALUE(MID(Transactions!$D$2:$D$1969,4,2)),VALUE(LEFT(Transactions!$D$2:$D$1969,2)))&lt;=A38+6)*Transactions!$H$2:$H$1969)</f>
        <v>19282.87</v>
      </c>
      <c r="C38" s="33"/>
      <c r="D38" s="33"/>
      <c r="E38" s="33"/>
      <c r="F38" s="33"/>
      <c r="G38" s="33"/>
      <c r="H38" s="33"/>
      <c r="I38" s="33"/>
      <c r="J38" s="33"/>
      <c r="K38" s="33"/>
      <c r="L38" s="33"/>
    </row>
    <row r="39" spans="1:12" x14ac:dyDescent="0.35">
      <c r="A39" s="38">
        <v>46195</v>
      </c>
      <c r="B39" s="39" cm="1">
        <f t="array" ref="B39">SUMPRODUCT((DATE(VALUE(RIGHT(Transactions!$D$2:$D$1969,4)),VALUE(MID(Transactions!$D$2:$D$1969,4,2)),VALUE(LEFT(Transactions!$D$2:$D$1969,2)))&gt;=A39)*(DATE(VALUE(RIGHT(Transactions!$D$2:$D$1969,4)),VALUE(MID(Transactions!$D$2:$D$1969,4,2)),VALUE(LEFT(Transactions!$D$2:$D$1969,2)))&lt;=A39+6)*Transactions!$H$2:$H$1969)</f>
        <v>21700.989999999998</v>
      </c>
      <c r="C39" s="33"/>
      <c r="D39" s="33"/>
      <c r="E39" s="33"/>
      <c r="F39" s="33"/>
      <c r="G39" s="33"/>
      <c r="H39" s="33"/>
      <c r="I39" s="33"/>
      <c r="J39" s="33"/>
      <c r="K39" s="33"/>
      <c r="L39" s="33"/>
    </row>
    <row r="40" spans="1:12" x14ac:dyDescent="0.35">
      <c r="A40" s="38">
        <v>46202</v>
      </c>
      <c r="B40" s="39" cm="1">
        <f t="array" ref="B40">SUMPRODUCT((DATE(VALUE(RIGHT(Transactions!$D$2:$D$1969,4)),VALUE(MID(Transactions!$D$2:$D$1969,4,2)),VALUE(LEFT(Transactions!$D$2:$D$1969,2)))&gt;=A40)*(DATE(VALUE(RIGHT(Transactions!$D$2:$D$1969,4)),VALUE(MID(Transactions!$D$2:$D$1969,4,2)),VALUE(LEFT(Transactions!$D$2:$D$1969,2)))&lt;=A40+6)*Transactions!$H$2:$H$1969)</f>
        <v>21595.579999999994</v>
      </c>
      <c r="C40" s="33"/>
      <c r="D40" s="33"/>
      <c r="E40" s="33"/>
      <c r="F40" s="33"/>
      <c r="G40" s="33"/>
      <c r="H40" s="33"/>
      <c r="I40" s="33"/>
      <c r="J40" s="33"/>
      <c r="K40" s="33"/>
      <c r="L40" s="33"/>
    </row>
    <row r="41" spans="1:12" x14ac:dyDescent="0.35">
      <c r="A41" s="38">
        <v>46209</v>
      </c>
      <c r="B41" s="39" cm="1">
        <f t="array" ref="B41">SUMPRODUCT((DATE(VALUE(RIGHT(Transactions!$D$2:$D$1969,4)),VALUE(MID(Transactions!$D$2:$D$1969,4,2)),VALUE(LEFT(Transactions!$D$2:$D$1969,2)))&gt;=A41)*(DATE(VALUE(RIGHT(Transactions!$D$2:$D$1969,4)),VALUE(MID(Transactions!$D$2:$D$1969,4,2)),VALUE(LEFT(Transactions!$D$2:$D$1969,2)))&lt;=A41+6)*Transactions!$H$2:$H$1969)</f>
        <v>18931.499999999996</v>
      </c>
      <c r="C41" s="33"/>
      <c r="D41" s="33"/>
      <c r="E41" s="33"/>
      <c r="F41" s="33"/>
      <c r="G41" s="33"/>
      <c r="H41" s="33"/>
      <c r="I41" s="33"/>
      <c r="J41" s="33"/>
      <c r="K41" s="33"/>
      <c r="L41" s="33"/>
    </row>
    <row r="42" spans="1:12" x14ac:dyDescent="0.35">
      <c r="A42" s="38">
        <v>46216</v>
      </c>
      <c r="B42" s="39" cm="1">
        <f t="array" ref="B42">SUMPRODUCT((DATE(VALUE(RIGHT(Transactions!$D$2:$D$1969,4)),VALUE(MID(Transactions!$D$2:$D$1969,4,2)),VALUE(LEFT(Transactions!$D$2:$D$1969,2)))&gt;=A42)*(DATE(VALUE(RIGHT(Transactions!$D$2:$D$1969,4)),VALUE(MID(Transactions!$D$2:$D$1969,4,2)),VALUE(LEFT(Transactions!$D$2:$D$1969,2)))&lt;=A42+6)*Transactions!$H$2:$H$1969)</f>
        <v>16285.899999999992</v>
      </c>
      <c r="C42" s="33"/>
      <c r="D42" s="33"/>
      <c r="E42" s="33"/>
      <c r="F42" s="33"/>
      <c r="G42" s="33"/>
      <c r="H42" s="33"/>
      <c r="I42" s="33"/>
      <c r="J42" s="33"/>
      <c r="K42" s="33"/>
      <c r="L42" s="33"/>
    </row>
    <row r="43" spans="1:12" x14ac:dyDescent="0.35">
      <c r="A43" s="38">
        <v>46223</v>
      </c>
      <c r="B43" s="39" cm="1">
        <f t="array" ref="B43">SUMPRODUCT((DATE(VALUE(RIGHT(Transactions!$D$2:$D$1969,4)),VALUE(MID(Transactions!$D$2:$D$1969,4,2)),VALUE(LEFT(Transactions!$D$2:$D$1969,2)))&gt;=A43)*(DATE(VALUE(RIGHT(Transactions!$D$2:$D$1969,4)),VALUE(MID(Transactions!$D$2:$D$1969,4,2)),VALUE(LEFT(Transactions!$D$2:$D$1969,2)))&lt;=A43+6)*Transactions!$H$2:$H$1969)</f>
        <v>19302.370000000006</v>
      </c>
      <c r="C43" s="33"/>
      <c r="D43" s="33"/>
      <c r="E43" s="33"/>
      <c r="F43" s="33"/>
      <c r="G43" s="33"/>
      <c r="H43" s="33"/>
      <c r="I43" s="33"/>
      <c r="J43" s="33"/>
      <c r="K43" s="33"/>
      <c r="L43" s="33"/>
    </row>
    <row r="44" spans="1:12" x14ac:dyDescent="0.35">
      <c r="A44" s="38">
        <v>46230</v>
      </c>
      <c r="B44" s="39" cm="1">
        <f t="array" ref="B44">SUMPRODUCT((DATE(VALUE(RIGHT(Transactions!$D$2:$D$1969,4)),VALUE(MID(Transactions!$D$2:$D$1969,4,2)),VALUE(LEFT(Transactions!$D$2:$D$1969,2)))&gt;=A44)*(DATE(VALUE(RIGHT(Transactions!$D$2:$D$1969,4)),VALUE(MID(Transactions!$D$2:$D$1969,4,2)),VALUE(LEFT(Transactions!$D$2:$D$1969,2)))&lt;=A44+6)*Transactions!$H$2:$H$1969)</f>
        <v>49257.070000000007</v>
      </c>
      <c r="C44" s="33"/>
      <c r="D44" s="33"/>
      <c r="E44" s="33"/>
      <c r="F44" s="33"/>
      <c r="G44" s="33"/>
      <c r="H44" s="33"/>
      <c r="I44" s="33"/>
      <c r="J44" s="33"/>
      <c r="K44" s="33"/>
      <c r="L44" s="33"/>
    </row>
    <row r="45" spans="1:12" x14ac:dyDescent="0.35">
      <c r="A45" s="38">
        <v>46237</v>
      </c>
      <c r="B45" s="39" cm="1">
        <f t="array" ref="B45">SUMPRODUCT((DATE(VALUE(RIGHT(Transactions!$D$2:$D$1969,4)),VALUE(MID(Transactions!$D$2:$D$1969,4,2)),VALUE(LEFT(Transactions!$D$2:$D$1969,2)))&gt;=A45)*(DATE(VALUE(RIGHT(Transactions!$D$2:$D$1969,4)),VALUE(MID(Transactions!$D$2:$D$1969,4,2)),VALUE(LEFT(Transactions!$D$2:$D$1969,2)))&lt;=A45+6)*Transactions!$H$2:$H$1969)</f>
        <v>21302.489999999998</v>
      </c>
      <c r="C45" s="33"/>
      <c r="D45" s="33"/>
      <c r="E45" s="33"/>
      <c r="F45" s="33"/>
      <c r="G45" s="33"/>
      <c r="H45" s="33"/>
      <c r="I45" s="33"/>
      <c r="J45" s="33"/>
      <c r="K45" s="33"/>
      <c r="L45" s="33"/>
    </row>
    <row r="46" spans="1:12" x14ac:dyDescent="0.35">
      <c r="A46" s="38">
        <v>46244</v>
      </c>
      <c r="B46" s="39" cm="1">
        <f t="array" ref="B46">SUMPRODUCT((DATE(VALUE(RIGHT(Transactions!$D$2:$D$1969,4)),VALUE(MID(Transactions!$D$2:$D$1969,4,2)),VALUE(LEFT(Transactions!$D$2:$D$1969,2)))&gt;=A46)*(DATE(VALUE(RIGHT(Transactions!$D$2:$D$1969,4)),VALUE(MID(Transactions!$D$2:$D$1969,4,2)),VALUE(LEFT(Transactions!$D$2:$D$1969,2)))&lt;=A46+6)*Transactions!$H$2:$H$1969)</f>
        <v>19757.97</v>
      </c>
      <c r="C46" s="33"/>
      <c r="D46" s="33"/>
      <c r="E46" s="33"/>
      <c r="F46" s="33"/>
      <c r="G46" s="33"/>
      <c r="H46" s="33"/>
      <c r="I46" s="33"/>
      <c r="J46" s="33"/>
      <c r="K46" s="33"/>
      <c r="L46" s="33"/>
    </row>
    <row r="47" spans="1:12" x14ac:dyDescent="0.35">
      <c r="A47" s="38">
        <v>46251</v>
      </c>
      <c r="B47" s="39" cm="1">
        <f t="array" ref="B47">SUMPRODUCT((DATE(VALUE(RIGHT(Transactions!$D$2:$D$1969,4)),VALUE(MID(Transactions!$D$2:$D$1969,4,2)),VALUE(LEFT(Transactions!$D$2:$D$1969,2)))&gt;=A47)*(DATE(VALUE(RIGHT(Transactions!$D$2:$D$1969,4)),VALUE(MID(Transactions!$D$2:$D$1969,4,2)),VALUE(LEFT(Transactions!$D$2:$D$1969,2)))&lt;=A47+6)*Transactions!$H$2:$H$1969)</f>
        <v>23360.840000000007</v>
      </c>
      <c r="C47" s="33"/>
      <c r="D47" s="33"/>
      <c r="E47" s="33"/>
      <c r="F47" s="33"/>
      <c r="G47" s="33"/>
      <c r="H47" s="33"/>
      <c r="I47" s="33"/>
      <c r="J47" s="33"/>
      <c r="K47" s="33"/>
      <c r="L47" s="33"/>
    </row>
    <row r="48" spans="1:12" x14ac:dyDescent="0.35">
      <c r="A48" s="38">
        <v>46258</v>
      </c>
      <c r="B48" s="39" cm="1">
        <f t="array" ref="B48">SUMPRODUCT((DATE(VALUE(RIGHT(Transactions!$D$2:$D$1969,4)),VALUE(MID(Transactions!$D$2:$D$1969,4,2)),VALUE(LEFT(Transactions!$D$2:$D$1969,2)))&gt;=A48)*(DATE(VALUE(RIGHT(Transactions!$D$2:$D$1969,4)),VALUE(MID(Transactions!$D$2:$D$1969,4,2)),VALUE(LEFT(Transactions!$D$2:$D$1969,2)))&lt;=A48+6)*Transactions!$H$2:$H$1969)</f>
        <v>28011.119999999984</v>
      </c>
      <c r="C48" s="33"/>
      <c r="D48" s="33"/>
      <c r="E48" s="33"/>
      <c r="F48" s="33"/>
      <c r="G48" s="33"/>
      <c r="H48" s="33"/>
      <c r="I48" s="33"/>
      <c r="J48" s="33"/>
      <c r="K48" s="33"/>
      <c r="L48" s="33"/>
    </row>
    <row r="49" spans="1:12" x14ac:dyDescent="0.35">
      <c r="A49" s="33"/>
      <c r="B49" s="33"/>
      <c r="C49" s="33"/>
      <c r="D49" s="33"/>
      <c r="E49" s="33"/>
      <c r="F49" s="33"/>
      <c r="G49" s="33"/>
      <c r="H49" s="33"/>
      <c r="I49" s="33"/>
      <c r="J49" s="33"/>
      <c r="K49" s="33"/>
      <c r="L49" s="33"/>
    </row>
    <row r="50" spans="1:12" x14ac:dyDescent="0.35">
      <c r="A50" s="33"/>
      <c r="B50" s="33"/>
      <c r="C50" s="33"/>
      <c r="D50" s="33"/>
      <c r="E50" s="33"/>
      <c r="F50" s="33"/>
      <c r="G50" s="33"/>
      <c r="H50" s="33"/>
      <c r="I50" s="33"/>
      <c r="J50" s="33"/>
      <c r="K50" s="33"/>
      <c r="L50" s="33"/>
    </row>
    <row r="51" spans="1:12" x14ac:dyDescent="0.35">
      <c r="A51" s="22" t="s">
        <v>2278</v>
      </c>
      <c r="B51" s="22"/>
      <c r="C51" s="22"/>
      <c r="D51" s="22"/>
      <c r="E51" s="22"/>
      <c r="F51" s="22"/>
      <c r="G51" s="33"/>
      <c r="H51" s="33"/>
      <c r="I51" s="33"/>
      <c r="J51" s="33"/>
      <c r="K51" s="33"/>
      <c r="L51" s="33"/>
    </row>
    <row r="52" spans="1:12" x14ac:dyDescent="0.35">
      <c r="A52" s="40" t="s">
        <v>2276</v>
      </c>
      <c r="B52" s="40" t="s">
        <v>2282</v>
      </c>
      <c r="C52" s="40" t="s">
        <v>2279</v>
      </c>
      <c r="D52" s="40" t="s">
        <v>2283</v>
      </c>
      <c r="E52" s="40" t="s">
        <v>2284</v>
      </c>
      <c r="F52" s="40" t="s">
        <v>2280</v>
      </c>
      <c r="G52" s="40" t="s">
        <v>2281</v>
      </c>
      <c r="H52" s="33"/>
      <c r="I52" s="33"/>
      <c r="J52" s="33"/>
      <c r="K52" s="33"/>
      <c r="L52" s="33"/>
    </row>
    <row r="53" spans="1:12" x14ac:dyDescent="0.35">
      <c r="A53" s="38">
        <v>46265</v>
      </c>
      <c r="B53" s="39">
        <f>_xlfn.FORECAST.ETS(A53,$B$15:$B$48,$A$15:$A$48,1,1,1)</f>
        <v>24313.215259554701</v>
      </c>
      <c r="C53" s="39" cm="1">
        <f t="array" ref="C53">IF(A53&gt;$B$6,"",SUMPRODUCT((DATE(VALUE(RIGHT(Transactions!$D$2:$D$1969,4)),VALUE(MID(Transactions!$D$2:$D$1969,4,2)),VALUE(LEFT(Transactions!$D$2:$D$1969,2)))&gt;=A53)*(DATE(VALUE(RIGHT(Transactions!$D$2:$D$1969,4)),VALUE(MID(Transactions!$D$2:$D$1969,4,2)),VALUE(LEFT(Transactions!$D$2:$D$1969,2)))&lt;=MIN(A53+6,$B$6))*Transactions!$H$2:$H$1969))</f>
        <v>22257.12999999999</v>
      </c>
      <c r="D53" s="39">
        <f>IF(C53="","",B53*MIN(7,$B$6-A53+1)/7)</f>
        <v>24313.215259554701</v>
      </c>
      <c r="E53" s="39">
        <f>IF(C53="","",C53-D53)</f>
        <v>-2056.0852595547112</v>
      </c>
      <c r="F53" s="41">
        <f>IF(OR(C53="",D53=0),"",E53/D53)</f>
        <v>-8.4566571619798539E-2</v>
      </c>
      <c r="G53" s="33" t="str">
        <f>IF(C53="","No actuals",IF($B$6&gt;=A53+6,"Complete","Partial through "&amp;TEXT($B$6,"dd mmm")))</f>
        <v>Complete</v>
      </c>
      <c r="H53" s="33"/>
      <c r="I53" s="33"/>
      <c r="J53" s="33"/>
      <c r="K53" s="33"/>
      <c r="L53" s="33"/>
    </row>
    <row r="54" spans="1:12" x14ac:dyDescent="0.35">
      <c r="A54" s="38">
        <v>46272</v>
      </c>
      <c r="B54" s="39">
        <f t="shared" ref="B54:B61" si="0">_xlfn.FORECAST.ETS(A54,$B$15:$B$48,$A$15:$A$48,1,1,1)</f>
        <v>24409.942410174903</v>
      </c>
      <c r="C54" s="39" cm="1">
        <f t="array" ref="C54">IF(A54&gt;$B$6,"",SUMPRODUCT((DATE(VALUE(RIGHT(Transactions!$D$2:$D$1969,4)),VALUE(MID(Transactions!$D$2:$D$1969,4,2)),VALUE(LEFT(Transactions!$D$2:$D$1969,2)))&gt;=A54)*(DATE(VALUE(RIGHT(Transactions!$D$2:$D$1969,4)),VALUE(MID(Transactions!$D$2:$D$1969,4,2)),VALUE(LEFT(Transactions!$D$2:$D$1969,2)))&lt;=MIN(A54+6,$B$6))*Transactions!$H$2:$H$1969))</f>
        <v>10433.239999999996</v>
      </c>
      <c r="D54" s="39">
        <f t="shared" ref="D54:D61" si="1">IF(C54="","",B54*MIN(7,$B$6-A54+1)/7)</f>
        <v>13948.538520099944</v>
      </c>
      <c r="E54" s="39">
        <f t="shared" ref="E54:E61" si="2">IF(C54="","",C54-D54)</f>
        <v>-3515.2985200999483</v>
      </c>
      <c r="F54" s="41">
        <f t="shared" ref="F54:F61" si="3">IF(OR(C54="",D54=0),"",E54/D54)</f>
        <v>-0.25201912838641682</v>
      </c>
      <c r="G54" s="33" t="str">
        <f t="shared" ref="G54:G61" si="4">IF(C54="","No actuals",IF($B$6&gt;=A54+6,"Complete","Partial through "&amp;TEXT($B$6,"dd mmm")))</f>
        <v>Partial through 10 Sep</v>
      </c>
      <c r="H54" s="33"/>
      <c r="I54" s="33"/>
      <c r="J54" s="33"/>
      <c r="K54" s="33"/>
      <c r="L54" s="33"/>
    </row>
    <row r="55" spans="1:12" x14ac:dyDescent="0.35">
      <c r="A55" s="38">
        <v>46279</v>
      </c>
      <c r="B55" s="39">
        <f t="shared" si="0"/>
        <v>24506.669560795071</v>
      </c>
      <c r="C55" s="39" t="str" cm="1">
        <f t="array" ref="C55">IF(A55&gt;$B$6,"",SUMPRODUCT((DATE(VALUE(RIGHT(Transactions!$D$2:$D$1969,4)),VALUE(MID(Transactions!$D$2:$D$1969,4,2)),VALUE(LEFT(Transactions!$D$2:$D$1969,2)))&gt;=A55)*(DATE(VALUE(RIGHT(Transactions!$D$2:$D$1969,4)),VALUE(MID(Transactions!$D$2:$D$1969,4,2)),VALUE(LEFT(Transactions!$D$2:$D$1969,2)))&lt;=MIN(A55+6,$B$6))*Transactions!$H$2:$H$1969))</f>
        <v/>
      </c>
      <c r="D55" s="39" t="str">
        <f t="shared" si="1"/>
        <v/>
      </c>
      <c r="E55" s="39" t="str">
        <f t="shared" si="2"/>
        <v/>
      </c>
      <c r="F55" s="41" t="str">
        <f t="shared" si="3"/>
        <v/>
      </c>
      <c r="G55" s="33" t="str">
        <f t="shared" si="4"/>
        <v>No actuals</v>
      </c>
      <c r="H55" s="33"/>
      <c r="I55" s="33"/>
      <c r="J55" s="33"/>
      <c r="K55" s="33"/>
      <c r="L55" s="33"/>
    </row>
    <row r="56" spans="1:12" x14ac:dyDescent="0.35">
      <c r="A56" s="38">
        <v>46286</v>
      </c>
      <c r="B56" s="39">
        <f t="shared" si="0"/>
        <v>24603.396711415269</v>
      </c>
      <c r="C56" s="39" t="str" cm="1">
        <f t="array" ref="C56">IF(A56&gt;$B$6,"",SUMPRODUCT((DATE(VALUE(RIGHT(Transactions!$D$2:$D$1969,4)),VALUE(MID(Transactions!$D$2:$D$1969,4,2)),VALUE(LEFT(Transactions!$D$2:$D$1969,2)))&gt;=A56)*(DATE(VALUE(RIGHT(Transactions!$D$2:$D$1969,4)),VALUE(MID(Transactions!$D$2:$D$1969,4,2)),VALUE(LEFT(Transactions!$D$2:$D$1969,2)))&lt;=MIN(A56+6,$B$6))*Transactions!$H$2:$H$1969))</f>
        <v/>
      </c>
      <c r="D56" s="39" t="str">
        <f t="shared" si="1"/>
        <v/>
      </c>
      <c r="E56" s="39" t="str">
        <f t="shared" si="2"/>
        <v/>
      </c>
      <c r="F56" s="41" t="str">
        <f t="shared" si="3"/>
        <v/>
      </c>
      <c r="G56" s="33" t="str">
        <f t="shared" si="4"/>
        <v>No actuals</v>
      </c>
      <c r="H56" s="33"/>
      <c r="I56" s="33"/>
      <c r="J56" s="33"/>
      <c r="K56" s="33"/>
      <c r="L56" s="33"/>
    </row>
    <row r="57" spans="1:12" x14ac:dyDescent="0.35">
      <c r="A57" s="38">
        <v>46293</v>
      </c>
      <c r="B57" s="39">
        <f t="shared" si="0"/>
        <v>24700.123862035442</v>
      </c>
      <c r="C57" s="39" t="str" cm="1">
        <f t="array" ref="C57">IF(A57&gt;$B$6,"",SUMPRODUCT((DATE(VALUE(RIGHT(Transactions!$D$2:$D$1969,4)),VALUE(MID(Transactions!$D$2:$D$1969,4,2)),VALUE(LEFT(Transactions!$D$2:$D$1969,2)))&gt;=A57)*(DATE(VALUE(RIGHT(Transactions!$D$2:$D$1969,4)),VALUE(MID(Transactions!$D$2:$D$1969,4,2)),VALUE(LEFT(Transactions!$D$2:$D$1969,2)))&lt;=MIN(A57+6,$B$6))*Transactions!$H$2:$H$1969))</f>
        <v/>
      </c>
      <c r="D57" s="39" t="str">
        <f t="shared" si="1"/>
        <v/>
      </c>
      <c r="E57" s="39" t="str">
        <f t="shared" si="2"/>
        <v/>
      </c>
      <c r="F57" s="41" t="str">
        <f t="shared" si="3"/>
        <v/>
      </c>
      <c r="G57" s="33" t="str">
        <f t="shared" si="4"/>
        <v>No actuals</v>
      </c>
      <c r="H57" s="33"/>
      <c r="I57" s="33"/>
      <c r="J57" s="33"/>
      <c r="K57" s="33"/>
      <c r="L57" s="33"/>
    </row>
    <row r="58" spans="1:12" x14ac:dyDescent="0.35">
      <c r="A58" s="38">
        <v>46300</v>
      </c>
      <c r="B58" s="39">
        <f t="shared" si="0"/>
        <v>24796.851012655639</v>
      </c>
      <c r="C58" s="39" t="str" cm="1">
        <f t="array" ref="C58">IF(A58&gt;$B$6,"",SUMPRODUCT((DATE(VALUE(RIGHT(Transactions!$D$2:$D$1969,4)),VALUE(MID(Transactions!$D$2:$D$1969,4,2)),VALUE(LEFT(Transactions!$D$2:$D$1969,2)))&gt;=A58)*(DATE(VALUE(RIGHT(Transactions!$D$2:$D$1969,4)),VALUE(MID(Transactions!$D$2:$D$1969,4,2)),VALUE(LEFT(Transactions!$D$2:$D$1969,2)))&lt;=MIN(A58+6,$B$6))*Transactions!$H$2:$H$1969))</f>
        <v/>
      </c>
      <c r="D58" s="39" t="str">
        <f t="shared" si="1"/>
        <v/>
      </c>
      <c r="E58" s="39" t="str">
        <f t="shared" si="2"/>
        <v/>
      </c>
      <c r="F58" s="41" t="str">
        <f t="shared" si="3"/>
        <v/>
      </c>
      <c r="G58" s="33" t="str">
        <f t="shared" si="4"/>
        <v>No actuals</v>
      </c>
      <c r="H58" s="33"/>
      <c r="I58" s="33"/>
      <c r="J58" s="33"/>
      <c r="K58" s="33"/>
      <c r="L58" s="33"/>
    </row>
    <row r="59" spans="1:12" x14ac:dyDescent="0.35">
      <c r="A59" s="38">
        <v>46307</v>
      </c>
      <c r="B59" s="39">
        <f t="shared" si="0"/>
        <v>24893.578163275808</v>
      </c>
      <c r="C59" s="39" t="str" cm="1">
        <f t="array" ref="C59">IF(A59&gt;$B$6,"",SUMPRODUCT((DATE(VALUE(RIGHT(Transactions!$D$2:$D$1969,4)),VALUE(MID(Transactions!$D$2:$D$1969,4,2)),VALUE(LEFT(Transactions!$D$2:$D$1969,2)))&gt;=A59)*(DATE(VALUE(RIGHT(Transactions!$D$2:$D$1969,4)),VALUE(MID(Transactions!$D$2:$D$1969,4,2)),VALUE(LEFT(Transactions!$D$2:$D$1969,2)))&lt;=MIN(A59+6,$B$6))*Transactions!$H$2:$H$1969))</f>
        <v/>
      </c>
      <c r="D59" s="39" t="str">
        <f t="shared" si="1"/>
        <v/>
      </c>
      <c r="E59" s="39" t="str">
        <f t="shared" si="2"/>
        <v/>
      </c>
      <c r="F59" s="41" t="str">
        <f t="shared" si="3"/>
        <v/>
      </c>
      <c r="G59" s="33" t="str">
        <f t="shared" si="4"/>
        <v>No actuals</v>
      </c>
      <c r="H59" s="33"/>
      <c r="I59" s="33"/>
      <c r="J59" s="33"/>
      <c r="K59" s="33"/>
      <c r="L59" s="33"/>
    </row>
    <row r="60" spans="1:12" x14ac:dyDescent="0.35">
      <c r="A60" s="38">
        <v>46314</v>
      </c>
      <c r="B60" s="39">
        <f t="shared" si="0"/>
        <v>24990.305313896009</v>
      </c>
      <c r="C60" s="39" t="str" cm="1">
        <f t="array" ref="C60">IF(A60&gt;$B$6,"",SUMPRODUCT((DATE(VALUE(RIGHT(Transactions!$D$2:$D$1969,4)),VALUE(MID(Transactions!$D$2:$D$1969,4,2)),VALUE(LEFT(Transactions!$D$2:$D$1969,2)))&gt;=A60)*(DATE(VALUE(RIGHT(Transactions!$D$2:$D$1969,4)),VALUE(MID(Transactions!$D$2:$D$1969,4,2)),VALUE(LEFT(Transactions!$D$2:$D$1969,2)))&lt;=MIN(A60+6,$B$6))*Transactions!$H$2:$H$1969))</f>
        <v/>
      </c>
      <c r="D60" s="39" t="str">
        <f t="shared" si="1"/>
        <v/>
      </c>
      <c r="E60" s="39" t="str">
        <f t="shared" si="2"/>
        <v/>
      </c>
      <c r="F60" s="41" t="str">
        <f t="shared" si="3"/>
        <v/>
      </c>
      <c r="G60" s="33" t="str">
        <f t="shared" si="4"/>
        <v>No actuals</v>
      </c>
      <c r="H60" s="33"/>
      <c r="I60" s="33"/>
      <c r="J60" s="33"/>
      <c r="K60" s="33"/>
      <c r="L60" s="33"/>
    </row>
    <row r="61" spans="1:12" x14ac:dyDescent="0.35">
      <c r="A61" s="38">
        <v>46321</v>
      </c>
      <c r="B61" s="39">
        <f t="shared" si="0"/>
        <v>25087.032464516178</v>
      </c>
      <c r="C61" s="39" t="str" cm="1">
        <f t="array" ref="C61">IF(A61&gt;$B$6,"",SUMPRODUCT((DATE(VALUE(RIGHT(Transactions!$D$2:$D$1969,4)),VALUE(MID(Transactions!$D$2:$D$1969,4,2)),VALUE(LEFT(Transactions!$D$2:$D$1969,2)))&gt;=A61)*(DATE(VALUE(RIGHT(Transactions!$D$2:$D$1969,4)),VALUE(MID(Transactions!$D$2:$D$1969,4,2)),VALUE(LEFT(Transactions!$D$2:$D$1969,2)))&lt;=MIN(A61+6,$B$6))*Transactions!$H$2:$H$1969))</f>
        <v/>
      </c>
      <c r="D61" s="39" t="str">
        <f t="shared" si="1"/>
        <v/>
      </c>
      <c r="E61" s="39" t="str">
        <f t="shared" si="2"/>
        <v/>
      </c>
      <c r="F61" s="41" t="str">
        <f t="shared" si="3"/>
        <v/>
      </c>
      <c r="G61" s="33" t="str">
        <f t="shared" si="4"/>
        <v>No actuals</v>
      </c>
      <c r="H61" s="33"/>
      <c r="I61" s="33"/>
      <c r="J61" s="33"/>
      <c r="K61" s="33"/>
      <c r="L61" s="33"/>
    </row>
  </sheetData>
  <mergeCells count="14">
    <mergeCell ref="A8:L8"/>
    <mergeCell ref="A9:L11"/>
    <mergeCell ref="A13:F13"/>
    <mergeCell ref="A51:F51"/>
    <mergeCell ref="A1:L1"/>
    <mergeCell ref="A2:L2"/>
    <mergeCell ref="A4:C4"/>
    <mergeCell ref="A5:C6"/>
    <mergeCell ref="D4:F4"/>
    <mergeCell ref="D5:F6"/>
    <mergeCell ref="G4:I4"/>
    <mergeCell ref="G5:I6"/>
    <mergeCell ref="J4:L4"/>
    <mergeCell ref="J5:L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69"/>
  <sheetViews>
    <sheetView tabSelected="1" topLeftCell="G4" workbookViewId="0">
      <selection activeCell="G12" sqref="G12"/>
    </sheetView>
  </sheetViews>
  <sheetFormatPr defaultRowHeight="14.5" x14ac:dyDescent="0.35"/>
  <cols>
    <col min="4" max="4" width="10.453125" bestFit="1" customWidth="1"/>
    <col min="8" max="8" width="10.08984375" bestFit="1" customWidth="1"/>
  </cols>
  <sheetData>
    <row r="1" spans="1:9" x14ac:dyDescent="0.35">
      <c r="A1" t="s">
        <v>0</v>
      </c>
      <c r="B1" t="s">
        <v>1</v>
      </c>
      <c r="C1" t="s">
        <v>2</v>
      </c>
      <c r="D1" t="s">
        <v>3</v>
      </c>
      <c r="E1" t="s">
        <v>4</v>
      </c>
      <c r="F1" t="s">
        <v>5</v>
      </c>
      <c r="G1" t="s">
        <v>6</v>
      </c>
      <c r="H1" t="s">
        <v>7</v>
      </c>
      <c r="I1" t="s">
        <v>8</v>
      </c>
    </row>
    <row r="2" spans="1:9" x14ac:dyDescent="0.35">
      <c r="A2" t="s">
        <v>9</v>
      </c>
      <c r="B2" t="s">
        <v>10</v>
      </c>
      <c r="C2" t="s">
        <v>11</v>
      </c>
      <c r="D2" t="s">
        <v>12</v>
      </c>
      <c r="E2" t="s">
        <v>13</v>
      </c>
      <c r="F2">
        <v>150.83000000000001</v>
      </c>
      <c r="G2">
        <v>21.13</v>
      </c>
      <c r="H2">
        <v>171.96</v>
      </c>
    </row>
    <row r="3" spans="1:9" x14ac:dyDescent="0.35">
      <c r="A3" t="s">
        <v>9</v>
      </c>
      <c r="B3" t="s">
        <v>14</v>
      </c>
      <c r="C3" t="s">
        <v>11</v>
      </c>
      <c r="D3" t="s">
        <v>12</v>
      </c>
      <c r="E3" t="s">
        <v>13</v>
      </c>
      <c r="F3">
        <v>186.48</v>
      </c>
      <c r="G3">
        <v>23.47</v>
      </c>
      <c r="H3">
        <v>209.95</v>
      </c>
    </row>
    <row r="4" spans="1:9" x14ac:dyDescent="0.35">
      <c r="A4" t="s">
        <v>9</v>
      </c>
      <c r="B4" t="s">
        <v>15</v>
      </c>
      <c r="C4" t="s">
        <v>11</v>
      </c>
      <c r="D4" t="s">
        <v>12</v>
      </c>
      <c r="E4" t="s">
        <v>13</v>
      </c>
      <c r="F4">
        <v>263.33999999999997</v>
      </c>
      <c r="G4">
        <v>17.61</v>
      </c>
      <c r="H4">
        <v>280.95</v>
      </c>
    </row>
    <row r="5" spans="1:9" x14ac:dyDescent="0.35">
      <c r="A5" t="s">
        <v>9</v>
      </c>
      <c r="B5" t="s">
        <v>16</v>
      </c>
      <c r="C5" t="s">
        <v>11</v>
      </c>
      <c r="D5" t="s">
        <v>12</v>
      </c>
      <c r="E5" t="s">
        <v>13</v>
      </c>
      <c r="F5">
        <v>116.84</v>
      </c>
      <c r="G5">
        <v>8.5299999999999994</v>
      </c>
      <c r="H5">
        <v>125.37</v>
      </c>
    </row>
    <row r="6" spans="1:9" x14ac:dyDescent="0.35">
      <c r="A6" t="s">
        <v>9</v>
      </c>
      <c r="B6" t="s">
        <v>17</v>
      </c>
      <c r="C6" t="s">
        <v>11</v>
      </c>
      <c r="D6" t="s">
        <v>12</v>
      </c>
      <c r="E6" t="s">
        <v>13</v>
      </c>
      <c r="F6">
        <v>228.08</v>
      </c>
      <c r="G6">
        <v>17.86</v>
      </c>
      <c r="H6">
        <v>245.94</v>
      </c>
    </row>
    <row r="7" spans="1:9" x14ac:dyDescent="0.35">
      <c r="A7" t="s">
        <v>9</v>
      </c>
      <c r="B7" t="s">
        <v>18</v>
      </c>
      <c r="C7" t="s">
        <v>11</v>
      </c>
      <c r="D7" t="s">
        <v>12</v>
      </c>
      <c r="E7" t="s">
        <v>13</v>
      </c>
      <c r="F7">
        <v>188.25</v>
      </c>
      <c r="G7">
        <v>26.74</v>
      </c>
      <c r="H7">
        <v>214.99</v>
      </c>
    </row>
    <row r="8" spans="1:9" x14ac:dyDescent="0.35">
      <c r="A8" t="s">
        <v>9</v>
      </c>
      <c r="B8" t="s">
        <v>19</v>
      </c>
      <c r="C8" t="s">
        <v>11</v>
      </c>
      <c r="D8" t="s">
        <v>12</v>
      </c>
      <c r="E8" t="s">
        <v>13</v>
      </c>
      <c r="F8">
        <v>656.89</v>
      </c>
      <c r="G8">
        <v>72.290000000000006</v>
      </c>
      <c r="H8">
        <v>729.18</v>
      </c>
    </row>
    <row r="9" spans="1:9" x14ac:dyDescent="0.35">
      <c r="A9" t="s">
        <v>9</v>
      </c>
      <c r="B9" t="s">
        <v>20</v>
      </c>
      <c r="C9" t="s">
        <v>11</v>
      </c>
      <c r="D9" t="s">
        <v>12</v>
      </c>
      <c r="E9" t="s">
        <v>13</v>
      </c>
      <c r="F9">
        <v>731.19</v>
      </c>
      <c r="G9">
        <v>109.68</v>
      </c>
      <c r="H9">
        <v>840.87</v>
      </c>
    </row>
    <row r="10" spans="1:9" x14ac:dyDescent="0.35">
      <c r="A10" t="s">
        <v>9</v>
      </c>
      <c r="B10" t="s">
        <v>21</v>
      </c>
      <c r="C10" t="s">
        <v>11</v>
      </c>
      <c r="D10" t="s">
        <v>12</v>
      </c>
      <c r="E10" t="s">
        <v>13</v>
      </c>
      <c r="F10">
        <v>239.01</v>
      </c>
      <c r="G10">
        <v>31.95</v>
      </c>
      <c r="H10">
        <v>270.95999999999998</v>
      </c>
    </row>
    <row r="11" spans="1:9" x14ac:dyDescent="0.35">
      <c r="A11" t="s">
        <v>9</v>
      </c>
      <c r="B11" t="s">
        <v>22</v>
      </c>
      <c r="C11" t="s">
        <v>11</v>
      </c>
      <c r="D11" t="s">
        <v>12</v>
      </c>
      <c r="E11" t="s">
        <v>13</v>
      </c>
      <c r="F11">
        <v>584.38</v>
      </c>
      <c r="G11">
        <v>70.42</v>
      </c>
      <c r="H11">
        <v>654.79999999999995</v>
      </c>
    </row>
    <row r="12" spans="1:9" x14ac:dyDescent="0.35">
      <c r="A12" t="s">
        <v>9</v>
      </c>
      <c r="B12" t="s">
        <v>23</v>
      </c>
      <c r="C12" t="s">
        <v>11</v>
      </c>
      <c r="D12" t="s">
        <v>24</v>
      </c>
      <c r="E12" t="s">
        <v>13</v>
      </c>
      <c r="F12">
        <v>249.98</v>
      </c>
      <c r="G12">
        <v>24</v>
      </c>
      <c r="H12">
        <v>273.98</v>
      </c>
    </row>
    <row r="13" spans="1:9" x14ac:dyDescent="0.35">
      <c r="A13" t="s">
        <v>9</v>
      </c>
      <c r="B13" t="s">
        <v>25</v>
      </c>
      <c r="C13" t="s">
        <v>11</v>
      </c>
      <c r="D13" t="s">
        <v>24</v>
      </c>
      <c r="E13" t="s">
        <v>13</v>
      </c>
      <c r="F13">
        <v>255.11</v>
      </c>
      <c r="G13">
        <v>25.82</v>
      </c>
      <c r="H13">
        <v>280.93</v>
      </c>
    </row>
    <row r="14" spans="1:9" x14ac:dyDescent="0.35">
      <c r="A14" t="s">
        <v>9</v>
      </c>
      <c r="B14" t="s">
        <v>26</v>
      </c>
      <c r="C14" t="s">
        <v>11</v>
      </c>
      <c r="D14" t="s">
        <v>24</v>
      </c>
      <c r="E14" t="s">
        <v>13</v>
      </c>
      <c r="F14">
        <v>125.93</v>
      </c>
      <c r="G14">
        <v>7.04</v>
      </c>
      <c r="H14">
        <v>132.97</v>
      </c>
    </row>
    <row r="15" spans="1:9" x14ac:dyDescent="0.35">
      <c r="A15" t="s">
        <v>9</v>
      </c>
      <c r="B15" t="s">
        <v>27</v>
      </c>
      <c r="C15" t="s">
        <v>11</v>
      </c>
      <c r="D15" t="s">
        <v>24</v>
      </c>
      <c r="E15" t="s">
        <v>13</v>
      </c>
      <c r="F15">
        <v>121.87</v>
      </c>
      <c r="G15">
        <v>18.28</v>
      </c>
      <c r="H15">
        <v>140.15</v>
      </c>
    </row>
    <row r="16" spans="1:9" x14ac:dyDescent="0.35">
      <c r="A16" t="s">
        <v>9</v>
      </c>
      <c r="B16" t="s">
        <v>28</v>
      </c>
      <c r="C16" t="s">
        <v>11</v>
      </c>
      <c r="D16" t="s">
        <v>24</v>
      </c>
      <c r="E16" t="s">
        <v>13</v>
      </c>
      <c r="F16">
        <v>290.8</v>
      </c>
      <c r="G16">
        <v>42.12</v>
      </c>
      <c r="H16">
        <v>332.92</v>
      </c>
    </row>
    <row r="17" spans="1:8" x14ac:dyDescent="0.35">
      <c r="A17" t="s">
        <v>9</v>
      </c>
      <c r="B17" t="s">
        <v>29</v>
      </c>
      <c r="C17" t="s">
        <v>11</v>
      </c>
      <c r="D17" t="s">
        <v>24</v>
      </c>
      <c r="E17" t="s">
        <v>13</v>
      </c>
      <c r="F17">
        <v>132.16</v>
      </c>
      <c r="G17">
        <v>19.82</v>
      </c>
      <c r="H17">
        <v>151.97999999999999</v>
      </c>
    </row>
    <row r="18" spans="1:8" x14ac:dyDescent="0.35">
      <c r="A18" t="s">
        <v>9</v>
      </c>
      <c r="B18" t="s">
        <v>30</v>
      </c>
      <c r="C18" t="s">
        <v>11</v>
      </c>
      <c r="D18" t="s">
        <v>24</v>
      </c>
      <c r="E18" t="s">
        <v>13</v>
      </c>
      <c r="F18">
        <v>265</v>
      </c>
      <c r="G18">
        <v>30.9</v>
      </c>
      <c r="H18">
        <v>295.89999999999998</v>
      </c>
    </row>
    <row r="19" spans="1:8" x14ac:dyDescent="0.35">
      <c r="A19" t="s">
        <v>9</v>
      </c>
      <c r="B19" t="s">
        <v>31</v>
      </c>
      <c r="C19" t="s">
        <v>11</v>
      </c>
      <c r="D19" t="s">
        <v>24</v>
      </c>
      <c r="E19" t="s">
        <v>13</v>
      </c>
      <c r="F19">
        <v>137.79</v>
      </c>
      <c r="G19">
        <v>19.170000000000002</v>
      </c>
      <c r="H19">
        <v>156.96</v>
      </c>
    </row>
    <row r="20" spans="1:8" x14ac:dyDescent="0.35">
      <c r="A20" t="s">
        <v>9</v>
      </c>
      <c r="B20" t="s">
        <v>32</v>
      </c>
      <c r="C20" t="s">
        <v>11</v>
      </c>
      <c r="D20" t="s">
        <v>33</v>
      </c>
      <c r="E20" t="s">
        <v>13</v>
      </c>
      <c r="F20">
        <v>524.97</v>
      </c>
      <c r="G20">
        <v>42.9</v>
      </c>
      <c r="H20">
        <v>567.87</v>
      </c>
    </row>
    <row r="21" spans="1:8" x14ac:dyDescent="0.35">
      <c r="A21" t="s">
        <v>9</v>
      </c>
      <c r="B21" t="s">
        <v>34</v>
      </c>
      <c r="C21" t="s">
        <v>11</v>
      </c>
      <c r="D21" t="s">
        <v>33</v>
      </c>
      <c r="E21" t="s">
        <v>13</v>
      </c>
      <c r="F21">
        <v>183.95</v>
      </c>
      <c r="G21">
        <v>18</v>
      </c>
      <c r="H21">
        <v>201.95</v>
      </c>
    </row>
    <row r="22" spans="1:8" x14ac:dyDescent="0.35">
      <c r="A22" t="s">
        <v>9</v>
      </c>
      <c r="B22" t="s">
        <v>35</v>
      </c>
      <c r="C22" t="s">
        <v>11</v>
      </c>
      <c r="D22" t="s">
        <v>33</v>
      </c>
      <c r="E22" t="s">
        <v>13</v>
      </c>
      <c r="F22">
        <v>266.70999999999998</v>
      </c>
      <c r="G22">
        <v>32.21</v>
      </c>
      <c r="H22">
        <v>298.92</v>
      </c>
    </row>
    <row r="23" spans="1:8" x14ac:dyDescent="0.35">
      <c r="A23" t="s">
        <v>9</v>
      </c>
      <c r="B23" t="s">
        <v>36</v>
      </c>
      <c r="C23" t="s">
        <v>11</v>
      </c>
      <c r="D23" t="s">
        <v>33</v>
      </c>
      <c r="E23" t="s">
        <v>13</v>
      </c>
      <c r="F23">
        <v>253.47</v>
      </c>
      <c r="G23">
        <v>25.43</v>
      </c>
      <c r="H23">
        <v>278.89999999999998</v>
      </c>
    </row>
    <row r="24" spans="1:8" x14ac:dyDescent="0.35">
      <c r="A24" t="s">
        <v>9</v>
      </c>
      <c r="B24" t="s">
        <v>37</v>
      </c>
      <c r="C24" t="s">
        <v>11</v>
      </c>
      <c r="D24" t="s">
        <v>33</v>
      </c>
      <c r="E24" t="s">
        <v>13</v>
      </c>
      <c r="F24">
        <v>321.66000000000003</v>
      </c>
      <c r="G24">
        <v>21.25</v>
      </c>
      <c r="H24">
        <v>342.91</v>
      </c>
    </row>
    <row r="25" spans="1:8" x14ac:dyDescent="0.35">
      <c r="A25" t="s">
        <v>9</v>
      </c>
      <c r="B25" t="s">
        <v>38</v>
      </c>
      <c r="C25" t="s">
        <v>11</v>
      </c>
      <c r="D25" t="s">
        <v>33</v>
      </c>
      <c r="E25" t="s">
        <v>13</v>
      </c>
      <c r="F25">
        <v>199.07</v>
      </c>
      <c r="G25">
        <v>29.86</v>
      </c>
      <c r="H25">
        <v>228.93</v>
      </c>
    </row>
    <row r="26" spans="1:8" x14ac:dyDescent="0.35">
      <c r="A26" t="s">
        <v>9</v>
      </c>
      <c r="B26" t="s">
        <v>39</v>
      </c>
      <c r="C26" t="s">
        <v>11</v>
      </c>
      <c r="D26" t="s">
        <v>33</v>
      </c>
      <c r="E26" t="s">
        <v>13</v>
      </c>
      <c r="F26">
        <v>208.41</v>
      </c>
      <c r="G26">
        <v>4.57</v>
      </c>
      <c r="H26">
        <v>212.98</v>
      </c>
    </row>
    <row r="27" spans="1:8" x14ac:dyDescent="0.35">
      <c r="A27" t="s">
        <v>9</v>
      </c>
      <c r="B27" t="s">
        <v>40</v>
      </c>
      <c r="C27" t="s">
        <v>11</v>
      </c>
      <c r="D27" t="s">
        <v>33</v>
      </c>
      <c r="E27" t="s">
        <v>13</v>
      </c>
      <c r="F27">
        <v>289.08</v>
      </c>
      <c r="G27">
        <v>41.86</v>
      </c>
      <c r="H27">
        <v>330.94</v>
      </c>
    </row>
    <row r="28" spans="1:8" x14ac:dyDescent="0.35">
      <c r="A28" t="s">
        <v>9</v>
      </c>
      <c r="B28" t="s">
        <v>41</v>
      </c>
      <c r="C28" t="s">
        <v>11</v>
      </c>
      <c r="D28" t="s">
        <v>42</v>
      </c>
      <c r="E28" t="s">
        <v>13</v>
      </c>
      <c r="F28">
        <v>169.55</v>
      </c>
      <c r="G28">
        <v>25.43</v>
      </c>
      <c r="H28">
        <v>194.98</v>
      </c>
    </row>
    <row r="29" spans="1:8" x14ac:dyDescent="0.35">
      <c r="A29" t="s">
        <v>9</v>
      </c>
      <c r="B29" t="s">
        <v>43</v>
      </c>
      <c r="C29" t="s">
        <v>11</v>
      </c>
      <c r="D29" t="s">
        <v>42</v>
      </c>
      <c r="E29" t="s">
        <v>13</v>
      </c>
      <c r="F29">
        <v>185.18</v>
      </c>
      <c r="G29">
        <v>27.78</v>
      </c>
      <c r="H29">
        <v>212.96</v>
      </c>
    </row>
    <row r="30" spans="1:8" x14ac:dyDescent="0.35">
      <c r="A30" t="s">
        <v>9</v>
      </c>
      <c r="B30" t="s">
        <v>44</v>
      </c>
      <c r="C30" t="s">
        <v>11</v>
      </c>
      <c r="D30" t="s">
        <v>42</v>
      </c>
      <c r="E30" t="s">
        <v>13</v>
      </c>
      <c r="F30">
        <v>359.07</v>
      </c>
      <c r="G30">
        <v>32.86</v>
      </c>
      <c r="H30">
        <v>391.93</v>
      </c>
    </row>
    <row r="31" spans="1:8" x14ac:dyDescent="0.35">
      <c r="A31" t="s">
        <v>9</v>
      </c>
      <c r="B31" t="s">
        <v>45</v>
      </c>
      <c r="C31" t="s">
        <v>11</v>
      </c>
      <c r="D31" t="s">
        <v>42</v>
      </c>
      <c r="E31" t="s">
        <v>13</v>
      </c>
      <c r="F31">
        <v>395.78</v>
      </c>
      <c r="G31">
        <v>22.17</v>
      </c>
      <c r="H31">
        <v>417.95</v>
      </c>
    </row>
    <row r="32" spans="1:8" x14ac:dyDescent="0.35">
      <c r="A32" t="s">
        <v>9</v>
      </c>
      <c r="B32" t="s">
        <v>46</v>
      </c>
      <c r="C32" t="s">
        <v>11</v>
      </c>
      <c r="D32" t="s">
        <v>42</v>
      </c>
      <c r="E32" t="s">
        <v>13</v>
      </c>
      <c r="F32">
        <v>387.24</v>
      </c>
      <c r="G32">
        <v>43.69</v>
      </c>
      <c r="H32">
        <v>430.93</v>
      </c>
    </row>
    <row r="33" spans="1:8" x14ac:dyDescent="0.35">
      <c r="A33" t="s">
        <v>9</v>
      </c>
      <c r="B33" t="s">
        <v>47</v>
      </c>
      <c r="C33" t="s">
        <v>11</v>
      </c>
      <c r="D33" t="s">
        <v>42</v>
      </c>
      <c r="E33" t="s">
        <v>13</v>
      </c>
      <c r="F33">
        <v>594.63</v>
      </c>
      <c r="G33">
        <v>66.25</v>
      </c>
      <c r="H33">
        <v>660.88</v>
      </c>
    </row>
    <row r="34" spans="1:8" x14ac:dyDescent="0.35">
      <c r="A34" t="s">
        <v>9</v>
      </c>
      <c r="B34" t="s">
        <v>48</v>
      </c>
      <c r="C34" t="s">
        <v>11</v>
      </c>
      <c r="D34" t="s">
        <v>42</v>
      </c>
      <c r="E34" t="s">
        <v>13</v>
      </c>
      <c r="F34">
        <v>464.82</v>
      </c>
      <c r="G34">
        <v>59.08</v>
      </c>
      <c r="H34">
        <v>523.9</v>
      </c>
    </row>
    <row r="35" spans="1:8" x14ac:dyDescent="0.35">
      <c r="A35" t="s">
        <v>9</v>
      </c>
      <c r="B35" t="s">
        <v>49</v>
      </c>
      <c r="C35" t="s">
        <v>11</v>
      </c>
      <c r="D35" t="s">
        <v>42</v>
      </c>
      <c r="E35" t="s">
        <v>13</v>
      </c>
      <c r="F35">
        <v>171.68</v>
      </c>
      <c r="G35">
        <v>24.25</v>
      </c>
      <c r="H35">
        <v>195.93</v>
      </c>
    </row>
    <row r="36" spans="1:8" x14ac:dyDescent="0.35">
      <c r="A36" t="s">
        <v>9</v>
      </c>
      <c r="B36" t="s">
        <v>50</v>
      </c>
      <c r="C36" t="s">
        <v>11</v>
      </c>
      <c r="D36" t="s">
        <v>42</v>
      </c>
      <c r="E36" t="s">
        <v>13</v>
      </c>
      <c r="F36">
        <v>184.54</v>
      </c>
      <c r="G36">
        <v>19.43</v>
      </c>
      <c r="H36">
        <v>203.97</v>
      </c>
    </row>
    <row r="37" spans="1:8" x14ac:dyDescent="0.35">
      <c r="A37" t="s">
        <v>9</v>
      </c>
      <c r="B37" t="s">
        <v>51</v>
      </c>
      <c r="C37" t="s">
        <v>11</v>
      </c>
      <c r="D37" t="s">
        <v>42</v>
      </c>
      <c r="E37" t="s">
        <v>13</v>
      </c>
      <c r="F37">
        <v>216.04</v>
      </c>
      <c r="G37">
        <v>26.86</v>
      </c>
      <c r="H37">
        <v>242.9</v>
      </c>
    </row>
    <row r="38" spans="1:8" x14ac:dyDescent="0.35">
      <c r="A38" t="s">
        <v>9</v>
      </c>
      <c r="B38" t="s">
        <v>52</v>
      </c>
      <c r="C38" t="s">
        <v>11</v>
      </c>
      <c r="D38" t="s">
        <v>42</v>
      </c>
      <c r="E38" t="s">
        <v>13</v>
      </c>
      <c r="F38">
        <v>141.47999999999999</v>
      </c>
      <c r="G38">
        <v>8.48</v>
      </c>
      <c r="H38">
        <v>149.96</v>
      </c>
    </row>
    <row r="39" spans="1:8" x14ac:dyDescent="0.35">
      <c r="A39" t="s">
        <v>9</v>
      </c>
      <c r="B39" t="s">
        <v>53</v>
      </c>
      <c r="C39" t="s">
        <v>11</v>
      </c>
      <c r="D39" t="s">
        <v>42</v>
      </c>
      <c r="E39" t="s">
        <v>13</v>
      </c>
      <c r="F39">
        <v>278</v>
      </c>
      <c r="G39">
        <v>24.91</v>
      </c>
      <c r="H39">
        <v>302.91000000000003</v>
      </c>
    </row>
    <row r="40" spans="1:8" x14ac:dyDescent="0.35">
      <c r="A40" t="s">
        <v>9</v>
      </c>
      <c r="B40" t="s">
        <v>54</v>
      </c>
      <c r="C40" t="s">
        <v>11</v>
      </c>
      <c r="D40" t="s">
        <v>55</v>
      </c>
      <c r="E40" t="s">
        <v>13</v>
      </c>
      <c r="F40">
        <v>549.91999999999996</v>
      </c>
      <c r="G40">
        <v>58.94</v>
      </c>
      <c r="H40">
        <v>608.86</v>
      </c>
    </row>
    <row r="41" spans="1:8" x14ac:dyDescent="0.35">
      <c r="A41" t="s">
        <v>9</v>
      </c>
      <c r="B41" t="s">
        <v>56</v>
      </c>
      <c r="C41" t="s">
        <v>11</v>
      </c>
      <c r="D41" t="s">
        <v>55</v>
      </c>
      <c r="E41" t="s">
        <v>13</v>
      </c>
      <c r="F41">
        <v>104.8</v>
      </c>
      <c r="G41">
        <v>11.22</v>
      </c>
      <c r="H41">
        <v>116.02</v>
      </c>
    </row>
    <row r="42" spans="1:8" x14ac:dyDescent="0.35">
      <c r="A42" t="s">
        <v>9</v>
      </c>
      <c r="B42" t="s">
        <v>57</v>
      </c>
      <c r="C42" t="s">
        <v>11</v>
      </c>
      <c r="D42" t="s">
        <v>55</v>
      </c>
      <c r="E42" t="s">
        <v>13</v>
      </c>
      <c r="F42">
        <v>364.46</v>
      </c>
      <c r="G42">
        <v>41.92</v>
      </c>
      <c r="H42">
        <v>406.38</v>
      </c>
    </row>
    <row r="43" spans="1:8" x14ac:dyDescent="0.35">
      <c r="A43" t="s">
        <v>9</v>
      </c>
      <c r="B43" t="s">
        <v>58</v>
      </c>
      <c r="C43" t="s">
        <v>11</v>
      </c>
      <c r="D43" t="s">
        <v>55</v>
      </c>
      <c r="E43" t="s">
        <v>13</v>
      </c>
      <c r="F43">
        <v>503.83</v>
      </c>
      <c r="G43">
        <v>71.069999999999993</v>
      </c>
      <c r="H43">
        <v>574.9</v>
      </c>
    </row>
    <row r="44" spans="1:8" x14ac:dyDescent="0.35">
      <c r="A44" t="s">
        <v>9</v>
      </c>
      <c r="B44" t="s">
        <v>59</v>
      </c>
      <c r="C44" t="s">
        <v>11</v>
      </c>
      <c r="D44" t="s">
        <v>60</v>
      </c>
      <c r="E44" t="s">
        <v>13</v>
      </c>
      <c r="F44">
        <v>148.65</v>
      </c>
      <c r="G44">
        <v>19.3</v>
      </c>
      <c r="H44">
        <v>167.95</v>
      </c>
    </row>
    <row r="45" spans="1:8" x14ac:dyDescent="0.35">
      <c r="A45" t="s">
        <v>9</v>
      </c>
      <c r="B45" t="s">
        <v>61</v>
      </c>
      <c r="C45" t="s">
        <v>11</v>
      </c>
      <c r="D45" t="s">
        <v>60</v>
      </c>
      <c r="E45" t="s">
        <v>13</v>
      </c>
      <c r="F45">
        <v>162.76</v>
      </c>
      <c r="G45">
        <v>19.16</v>
      </c>
      <c r="H45">
        <v>181.92</v>
      </c>
    </row>
    <row r="46" spans="1:8" x14ac:dyDescent="0.35">
      <c r="A46" t="s">
        <v>9</v>
      </c>
      <c r="B46" t="s">
        <v>62</v>
      </c>
      <c r="C46" t="s">
        <v>11</v>
      </c>
      <c r="D46" t="s">
        <v>60</v>
      </c>
      <c r="E46" t="s">
        <v>13</v>
      </c>
      <c r="F46">
        <v>253.27</v>
      </c>
      <c r="G46">
        <v>35.14</v>
      </c>
      <c r="H46">
        <v>288.41000000000003</v>
      </c>
    </row>
    <row r="47" spans="1:8" x14ac:dyDescent="0.35">
      <c r="A47" t="s">
        <v>9</v>
      </c>
      <c r="B47" t="s">
        <v>63</v>
      </c>
      <c r="C47" t="s">
        <v>11</v>
      </c>
      <c r="D47" t="s">
        <v>60</v>
      </c>
      <c r="E47" t="s">
        <v>13</v>
      </c>
      <c r="F47">
        <v>185.48</v>
      </c>
      <c r="G47">
        <v>23.47</v>
      </c>
      <c r="H47">
        <v>208.95</v>
      </c>
    </row>
    <row r="48" spans="1:8" x14ac:dyDescent="0.35">
      <c r="A48" t="s">
        <v>9</v>
      </c>
      <c r="B48" t="s">
        <v>64</v>
      </c>
      <c r="C48" t="s">
        <v>11</v>
      </c>
      <c r="D48" t="s">
        <v>60</v>
      </c>
      <c r="E48" t="s">
        <v>13</v>
      </c>
      <c r="F48">
        <v>1268.3</v>
      </c>
      <c r="G48">
        <v>120.96</v>
      </c>
      <c r="H48">
        <v>1389.26</v>
      </c>
    </row>
    <row r="49" spans="1:8" x14ac:dyDescent="0.35">
      <c r="A49" t="s">
        <v>9</v>
      </c>
      <c r="B49" t="s">
        <v>65</v>
      </c>
      <c r="C49" t="s">
        <v>11</v>
      </c>
      <c r="D49" t="s">
        <v>60</v>
      </c>
      <c r="E49" t="s">
        <v>13</v>
      </c>
      <c r="F49">
        <v>374.12</v>
      </c>
      <c r="G49">
        <v>27.78</v>
      </c>
      <c r="H49">
        <v>401.9</v>
      </c>
    </row>
    <row r="50" spans="1:8" x14ac:dyDescent="0.35">
      <c r="A50" t="s">
        <v>9</v>
      </c>
      <c r="B50" t="s">
        <v>66</v>
      </c>
      <c r="C50" t="s">
        <v>11</v>
      </c>
      <c r="D50" t="s">
        <v>60</v>
      </c>
      <c r="E50" t="s">
        <v>13</v>
      </c>
      <c r="F50">
        <v>532.41999999999996</v>
      </c>
      <c r="G50">
        <v>59.47</v>
      </c>
      <c r="H50">
        <v>591.89</v>
      </c>
    </row>
    <row r="51" spans="1:8" x14ac:dyDescent="0.35">
      <c r="A51" t="s">
        <v>9</v>
      </c>
      <c r="B51" t="s">
        <v>67</v>
      </c>
      <c r="C51" t="s">
        <v>11</v>
      </c>
      <c r="D51" t="s">
        <v>60</v>
      </c>
      <c r="E51" t="s">
        <v>13</v>
      </c>
      <c r="F51">
        <v>365.56</v>
      </c>
      <c r="G51">
        <v>40.29</v>
      </c>
      <c r="H51">
        <v>405.85</v>
      </c>
    </row>
    <row r="52" spans="1:8" x14ac:dyDescent="0.35">
      <c r="A52" t="s">
        <v>9</v>
      </c>
      <c r="B52" t="s">
        <v>68</v>
      </c>
      <c r="C52" t="s">
        <v>11</v>
      </c>
      <c r="D52" t="s">
        <v>69</v>
      </c>
      <c r="E52" t="s">
        <v>13</v>
      </c>
      <c r="F52">
        <v>338.17</v>
      </c>
      <c r="G52">
        <v>49.22</v>
      </c>
      <c r="H52">
        <v>387.39</v>
      </c>
    </row>
    <row r="53" spans="1:8" x14ac:dyDescent="0.35">
      <c r="A53" t="s">
        <v>9</v>
      </c>
      <c r="B53" t="s">
        <v>70</v>
      </c>
      <c r="C53" t="s">
        <v>11</v>
      </c>
      <c r="D53" t="s">
        <v>69</v>
      </c>
      <c r="E53" t="s">
        <v>13</v>
      </c>
      <c r="F53">
        <v>370.36</v>
      </c>
      <c r="G53">
        <v>34.56</v>
      </c>
      <c r="H53">
        <v>404.92</v>
      </c>
    </row>
    <row r="54" spans="1:8" x14ac:dyDescent="0.35">
      <c r="A54" t="s">
        <v>9</v>
      </c>
      <c r="B54" t="s">
        <v>71</v>
      </c>
      <c r="C54" t="s">
        <v>11</v>
      </c>
      <c r="D54" t="s">
        <v>69</v>
      </c>
      <c r="E54" t="s">
        <v>13</v>
      </c>
      <c r="F54">
        <v>420.83</v>
      </c>
      <c r="G54">
        <v>23.08</v>
      </c>
      <c r="H54">
        <v>443.91</v>
      </c>
    </row>
    <row r="55" spans="1:8" x14ac:dyDescent="0.35">
      <c r="A55" t="s">
        <v>9</v>
      </c>
      <c r="B55" t="s">
        <v>72</v>
      </c>
      <c r="C55" t="s">
        <v>11</v>
      </c>
      <c r="D55" t="s">
        <v>69</v>
      </c>
      <c r="E55" t="s">
        <v>13</v>
      </c>
      <c r="F55">
        <v>221.94</v>
      </c>
      <c r="G55">
        <v>17.989999999999998</v>
      </c>
      <c r="H55">
        <v>239.93</v>
      </c>
    </row>
    <row r="56" spans="1:8" x14ac:dyDescent="0.35">
      <c r="A56" t="s">
        <v>9</v>
      </c>
      <c r="B56" t="s">
        <v>73</v>
      </c>
      <c r="C56" t="s">
        <v>11</v>
      </c>
      <c r="D56" t="s">
        <v>69</v>
      </c>
      <c r="E56" t="s">
        <v>13</v>
      </c>
      <c r="F56">
        <v>436.84</v>
      </c>
      <c r="G56">
        <v>64.03</v>
      </c>
      <c r="H56">
        <v>500.87</v>
      </c>
    </row>
    <row r="57" spans="1:8" x14ac:dyDescent="0.35">
      <c r="A57" t="s">
        <v>9</v>
      </c>
      <c r="B57" t="s">
        <v>74</v>
      </c>
      <c r="C57" t="s">
        <v>11</v>
      </c>
      <c r="D57" t="s">
        <v>69</v>
      </c>
      <c r="E57" t="s">
        <v>13</v>
      </c>
      <c r="F57">
        <v>133</v>
      </c>
      <c r="G57">
        <v>19.95</v>
      </c>
      <c r="H57">
        <v>152.94999999999999</v>
      </c>
    </row>
    <row r="58" spans="1:8" x14ac:dyDescent="0.35">
      <c r="A58" t="s">
        <v>9</v>
      </c>
      <c r="B58" t="s">
        <v>75</v>
      </c>
      <c r="C58" t="s">
        <v>11</v>
      </c>
      <c r="D58" t="s">
        <v>69</v>
      </c>
      <c r="E58" t="s">
        <v>13</v>
      </c>
      <c r="F58">
        <v>123.18</v>
      </c>
      <c r="G58">
        <v>9.7799999999999994</v>
      </c>
      <c r="H58">
        <v>132.96</v>
      </c>
    </row>
    <row r="59" spans="1:8" x14ac:dyDescent="0.35">
      <c r="A59" t="s">
        <v>9</v>
      </c>
      <c r="B59" t="s">
        <v>76</v>
      </c>
      <c r="C59" t="s">
        <v>11</v>
      </c>
      <c r="D59" t="s">
        <v>69</v>
      </c>
      <c r="E59" t="s">
        <v>13</v>
      </c>
      <c r="F59">
        <v>125.62</v>
      </c>
      <c r="G59">
        <v>11.35</v>
      </c>
      <c r="H59">
        <v>136.97</v>
      </c>
    </row>
    <row r="60" spans="1:8" x14ac:dyDescent="0.35">
      <c r="A60" t="s">
        <v>9</v>
      </c>
      <c r="B60" t="s">
        <v>77</v>
      </c>
      <c r="C60" t="s">
        <v>11</v>
      </c>
      <c r="D60" t="s">
        <v>78</v>
      </c>
      <c r="E60" t="s">
        <v>13</v>
      </c>
      <c r="F60">
        <v>349.4</v>
      </c>
      <c r="G60">
        <v>39.51</v>
      </c>
      <c r="H60">
        <v>388.91</v>
      </c>
    </row>
    <row r="61" spans="1:8" x14ac:dyDescent="0.35">
      <c r="A61" t="s">
        <v>9</v>
      </c>
      <c r="B61" t="s">
        <v>79</v>
      </c>
      <c r="C61" t="s">
        <v>11</v>
      </c>
      <c r="D61" t="s">
        <v>78</v>
      </c>
      <c r="E61" t="s">
        <v>13</v>
      </c>
      <c r="F61">
        <v>152.13</v>
      </c>
      <c r="G61">
        <v>16.82</v>
      </c>
      <c r="H61">
        <v>168.95</v>
      </c>
    </row>
    <row r="62" spans="1:8" x14ac:dyDescent="0.35">
      <c r="A62" t="s">
        <v>9</v>
      </c>
      <c r="B62" t="s">
        <v>80</v>
      </c>
      <c r="C62" t="s">
        <v>11</v>
      </c>
      <c r="D62" t="s">
        <v>78</v>
      </c>
      <c r="E62" t="s">
        <v>13</v>
      </c>
      <c r="F62">
        <v>151.61000000000001</v>
      </c>
      <c r="G62">
        <v>14.34</v>
      </c>
      <c r="H62">
        <v>165.95</v>
      </c>
    </row>
    <row r="63" spans="1:8" x14ac:dyDescent="0.35">
      <c r="A63" t="s">
        <v>9</v>
      </c>
      <c r="B63" t="s">
        <v>81</v>
      </c>
      <c r="C63" t="s">
        <v>11</v>
      </c>
      <c r="D63" t="s">
        <v>78</v>
      </c>
      <c r="E63" t="s">
        <v>13</v>
      </c>
      <c r="F63">
        <v>479.64</v>
      </c>
      <c r="G63">
        <v>41.05</v>
      </c>
      <c r="H63">
        <v>520.69000000000005</v>
      </c>
    </row>
    <row r="64" spans="1:8" x14ac:dyDescent="0.35">
      <c r="A64" t="s">
        <v>9</v>
      </c>
      <c r="B64" t="s">
        <v>82</v>
      </c>
      <c r="C64" t="s">
        <v>11</v>
      </c>
      <c r="D64" t="s">
        <v>78</v>
      </c>
      <c r="E64" t="s">
        <v>13</v>
      </c>
      <c r="F64">
        <v>325.64</v>
      </c>
      <c r="G64">
        <v>18.260000000000002</v>
      </c>
      <c r="H64">
        <v>343.9</v>
      </c>
    </row>
    <row r="65" spans="1:8" x14ac:dyDescent="0.35">
      <c r="A65" t="s">
        <v>9</v>
      </c>
      <c r="B65" t="s">
        <v>83</v>
      </c>
      <c r="C65" t="s">
        <v>11</v>
      </c>
      <c r="D65" t="s">
        <v>78</v>
      </c>
      <c r="E65" t="s">
        <v>13</v>
      </c>
      <c r="F65">
        <v>825.39</v>
      </c>
      <c r="G65">
        <v>98.46</v>
      </c>
      <c r="H65">
        <v>923.85</v>
      </c>
    </row>
    <row r="66" spans="1:8" x14ac:dyDescent="0.35">
      <c r="A66" t="s">
        <v>9</v>
      </c>
      <c r="B66" t="s">
        <v>84</v>
      </c>
      <c r="C66" t="s">
        <v>11</v>
      </c>
      <c r="D66" t="s">
        <v>78</v>
      </c>
      <c r="E66" t="s">
        <v>13</v>
      </c>
      <c r="F66">
        <v>464.53</v>
      </c>
      <c r="G66">
        <v>37.28</v>
      </c>
      <c r="H66">
        <v>501.81</v>
      </c>
    </row>
    <row r="67" spans="1:8" x14ac:dyDescent="0.35">
      <c r="A67" t="s">
        <v>9</v>
      </c>
      <c r="B67" t="s">
        <v>85</v>
      </c>
      <c r="C67" t="s">
        <v>11</v>
      </c>
      <c r="D67" t="s">
        <v>86</v>
      </c>
      <c r="E67" t="s">
        <v>13</v>
      </c>
      <c r="F67">
        <v>161.5</v>
      </c>
      <c r="G67">
        <v>19.43</v>
      </c>
      <c r="H67">
        <v>180.93</v>
      </c>
    </row>
    <row r="68" spans="1:8" x14ac:dyDescent="0.35">
      <c r="A68" t="s">
        <v>9</v>
      </c>
      <c r="B68" t="s">
        <v>87</v>
      </c>
      <c r="C68" t="s">
        <v>11</v>
      </c>
      <c r="D68" t="s">
        <v>86</v>
      </c>
      <c r="E68" t="s">
        <v>13</v>
      </c>
      <c r="F68">
        <v>362.68</v>
      </c>
      <c r="G68">
        <v>44.21</v>
      </c>
      <c r="H68">
        <v>406.89</v>
      </c>
    </row>
    <row r="69" spans="1:8" x14ac:dyDescent="0.35">
      <c r="A69" t="s">
        <v>9</v>
      </c>
      <c r="B69" t="s">
        <v>88</v>
      </c>
      <c r="C69" t="s">
        <v>11</v>
      </c>
      <c r="D69" t="s">
        <v>86</v>
      </c>
      <c r="E69" t="s">
        <v>13</v>
      </c>
      <c r="F69">
        <v>349.96</v>
      </c>
      <c r="G69">
        <v>46.79</v>
      </c>
      <c r="H69">
        <v>396.75</v>
      </c>
    </row>
    <row r="70" spans="1:8" x14ac:dyDescent="0.35">
      <c r="A70" t="s">
        <v>9</v>
      </c>
      <c r="B70" t="s">
        <v>89</v>
      </c>
      <c r="C70" t="s">
        <v>11</v>
      </c>
      <c r="D70" t="s">
        <v>86</v>
      </c>
      <c r="E70" t="s">
        <v>13</v>
      </c>
      <c r="F70">
        <v>689.77</v>
      </c>
      <c r="G70">
        <v>58.63</v>
      </c>
      <c r="H70">
        <v>748.4</v>
      </c>
    </row>
    <row r="71" spans="1:8" x14ac:dyDescent="0.35">
      <c r="A71" t="s">
        <v>9</v>
      </c>
      <c r="B71" t="s">
        <v>90</v>
      </c>
      <c r="C71" t="s">
        <v>11</v>
      </c>
      <c r="D71" t="s">
        <v>86</v>
      </c>
      <c r="E71" t="s">
        <v>13</v>
      </c>
      <c r="F71">
        <v>286.36</v>
      </c>
      <c r="G71">
        <v>22.56</v>
      </c>
      <c r="H71">
        <v>308.92</v>
      </c>
    </row>
    <row r="72" spans="1:8" x14ac:dyDescent="0.35">
      <c r="A72" t="s">
        <v>9</v>
      </c>
      <c r="B72" t="s">
        <v>91</v>
      </c>
      <c r="C72" t="s">
        <v>11</v>
      </c>
      <c r="D72" t="s">
        <v>86</v>
      </c>
      <c r="E72" t="s">
        <v>13</v>
      </c>
      <c r="F72">
        <v>148.22999999999999</v>
      </c>
      <c r="G72">
        <v>17.739999999999998</v>
      </c>
      <c r="H72">
        <v>165.97</v>
      </c>
    </row>
    <row r="73" spans="1:8" x14ac:dyDescent="0.35">
      <c r="A73" t="s">
        <v>9</v>
      </c>
      <c r="B73" t="s">
        <v>92</v>
      </c>
      <c r="C73" t="s">
        <v>11</v>
      </c>
      <c r="D73" t="s">
        <v>86</v>
      </c>
      <c r="E73" t="s">
        <v>13</v>
      </c>
      <c r="F73">
        <v>396.28</v>
      </c>
      <c r="G73">
        <v>50.59</v>
      </c>
      <c r="H73">
        <v>446.87</v>
      </c>
    </row>
    <row r="74" spans="1:8" x14ac:dyDescent="0.35">
      <c r="A74" t="s">
        <v>9</v>
      </c>
      <c r="B74" t="s">
        <v>93</v>
      </c>
      <c r="C74" t="s">
        <v>11</v>
      </c>
      <c r="D74" t="s">
        <v>86</v>
      </c>
      <c r="E74" t="s">
        <v>13</v>
      </c>
      <c r="F74">
        <v>272.93</v>
      </c>
      <c r="G74">
        <v>40.94</v>
      </c>
      <c r="H74">
        <v>313.87</v>
      </c>
    </row>
    <row r="75" spans="1:8" x14ac:dyDescent="0.35">
      <c r="A75" t="s">
        <v>9</v>
      </c>
      <c r="B75" t="s">
        <v>94</v>
      </c>
      <c r="C75" t="s">
        <v>11</v>
      </c>
      <c r="D75" t="s">
        <v>86</v>
      </c>
      <c r="E75" t="s">
        <v>13</v>
      </c>
      <c r="F75">
        <v>647.54</v>
      </c>
      <c r="G75">
        <v>43.3</v>
      </c>
      <c r="H75">
        <v>690.84</v>
      </c>
    </row>
    <row r="76" spans="1:8" x14ac:dyDescent="0.35">
      <c r="A76" t="s">
        <v>9</v>
      </c>
      <c r="B76" t="s">
        <v>95</v>
      </c>
      <c r="C76" t="s">
        <v>11</v>
      </c>
      <c r="D76" t="s">
        <v>86</v>
      </c>
      <c r="E76" t="s">
        <v>13</v>
      </c>
      <c r="F76">
        <v>289.07</v>
      </c>
      <c r="G76">
        <v>41.86</v>
      </c>
      <c r="H76">
        <v>330.93</v>
      </c>
    </row>
    <row r="77" spans="1:8" x14ac:dyDescent="0.35">
      <c r="A77" t="s">
        <v>9</v>
      </c>
      <c r="B77" t="s">
        <v>96</v>
      </c>
      <c r="C77" t="s">
        <v>11</v>
      </c>
      <c r="D77" t="s">
        <v>86</v>
      </c>
      <c r="E77" t="s">
        <v>13</v>
      </c>
      <c r="F77">
        <v>256.47000000000003</v>
      </c>
      <c r="G77">
        <v>38.47</v>
      </c>
      <c r="H77">
        <v>294.94</v>
      </c>
    </row>
    <row r="78" spans="1:8" x14ac:dyDescent="0.35">
      <c r="A78" t="s">
        <v>9</v>
      </c>
      <c r="B78" t="s">
        <v>97</v>
      </c>
      <c r="C78" t="s">
        <v>11</v>
      </c>
      <c r="D78" t="s">
        <v>86</v>
      </c>
      <c r="E78" t="s">
        <v>13</v>
      </c>
      <c r="F78">
        <v>167.52</v>
      </c>
      <c r="G78">
        <v>19.88</v>
      </c>
      <c r="H78">
        <v>187.4</v>
      </c>
    </row>
    <row r="79" spans="1:8" x14ac:dyDescent="0.35">
      <c r="A79" t="s">
        <v>9</v>
      </c>
      <c r="B79" t="s">
        <v>98</v>
      </c>
      <c r="C79" t="s">
        <v>11</v>
      </c>
      <c r="D79" t="s">
        <v>99</v>
      </c>
      <c r="E79" t="s">
        <v>13</v>
      </c>
      <c r="F79">
        <v>157.13</v>
      </c>
      <c r="G79">
        <v>16.82</v>
      </c>
      <c r="H79">
        <v>173.95</v>
      </c>
    </row>
    <row r="80" spans="1:8" x14ac:dyDescent="0.35">
      <c r="A80" t="s">
        <v>9</v>
      </c>
      <c r="B80" t="s">
        <v>100</v>
      </c>
      <c r="C80" t="s">
        <v>11</v>
      </c>
      <c r="D80" t="s">
        <v>99</v>
      </c>
      <c r="E80" t="s">
        <v>13</v>
      </c>
      <c r="F80">
        <v>139.53</v>
      </c>
      <c r="G80">
        <v>19.43</v>
      </c>
      <c r="H80">
        <v>158.96</v>
      </c>
    </row>
    <row r="81" spans="1:8" x14ac:dyDescent="0.35">
      <c r="A81" t="s">
        <v>9</v>
      </c>
      <c r="B81" t="s">
        <v>101</v>
      </c>
      <c r="C81" t="s">
        <v>11</v>
      </c>
      <c r="D81" t="s">
        <v>99</v>
      </c>
      <c r="E81" t="s">
        <v>13</v>
      </c>
      <c r="F81">
        <v>150.41</v>
      </c>
      <c r="G81">
        <v>22.56</v>
      </c>
      <c r="H81">
        <v>172.97</v>
      </c>
    </row>
    <row r="82" spans="1:8" x14ac:dyDescent="0.35">
      <c r="A82" t="s">
        <v>9</v>
      </c>
      <c r="B82" t="s">
        <v>102</v>
      </c>
      <c r="C82" t="s">
        <v>11</v>
      </c>
      <c r="D82" t="s">
        <v>99</v>
      </c>
      <c r="E82" t="s">
        <v>13</v>
      </c>
      <c r="F82">
        <v>722.55</v>
      </c>
      <c r="G82">
        <v>93.38</v>
      </c>
      <c r="H82">
        <v>815.93</v>
      </c>
    </row>
    <row r="83" spans="1:8" x14ac:dyDescent="0.35">
      <c r="A83" t="s">
        <v>9</v>
      </c>
      <c r="B83" t="s">
        <v>103</v>
      </c>
      <c r="C83" t="s">
        <v>11</v>
      </c>
      <c r="D83" t="s">
        <v>99</v>
      </c>
      <c r="E83" t="s">
        <v>13</v>
      </c>
      <c r="F83">
        <v>396.26</v>
      </c>
      <c r="G83">
        <v>41.44</v>
      </c>
      <c r="H83">
        <v>437.7</v>
      </c>
    </row>
    <row r="84" spans="1:8" x14ac:dyDescent="0.35">
      <c r="A84" t="s">
        <v>9</v>
      </c>
      <c r="B84" t="s">
        <v>104</v>
      </c>
      <c r="C84" t="s">
        <v>11</v>
      </c>
      <c r="D84" t="s">
        <v>99</v>
      </c>
      <c r="E84" t="s">
        <v>13</v>
      </c>
      <c r="F84">
        <v>310.76</v>
      </c>
      <c r="G84">
        <v>45.11</v>
      </c>
      <c r="H84">
        <v>355.87</v>
      </c>
    </row>
    <row r="85" spans="1:8" x14ac:dyDescent="0.35">
      <c r="A85" t="s">
        <v>9</v>
      </c>
      <c r="B85" t="s">
        <v>105</v>
      </c>
      <c r="C85" t="s">
        <v>11</v>
      </c>
      <c r="D85" t="s">
        <v>106</v>
      </c>
      <c r="E85" t="s">
        <v>13</v>
      </c>
      <c r="F85">
        <v>292.08</v>
      </c>
      <c r="G85">
        <v>43.81</v>
      </c>
      <c r="H85">
        <v>335.89</v>
      </c>
    </row>
    <row r="86" spans="1:8" x14ac:dyDescent="0.35">
      <c r="A86" t="s">
        <v>9</v>
      </c>
      <c r="B86" t="s">
        <v>107</v>
      </c>
      <c r="C86" t="s">
        <v>11</v>
      </c>
      <c r="D86" t="s">
        <v>106</v>
      </c>
      <c r="E86" t="s">
        <v>13</v>
      </c>
      <c r="F86">
        <v>366.44</v>
      </c>
      <c r="G86">
        <v>50.47</v>
      </c>
      <c r="H86">
        <v>416.91</v>
      </c>
    </row>
    <row r="87" spans="1:8" x14ac:dyDescent="0.35">
      <c r="A87" t="s">
        <v>9</v>
      </c>
      <c r="B87" t="s">
        <v>108</v>
      </c>
      <c r="C87" t="s">
        <v>11</v>
      </c>
      <c r="D87" t="s">
        <v>106</v>
      </c>
      <c r="E87" t="s">
        <v>13</v>
      </c>
      <c r="F87">
        <v>352.01</v>
      </c>
      <c r="G87">
        <v>52.8</v>
      </c>
      <c r="H87">
        <v>404.81</v>
      </c>
    </row>
    <row r="88" spans="1:8" x14ac:dyDescent="0.35">
      <c r="A88" t="s">
        <v>9</v>
      </c>
      <c r="B88" t="s">
        <v>109</v>
      </c>
      <c r="C88" t="s">
        <v>11</v>
      </c>
      <c r="D88" t="s">
        <v>106</v>
      </c>
      <c r="E88" t="s">
        <v>13</v>
      </c>
      <c r="F88">
        <v>134.31</v>
      </c>
      <c r="G88">
        <v>18.649999999999999</v>
      </c>
      <c r="H88">
        <v>152.96</v>
      </c>
    </row>
    <row r="89" spans="1:8" x14ac:dyDescent="0.35">
      <c r="A89" t="s">
        <v>9</v>
      </c>
      <c r="B89" t="s">
        <v>110</v>
      </c>
      <c r="C89" t="s">
        <v>11</v>
      </c>
      <c r="D89" t="s">
        <v>106</v>
      </c>
      <c r="E89" t="s">
        <v>13</v>
      </c>
      <c r="F89">
        <v>793.89</v>
      </c>
      <c r="G89">
        <v>99.89</v>
      </c>
      <c r="H89">
        <v>893.78</v>
      </c>
    </row>
    <row r="90" spans="1:8" x14ac:dyDescent="0.35">
      <c r="A90" t="s">
        <v>9</v>
      </c>
      <c r="B90" t="s">
        <v>111</v>
      </c>
      <c r="C90" t="s">
        <v>11</v>
      </c>
      <c r="D90" t="s">
        <v>106</v>
      </c>
      <c r="E90" t="s">
        <v>13</v>
      </c>
      <c r="F90">
        <v>140.83000000000001</v>
      </c>
      <c r="G90">
        <v>21.13</v>
      </c>
      <c r="H90">
        <v>161.96</v>
      </c>
    </row>
    <row r="91" spans="1:8" x14ac:dyDescent="0.35">
      <c r="A91" t="s">
        <v>9</v>
      </c>
      <c r="B91" t="s">
        <v>112</v>
      </c>
      <c r="C91" t="s">
        <v>11</v>
      </c>
      <c r="D91" t="s">
        <v>113</v>
      </c>
      <c r="E91" t="s">
        <v>13</v>
      </c>
      <c r="F91">
        <v>304.75</v>
      </c>
      <c r="G91">
        <v>41.21</v>
      </c>
      <c r="H91">
        <v>345.96</v>
      </c>
    </row>
    <row r="92" spans="1:8" x14ac:dyDescent="0.35">
      <c r="A92" t="s">
        <v>9</v>
      </c>
      <c r="B92" t="s">
        <v>114</v>
      </c>
      <c r="C92" t="s">
        <v>11</v>
      </c>
      <c r="D92" t="s">
        <v>113</v>
      </c>
      <c r="E92" t="s">
        <v>13</v>
      </c>
      <c r="F92">
        <v>1726.64</v>
      </c>
      <c r="G92">
        <v>208.91</v>
      </c>
      <c r="H92">
        <v>1935.55</v>
      </c>
    </row>
    <row r="93" spans="1:8" x14ac:dyDescent="0.35">
      <c r="A93" t="s">
        <v>9</v>
      </c>
      <c r="B93" t="s">
        <v>115</v>
      </c>
      <c r="C93" t="s">
        <v>11</v>
      </c>
      <c r="D93" t="s">
        <v>113</v>
      </c>
      <c r="E93" t="s">
        <v>13</v>
      </c>
      <c r="F93">
        <v>283.87</v>
      </c>
      <c r="G93">
        <v>25.04</v>
      </c>
      <c r="H93">
        <v>308.91000000000003</v>
      </c>
    </row>
    <row r="94" spans="1:8" x14ac:dyDescent="0.35">
      <c r="A94" t="s">
        <v>9</v>
      </c>
      <c r="B94" t="s">
        <v>116</v>
      </c>
      <c r="C94" t="s">
        <v>11</v>
      </c>
      <c r="D94" t="s">
        <v>113</v>
      </c>
      <c r="E94" t="s">
        <v>13</v>
      </c>
      <c r="F94">
        <v>301.58999999999997</v>
      </c>
      <c r="G94">
        <v>35.340000000000003</v>
      </c>
      <c r="H94">
        <v>336.93</v>
      </c>
    </row>
    <row r="95" spans="1:8" x14ac:dyDescent="0.35">
      <c r="A95" t="s">
        <v>9</v>
      </c>
      <c r="B95" t="s">
        <v>117</v>
      </c>
      <c r="C95" t="s">
        <v>11</v>
      </c>
      <c r="D95" t="s">
        <v>113</v>
      </c>
      <c r="E95" t="s">
        <v>13</v>
      </c>
      <c r="F95">
        <v>252.24</v>
      </c>
      <c r="G95">
        <v>24.04</v>
      </c>
      <c r="H95">
        <v>276.27999999999997</v>
      </c>
    </row>
    <row r="96" spans="1:8" x14ac:dyDescent="0.35">
      <c r="A96" t="s">
        <v>9</v>
      </c>
      <c r="B96" t="s">
        <v>118</v>
      </c>
      <c r="C96" t="s">
        <v>11</v>
      </c>
      <c r="D96" t="s">
        <v>113</v>
      </c>
      <c r="E96" t="s">
        <v>13</v>
      </c>
      <c r="F96">
        <v>132.57</v>
      </c>
      <c r="G96">
        <v>18.39</v>
      </c>
      <c r="H96">
        <v>150.96</v>
      </c>
    </row>
    <row r="97" spans="1:8" x14ac:dyDescent="0.35">
      <c r="A97" t="s">
        <v>9</v>
      </c>
      <c r="B97" t="s">
        <v>119</v>
      </c>
      <c r="C97" t="s">
        <v>11</v>
      </c>
      <c r="D97" t="s">
        <v>113</v>
      </c>
      <c r="E97" t="s">
        <v>13</v>
      </c>
      <c r="F97">
        <v>278.02</v>
      </c>
      <c r="G97">
        <v>18.91</v>
      </c>
      <c r="H97">
        <v>296.93</v>
      </c>
    </row>
    <row r="98" spans="1:8" x14ac:dyDescent="0.35">
      <c r="A98" t="s">
        <v>9</v>
      </c>
      <c r="B98" t="s">
        <v>120</v>
      </c>
      <c r="C98" t="s">
        <v>11</v>
      </c>
      <c r="D98" t="s">
        <v>121</v>
      </c>
      <c r="E98" t="s">
        <v>13</v>
      </c>
      <c r="F98">
        <v>482.5</v>
      </c>
      <c r="G98">
        <v>69.38</v>
      </c>
      <c r="H98">
        <v>551.88</v>
      </c>
    </row>
    <row r="99" spans="1:8" x14ac:dyDescent="0.35">
      <c r="A99" t="s">
        <v>9</v>
      </c>
      <c r="B99" t="s">
        <v>122</v>
      </c>
      <c r="C99" t="s">
        <v>11</v>
      </c>
      <c r="D99" t="s">
        <v>121</v>
      </c>
      <c r="E99" t="s">
        <v>13</v>
      </c>
      <c r="F99">
        <v>206.38</v>
      </c>
      <c r="G99">
        <v>4.57</v>
      </c>
      <c r="H99">
        <v>210.95</v>
      </c>
    </row>
    <row r="100" spans="1:8" x14ac:dyDescent="0.35">
      <c r="A100" t="s">
        <v>9</v>
      </c>
      <c r="B100" t="s">
        <v>123</v>
      </c>
      <c r="C100" t="s">
        <v>11</v>
      </c>
      <c r="D100" t="s">
        <v>121</v>
      </c>
      <c r="E100" t="s">
        <v>13</v>
      </c>
      <c r="F100">
        <v>178.23</v>
      </c>
      <c r="G100">
        <v>26.73</v>
      </c>
      <c r="H100">
        <v>204.96</v>
      </c>
    </row>
    <row r="101" spans="1:8" x14ac:dyDescent="0.35">
      <c r="A101" t="s">
        <v>9</v>
      </c>
      <c r="B101" t="s">
        <v>124</v>
      </c>
      <c r="C101" t="s">
        <v>11</v>
      </c>
      <c r="D101" t="s">
        <v>121</v>
      </c>
      <c r="E101" t="s">
        <v>13</v>
      </c>
      <c r="F101">
        <v>248.03</v>
      </c>
      <c r="G101">
        <v>21.91</v>
      </c>
      <c r="H101">
        <v>269.94</v>
      </c>
    </row>
    <row r="102" spans="1:8" x14ac:dyDescent="0.35">
      <c r="A102" t="s">
        <v>9</v>
      </c>
      <c r="B102" t="s">
        <v>125</v>
      </c>
      <c r="C102" t="s">
        <v>11</v>
      </c>
      <c r="D102" t="s">
        <v>121</v>
      </c>
      <c r="E102" t="s">
        <v>13</v>
      </c>
      <c r="F102">
        <v>526.04</v>
      </c>
      <c r="G102">
        <v>75.91</v>
      </c>
      <c r="H102">
        <v>601.95000000000005</v>
      </c>
    </row>
    <row r="103" spans="1:8" x14ac:dyDescent="0.35">
      <c r="A103" t="s">
        <v>9</v>
      </c>
      <c r="B103" t="s">
        <v>126</v>
      </c>
      <c r="C103" t="s">
        <v>11</v>
      </c>
      <c r="D103" t="s">
        <v>121</v>
      </c>
      <c r="E103" t="s">
        <v>13</v>
      </c>
      <c r="F103">
        <v>556.01</v>
      </c>
      <c r="G103">
        <v>77.400000000000006</v>
      </c>
      <c r="H103">
        <v>633.41</v>
      </c>
    </row>
    <row r="104" spans="1:8" x14ac:dyDescent="0.35">
      <c r="A104" t="s">
        <v>9</v>
      </c>
      <c r="B104" t="s">
        <v>127</v>
      </c>
      <c r="C104" t="s">
        <v>11</v>
      </c>
      <c r="D104" t="s">
        <v>121</v>
      </c>
      <c r="E104" t="s">
        <v>13</v>
      </c>
      <c r="F104">
        <v>521.49</v>
      </c>
      <c r="G104">
        <v>51.68</v>
      </c>
      <c r="H104">
        <v>573.16999999999996</v>
      </c>
    </row>
    <row r="105" spans="1:8" x14ac:dyDescent="0.35">
      <c r="A105" t="s">
        <v>9</v>
      </c>
      <c r="B105" t="s">
        <v>128</v>
      </c>
      <c r="C105" t="s">
        <v>11</v>
      </c>
      <c r="D105" t="s">
        <v>121</v>
      </c>
      <c r="E105" t="s">
        <v>13</v>
      </c>
      <c r="F105">
        <v>137.79</v>
      </c>
      <c r="G105">
        <v>19.170000000000002</v>
      </c>
      <c r="H105">
        <v>156.96</v>
      </c>
    </row>
    <row r="106" spans="1:8" x14ac:dyDescent="0.35">
      <c r="A106" t="s">
        <v>9</v>
      </c>
      <c r="B106" t="s">
        <v>129</v>
      </c>
      <c r="C106" t="s">
        <v>11</v>
      </c>
      <c r="D106" t="s">
        <v>130</v>
      </c>
      <c r="E106" t="s">
        <v>13</v>
      </c>
      <c r="F106">
        <v>352.96</v>
      </c>
      <c r="G106">
        <v>52.94</v>
      </c>
      <c r="H106">
        <v>405.9</v>
      </c>
    </row>
    <row r="107" spans="1:8" x14ac:dyDescent="0.35">
      <c r="A107" t="s">
        <v>9</v>
      </c>
      <c r="B107" t="s">
        <v>131</v>
      </c>
      <c r="C107" t="s">
        <v>11</v>
      </c>
      <c r="D107" t="s">
        <v>130</v>
      </c>
      <c r="E107" t="s">
        <v>13</v>
      </c>
      <c r="F107">
        <v>124.34</v>
      </c>
      <c r="G107">
        <v>18.649999999999999</v>
      </c>
      <c r="H107">
        <v>142.99</v>
      </c>
    </row>
    <row r="108" spans="1:8" x14ac:dyDescent="0.35">
      <c r="A108" t="s">
        <v>9</v>
      </c>
      <c r="B108" t="s">
        <v>132</v>
      </c>
      <c r="C108" t="s">
        <v>11</v>
      </c>
      <c r="D108" t="s">
        <v>130</v>
      </c>
      <c r="E108" t="s">
        <v>13</v>
      </c>
      <c r="F108">
        <v>328.72</v>
      </c>
      <c r="G108">
        <v>35.21</v>
      </c>
      <c r="H108">
        <v>363.93</v>
      </c>
    </row>
    <row r="109" spans="1:8" x14ac:dyDescent="0.35">
      <c r="A109" t="s">
        <v>9</v>
      </c>
      <c r="B109" t="s">
        <v>133</v>
      </c>
      <c r="C109" t="s">
        <v>11</v>
      </c>
      <c r="D109" t="s">
        <v>130</v>
      </c>
      <c r="E109" t="s">
        <v>13</v>
      </c>
      <c r="F109">
        <v>492.97</v>
      </c>
      <c r="G109">
        <v>69.44</v>
      </c>
      <c r="H109">
        <v>562.41</v>
      </c>
    </row>
    <row r="110" spans="1:8" x14ac:dyDescent="0.35">
      <c r="A110" t="s">
        <v>9</v>
      </c>
      <c r="B110" t="s">
        <v>134</v>
      </c>
      <c r="C110" t="s">
        <v>11</v>
      </c>
      <c r="D110" t="s">
        <v>130</v>
      </c>
      <c r="E110" t="s">
        <v>13</v>
      </c>
      <c r="F110">
        <v>174.57</v>
      </c>
      <c r="G110">
        <v>12.39</v>
      </c>
      <c r="H110">
        <v>186.96</v>
      </c>
    </row>
    <row r="111" spans="1:8" x14ac:dyDescent="0.35">
      <c r="A111" t="s">
        <v>9</v>
      </c>
      <c r="B111" t="s">
        <v>135</v>
      </c>
      <c r="C111" t="s">
        <v>11</v>
      </c>
      <c r="D111" t="s">
        <v>136</v>
      </c>
      <c r="E111" t="s">
        <v>13</v>
      </c>
      <c r="F111">
        <v>295.12</v>
      </c>
      <c r="G111">
        <v>39.770000000000003</v>
      </c>
      <c r="H111">
        <v>334.89</v>
      </c>
    </row>
    <row r="112" spans="1:8" x14ac:dyDescent="0.35">
      <c r="A112" t="s">
        <v>9</v>
      </c>
      <c r="B112" t="s">
        <v>137</v>
      </c>
      <c r="C112" t="s">
        <v>11</v>
      </c>
      <c r="D112" t="s">
        <v>136</v>
      </c>
      <c r="E112" t="s">
        <v>13</v>
      </c>
      <c r="F112">
        <v>533.39</v>
      </c>
      <c r="G112">
        <v>60.51</v>
      </c>
      <c r="H112">
        <v>593.9</v>
      </c>
    </row>
    <row r="113" spans="1:8" x14ac:dyDescent="0.35">
      <c r="A113" t="s">
        <v>9</v>
      </c>
      <c r="B113" t="s">
        <v>138</v>
      </c>
      <c r="C113" t="s">
        <v>11</v>
      </c>
      <c r="D113" t="s">
        <v>136</v>
      </c>
      <c r="E113" t="s">
        <v>13</v>
      </c>
      <c r="F113">
        <v>361.71</v>
      </c>
      <c r="G113">
        <v>49.76</v>
      </c>
      <c r="H113">
        <v>411.47</v>
      </c>
    </row>
    <row r="114" spans="1:8" x14ac:dyDescent="0.35">
      <c r="A114" t="s">
        <v>9</v>
      </c>
      <c r="B114" t="s">
        <v>139</v>
      </c>
      <c r="C114" t="s">
        <v>11</v>
      </c>
      <c r="D114" t="s">
        <v>136</v>
      </c>
      <c r="E114" t="s">
        <v>13</v>
      </c>
      <c r="F114">
        <v>543.91999999999996</v>
      </c>
      <c r="G114">
        <v>52.95</v>
      </c>
      <c r="H114">
        <v>596.87</v>
      </c>
    </row>
    <row r="115" spans="1:8" x14ac:dyDescent="0.35">
      <c r="A115" t="s">
        <v>9</v>
      </c>
      <c r="B115" t="s">
        <v>140</v>
      </c>
      <c r="C115" t="s">
        <v>11</v>
      </c>
      <c r="D115" t="s">
        <v>136</v>
      </c>
      <c r="E115" t="s">
        <v>13</v>
      </c>
      <c r="F115">
        <v>217.72</v>
      </c>
      <c r="G115">
        <v>29.21</v>
      </c>
      <c r="H115">
        <v>246.93</v>
      </c>
    </row>
    <row r="116" spans="1:8" x14ac:dyDescent="0.35">
      <c r="A116" t="s">
        <v>9</v>
      </c>
      <c r="B116" t="s">
        <v>141</v>
      </c>
      <c r="C116" t="s">
        <v>11</v>
      </c>
      <c r="D116" t="s">
        <v>136</v>
      </c>
      <c r="E116" t="s">
        <v>13</v>
      </c>
      <c r="F116">
        <v>552.04999999999995</v>
      </c>
      <c r="G116">
        <v>70.81</v>
      </c>
      <c r="H116">
        <v>622.86</v>
      </c>
    </row>
    <row r="117" spans="1:8" x14ac:dyDescent="0.35">
      <c r="A117" t="s">
        <v>9</v>
      </c>
      <c r="B117" t="s">
        <v>142</v>
      </c>
      <c r="C117" t="s">
        <v>11</v>
      </c>
      <c r="D117" t="s">
        <v>136</v>
      </c>
      <c r="E117" t="s">
        <v>13</v>
      </c>
      <c r="F117">
        <v>466.69</v>
      </c>
      <c r="G117">
        <v>55.22</v>
      </c>
      <c r="H117">
        <v>521.91</v>
      </c>
    </row>
    <row r="118" spans="1:8" x14ac:dyDescent="0.35">
      <c r="A118" t="s">
        <v>9</v>
      </c>
      <c r="B118" t="s">
        <v>143</v>
      </c>
      <c r="C118" t="s">
        <v>11</v>
      </c>
      <c r="D118" t="s">
        <v>144</v>
      </c>
      <c r="E118" t="s">
        <v>13</v>
      </c>
      <c r="F118">
        <v>239.1</v>
      </c>
      <c r="G118">
        <v>32.869999999999997</v>
      </c>
      <c r="H118">
        <v>271.97000000000003</v>
      </c>
    </row>
    <row r="119" spans="1:8" x14ac:dyDescent="0.35">
      <c r="A119" t="s">
        <v>9</v>
      </c>
      <c r="B119" t="s">
        <v>145</v>
      </c>
      <c r="C119" t="s">
        <v>11</v>
      </c>
      <c r="D119" t="s">
        <v>144</v>
      </c>
      <c r="E119" t="s">
        <v>13</v>
      </c>
      <c r="F119">
        <v>117.35</v>
      </c>
      <c r="G119">
        <v>17.600000000000001</v>
      </c>
      <c r="H119">
        <v>134.94999999999999</v>
      </c>
    </row>
    <row r="120" spans="1:8" x14ac:dyDescent="0.35">
      <c r="A120" t="s">
        <v>9</v>
      </c>
      <c r="B120" t="s">
        <v>146</v>
      </c>
      <c r="C120" t="s">
        <v>11</v>
      </c>
      <c r="D120" t="s">
        <v>144</v>
      </c>
      <c r="E120" t="s">
        <v>13</v>
      </c>
      <c r="F120">
        <v>193.84</v>
      </c>
      <c r="G120">
        <v>29.08</v>
      </c>
      <c r="H120">
        <v>222.92</v>
      </c>
    </row>
    <row r="121" spans="1:8" x14ac:dyDescent="0.35">
      <c r="A121" t="s">
        <v>9</v>
      </c>
      <c r="B121" t="s">
        <v>147</v>
      </c>
      <c r="C121" t="s">
        <v>11</v>
      </c>
      <c r="D121" t="s">
        <v>144</v>
      </c>
      <c r="E121" t="s">
        <v>13</v>
      </c>
      <c r="F121">
        <v>222.59</v>
      </c>
      <c r="G121">
        <v>30.39</v>
      </c>
      <c r="H121">
        <v>252.98</v>
      </c>
    </row>
    <row r="122" spans="1:8" x14ac:dyDescent="0.35">
      <c r="A122" t="s">
        <v>9</v>
      </c>
      <c r="B122" t="s">
        <v>148</v>
      </c>
      <c r="C122" t="s">
        <v>11</v>
      </c>
      <c r="D122" t="s">
        <v>144</v>
      </c>
      <c r="E122" t="s">
        <v>13</v>
      </c>
      <c r="F122">
        <v>948.36</v>
      </c>
      <c r="G122">
        <v>118.26</v>
      </c>
      <c r="H122">
        <v>1066.6199999999999</v>
      </c>
    </row>
    <row r="123" spans="1:8" x14ac:dyDescent="0.35">
      <c r="A123" t="s">
        <v>9</v>
      </c>
      <c r="B123" t="s">
        <v>149</v>
      </c>
      <c r="C123" t="s">
        <v>11</v>
      </c>
      <c r="D123" t="s">
        <v>144</v>
      </c>
      <c r="E123" t="s">
        <v>13</v>
      </c>
      <c r="F123">
        <v>159.1</v>
      </c>
      <c r="G123">
        <v>23.87</v>
      </c>
      <c r="H123">
        <v>182.97</v>
      </c>
    </row>
    <row r="124" spans="1:8" x14ac:dyDescent="0.35">
      <c r="A124" t="s">
        <v>9</v>
      </c>
      <c r="B124" t="s">
        <v>150</v>
      </c>
      <c r="C124" t="s">
        <v>11</v>
      </c>
      <c r="D124" t="s">
        <v>144</v>
      </c>
      <c r="E124" t="s">
        <v>13</v>
      </c>
      <c r="F124">
        <v>173.56</v>
      </c>
      <c r="G124">
        <v>18.39</v>
      </c>
      <c r="H124">
        <v>191.95</v>
      </c>
    </row>
    <row r="125" spans="1:8" x14ac:dyDescent="0.35">
      <c r="A125" t="s">
        <v>9</v>
      </c>
      <c r="B125" t="s">
        <v>151</v>
      </c>
      <c r="C125" t="s">
        <v>11</v>
      </c>
      <c r="D125" t="s">
        <v>152</v>
      </c>
      <c r="E125" t="s">
        <v>13</v>
      </c>
      <c r="F125">
        <v>406.5</v>
      </c>
      <c r="G125">
        <v>47.48</v>
      </c>
      <c r="H125">
        <v>453.98</v>
      </c>
    </row>
    <row r="126" spans="1:8" x14ac:dyDescent="0.35">
      <c r="A126" t="s">
        <v>9</v>
      </c>
      <c r="B126" t="s">
        <v>153</v>
      </c>
      <c r="C126" t="s">
        <v>11</v>
      </c>
      <c r="D126" t="s">
        <v>152</v>
      </c>
      <c r="E126" t="s">
        <v>13</v>
      </c>
      <c r="F126">
        <v>219.53</v>
      </c>
      <c r="G126">
        <v>31.43</v>
      </c>
      <c r="H126">
        <v>250.96</v>
      </c>
    </row>
    <row r="127" spans="1:8" x14ac:dyDescent="0.35">
      <c r="A127" t="s">
        <v>9</v>
      </c>
      <c r="B127" t="s">
        <v>154</v>
      </c>
      <c r="C127" t="s">
        <v>11</v>
      </c>
      <c r="D127" t="s">
        <v>152</v>
      </c>
      <c r="E127" t="s">
        <v>13</v>
      </c>
      <c r="F127">
        <v>138.22</v>
      </c>
      <c r="G127">
        <v>20.73</v>
      </c>
      <c r="H127">
        <v>158.94999999999999</v>
      </c>
    </row>
    <row r="128" spans="1:8" x14ac:dyDescent="0.35">
      <c r="A128" t="s">
        <v>9</v>
      </c>
      <c r="B128" t="s">
        <v>155</v>
      </c>
      <c r="C128" t="s">
        <v>11</v>
      </c>
      <c r="D128" t="s">
        <v>152</v>
      </c>
      <c r="E128" t="s">
        <v>13</v>
      </c>
      <c r="F128">
        <v>149.97</v>
      </c>
      <c r="G128">
        <v>20.99</v>
      </c>
      <c r="H128">
        <v>170.96</v>
      </c>
    </row>
    <row r="129" spans="1:8" x14ac:dyDescent="0.35">
      <c r="A129" t="s">
        <v>9</v>
      </c>
      <c r="B129" t="s">
        <v>156</v>
      </c>
      <c r="C129" t="s">
        <v>11</v>
      </c>
      <c r="D129" t="s">
        <v>152</v>
      </c>
      <c r="E129" t="s">
        <v>13</v>
      </c>
      <c r="F129">
        <v>212.13</v>
      </c>
      <c r="G129">
        <v>30.32</v>
      </c>
      <c r="H129">
        <v>242.45</v>
      </c>
    </row>
    <row r="130" spans="1:8" x14ac:dyDescent="0.35">
      <c r="A130" t="s">
        <v>9</v>
      </c>
      <c r="B130" t="s">
        <v>157</v>
      </c>
      <c r="C130" t="s">
        <v>11</v>
      </c>
      <c r="D130" t="s">
        <v>152</v>
      </c>
      <c r="E130" t="s">
        <v>13</v>
      </c>
      <c r="F130">
        <v>388.48</v>
      </c>
      <c r="G130">
        <v>47.33</v>
      </c>
      <c r="H130">
        <v>435.81</v>
      </c>
    </row>
    <row r="131" spans="1:8" x14ac:dyDescent="0.35">
      <c r="A131" t="s">
        <v>9</v>
      </c>
      <c r="B131" t="s">
        <v>158</v>
      </c>
      <c r="C131" t="s">
        <v>11</v>
      </c>
      <c r="D131" t="s">
        <v>152</v>
      </c>
      <c r="E131" t="s">
        <v>13</v>
      </c>
      <c r="F131">
        <v>605.77</v>
      </c>
      <c r="G131">
        <v>64.09</v>
      </c>
      <c r="H131">
        <v>669.86</v>
      </c>
    </row>
    <row r="132" spans="1:8" x14ac:dyDescent="0.35">
      <c r="A132" t="s">
        <v>9</v>
      </c>
      <c r="B132" t="s">
        <v>159</v>
      </c>
      <c r="C132" t="s">
        <v>11</v>
      </c>
      <c r="D132" t="s">
        <v>152</v>
      </c>
      <c r="E132" t="s">
        <v>13</v>
      </c>
      <c r="F132">
        <v>578.41999999999996</v>
      </c>
      <c r="G132">
        <v>47.47</v>
      </c>
      <c r="H132">
        <v>625.89</v>
      </c>
    </row>
    <row r="133" spans="1:8" x14ac:dyDescent="0.35">
      <c r="A133" t="s">
        <v>9</v>
      </c>
      <c r="B133" t="s">
        <v>160</v>
      </c>
      <c r="C133" t="s">
        <v>11</v>
      </c>
      <c r="D133" t="s">
        <v>152</v>
      </c>
      <c r="E133" t="s">
        <v>13</v>
      </c>
      <c r="F133">
        <v>200.59</v>
      </c>
      <c r="G133">
        <v>13.14</v>
      </c>
      <c r="H133">
        <v>213.73</v>
      </c>
    </row>
    <row r="134" spans="1:8" x14ac:dyDescent="0.35">
      <c r="A134" t="s">
        <v>9</v>
      </c>
      <c r="B134" t="s">
        <v>161</v>
      </c>
      <c r="C134" t="s">
        <v>11</v>
      </c>
      <c r="D134" t="s">
        <v>152</v>
      </c>
      <c r="E134" t="s">
        <v>13</v>
      </c>
      <c r="F134">
        <v>359.22</v>
      </c>
      <c r="G134">
        <v>44.14</v>
      </c>
      <c r="H134">
        <v>403.36</v>
      </c>
    </row>
    <row r="135" spans="1:8" x14ac:dyDescent="0.35">
      <c r="A135" t="s">
        <v>9</v>
      </c>
      <c r="B135" t="s">
        <v>162</v>
      </c>
      <c r="C135" t="s">
        <v>11</v>
      </c>
      <c r="D135" t="s">
        <v>152</v>
      </c>
      <c r="E135" t="s">
        <v>13</v>
      </c>
      <c r="F135">
        <v>201.66</v>
      </c>
      <c r="G135">
        <v>28.3</v>
      </c>
      <c r="H135">
        <v>229.96</v>
      </c>
    </row>
    <row r="136" spans="1:8" x14ac:dyDescent="0.35">
      <c r="A136" t="s">
        <v>9</v>
      </c>
      <c r="B136" t="s">
        <v>163</v>
      </c>
      <c r="C136" t="s">
        <v>11</v>
      </c>
      <c r="D136" t="s">
        <v>152</v>
      </c>
      <c r="E136" t="s">
        <v>13</v>
      </c>
      <c r="F136">
        <v>273.02</v>
      </c>
      <c r="G136">
        <v>35.86</v>
      </c>
      <c r="H136">
        <v>308.88</v>
      </c>
    </row>
    <row r="137" spans="1:8" x14ac:dyDescent="0.35">
      <c r="A137" t="s">
        <v>9</v>
      </c>
      <c r="B137" t="s">
        <v>164</v>
      </c>
      <c r="C137" t="s">
        <v>11</v>
      </c>
      <c r="D137" t="s">
        <v>152</v>
      </c>
      <c r="E137" t="s">
        <v>13</v>
      </c>
      <c r="F137">
        <v>471.84</v>
      </c>
      <c r="G137">
        <v>55.03</v>
      </c>
      <c r="H137">
        <v>526.87</v>
      </c>
    </row>
    <row r="138" spans="1:8" x14ac:dyDescent="0.35">
      <c r="A138" t="s">
        <v>9</v>
      </c>
      <c r="B138" t="s">
        <v>165</v>
      </c>
      <c r="C138" t="s">
        <v>11</v>
      </c>
      <c r="D138" t="s">
        <v>166</v>
      </c>
      <c r="E138" t="s">
        <v>13</v>
      </c>
      <c r="F138">
        <v>198.55</v>
      </c>
      <c r="G138">
        <v>21.38</v>
      </c>
      <c r="H138">
        <v>219.93</v>
      </c>
    </row>
    <row r="139" spans="1:8" x14ac:dyDescent="0.35">
      <c r="A139" t="s">
        <v>9</v>
      </c>
      <c r="B139" t="s">
        <v>167</v>
      </c>
      <c r="C139" t="s">
        <v>11</v>
      </c>
      <c r="D139" t="s">
        <v>166</v>
      </c>
      <c r="E139" t="s">
        <v>13</v>
      </c>
      <c r="F139">
        <v>503.54</v>
      </c>
      <c r="G139">
        <v>44.94</v>
      </c>
      <c r="H139">
        <v>548.48</v>
      </c>
    </row>
    <row r="140" spans="1:8" x14ac:dyDescent="0.35">
      <c r="A140" t="s">
        <v>9</v>
      </c>
      <c r="B140" t="s">
        <v>168</v>
      </c>
      <c r="C140" t="s">
        <v>11</v>
      </c>
      <c r="D140" t="s">
        <v>166</v>
      </c>
      <c r="E140" t="s">
        <v>13</v>
      </c>
      <c r="F140">
        <v>187.6</v>
      </c>
      <c r="G140">
        <v>23.34</v>
      </c>
      <c r="H140">
        <v>210.94</v>
      </c>
    </row>
    <row r="141" spans="1:8" x14ac:dyDescent="0.35">
      <c r="A141" t="s">
        <v>9</v>
      </c>
      <c r="B141" t="s">
        <v>169</v>
      </c>
      <c r="C141" t="s">
        <v>11</v>
      </c>
      <c r="D141" t="s">
        <v>166</v>
      </c>
      <c r="E141" t="s">
        <v>13</v>
      </c>
      <c r="F141">
        <v>357.76</v>
      </c>
      <c r="G141">
        <v>46.16</v>
      </c>
      <c r="H141">
        <v>403.92</v>
      </c>
    </row>
    <row r="142" spans="1:8" x14ac:dyDescent="0.35">
      <c r="A142" t="s">
        <v>9</v>
      </c>
      <c r="B142" t="s">
        <v>170</v>
      </c>
      <c r="C142" t="s">
        <v>11</v>
      </c>
      <c r="D142" t="s">
        <v>166</v>
      </c>
      <c r="E142" t="s">
        <v>13</v>
      </c>
      <c r="F142">
        <v>115.57</v>
      </c>
      <c r="G142">
        <v>14.34</v>
      </c>
      <c r="H142">
        <v>129.91</v>
      </c>
    </row>
    <row r="143" spans="1:8" x14ac:dyDescent="0.35">
      <c r="A143" t="s">
        <v>9</v>
      </c>
      <c r="B143" t="s">
        <v>171</v>
      </c>
      <c r="C143" t="s">
        <v>11</v>
      </c>
      <c r="D143" t="s">
        <v>166</v>
      </c>
      <c r="E143" t="s">
        <v>13</v>
      </c>
      <c r="F143">
        <v>402.56</v>
      </c>
      <c r="G143">
        <v>30.39</v>
      </c>
      <c r="H143">
        <v>432.95</v>
      </c>
    </row>
    <row r="144" spans="1:8" x14ac:dyDescent="0.35">
      <c r="A144" t="s">
        <v>9</v>
      </c>
      <c r="B144" t="s">
        <v>172</v>
      </c>
      <c r="C144" t="s">
        <v>11</v>
      </c>
      <c r="D144" t="s">
        <v>166</v>
      </c>
      <c r="E144" t="s">
        <v>13</v>
      </c>
      <c r="F144">
        <v>332.76</v>
      </c>
      <c r="G144">
        <v>43.16</v>
      </c>
      <c r="H144">
        <v>375.92</v>
      </c>
    </row>
    <row r="145" spans="1:8" x14ac:dyDescent="0.35">
      <c r="A145" t="s">
        <v>9</v>
      </c>
      <c r="B145" t="s">
        <v>173</v>
      </c>
      <c r="C145" t="s">
        <v>11</v>
      </c>
      <c r="D145" t="s">
        <v>174</v>
      </c>
      <c r="E145" t="s">
        <v>13</v>
      </c>
      <c r="F145">
        <v>176.46</v>
      </c>
      <c r="G145">
        <v>26.47</v>
      </c>
      <c r="H145">
        <v>202.93</v>
      </c>
    </row>
    <row r="146" spans="1:8" x14ac:dyDescent="0.35">
      <c r="A146" t="s">
        <v>9</v>
      </c>
      <c r="B146" t="s">
        <v>175</v>
      </c>
      <c r="C146" t="s">
        <v>11</v>
      </c>
      <c r="D146" t="s">
        <v>174</v>
      </c>
      <c r="E146" t="s">
        <v>13</v>
      </c>
      <c r="F146">
        <v>314.06</v>
      </c>
      <c r="G146">
        <v>41.86</v>
      </c>
      <c r="H146">
        <v>355.92</v>
      </c>
    </row>
    <row r="147" spans="1:8" x14ac:dyDescent="0.35">
      <c r="A147" t="s">
        <v>9</v>
      </c>
      <c r="B147" t="s">
        <v>176</v>
      </c>
      <c r="C147" t="s">
        <v>11</v>
      </c>
      <c r="D147" t="s">
        <v>174</v>
      </c>
      <c r="E147" t="s">
        <v>13</v>
      </c>
      <c r="F147">
        <v>329.43</v>
      </c>
      <c r="G147">
        <v>45.52</v>
      </c>
      <c r="H147">
        <v>374.95</v>
      </c>
    </row>
    <row r="148" spans="1:8" x14ac:dyDescent="0.35">
      <c r="A148" t="s">
        <v>9</v>
      </c>
      <c r="B148" t="s">
        <v>177</v>
      </c>
      <c r="C148" t="s">
        <v>11</v>
      </c>
      <c r="D148" t="s">
        <v>174</v>
      </c>
      <c r="E148" t="s">
        <v>13</v>
      </c>
      <c r="F148">
        <v>146.77000000000001</v>
      </c>
      <c r="G148">
        <v>14.67</v>
      </c>
      <c r="H148">
        <v>161.44</v>
      </c>
    </row>
    <row r="149" spans="1:8" x14ac:dyDescent="0.35">
      <c r="A149" t="s">
        <v>9</v>
      </c>
      <c r="B149" t="s">
        <v>178</v>
      </c>
      <c r="C149" t="s">
        <v>11</v>
      </c>
      <c r="D149" t="s">
        <v>174</v>
      </c>
      <c r="E149" t="s">
        <v>13</v>
      </c>
      <c r="F149">
        <v>720.9</v>
      </c>
      <c r="G149">
        <v>45.91</v>
      </c>
      <c r="H149">
        <v>766.81</v>
      </c>
    </row>
    <row r="150" spans="1:8" x14ac:dyDescent="0.35">
      <c r="A150" t="s">
        <v>9</v>
      </c>
      <c r="B150" t="s">
        <v>179</v>
      </c>
      <c r="C150" t="s">
        <v>11</v>
      </c>
      <c r="D150" t="s">
        <v>174</v>
      </c>
      <c r="E150" t="s">
        <v>13</v>
      </c>
      <c r="F150">
        <v>221.79</v>
      </c>
      <c r="G150">
        <v>19.170000000000002</v>
      </c>
      <c r="H150">
        <v>240.96</v>
      </c>
    </row>
    <row r="151" spans="1:8" x14ac:dyDescent="0.35">
      <c r="A151" t="s">
        <v>9</v>
      </c>
      <c r="B151" t="s">
        <v>180</v>
      </c>
      <c r="C151" t="s">
        <v>11</v>
      </c>
      <c r="D151" t="s">
        <v>174</v>
      </c>
      <c r="E151" t="s">
        <v>13</v>
      </c>
      <c r="F151">
        <v>1879.11</v>
      </c>
      <c r="G151">
        <v>167.44</v>
      </c>
      <c r="H151">
        <v>2046.55</v>
      </c>
    </row>
    <row r="152" spans="1:8" x14ac:dyDescent="0.35">
      <c r="A152" t="s">
        <v>9</v>
      </c>
      <c r="B152" t="s">
        <v>181</v>
      </c>
      <c r="C152" t="s">
        <v>11</v>
      </c>
      <c r="D152" t="s">
        <v>174</v>
      </c>
      <c r="E152" t="s">
        <v>13</v>
      </c>
      <c r="F152">
        <v>134.74</v>
      </c>
      <c r="G152">
        <v>20.21</v>
      </c>
      <c r="H152">
        <v>154.94999999999999</v>
      </c>
    </row>
    <row r="153" spans="1:8" x14ac:dyDescent="0.35">
      <c r="A153" t="s">
        <v>9</v>
      </c>
      <c r="B153" t="s">
        <v>182</v>
      </c>
      <c r="C153" t="s">
        <v>11</v>
      </c>
      <c r="D153" t="s">
        <v>174</v>
      </c>
      <c r="E153" t="s">
        <v>13</v>
      </c>
      <c r="F153">
        <v>409.05</v>
      </c>
      <c r="G153">
        <v>59.86</v>
      </c>
      <c r="H153">
        <v>468.91</v>
      </c>
    </row>
    <row r="154" spans="1:8" x14ac:dyDescent="0.35">
      <c r="A154" t="s">
        <v>9</v>
      </c>
      <c r="B154" t="s">
        <v>183</v>
      </c>
      <c r="C154" t="s">
        <v>11</v>
      </c>
      <c r="D154" t="s">
        <v>184</v>
      </c>
      <c r="E154" t="s">
        <v>13</v>
      </c>
      <c r="F154">
        <v>442.23</v>
      </c>
      <c r="G154">
        <v>59.14</v>
      </c>
      <c r="H154">
        <v>501.37</v>
      </c>
    </row>
    <row r="155" spans="1:8" x14ac:dyDescent="0.35">
      <c r="A155" t="s">
        <v>9</v>
      </c>
      <c r="B155" t="s">
        <v>185</v>
      </c>
      <c r="C155" t="s">
        <v>11</v>
      </c>
      <c r="D155" t="s">
        <v>184</v>
      </c>
      <c r="E155" t="s">
        <v>13</v>
      </c>
      <c r="F155">
        <v>219.49</v>
      </c>
      <c r="G155">
        <v>28.43</v>
      </c>
      <c r="H155">
        <v>247.92</v>
      </c>
    </row>
    <row r="156" spans="1:8" x14ac:dyDescent="0.35">
      <c r="A156" t="s">
        <v>9</v>
      </c>
      <c r="B156" t="s">
        <v>186</v>
      </c>
      <c r="C156" t="s">
        <v>11</v>
      </c>
      <c r="D156" t="s">
        <v>184</v>
      </c>
      <c r="E156" t="s">
        <v>13</v>
      </c>
      <c r="F156">
        <v>154.32</v>
      </c>
      <c r="G156">
        <v>21.65</v>
      </c>
      <c r="H156">
        <v>175.97</v>
      </c>
    </row>
    <row r="157" spans="1:8" x14ac:dyDescent="0.35">
      <c r="A157" t="s">
        <v>9</v>
      </c>
      <c r="B157" t="s">
        <v>187</v>
      </c>
      <c r="C157" t="s">
        <v>11</v>
      </c>
      <c r="D157" t="s">
        <v>188</v>
      </c>
      <c r="E157" t="s">
        <v>13</v>
      </c>
      <c r="F157">
        <v>450.97</v>
      </c>
      <c r="G157">
        <v>48.3</v>
      </c>
      <c r="H157">
        <v>499.27</v>
      </c>
    </row>
    <row r="158" spans="1:8" x14ac:dyDescent="0.35">
      <c r="A158" t="s">
        <v>9</v>
      </c>
      <c r="B158" t="s">
        <v>189</v>
      </c>
      <c r="C158" t="s">
        <v>11</v>
      </c>
      <c r="D158" t="s">
        <v>188</v>
      </c>
      <c r="E158" t="s">
        <v>13</v>
      </c>
      <c r="F158">
        <v>154.33000000000001</v>
      </c>
      <c r="G158">
        <v>21.65</v>
      </c>
      <c r="H158">
        <v>175.98</v>
      </c>
    </row>
    <row r="159" spans="1:8" x14ac:dyDescent="0.35">
      <c r="A159" t="s">
        <v>9</v>
      </c>
      <c r="B159" t="s">
        <v>190</v>
      </c>
      <c r="C159" t="s">
        <v>11</v>
      </c>
      <c r="D159" t="s">
        <v>188</v>
      </c>
      <c r="E159" t="s">
        <v>13</v>
      </c>
      <c r="F159">
        <v>306.64999999999998</v>
      </c>
      <c r="G159">
        <v>31.75</v>
      </c>
      <c r="H159">
        <v>338.4</v>
      </c>
    </row>
    <row r="160" spans="1:8" x14ac:dyDescent="0.35">
      <c r="A160" t="s">
        <v>9</v>
      </c>
      <c r="B160" t="s">
        <v>191</v>
      </c>
      <c r="C160" t="s">
        <v>11</v>
      </c>
      <c r="D160" t="s">
        <v>188</v>
      </c>
      <c r="E160" t="s">
        <v>13</v>
      </c>
      <c r="F160">
        <v>204.75</v>
      </c>
      <c r="G160">
        <v>17.21</v>
      </c>
      <c r="H160">
        <v>221.96</v>
      </c>
    </row>
    <row r="161" spans="1:8" x14ac:dyDescent="0.35">
      <c r="A161" t="s">
        <v>9</v>
      </c>
      <c r="B161" t="s">
        <v>192</v>
      </c>
      <c r="C161" t="s">
        <v>11</v>
      </c>
      <c r="D161" t="s">
        <v>188</v>
      </c>
      <c r="E161" t="s">
        <v>13</v>
      </c>
      <c r="F161">
        <v>173.37</v>
      </c>
      <c r="G161">
        <v>4.57</v>
      </c>
      <c r="H161">
        <v>177.94</v>
      </c>
    </row>
    <row r="162" spans="1:8" x14ac:dyDescent="0.35">
      <c r="A162" t="s">
        <v>9</v>
      </c>
      <c r="B162" t="s">
        <v>193</v>
      </c>
      <c r="C162" t="s">
        <v>11</v>
      </c>
      <c r="D162" t="s">
        <v>188</v>
      </c>
      <c r="E162" t="s">
        <v>13</v>
      </c>
      <c r="F162">
        <v>350.3</v>
      </c>
      <c r="G162">
        <v>48.05</v>
      </c>
      <c r="H162">
        <v>398.35</v>
      </c>
    </row>
    <row r="163" spans="1:8" x14ac:dyDescent="0.35">
      <c r="A163" t="s">
        <v>9</v>
      </c>
      <c r="B163" t="s">
        <v>194</v>
      </c>
      <c r="C163" t="s">
        <v>11</v>
      </c>
      <c r="D163" t="s">
        <v>195</v>
      </c>
      <c r="E163" t="s">
        <v>13</v>
      </c>
      <c r="F163">
        <v>241.66</v>
      </c>
      <c r="G163">
        <v>22.3</v>
      </c>
      <c r="H163">
        <v>263.95999999999998</v>
      </c>
    </row>
    <row r="164" spans="1:8" x14ac:dyDescent="0.35">
      <c r="A164" t="s">
        <v>9</v>
      </c>
      <c r="B164" t="s">
        <v>196</v>
      </c>
      <c r="C164" t="s">
        <v>11</v>
      </c>
      <c r="D164" t="s">
        <v>195</v>
      </c>
      <c r="E164" t="s">
        <v>13</v>
      </c>
      <c r="F164">
        <v>584.66999999999996</v>
      </c>
      <c r="G164">
        <v>77.2</v>
      </c>
      <c r="H164">
        <v>661.87</v>
      </c>
    </row>
    <row r="165" spans="1:8" x14ac:dyDescent="0.35">
      <c r="A165" t="s">
        <v>9</v>
      </c>
      <c r="B165" t="s">
        <v>197</v>
      </c>
      <c r="C165" t="s">
        <v>11</v>
      </c>
      <c r="D165" t="s">
        <v>195</v>
      </c>
      <c r="E165" t="s">
        <v>13</v>
      </c>
      <c r="F165">
        <v>974.86</v>
      </c>
      <c r="G165">
        <v>117.14</v>
      </c>
      <c r="H165">
        <v>1092</v>
      </c>
    </row>
    <row r="166" spans="1:8" x14ac:dyDescent="0.35">
      <c r="A166" t="s">
        <v>9</v>
      </c>
      <c r="B166" t="s">
        <v>198</v>
      </c>
      <c r="C166" t="s">
        <v>11</v>
      </c>
      <c r="D166" t="s">
        <v>195</v>
      </c>
      <c r="E166" t="s">
        <v>13</v>
      </c>
      <c r="F166">
        <v>220.41</v>
      </c>
      <c r="G166">
        <v>4.57</v>
      </c>
      <c r="H166">
        <v>224.98</v>
      </c>
    </row>
    <row r="167" spans="1:8" x14ac:dyDescent="0.35">
      <c r="A167" t="s">
        <v>9</v>
      </c>
      <c r="B167" t="s">
        <v>199</v>
      </c>
      <c r="C167" t="s">
        <v>11</v>
      </c>
      <c r="D167" t="s">
        <v>195</v>
      </c>
      <c r="E167" t="s">
        <v>13</v>
      </c>
      <c r="F167">
        <v>260.85000000000002</v>
      </c>
      <c r="G167">
        <v>39.130000000000003</v>
      </c>
      <c r="H167">
        <v>299.98</v>
      </c>
    </row>
    <row r="168" spans="1:8" x14ac:dyDescent="0.35">
      <c r="A168" t="s">
        <v>9</v>
      </c>
      <c r="B168" t="s">
        <v>200</v>
      </c>
      <c r="C168" t="s">
        <v>11</v>
      </c>
      <c r="D168" t="s">
        <v>195</v>
      </c>
      <c r="E168" t="s">
        <v>13</v>
      </c>
      <c r="F168">
        <v>120.83</v>
      </c>
      <c r="G168">
        <v>18.13</v>
      </c>
      <c r="H168">
        <v>138.96</v>
      </c>
    </row>
    <row r="169" spans="1:8" x14ac:dyDescent="0.35">
      <c r="A169" t="s">
        <v>9</v>
      </c>
      <c r="B169" t="s">
        <v>201</v>
      </c>
      <c r="C169" t="s">
        <v>11</v>
      </c>
      <c r="D169" t="s">
        <v>195</v>
      </c>
      <c r="E169" t="s">
        <v>13</v>
      </c>
      <c r="F169">
        <v>172.11</v>
      </c>
      <c r="G169">
        <v>25.82</v>
      </c>
      <c r="H169">
        <v>197.93</v>
      </c>
    </row>
    <row r="170" spans="1:8" x14ac:dyDescent="0.35">
      <c r="A170" t="s">
        <v>9</v>
      </c>
      <c r="B170" t="s">
        <v>202</v>
      </c>
      <c r="C170" t="s">
        <v>11</v>
      </c>
      <c r="D170" t="s">
        <v>195</v>
      </c>
      <c r="E170" t="s">
        <v>13</v>
      </c>
      <c r="F170">
        <v>175.46</v>
      </c>
      <c r="G170">
        <v>14.47</v>
      </c>
      <c r="H170">
        <v>189.93</v>
      </c>
    </row>
    <row r="171" spans="1:8" x14ac:dyDescent="0.35">
      <c r="A171" t="s">
        <v>9</v>
      </c>
      <c r="B171" t="s">
        <v>203</v>
      </c>
      <c r="C171" t="s">
        <v>11</v>
      </c>
      <c r="D171" t="s">
        <v>195</v>
      </c>
      <c r="E171" t="s">
        <v>13</v>
      </c>
      <c r="F171">
        <v>216.5</v>
      </c>
      <c r="G171">
        <v>23.48</v>
      </c>
      <c r="H171">
        <v>239.98</v>
      </c>
    </row>
    <row r="172" spans="1:8" x14ac:dyDescent="0.35">
      <c r="A172" t="s">
        <v>9</v>
      </c>
      <c r="B172" t="s">
        <v>204</v>
      </c>
      <c r="C172" t="s">
        <v>11</v>
      </c>
      <c r="D172" t="s">
        <v>195</v>
      </c>
      <c r="E172" t="s">
        <v>13</v>
      </c>
      <c r="F172">
        <v>330.79</v>
      </c>
      <c r="G172">
        <v>48.12</v>
      </c>
      <c r="H172">
        <v>378.91</v>
      </c>
    </row>
    <row r="173" spans="1:8" x14ac:dyDescent="0.35">
      <c r="A173" t="s">
        <v>9</v>
      </c>
      <c r="B173" t="s">
        <v>205</v>
      </c>
      <c r="C173" t="s">
        <v>11</v>
      </c>
      <c r="D173" t="s">
        <v>206</v>
      </c>
      <c r="E173" t="s">
        <v>13</v>
      </c>
      <c r="F173">
        <v>363.86</v>
      </c>
      <c r="G173">
        <v>53.08</v>
      </c>
      <c r="H173">
        <v>416.94</v>
      </c>
    </row>
    <row r="174" spans="1:8" x14ac:dyDescent="0.35">
      <c r="A174" t="s">
        <v>9</v>
      </c>
      <c r="B174" t="s">
        <v>207</v>
      </c>
      <c r="C174" t="s">
        <v>11</v>
      </c>
      <c r="D174" t="s">
        <v>206</v>
      </c>
      <c r="E174" t="s">
        <v>13</v>
      </c>
      <c r="F174">
        <v>286.27999999999997</v>
      </c>
      <c r="G174">
        <v>36.64</v>
      </c>
      <c r="H174">
        <v>322.92</v>
      </c>
    </row>
    <row r="175" spans="1:8" x14ac:dyDescent="0.35">
      <c r="A175" t="s">
        <v>9</v>
      </c>
      <c r="B175" t="s">
        <v>208</v>
      </c>
      <c r="C175" t="s">
        <v>11</v>
      </c>
      <c r="D175" t="s">
        <v>206</v>
      </c>
      <c r="E175" t="s">
        <v>13</v>
      </c>
      <c r="F175">
        <v>201.29</v>
      </c>
      <c r="G175">
        <v>28.69</v>
      </c>
      <c r="H175">
        <v>229.98</v>
      </c>
    </row>
    <row r="176" spans="1:8" x14ac:dyDescent="0.35">
      <c r="A176" t="s">
        <v>9</v>
      </c>
      <c r="B176" t="s">
        <v>209</v>
      </c>
      <c r="C176" t="s">
        <v>11</v>
      </c>
      <c r="D176" t="s">
        <v>206</v>
      </c>
      <c r="E176" t="s">
        <v>13</v>
      </c>
      <c r="F176">
        <v>993.77</v>
      </c>
      <c r="G176">
        <v>134.97</v>
      </c>
      <c r="H176">
        <v>1128.74</v>
      </c>
    </row>
    <row r="177" spans="1:8" x14ac:dyDescent="0.35">
      <c r="A177" t="s">
        <v>9</v>
      </c>
      <c r="B177" t="s">
        <v>210</v>
      </c>
      <c r="C177" t="s">
        <v>11</v>
      </c>
      <c r="D177" t="s">
        <v>206</v>
      </c>
      <c r="E177" t="s">
        <v>13</v>
      </c>
      <c r="F177">
        <v>308.64999999999998</v>
      </c>
      <c r="G177">
        <v>46.3</v>
      </c>
      <c r="H177">
        <v>354.95</v>
      </c>
    </row>
    <row r="178" spans="1:8" x14ac:dyDescent="0.35">
      <c r="A178" t="s">
        <v>9</v>
      </c>
      <c r="B178" t="s">
        <v>211</v>
      </c>
      <c r="C178" t="s">
        <v>11</v>
      </c>
      <c r="D178" t="s">
        <v>212</v>
      </c>
      <c r="E178" t="s">
        <v>13</v>
      </c>
      <c r="F178">
        <v>1228.79</v>
      </c>
      <c r="G178">
        <v>155.97</v>
      </c>
      <c r="H178">
        <v>1384.76</v>
      </c>
    </row>
    <row r="179" spans="1:8" x14ac:dyDescent="0.35">
      <c r="A179" t="s">
        <v>9</v>
      </c>
      <c r="B179" t="s">
        <v>213</v>
      </c>
      <c r="C179" t="s">
        <v>11</v>
      </c>
      <c r="D179" t="s">
        <v>212</v>
      </c>
      <c r="E179" t="s">
        <v>13</v>
      </c>
      <c r="F179">
        <v>600.53</v>
      </c>
      <c r="G179">
        <v>62.34</v>
      </c>
      <c r="H179">
        <v>662.87</v>
      </c>
    </row>
    <row r="180" spans="1:8" x14ac:dyDescent="0.35">
      <c r="A180" t="s">
        <v>9</v>
      </c>
      <c r="B180" t="s">
        <v>214</v>
      </c>
      <c r="C180" t="s">
        <v>11</v>
      </c>
      <c r="D180" t="s">
        <v>212</v>
      </c>
      <c r="E180" t="s">
        <v>13</v>
      </c>
      <c r="F180">
        <v>222.3</v>
      </c>
      <c r="G180">
        <v>23.6</v>
      </c>
      <c r="H180">
        <v>245.9</v>
      </c>
    </row>
    <row r="181" spans="1:8" x14ac:dyDescent="0.35">
      <c r="A181" t="s">
        <v>9</v>
      </c>
      <c r="B181" t="s">
        <v>215</v>
      </c>
      <c r="C181" t="s">
        <v>11</v>
      </c>
      <c r="D181" t="s">
        <v>212</v>
      </c>
      <c r="E181" t="s">
        <v>13</v>
      </c>
      <c r="F181">
        <v>159.12</v>
      </c>
      <c r="G181">
        <v>23.87</v>
      </c>
      <c r="H181">
        <v>182.99</v>
      </c>
    </row>
    <row r="182" spans="1:8" x14ac:dyDescent="0.35">
      <c r="A182" t="s">
        <v>9</v>
      </c>
      <c r="B182" t="s">
        <v>216</v>
      </c>
      <c r="C182" t="s">
        <v>11</v>
      </c>
      <c r="D182" t="s">
        <v>212</v>
      </c>
      <c r="E182" t="s">
        <v>13</v>
      </c>
      <c r="F182">
        <v>403.91</v>
      </c>
      <c r="G182">
        <v>18</v>
      </c>
      <c r="H182">
        <v>421.91</v>
      </c>
    </row>
    <row r="183" spans="1:8" x14ac:dyDescent="0.35">
      <c r="A183" t="s">
        <v>9</v>
      </c>
      <c r="B183" t="s">
        <v>217</v>
      </c>
      <c r="C183" t="s">
        <v>11</v>
      </c>
      <c r="D183" t="s">
        <v>212</v>
      </c>
      <c r="E183" t="s">
        <v>13</v>
      </c>
      <c r="F183">
        <v>241.87</v>
      </c>
      <c r="G183">
        <v>26.08</v>
      </c>
      <c r="H183">
        <v>267.95</v>
      </c>
    </row>
    <row r="184" spans="1:8" x14ac:dyDescent="0.35">
      <c r="A184" t="s">
        <v>9</v>
      </c>
      <c r="B184" t="s">
        <v>218</v>
      </c>
      <c r="C184" t="s">
        <v>11</v>
      </c>
      <c r="D184" t="s">
        <v>212</v>
      </c>
      <c r="E184" t="s">
        <v>13</v>
      </c>
      <c r="F184">
        <v>408.8</v>
      </c>
      <c r="G184">
        <v>51.12</v>
      </c>
      <c r="H184">
        <v>459.92</v>
      </c>
    </row>
    <row r="185" spans="1:8" x14ac:dyDescent="0.35">
      <c r="A185" t="s">
        <v>9</v>
      </c>
      <c r="B185" t="s">
        <v>219</v>
      </c>
      <c r="C185" t="s">
        <v>11</v>
      </c>
      <c r="D185" t="s">
        <v>212</v>
      </c>
      <c r="E185" t="s">
        <v>13</v>
      </c>
      <c r="F185">
        <v>400.58</v>
      </c>
      <c r="G185">
        <v>49.29</v>
      </c>
      <c r="H185">
        <v>449.87</v>
      </c>
    </row>
    <row r="186" spans="1:8" x14ac:dyDescent="0.35">
      <c r="A186" t="s">
        <v>9</v>
      </c>
      <c r="B186" t="s">
        <v>220</v>
      </c>
      <c r="C186" t="s">
        <v>11</v>
      </c>
      <c r="D186" t="s">
        <v>212</v>
      </c>
      <c r="E186" t="s">
        <v>13</v>
      </c>
      <c r="F186">
        <v>429.69</v>
      </c>
      <c r="G186">
        <v>47.21</v>
      </c>
      <c r="H186">
        <v>476.9</v>
      </c>
    </row>
    <row r="187" spans="1:8" x14ac:dyDescent="0.35">
      <c r="A187" t="s">
        <v>9</v>
      </c>
      <c r="B187" t="s">
        <v>221</v>
      </c>
      <c r="C187" t="s">
        <v>11</v>
      </c>
      <c r="D187" t="s">
        <v>212</v>
      </c>
      <c r="E187" t="s">
        <v>13</v>
      </c>
      <c r="F187">
        <v>146.07</v>
      </c>
      <c r="G187">
        <v>18.91</v>
      </c>
      <c r="H187">
        <v>164.98</v>
      </c>
    </row>
    <row r="188" spans="1:8" x14ac:dyDescent="0.35">
      <c r="A188" t="s">
        <v>9</v>
      </c>
      <c r="B188" t="s">
        <v>222</v>
      </c>
      <c r="C188" t="s">
        <v>11</v>
      </c>
      <c r="D188" t="s">
        <v>212</v>
      </c>
      <c r="E188" t="s">
        <v>13</v>
      </c>
      <c r="F188">
        <v>560.28</v>
      </c>
      <c r="G188">
        <v>78.19</v>
      </c>
      <c r="H188">
        <v>638.47</v>
      </c>
    </row>
    <row r="189" spans="1:8" x14ac:dyDescent="0.35">
      <c r="A189" t="s">
        <v>9</v>
      </c>
      <c r="B189" t="s">
        <v>223</v>
      </c>
      <c r="C189" t="s">
        <v>11</v>
      </c>
      <c r="D189" t="s">
        <v>224</v>
      </c>
      <c r="E189" t="s">
        <v>13</v>
      </c>
      <c r="F189">
        <v>256.86</v>
      </c>
      <c r="G189">
        <v>37.03</v>
      </c>
      <c r="H189">
        <v>293.89</v>
      </c>
    </row>
    <row r="190" spans="1:8" x14ac:dyDescent="0.35">
      <c r="A190" t="s">
        <v>9</v>
      </c>
      <c r="B190" t="s">
        <v>225</v>
      </c>
      <c r="C190" t="s">
        <v>11</v>
      </c>
      <c r="D190" t="s">
        <v>224</v>
      </c>
      <c r="E190" t="s">
        <v>13</v>
      </c>
      <c r="F190">
        <v>723.09</v>
      </c>
      <c r="G190">
        <v>88.97</v>
      </c>
      <c r="H190">
        <v>812.06</v>
      </c>
    </row>
    <row r="191" spans="1:8" x14ac:dyDescent="0.35">
      <c r="A191" t="s">
        <v>9</v>
      </c>
      <c r="B191" t="s">
        <v>226</v>
      </c>
      <c r="C191" t="s">
        <v>11</v>
      </c>
      <c r="D191" t="s">
        <v>224</v>
      </c>
      <c r="E191" t="s">
        <v>13</v>
      </c>
      <c r="F191">
        <v>862.4</v>
      </c>
      <c r="G191">
        <v>98.92</v>
      </c>
      <c r="H191">
        <v>961.32</v>
      </c>
    </row>
    <row r="192" spans="1:8" x14ac:dyDescent="0.35">
      <c r="A192" t="s">
        <v>9</v>
      </c>
      <c r="B192" t="s">
        <v>227</v>
      </c>
      <c r="C192" t="s">
        <v>11</v>
      </c>
      <c r="D192" t="s">
        <v>224</v>
      </c>
      <c r="E192" t="s">
        <v>13</v>
      </c>
      <c r="F192">
        <v>274.73</v>
      </c>
      <c r="G192">
        <v>29.21</v>
      </c>
      <c r="H192">
        <v>303.94</v>
      </c>
    </row>
    <row r="193" spans="1:8" x14ac:dyDescent="0.35">
      <c r="A193" t="s">
        <v>9</v>
      </c>
      <c r="B193" t="s">
        <v>228</v>
      </c>
      <c r="C193" t="s">
        <v>11</v>
      </c>
      <c r="D193" t="s">
        <v>224</v>
      </c>
      <c r="E193" t="s">
        <v>13</v>
      </c>
      <c r="F193">
        <v>362.74</v>
      </c>
      <c r="G193">
        <v>31.17</v>
      </c>
      <c r="H193">
        <v>393.91</v>
      </c>
    </row>
    <row r="194" spans="1:8" x14ac:dyDescent="0.35">
      <c r="A194" t="s">
        <v>9</v>
      </c>
      <c r="B194" t="s">
        <v>229</v>
      </c>
      <c r="C194" t="s">
        <v>11</v>
      </c>
      <c r="D194" t="s">
        <v>224</v>
      </c>
      <c r="E194" t="s">
        <v>13</v>
      </c>
      <c r="F194">
        <v>327.12</v>
      </c>
      <c r="G194">
        <v>43.82</v>
      </c>
      <c r="H194">
        <v>370.94</v>
      </c>
    </row>
    <row r="195" spans="1:8" x14ac:dyDescent="0.35">
      <c r="A195" t="s">
        <v>9</v>
      </c>
      <c r="B195" t="s">
        <v>230</v>
      </c>
      <c r="C195" t="s">
        <v>11</v>
      </c>
      <c r="D195" t="s">
        <v>224</v>
      </c>
      <c r="E195" t="s">
        <v>13</v>
      </c>
      <c r="F195">
        <v>146.06</v>
      </c>
      <c r="G195">
        <v>21.91</v>
      </c>
      <c r="H195">
        <v>167.97</v>
      </c>
    </row>
    <row r="196" spans="1:8" x14ac:dyDescent="0.35">
      <c r="A196" t="s">
        <v>9</v>
      </c>
      <c r="B196" t="s">
        <v>231</v>
      </c>
      <c r="C196" t="s">
        <v>11</v>
      </c>
      <c r="D196" t="s">
        <v>224</v>
      </c>
      <c r="E196" t="s">
        <v>13</v>
      </c>
      <c r="F196">
        <v>209.7</v>
      </c>
      <c r="G196">
        <v>29.95</v>
      </c>
      <c r="H196">
        <v>239.65</v>
      </c>
    </row>
    <row r="197" spans="1:8" x14ac:dyDescent="0.35">
      <c r="A197" t="s">
        <v>9</v>
      </c>
      <c r="B197" t="s">
        <v>232</v>
      </c>
      <c r="C197" t="s">
        <v>11</v>
      </c>
      <c r="D197" t="s">
        <v>224</v>
      </c>
      <c r="E197" t="s">
        <v>13</v>
      </c>
      <c r="F197">
        <v>526.42999999999995</v>
      </c>
      <c r="G197">
        <v>77.47</v>
      </c>
      <c r="H197">
        <v>603.9</v>
      </c>
    </row>
    <row r="198" spans="1:8" x14ac:dyDescent="0.35">
      <c r="A198" t="s">
        <v>9</v>
      </c>
      <c r="B198" t="s">
        <v>233</v>
      </c>
      <c r="C198" t="s">
        <v>11</v>
      </c>
      <c r="D198" t="s">
        <v>234</v>
      </c>
      <c r="E198" t="s">
        <v>13</v>
      </c>
      <c r="F198">
        <v>218.63</v>
      </c>
      <c r="G198">
        <v>28.3</v>
      </c>
      <c r="H198">
        <v>246.93</v>
      </c>
    </row>
    <row r="199" spans="1:8" x14ac:dyDescent="0.35">
      <c r="A199" t="s">
        <v>9</v>
      </c>
      <c r="B199" t="s">
        <v>235</v>
      </c>
      <c r="C199" t="s">
        <v>11</v>
      </c>
      <c r="D199" t="s">
        <v>234</v>
      </c>
      <c r="E199" t="s">
        <v>13</v>
      </c>
      <c r="F199">
        <v>328.29</v>
      </c>
      <c r="G199">
        <v>38.15</v>
      </c>
      <c r="H199">
        <v>366.44</v>
      </c>
    </row>
    <row r="200" spans="1:8" x14ac:dyDescent="0.35">
      <c r="A200" t="s">
        <v>9</v>
      </c>
      <c r="B200" t="s">
        <v>236</v>
      </c>
      <c r="C200" t="s">
        <v>11</v>
      </c>
      <c r="D200" t="s">
        <v>234</v>
      </c>
      <c r="E200" t="s">
        <v>13</v>
      </c>
      <c r="F200">
        <v>932.43</v>
      </c>
      <c r="G200">
        <v>138.37</v>
      </c>
      <c r="H200">
        <v>1070.8</v>
      </c>
    </row>
    <row r="201" spans="1:8" x14ac:dyDescent="0.35">
      <c r="A201" t="s">
        <v>9</v>
      </c>
      <c r="B201" t="s">
        <v>237</v>
      </c>
      <c r="C201" t="s">
        <v>11</v>
      </c>
      <c r="D201" t="s">
        <v>234</v>
      </c>
      <c r="E201" t="s">
        <v>13</v>
      </c>
      <c r="F201">
        <v>469.49</v>
      </c>
      <c r="G201">
        <v>46.43</v>
      </c>
      <c r="H201">
        <v>515.91999999999996</v>
      </c>
    </row>
    <row r="202" spans="1:8" x14ac:dyDescent="0.35">
      <c r="A202" t="s">
        <v>9</v>
      </c>
      <c r="B202" t="s">
        <v>238</v>
      </c>
      <c r="C202" t="s">
        <v>11</v>
      </c>
      <c r="D202" t="s">
        <v>239</v>
      </c>
      <c r="E202" t="s">
        <v>13</v>
      </c>
      <c r="F202">
        <v>176.04</v>
      </c>
      <c r="G202">
        <v>24.91</v>
      </c>
      <c r="H202">
        <v>200.95</v>
      </c>
    </row>
    <row r="203" spans="1:8" x14ac:dyDescent="0.35">
      <c r="A203" t="s">
        <v>9</v>
      </c>
      <c r="B203" t="s">
        <v>240</v>
      </c>
      <c r="C203" t="s">
        <v>11</v>
      </c>
      <c r="D203" t="s">
        <v>239</v>
      </c>
      <c r="E203" t="s">
        <v>13</v>
      </c>
      <c r="F203">
        <v>272.56</v>
      </c>
      <c r="G203">
        <v>18.39</v>
      </c>
      <c r="H203">
        <v>290.95</v>
      </c>
    </row>
    <row r="204" spans="1:8" x14ac:dyDescent="0.35">
      <c r="A204" t="s">
        <v>9</v>
      </c>
      <c r="B204" t="s">
        <v>241</v>
      </c>
      <c r="C204" t="s">
        <v>11</v>
      </c>
      <c r="D204" t="s">
        <v>239</v>
      </c>
      <c r="E204" t="s">
        <v>13</v>
      </c>
      <c r="F204">
        <v>111.29</v>
      </c>
      <c r="G204">
        <v>13.69</v>
      </c>
      <c r="H204">
        <v>124.98</v>
      </c>
    </row>
    <row r="205" spans="1:8" x14ac:dyDescent="0.35">
      <c r="A205" t="s">
        <v>9</v>
      </c>
      <c r="B205" t="s">
        <v>242</v>
      </c>
      <c r="C205" t="s">
        <v>11</v>
      </c>
      <c r="D205" t="s">
        <v>239</v>
      </c>
      <c r="E205" t="s">
        <v>13</v>
      </c>
      <c r="F205">
        <v>169.35</v>
      </c>
      <c r="G205">
        <v>11.61</v>
      </c>
      <c r="H205">
        <v>180.96</v>
      </c>
    </row>
    <row r="206" spans="1:8" x14ac:dyDescent="0.35">
      <c r="A206" t="s">
        <v>9</v>
      </c>
      <c r="B206" t="s">
        <v>243</v>
      </c>
      <c r="C206" t="s">
        <v>11</v>
      </c>
      <c r="D206" t="s">
        <v>239</v>
      </c>
      <c r="E206" t="s">
        <v>13</v>
      </c>
      <c r="F206">
        <v>183.24</v>
      </c>
      <c r="G206">
        <v>27.49</v>
      </c>
      <c r="H206">
        <v>210.73</v>
      </c>
    </row>
    <row r="207" spans="1:8" x14ac:dyDescent="0.35">
      <c r="A207" t="s">
        <v>9</v>
      </c>
      <c r="B207" t="s">
        <v>244</v>
      </c>
      <c r="C207" t="s">
        <v>11</v>
      </c>
      <c r="D207" t="s">
        <v>239</v>
      </c>
      <c r="E207" t="s">
        <v>13</v>
      </c>
      <c r="F207">
        <v>109.98</v>
      </c>
      <c r="G207">
        <v>15</v>
      </c>
      <c r="H207">
        <v>124.98</v>
      </c>
    </row>
    <row r="208" spans="1:8" x14ac:dyDescent="0.35">
      <c r="A208" t="s">
        <v>9</v>
      </c>
      <c r="B208" t="s">
        <v>245</v>
      </c>
      <c r="C208" t="s">
        <v>11</v>
      </c>
      <c r="D208" t="s">
        <v>239</v>
      </c>
      <c r="E208" t="s">
        <v>13</v>
      </c>
      <c r="F208">
        <v>941.52</v>
      </c>
      <c r="G208">
        <v>135.22999999999999</v>
      </c>
      <c r="H208">
        <v>1076.75</v>
      </c>
    </row>
    <row r="209" spans="1:8" x14ac:dyDescent="0.35">
      <c r="A209" t="s">
        <v>9</v>
      </c>
      <c r="B209" t="s">
        <v>246</v>
      </c>
      <c r="C209" t="s">
        <v>11</v>
      </c>
      <c r="D209" t="s">
        <v>239</v>
      </c>
      <c r="E209" t="s">
        <v>13</v>
      </c>
      <c r="F209">
        <v>220.81</v>
      </c>
      <c r="G209">
        <v>21.12</v>
      </c>
      <c r="H209">
        <v>241.93</v>
      </c>
    </row>
    <row r="210" spans="1:8" x14ac:dyDescent="0.35">
      <c r="A210" t="s">
        <v>9</v>
      </c>
      <c r="B210" t="s">
        <v>247</v>
      </c>
      <c r="C210" t="s">
        <v>11</v>
      </c>
      <c r="D210" t="s">
        <v>239</v>
      </c>
      <c r="E210" t="s">
        <v>13</v>
      </c>
      <c r="F210">
        <v>268.24</v>
      </c>
      <c r="G210">
        <v>28.69</v>
      </c>
      <c r="H210">
        <v>296.93</v>
      </c>
    </row>
    <row r="211" spans="1:8" x14ac:dyDescent="0.35">
      <c r="A211" t="s">
        <v>9</v>
      </c>
      <c r="B211" t="s">
        <v>248</v>
      </c>
      <c r="C211" t="s">
        <v>11</v>
      </c>
      <c r="D211" t="s">
        <v>249</v>
      </c>
      <c r="E211" t="s">
        <v>13</v>
      </c>
      <c r="F211">
        <v>192.13</v>
      </c>
      <c r="G211">
        <v>28.82</v>
      </c>
      <c r="H211">
        <v>220.95</v>
      </c>
    </row>
    <row r="212" spans="1:8" x14ac:dyDescent="0.35">
      <c r="A212" t="s">
        <v>9</v>
      </c>
      <c r="B212" t="s">
        <v>250</v>
      </c>
      <c r="C212" t="s">
        <v>11</v>
      </c>
      <c r="D212" t="s">
        <v>249</v>
      </c>
      <c r="E212" t="s">
        <v>13</v>
      </c>
      <c r="F212">
        <v>302.98</v>
      </c>
      <c r="G212">
        <v>43.95</v>
      </c>
      <c r="H212">
        <v>346.93</v>
      </c>
    </row>
    <row r="213" spans="1:8" x14ac:dyDescent="0.35">
      <c r="A213" t="s">
        <v>9</v>
      </c>
      <c r="B213" t="s">
        <v>251</v>
      </c>
      <c r="C213" t="s">
        <v>11</v>
      </c>
      <c r="D213" t="s">
        <v>249</v>
      </c>
      <c r="E213" t="s">
        <v>13</v>
      </c>
      <c r="F213">
        <v>552.02</v>
      </c>
      <c r="G213">
        <v>71.86</v>
      </c>
      <c r="H213">
        <v>623.88</v>
      </c>
    </row>
    <row r="214" spans="1:8" x14ac:dyDescent="0.35">
      <c r="A214" t="s">
        <v>9</v>
      </c>
      <c r="B214" t="s">
        <v>252</v>
      </c>
      <c r="C214" t="s">
        <v>11</v>
      </c>
      <c r="D214" t="s">
        <v>249</v>
      </c>
      <c r="E214" t="s">
        <v>13</v>
      </c>
      <c r="F214">
        <v>383.42</v>
      </c>
      <c r="G214">
        <v>54.52</v>
      </c>
      <c r="H214">
        <v>437.94</v>
      </c>
    </row>
    <row r="215" spans="1:8" x14ac:dyDescent="0.35">
      <c r="A215" t="s">
        <v>9</v>
      </c>
      <c r="B215" t="s">
        <v>253</v>
      </c>
      <c r="C215" t="s">
        <v>11</v>
      </c>
      <c r="D215" t="s">
        <v>249</v>
      </c>
      <c r="E215" t="s">
        <v>13</v>
      </c>
      <c r="F215">
        <v>515.54</v>
      </c>
      <c r="G215">
        <v>74.33</v>
      </c>
      <c r="H215">
        <v>589.87</v>
      </c>
    </row>
    <row r="216" spans="1:8" x14ac:dyDescent="0.35">
      <c r="A216" t="s">
        <v>9</v>
      </c>
      <c r="B216" t="s">
        <v>254</v>
      </c>
      <c r="C216" t="s">
        <v>11</v>
      </c>
      <c r="D216" t="s">
        <v>249</v>
      </c>
      <c r="E216" t="s">
        <v>13</v>
      </c>
      <c r="F216">
        <v>302.73</v>
      </c>
      <c r="G216">
        <v>42.41</v>
      </c>
      <c r="H216">
        <v>345.14</v>
      </c>
    </row>
    <row r="217" spans="1:8" x14ac:dyDescent="0.35">
      <c r="A217" t="s">
        <v>9</v>
      </c>
      <c r="B217" t="s">
        <v>255</v>
      </c>
      <c r="C217" t="s">
        <v>11</v>
      </c>
      <c r="D217" t="s">
        <v>249</v>
      </c>
      <c r="E217" t="s">
        <v>13</v>
      </c>
      <c r="F217">
        <v>378.03</v>
      </c>
      <c r="G217">
        <v>48.91</v>
      </c>
      <c r="H217">
        <v>426.94</v>
      </c>
    </row>
    <row r="218" spans="1:8" x14ac:dyDescent="0.35">
      <c r="A218" t="s">
        <v>9</v>
      </c>
      <c r="B218" t="s">
        <v>256</v>
      </c>
      <c r="C218" t="s">
        <v>11</v>
      </c>
      <c r="D218" t="s">
        <v>249</v>
      </c>
      <c r="E218" t="s">
        <v>13</v>
      </c>
      <c r="F218">
        <v>532.28</v>
      </c>
      <c r="G218">
        <v>73.09</v>
      </c>
      <c r="H218">
        <v>605.37</v>
      </c>
    </row>
    <row r="219" spans="1:8" x14ac:dyDescent="0.35">
      <c r="A219" t="s">
        <v>9</v>
      </c>
      <c r="B219" t="s">
        <v>257</v>
      </c>
      <c r="C219" t="s">
        <v>11</v>
      </c>
      <c r="D219" t="s">
        <v>249</v>
      </c>
      <c r="E219" t="s">
        <v>13</v>
      </c>
      <c r="F219">
        <v>830.09</v>
      </c>
      <c r="G219">
        <v>120.01</v>
      </c>
      <c r="H219">
        <v>950.1</v>
      </c>
    </row>
    <row r="220" spans="1:8" x14ac:dyDescent="0.35">
      <c r="A220" t="s">
        <v>9</v>
      </c>
      <c r="B220" t="s">
        <v>258</v>
      </c>
      <c r="C220" t="s">
        <v>11</v>
      </c>
      <c r="D220" t="s">
        <v>249</v>
      </c>
      <c r="E220" t="s">
        <v>13</v>
      </c>
      <c r="F220">
        <v>75.209999999999994</v>
      </c>
      <c r="G220">
        <v>9.7799999999999994</v>
      </c>
      <c r="H220">
        <v>84.99</v>
      </c>
    </row>
    <row r="221" spans="1:8" x14ac:dyDescent="0.35">
      <c r="A221" t="s">
        <v>9</v>
      </c>
      <c r="B221" t="s">
        <v>259</v>
      </c>
      <c r="C221" t="s">
        <v>11</v>
      </c>
      <c r="D221" t="s">
        <v>249</v>
      </c>
      <c r="E221" t="s">
        <v>13</v>
      </c>
      <c r="F221">
        <v>410.7</v>
      </c>
      <c r="G221">
        <v>55.16</v>
      </c>
      <c r="H221">
        <v>465.86</v>
      </c>
    </row>
    <row r="222" spans="1:8" x14ac:dyDescent="0.35">
      <c r="A222" t="s">
        <v>9</v>
      </c>
      <c r="B222" t="s">
        <v>260</v>
      </c>
      <c r="C222" t="s">
        <v>11</v>
      </c>
      <c r="D222" t="s">
        <v>249</v>
      </c>
      <c r="E222" t="s">
        <v>13</v>
      </c>
      <c r="F222">
        <v>171.26</v>
      </c>
      <c r="G222">
        <v>25.69</v>
      </c>
      <c r="H222">
        <v>196.95</v>
      </c>
    </row>
    <row r="223" spans="1:8" x14ac:dyDescent="0.35">
      <c r="A223" t="s">
        <v>9</v>
      </c>
      <c r="B223" t="s">
        <v>261</v>
      </c>
      <c r="C223" t="s">
        <v>11</v>
      </c>
      <c r="D223" t="s">
        <v>262</v>
      </c>
      <c r="E223" t="s">
        <v>13</v>
      </c>
      <c r="F223">
        <v>527.54999999999995</v>
      </c>
      <c r="G223">
        <v>24.55</v>
      </c>
      <c r="H223">
        <v>552.1</v>
      </c>
    </row>
    <row r="224" spans="1:8" x14ac:dyDescent="0.35">
      <c r="A224" t="s">
        <v>9</v>
      </c>
      <c r="B224" t="s">
        <v>263</v>
      </c>
      <c r="C224" t="s">
        <v>11</v>
      </c>
      <c r="D224" t="s">
        <v>262</v>
      </c>
      <c r="E224" t="s">
        <v>13</v>
      </c>
      <c r="F224">
        <v>191.14</v>
      </c>
      <c r="G224">
        <v>25.82</v>
      </c>
      <c r="H224">
        <v>216.96</v>
      </c>
    </row>
    <row r="225" spans="1:8" x14ac:dyDescent="0.35">
      <c r="A225" t="s">
        <v>9</v>
      </c>
      <c r="B225" t="s">
        <v>264</v>
      </c>
      <c r="C225" t="s">
        <v>11</v>
      </c>
      <c r="D225" t="s">
        <v>262</v>
      </c>
      <c r="E225" t="s">
        <v>13</v>
      </c>
      <c r="F225">
        <v>421.57</v>
      </c>
      <c r="G225">
        <v>48.38</v>
      </c>
      <c r="H225">
        <v>469.95</v>
      </c>
    </row>
    <row r="226" spans="1:8" x14ac:dyDescent="0.35">
      <c r="A226" t="s">
        <v>9</v>
      </c>
      <c r="B226" t="s">
        <v>265</v>
      </c>
      <c r="C226" t="s">
        <v>11</v>
      </c>
      <c r="D226" t="s">
        <v>266</v>
      </c>
      <c r="E226" t="s">
        <v>13</v>
      </c>
      <c r="F226">
        <v>472.08</v>
      </c>
      <c r="G226">
        <v>64.81</v>
      </c>
      <c r="H226">
        <v>536.89</v>
      </c>
    </row>
    <row r="227" spans="1:8" x14ac:dyDescent="0.35">
      <c r="A227" t="s">
        <v>9</v>
      </c>
      <c r="B227" t="s">
        <v>267</v>
      </c>
      <c r="C227" t="s">
        <v>11</v>
      </c>
      <c r="D227" t="s">
        <v>266</v>
      </c>
      <c r="E227" t="s">
        <v>13</v>
      </c>
      <c r="F227">
        <v>159.97</v>
      </c>
      <c r="G227">
        <v>24</v>
      </c>
      <c r="H227">
        <v>183.97</v>
      </c>
    </row>
    <row r="228" spans="1:8" x14ac:dyDescent="0.35">
      <c r="A228" t="s">
        <v>9</v>
      </c>
      <c r="B228" t="s">
        <v>268</v>
      </c>
      <c r="C228" t="s">
        <v>11</v>
      </c>
      <c r="D228" t="s">
        <v>266</v>
      </c>
      <c r="E228" t="s">
        <v>13</v>
      </c>
      <c r="F228">
        <v>283.85000000000002</v>
      </c>
      <c r="G228">
        <v>17.079999999999998</v>
      </c>
      <c r="H228">
        <v>300.93</v>
      </c>
    </row>
    <row r="229" spans="1:8" x14ac:dyDescent="0.35">
      <c r="A229" t="s">
        <v>9</v>
      </c>
      <c r="B229" t="s">
        <v>269</v>
      </c>
      <c r="C229" t="s">
        <v>11</v>
      </c>
      <c r="D229" t="s">
        <v>266</v>
      </c>
      <c r="E229" t="s">
        <v>13</v>
      </c>
      <c r="F229">
        <v>454.97</v>
      </c>
      <c r="G229">
        <v>46.95</v>
      </c>
      <c r="H229">
        <v>501.92</v>
      </c>
    </row>
    <row r="230" spans="1:8" x14ac:dyDescent="0.35">
      <c r="A230" t="s">
        <v>9</v>
      </c>
      <c r="B230" t="s">
        <v>270</v>
      </c>
      <c r="C230" t="s">
        <v>11</v>
      </c>
      <c r="D230" t="s">
        <v>266</v>
      </c>
      <c r="E230" t="s">
        <v>13</v>
      </c>
      <c r="F230">
        <v>196.93</v>
      </c>
      <c r="G230">
        <v>28.04</v>
      </c>
      <c r="H230">
        <v>224.97</v>
      </c>
    </row>
    <row r="231" spans="1:8" x14ac:dyDescent="0.35">
      <c r="A231" t="s">
        <v>9</v>
      </c>
      <c r="B231" t="s">
        <v>271</v>
      </c>
      <c r="C231" t="s">
        <v>11</v>
      </c>
      <c r="D231" t="s">
        <v>266</v>
      </c>
      <c r="E231" t="s">
        <v>13</v>
      </c>
      <c r="F231">
        <v>172.64</v>
      </c>
      <c r="G231">
        <v>16.3</v>
      </c>
      <c r="H231">
        <v>188.94</v>
      </c>
    </row>
    <row r="232" spans="1:8" x14ac:dyDescent="0.35">
      <c r="A232" t="s">
        <v>9</v>
      </c>
      <c r="B232" t="s">
        <v>272</v>
      </c>
      <c r="C232" t="s">
        <v>11</v>
      </c>
      <c r="D232" t="s">
        <v>266</v>
      </c>
      <c r="E232" t="s">
        <v>13</v>
      </c>
      <c r="F232">
        <v>237.34</v>
      </c>
      <c r="G232">
        <v>35.6</v>
      </c>
      <c r="H232">
        <v>272.94</v>
      </c>
    </row>
    <row r="233" spans="1:8" x14ac:dyDescent="0.35">
      <c r="A233" t="s">
        <v>9</v>
      </c>
      <c r="B233" t="s">
        <v>273</v>
      </c>
      <c r="C233" t="s">
        <v>11</v>
      </c>
      <c r="D233" t="s">
        <v>266</v>
      </c>
      <c r="E233" t="s">
        <v>13</v>
      </c>
      <c r="F233">
        <v>389.47</v>
      </c>
      <c r="G233">
        <v>58.42</v>
      </c>
      <c r="H233">
        <v>447.89</v>
      </c>
    </row>
    <row r="234" spans="1:8" x14ac:dyDescent="0.35">
      <c r="A234" t="s">
        <v>9</v>
      </c>
      <c r="B234" t="s">
        <v>274</v>
      </c>
      <c r="C234" t="s">
        <v>11</v>
      </c>
      <c r="D234" t="s">
        <v>275</v>
      </c>
      <c r="E234" t="s">
        <v>13</v>
      </c>
      <c r="F234">
        <v>1136.1199999999999</v>
      </c>
      <c r="G234">
        <v>150.91999999999999</v>
      </c>
      <c r="H234">
        <v>1287.04</v>
      </c>
    </row>
    <row r="235" spans="1:8" x14ac:dyDescent="0.35">
      <c r="A235" t="s">
        <v>9</v>
      </c>
      <c r="B235" t="s">
        <v>276</v>
      </c>
      <c r="C235" t="s">
        <v>11</v>
      </c>
      <c r="D235" t="s">
        <v>275</v>
      </c>
      <c r="E235" t="s">
        <v>13</v>
      </c>
      <c r="F235">
        <v>209.08</v>
      </c>
      <c r="G235">
        <v>26.86</v>
      </c>
      <c r="H235">
        <v>235.94</v>
      </c>
    </row>
    <row r="236" spans="1:8" x14ac:dyDescent="0.35">
      <c r="A236" t="s">
        <v>9</v>
      </c>
      <c r="B236" t="s">
        <v>277</v>
      </c>
      <c r="C236" t="s">
        <v>11</v>
      </c>
      <c r="D236" t="s">
        <v>275</v>
      </c>
      <c r="E236" t="s">
        <v>13</v>
      </c>
      <c r="F236">
        <v>317.2</v>
      </c>
      <c r="G236">
        <v>32.729999999999997</v>
      </c>
      <c r="H236">
        <v>349.93</v>
      </c>
    </row>
    <row r="237" spans="1:8" x14ac:dyDescent="0.35">
      <c r="A237" t="s">
        <v>9</v>
      </c>
      <c r="B237" t="s">
        <v>278</v>
      </c>
      <c r="C237" t="s">
        <v>11</v>
      </c>
      <c r="D237" t="s">
        <v>275</v>
      </c>
      <c r="E237" t="s">
        <v>13</v>
      </c>
      <c r="F237">
        <v>264.3</v>
      </c>
      <c r="G237">
        <v>39.65</v>
      </c>
      <c r="H237">
        <v>303.95</v>
      </c>
    </row>
    <row r="238" spans="1:8" x14ac:dyDescent="0.35">
      <c r="A238" t="s">
        <v>9</v>
      </c>
      <c r="B238" t="s">
        <v>279</v>
      </c>
      <c r="C238" t="s">
        <v>11</v>
      </c>
      <c r="D238" t="s">
        <v>275</v>
      </c>
      <c r="E238" t="s">
        <v>13</v>
      </c>
      <c r="F238">
        <v>188.51</v>
      </c>
      <c r="G238">
        <v>16.43</v>
      </c>
      <c r="H238">
        <v>204.94</v>
      </c>
    </row>
    <row r="239" spans="1:8" x14ac:dyDescent="0.35">
      <c r="A239" t="s">
        <v>9</v>
      </c>
      <c r="B239" t="s">
        <v>280</v>
      </c>
      <c r="C239" t="s">
        <v>11</v>
      </c>
      <c r="D239" t="s">
        <v>275</v>
      </c>
      <c r="E239" t="s">
        <v>13</v>
      </c>
      <c r="F239">
        <v>189.52</v>
      </c>
      <c r="G239">
        <v>28.43</v>
      </c>
      <c r="H239">
        <v>217.95</v>
      </c>
    </row>
    <row r="240" spans="1:8" x14ac:dyDescent="0.35">
      <c r="A240" t="s">
        <v>9</v>
      </c>
      <c r="B240" t="s">
        <v>281</v>
      </c>
      <c r="C240" t="s">
        <v>11</v>
      </c>
      <c r="D240" t="s">
        <v>275</v>
      </c>
      <c r="E240" t="s">
        <v>13</v>
      </c>
      <c r="F240">
        <v>479.54</v>
      </c>
      <c r="G240">
        <v>59.64</v>
      </c>
      <c r="H240">
        <v>539.17999999999995</v>
      </c>
    </row>
    <row r="241" spans="1:8" x14ac:dyDescent="0.35">
      <c r="A241" t="s">
        <v>9</v>
      </c>
      <c r="B241" t="s">
        <v>282</v>
      </c>
      <c r="C241" t="s">
        <v>11</v>
      </c>
      <c r="D241" t="s">
        <v>275</v>
      </c>
      <c r="E241" t="s">
        <v>13</v>
      </c>
      <c r="F241">
        <v>844.02</v>
      </c>
      <c r="G241">
        <v>114.91</v>
      </c>
      <c r="H241">
        <v>958.93</v>
      </c>
    </row>
    <row r="242" spans="1:8" x14ac:dyDescent="0.35">
      <c r="A242" t="s">
        <v>9</v>
      </c>
      <c r="B242" t="s">
        <v>283</v>
      </c>
      <c r="C242" t="s">
        <v>11</v>
      </c>
      <c r="D242" t="s">
        <v>275</v>
      </c>
      <c r="E242" t="s">
        <v>13</v>
      </c>
      <c r="F242">
        <v>144.77000000000001</v>
      </c>
      <c r="G242">
        <v>20.22</v>
      </c>
      <c r="H242">
        <v>164.99</v>
      </c>
    </row>
    <row r="243" spans="1:8" x14ac:dyDescent="0.35">
      <c r="A243" t="s">
        <v>9</v>
      </c>
      <c r="B243" t="s">
        <v>284</v>
      </c>
      <c r="C243" t="s">
        <v>11</v>
      </c>
      <c r="D243" t="s">
        <v>275</v>
      </c>
      <c r="E243" t="s">
        <v>13</v>
      </c>
      <c r="F243">
        <v>651.41</v>
      </c>
      <c r="G243">
        <v>85.41</v>
      </c>
      <c r="H243">
        <v>736.82</v>
      </c>
    </row>
    <row r="244" spans="1:8" x14ac:dyDescent="0.35">
      <c r="A244" t="s">
        <v>9</v>
      </c>
      <c r="B244" t="s">
        <v>285</v>
      </c>
      <c r="C244" t="s">
        <v>11</v>
      </c>
      <c r="D244" t="s">
        <v>286</v>
      </c>
      <c r="E244" t="s">
        <v>13</v>
      </c>
      <c r="F244">
        <v>162.44</v>
      </c>
      <c r="G244">
        <v>21.52</v>
      </c>
      <c r="H244">
        <v>183.96</v>
      </c>
    </row>
    <row r="245" spans="1:8" x14ac:dyDescent="0.35">
      <c r="A245" t="s">
        <v>9</v>
      </c>
      <c r="B245" t="s">
        <v>287</v>
      </c>
      <c r="C245" t="s">
        <v>11</v>
      </c>
      <c r="D245" t="s">
        <v>286</v>
      </c>
      <c r="E245" t="s">
        <v>13</v>
      </c>
      <c r="F245">
        <v>482.93</v>
      </c>
      <c r="G245">
        <v>70.94</v>
      </c>
      <c r="H245">
        <v>553.87</v>
      </c>
    </row>
    <row r="246" spans="1:8" x14ac:dyDescent="0.35">
      <c r="A246" t="s">
        <v>9</v>
      </c>
      <c r="B246" t="s">
        <v>288</v>
      </c>
      <c r="C246" t="s">
        <v>11</v>
      </c>
      <c r="D246" t="s">
        <v>286</v>
      </c>
      <c r="E246" t="s">
        <v>13</v>
      </c>
      <c r="F246">
        <v>132.13</v>
      </c>
      <c r="G246">
        <v>16.82</v>
      </c>
      <c r="H246">
        <v>148.94999999999999</v>
      </c>
    </row>
    <row r="247" spans="1:8" x14ac:dyDescent="0.35">
      <c r="A247" t="s">
        <v>9</v>
      </c>
      <c r="B247" t="s">
        <v>289</v>
      </c>
      <c r="C247" t="s">
        <v>11</v>
      </c>
      <c r="D247" t="s">
        <v>286</v>
      </c>
      <c r="E247" t="s">
        <v>13</v>
      </c>
      <c r="F247">
        <v>365.72</v>
      </c>
      <c r="G247">
        <v>28.16</v>
      </c>
      <c r="H247">
        <v>393.88</v>
      </c>
    </row>
    <row r="248" spans="1:8" x14ac:dyDescent="0.35">
      <c r="A248" t="s">
        <v>9</v>
      </c>
      <c r="B248" t="s">
        <v>290</v>
      </c>
      <c r="C248" t="s">
        <v>11</v>
      </c>
      <c r="D248" t="s">
        <v>286</v>
      </c>
      <c r="E248" t="s">
        <v>13</v>
      </c>
      <c r="F248">
        <v>526.57000000000005</v>
      </c>
      <c r="G248">
        <v>67.290000000000006</v>
      </c>
      <c r="H248">
        <v>593.86</v>
      </c>
    </row>
    <row r="249" spans="1:8" x14ac:dyDescent="0.35">
      <c r="A249" t="s">
        <v>9</v>
      </c>
      <c r="B249" t="s">
        <v>291</v>
      </c>
      <c r="C249" t="s">
        <v>11</v>
      </c>
      <c r="D249" t="s">
        <v>286</v>
      </c>
      <c r="E249" t="s">
        <v>13</v>
      </c>
      <c r="F249">
        <v>414.88</v>
      </c>
      <c r="G249">
        <v>52.04</v>
      </c>
      <c r="H249">
        <v>466.92</v>
      </c>
    </row>
    <row r="250" spans="1:8" x14ac:dyDescent="0.35">
      <c r="A250" t="s">
        <v>9</v>
      </c>
      <c r="B250" t="s">
        <v>292</v>
      </c>
      <c r="C250" t="s">
        <v>11</v>
      </c>
      <c r="D250" t="s">
        <v>286</v>
      </c>
      <c r="E250" t="s">
        <v>13</v>
      </c>
      <c r="F250">
        <v>53.03</v>
      </c>
      <c r="G250">
        <v>7.96</v>
      </c>
      <c r="H250">
        <v>60.99</v>
      </c>
    </row>
    <row r="251" spans="1:8" x14ac:dyDescent="0.35">
      <c r="A251" t="s">
        <v>9</v>
      </c>
      <c r="B251" t="s">
        <v>293</v>
      </c>
      <c r="C251" t="s">
        <v>11</v>
      </c>
      <c r="D251" t="s">
        <v>294</v>
      </c>
      <c r="E251" t="s">
        <v>13</v>
      </c>
      <c r="F251">
        <v>213.86</v>
      </c>
      <c r="G251">
        <v>29.08</v>
      </c>
      <c r="H251">
        <v>242.94</v>
      </c>
    </row>
    <row r="252" spans="1:8" x14ac:dyDescent="0.35">
      <c r="A252" t="s">
        <v>9</v>
      </c>
      <c r="B252" t="s">
        <v>295</v>
      </c>
      <c r="C252" t="s">
        <v>11</v>
      </c>
      <c r="D252" t="s">
        <v>294</v>
      </c>
      <c r="E252" t="s">
        <v>13</v>
      </c>
      <c r="F252">
        <v>300.38</v>
      </c>
      <c r="G252">
        <v>16.559999999999999</v>
      </c>
      <c r="H252">
        <v>316.94</v>
      </c>
    </row>
    <row r="253" spans="1:8" x14ac:dyDescent="0.35">
      <c r="A253" t="s">
        <v>9</v>
      </c>
      <c r="B253" t="s">
        <v>296</v>
      </c>
      <c r="C253" t="s">
        <v>11</v>
      </c>
      <c r="D253" t="s">
        <v>294</v>
      </c>
      <c r="E253" t="s">
        <v>13</v>
      </c>
      <c r="F253">
        <v>417.66</v>
      </c>
      <c r="G253">
        <v>57.25</v>
      </c>
      <c r="H253">
        <v>474.91</v>
      </c>
    </row>
    <row r="254" spans="1:8" x14ac:dyDescent="0.35">
      <c r="A254" t="s">
        <v>9</v>
      </c>
      <c r="B254" t="s">
        <v>297</v>
      </c>
      <c r="C254" t="s">
        <v>11</v>
      </c>
      <c r="D254" t="s">
        <v>294</v>
      </c>
      <c r="E254" t="s">
        <v>13</v>
      </c>
      <c r="F254">
        <v>137.36000000000001</v>
      </c>
      <c r="G254">
        <v>16.11</v>
      </c>
      <c r="H254">
        <v>153.47</v>
      </c>
    </row>
    <row r="255" spans="1:8" x14ac:dyDescent="0.35">
      <c r="A255" t="s">
        <v>9</v>
      </c>
      <c r="B255" t="s">
        <v>298</v>
      </c>
      <c r="C255" t="s">
        <v>11</v>
      </c>
      <c r="D255" t="s">
        <v>294</v>
      </c>
      <c r="E255" t="s">
        <v>13</v>
      </c>
      <c r="F255">
        <v>363.12</v>
      </c>
      <c r="G255">
        <v>37.82</v>
      </c>
      <c r="H255">
        <v>400.94</v>
      </c>
    </row>
    <row r="256" spans="1:8" x14ac:dyDescent="0.35">
      <c r="A256" t="s">
        <v>9</v>
      </c>
      <c r="B256" t="s">
        <v>299</v>
      </c>
      <c r="C256" t="s">
        <v>11</v>
      </c>
      <c r="D256" t="s">
        <v>294</v>
      </c>
      <c r="E256" t="s">
        <v>13</v>
      </c>
      <c r="F256">
        <v>246.46</v>
      </c>
      <c r="G256">
        <v>19.43</v>
      </c>
      <c r="H256">
        <v>265.89</v>
      </c>
    </row>
    <row r="257" spans="1:8" x14ac:dyDescent="0.35">
      <c r="A257" t="s">
        <v>9</v>
      </c>
      <c r="B257" t="s">
        <v>300</v>
      </c>
      <c r="C257" t="s">
        <v>11</v>
      </c>
      <c r="D257" t="s">
        <v>294</v>
      </c>
      <c r="E257" t="s">
        <v>13</v>
      </c>
      <c r="F257">
        <v>128.09</v>
      </c>
      <c r="G257">
        <v>14.86</v>
      </c>
      <c r="H257">
        <v>142.94999999999999</v>
      </c>
    </row>
    <row r="258" spans="1:8" x14ac:dyDescent="0.35">
      <c r="A258" t="s">
        <v>9</v>
      </c>
      <c r="B258" t="s">
        <v>301</v>
      </c>
      <c r="C258" t="s">
        <v>11</v>
      </c>
      <c r="D258" t="s">
        <v>294</v>
      </c>
      <c r="E258" t="s">
        <v>13</v>
      </c>
      <c r="F258">
        <v>404.36</v>
      </c>
      <c r="G258">
        <v>48.21</v>
      </c>
      <c r="H258">
        <v>452.57</v>
      </c>
    </row>
    <row r="259" spans="1:8" x14ac:dyDescent="0.35">
      <c r="A259" t="s">
        <v>9</v>
      </c>
      <c r="B259" t="s">
        <v>302</v>
      </c>
      <c r="C259" t="s">
        <v>11</v>
      </c>
      <c r="D259" t="s">
        <v>294</v>
      </c>
      <c r="E259" t="s">
        <v>13</v>
      </c>
      <c r="F259">
        <v>580.70000000000005</v>
      </c>
      <c r="G259">
        <v>85.6</v>
      </c>
      <c r="H259">
        <v>666.3</v>
      </c>
    </row>
    <row r="260" spans="1:8" x14ac:dyDescent="0.35">
      <c r="A260" t="s">
        <v>9</v>
      </c>
      <c r="B260" t="s">
        <v>303</v>
      </c>
      <c r="C260" t="s">
        <v>11</v>
      </c>
      <c r="D260" t="s">
        <v>294</v>
      </c>
      <c r="E260" t="s">
        <v>13</v>
      </c>
      <c r="F260">
        <v>126.07</v>
      </c>
      <c r="G260">
        <v>18.91</v>
      </c>
      <c r="H260">
        <v>144.97999999999999</v>
      </c>
    </row>
    <row r="261" spans="1:8" x14ac:dyDescent="0.35">
      <c r="A261" t="s">
        <v>9</v>
      </c>
      <c r="B261" t="s">
        <v>304</v>
      </c>
      <c r="C261" t="s">
        <v>11</v>
      </c>
      <c r="D261" t="s">
        <v>294</v>
      </c>
      <c r="E261" t="s">
        <v>13</v>
      </c>
      <c r="F261">
        <v>85.21</v>
      </c>
      <c r="G261">
        <v>12.78</v>
      </c>
      <c r="H261">
        <v>97.99</v>
      </c>
    </row>
    <row r="262" spans="1:8" x14ac:dyDescent="0.35">
      <c r="A262" t="s">
        <v>9</v>
      </c>
      <c r="B262" t="s">
        <v>305</v>
      </c>
      <c r="C262" t="s">
        <v>11</v>
      </c>
      <c r="D262" t="s">
        <v>294</v>
      </c>
      <c r="E262" t="s">
        <v>13</v>
      </c>
      <c r="F262">
        <v>630.52</v>
      </c>
      <c r="G262">
        <v>76.59</v>
      </c>
      <c r="H262">
        <v>707.11</v>
      </c>
    </row>
    <row r="263" spans="1:8" x14ac:dyDescent="0.35">
      <c r="A263" t="s">
        <v>9</v>
      </c>
      <c r="B263" t="s">
        <v>306</v>
      </c>
      <c r="C263" t="s">
        <v>11</v>
      </c>
      <c r="D263" t="s">
        <v>294</v>
      </c>
      <c r="E263" t="s">
        <v>13</v>
      </c>
      <c r="F263">
        <v>63.9</v>
      </c>
      <c r="G263">
        <v>8.08</v>
      </c>
      <c r="H263">
        <v>71.98</v>
      </c>
    </row>
    <row r="264" spans="1:8" x14ac:dyDescent="0.35">
      <c r="A264" t="s">
        <v>9</v>
      </c>
      <c r="B264" t="s">
        <v>307</v>
      </c>
      <c r="C264" t="s">
        <v>11</v>
      </c>
      <c r="D264" t="s">
        <v>294</v>
      </c>
      <c r="E264" t="s">
        <v>13</v>
      </c>
      <c r="F264">
        <v>217.12</v>
      </c>
      <c r="G264">
        <v>25.82</v>
      </c>
      <c r="H264">
        <v>242.94</v>
      </c>
    </row>
    <row r="265" spans="1:8" x14ac:dyDescent="0.35">
      <c r="A265" t="s">
        <v>9</v>
      </c>
      <c r="B265" t="s">
        <v>308</v>
      </c>
      <c r="C265" t="s">
        <v>11</v>
      </c>
      <c r="D265" t="s">
        <v>309</v>
      </c>
      <c r="E265" t="s">
        <v>13</v>
      </c>
      <c r="F265">
        <v>187.42</v>
      </c>
      <c r="G265">
        <v>15.52</v>
      </c>
      <c r="H265">
        <v>202.94</v>
      </c>
    </row>
    <row r="266" spans="1:8" x14ac:dyDescent="0.35">
      <c r="A266" t="s">
        <v>9</v>
      </c>
      <c r="B266" t="s">
        <v>310</v>
      </c>
      <c r="C266" t="s">
        <v>11</v>
      </c>
      <c r="D266" t="s">
        <v>309</v>
      </c>
      <c r="E266" t="s">
        <v>13</v>
      </c>
      <c r="F266">
        <v>172.14</v>
      </c>
      <c r="G266">
        <v>22.82</v>
      </c>
      <c r="H266">
        <v>194.96</v>
      </c>
    </row>
    <row r="267" spans="1:8" x14ac:dyDescent="0.35">
      <c r="A267" t="s">
        <v>9</v>
      </c>
      <c r="B267" t="s">
        <v>311</v>
      </c>
      <c r="C267" t="s">
        <v>11</v>
      </c>
      <c r="D267" t="s">
        <v>309</v>
      </c>
      <c r="E267" t="s">
        <v>13</v>
      </c>
      <c r="F267">
        <v>196.49</v>
      </c>
      <c r="G267">
        <v>29.47</v>
      </c>
      <c r="H267">
        <v>225.96</v>
      </c>
    </row>
    <row r="268" spans="1:8" x14ac:dyDescent="0.35">
      <c r="A268" t="s">
        <v>9</v>
      </c>
      <c r="B268" t="s">
        <v>312</v>
      </c>
      <c r="C268" t="s">
        <v>11</v>
      </c>
      <c r="D268" t="s">
        <v>309</v>
      </c>
      <c r="E268" t="s">
        <v>13</v>
      </c>
      <c r="F268">
        <v>363.39</v>
      </c>
      <c r="G268">
        <v>48.51</v>
      </c>
      <c r="H268">
        <v>411.9</v>
      </c>
    </row>
    <row r="269" spans="1:8" x14ac:dyDescent="0.35">
      <c r="A269" t="s">
        <v>9</v>
      </c>
      <c r="B269" t="s">
        <v>313</v>
      </c>
      <c r="C269" t="s">
        <v>11</v>
      </c>
      <c r="D269" t="s">
        <v>309</v>
      </c>
      <c r="E269" t="s">
        <v>13</v>
      </c>
      <c r="F269">
        <v>512.48</v>
      </c>
      <c r="G269">
        <v>75.37</v>
      </c>
      <c r="H269">
        <v>587.85</v>
      </c>
    </row>
    <row r="270" spans="1:8" x14ac:dyDescent="0.35">
      <c r="A270" t="s">
        <v>9</v>
      </c>
      <c r="B270" t="s">
        <v>314</v>
      </c>
      <c r="C270" t="s">
        <v>11</v>
      </c>
      <c r="D270" t="s">
        <v>309</v>
      </c>
      <c r="E270" t="s">
        <v>13</v>
      </c>
      <c r="F270">
        <v>149.9</v>
      </c>
      <c r="G270">
        <v>20.99</v>
      </c>
      <c r="H270">
        <v>170.89</v>
      </c>
    </row>
    <row r="271" spans="1:8" x14ac:dyDescent="0.35">
      <c r="A271" t="s">
        <v>9</v>
      </c>
      <c r="B271" t="s">
        <v>315</v>
      </c>
      <c r="C271" t="s">
        <v>11</v>
      </c>
      <c r="D271" t="s">
        <v>309</v>
      </c>
      <c r="E271" t="s">
        <v>13</v>
      </c>
      <c r="F271">
        <v>237.8</v>
      </c>
      <c r="G271">
        <v>34.17</v>
      </c>
      <c r="H271">
        <v>271.97000000000003</v>
      </c>
    </row>
    <row r="272" spans="1:8" x14ac:dyDescent="0.35">
      <c r="A272" t="s">
        <v>9</v>
      </c>
      <c r="B272" t="s">
        <v>316</v>
      </c>
      <c r="C272" t="s">
        <v>11</v>
      </c>
      <c r="D272" t="s">
        <v>309</v>
      </c>
      <c r="E272" t="s">
        <v>13</v>
      </c>
      <c r="F272">
        <v>242.73</v>
      </c>
      <c r="G272">
        <v>17.21</v>
      </c>
      <c r="H272">
        <v>259.94</v>
      </c>
    </row>
    <row r="273" spans="1:8" x14ac:dyDescent="0.35">
      <c r="A273" t="s">
        <v>9</v>
      </c>
      <c r="B273" t="s">
        <v>317</v>
      </c>
      <c r="C273" t="s">
        <v>11</v>
      </c>
      <c r="D273" t="s">
        <v>309</v>
      </c>
      <c r="E273" t="s">
        <v>13</v>
      </c>
      <c r="F273">
        <v>915.08</v>
      </c>
      <c r="G273">
        <v>131.26</v>
      </c>
      <c r="H273">
        <v>1046.3399999999999</v>
      </c>
    </row>
    <row r="274" spans="1:8" x14ac:dyDescent="0.35">
      <c r="A274" t="s">
        <v>9</v>
      </c>
      <c r="B274" t="s">
        <v>318</v>
      </c>
      <c r="C274" t="s">
        <v>11</v>
      </c>
      <c r="D274" t="s">
        <v>309</v>
      </c>
      <c r="E274" t="s">
        <v>13</v>
      </c>
      <c r="F274">
        <v>1330.02</v>
      </c>
      <c r="G274">
        <v>169.51</v>
      </c>
      <c r="H274">
        <v>1499.53</v>
      </c>
    </row>
    <row r="275" spans="1:8" x14ac:dyDescent="0.35">
      <c r="A275" t="s">
        <v>9</v>
      </c>
      <c r="B275" t="s">
        <v>319</v>
      </c>
      <c r="C275" t="s">
        <v>11</v>
      </c>
      <c r="D275" t="s">
        <v>309</v>
      </c>
      <c r="E275" t="s">
        <v>13</v>
      </c>
      <c r="F275">
        <v>320.32</v>
      </c>
      <c r="G275">
        <v>28.55</v>
      </c>
      <c r="H275">
        <v>348.87</v>
      </c>
    </row>
    <row r="276" spans="1:8" x14ac:dyDescent="0.35">
      <c r="A276" t="s">
        <v>9</v>
      </c>
      <c r="B276" t="s">
        <v>320</v>
      </c>
      <c r="C276" t="s">
        <v>11</v>
      </c>
      <c r="D276" t="s">
        <v>309</v>
      </c>
      <c r="E276" t="s">
        <v>13</v>
      </c>
      <c r="F276">
        <v>193.86</v>
      </c>
      <c r="G276">
        <v>29.08</v>
      </c>
      <c r="H276">
        <v>222.94</v>
      </c>
    </row>
    <row r="277" spans="1:8" x14ac:dyDescent="0.35">
      <c r="A277" t="s">
        <v>9</v>
      </c>
      <c r="B277" t="s">
        <v>321</v>
      </c>
      <c r="C277" t="s">
        <v>11</v>
      </c>
      <c r="D277" t="s">
        <v>309</v>
      </c>
      <c r="E277" t="s">
        <v>13</v>
      </c>
      <c r="F277">
        <v>203.55</v>
      </c>
      <c r="G277">
        <v>12.39</v>
      </c>
      <c r="H277">
        <v>215.94</v>
      </c>
    </row>
    <row r="278" spans="1:8" x14ac:dyDescent="0.35">
      <c r="A278" t="s">
        <v>9</v>
      </c>
      <c r="B278" t="s">
        <v>322</v>
      </c>
      <c r="C278" t="s">
        <v>11</v>
      </c>
      <c r="D278" t="s">
        <v>323</v>
      </c>
      <c r="E278" t="s">
        <v>13</v>
      </c>
      <c r="F278">
        <v>189</v>
      </c>
      <c r="G278">
        <v>22.95</v>
      </c>
      <c r="H278">
        <v>211.95</v>
      </c>
    </row>
    <row r="279" spans="1:8" x14ac:dyDescent="0.35">
      <c r="A279" t="s">
        <v>9</v>
      </c>
      <c r="B279" t="s">
        <v>324</v>
      </c>
      <c r="C279" t="s">
        <v>11</v>
      </c>
      <c r="D279" t="s">
        <v>323</v>
      </c>
      <c r="E279" t="s">
        <v>13</v>
      </c>
      <c r="F279">
        <v>138.22999999999999</v>
      </c>
      <c r="G279">
        <v>20.74</v>
      </c>
      <c r="H279">
        <v>158.97</v>
      </c>
    </row>
    <row r="280" spans="1:8" x14ac:dyDescent="0.35">
      <c r="A280" t="s">
        <v>9</v>
      </c>
      <c r="B280" t="s">
        <v>325</v>
      </c>
      <c r="C280" t="s">
        <v>11</v>
      </c>
      <c r="D280" t="s">
        <v>323</v>
      </c>
      <c r="E280" t="s">
        <v>13</v>
      </c>
      <c r="F280">
        <v>686.32</v>
      </c>
      <c r="G280">
        <v>78.510000000000005</v>
      </c>
      <c r="H280">
        <v>764.83</v>
      </c>
    </row>
    <row r="281" spans="1:8" x14ac:dyDescent="0.35">
      <c r="A281" t="s">
        <v>9</v>
      </c>
      <c r="B281" t="s">
        <v>326</v>
      </c>
      <c r="C281" t="s">
        <v>11</v>
      </c>
      <c r="D281" t="s">
        <v>323</v>
      </c>
      <c r="E281" t="s">
        <v>13</v>
      </c>
      <c r="F281">
        <v>449.49</v>
      </c>
      <c r="G281">
        <v>58.43</v>
      </c>
      <c r="H281">
        <v>507.92</v>
      </c>
    </row>
    <row r="282" spans="1:8" x14ac:dyDescent="0.35">
      <c r="A282" t="s">
        <v>9</v>
      </c>
      <c r="B282" t="s">
        <v>327</v>
      </c>
      <c r="C282" t="s">
        <v>11</v>
      </c>
      <c r="D282" t="s">
        <v>323</v>
      </c>
      <c r="E282" t="s">
        <v>13</v>
      </c>
      <c r="F282">
        <v>227.77</v>
      </c>
      <c r="G282">
        <v>34.159999999999997</v>
      </c>
      <c r="H282">
        <v>261.93</v>
      </c>
    </row>
    <row r="283" spans="1:8" x14ac:dyDescent="0.35">
      <c r="A283" t="s">
        <v>9</v>
      </c>
      <c r="B283" t="s">
        <v>328</v>
      </c>
      <c r="C283" t="s">
        <v>11</v>
      </c>
      <c r="D283" t="s">
        <v>329</v>
      </c>
      <c r="E283" t="s">
        <v>13</v>
      </c>
      <c r="F283">
        <v>380.37</v>
      </c>
      <c r="G283">
        <v>40.56</v>
      </c>
      <c r="H283">
        <v>420.93</v>
      </c>
    </row>
    <row r="284" spans="1:8" x14ac:dyDescent="0.35">
      <c r="A284" t="s">
        <v>9</v>
      </c>
      <c r="B284" t="s">
        <v>330</v>
      </c>
      <c r="C284" t="s">
        <v>11</v>
      </c>
      <c r="D284" t="s">
        <v>329</v>
      </c>
      <c r="E284" t="s">
        <v>13</v>
      </c>
      <c r="F284">
        <v>407.34</v>
      </c>
      <c r="G284">
        <v>55.55</v>
      </c>
      <c r="H284">
        <v>462.89</v>
      </c>
    </row>
    <row r="285" spans="1:8" x14ac:dyDescent="0.35">
      <c r="A285" t="s">
        <v>9</v>
      </c>
      <c r="B285" t="s">
        <v>331</v>
      </c>
      <c r="C285" t="s">
        <v>11</v>
      </c>
      <c r="D285" t="s">
        <v>329</v>
      </c>
      <c r="E285" t="s">
        <v>13</v>
      </c>
      <c r="F285">
        <v>310.37</v>
      </c>
      <c r="G285">
        <v>43.55</v>
      </c>
      <c r="H285">
        <v>353.92</v>
      </c>
    </row>
    <row r="286" spans="1:8" x14ac:dyDescent="0.35">
      <c r="A286" t="s">
        <v>9</v>
      </c>
      <c r="B286" t="s">
        <v>332</v>
      </c>
      <c r="C286" t="s">
        <v>11</v>
      </c>
      <c r="D286" t="s">
        <v>329</v>
      </c>
      <c r="E286" t="s">
        <v>13</v>
      </c>
      <c r="F286">
        <v>110.57</v>
      </c>
      <c r="G286">
        <v>16.59</v>
      </c>
      <c r="H286">
        <v>127.16</v>
      </c>
    </row>
    <row r="287" spans="1:8" x14ac:dyDescent="0.35">
      <c r="A287" t="s">
        <v>9</v>
      </c>
      <c r="B287" t="s">
        <v>333</v>
      </c>
      <c r="C287" t="s">
        <v>11</v>
      </c>
      <c r="D287" t="s">
        <v>329</v>
      </c>
      <c r="E287" t="s">
        <v>13</v>
      </c>
      <c r="F287">
        <v>322.95999999999998</v>
      </c>
      <c r="G287">
        <v>46.94</v>
      </c>
      <c r="H287">
        <v>369.9</v>
      </c>
    </row>
    <row r="288" spans="1:8" x14ac:dyDescent="0.35">
      <c r="A288" t="s">
        <v>9</v>
      </c>
      <c r="B288" t="s">
        <v>334</v>
      </c>
      <c r="C288" t="s">
        <v>11</v>
      </c>
      <c r="D288" t="s">
        <v>329</v>
      </c>
      <c r="E288" t="s">
        <v>13</v>
      </c>
      <c r="F288">
        <v>309.06</v>
      </c>
      <c r="G288">
        <v>32.86</v>
      </c>
      <c r="H288">
        <v>341.92</v>
      </c>
    </row>
    <row r="289" spans="1:8" x14ac:dyDescent="0.35">
      <c r="A289" t="s">
        <v>9</v>
      </c>
      <c r="B289" t="s">
        <v>335</v>
      </c>
      <c r="C289" t="s">
        <v>11</v>
      </c>
      <c r="D289" t="s">
        <v>329</v>
      </c>
      <c r="E289" t="s">
        <v>13</v>
      </c>
      <c r="F289">
        <v>235.79</v>
      </c>
      <c r="G289">
        <v>24.12</v>
      </c>
      <c r="H289">
        <v>259.91000000000003</v>
      </c>
    </row>
    <row r="290" spans="1:8" x14ac:dyDescent="0.35">
      <c r="A290" t="s">
        <v>9</v>
      </c>
      <c r="B290" t="s">
        <v>336</v>
      </c>
      <c r="C290" t="s">
        <v>11</v>
      </c>
      <c r="D290" t="s">
        <v>329</v>
      </c>
      <c r="E290" t="s">
        <v>13</v>
      </c>
      <c r="F290">
        <v>333.35</v>
      </c>
      <c r="G290">
        <v>43.55</v>
      </c>
      <c r="H290">
        <v>376.9</v>
      </c>
    </row>
    <row r="291" spans="1:8" x14ac:dyDescent="0.35">
      <c r="A291" t="s">
        <v>9</v>
      </c>
      <c r="B291" t="s">
        <v>337</v>
      </c>
      <c r="C291" t="s">
        <v>11</v>
      </c>
      <c r="D291" t="s">
        <v>329</v>
      </c>
      <c r="E291" t="s">
        <v>13</v>
      </c>
      <c r="F291">
        <v>116.07</v>
      </c>
      <c r="G291">
        <v>15.91</v>
      </c>
      <c r="H291">
        <v>131.97999999999999</v>
      </c>
    </row>
    <row r="292" spans="1:8" x14ac:dyDescent="0.35">
      <c r="A292" t="s">
        <v>9</v>
      </c>
      <c r="B292" t="s">
        <v>338</v>
      </c>
      <c r="C292" t="s">
        <v>11</v>
      </c>
      <c r="D292" t="s">
        <v>329</v>
      </c>
      <c r="E292" t="s">
        <v>13</v>
      </c>
      <c r="F292">
        <v>702.89</v>
      </c>
      <c r="G292">
        <v>90.89</v>
      </c>
      <c r="H292">
        <v>793.78</v>
      </c>
    </row>
    <row r="293" spans="1:8" x14ac:dyDescent="0.35">
      <c r="A293" t="s">
        <v>9</v>
      </c>
      <c r="B293" t="s">
        <v>339</v>
      </c>
      <c r="C293" t="s">
        <v>11</v>
      </c>
      <c r="D293" t="s">
        <v>329</v>
      </c>
      <c r="E293" t="s">
        <v>13</v>
      </c>
      <c r="F293">
        <v>164.31</v>
      </c>
      <c r="G293">
        <v>24.65</v>
      </c>
      <c r="H293">
        <v>188.96</v>
      </c>
    </row>
    <row r="294" spans="1:8" x14ac:dyDescent="0.35">
      <c r="A294" t="s">
        <v>9</v>
      </c>
      <c r="B294" t="s">
        <v>340</v>
      </c>
      <c r="C294" t="s">
        <v>11</v>
      </c>
      <c r="D294" t="s">
        <v>341</v>
      </c>
      <c r="E294" t="s">
        <v>13</v>
      </c>
      <c r="F294">
        <v>134.74</v>
      </c>
      <c r="G294">
        <v>20.21</v>
      </c>
      <c r="H294">
        <v>154.94999999999999</v>
      </c>
    </row>
    <row r="295" spans="1:8" x14ac:dyDescent="0.35">
      <c r="A295" t="s">
        <v>9</v>
      </c>
      <c r="B295" t="s">
        <v>342</v>
      </c>
      <c r="C295" t="s">
        <v>11</v>
      </c>
      <c r="D295" t="s">
        <v>341</v>
      </c>
      <c r="E295" t="s">
        <v>13</v>
      </c>
      <c r="F295">
        <v>137.09</v>
      </c>
      <c r="G295">
        <v>14.87</v>
      </c>
      <c r="H295">
        <v>151.96</v>
      </c>
    </row>
    <row r="296" spans="1:8" x14ac:dyDescent="0.35">
      <c r="A296" t="s">
        <v>9</v>
      </c>
      <c r="B296" t="s">
        <v>343</v>
      </c>
      <c r="C296" t="s">
        <v>11</v>
      </c>
      <c r="D296" t="s">
        <v>341</v>
      </c>
      <c r="E296" t="s">
        <v>13</v>
      </c>
      <c r="F296">
        <v>431.1</v>
      </c>
      <c r="G296">
        <v>51.17</v>
      </c>
      <c r="H296">
        <v>482.27</v>
      </c>
    </row>
    <row r="297" spans="1:8" x14ac:dyDescent="0.35">
      <c r="A297" t="s">
        <v>9</v>
      </c>
      <c r="B297" t="s">
        <v>344</v>
      </c>
      <c r="C297" t="s">
        <v>11</v>
      </c>
      <c r="D297" t="s">
        <v>341</v>
      </c>
      <c r="E297" t="s">
        <v>13</v>
      </c>
      <c r="F297">
        <v>411.47</v>
      </c>
      <c r="G297">
        <v>36.229999999999997</v>
      </c>
      <c r="H297">
        <v>447.7</v>
      </c>
    </row>
    <row r="298" spans="1:8" x14ac:dyDescent="0.35">
      <c r="A298" t="s">
        <v>9</v>
      </c>
      <c r="B298" t="s">
        <v>345</v>
      </c>
      <c r="C298" t="s">
        <v>11</v>
      </c>
      <c r="D298" t="s">
        <v>346</v>
      </c>
      <c r="E298" t="s">
        <v>13</v>
      </c>
      <c r="F298">
        <v>705.71</v>
      </c>
      <c r="G298">
        <v>81.41</v>
      </c>
      <c r="H298">
        <v>787.12</v>
      </c>
    </row>
    <row r="299" spans="1:8" x14ac:dyDescent="0.35">
      <c r="A299" t="s">
        <v>9</v>
      </c>
      <c r="B299" t="s">
        <v>347</v>
      </c>
      <c r="C299" t="s">
        <v>11</v>
      </c>
      <c r="D299" t="s">
        <v>346</v>
      </c>
      <c r="E299" t="s">
        <v>13</v>
      </c>
      <c r="F299">
        <v>226.95</v>
      </c>
      <c r="G299">
        <v>20.99</v>
      </c>
      <c r="H299">
        <v>247.94</v>
      </c>
    </row>
    <row r="300" spans="1:8" x14ac:dyDescent="0.35">
      <c r="A300" t="s">
        <v>9</v>
      </c>
      <c r="B300" t="s">
        <v>348</v>
      </c>
      <c r="C300" t="s">
        <v>11</v>
      </c>
      <c r="D300" t="s">
        <v>346</v>
      </c>
      <c r="E300" t="s">
        <v>13</v>
      </c>
      <c r="F300">
        <v>248.22</v>
      </c>
      <c r="G300">
        <v>35.729999999999997</v>
      </c>
      <c r="H300">
        <v>283.95</v>
      </c>
    </row>
    <row r="301" spans="1:8" x14ac:dyDescent="0.35">
      <c r="A301" t="s">
        <v>9</v>
      </c>
      <c r="B301" t="s">
        <v>349</v>
      </c>
      <c r="C301" t="s">
        <v>11</v>
      </c>
      <c r="D301" t="s">
        <v>346</v>
      </c>
      <c r="E301" t="s">
        <v>13</v>
      </c>
      <c r="F301">
        <v>261.25</v>
      </c>
      <c r="G301">
        <v>37.69</v>
      </c>
      <c r="H301">
        <v>298.94</v>
      </c>
    </row>
    <row r="302" spans="1:8" x14ac:dyDescent="0.35">
      <c r="A302" t="s">
        <v>9</v>
      </c>
      <c r="B302" t="s">
        <v>350</v>
      </c>
      <c r="C302" t="s">
        <v>11</v>
      </c>
      <c r="D302" t="s">
        <v>346</v>
      </c>
      <c r="E302" t="s">
        <v>13</v>
      </c>
      <c r="F302">
        <v>142.57</v>
      </c>
      <c r="G302">
        <v>21.39</v>
      </c>
      <c r="H302">
        <v>163.96</v>
      </c>
    </row>
    <row r="303" spans="1:8" x14ac:dyDescent="0.35">
      <c r="A303" t="s">
        <v>9</v>
      </c>
      <c r="B303" t="s">
        <v>351</v>
      </c>
      <c r="C303" t="s">
        <v>11</v>
      </c>
      <c r="D303" t="s">
        <v>346</v>
      </c>
      <c r="E303" t="s">
        <v>13</v>
      </c>
      <c r="F303">
        <v>402.65</v>
      </c>
      <c r="G303">
        <v>37.299999999999997</v>
      </c>
      <c r="H303">
        <v>439.95</v>
      </c>
    </row>
    <row r="304" spans="1:8" x14ac:dyDescent="0.35">
      <c r="A304" t="s">
        <v>9</v>
      </c>
      <c r="B304" t="s">
        <v>352</v>
      </c>
      <c r="C304" t="s">
        <v>11</v>
      </c>
      <c r="D304" t="s">
        <v>346</v>
      </c>
      <c r="E304" t="s">
        <v>13</v>
      </c>
      <c r="F304">
        <v>154.74</v>
      </c>
      <c r="G304">
        <v>23.21</v>
      </c>
      <c r="H304">
        <v>177.95</v>
      </c>
    </row>
    <row r="305" spans="1:8" x14ac:dyDescent="0.35">
      <c r="A305" t="s">
        <v>9</v>
      </c>
      <c r="B305" t="s">
        <v>353</v>
      </c>
      <c r="C305" t="s">
        <v>11</v>
      </c>
      <c r="D305" t="s">
        <v>346</v>
      </c>
      <c r="E305" t="s">
        <v>13</v>
      </c>
      <c r="F305">
        <v>494.5</v>
      </c>
      <c r="G305">
        <v>66.38</v>
      </c>
      <c r="H305">
        <v>560.88</v>
      </c>
    </row>
    <row r="306" spans="1:8" x14ac:dyDescent="0.35">
      <c r="A306" t="s">
        <v>9</v>
      </c>
      <c r="B306" t="s">
        <v>354</v>
      </c>
      <c r="C306" t="s">
        <v>11</v>
      </c>
      <c r="D306" t="s">
        <v>346</v>
      </c>
      <c r="E306" t="s">
        <v>13</v>
      </c>
      <c r="F306">
        <v>182.56</v>
      </c>
      <c r="G306">
        <v>18.38</v>
      </c>
      <c r="H306">
        <v>200.94</v>
      </c>
    </row>
    <row r="307" spans="1:8" x14ac:dyDescent="0.35">
      <c r="A307" t="s">
        <v>9</v>
      </c>
      <c r="B307" t="s">
        <v>355</v>
      </c>
      <c r="C307" t="s">
        <v>11</v>
      </c>
      <c r="D307" t="s">
        <v>346</v>
      </c>
      <c r="E307" t="s">
        <v>13</v>
      </c>
      <c r="F307">
        <v>289.56</v>
      </c>
      <c r="G307">
        <v>36.840000000000003</v>
      </c>
      <c r="H307">
        <v>326.39999999999998</v>
      </c>
    </row>
    <row r="308" spans="1:8" x14ac:dyDescent="0.35">
      <c r="A308" t="s">
        <v>9</v>
      </c>
      <c r="B308" t="s">
        <v>356</v>
      </c>
      <c r="C308" t="s">
        <v>11</v>
      </c>
      <c r="D308" t="s">
        <v>346</v>
      </c>
      <c r="E308" t="s">
        <v>13</v>
      </c>
      <c r="F308">
        <v>565.65</v>
      </c>
      <c r="G308">
        <v>66.7</v>
      </c>
      <c r="H308">
        <v>632.35</v>
      </c>
    </row>
    <row r="309" spans="1:8" x14ac:dyDescent="0.35">
      <c r="A309" t="s">
        <v>9</v>
      </c>
      <c r="B309" t="s">
        <v>357</v>
      </c>
      <c r="C309" t="s">
        <v>11</v>
      </c>
      <c r="D309" t="s">
        <v>346</v>
      </c>
      <c r="E309" t="s">
        <v>13</v>
      </c>
      <c r="F309">
        <v>256.48</v>
      </c>
      <c r="G309">
        <v>38.47</v>
      </c>
      <c r="H309">
        <v>294.95</v>
      </c>
    </row>
    <row r="310" spans="1:8" x14ac:dyDescent="0.35">
      <c r="A310" t="s">
        <v>9</v>
      </c>
      <c r="B310" t="s">
        <v>358</v>
      </c>
      <c r="C310" t="s">
        <v>11</v>
      </c>
      <c r="D310" t="s">
        <v>346</v>
      </c>
      <c r="E310" t="s">
        <v>13</v>
      </c>
      <c r="F310">
        <v>198.54</v>
      </c>
      <c r="G310">
        <v>28.28</v>
      </c>
      <c r="H310">
        <v>226.82</v>
      </c>
    </row>
    <row r="311" spans="1:8" x14ac:dyDescent="0.35">
      <c r="A311" t="s">
        <v>9</v>
      </c>
      <c r="B311" t="s">
        <v>359</v>
      </c>
      <c r="C311" t="s">
        <v>11</v>
      </c>
      <c r="D311" t="s">
        <v>346</v>
      </c>
      <c r="E311" t="s">
        <v>13</v>
      </c>
      <c r="F311">
        <v>436.03</v>
      </c>
      <c r="G311">
        <v>60.91</v>
      </c>
      <c r="H311">
        <v>496.94</v>
      </c>
    </row>
    <row r="312" spans="1:8" x14ac:dyDescent="0.35">
      <c r="A312" t="s">
        <v>9</v>
      </c>
      <c r="B312" t="s">
        <v>360</v>
      </c>
      <c r="C312" t="s">
        <v>11</v>
      </c>
      <c r="D312" t="s">
        <v>361</v>
      </c>
      <c r="E312" t="s">
        <v>13</v>
      </c>
      <c r="F312">
        <v>375.56</v>
      </c>
      <c r="G312">
        <v>50.34</v>
      </c>
      <c r="H312">
        <v>425.9</v>
      </c>
    </row>
    <row r="313" spans="1:8" x14ac:dyDescent="0.35">
      <c r="A313" t="s">
        <v>9</v>
      </c>
      <c r="B313" t="s">
        <v>362</v>
      </c>
      <c r="C313" t="s">
        <v>11</v>
      </c>
      <c r="D313" t="s">
        <v>361</v>
      </c>
      <c r="E313" t="s">
        <v>13</v>
      </c>
      <c r="F313">
        <v>158.66</v>
      </c>
      <c r="G313">
        <v>13.3</v>
      </c>
      <c r="H313">
        <v>171.96</v>
      </c>
    </row>
    <row r="314" spans="1:8" x14ac:dyDescent="0.35">
      <c r="A314" t="s">
        <v>9</v>
      </c>
      <c r="B314" t="s">
        <v>363</v>
      </c>
      <c r="C314" t="s">
        <v>11</v>
      </c>
      <c r="D314" t="s">
        <v>361</v>
      </c>
      <c r="E314" t="s">
        <v>13</v>
      </c>
      <c r="F314">
        <v>506.78</v>
      </c>
      <c r="G314">
        <v>74.52</v>
      </c>
      <c r="H314">
        <v>581.29999999999995</v>
      </c>
    </row>
    <row r="315" spans="1:8" x14ac:dyDescent="0.35">
      <c r="A315" t="s">
        <v>9</v>
      </c>
      <c r="B315" t="s">
        <v>364</v>
      </c>
      <c r="C315" t="s">
        <v>11</v>
      </c>
      <c r="D315" t="s">
        <v>361</v>
      </c>
      <c r="E315" t="s">
        <v>13</v>
      </c>
      <c r="F315">
        <v>226.46</v>
      </c>
      <c r="G315">
        <v>23.47</v>
      </c>
      <c r="H315">
        <v>249.93</v>
      </c>
    </row>
    <row r="316" spans="1:8" x14ac:dyDescent="0.35">
      <c r="A316" t="s">
        <v>9</v>
      </c>
      <c r="B316" t="s">
        <v>365</v>
      </c>
      <c r="C316" t="s">
        <v>11</v>
      </c>
      <c r="D316" t="s">
        <v>366</v>
      </c>
      <c r="E316" t="s">
        <v>13</v>
      </c>
      <c r="F316">
        <v>710.62</v>
      </c>
      <c r="G316">
        <v>98.2</v>
      </c>
      <c r="H316">
        <v>808.82</v>
      </c>
    </row>
    <row r="317" spans="1:8" x14ac:dyDescent="0.35">
      <c r="A317" t="s">
        <v>9</v>
      </c>
      <c r="B317" t="s">
        <v>367</v>
      </c>
      <c r="C317" t="s">
        <v>11</v>
      </c>
      <c r="D317" t="s">
        <v>366</v>
      </c>
      <c r="E317" t="s">
        <v>13</v>
      </c>
      <c r="F317">
        <v>429.06</v>
      </c>
      <c r="G317">
        <v>44.86</v>
      </c>
      <c r="H317">
        <v>473.92</v>
      </c>
    </row>
    <row r="318" spans="1:8" x14ac:dyDescent="0.35">
      <c r="A318" t="s">
        <v>9</v>
      </c>
      <c r="B318" t="s">
        <v>368</v>
      </c>
      <c r="C318" t="s">
        <v>11</v>
      </c>
      <c r="D318" t="s">
        <v>366</v>
      </c>
      <c r="E318" t="s">
        <v>13</v>
      </c>
      <c r="F318">
        <v>133.43</v>
      </c>
      <c r="G318">
        <v>20.010000000000002</v>
      </c>
      <c r="H318">
        <v>153.44</v>
      </c>
    </row>
    <row r="319" spans="1:8" x14ac:dyDescent="0.35">
      <c r="A319" t="s">
        <v>9</v>
      </c>
      <c r="B319" t="s">
        <v>369</v>
      </c>
      <c r="C319" t="s">
        <v>11</v>
      </c>
      <c r="D319" t="s">
        <v>370</v>
      </c>
      <c r="E319" t="s">
        <v>13</v>
      </c>
      <c r="F319">
        <v>102.56</v>
      </c>
      <c r="G319">
        <v>15.38</v>
      </c>
      <c r="H319">
        <v>117.94</v>
      </c>
    </row>
    <row r="320" spans="1:8" x14ac:dyDescent="0.35">
      <c r="A320" t="s">
        <v>9</v>
      </c>
      <c r="B320" t="s">
        <v>371</v>
      </c>
      <c r="C320" t="s">
        <v>11</v>
      </c>
      <c r="D320" t="s">
        <v>370</v>
      </c>
      <c r="E320" t="s">
        <v>13</v>
      </c>
      <c r="F320">
        <v>228.21</v>
      </c>
      <c r="G320">
        <v>32.729999999999997</v>
      </c>
      <c r="H320">
        <v>260.94</v>
      </c>
    </row>
    <row r="321" spans="1:8" x14ac:dyDescent="0.35">
      <c r="A321" t="s">
        <v>9</v>
      </c>
      <c r="B321" t="s">
        <v>372</v>
      </c>
      <c r="C321" t="s">
        <v>11</v>
      </c>
      <c r="D321" t="s">
        <v>370</v>
      </c>
      <c r="E321" t="s">
        <v>13</v>
      </c>
      <c r="F321">
        <v>60.86</v>
      </c>
      <c r="G321">
        <v>6.13</v>
      </c>
      <c r="H321">
        <v>66.989999999999995</v>
      </c>
    </row>
    <row r="322" spans="1:8" x14ac:dyDescent="0.35">
      <c r="A322" t="s">
        <v>9</v>
      </c>
      <c r="B322" t="s">
        <v>373</v>
      </c>
      <c r="C322" t="s">
        <v>11</v>
      </c>
      <c r="D322" t="s">
        <v>370</v>
      </c>
      <c r="E322" t="s">
        <v>13</v>
      </c>
      <c r="F322">
        <v>140.87</v>
      </c>
      <c r="G322">
        <v>11.09</v>
      </c>
      <c r="H322">
        <v>151.96</v>
      </c>
    </row>
    <row r="323" spans="1:8" x14ac:dyDescent="0.35">
      <c r="A323" t="s">
        <v>9</v>
      </c>
      <c r="B323" t="s">
        <v>374</v>
      </c>
      <c r="C323" t="s">
        <v>11</v>
      </c>
      <c r="D323" t="s">
        <v>370</v>
      </c>
      <c r="E323" t="s">
        <v>13</v>
      </c>
      <c r="F323">
        <v>128.16999999999999</v>
      </c>
      <c r="G323">
        <v>15.78</v>
      </c>
      <c r="H323">
        <v>143.94999999999999</v>
      </c>
    </row>
    <row r="324" spans="1:8" x14ac:dyDescent="0.35">
      <c r="A324" t="s">
        <v>9</v>
      </c>
      <c r="B324" t="s">
        <v>375</v>
      </c>
      <c r="C324" t="s">
        <v>11</v>
      </c>
      <c r="D324" t="s">
        <v>370</v>
      </c>
      <c r="E324" t="s">
        <v>13</v>
      </c>
      <c r="F324">
        <v>273.35000000000002</v>
      </c>
      <c r="G324">
        <v>29.6</v>
      </c>
      <c r="H324">
        <v>302.95</v>
      </c>
    </row>
    <row r="325" spans="1:8" x14ac:dyDescent="0.35">
      <c r="A325" t="s">
        <v>9</v>
      </c>
      <c r="B325" t="s">
        <v>376</v>
      </c>
      <c r="C325" t="s">
        <v>11</v>
      </c>
      <c r="D325" t="s">
        <v>370</v>
      </c>
      <c r="E325" t="s">
        <v>13</v>
      </c>
      <c r="F325">
        <v>384.45</v>
      </c>
      <c r="G325">
        <v>37.43</v>
      </c>
      <c r="H325">
        <v>421.88</v>
      </c>
    </row>
    <row r="326" spans="1:8" x14ac:dyDescent="0.35">
      <c r="A326" t="s">
        <v>9</v>
      </c>
      <c r="B326" t="s">
        <v>377</v>
      </c>
      <c r="C326" t="s">
        <v>11</v>
      </c>
      <c r="D326" t="s">
        <v>370</v>
      </c>
      <c r="E326" t="s">
        <v>13</v>
      </c>
      <c r="F326">
        <v>476.74</v>
      </c>
      <c r="G326">
        <v>64.16</v>
      </c>
      <c r="H326">
        <v>540.9</v>
      </c>
    </row>
    <row r="327" spans="1:8" x14ac:dyDescent="0.35">
      <c r="A327" t="s">
        <v>9</v>
      </c>
      <c r="B327" t="s">
        <v>378</v>
      </c>
      <c r="C327" t="s">
        <v>11</v>
      </c>
      <c r="D327" t="s">
        <v>370</v>
      </c>
      <c r="E327" t="s">
        <v>13</v>
      </c>
      <c r="F327">
        <v>519.94000000000005</v>
      </c>
      <c r="G327">
        <v>61.95</v>
      </c>
      <c r="H327">
        <v>581.89</v>
      </c>
    </row>
    <row r="328" spans="1:8" x14ac:dyDescent="0.35">
      <c r="A328" t="s">
        <v>9</v>
      </c>
      <c r="B328" t="s">
        <v>379</v>
      </c>
      <c r="C328" t="s">
        <v>11</v>
      </c>
      <c r="D328" t="s">
        <v>370</v>
      </c>
      <c r="E328" t="s">
        <v>13</v>
      </c>
      <c r="F328">
        <v>509.51</v>
      </c>
      <c r="G328">
        <v>70.430000000000007</v>
      </c>
      <c r="H328">
        <v>579.94000000000005</v>
      </c>
    </row>
    <row r="329" spans="1:8" x14ac:dyDescent="0.35">
      <c r="A329" t="s">
        <v>9</v>
      </c>
      <c r="B329" t="s">
        <v>380</v>
      </c>
      <c r="C329" t="s">
        <v>11</v>
      </c>
      <c r="D329" t="s">
        <v>370</v>
      </c>
      <c r="E329" t="s">
        <v>13</v>
      </c>
      <c r="F329">
        <v>181.69</v>
      </c>
      <c r="G329">
        <v>18.260000000000002</v>
      </c>
      <c r="H329">
        <v>199.95</v>
      </c>
    </row>
    <row r="330" spans="1:8" x14ac:dyDescent="0.35">
      <c r="A330" t="s">
        <v>9</v>
      </c>
      <c r="B330" t="s">
        <v>381</v>
      </c>
      <c r="C330" t="s">
        <v>11</v>
      </c>
      <c r="D330" t="s">
        <v>370</v>
      </c>
      <c r="E330" t="s">
        <v>13</v>
      </c>
      <c r="F330">
        <v>490.28</v>
      </c>
      <c r="G330">
        <v>61.54</v>
      </c>
      <c r="H330">
        <v>551.82000000000005</v>
      </c>
    </row>
    <row r="331" spans="1:8" x14ac:dyDescent="0.35">
      <c r="A331" t="s">
        <v>9</v>
      </c>
      <c r="B331" t="s">
        <v>382</v>
      </c>
      <c r="C331" t="s">
        <v>11</v>
      </c>
      <c r="D331" t="s">
        <v>383</v>
      </c>
      <c r="E331" t="s">
        <v>13</v>
      </c>
      <c r="F331">
        <v>801.38</v>
      </c>
      <c r="G331">
        <v>94.42</v>
      </c>
      <c r="H331">
        <v>895.8</v>
      </c>
    </row>
    <row r="332" spans="1:8" x14ac:dyDescent="0.35">
      <c r="A332" t="s">
        <v>9</v>
      </c>
      <c r="B332" t="s">
        <v>384</v>
      </c>
      <c r="C332" t="s">
        <v>11</v>
      </c>
      <c r="D332" t="s">
        <v>383</v>
      </c>
      <c r="E332" t="s">
        <v>13</v>
      </c>
      <c r="F332">
        <v>196.12</v>
      </c>
      <c r="G332">
        <v>16.82</v>
      </c>
      <c r="H332">
        <v>212.94</v>
      </c>
    </row>
    <row r="333" spans="1:8" x14ac:dyDescent="0.35">
      <c r="A333" t="s">
        <v>9</v>
      </c>
      <c r="B333" t="s">
        <v>385</v>
      </c>
      <c r="C333" t="s">
        <v>11</v>
      </c>
      <c r="D333" t="s">
        <v>383</v>
      </c>
      <c r="E333" t="s">
        <v>13</v>
      </c>
      <c r="F333">
        <v>211.83</v>
      </c>
      <c r="G333">
        <v>31.77</v>
      </c>
      <c r="H333">
        <v>243.6</v>
      </c>
    </row>
    <row r="334" spans="1:8" x14ac:dyDescent="0.35">
      <c r="A334" t="s">
        <v>9</v>
      </c>
      <c r="B334" t="s">
        <v>386</v>
      </c>
      <c r="C334" t="s">
        <v>11</v>
      </c>
      <c r="D334" t="s">
        <v>383</v>
      </c>
      <c r="E334" t="s">
        <v>13</v>
      </c>
      <c r="F334">
        <v>122.57</v>
      </c>
      <c r="G334">
        <v>18.39</v>
      </c>
      <c r="H334">
        <v>140.96</v>
      </c>
    </row>
    <row r="335" spans="1:8" x14ac:dyDescent="0.35">
      <c r="A335" t="s">
        <v>9</v>
      </c>
      <c r="B335" t="s">
        <v>387</v>
      </c>
      <c r="C335" t="s">
        <v>11</v>
      </c>
      <c r="D335" t="s">
        <v>383</v>
      </c>
      <c r="E335" t="s">
        <v>13</v>
      </c>
      <c r="F335">
        <v>472.88</v>
      </c>
      <c r="G335">
        <v>50.99</v>
      </c>
      <c r="H335">
        <v>523.87</v>
      </c>
    </row>
    <row r="336" spans="1:8" x14ac:dyDescent="0.35">
      <c r="A336" t="s">
        <v>9</v>
      </c>
      <c r="B336" t="s">
        <v>388</v>
      </c>
      <c r="C336" t="s">
        <v>11</v>
      </c>
      <c r="D336" t="s">
        <v>389</v>
      </c>
      <c r="E336" t="s">
        <v>13</v>
      </c>
      <c r="F336">
        <v>446.03</v>
      </c>
      <c r="G336">
        <v>66.91</v>
      </c>
      <c r="H336">
        <v>512.94000000000005</v>
      </c>
    </row>
    <row r="337" spans="1:8" x14ac:dyDescent="0.35">
      <c r="A337" t="s">
        <v>9</v>
      </c>
      <c r="B337" t="s">
        <v>390</v>
      </c>
      <c r="C337" t="s">
        <v>11</v>
      </c>
      <c r="D337" t="s">
        <v>389</v>
      </c>
      <c r="E337" t="s">
        <v>13</v>
      </c>
      <c r="F337">
        <v>172.97</v>
      </c>
      <c r="G337">
        <v>25.94</v>
      </c>
      <c r="H337">
        <v>198.91</v>
      </c>
    </row>
    <row r="338" spans="1:8" x14ac:dyDescent="0.35">
      <c r="A338" t="s">
        <v>9</v>
      </c>
      <c r="B338" t="s">
        <v>391</v>
      </c>
      <c r="C338" t="s">
        <v>11</v>
      </c>
      <c r="D338" t="s">
        <v>389</v>
      </c>
      <c r="E338" t="s">
        <v>13</v>
      </c>
      <c r="F338">
        <v>331.63</v>
      </c>
      <c r="G338">
        <v>45.25</v>
      </c>
      <c r="H338">
        <v>376.88</v>
      </c>
    </row>
    <row r="339" spans="1:8" x14ac:dyDescent="0.35">
      <c r="A339" t="s">
        <v>9</v>
      </c>
      <c r="B339" t="s">
        <v>392</v>
      </c>
      <c r="C339" t="s">
        <v>11</v>
      </c>
      <c r="D339" t="s">
        <v>389</v>
      </c>
      <c r="E339" t="s">
        <v>13</v>
      </c>
      <c r="F339">
        <v>481.63</v>
      </c>
      <c r="G339">
        <v>69.239999999999995</v>
      </c>
      <c r="H339">
        <v>550.87</v>
      </c>
    </row>
    <row r="340" spans="1:8" x14ac:dyDescent="0.35">
      <c r="A340" t="s">
        <v>9</v>
      </c>
      <c r="B340" t="s">
        <v>393</v>
      </c>
      <c r="C340" t="s">
        <v>11</v>
      </c>
      <c r="D340" t="s">
        <v>389</v>
      </c>
      <c r="E340" t="s">
        <v>13</v>
      </c>
      <c r="F340">
        <v>150.41999999999999</v>
      </c>
      <c r="G340">
        <v>4.57</v>
      </c>
      <c r="H340">
        <v>154.99</v>
      </c>
    </row>
    <row r="341" spans="1:8" x14ac:dyDescent="0.35">
      <c r="A341" t="s">
        <v>9</v>
      </c>
      <c r="B341" t="s">
        <v>394</v>
      </c>
      <c r="C341" t="s">
        <v>11</v>
      </c>
      <c r="D341" t="s">
        <v>389</v>
      </c>
      <c r="E341" t="s">
        <v>13</v>
      </c>
      <c r="F341">
        <v>126.07</v>
      </c>
      <c r="G341">
        <v>18.91</v>
      </c>
      <c r="H341">
        <v>144.97999999999999</v>
      </c>
    </row>
    <row r="342" spans="1:8" x14ac:dyDescent="0.35">
      <c r="A342" t="s">
        <v>9</v>
      </c>
      <c r="B342" t="s">
        <v>395</v>
      </c>
      <c r="C342" t="s">
        <v>11</v>
      </c>
      <c r="D342" t="s">
        <v>389</v>
      </c>
      <c r="E342" t="s">
        <v>13</v>
      </c>
      <c r="F342">
        <v>248.03</v>
      </c>
      <c r="G342">
        <v>27.91</v>
      </c>
      <c r="H342">
        <v>275.94</v>
      </c>
    </row>
    <row r="343" spans="1:8" x14ac:dyDescent="0.35">
      <c r="A343" t="s">
        <v>9</v>
      </c>
      <c r="B343" t="s">
        <v>396</v>
      </c>
      <c r="C343" t="s">
        <v>11</v>
      </c>
      <c r="D343" t="s">
        <v>389</v>
      </c>
      <c r="E343" t="s">
        <v>13</v>
      </c>
      <c r="F343">
        <v>236.1</v>
      </c>
      <c r="G343">
        <v>16.82</v>
      </c>
      <c r="H343">
        <v>252.92</v>
      </c>
    </row>
    <row r="344" spans="1:8" x14ac:dyDescent="0.35">
      <c r="A344" t="s">
        <v>9</v>
      </c>
      <c r="B344" t="s">
        <v>397</v>
      </c>
      <c r="C344" t="s">
        <v>11</v>
      </c>
      <c r="D344" t="s">
        <v>389</v>
      </c>
      <c r="E344" t="s">
        <v>13</v>
      </c>
      <c r="F344">
        <v>287.38</v>
      </c>
      <c r="G344">
        <v>38.61</v>
      </c>
      <c r="H344">
        <v>325.99</v>
      </c>
    </row>
    <row r="345" spans="1:8" x14ac:dyDescent="0.35">
      <c r="A345" t="s">
        <v>9</v>
      </c>
      <c r="B345" t="s">
        <v>398</v>
      </c>
      <c r="C345" t="s">
        <v>11</v>
      </c>
      <c r="D345" t="s">
        <v>399</v>
      </c>
      <c r="E345" t="s">
        <v>13</v>
      </c>
      <c r="F345">
        <v>374.23</v>
      </c>
      <c r="G345">
        <v>54.64</v>
      </c>
      <c r="H345">
        <v>428.87</v>
      </c>
    </row>
    <row r="346" spans="1:8" x14ac:dyDescent="0.35">
      <c r="A346" t="s">
        <v>9</v>
      </c>
      <c r="B346" t="s">
        <v>400</v>
      </c>
      <c r="C346" t="s">
        <v>11</v>
      </c>
      <c r="D346" t="s">
        <v>399</v>
      </c>
      <c r="E346" t="s">
        <v>13</v>
      </c>
      <c r="F346">
        <v>284.77</v>
      </c>
      <c r="G346">
        <v>27.12</v>
      </c>
      <c r="H346">
        <v>311.89</v>
      </c>
    </row>
    <row r="347" spans="1:8" x14ac:dyDescent="0.35">
      <c r="A347" t="s">
        <v>9</v>
      </c>
      <c r="B347" t="s">
        <v>401</v>
      </c>
      <c r="C347" t="s">
        <v>11</v>
      </c>
      <c r="D347" t="s">
        <v>399</v>
      </c>
      <c r="E347" t="s">
        <v>13</v>
      </c>
      <c r="F347">
        <v>199.09</v>
      </c>
      <c r="G347">
        <v>20.87</v>
      </c>
      <c r="H347">
        <v>219.96</v>
      </c>
    </row>
    <row r="348" spans="1:8" x14ac:dyDescent="0.35">
      <c r="A348" t="s">
        <v>9</v>
      </c>
      <c r="B348" t="s">
        <v>402</v>
      </c>
      <c r="C348" t="s">
        <v>11</v>
      </c>
      <c r="D348" t="s">
        <v>399</v>
      </c>
      <c r="E348" t="s">
        <v>13</v>
      </c>
      <c r="F348">
        <v>173.86</v>
      </c>
      <c r="G348">
        <v>26.08</v>
      </c>
      <c r="H348">
        <v>199.94</v>
      </c>
    </row>
    <row r="349" spans="1:8" x14ac:dyDescent="0.35">
      <c r="A349" t="s">
        <v>9</v>
      </c>
      <c r="B349" t="s">
        <v>403</v>
      </c>
      <c r="C349" t="s">
        <v>11</v>
      </c>
      <c r="D349" t="s">
        <v>399</v>
      </c>
      <c r="E349" t="s">
        <v>13</v>
      </c>
      <c r="F349">
        <v>276.31</v>
      </c>
      <c r="G349">
        <v>41.45</v>
      </c>
      <c r="H349">
        <v>317.76</v>
      </c>
    </row>
    <row r="350" spans="1:8" x14ac:dyDescent="0.35">
      <c r="A350" t="s">
        <v>9</v>
      </c>
      <c r="B350" t="s">
        <v>404</v>
      </c>
      <c r="C350" t="s">
        <v>11</v>
      </c>
      <c r="D350" t="s">
        <v>405</v>
      </c>
      <c r="E350" t="s">
        <v>13</v>
      </c>
      <c r="F350">
        <v>197.32</v>
      </c>
      <c r="G350">
        <v>26.6</v>
      </c>
      <c r="H350">
        <v>223.92</v>
      </c>
    </row>
    <row r="351" spans="1:8" x14ac:dyDescent="0.35">
      <c r="A351" t="s">
        <v>9</v>
      </c>
      <c r="B351" t="s">
        <v>406</v>
      </c>
      <c r="C351" t="s">
        <v>11</v>
      </c>
      <c r="D351" t="s">
        <v>405</v>
      </c>
      <c r="E351" t="s">
        <v>13</v>
      </c>
      <c r="F351">
        <v>166.11</v>
      </c>
      <c r="G351">
        <v>18.32</v>
      </c>
      <c r="H351">
        <v>184.43</v>
      </c>
    </row>
    <row r="352" spans="1:8" x14ac:dyDescent="0.35">
      <c r="A352" t="s">
        <v>9</v>
      </c>
      <c r="B352" t="s">
        <v>407</v>
      </c>
      <c r="C352" t="s">
        <v>11</v>
      </c>
      <c r="D352" t="s">
        <v>405</v>
      </c>
      <c r="E352" t="s">
        <v>13</v>
      </c>
      <c r="F352">
        <v>277.81</v>
      </c>
      <c r="G352">
        <v>38.67</v>
      </c>
      <c r="H352">
        <v>316.48</v>
      </c>
    </row>
    <row r="353" spans="1:8" x14ac:dyDescent="0.35">
      <c r="A353" t="s">
        <v>9</v>
      </c>
      <c r="B353" t="s">
        <v>408</v>
      </c>
      <c r="C353" t="s">
        <v>11</v>
      </c>
      <c r="D353" t="s">
        <v>405</v>
      </c>
      <c r="E353" t="s">
        <v>13</v>
      </c>
      <c r="F353">
        <v>194.59</v>
      </c>
      <c r="G353">
        <v>20.190000000000001</v>
      </c>
      <c r="H353">
        <v>214.78</v>
      </c>
    </row>
    <row r="354" spans="1:8" x14ac:dyDescent="0.35">
      <c r="A354" t="s">
        <v>9</v>
      </c>
      <c r="B354" t="s">
        <v>409</v>
      </c>
      <c r="C354" t="s">
        <v>11</v>
      </c>
      <c r="D354" t="s">
        <v>405</v>
      </c>
      <c r="E354" t="s">
        <v>13</v>
      </c>
      <c r="F354">
        <v>162.15</v>
      </c>
      <c r="G354">
        <v>22.82</v>
      </c>
      <c r="H354">
        <v>184.97</v>
      </c>
    </row>
    <row r="355" spans="1:8" x14ac:dyDescent="0.35">
      <c r="A355" t="s">
        <v>9</v>
      </c>
      <c r="B355" t="s">
        <v>410</v>
      </c>
      <c r="C355" t="s">
        <v>11</v>
      </c>
      <c r="D355" t="s">
        <v>405</v>
      </c>
      <c r="E355" t="s">
        <v>13</v>
      </c>
      <c r="F355">
        <v>264.75</v>
      </c>
      <c r="G355">
        <v>38.21</v>
      </c>
      <c r="H355">
        <v>302.95999999999998</v>
      </c>
    </row>
    <row r="356" spans="1:8" x14ac:dyDescent="0.35">
      <c r="A356" t="s">
        <v>9</v>
      </c>
      <c r="B356" t="s">
        <v>411</v>
      </c>
      <c r="C356" t="s">
        <v>11</v>
      </c>
      <c r="D356" t="s">
        <v>405</v>
      </c>
      <c r="E356" t="s">
        <v>13</v>
      </c>
      <c r="F356">
        <v>393.61</v>
      </c>
      <c r="G356">
        <v>48.25</v>
      </c>
      <c r="H356">
        <v>441.86</v>
      </c>
    </row>
    <row r="357" spans="1:8" x14ac:dyDescent="0.35">
      <c r="A357" t="s">
        <v>9</v>
      </c>
      <c r="B357" t="s">
        <v>412</v>
      </c>
      <c r="C357" t="s">
        <v>11</v>
      </c>
      <c r="D357" t="s">
        <v>413</v>
      </c>
      <c r="E357" t="s">
        <v>13</v>
      </c>
      <c r="F357">
        <v>141.28</v>
      </c>
      <c r="G357">
        <v>16.690000000000001</v>
      </c>
      <c r="H357">
        <v>157.97</v>
      </c>
    </row>
    <row r="358" spans="1:8" x14ac:dyDescent="0.35">
      <c r="A358" t="s">
        <v>9</v>
      </c>
      <c r="B358" t="s">
        <v>414</v>
      </c>
      <c r="C358" t="s">
        <v>11</v>
      </c>
      <c r="D358" t="s">
        <v>413</v>
      </c>
      <c r="E358" t="s">
        <v>13</v>
      </c>
      <c r="F358">
        <v>357.35</v>
      </c>
      <c r="G358">
        <v>38.61</v>
      </c>
      <c r="H358">
        <v>395.96</v>
      </c>
    </row>
    <row r="359" spans="1:8" x14ac:dyDescent="0.35">
      <c r="A359" t="s">
        <v>9</v>
      </c>
      <c r="B359" t="s">
        <v>415</v>
      </c>
      <c r="C359" t="s">
        <v>11</v>
      </c>
      <c r="D359" t="s">
        <v>413</v>
      </c>
      <c r="E359" t="s">
        <v>13</v>
      </c>
      <c r="F359">
        <v>134.47999999999999</v>
      </c>
      <c r="G359">
        <v>8.48</v>
      </c>
      <c r="H359">
        <v>142.96</v>
      </c>
    </row>
    <row r="360" spans="1:8" x14ac:dyDescent="0.35">
      <c r="A360" t="s">
        <v>9</v>
      </c>
      <c r="B360" t="s">
        <v>416</v>
      </c>
      <c r="C360" t="s">
        <v>11</v>
      </c>
      <c r="D360" t="s">
        <v>413</v>
      </c>
      <c r="E360" t="s">
        <v>13</v>
      </c>
      <c r="F360">
        <v>275.58999999999997</v>
      </c>
      <c r="G360">
        <v>29.34</v>
      </c>
      <c r="H360">
        <v>304.93</v>
      </c>
    </row>
    <row r="361" spans="1:8" x14ac:dyDescent="0.35">
      <c r="A361" t="s">
        <v>9</v>
      </c>
      <c r="B361" t="s">
        <v>417</v>
      </c>
      <c r="C361" t="s">
        <v>11</v>
      </c>
      <c r="D361" t="s">
        <v>413</v>
      </c>
      <c r="E361" t="s">
        <v>13</v>
      </c>
      <c r="F361">
        <v>116.68</v>
      </c>
      <c r="G361">
        <v>13.3</v>
      </c>
      <c r="H361">
        <v>129.97999999999999</v>
      </c>
    </row>
    <row r="362" spans="1:8" x14ac:dyDescent="0.35">
      <c r="A362" t="s">
        <v>9</v>
      </c>
      <c r="B362" t="s">
        <v>418</v>
      </c>
      <c r="C362" t="s">
        <v>11</v>
      </c>
      <c r="D362" t="s">
        <v>413</v>
      </c>
      <c r="E362" t="s">
        <v>13</v>
      </c>
      <c r="F362">
        <v>530.07000000000005</v>
      </c>
      <c r="G362">
        <v>30.77</v>
      </c>
      <c r="H362">
        <v>560.84</v>
      </c>
    </row>
    <row r="363" spans="1:8" x14ac:dyDescent="0.35">
      <c r="A363" t="s">
        <v>9</v>
      </c>
      <c r="B363" t="s">
        <v>419</v>
      </c>
      <c r="C363" t="s">
        <v>11</v>
      </c>
      <c r="D363" t="s">
        <v>413</v>
      </c>
      <c r="E363" t="s">
        <v>13</v>
      </c>
      <c r="F363">
        <v>155.19</v>
      </c>
      <c r="G363">
        <v>12.65</v>
      </c>
      <c r="H363">
        <v>167.84</v>
      </c>
    </row>
    <row r="364" spans="1:8" x14ac:dyDescent="0.35">
      <c r="A364" t="s">
        <v>9</v>
      </c>
      <c r="B364" t="s">
        <v>420</v>
      </c>
      <c r="C364" t="s">
        <v>11</v>
      </c>
      <c r="D364" t="s">
        <v>421</v>
      </c>
      <c r="E364" t="s">
        <v>13</v>
      </c>
      <c r="F364">
        <v>223.01</v>
      </c>
      <c r="G364">
        <v>31.95</v>
      </c>
      <c r="H364">
        <v>254.96</v>
      </c>
    </row>
    <row r="365" spans="1:8" x14ac:dyDescent="0.35">
      <c r="A365" t="s">
        <v>9</v>
      </c>
      <c r="B365" t="s">
        <v>422</v>
      </c>
      <c r="C365" t="s">
        <v>11</v>
      </c>
      <c r="D365" t="s">
        <v>421</v>
      </c>
      <c r="E365" t="s">
        <v>13</v>
      </c>
      <c r="F365">
        <v>223.43</v>
      </c>
      <c r="G365">
        <v>33.51</v>
      </c>
      <c r="H365">
        <v>256.94</v>
      </c>
    </row>
    <row r="366" spans="1:8" x14ac:dyDescent="0.35">
      <c r="A366" t="s">
        <v>9</v>
      </c>
      <c r="B366" t="s">
        <v>423</v>
      </c>
      <c r="C366" t="s">
        <v>11</v>
      </c>
      <c r="D366" t="s">
        <v>421</v>
      </c>
      <c r="E366" t="s">
        <v>13</v>
      </c>
      <c r="F366">
        <v>230.28</v>
      </c>
      <c r="G366">
        <v>18.649999999999999</v>
      </c>
      <c r="H366">
        <v>248.93</v>
      </c>
    </row>
    <row r="367" spans="1:8" x14ac:dyDescent="0.35">
      <c r="A367" t="s">
        <v>9</v>
      </c>
      <c r="B367" t="s">
        <v>424</v>
      </c>
      <c r="C367" t="s">
        <v>11</v>
      </c>
      <c r="D367" t="s">
        <v>421</v>
      </c>
      <c r="E367" t="s">
        <v>13</v>
      </c>
      <c r="F367">
        <v>404.18</v>
      </c>
      <c r="G367">
        <v>52.68</v>
      </c>
      <c r="H367">
        <v>456.86</v>
      </c>
    </row>
    <row r="368" spans="1:8" x14ac:dyDescent="0.35">
      <c r="A368" t="s">
        <v>9</v>
      </c>
      <c r="B368" t="s">
        <v>425</v>
      </c>
      <c r="C368" t="s">
        <v>11</v>
      </c>
      <c r="D368" t="s">
        <v>421</v>
      </c>
      <c r="E368" t="s">
        <v>13</v>
      </c>
      <c r="F368">
        <v>256.95</v>
      </c>
      <c r="G368">
        <v>30</v>
      </c>
      <c r="H368">
        <v>286.95</v>
      </c>
    </row>
    <row r="369" spans="1:8" x14ac:dyDescent="0.35">
      <c r="A369" t="s">
        <v>9</v>
      </c>
      <c r="B369" t="s">
        <v>426</v>
      </c>
      <c r="C369" t="s">
        <v>11</v>
      </c>
      <c r="D369" t="s">
        <v>421</v>
      </c>
      <c r="E369" t="s">
        <v>13</v>
      </c>
      <c r="F369">
        <v>150.16</v>
      </c>
      <c r="G369">
        <v>15.77</v>
      </c>
      <c r="H369">
        <v>165.93</v>
      </c>
    </row>
    <row r="370" spans="1:8" x14ac:dyDescent="0.35">
      <c r="A370" t="s">
        <v>9</v>
      </c>
      <c r="B370" t="s">
        <v>427</v>
      </c>
      <c r="C370" t="s">
        <v>11</v>
      </c>
      <c r="D370" t="s">
        <v>428</v>
      </c>
      <c r="E370" t="s">
        <v>13</v>
      </c>
      <c r="F370">
        <v>232.19</v>
      </c>
      <c r="G370">
        <v>15.78</v>
      </c>
      <c r="H370">
        <v>247.97</v>
      </c>
    </row>
    <row r="371" spans="1:8" x14ac:dyDescent="0.35">
      <c r="A371" t="s">
        <v>9</v>
      </c>
      <c r="B371" t="s">
        <v>429</v>
      </c>
      <c r="C371" t="s">
        <v>11</v>
      </c>
      <c r="D371" t="s">
        <v>428</v>
      </c>
      <c r="E371" t="s">
        <v>13</v>
      </c>
      <c r="F371">
        <v>207.79</v>
      </c>
      <c r="G371">
        <v>28.17</v>
      </c>
      <c r="H371">
        <v>235.96</v>
      </c>
    </row>
    <row r="372" spans="1:8" x14ac:dyDescent="0.35">
      <c r="A372" t="s">
        <v>9</v>
      </c>
      <c r="B372" t="s">
        <v>430</v>
      </c>
      <c r="C372" t="s">
        <v>11</v>
      </c>
      <c r="D372" t="s">
        <v>428</v>
      </c>
      <c r="E372" t="s">
        <v>13</v>
      </c>
      <c r="F372">
        <v>209.1</v>
      </c>
      <c r="G372">
        <v>29.86</v>
      </c>
      <c r="H372">
        <v>238.96</v>
      </c>
    </row>
    <row r="373" spans="1:8" x14ac:dyDescent="0.35">
      <c r="A373" t="s">
        <v>9</v>
      </c>
      <c r="B373" t="s">
        <v>431</v>
      </c>
      <c r="C373" t="s">
        <v>11</v>
      </c>
      <c r="D373" t="s">
        <v>428</v>
      </c>
      <c r="E373" t="s">
        <v>13</v>
      </c>
      <c r="F373">
        <v>133.87</v>
      </c>
      <c r="G373">
        <v>18.579999999999998</v>
      </c>
      <c r="H373">
        <v>152.44999999999999</v>
      </c>
    </row>
    <row r="374" spans="1:8" x14ac:dyDescent="0.35">
      <c r="A374" t="s">
        <v>9</v>
      </c>
      <c r="B374" t="s">
        <v>432</v>
      </c>
      <c r="C374" t="s">
        <v>11</v>
      </c>
      <c r="D374" t="s">
        <v>428</v>
      </c>
      <c r="E374" t="s">
        <v>13</v>
      </c>
      <c r="F374">
        <v>246.9</v>
      </c>
      <c r="G374">
        <v>37.03</v>
      </c>
      <c r="H374">
        <v>283.93</v>
      </c>
    </row>
    <row r="375" spans="1:8" x14ac:dyDescent="0.35">
      <c r="A375" t="s">
        <v>9</v>
      </c>
      <c r="B375" t="s">
        <v>433</v>
      </c>
      <c r="C375" t="s">
        <v>11</v>
      </c>
      <c r="D375" t="s">
        <v>428</v>
      </c>
      <c r="E375" t="s">
        <v>13</v>
      </c>
      <c r="F375">
        <v>883.4</v>
      </c>
      <c r="G375">
        <v>72.38</v>
      </c>
      <c r="H375">
        <v>955.78</v>
      </c>
    </row>
    <row r="376" spans="1:8" x14ac:dyDescent="0.35">
      <c r="A376" t="s">
        <v>9</v>
      </c>
      <c r="B376" t="s">
        <v>434</v>
      </c>
      <c r="C376" t="s">
        <v>11</v>
      </c>
      <c r="D376" t="s">
        <v>428</v>
      </c>
      <c r="E376" t="s">
        <v>13</v>
      </c>
      <c r="F376">
        <v>251.66</v>
      </c>
      <c r="G376">
        <v>24.25</v>
      </c>
      <c r="H376">
        <v>275.91000000000003</v>
      </c>
    </row>
    <row r="377" spans="1:8" x14ac:dyDescent="0.35">
      <c r="A377" t="s">
        <v>9</v>
      </c>
      <c r="B377" t="s">
        <v>435</v>
      </c>
      <c r="C377" t="s">
        <v>11</v>
      </c>
      <c r="D377" t="s">
        <v>428</v>
      </c>
      <c r="E377" t="s">
        <v>13</v>
      </c>
      <c r="F377">
        <v>120.83</v>
      </c>
      <c r="G377">
        <v>18.13</v>
      </c>
      <c r="H377">
        <v>138.96</v>
      </c>
    </row>
    <row r="378" spans="1:8" x14ac:dyDescent="0.35">
      <c r="A378" t="s">
        <v>9</v>
      </c>
      <c r="B378" t="s">
        <v>436</v>
      </c>
      <c r="C378" t="s">
        <v>11</v>
      </c>
      <c r="D378" t="s">
        <v>428</v>
      </c>
      <c r="E378" t="s">
        <v>13</v>
      </c>
      <c r="F378">
        <v>778.12</v>
      </c>
      <c r="G378">
        <v>91.67</v>
      </c>
      <c r="H378">
        <v>869.79</v>
      </c>
    </row>
    <row r="379" spans="1:8" x14ac:dyDescent="0.35">
      <c r="A379" t="s">
        <v>9</v>
      </c>
      <c r="B379" t="s">
        <v>437</v>
      </c>
      <c r="C379" t="s">
        <v>11</v>
      </c>
      <c r="D379" t="s">
        <v>428</v>
      </c>
      <c r="E379" t="s">
        <v>13</v>
      </c>
      <c r="F379">
        <v>837.63</v>
      </c>
      <c r="G379">
        <v>87.1</v>
      </c>
      <c r="H379">
        <v>924.73</v>
      </c>
    </row>
    <row r="380" spans="1:8" x14ac:dyDescent="0.35">
      <c r="A380" t="s">
        <v>9</v>
      </c>
      <c r="B380" t="s">
        <v>438</v>
      </c>
      <c r="C380" t="s">
        <v>11</v>
      </c>
      <c r="D380" t="s">
        <v>428</v>
      </c>
      <c r="E380" t="s">
        <v>13</v>
      </c>
      <c r="F380">
        <v>482.01</v>
      </c>
      <c r="G380">
        <v>64.8</v>
      </c>
      <c r="H380">
        <v>546.80999999999995</v>
      </c>
    </row>
    <row r="381" spans="1:8" x14ac:dyDescent="0.35">
      <c r="A381" t="s">
        <v>9</v>
      </c>
      <c r="B381" t="s">
        <v>439</v>
      </c>
      <c r="C381" t="s">
        <v>11</v>
      </c>
      <c r="D381" t="s">
        <v>428</v>
      </c>
      <c r="E381" t="s">
        <v>13</v>
      </c>
      <c r="F381">
        <v>318.55</v>
      </c>
      <c r="G381">
        <v>30.38</v>
      </c>
      <c r="H381">
        <v>348.93</v>
      </c>
    </row>
    <row r="382" spans="1:8" x14ac:dyDescent="0.35">
      <c r="A382" t="s">
        <v>9</v>
      </c>
      <c r="B382" t="s">
        <v>440</v>
      </c>
      <c r="C382" t="s">
        <v>11</v>
      </c>
      <c r="D382" t="s">
        <v>428</v>
      </c>
      <c r="E382" t="s">
        <v>13</v>
      </c>
      <c r="F382">
        <v>175.3</v>
      </c>
      <c r="G382">
        <v>9.65</v>
      </c>
      <c r="H382">
        <v>184.95</v>
      </c>
    </row>
    <row r="383" spans="1:8" x14ac:dyDescent="0.35">
      <c r="A383" t="s">
        <v>9</v>
      </c>
      <c r="B383" t="s">
        <v>441</v>
      </c>
      <c r="C383" t="s">
        <v>11</v>
      </c>
      <c r="D383" t="s">
        <v>428</v>
      </c>
      <c r="E383" t="s">
        <v>13</v>
      </c>
      <c r="F383">
        <v>219.47</v>
      </c>
      <c r="G383">
        <v>17.47</v>
      </c>
      <c r="H383">
        <v>236.94</v>
      </c>
    </row>
    <row r="384" spans="1:8" x14ac:dyDescent="0.35">
      <c r="A384" t="s">
        <v>9</v>
      </c>
      <c r="B384" t="s">
        <v>442</v>
      </c>
      <c r="C384" t="s">
        <v>11</v>
      </c>
      <c r="D384" t="s">
        <v>443</v>
      </c>
      <c r="E384" t="s">
        <v>13</v>
      </c>
      <c r="F384">
        <v>124.31</v>
      </c>
      <c r="G384">
        <v>18.649999999999999</v>
      </c>
      <c r="H384">
        <v>142.96</v>
      </c>
    </row>
    <row r="385" spans="1:8" x14ac:dyDescent="0.35">
      <c r="A385" t="s">
        <v>9</v>
      </c>
      <c r="B385" t="s">
        <v>444</v>
      </c>
      <c r="C385" t="s">
        <v>11</v>
      </c>
      <c r="D385" t="s">
        <v>443</v>
      </c>
      <c r="E385" t="s">
        <v>13</v>
      </c>
      <c r="F385">
        <v>447.39</v>
      </c>
      <c r="G385">
        <v>54.51</v>
      </c>
      <c r="H385">
        <v>501.9</v>
      </c>
    </row>
    <row r="386" spans="1:8" x14ac:dyDescent="0.35">
      <c r="A386" t="s">
        <v>9</v>
      </c>
      <c r="B386" t="s">
        <v>445</v>
      </c>
      <c r="C386" t="s">
        <v>11</v>
      </c>
      <c r="D386" t="s">
        <v>443</v>
      </c>
      <c r="E386" t="s">
        <v>13</v>
      </c>
      <c r="F386">
        <v>249.48</v>
      </c>
      <c r="G386">
        <v>17.47</v>
      </c>
      <c r="H386">
        <v>266.95</v>
      </c>
    </row>
    <row r="387" spans="1:8" x14ac:dyDescent="0.35">
      <c r="A387" t="s">
        <v>9</v>
      </c>
      <c r="B387" t="s">
        <v>446</v>
      </c>
      <c r="C387" t="s">
        <v>11</v>
      </c>
      <c r="D387" t="s">
        <v>443</v>
      </c>
      <c r="E387" t="s">
        <v>13</v>
      </c>
      <c r="F387">
        <v>223.89</v>
      </c>
      <c r="G387">
        <v>16.04</v>
      </c>
      <c r="H387">
        <v>239.93</v>
      </c>
    </row>
    <row r="388" spans="1:8" x14ac:dyDescent="0.35">
      <c r="A388" t="s">
        <v>9</v>
      </c>
      <c r="B388" t="s">
        <v>447</v>
      </c>
      <c r="C388" t="s">
        <v>11</v>
      </c>
      <c r="D388" t="s">
        <v>443</v>
      </c>
      <c r="E388" t="s">
        <v>13</v>
      </c>
      <c r="F388">
        <v>127.28</v>
      </c>
      <c r="G388">
        <v>14.59</v>
      </c>
      <c r="H388">
        <v>141.87</v>
      </c>
    </row>
    <row r="389" spans="1:8" x14ac:dyDescent="0.35">
      <c r="A389" t="s">
        <v>9</v>
      </c>
      <c r="B389" t="s">
        <v>448</v>
      </c>
      <c r="C389" t="s">
        <v>11</v>
      </c>
      <c r="D389" t="s">
        <v>449</v>
      </c>
      <c r="E389" t="s">
        <v>13</v>
      </c>
      <c r="F389">
        <v>155.4</v>
      </c>
      <c r="G389">
        <v>4.57</v>
      </c>
      <c r="H389">
        <v>159.97</v>
      </c>
    </row>
    <row r="390" spans="1:8" x14ac:dyDescent="0.35">
      <c r="A390" t="s">
        <v>9</v>
      </c>
      <c r="B390" t="s">
        <v>450</v>
      </c>
      <c r="C390" t="s">
        <v>11</v>
      </c>
      <c r="D390" t="s">
        <v>449</v>
      </c>
      <c r="E390" t="s">
        <v>13</v>
      </c>
      <c r="F390">
        <v>119.81</v>
      </c>
      <c r="G390">
        <v>17.97</v>
      </c>
      <c r="H390">
        <v>137.78</v>
      </c>
    </row>
    <row r="391" spans="1:8" x14ac:dyDescent="0.35">
      <c r="A391" t="s">
        <v>9</v>
      </c>
      <c r="B391" t="s">
        <v>451</v>
      </c>
      <c r="C391" t="s">
        <v>11</v>
      </c>
      <c r="D391" t="s">
        <v>449</v>
      </c>
      <c r="E391" t="s">
        <v>13</v>
      </c>
      <c r="F391">
        <v>336.49</v>
      </c>
      <c r="G391">
        <v>43.42</v>
      </c>
      <c r="H391">
        <v>379.91</v>
      </c>
    </row>
    <row r="392" spans="1:8" x14ac:dyDescent="0.35">
      <c r="A392" t="s">
        <v>9</v>
      </c>
      <c r="B392" t="s">
        <v>452</v>
      </c>
      <c r="C392" t="s">
        <v>11</v>
      </c>
      <c r="D392" t="s">
        <v>449</v>
      </c>
      <c r="E392" t="s">
        <v>13</v>
      </c>
      <c r="F392">
        <v>584.91</v>
      </c>
      <c r="G392">
        <v>80.239999999999995</v>
      </c>
      <c r="H392">
        <v>665.15</v>
      </c>
    </row>
    <row r="393" spans="1:8" x14ac:dyDescent="0.35">
      <c r="A393" t="s">
        <v>9</v>
      </c>
      <c r="B393" t="s">
        <v>453</v>
      </c>
      <c r="C393" t="s">
        <v>11</v>
      </c>
      <c r="D393" t="s">
        <v>449</v>
      </c>
      <c r="E393" t="s">
        <v>13</v>
      </c>
      <c r="F393">
        <v>392.75</v>
      </c>
      <c r="G393">
        <v>31.77</v>
      </c>
      <c r="H393">
        <v>424.52</v>
      </c>
    </row>
    <row r="394" spans="1:8" x14ac:dyDescent="0.35">
      <c r="A394" t="s">
        <v>9</v>
      </c>
      <c r="B394" t="s">
        <v>454</v>
      </c>
      <c r="C394" t="s">
        <v>11</v>
      </c>
      <c r="D394" t="s">
        <v>449</v>
      </c>
      <c r="E394" t="s">
        <v>13</v>
      </c>
      <c r="F394">
        <v>139.11000000000001</v>
      </c>
      <c r="G394">
        <v>20.87</v>
      </c>
      <c r="H394">
        <v>159.97999999999999</v>
      </c>
    </row>
    <row r="395" spans="1:8" x14ac:dyDescent="0.35">
      <c r="A395" t="s">
        <v>9</v>
      </c>
      <c r="B395" t="s">
        <v>455</v>
      </c>
      <c r="C395" t="s">
        <v>11</v>
      </c>
      <c r="D395" t="s">
        <v>449</v>
      </c>
      <c r="E395" t="s">
        <v>13</v>
      </c>
      <c r="F395">
        <v>508.58</v>
      </c>
      <c r="G395">
        <v>73.290000000000006</v>
      </c>
      <c r="H395">
        <v>581.87</v>
      </c>
    </row>
    <row r="396" spans="1:8" x14ac:dyDescent="0.35">
      <c r="A396" t="s">
        <v>9</v>
      </c>
      <c r="B396" t="s">
        <v>456</v>
      </c>
      <c r="C396" t="s">
        <v>11</v>
      </c>
      <c r="D396" t="s">
        <v>457</v>
      </c>
      <c r="E396" t="s">
        <v>13</v>
      </c>
      <c r="F396">
        <v>413.55</v>
      </c>
      <c r="G396">
        <v>47.34</v>
      </c>
      <c r="H396">
        <v>460.89</v>
      </c>
    </row>
    <row r="397" spans="1:8" x14ac:dyDescent="0.35">
      <c r="A397" t="s">
        <v>9</v>
      </c>
      <c r="B397" t="s">
        <v>458</v>
      </c>
      <c r="C397" t="s">
        <v>11</v>
      </c>
      <c r="D397" t="s">
        <v>457</v>
      </c>
      <c r="E397" t="s">
        <v>13</v>
      </c>
      <c r="F397">
        <v>922.21</v>
      </c>
      <c r="G397">
        <v>95.59</v>
      </c>
      <c r="H397">
        <v>1017.8</v>
      </c>
    </row>
    <row r="398" spans="1:8" x14ac:dyDescent="0.35">
      <c r="A398" t="s">
        <v>9</v>
      </c>
      <c r="B398" t="s">
        <v>459</v>
      </c>
      <c r="C398" t="s">
        <v>11</v>
      </c>
      <c r="D398" t="s">
        <v>457</v>
      </c>
      <c r="E398" t="s">
        <v>13</v>
      </c>
      <c r="F398">
        <v>250.83</v>
      </c>
      <c r="G398">
        <v>36.119999999999997</v>
      </c>
      <c r="H398">
        <v>286.95</v>
      </c>
    </row>
    <row r="399" spans="1:8" x14ac:dyDescent="0.35">
      <c r="A399" t="s">
        <v>9</v>
      </c>
      <c r="B399" t="s">
        <v>460</v>
      </c>
      <c r="C399" t="s">
        <v>11</v>
      </c>
      <c r="D399" t="s">
        <v>457</v>
      </c>
      <c r="E399" t="s">
        <v>13</v>
      </c>
      <c r="F399">
        <v>173.05</v>
      </c>
      <c r="G399">
        <v>24.52</v>
      </c>
      <c r="H399">
        <v>197.57</v>
      </c>
    </row>
    <row r="400" spans="1:8" x14ac:dyDescent="0.35">
      <c r="A400" t="s">
        <v>9</v>
      </c>
      <c r="B400" t="s">
        <v>461</v>
      </c>
      <c r="C400" t="s">
        <v>11</v>
      </c>
      <c r="D400" t="s">
        <v>457</v>
      </c>
      <c r="E400" t="s">
        <v>13</v>
      </c>
      <c r="F400">
        <v>145.44999999999999</v>
      </c>
      <c r="G400">
        <v>15.52</v>
      </c>
      <c r="H400">
        <v>160.97</v>
      </c>
    </row>
    <row r="401" spans="1:8" x14ac:dyDescent="0.35">
      <c r="A401" t="s">
        <v>9</v>
      </c>
      <c r="B401" t="s">
        <v>462</v>
      </c>
      <c r="C401" t="s">
        <v>11</v>
      </c>
      <c r="D401" t="s">
        <v>463</v>
      </c>
      <c r="E401" t="s">
        <v>13</v>
      </c>
      <c r="F401">
        <v>1012.15</v>
      </c>
      <c r="G401">
        <v>116.58</v>
      </c>
      <c r="H401">
        <v>1128.73</v>
      </c>
    </row>
    <row r="402" spans="1:8" x14ac:dyDescent="0.35">
      <c r="A402" t="s">
        <v>9</v>
      </c>
      <c r="B402" t="s">
        <v>464</v>
      </c>
      <c r="C402" t="s">
        <v>11</v>
      </c>
      <c r="D402" t="s">
        <v>463</v>
      </c>
      <c r="E402" t="s">
        <v>13</v>
      </c>
      <c r="F402">
        <v>212.38</v>
      </c>
      <c r="G402">
        <v>12.51</v>
      </c>
      <c r="H402">
        <v>224.89</v>
      </c>
    </row>
    <row r="403" spans="1:8" x14ac:dyDescent="0.35">
      <c r="A403" t="s">
        <v>9</v>
      </c>
      <c r="B403" t="s">
        <v>465</v>
      </c>
      <c r="C403" t="s">
        <v>11</v>
      </c>
      <c r="D403" t="s">
        <v>463</v>
      </c>
      <c r="E403" t="s">
        <v>13</v>
      </c>
      <c r="F403">
        <v>736.56</v>
      </c>
      <c r="G403">
        <v>96.24</v>
      </c>
      <c r="H403">
        <v>832.8</v>
      </c>
    </row>
    <row r="404" spans="1:8" x14ac:dyDescent="0.35">
      <c r="A404" t="s">
        <v>9</v>
      </c>
      <c r="B404" t="s">
        <v>466</v>
      </c>
      <c r="C404" t="s">
        <v>11</v>
      </c>
      <c r="D404" t="s">
        <v>463</v>
      </c>
      <c r="E404" t="s">
        <v>13</v>
      </c>
      <c r="F404">
        <v>491.78</v>
      </c>
      <c r="G404">
        <v>67.77</v>
      </c>
      <c r="H404">
        <v>559.54999999999995</v>
      </c>
    </row>
    <row r="405" spans="1:8" x14ac:dyDescent="0.35">
      <c r="A405" t="s">
        <v>9</v>
      </c>
      <c r="B405" t="s">
        <v>467</v>
      </c>
      <c r="C405" t="s">
        <v>11</v>
      </c>
      <c r="D405" t="s">
        <v>463</v>
      </c>
      <c r="E405" t="s">
        <v>13</v>
      </c>
      <c r="F405">
        <v>246.48</v>
      </c>
      <c r="G405">
        <v>23.48</v>
      </c>
      <c r="H405">
        <v>269.95999999999998</v>
      </c>
    </row>
    <row r="406" spans="1:8" x14ac:dyDescent="0.35">
      <c r="A406" t="s">
        <v>9</v>
      </c>
      <c r="B406" t="s">
        <v>468</v>
      </c>
      <c r="C406" t="s">
        <v>11</v>
      </c>
      <c r="D406" t="s">
        <v>463</v>
      </c>
      <c r="E406" t="s">
        <v>13</v>
      </c>
      <c r="F406">
        <v>234.99</v>
      </c>
      <c r="G406">
        <v>28.95</v>
      </c>
      <c r="H406">
        <v>263.94</v>
      </c>
    </row>
    <row r="407" spans="1:8" x14ac:dyDescent="0.35">
      <c r="A407" t="s">
        <v>9</v>
      </c>
      <c r="B407" t="s">
        <v>469</v>
      </c>
      <c r="C407" t="s">
        <v>11</v>
      </c>
      <c r="D407" t="s">
        <v>463</v>
      </c>
      <c r="E407" t="s">
        <v>13</v>
      </c>
      <c r="F407">
        <v>182.12</v>
      </c>
      <c r="G407">
        <v>25.82</v>
      </c>
      <c r="H407">
        <v>207.94</v>
      </c>
    </row>
    <row r="408" spans="1:8" x14ac:dyDescent="0.35">
      <c r="A408" t="s">
        <v>9</v>
      </c>
      <c r="B408" t="s">
        <v>470</v>
      </c>
      <c r="C408" t="s">
        <v>11</v>
      </c>
      <c r="D408" t="s">
        <v>463</v>
      </c>
      <c r="E408" t="s">
        <v>13</v>
      </c>
      <c r="F408">
        <v>431.58</v>
      </c>
      <c r="G408">
        <v>34.299999999999997</v>
      </c>
      <c r="H408">
        <v>465.88</v>
      </c>
    </row>
    <row r="409" spans="1:8" x14ac:dyDescent="0.35">
      <c r="A409" t="s">
        <v>9</v>
      </c>
      <c r="B409" t="s">
        <v>471</v>
      </c>
      <c r="C409" t="s">
        <v>11</v>
      </c>
      <c r="D409" t="s">
        <v>463</v>
      </c>
      <c r="E409" t="s">
        <v>13</v>
      </c>
      <c r="F409">
        <v>189.54</v>
      </c>
      <c r="G409">
        <v>21.38</v>
      </c>
      <c r="H409">
        <v>210.92</v>
      </c>
    </row>
    <row r="410" spans="1:8" x14ac:dyDescent="0.35">
      <c r="A410" t="s">
        <v>9</v>
      </c>
      <c r="B410" t="s">
        <v>472</v>
      </c>
      <c r="C410" t="s">
        <v>11</v>
      </c>
      <c r="D410" t="s">
        <v>473</v>
      </c>
      <c r="E410" t="s">
        <v>13</v>
      </c>
      <c r="F410">
        <v>423.38</v>
      </c>
      <c r="G410">
        <v>51.51</v>
      </c>
      <c r="H410">
        <v>474.89</v>
      </c>
    </row>
    <row r="411" spans="1:8" x14ac:dyDescent="0.35">
      <c r="A411" t="s">
        <v>9</v>
      </c>
      <c r="B411" t="s">
        <v>474</v>
      </c>
      <c r="C411" t="s">
        <v>11</v>
      </c>
      <c r="D411" t="s">
        <v>473</v>
      </c>
      <c r="E411" t="s">
        <v>13</v>
      </c>
      <c r="F411">
        <v>186.47</v>
      </c>
      <c r="G411">
        <v>26.47</v>
      </c>
      <c r="H411">
        <v>212.94</v>
      </c>
    </row>
    <row r="412" spans="1:8" x14ac:dyDescent="0.35">
      <c r="A412" t="s">
        <v>9</v>
      </c>
      <c r="B412" t="s">
        <v>475</v>
      </c>
      <c r="C412" t="s">
        <v>11</v>
      </c>
      <c r="D412" t="s">
        <v>473</v>
      </c>
      <c r="E412" t="s">
        <v>13</v>
      </c>
      <c r="F412">
        <v>179.94</v>
      </c>
      <c r="G412">
        <v>26.99</v>
      </c>
      <c r="H412">
        <v>206.93</v>
      </c>
    </row>
    <row r="413" spans="1:8" x14ac:dyDescent="0.35">
      <c r="A413" t="s">
        <v>9</v>
      </c>
      <c r="B413" t="s">
        <v>476</v>
      </c>
      <c r="C413" t="s">
        <v>11</v>
      </c>
      <c r="D413" t="s">
        <v>473</v>
      </c>
      <c r="E413" t="s">
        <v>13</v>
      </c>
      <c r="F413">
        <v>264.64999999999998</v>
      </c>
      <c r="G413">
        <v>21.25</v>
      </c>
      <c r="H413">
        <v>285.89999999999998</v>
      </c>
    </row>
    <row r="414" spans="1:8" x14ac:dyDescent="0.35">
      <c r="A414" t="s">
        <v>9</v>
      </c>
      <c r="B414" t="s">
        <v>477</v>
      </c>
      <c r="C414" t="s">
        <v>11</v>
      </c>
      <c r="D414" t="s">
        <v>473</v>
      </c>
      <c r="E414" t="s">
        <v>13</v>
      </c>
      <c r="F414">
        <v>203.91</v>
      </c>
      <c r="G414">
        <v>28.04</v>
      </c>
      <c r="H414">
        <v>231.95</v>
      </c>
    </row>
    <row r="415" spans="1:8" x14ac:dyDescent="0.35">
      <c r="A415" t="s">
        <v>9</v>
      </c>
      <c r="B415" t="s">
        <v>478</v>
      </c>
      <c r="C415" t="s">
        <v>11</v>
      </c>
      <c r="D415" t="s">
        <v>473</v>
      </c>
      <c r="E415" t="s">
        <v>13</v>
      </c>
      <c r="F415">
        <v>171.06</v>
      </c>
      <c r="G415">
        <v>14.41</v>
      </c>
      <c r="H415">
        <v>185.47</v>
      </c>
    </row>
    <row r="416" spans="1:8" x14ac:dyDescent="0.35">
      <c r="A416" t="s">
        <v>9</v>
      </c>
      <c r="B416" t="s">
        <v>479</v>
      </c>
      <c r="C416" t="s">
        <v>11</v>
      </c>
      <c r="D416" t="s">
        <v>480</v>
      </c>
      <c r="E416" t="s">
        <v>13</v>
      </c>
      <c r="F416">
        <v>206.48</v>
      </c>
      <c r="G416">
        <v>29.47</v>
      </c>
      <c r="H416">
        <v>235.95</v>
      </c>
    </row>
    <row r="417" spans="1:8" x14ac:dyDescent="0.35">
      <c r="A417" t="s">
        <v>9</v>
      </c>
      <c r="B417" t="s">
        <v>481</v>
      </c>
      <c r="C417" t="s">
        <v>11</v>
      </c>
      <c r="D417" t="s">
        <v>480</v>
      </c>
      <c r="E417" t="s">
        <v>13</v>
      </c>
      <c r="F417">
        <v>195.77</v>
      </c>
      <c r="G417">
        <v>27.86</v>
      </c>
      <c r="H417">
        <v>223.63</v>
      </c>
    </row>
    <row r="418" spans="1:8" x14ac:dyDescent="0.35">
      <c r="A418" t="s">
        <v>9</v>
      </c>
      <c r="B418" t="s">
        <v>482</v>
      </c>
      <c r="C418" t="s">
        <v>11</v>
      </c>
      <c r="D418" t="s">
        <v>480</v>
      </c>
      <c r="E418" t="s">
        <v>13</v>
      </c>
      <c r="F418">
        <v>575.5</v>
      </c>
      <c r="G418">
        <v>83.33</v>
      </c>
      <c r="H418">
        <v>658.83</v>
      </c>
    </row>
    <row r="419" spans="1:8" x14ac:dyDescent="0.35">
      <c r="A419" t="s">
        <v>9</v>
      </c>
      <c r="B419" t="s">
        <v>483</v>
      </c>
      <c r="C419" t="s">
        <v>11</v>
      </c>
      <c r="D419" t="s">
        <v>480</v>
      </c>
      <c r="E419" t="s">
        <v>13</v>
      </c>
      <c r="F419">
        <v>484.45</v>
      </c>
      <c r="G419">
        <v>47.92</v>
      </c>
      <c r="H419">
        <v>532.37</v>
      </c>
    </row>
    <row r="420" spans="1:8" x14ac:dyDescent="0.35">
      <c r="A420" t="s">
        <v>9</v>
      </c>
      <c r="B420" t="s">
        <v>484</v>
      </c>
      <c r="C420" t="s">
        <v>11</v>
      </c>
      <c r="D420" t="s">
        <v>480</v>
      </c>
      <c r="E420" t="s">
        <v>13</v>
      </c>
      <c r="F420">
        <v>462.93</v>
      </c>
      <c r="G420">
        <v>46.94</v>
      </c>
      <c r="H420">
        <v>509.87</v>
      </c>
    </row>
    <row r="421" spans="1:8" x14ac:dyDescent="0.35">
      <c r="A421" t="s">
        <v>9</v>
      </c>
      <c r="B421" t="s">
        <v>485</v>
      </c>
      <c r="C421" t="s">
        <v>11</v>
      </c>
      <c r="D421" t="s">
        <v>480</v>
      </c>
      <c r="E421" t="s">
        <v>13</v>
      </c>
      <c r="F421">
        <v>174.56</v>
      </c>
      <c r="G421">
        <v>21.38</v>
      </c>
      <c r="H421">
        <v>195.94</v>
      </c>
    </row>
    <row r="422" spans="1:8" x14ac:dyDescent="0.35">
      <c r="A422" t="s">
        <v>9</v>
      </c>
      <c r="B422" t="s">
        <v>486</v>
      </c>
      <c r="C422" t="s">
        <v>11</v>
      </c>
      <c r="D422" t="s">
        <v>480</v>
      </c>
      <c r="E422" t="s">
        <v>13</v>
      </c>
      <c r="F422">
        <v>345.14</v>
      </c>
      <c r="G422">
        <v>24.77</v>
      </c>
      <c r="H422">
        <v>369.91</v>
      </c>
    </row>
    <row r="423" spans="1:8" x14ac:dyDescent="0.35">
      <c r="A423" t="s">
        <v>9</v>
      </c>
      <c r="B423" t="s">
        <v>487</v>
      </c>
      <c r="C423" t="s">
        <v>11</v>
      </c>
      <c r="D423" t="s">
        <v>480</v>
      </c>
      <c r="E423" t="s">
        <v>13</v>
      </c>
      <c r="F423">
        <v>279.10000000000002</v>
      </c>
      <c r="G423">
        <v>41.86</v>
      </c>
      <c r="H423">
        <v>320.95999999999998</v>
      </c>
    </row>
    <row r="424" spans="1:8" x14ac:dyDescent="0.35">
      <c r="A424" t="s">
        <v>9</v>
      </c>
      <c r="B424" t="s">
        <v>488</v>
      </c>
      <c r="C424" t="s">
        <v>11</v>
      </c>
      <c r="D424" t="s">
        <v>480</v>
      </c>
      <c r="E424" t="s">
        <v>13</v>
      </c>
      <c r="F424">
        <v>386.89</v>
      </c>
      <c r="G424">
        <v>58.03</v>
      </c>
      <c r="H424">
        <v>444.92</v>
      </c>
    </row>
    <row r="425" spans="1:8" x14ac:dyDescent="0.35">
      <c r="A425" t="s">
        <v>9</v>
      </c>
      <c r="B425" t="s">
        <v>489</v>
      </c>
      <c r="C425" t="s">
        <v>11</v>
      </c>
      <c r="D425" t="s">
        <v>480</v>
      </c>
      <c r="E425" t="s">
        <v>13</v>
      </c>
      <c r="F425">
        <v>507.25</v>
      </c>
      <c r="G425">
        <v>61.09</v>
      </c>
      <c r="H425">
        <v>568.34</v>
      </c>
    </row>
    <row r="426" spans="1:8" x14ac:dyDescent="0.35">
      <c r="A426" t="s">
        <v>9</v>
      </c>
      <c r="B426" t="s">
        <v>490</v>
      </c>
      <c r="C426" t="s">
        <v>11</v>
      </c>
      <c r="D426" t="s">
        <v>491</v>
      </c>
      <c r="E426" t="s">
        <v>13</v>
      </c>
      <c r="F426">
        <v>133.81</v>
      </c>
      <c r="G426">
        <v>20.07</v>
      </c>
      <c r="H426">
        <v>153.88</v>
      </c>
    </row>
    <row r="427" spans="1:8" x14ac:dyDescent="0.35">
      <c r="A427" t="s">
        <v>9</v>
      </c>
      <c r="B427" t="s">
        <v>492</v>
      </c>
      <c r="C427" t="s">
        <v>11</v>
      </c>
      <c r="D427" t="s">
        <v>491</v>
      </c>
      <c r="E427" t="s">
        <v>13</v>
      </c>
      <c r="F427">
        <v>356.4</v>
      </c>
      <c r="G427">
        <v>41.46</v>
      </c>
      <c r="H427">
        <v>397.86</v>
      </c>
    </row>
    <row r="428" spans="1:8" x14ac:dyDescent="0.35">
      <c r="A428" t="s">
        <v>9</v>
      </c>
      <c r="B428" t="s">
        <v>493</v>
      </c>
      <c r="C428" t="s">
        <v>11</v>
      </c>
      <c r="D428" t="s">
        <v>491</v>
      </c>
      <c r="E428" t="s">
        <v>13</v>
      </c>
      <c r="F428">
        <v>815.09</v>
      </c>
      <c r="G428">
        <v>92.12</v>
      </c>
      <c r="H428">
        <v>907.21</v>
      </c>
    </row>
    <row r="429" spans="1:8" x14ac:dyDescent="0.35">
      <c r="A429" t="s">
        <v>9</v>
      </c>
      <c r="B429" t="s">
        <v>494</v>
      </c>
      <c r="C429" t="s">
        <v>11</v>
      </c>
      <c r="D429" t="s">
        <v>491</v>
      </c>
      <c r="E429" t="s">
        <v>13</v>
      </c>
      <c r="F429">
        <v>336.52</v>
      </c>
      <c r="G429">
        <v>45.53</v>
      </c>
      <c r="H429">
        <v>382.05</v>
      </c>
    </row>
    <row r="430" spans="1:8" x14ac:dyDescent="0.35">
      <c r="A430" t="s">
        <v>9</v>
      </c>
      <c r="B430" t="s">
        <v>495</v>
      </c>
      <c r="C430" t="s">
        <v>11</v>
      </c>
      <c r="D430" t="s">
        <v>491</v>
      </c>
      <c r="E430" t="s">
        <v>13</v>
      </c>
      <c r="F430">
        <v>806.46</v>
      </c>
      <c r="G430">
        <v>63.38</v>
      </c>
      <c r="H430">
        <v>869.84</v>
      </c>
    </row>
    <row r="431" spans="1:8" x14ac:dyDescent="0.35">
      <c r="A431" t="s">
        <v>9</v>
      </c>
      <c r="B431" t="s">
        <v>496</v>
      </c>
      <c r="C431" t="s">
        <v>11</v>
      </c>
      <c r="D431" t="s">
        <v>491</v>
      </c>
      <c r="E431" t="s">
        <v>13</v>
      </c>
      <c r="F431">
        <v>419.32</v>
      </c>
      <c r="G431">
        <v>52.55</v>
      </c>
      <c r="H431">
        <v>471.87</v>
      </c>
    </row>
    <row r="432" spans="1:8" x14ac:dyDescent="0.35">
      <c r="A432" t="s">
        <v>9</v>
      </c>
      <c r="B432" t="s">
        <v>497</v>
      </c>
      <c r="C432" t="s">
        <v>11</v>
      </c>
      <c r="D432" t="s">
        <v>491</v>
      </c>
      <c r="E432" t="s">
        <v>13</v>
      </c>
      <c r="F432">
        <v>289.52</v>
      </c>
      <c r="G432">
        <v>43.43</v>
      </c>
      <c r="H432">
        <v>332.95</v>
      </c>
    </row>
    <row r="433" spans="1:8" x14ac:dyDescent="0.35">
      <c r="A433" t="s">
        <v>9</v>
      </c>
      <c r="B433" t="s">
        <v>498</v>
      </c>
      <c r="C433" t="s">
        <v>11</v>
      </c>
      <c r="D433" t="s">
        <v>491</v>
      </c>
      <c r="E433" t="s">
        <v>13</v>
      </c>
      <c r="F433">
        <v>188.03</v>
      </c>
      <c r="G433">
        <v>21.91</v>
      </c>
      <c r="H433">
        <v>209.94</v>
      </c>
    </row>
    <row r="434" spans="1:8" x14ac:dyDescent="0.35">
      <c r="A434" t="s">
        <v>9</v>
      </c>
      <c r="B434" t="s">
        <v>499</v>
      </c>
      <c r="C434" t="s">
        <v>11</v>
      </c>
      <c r="D434" t="s">
        <v>500</v>
      </c>
      <c r="E434" t="s">
        <v>13</v>
      </c>
      <c r="F434">
        <v>422.39</v>
      </c>
      <c r="G434">
        <v>43.56</v>
      </c>
      <c r="H434">
        <v>465.95</v>
      </c>
    </row>
    <row r="435" spans="1:8" x14ac:dyDescent="0.35">
      <c r="A435" t="s">
        <v>9</v>
      </c>
      <c r="B435" t="s">
        <v>501</v>
      </c>
      <c r="C435" t="s">
        <v>11</v>
      </c>
      <c r="D435" t="s">
        <v>500</v>
      </c>
      <c r="E435" t="s">
        <v>13</v>
      </c>
      <c r="F435">
        <v>153.47</v>
      </c>
      <c r="G435">
        <v>21.52</v>
      </c>
      <c r="H435">
        <v>174.99</v>
      </c>
    </row>
    <row r="436" spans="1:8" x14ac:dyDescent="0.35">
      <c r="A436" t="s">
        <v>9</v>
      </c>
      <c r="B436" t="s">
        <v>502</v>
      </c>
      <c r="C436" t="s">
        <v>11</v>
      </c>
      <c r="D436" t="s">
        <v>500</v>
      </c>
      <c r="E436" t="s">
        <v>13</v>
      </c>
      <c r="F436">
        <v>443.06</v>
      </c>
      <c r="G436">
        <v>40.81</v>
      </c>
      <c r="H436">
        <v>483.87</v>
      </c>
    </row>
    <row r="437" spans="1:8" x14ac:dyDescent="0.35">
      <c r="A437" t="s">
        <v>9</v>
      </c>
      <c r="B437" t="s">
        <v>503</v>
      </c>
      <c r="C437" t="s">
        <v>11</v>
      </c>
      <c r="D437" t="s">
        <v>500</v>
      </c>
      <c r="E437" t="s">
        <v>13</v>
      </c>
      <c r="F437">
        <v>696.04</v>
      </c>
      <c r="G437">
        <v>68.41</v>
      </c>
      <c r="H437">
        <v>764.45</v>
      </c>
    </row>
    <row r="438" spans="1:8" x14ac:dyDescent="0.35">
      <c r="A438" t="s">
        <v>9</v>
      </c>
      <c r="B438" t="s">
        <v>504</v>
      </c>
      <c r="C438" t="s">
        <v>11</v>
      </c>
      <c r="D438" t="s">
        <v>500</v>
      </c>
      <c r="E438" t="s">
        <v>13</v>
      </c>
      <c r="F438">
        <v>748.63</v>
      </c>
      <c r="G438">
        <v>97.3</v>
      </c>
      <c r="H438">
        <v>845.93</v>
      </c>
    </row>
    <row r="439" spans="1:8" x14ac:dyDescent="0.35">
      <c r="A439" t="s">
        <v>9</v>
      </c>
      <c r="B439" t="s">
        <v>505</v>
      </c>
      <c r="C439" t="s">
        <v>11</v>
      </c>
      <c r="D439" t="s">
        <v>500</v>
      </c>
      <c r="E439" t="s">
        <v>13</v>
      </c>
      <c r="F439">
        <v>487.18</v>
      </c>
      <c r="G439">
        <v>58.08</v>
      </c>
      <c r="H439">
        <v>545.26</v>
      </c>
    </row>
    <row r="440" spans="1:8" x14ac:dyDescent="0.35">
      <c r="A440" t="s">
        <v>9</v>
      </c>
      <c r="B440" t="s">
        <v>506</v>
      </c>
      <c r="C440" t="s">
        <v>11</v>
      </c>
      <c r="D440" t="s">
        <v>500</v>
      </c>
      <c r="E440" t="s">
        <v>13</v>
      </c>
      <c r="F440">
        <v>153.9</v>
      </c>
      <c r="G440">
        <v>23.08</v>
      </c>
      <c r="H440">
        <v>176.98</v>
      </c>
    </row>
    <row r="441" spans="1:8" x14ac:dyDescent="0.35">
      <c r="A441" t="s">
        <v>9</v>
      </c>
      <c r="B441" t="s">
        <v>507</v>
      </c>
      <c r="C441" t="s">
        <v>11</v>
      </c>
      <c r="D441" t="s">
        <v>508</v>
      </c>
      <c r="E441" t="s">
        <v>13</v>
      </c>
      <c r="F441">
        <v>245.61</v>
      </c>
      <c r="G441">
        <v>35.340000000000003</v>
      </c>
      <c r="H441">
        <v>280.95</v>
      </c>
    </row>
    <row r="442" spans="1:8" x14ac:dyDescent="0.35">
      <c r="A442" t="s">
        <v>9</v>
      </c>
      <c r="B442" t="s">
        <v>509</v>
      </c>
      <c r="C442" t="s">
        <v>11</v>
      </c>
      <c r="D442" t="s">
        <v>508</v>
      </c>
      <c r="E442" t="s">
        <v>13</v>
      </c>
      <c r="F442">
        <v>1059.8800000000001</v>
      </c>
      <c r="G442">
        <v>118.79</v>
      </c>
      <c r="H442">
        <v>1178.67</v>
      </c>
    </row>
    <row r="443" spans="1:8" x14ac:dyDescent="0.35">
      <c r="A443" t="s">
        <v>9</v>
      </c>
      <c r="B443" t="s">
        <v>510</v>
      </c>
      <c r="C443" t="s">
        <v>11</v>
      </c>
      <c r="D443" t="s">
        <v>508</v>
      </c>
      <c r="E443" t="s">
        <v>13</v>
      </c>
      <c r="F443">
        <v>171.29</v>
      </c>
      <c r="G443">
        <v>25.69</v>
      </c>
      <c r="H443">
        <v>196.98</v>
      </c>
    </row>
    <row r="444" spans="1:8" x14ac:dyDescent="0.35">
      <c r="A444" t="s">
        <v>9</v>
      </c>
      <c r="B444" t="s">
        <v>511</v>
      </c>
      <c r="C444" t="s">
        <v>11</v>
      </c>
      <c r="D444" t="s">
        <v>508</v>
      </c>
      <c r="E444" t="s">
        <v>13</v>
      </c>
      <c r="F444">
        <v>200.83</v>
      </c>
      <c r="G444">
        <v>27.12</v>
      </c>
      <c r="H444">
        <v>227.95</v>
      </c>
    </row>
    <row r="445" spans="1:8" x14ac:dyDescent="0.35">
      <c r="A445" t="s">
        <v>9</v>
      </c>
      <c r="B445" t="s">
        <v>512</v>
      </c>
      <c r="C445" t="s">
        <v>11</v>
      </c>
      <c r="D445" t="s">
        <v>508</v>
      </c>
      <c r="E445" t="s">
        <v>13</v>
      </c>
      <c r="F445">
        <v>374.74</v>
      </c>
      <c r="G445">
        <v>56.21</v>
      </c>
      <c r="H445">
        <v>430.95</v>
      </c>
    </row>
    <row r="446" spans="1:8" x14ac:dyDescent="0.35">
      <c r="A446" t="s">
        <v>9</v>
      </c>
      <c r="B446" t="s">
        <v>513</v>
      </c>
      <c r="C446" t="s">
        <v>11</v>
      </c>
      <c r="D446" t="s">
        <v>508</v>
      </c>
      <c r="E446" t="s">
        <v>13</v>
      </c>
      <c r="F446">
        <v>258.89999999999998</v>
      </c>
      <c r="G446">
        <v>38.83</v>
      </c>
      <c r="H446">
        <v>297.73</v>
      </c>
    </row>
    <row r="447" spans="1:8" x14ac:dyDescent="0.35">
      <c r="A447" t="s">
        <v>9</v>
      </c>
      <c r="B447" t="s">
        <v>514</v>
      </c>
      <c r="C447" t="s">
        <v>11</v>
      </c>
      <c r="D447" t="s">
        <v>508</v>
      </c>
      <c r="E447" t="s">
        <v>13</v>
      </c>
      <c r="F447">
        <v>1167.07</v>
      </c>
      <c r="G447">
        <v>145.66999999999999</v>
      </c>
      <c r="H447">
        <v>1312.74</v>
      </c>
    </row>
    <row r="448" spans="1:8" x14ac:dyDescent="0.35">
      <c r="A448" t="s">
        <v>9</v>
      </c>
      <c r="B448" t="s">
        <v>515</v>
      </c>
      <c r="C448" t="s">
        <v>11</v>
      </c>
      <c r="D448" t="s">
        <v>508</v>
      </c>
      <c r="E448" t="s">
        <v>13</v>
      </c>
      <c r="F448">
        <v>969.5</v>
      </c>
      <c r="G448">
        <v>106.29</v>
      </c>
      <c r="H448">
        <v>1075.79</v>
      </c>
    </row>
    <row r="449" spans="1:8" x14ac:dyDescent="0.35">
      <c r="A449" t="s">
        <v>9</v>
      </c>
      <c r="B449" t="s">
        <v>516</v>
      </c>
      <c r="C449" t="s">
        <v>11</v>
      </c>
      <c r="D449" t="s">
        <v>508</v>
      </c>
      <c r="E449" t="s">
        <v>13</v>
      </c>
      <c r="F449">
        <v>656.5</v>
      </c>
      <c r="G449">
        <v>68.33</v>
      </c>
      <c r="H449">
        <v>724.83</v>
      </c>
    </row>
    <row r="450" spans="1:8" x14ac:dyDescent="0.35">
      <c r="A450" t="s">
        <v>9</v>
      </c>
      <c r="B450" t="s">
        <v>517</v>
      </c>
      <c r="C450" t="s">
        <v>11</v>
      </c>
      <c r="D450" t="s">
        <v>508</v>
      </c>
      <c r="E450" t="s">
        <v>13</v>
      </c>
      <c r="F450">
        <v>243.01</v>
      </c>
      <c r="G450">
        <v>34.950000000000003</v>
      </c>
      <c r="H450">
        <v>277.95999999999998</v>
      </c>
    </row>
    <row r="451" spans="1:8" x14ac:dyDescent="0.35">
      <c r="A451" t="s">
        <v>9</v>
      </c>
      <c r="B451" t="s">
        <v>518</v>
      </c>
      <c r="C451" t="s">
        <v>11</v>
      </c>
      <c r="D451" t="s">
        <v>508</v>
      </c>
      <c r="E451" t="s">
        <v>13</v>
      </c>
      <c r="F451">
        <v>271.67</v>
      </c>
      <c r="G451">
        <v>39.25</v>
      </c>
      <c r="H451">
        <v>310.92</v>
      </c>
    </row>
    <row r="452" spans="1:8" x14ac:dyDescent="0.35">
      <c r="A452" t="s">
        <v>9</v>
      </c>
      <c r="B452" t="s">
        <v>519</v>
      </c>
      <c r="C452" t="s">
        <v>11</v>
      </c>
      <c r="D452" t="s">
        <v>508</v>
      </c>
      <c r="E452" t="s">
        <v>13</v>
      </c>
      <c r="F452">
        <v>149.38999999999999</v>
      </c>
      <c r="G452">
        <v>19.559999999999999</v>
      </c>
      <c r="H452">
        <v>168.95</v>
      </c>
    </row>
    <row r="453" spans="1:8" x14ac:dyDescent="0.35">
      <c r="A453" t="s">
        <v>9</v>
      </c>
      <c r="B453" t="s">
        <v>520</v>
      </c>
      <c r="C453" t="s">
        <v>11</v>
      </c>
      <c r="D453" t="s">
        <v>508</v>
      </c>
      <c r="E453" t="s">
        <v>13</v>
      </c>
      <c r="F453">
        <v>680.55</v>
      </c>
      <c r="G453">
        <v>80.19</v>
      </c>
      <c r="H453">
        <v>760.74</v>
      </c>
    </row>
    <row r="454" spans="1:8" x14ac:dyDescent="0.35">
      <c r="A454" t="s">
        <v>9</v>
      </c>
      <c r="B454" t="s">
        <v>521</v>
      </c>
      <c r="C454" t="s">
        <v>11</v>
      </c>
      <c r="D454" t="s">
        <v>522</v>
      </c>
      <c r="E454" t="s">
        <v>13</v>
      </c>
      <c r="F454">
        <v>134.32</v>
      </c>
      <c r="G454">
        <v>18.649999999999999</v>
      </c>
      <c r="H454">
        <v>152.97</v>
      </c>
    </row>
    <row r="455" spans="1:8" x14ac:dyDescent="0.35">
      <c r="A455" t="s">
        <v>9</v>
      </c>
      <c r="B455" t="s">
        <v>523</v>
      </c>
      <c r="C455" t="s">
        <v>11</v>
      </c>
      <c r="D455" t="s">
        <v>522</v>
      </c>
      <c r="E455" t="s">
        <v>13</v>
      </c>
      <c r="F455">
        <v>308.76</v>
      </c>
      <c r="G455">
        <v>43.17</v>
      </c>
      <c r="H455">
        <v>351.93</v>
      </c>
    </row>
    <row r="456" spans="1:8" x14ac:dyDescent="0.35">
      <c r="A456" t="s">
        <v>9</v>
      </c>
      <c r="B456" t="s">
        <v>524</v>
      </c>
      <c r="C456" t="s">
        <v>11</v>
      </c>
      <c r="D456" t="s">
        <v>522</v>
      </c>
      <c r="E456" t="s">
        <v>13</v>
      </c>
      <c r="F456">
        <v>472.84</v>
      </c>
      <c r="G456">
        <v>46.03</v>
      </c>
      <c r="H456">
        <v>518.87</v>
      </c>
    </row>
    <row r="457" spans="1:8" x14ac:dyDescent="0.35">
      <c r="A457" t="s">
        <v>9</v>
      </c>
      <c r="B457" t="s">
        <v>525</v>
      </c>
      <c r="C457" t="s">
        <v>11</v>
      </c>
      <c r="D457" t="s">
        <v>522</v>
      </c>
      <c r="E457" t="s">
        <v>13</v>
      </c>
      <c r="F457">
        <v>336.65</v>
      </c>
      <c r="G457">
        <v>36.25</v>
      </c>
      <c r="H457">
        <v>372.9</v>
      </c>
    </row>
    <row r="458" spans="1:8" x14ac:dyDescent="0.35">
      <c r="A458" t="s">
        <v>9</v>
      </c>
      <c r="B458" t="s">
        <v>526</v>
      </c>
      <c r="C458" t="s">
        <v>11</v>
      </c>
      <c r="D458" t="s">
        <v>522</v>
      </c>
      <c r="E458" t="s">
        <v>13</v>
      </c>
      <c r="F458">
        <v>259.95999999999998</v>
      </c>
      <c r="G458">
        <v>38.99</v>
      </c>
      <c r="H458">
        <v>298.95</v>
      </c>
    </row>
    <row r="459" spans="1:8" x14ac:dyDescent="0.35">
      <c r="A459" t="s">
        <v>9</v>
      </c>
      <c r="B459" t="s">
        <v>527</v>
      </c>
      <c r="C459" t="s">
        <v>11</v>
      </c>
      <c r="D459" t="s">
        <v>522</v>
      </c>
      <c r="E459" t="s">
        <v>13</v>
      </c>
      <c r="F459">
        <v>283.27</v>
      </c>
      <c r="G459">
        <v>34.69</v>
      </c>
      <c r="H459">
        <v>317.95999999999998</v>
      </c>
    </row>
    <row r="460" spans="1:8" x14ac:dyDescent="0.35">
      <c r="A460" t="s">
        <v>9</v>
      </c>
      <c r="B460" t="s">
        <v>528</v>
      </c>
      <c r="C460" t="s">
        <v>11</v>
      </c>
      <c r="D460" t="s">
        <v>529</v>
      </c>
      <c r="E460" t="s">
        <v>13</v>
      </c>
      <c r="F460">
        <v>173.02</v>
      </c>
      <c r="G460">
        <v>25.95</v>
      </c>
      <c r="H460">
        <v>198.97</v>
      </c>
    </row>
    <row r="461" spans="1:8" x14ac:dyDescent="0.35">
      <c r="A461" t="s">
        <v>9</v>
      </c>
      <c r="B461" t="s">
        <v>530</v>
      </c>
      <c r="C461" t="s">
        <v>11</v>
      </c>
      <c r="D461" t="s">
        <v>529</v>
      </c>
      <c r="E461" t="s">
        <v>13</v>
      </c>
      <c r="F461">
        <v>612.47</v>
      </c>
      <c r="G461">
        <v>75.37</v>
      </c>
      <c r="H461">
        <v>687.84</v>
      </c>
    </row>
    <row r="462" spans="1:8" x14ac:dyDescent="0.35">
      <c r="A462" t="s">
        <v>9</v>
      </c>
      <c r="B462" t="s">
        <v>531</v>
      </c>
      <c r="C462" t="s">
        <v>11</v>
      </c>
      <c r="D462" t="s">
        <v>529</v>
      </c>
      <c r="E462" t="s">
        <v>13</v>
      </c>
      <c r="F462">
        <v>936.39</v>
      </c>
      <c r="G462">
        <v>114.37</v>
      </c>
      <c r="H462">
        <v>1050.76</v>
      </c>
    </row>
    <row r="463" spans="1:8" x14ac:dyDescent="0.35">
      <c r="A463" t="s">
        <v>9</v>
      </c>
      <c r="B463" t="s">
        <v>532</v>
      </c>
      <c r="C463" t="s">
        <v>11</v>
      </c>
      <c r="D463" t="s">
        <v>529</v>
      </c>
      <c r="E463" t="s">
        <v>13</v>
      </c>
      <c r="F463">
        <v>265.22000000000003</v>
      </c>
      <c r="G463">
        <v>39.78</v>
      </c>
      <c r="H463">
        <v>305</v>
      </c>
    </row>
    <row r="464" spans="1:8" x14ac:dyDescent="0.35">
      <c r="A464" t="s">
        <v>9</v>
      </c>
      <c r="B464" t="s">
        <v>533</v>
      </c>
      <c r="C464" t="s">
        <v>11</v>
      </c>
      <c r="D464" t="s">
        <v>529</v>
      </c>
      <c r="E464" t="s">
        <v>13</v>
      </c>
      <c r="F464">
        <v>483.3</v>
      </c>
      <c r="G464">
        <v>72.489999999999995</v>
      </c>
      <c r="H464">
        <v>555.79</v>
      </c>
    </row>
    <row r="465" spans="1:8" x14ac:dyDescent="0.35">
      <c r="A465" t="s">
        <v>9</v>
      </c>
      <c r="B465" t="s">
        <v>534</v>
      </c>
      <c r="C465" t="s">
        <v>11</v>
      </c>
      <c r="D465" t="s">
        <v>529</v>
      </c>
      <c r="E465" t="s">
        <v>13</v>
      </c>
      <c r="F465">
        <v>591.45000000000005</v>
      </c>
      <c r="G465">
        <v>72.22</v>
      </c>
      <c r="H465">
        <v>663.67</v>
      </c>
    </row>
    <row r="466" spans="1:8" x14ac:dyDescent="0.35">
      <c r="A466" t="s">
        <v>9</v>
      </c>
      <c r="B466" t="s">
        <v>535</v>
      </c>
      <c r="C466" t="s">
        <v>11</v>
      </c>
      <c r="D466" t="s">
        <v>529</v>
      </c>
      <c r="E466" t="s">
        <v>13</v>
      </c>
      <c r="F466">
        <v>763.4</v>
      </c>
      <c r="G466">
        <v>97.41</v>
      </c>
      <c r="H466">
        <v>860.81</v>
      </c>
    </row>
    <row r="467" spans="1:8" x14ac:dyDescent="0.35">
      <c r="A467" t="s">
        <v>9</v>
      </c>
      <c r="B467" t="s">
        <v>536</v>
      </c>
      <c r="C467" t="s">
        <v>11</v>
      </c>
      <c r="D467" t="s">
        <v>529</v>
      </c>
      <c r="E467" t="s">
        <v>13</v>
      </c>
      <c r="F467">
        <v>96.07</v>
      </c>
      <c r="G467">
        <v>12.91</v>
      </c>
      <c r="H467">
        <v>108.98</v>
      </c>
    </row>
    <row r="468" spans="1:8" x14ac:dyDescent="0.35">
      <c r="A468" t="s">
        <v>9</v>
      </c>
      <c r="B468" t="s">
        <v>537</v>
      </c>
      <c r="C468" t="s">
        <v>11</v>
      </c>
      <c r="D468" t="s">
        <v>529</v>
      </c>
      <c r="E468" t="s">
        <v>13</v>
      </c>
      <c r="F468">
        <v>331.82</v>
      </c>
      <c r="G468">
        <v>33.130000000000003</v>
      </c>
      <c r="H468">
        <v>364.95</v>
      </c>
    </row>
    <row r="469" spans="1:8" x14ac:dyDescent="0.35">
      <c r="A469" t="s">
        <v>9</v>
      </c>
      <c r="B469" t="s">
        <v>538</v>
      </c>
      <c r="C469" t="s">
        <v>11</v>
      </c>
      <c r="D469" t="s">
        <v>529</v>
      </c>
      <c r="E469" t="s">
        <v>13</v>
      </c>
      <c r="F469">
        <v>150.49</v>
      </c>
      <c r="G469">
        <v>14.48</v>
      </c>
      <c r="H469">
        <v>164.97</v>
      </c>
    </row>
    <row r="470" spans="1:8" x14ac:dyDescent="0.35">
      <c r="A470" t="s">
        <v>9</v>
      </c>
      <c r="B470" t="s">
        <v>539</v>
      </c>
      <c r="C470" t="s">
        <v>11</v>
      </c>
      <c r="D470" t="s">
        <v>540</v>
      </c>
      <c r="E470" t="s">
        <v>13</v>
      </c>
      <c r="F470">
        <v>272.38</v>
      </c>
      <c r="G470">
        <v>31.56</v>
      </c>
      <c r="H470">
        <v>303.94</v>
      </c>
    </row>
    <row r="471" spans="1:8" x14ac:dyDescent="0.35">
      <c r="A471" t="s">
        <v>9</v>
      </c>
      <c r="B471" t="s">
        <v>541</v>
      </c>
      <c r="C471" t="s">
        <v>11</v>
      </c>
      <c r="D471" t="s">
        <v>540</v>
      </c>
      <c r="E471" t="s">
        <v>13</v>
      </c>
      <c r="F471">
        <v>186.25</v>
      </c>
      <c r="G471">
        <v>19.690000000000001</v>
      </c>
      <c r="H471">
        <v>205.94</v>
      </c>
    </row>
    <row r="472" spans="1:8" x14ac:dyDescent="0.35">
      <c r="A472" t="s">
        <v>9</v>
      </c>
      <c r="B472" t="s">
        <v>542</v>
      </c>
      <c r="C472" t="s">
        <v>11</v>
      </c>
      <c r="D472" t="s">
        <v>540</v>
      </c>
      <c r="E472" t="s">
        <v>13</v>
      </c>
      <c r="F472">
        <v>961.85</v>
      </c>
      <c r="G472">
        <v>99.14</v>
      </c>
      <c r="H472">
        <v>1060.99</v>
      </c>
    </row>
    <row r="473" spans="1:8" x14ac:dyDescent="0.35">
      <c r="A473" t="s">
        <v>9</v>
      </c>
      <c r="B473" t="s">
        <v>543</v>
      </c>
      <c r="C473" t="s">
        <v>11</v>
      </c>
      <c r="D473" t="s">
        <v>540</v>
      </c>
      <c r="E473" t="s">
        <v>13</v>
      </c>
      <c r="F473">
        <v>1108.07</v>
      </c>
      <c r="G473">
        <v>142.52000000000001</v>
      </c>
      <c r="H473">
        <v>1250.5899999999999</v>
      </c>
    </row>
    <row r="474" spans="1:8" x14ac:dyDescent="0.35">
      <c r="A474" t="s">
        <v>9</v>
      </c>
      <c r="B474" t="s">
        <v>544</v>
      </c>
      <c r="C474" t="s">
        <v>11</v>
      </c>
      <c r="D474" t="s">
        <v>540</v>
      </c>
      <c r="E474" t="s">
        <v>13</v>
      </c>
      <c r="F474">
        <v>218.38</v>
      </c>
      <c r="G474">
        <v>4.57</v>
      </c>
      <c r="H474">
        <v>222.95</v>
      </c>
    </row>
    <row r="475" spans="1:8" x14ac:dyDescent="0.35">
      <c r="A475" t="s">
        <v>9</v>
      </c>
      <c r="B475" t="s">
        <v>545</v>
      </c>
      <c r="C475" t="s">
        <v>11</v>
      </c>
      <c r="D475" t="s">
        <v>540</v>
      </c>
      <c r="E475" t="s">
        <v>13</v>
      </c>
      <c r="F475">
        <v>483</v>
      </c>
      <c r="G475">
        <v>39.909999999999997</v>
      </c>
      <c r="H475">
        <v>522.91</v>
      </c>
    </row>
    <row r="476" spans="1:8" x14ac:dyDescent="0.35">
      <c r="A476" t="s">
        <v>9</v>
      </c>
      <c r="B476" t="s">
        <v>546</v>
      </c>
      <c r="C476" t="s">
        <v>11</v>
      </c>
      <c r="D476" t="s">
        <v>540</v>
      </c>
      <c r="E476" t="s">
        <v>13</v>
      </c>
      <c r="F476">
        <v>224.76</v>
      </c>
      <c r="G476">
        <v>20.21</v>
      </c>
      <c r="H476">
        <v>244.97</v>
      </c>
    </row>
    <row r="477" spans="1:8" x14ac:dyDescent="0.35">
      <c r="A477" t="s">
        <v>9</v>
      </c>
      <c r="B477" t="s">
        <v>547</v>
      </c>
      <c r="C477" t="s">
        <v>11</v>
      </c>
      <c r="D477" t="s">
        <v>540</v>
      </c>
      <c r="E477" t="s">
        <v>13</v>
      </c>
      <c r="F477">
        <v>253.15</v>
      </c>
      <c r="G477">
        <v>27.77</v>
      </c>
      <c r="H477">
        <v>280.92</v>
      </c>
    </row>
    <row r="478" spans="1:8" x14ac:dyDescent="0.35">
      <c r="A478" t="s">
        <v>9</v>
      </c>
      <c r="B478" t="s">
        <v>548</v>
      </c>
      <c r="C478" t="s">
        <v>11</v>
      </c>
      <c r="D478" t="s">
        <v>540</v>
      </c>
      <c r="E478" t="s">
        <v>13</v>
      </c>
      <c r="F478">
        <v>256.04000000000002</v>
      </c>
      <c r="G478">
        <v>33.61</v>
      </c>
      <c r="H478">
        <v>289.64999999999998</v>
      </c>
    </row>
    <row r="479" spans="1:8" x14ac:dyDescent="0.35">
      <c r="A479" t="s">
        <v>9</v>
      </c>
      <c r="B479" t="s">
        <v>549</v>
      </c>
      <c r="C479" t="s">
        <v>11</v>
      </c>
      <c r="D479" t="s">
        <v>550</v>
      </c>
      <c r="E479" t="s">
        <v>13</v>
      </c>
      <c r="F479">
        <v>126.09</v>
      </c>
      <c r="G479">
        <v>18.91</v>
      </c>
      <c r="H479">
        <v>145</v>
      </c>
    </row>
    <row r="480" spans="1:8" x14ac:dyDescent="0.35">
      <c r="A480" t="s">
        <v>9</v>
      </c>
      <c r="B480" t="s">
        <v>551</v>
      </c>
      <c r="C480" t="s">
        <v>11</v>
      </c>
      <c r="D480" t="s">
        <v>550</v>
      </c>
      <c r="E480" t="s">
        <v>13</v>
      </c>
      <c r="F480">
        <v>166.02</v>
      </c>
      <c r="G480">
        <v>24.9</v>
      </c>
      <c r="H480">
        <v>190.92</v>
      </c>
    </row>
    <row r="481" spans="1:8" x14ac:dyDescent="0.35">
      <c r="A481" t="s">
        <v>9</v>
      </c>
      <c r="B481" t="s">
        <v>552</v>
      </c>
      <c r="C481" t="s">
        <v>11</v>
      </c>
      <c r="D481" t="s">
        <v>550</v>
      </c>
      <c r="E481" t="s">
        <v>13</v>
      </c>
      <c r="F481">
        <v>851.87</v>
      </c>
      <c r="G481">
        <v>105.73</v>
      </c>
      <c r="H481">
        <v>957.6</v>
      </c>
    </row>
    <row r="482" spans="1:8" x14ac:dyDescent="0.35">
      <c r="A482" t="s">
        <v>9</v>
      </c>
      <c r="B482" t="s">
        <v>553</v>
      </c>
      <c r="C482" t="s">
        <v>11</v>
      </c>
      <c r="D482" t="s">
        <v>550</v>
      </c>
      <c r="E482" t="s">
        <v>13</v>
      </c>
      <c r="F482">
        <v>478.32</v>
      </c>
      <c r="G482">
        <v>59.6</v>
      </c>
      <c r="H482">
        <v>537.91999999999996</v>
      </c>
    </row>
    <row r="483" spans="1:8" x14ac:dyDescent="0.35">
      <c r="A483" t="s">
        <v>9</v>
      </c>
      <c r="B483" t="s">
        <v>554</v>
      </c>
      <c r="C483" t="s">
        <v>11</v>
      </c>
      <c r="D483" t="s">
        <v>550</v>
      </c>
      <c r="E483" t="s">
        <v>13</v>
      </c>
      <c r="F483">
        <v>131.55000000000001</v>
      </c>
      <c r="G483">
        <v>10.74</v>
      </c>
      <c r="H483">
        <v>142.29</v>
      </c>
    </row>
    <row r="484" spans="1:8" x14ac:dyDescent="0.35">
      <c r="A484" t="s">
        <v>9</v>
      </c>
      <c r="B484" t="s">
        <v>555</v>
      </c>
      <c r="C484" t="s">
        <v>11</v>
      </c>
      <c r="D484" t="s">
        <v>550</v>
      </c>
      <c r="E484" t="s">
        <v>13</v>
      </c>
      <c r="F484">
        <v>115.63</v>
      </c>
      <c r="G484">
        <v>17.34</v>
      </c>
      <c r="H484">
        <v>132.97</v>
      </c>
    </row>
    <row r="485" spans="1:8" x14ac:dyDescent="0.35">
      <c r="A485" t="s">
        <v>9</v>
      </c>
      <c r="B485" t="s">
        <v>556</v>
      </c>
      <c r="C485" t="s">
        <v>11</v>
      </c>
      <c r="D485" t="s">
        <v>550</v>
      </c>
      <c r="E485" t="s">
        <v>13</v>
      </c>
      <c r="F485">
        <v>133.44</v>
      </c>
      <c r="G485">
        <v>18.52</v>
      </c>
      <c r="H485">
        <v>151.96</v>
      </c>
    </row>
    <row r="486" spans="1:8" x14ac:dyDescent="0.35">
      <c r="A486" t="s">
        <v>9</v>
      </c>
      <c r="B486" t="s">
        <v>557</v>
      </c>
      <c r="C486" t="s">
        <v>11</v>
      </c>
      <c r="D486" t="s">
        <v>550</v>
      </c>
      <c r="E486" t="s">
        <v>13</v>
      </c>
      <c r="F486">
        <v>186.98</v>
      </c>
      <c r="G486">
        <v>26.55</v>
      </c>
      <c r="H486">
        <v>213.53</v>
      </c>
    </row>
    <row r="487" spans="1:8" x14ac:dyDescent="0.35">
      <c r="A487" t="s">
        <v>9</v>
      </c>
      <c r="B487" t="s">
        <v>558</v>
      </c>
      <c r="C487" t="s">
        <v>11</v>
      </c>
      <c r="D487" t="s">
        <v>550</v>
      </c>
      <c r="E487" t="s">
        <v>13</v>
      </c>
      <c r="F487">
        <v>169.96</v>
      </c>
      <c r="G487">
        <v>23.99</v>
      </c>
      <c r="H487">
        <v>193.95</v>
      </c>
    </row>
    <row r="488" spans="1:8" x14ac:dyDescent="0.35">
      <c r="A488" t="s">
        <v>9</v>
      </c>
      <c r="B488" t="s">
        <v>559</v>
      </c>
      <c r="C488" t="s">
        <v>11</v>
      </c>
      <c r="D488" t="s">
        <v>550</v>
      </c>
      <c r="E488" t="s">
        <v>13</v>
      </c>
      <c r="F488">
        <v>301.69</v>
      </c>
      <c r="G488">
        <v>45.25</v>
      </c>
      <c r="H488">
        <v>346.94</v>
      </c>
    </row>
    <row r="489" spans="1:8" x14ac:dyDescent="0.35">
      <c r="A489" t="s">
        <v>9</v>
      </c>
      <c r="B489" t="s">
        <v>560</v>
      </c>
      <c r="C489" t="s">
        <v>11</v>
      </c>
      <c r="D489" t="s">
        <v>561</v>
      </c>
      <c r="E489" t="s">
        <v>13</v>
      </c>
      <c r="F489">
        <v>499.9</v>
      </c>
      <c r="G489">
        <v>15</v>
      </c>
      <c r="H489">
        <v>514.9</v>
      </c>
    </row>
    <row r="490" spans="1:8" x14ac:dyDescent="0.35">
      <c r="A490" t="s">
        <v>9</v>
      </c>
      <c r="B490" t="s">
        <v>562</v>
      </c>
      <c r="C490" t="s">
        <v>11</v>
      </c>
      <c r="D490" t="s">
        <v>561</v>
      </c>
      <c r="E490" t="s">
        <v>13</v>
      </c>
      <c r="F490">
        <v>444.27</v>
      </c>
      <c r="G490">
        <v>63.64</v>
      </c>
      <c r="H490">
        <v>507.91</v>
      </c>
    </row>
    <row r="491" spans="1:8" x14ac:dyDescent="0.35">
      <c r="A491" t="s">
        <v>9</v>
      </c>
      <c r="B491" t="s">
        <v>563</v>
      </c>
      <c r="C491" t="s">
        <v>11</v>
      </c>
      <c r="D491" t="s">
        <v>561</v>
      </c>
      <c r="E491" t="s">
        <v>13</v>
      </c>
      <c r="F491">
        <v>313.85000000000002</v>
      </c>
      <c r="G491">
        <v>38.08</v>
      </c>
      <c r="H491">
        <v>351.93</v>
      </c>
    </row>
    <row r="492" spans="1:8" x14ac:dyDescent="0.35">
      <c r="A492" t="s">
        <v>9</v>
      </c>
      <c r="B492" t="s">
        <v>564</v>
      </c>
      <c r="C492" t="s">
        <v>11</v>
      </c>
      <c r="D492" t="s">
        <v>561</v>
      </c>
      <c r="E492" t="s">
        <v>13</v>
      </c>
      <c r="F492">
        <v>297.38</v>
      </c>
      <c r="G492">
        <v>37.56</v>
      </c>
      <c r="H492">
        <v>334.94</v>
      </c>
    </row>
    <row r="493" spans="1:8" x14ac:dyDescent="0.35">
      <c r="A493" t="s">
        <v>9</v>
      </c>
      <c r="B493" t="s">
        <v>565</v>
      </c>
      <c r="C493" t="s">
        <v>11</v>
      </c>
      <c r="D493" t="s">
        <v>561</v>
      </c>
      <c r="E493" t="s">
        <v>13</v>
      </c>
      <c r="F493">
        <v>149.51</v>
      </c>
      <c r="G493">
        <v>22.43</v>
      </c>
      <c r="H493">
        <v>171.94</v>
      </c>
    </row>
    <row r="494" spans="1:8" x14ac:dyDescent="0.35">
      <c r="A494" t="s">
        <v>9</v>
      </c>
      <c r="B494" t="s">
        <v>566</v>
      </c>
      <c r="C494" t="s">
        <v>11</v>
      </c>
      <c r="D494" t="s">
        <v>561</v>
      </c>
      <c r="E494" t="s">
        <v>13</v>
      </c>
      <c r="F494">
        <v>282.10000000000002</v>
      </c>
      <c r="G494">
        <v>31.82</v>
      </c>
      <c r="H494">
        <v>313.92</v>
      </c>
    </row>
    <row r="495" spans="1:8" x14ac:dyDescent="0.35">
      <c r="A495" t="s">
        <v>9</v>
      </c>
      <c r="B495" t="s">
        <v>567</v>
      </c>
      <c r="C495" t="s">
        <v>11</v>
      </c>
      <c r="D495" t="s">
        <v>561</v>
      </c>
      <c r="E495" t="s">
        <v>13</v>
      </c>
      <c r="F495">
        <v>351.21</v>
      </c>
      <c r="G495">
        <v>46.68</v>
      </c>
      <c r="H495">
        <v>397.89</v>
      </c>
    </row>
    <row r="496" spans="1:8" x14ac:dyDescent="0.35">
      <c r="A496" t="s">
        <v>9</v>
      </c>
      <c r="B496" t="s">
        <v>568</v>
      </c>
      <c r="C496" t="s">
        <v>11</v>
      </c>
      <c r="D496" t="s">
        <v>561</v>
      </c>
      <c r="E496" t="s">
        <v>13</v>
      </c>
      <c r="F496">
        <v>460.4</v>
      </c>
      <c r="G496">
        <v>66.06</v>
      </c>
      <c r="H496">
        <v>526.46</v>
      </c>
    </row>
    <row r="497" spans="1:8" x14ac:dyDescent="0.35">
      <c r="A497" t="s">
        <v>9</v>
      </c>
      <c r="B497" t="s">
        <v>569</v>
      </c>
      <c r="C497" t="s">
        <v>11</v>
      </c>
      <c r="D497" t="s">
        <v>561</v>
      </c>
      <c r="E497" t="s">
        <v>13</v>
      </c>
      <c r="F497">
        <v>406.57</v>
      </c>
      <c r="G497">
        <v>23.34</v>
      </c>
      <c r="H497">
        <v>429.91</v>
      </c>
    </row>
    <row r="498" spans="1:8" x14ac:dyDescent="0.35">
      <c r="A498" t="s">
        <v>9</v>
      </c>
      <c r="B498" t="s">
        <v>570</v>
      </c>
      <c r="C498" t="s">
        <v>11</v>
      </c>
      <c r="D498" t="s">
        <v>571</v>
      </c>
      <c r="E498" t="s">
        <v>13</v>
      </c>
      <c r="F498">
        <v>233.65</v>
      </c>
      <c r="G498">
        <v>25.3</v>
      </c>
      <c r="H498">
        <v>258.95</v>
      </c>
    </row>
    <row r="499" spans="1:8" x14ac:dyDescent="0.35">
      <c r="A499" t="s">
        <v>9</v>
      </c>
      <c r="B499" t="s">
        <v>572</v>
      </c>
      <c r="C499" t="s">
        <v>11</v>
      </c>
      <c r="D499" t="s">
        <v>571</v>
      </c>
      <c r="E499" t="s">
        <v>13</v>
      </c>
      <c r="F499">
        <v>438.58</v>
      </c>
      <c r="G499">
        <v>44.34</v>
      </c>
      <c r="H499">
        <v>482.92</v>
      </c>
    </row>
    <row r="500" spans="1:8" x14ac:dyDescent="0.35">
      <c r="A500" t="s">
        <v>9</v>
      </c>
      <c r="B500" t="s">
        <v>573</v>
      </c>
      <c r="C500" t="s">
        <v>11</v>
      </c>
      <c r="D500" t="s">
        <v>571</v>
      </c>
      <c r="E500" t="s">
        <v>13</v>
      </c>
      <c r="F500">
        <v>306.02999999999997</v>
      </c>
      <c r="G500">
        <v>45.91</v>
      </c>
      <c r="H500">
        <v>351.94</v>
      </c>
    </row>
    <row r="501" spans="1:8" x14ac:dyDescent="0.35">
      <c r="A501" t="s">
        <v>9</v>
      </c>
      <c r="B501" t="s">
        <v>574</v>
      </c>
      <c r="C501" t="s">
        <v>11</v>
      </c>
      <c r="D501" t="s">
        <v>571</v>
      </c>
      <c r="E501" t="s">
        <v>13</v>
      </c>
      <c r="F501">
        <v>250.91</v>
      </c>
      <c r="G501">
        <v>36.14</v>
      </c>
      <c r="H501">
        <v>287.05</v>
      </c>
    </row>
    <row r="502" spans="1:8" x14ac:dyDescent="0.35">
      <c r="A502" t="s">
        <v>9</v>
      </c>
      <c r="B502" t="s">
        <v>575</v>
      </c>
      <c r="C502" t="s">
        <v>11</v>
      </c>
      <c r="D502" t="s">
        <v>571</v>
      </c>
      <c r="E502" t="s">
        <v>13</v>
      </c>
      <c r="F502">
        <v>637.07000000000005</v>
      </c>
      <c r="G502">
        <v>52.37</v>
      </c>
      <c r="H502">
        <v>689.44</v>
      </c>
    </row>
    <row r="503" spans="1:8" x14ac:dyDescent="0.35">
      <c r="A503" t="s">
        <v>9</v>
      </c>
      <c r="B503" t="s">
        <v>576</v>
      </c>
      <c r="C503" t="s">
        <v>11</v>
      </c>
      <c r="D503" t="s">
        <v>571</v>
      </c>
      <c r="E503" t="s">
        <v>13</v>
      </c>
      <c r="F503">
        <v>306.02999999999997</v>
      </c>
      <c r="G503">
        <v>42.91</v>
      </c>
      <c r="H503">
        <v>348.94</v>
      </c>
    </row>
    <row r="504" spans="1:8" x14ac:dyDescent="0.35">
      <c r="A504" t="s">
        <v>9</v>
      </c>
      <c r="B504" t="s">
        <v>577</v>
      </c>
      <c r="C504" t="s">
        <v>11</v>
      </c>
      <c r="D504" t="s">
        <v>571</v>
      </c>
      <c r="E504" t="s">
        <v>13</v>
      </c>
      <c r="F504">
        <v>455.26</v>
      </c>
      <c r="G504">
        <v>42.05</v>
      </c>
      <c r="H504">
        <v>497.31</v>
      </c>
    </row>
    <row r="505" spans="1:8" x14ac:dyDescent="0.35">
      <c r="A505" t="s">
        <v>9</v>
      </c>
      <c r="B505" t="s">
        <v>578</v>
      </c>
      <c r="C505" t="s">
        <v>11</v>
      </c>
      <c r="D505" t="s">
        <v>579</v>
      </c>
      <c r="E505" t="s">
        <v>13</v>
      </c>
      <c r="F505">
        <v>186.03</v>
      </c>
      <c r="G505">
        <v>27.91</v>
      </c>
      <c r="H505">
        <v>213.94</v>
      </c>
    </row>
    <row r="506" spans="1:8" x14ac:dyDescent="0.35">
      <c r="A506" t="s">
        <v>9</v>
      </c>
      <c r="B506" t="s">
        <v>580</v>
      </c>
      <c r="C506" t="s">
        <v>11</v>
      </c>
      <c r="D506" t="s">
        <v>579</v>
      </c>
      <c r="E506" t="s">
        <v>13</v>
      </c>
      <c r="F506">
        <v>541.83000000000004</v>
      </c>
      <c r="G506">
        <v>59.53</v>
      </c>
      <c r="H506">
        <v>601.36</v>
      </c>
    </row>
    <row r="507" spans="1:8" x14ac:dyDescent="0.35">
      <c r="A507" t="s">
        <v>9</v>
      </c>
      <c r="B507" t="s">
        <v>581</v>
      </c>
      <c r="C507" t="s">
        <v>11</v>
      </c>
      <c r="D507" t="s">
        <v>579</v>
      </c>
      <c r="E507" t="s">
        <v>13</v>
      </c>
      <c r="F507">
        <v>422.08</v>
      </c>
      <c r="G507">
        <v>61.81</v>
      </c>
      <c r="H507">
        <v>483.89</v>
      </c>
    </row>
    <row r="508" spans="1:8" x14ac:dyDescent="0.35">
      <c r="A508" t="s">
        <v>9</v>
      </c>
      <c r="B508" t="s">
        <v>582</v>
      </c>
      <c r="C508" t="s">
        <v>11</v>
      </c>
      <c r="D508" t="s">
        <v>579</v>
      </c>
      <c r="E508" t="s">
        <v>13</v>
      </c>
      <c r="F508">
        <v>179.61</v>
      </c>
      <c r="G508">
        <v>13.74</v>
      </c>
      <c r="H508">
        <v>193.35</v>
      </c>
    </row>
    <row r="509" spans="1:8" x14ac:dyDescent="0.35">
      <c r="A509" t="s">
        <v>9</v>
      </c>
      <c r="B509" t="s">
        <v>583</v>
      </c>
      <c r="C509" t="s">
        <v>11</v>
      </c>
      <c r="D509" t="s">
        <v>579</v>
      </c>
      <c r="E509" t="s">
        <v>13</v>
      </c>
      <c r="F509">
        <v>284.06</v>
      </c>
      <c r="G509">
        <v>38.86</v>
      </c>
      <c r="H509">
        <v>322.92</v>
      </c>
    </row>
    <row r="510" spans="1:8" x14ac:dyDescent="0.35">
      <c r="A510" t="s">
        <v>9</v>
      </c>
      <c r="B510" t="s">
        <v>584</v>
      </c>
      <c r="C510" t="s">
        <v>11</v>
      </c>
      <c r="D510" t="s">
        <v>585</v>
      </c>
      <c r="E510" t="s">
        <v>13</v>
      </c>
      <c r="F510">
        <v>139.97</v>
      </c>
      <c r="G510">
        <v>21</v>
      </c>
      <c r="H510">
        <v>160.97</v>
      </c>
    </row>
    <row r="511" spans="1:8" x14ac:dyDescent="0.35">
      <c r="A511" t="s">
        <v>9</v>
      </c>
      <c r="B511" t="s">
        <v>586</v>
      </c>
      <c r="C511" t="s">
        <v>11</v>
      </c>
      <c r="D511" t="s">
        <v>585</v>
      </c>
      <c r="E511" t="s">
        <v>13</v>
      </c>
      <c r="F511">
        <v>319.73</v>
      </c>
      <c r="G511">
        <v>32.21</v>
      </c>
      <c r="H511">
        <v>351.94</v>
      </c>
    </row>
    <row r="512" spans="1:8" x14ac:dyDescent="0.35">
      <c r="A512" t="s">
        <v>9</v>
      </c>
      <c r="B512" t="s">
        <v>587</v>
      </c>
      <c r="C512" t="s">
        <v>11</v>
      </c>
      <c r="D512" t="s">
        <v>585</v>
      </c>
      <c r="E512" t="s">
        <v>13</v>
      </c>
      <c r="F512">
        <v>638.86</v>
      </c>
      <c r="G512">
        <v>70.03</v>
      </c>
      <c r="H512">
        <v>708.89</v>
      </c>
    </row>
    <row r="513" spans="1:8" x14ac:dyDescent="0.35">
      <c r="A513" t="s">
        <v>9</v>
      </c>
      <c r="B513" t="s">
        <v>588</v>
      </c>
      <c r="C513" t="s">
        <v>11</v>
      </c>
      <c r="D513" t="s">
        <v>585</v>
      </c>
      <c r="E513" t="s">
        <v>13</v>
      </c>
      <c r="F513">
        <v>335.93</v>
      </c>
      <c r="G513">
        <v>26.99</v>
      </c>
      <c r="H513">
        <v>362.92</v>
      </c>
    </row>
    <row r="514" spans="1:8" x14ac:dyDescent="0.35">
      <c r="A514" t="s">
        <v>9</v>
      </c>
      <c r="B514" t="s">
        <v>589</v>
      </c>
      <c r="C514" t="s">
        <v>11</v>
      </c>
      <c r="D514" t="s">
        <v>585</v>
      </c>
      <c r="E514" t="s">
        <v>13</v>
      </c>
      <c r="F514">
        <v>293.19</v>
      </c>
      <c r="G514">
        <v>32.729999999999997</v>
      </c>
      <c r="H514">
        <v>325.92</v>
      </c>
    </row>
    <row r="515" spans="1:8" x14ac:dyDescent="0.35">
      <c r="A515" t="s">
        <v>9</v>
      </c>
      <c r="B515" t="s">
        <v>590</v>
      </c>
      <c r="C515" t="s">
        <v>11</v>
      </c>
      <c r="D515" t="s">
        <v>585</v>
      </c>
      <c r="E515" t="s">
        <v>13</v>
      </c>
      <c r="F515">
        <v>214.7</v>
      </c>
      <c r="G515">
        <v>32.21</v>
      </c>
      <c r="H515">
        <v>246.91</v>
      </c>
    </row>
    <row r="516" spans="1:8" x14ac:dyDescent="0.35">
      <c r="A516" t="s">
        <v>9</v>
      </c>
      <c r="B516" t="s">
        <v>591</v>
      </c>
      <c r="C516" t="s">
        <v>11</v>
      </c>
      <c r="D516" t="s">
        <v>585</v>
      </c>
      <c r="E516" t="s">
        <v>13</v>
      </c>
      <c r="F516">
        <v>195.57</v>
      </c>
      <c r="G516">
        <v>29.33</v>
      </c>
      <c r="H516">
        <v>224.9</v>
      </c>
    </row>
    <row r="517" spans="1:8" x14ac:dyDescent="0.35">
      <c r="A517" t="s">
        <v>9</v>
      </c>
      <c r="B517" t="s">
        <v>592</v>
      </c>
      <c r="C517" t="s">
        <v>11</v>
      </c>
      <c r="D517" t="s">
        <v>585</v>
      </c>
      <c r="E517" t="s">
        <v>13</v>
      </c>
      <c r="F517">
        <v>731.63</v>
      </c>
      <c r="G517">
        <v>108.25</v>
      </c>
      <c r="H517">
        <v>839.88</v>
      </c>
    </row>
    <row r="518" spans="1:8" x14ac:dyDescent="0.35">
      <c r="A518" t="s">
        <v>9</v>
      </c>
      <c r="B518" t="s">
        <v>593</v>
      </c>
      <c r="C518" t="s">
        <v>11</v>
      </c>
      <c r="D518" t="s">
        <v>594</v>
      </c>
      <c r="E518" t="s">
        <v>13</v>
      </c>
      <c r="F518">
        <v>122.59</v>
      </c>
      <c r="G518">
        <v>18.39</v>
      </c>
      <c r="H518">
        <v>140.97999999999999</v>
      </c>
    </row>
    <row r="519" spans="1:8" x14ac:dyDescent="0.35">
      <c r="A519" t="s">
        <v>9</v>
      </c>
      <c r="B519" t="s">
        <v>595</v>
      </c>
      <c r="C519" t="s">
        <v>11</v>
      </c>
      <c r="D519" t="s">
        <v>594</v>
      </c>
      <c r="E519" t="s">
        <v>13</v>
      </c>
      <c r="F519">
        <v>991.16</v>
      </c>
      <c r="G519">
        <v>115.84</v>
      </c>
      <c r="H519">
        <v>1107</v>
      </c>
    </row>
    <row r="520" spans="1:8" x14ac:dyDescent="0.35">
      <c r="A520" t="s">
        <v>9</v>
      </c>
      <c r="B520" t="s">
        <v>596</v>
      </c>
      <c r="C520" t="s">
        <v>11</v>
      </c>
      <c r="D520" t="s">
        <v>594</v>
      </c>
      <c r="E520" t="s">
        <v>13</v>
      </c>
      <c r="F520">
        <v>536.41999999999996</v>
      </c>
      <c r="G520">
        <v>74.459999999999994</v>
      </c>
      <c r="H520">
        <v>610.88</v>
      </c>
    </row>
    <row r="521" spans="1:8" x14ac:dyDescent="0.35">
      <c r="A521" t="s">
        <v>9</v>
      </c>
      <c r="B521" t="s">
        <v>597</v>
      </c>
      <c r="C521" t="s">
        <v>11</v>
      </c>
      <c r="D521" t="s">
        <v>594</v>
      </c>
      <c r="E521" t="s">
        <v>13</v>
      </c>
      <c r="F521">
        <v>391.62</v>
      </c>
      <c r="G521">
        <v>46.29</v>
      </c>
      <c r="H521">
        <v>437.91</v>
      </c>
    </row>
    <row r="522" spans="1:8" x14ac:dyDescent="0.35">
      <c r="A522" t="s">
        <v>9</v>
      </c>
      <c r="B522" t="s">
        <v>598</v>
      </c>
      <c r="C522" t="s">
        <v>11</v>
      </c>
      <c r="D522" t="s">
        <v>594</v>
      </c>
      <c r="E522" t="s">
        <v>13</v>
      </c>
      <c r="F522">
        <v>125.5</v>
      </c>
      <c r="G522">
        <v>17.329999999999998</v>
      </c>
      <c r="H522">
        <v>142.83000000000001</v>
      </c>
    </row>
    <row r="523" spans="1:8" x14ac:dyDescent="0.35">
      <c r="A523" t="s">
        <v>9</v>
      </c>
      <c r="B523" t="s">
        <v>599</v>
      </c>
      <c r="C523" t="s">
        <v>11</v>
      </c>
      <c r="D523" t="s">
        <v>594</v>
      </c>
      <c r="E523" t="s">
        <v>13</v>
      </c>
      <c r="F523">
        <v>255.62</v>
      </c>
      <c r="G523">
        <v>38.340000000000003</v>
      </c>
      <c r="H523">
        <v>293.95999999999998</v>
      </c>
    </row>
    <row r="524" spans="1:8" x14ac:dyDescent="0.35">
      <c r="A524" t="s">
        <v>9</v>
      </c>
      <c r="B524" t="s">
        <v>600</v>
      </c>
      <c r="C524" t="s">
        <v>11</v>
      </c>
      <c r="D524" t="s">
        <v>601</v>
      </c>
      <c r="E524" t="s">
        <v>13</v>
      </c>
      <c r="F524">
        <v>216.01</v>
      </c>
      <c r="G524">
        <v>28.95</v>
      </c>
      <c r="H524">
        <v>244.96</v>
      </c>
    </row>
    <row r="525" spans="1:8" x14ac:dyDescent="0.35">
      <c r="A525" t="s">
        <v>9</v>
      </c>
      <c r="B525" t="s">
        <v>602</v>
      </c>
      <c r="C525" t="s">
        <v>11</v>
      </c>
      <c r="D525" t="s">
        <v>601</v>
      </c>
      <c r="E525" t="s">
        <v>13</v>
      </c>
      <c r="F525">
        <v>143.41</v>
      </c>
      <c r="G525">
        <v>4.57</v>
      </c>
      <c r="H525">
        <v>147.97999999999999</v>
      </c>
    </row>
    <row r="526" spans="1:8" x14ac:dyDescent="0.35">
      <c r="A526" t="s">
        <v>9</v>
      </c>
      <c r="B526" t="s">
        <v>603</v>
      </c>
      <c r="C526" t="s">
        <v>11</v>
      </c>
      <c r="D526" t="s">
        <v>601</v>
      </c>
      <c r="E526" t="s">
        <v>13</v>
      </c>
      <c r="F526">
        <v>296.89999999999998</v>
      </c>
      <c r="G526">
        <v>43.03</v>
      </c>
      <c r="H526">
        <v>339.93</v>
      </c>
    </row>
    <row r="527" spans="1:8" x14ac:dyDescent="0.35">
      <c r="A527" t="s">
        <v>9</v>
      </c>
      <c r="B527" t="s">
        <v>604</v>
      </c>
      <c r="C527" t="s">
        <v>11</v>
      </c>
      <c r="D527" t="s">
        <v>601</v>
      </c>
      <c r="E527" t="s">
        <v>13</v>
      </c>
      <c r="F527">
        <v>426.91</v>
      </c>
      <c r="G527">
        <v>61.04</v>
      </c>
      <c r="H527">
        <v>487.95</v>
      </c>
    </row>
    <row r="528" spans="1:8" x14ac:dyDescent="0.35">
      <c r="A528" t="s">
        <v>9</v>
      </c>
      <c r="B528" t="s">
        <v>605</v>
      </c>
      <c r="C528" t="s">
        <v>11</v>
      </c>
      <c r="D528" t="s">
        <v>601</v>
      </c>
      <c r="E528" t="s">
        <v>13</v>
      </c>
      <c r="F528">
        <v>520.79</v>
      </c>
      <c r="G528">
        <v>63.12</v>
      </c>
      <c r="H528">
        <v>583.91</v>
      </c>
    </row>
    <row r="529" spans="1:8" x14ac:dyDescent="0.35">
      <c r="A529" t="s">
        <v>9</v>
      </c>
      <c r="B529" t="s">
        <v>606</v>
      </c>
      <c r="C529" t="s">
        <v>11</v>
      </c>
      <c r="D529" t="s">
        <v>601</v>
      </c>
      <c r="E529" t="s">
        <v>13</v>
      </c>
      <c r="F529">
        <v>181.28</v>
      </c>
      <c r="G529">
        <v>22.56</v>
      </c>
      <c r="H529">
        <v>203.84</v>
      </c>
    </row>
    <row r="530" spans="1:8" x14ac:dyDescent="0.35">
      <c r="A530" t="s">
        <v>9</v>
      </c>
      <c r="B530" t="s">
        <v>607</v>
      </c>
      <c r="C530" t="s">
        <v>11</v>
      </c>
      <c r="D530" t="s">
        <v>601</v>
      </c>
      <c r="E530" t="s">
        <v>13</v>
      </c>
      <c r="F530">
        <v>214.31</v>
      </c>
      <c r="G530">
        <v>24.65</v>
      </c>
      <c r="H530">
        <v>238.96</v>
      </c>
    </row>
    <row r="531" spans="1:8" x14ac:dyDescent="0.35">
      <c r="A531" t="s">
        <v>9</v>
      </c>
      <c r="B531" t="s">
        <v>608</v>
      </c>
      <c r="C531" t="s">
        <v>11</v>
      </c>
      <c r="D531" t="s">
        <v>601</v>
      </c>
      <c r="E531" t="s">
        <v>13</v>
      </c>
      <c r="F531">
        <v>156.51</v>
      </c>
      <c r="G531">
        <v>23.48</v>
      </c>
      <c r="H531">
        <v>179.99</v>
      </c>
    </row>
    <row r="532" spans="1:8" x14ac:dyDescent="0.35">
      <c r="A532" t="s">
        <v>9</v>
      </c>
      <c r="B532" t="s">
        <v>609</v>
      </c>
      <c r="C532" t="s">
        <v>11</v>
      </c>
      <c r="D532" t="s">
        <v>610</v>
      </c>
      <c r="E532" t="s">
        <v>13</v>
      </c>
      <c r="F532">
        <v>874.11</v>
      </c>
      <c r="G532">
        <v>108.62</v>
      </c>
      <c r="H532">
        <v>982.73</v>
      </c>
    </row>
    <row r="533" spans="1:8" x14ac:dyDescent="0.35">
      <c r="A533" t="s">
        <v>9</v>
      </c>
      <c r="B533" t="s">
        <v>611</v>
      </c>
      <c r="C533" t="s">
        <v>11</v>
      </c>
      <c r="D533" t="s">
        <v>610</v>
      </c>
      <c r="E533" t="s">
        <v>13</v>
      </c>
      <c r="F533">
        <v>362.1</v>
      </c>
      <c r="G533">
        <v>52.81</v>
      </c>
      <c r="H533">
        <v>414.91</v>
      </c>
    </row>
    <row r="534" spans="1:8" x14ac:dyDescent="0.35">
      <c r="A534" t="s">
        <v>9</v>
      </c>
      <c r="B534" t="s">
        <v>612</v>
      </c>
      <c r="C534" t="s">
        <v>11</v>
      </c>
      <c r="D534" t="s">
        <v>610</v>
      </c>
      <c r="E534" t="s">
        <v>13</v>
      </c>
      <c r="F534">
        <v>319.04000000000002</v>
      </c>
      <c r="G534">
        <v>44.86</v>
      </c>
      <c r="H534">
        <v>363.9</v>
      </c>
    </row>
    <row r="535" spans="1:8" x14ac:dyDescent="0.35">
      <c r="A535" t="s">
        <v>9</v>
      </c>
      <c r="B535" t="s">
        <v>613</v>
      </c>
      <c r="C535" t="s">
        <v>11</v>
      </c>
      <c r="D535" t="s">
        <v>610</v>
      </c>
      <c r="E535" t="s">
        <v>13</v>
      </c>
      <c r="F535">
        <v>147.35</v>
      </c>
      <c r="G535">
        <v>20.6</v>
      </c>
      <c r="H535">
        <v>167.95</v>
      </c>
    </row>
    <row r="536" spans="1:8" x14ac:dyDescent="0.35">
      <c r="A536" t="s">
        <v>9</v>
      </c>
      <c r="B536" t="s">
        <v>614</v>
      </c>
      <c r="C536" t="s">
        <v>11</v>
      </c>
      <c r="D536" t="s">
        <v>610</v>
      </c>
      <c r="E536" t="s">
        <v>13</v>
      </c>
      <c r="F536">
        <v>553.19000000000005</v>
      </c>
      <c r="G536">
        <v>44.59</v>
      </c>
      <c r="H536">
        <v>597.78</v>
      </c>
    </row>
    <row r="537" spans="1:8" x14ac:dyDescent="0.35">
      <c r="A537" t="s">
        <v>9</v>
      </c>
      <c r="B537" t="s">
        <v>615</v>
      </c>
      <c r="C537" t="s">
        <v>11</v>
      </c>
      <c r="D537" t="s">
        <v>610</v>
      </c>
      <c r="E537" t="s">
        <v>13</v>
      </c>
      <c r="F537">
        <v>274.24</v>
      </c>
      <c r="G537">
        <v>39.64</v>
      </c>
      <c r="H537">
        <v>313.88</v>
      </c>
    </row>
    <row r="538" spans="1:8" x14ac:dyDescent="0.35">
      <c r="A538" t="s">
        <v>9</v>
      </c>
      <c r="B538" t="s">
        <v>616</v>
      </c>
      <c r="C538" t="s">
        <v>11</v>
      </c>
      <c r="D538" t="s">
        <v>610</v>
      </c>
      <c r="E538" t="s">
        <v>13</v>
      </c>
      <c r="F538">
        <v>333.25</v>
      </c>
      <c r="G538">
        <v>48.49</v>
      </c>
      <c r="H538">
        <v>381.74</v>
      </c>
    </row>
    <row r="539" spans="1:8" x14ac:dyDescent="0.35">
      <c r="A539" t="s">
        <v>9</v>
      </c>
      <c r="B539" t="s">
        <v>617</v>
      </c>
      <c r="C539" t="s">
        <v>11</v>
      </c>
      <c r="D539" t="s">
        <v>610</v>
      </c>
      <c r="E539" t="s">
        <v>13</v>
      </c>
      <c r="F539">
        <v>317.39</v>
      </c>
      <c r="G539">
        <v>40.56</v>
      </c>
      <c r="H539">
        <v>357.95</v>
      </c>
    </row>
    <row r="540" spans="1:8" x14ac:dyDescent="0.35">
      <c r="A540" t="s">
        <v>9</v>
      </c>
      <c r="B540" t="s">
        <v>618</v>
      </c>
      <c r="C540" t="s">
        <v>11</v>
      </c>
      <c r="D540" t="s">
        <v>610</v>
      </c>
      <c r="E540" t="s">
        <v>13</v>
      </c>
      <c r="F540">
        <v>389.5</v>
      </c>
      <c r="G540">
        <v>37.43</v>
      </c>
      <c r="H540">
        <v>426.93</v>
      </c>
    </row>
    <row r="541" spans="1:8" x14ac:dyDescent="0.35">
      <c r="A541" t="s">
        <v>9</v>
      </c>
      <c r="B541" t="s">
        <v>619</v>
      </c>
      <c r="C541" t="s">
        <v>11</v>
      </c>
      <c r="D541" t="s">
        <v>610</v>
      </c>
      <c r="E541" t="s">
        <v>13</v>
      </c>
      <c r="F541">
        <v>807.58</v>
      </c>
      <c r="G541">
        <v>98.04</v>
      </c>
      <c r="H541">
        <v>905.62</v>
      </c>
    </row>
    <row r="542" spans="1:8" x14ac:dyDescent="0.35">
      <c r="A542" t="s">
        <v>9</v>
      </c>
      <c r="B542" t="s">
        <v>620</v>
      </c>
      <c r="C542" t="s">
        <v>11</v>
      </c>
      <c r="D542" t="s">
        <v>621</v>
      </c>
      <c r="E542" t="s">
        <v>13</v>
      </c>
      <c r="F542">
        <v>444.1</v>
      </c>
      <c r="G542">
        <v>45.77</v>
      </c>
      <c r="H542">
        <v>489.87</v>
      </c>
    </row>
    <row r="543" spans="1:8" x14ac:dyDescent="0.35">
      <c r="A543" t="s">
        <v>9</v>
      </c>
      <c r="B543" t="s">
        <v>622</v>
      </c>
      <c r="C543" t="s">
        <v>11</v>
      </c>
      <c r="D543" t="s">
        <v>621</v>
      </c>
      <c r="E543" t="s">
        <v>13</v>
      </c>
      <c r="F543">
        <v>134.25</v>
      </c>
      <c r="G543">
        <v>17.59</v>
      </c>
      <c r="H543">
        <v>151.84</v>
      </c>
    </row>
    <row r="544" spans="1:8" x14ac:dyDescent="0.35">
      <c r="A544" t="s">
        <v>9</v>
      </c>
      <c r="B544" t="s">
        <v>623</v>
      </c>
      <c r="C544" t="s">
        <v>11</v>
      </c>
      <c r="D544" t="s">
        <v>621</v>
      </c>
      <c r="E544" t="s">
        <v>13</v>
      </c>
      <c r="F544">
        <v>549.21</v>
      </c>
      <c r="G544">
        <v>66.64</v>
      </c>
      <c r="H544">
        <v>615.85</v>
      </c>
    </row>
    <row r="545" spans="1:8" x14ac:dyDescent="0.35">
      <c r="A545" t="s">
        <v>9</v>
      </c>
      <c r="B545" t="s">
        <v>624</v>
      </c>
      <c r="C545" t="s">
        <v>11</v>
      </c>
      <c r="D545" t="s">
        <v>621</v>
      </c>
      <c r="E545" t="s">
        <v>13</v>
      </c>
      <c r="F545">
        <v>732.79</v>
      </c>
      <c r="G545">
        <v>92.07</v>
      </c>
      <c r="H545">
        <v>824.86</v>
      </c>
    </row>
    <row r="546" spans="1:8" x14ac:dyDescent="0.35">
      <c r="A546" t="s">
        <v>9</v>
      </c>
      <c r="B546" t="s">
        <v>625</v>
      </c>
      <c r="C546" t="s">
        <v>11</v>
      </c>
      <c r="D546" t="s">
        <v>621</v>
      </c>
      <c r="E546" t="s">
        <v>13</v>
      </c>
      <c r="F546">
        <v>121.62</v>
      </c>
      <c r="G546">
        <v>15.85</v>
      </c>
      <c r="H546">
        <v>137.47</v>
      </c>
    </row>
    <row r="547" spans="1:8" x14ac:dyDescent="0.35">
      <c r="A547" t="s">
        <v>9</v>
      </c>
      <c r="B547" t="s">
        <v>626</v>
      </c>
      <c r="C547" t="s">
        <v>11</v>
      </c>
      <c r="D547" t="s">
        <v>621</v>
      </c>
      <c r="E547" t="s">
        <v>13</v>
      </c>
      <c r="F547">
        <v>518.79999999999995</v>
      </c>
      <c r="G547">
        <v>50.08</v>
      </c>
      <c r="H547">
        <v>568.88</v>
      </c>
    </row>
    <row r="548" spans="1:8" x14ac:dyDescent="0.35">
      <c r="A548" t="s">
        <v>9</v>
      </c>
      <c r="B548" t="s">
        <v>627</v>
      </c>
      <c r="C548" t="s">
        <v>11</v>
      </c>
      <c r="D548" t="s">
        <v>621</v>
      </c>
      <c r="E548" t="s">
        <v>13</v>
      </c>
      <c r="F548">
        <v>587.91</v>
      </c>
      <c r="G548">
        <v>49.95</v>
      </c>
      <c r="H548">
        <v>637.86</v>
      </c>
    </row>
    <row r="549" spans="1:8" x14ac:dyDescent="0.35">
      <c r="A549" t="s">
        <v>9</v>
      </c>
      <c r="B549" t="s">
        <v>628</v>
      </c>
      <c r="C549" t="s">
        <v>11</v>
      </c>
      <c r="D549" t="s">
        <v>621</v>
      </c>
      <c r="E549" t="s">
        <v>13</v>
      </c>
      <c r="F549">
        <v>268.89999999999998</v>
      </c>
      <c r="G549">
        <v>38.840000000000003</v>
      </c>
      <c r="H549">
        <v>307.74</v>
      </c>
    </row>
    <row r="550" spans="1:8" x14ac:dyDescent="0.35">
      <c r="A550" t="s">
        <v>9</v>
      </c>
      <c r="B550" t="s">
        <v>629</v>
      </c>
      <c r="C550" t="s">
        <v>11</v>
      </c>
      <c r="D550" t="s">
        <v>621</v>
      </c>
      <c r="E550" t="s">
        <v>13</v>
      </c>
      <c r="F550">
        <v>599.25</v>
      </c>
      <c r="G550">
        <v>68.59</v>
      </c>
      <c r="H550">
        <v>667.84</v>
      </c>
    </row>
    <row r="551" spans="1:8" x14ac:dyDescent="0.35">
      <c r="A551" t="s">
        <v>9</v>
      </c>
      <c r="B551" t="s">
        <v>630</v>
      </c>
      <c r="C551" t="s">
        <v>11</v>
      </c>
      <c r="D551" t="s">
        <v>621</v>
      </c>
      <c r="E551" t="s">
        <v>13</v>
      </c>
      <c r="F551">
        <v>172.12</v>
      </c>
      <c r="G551">
        <v>25.82</v>
      </c>
      <c r="H551">
        <v>197.94</v>
      </c>
    </row>
    <row r="552" spans="1:8" x14ac:dyDescent="0.35">
      <c r="A552" t="s">
        <v>9</v>
      </c>
      <c r="B552" t="s">
        <v>631</v>
      </c>
      <c r="C552" t="s">
        <v>11</v>
      </c>
      <c r="D552" t="s">
        <v>621</v>
      </c>
      <c r="E552" t="s">
        <v>13</v>
      </c>
      <c r="F552">
        <v>311.3</v>
      </c>
      <c r="G552">
        <v>43.69</v>
      </c>
      <c r="H552">
        <v>354.99</v>
      </c>
    </row>
    <row r="553" spans="1:8" x14ac:dyDescent="0.35">
      <c r="A553" t="s">
        <v>9</v>
      </c>
      <c r="B553" t="s">
        <v>632</v>
      </c>
      <c r="C553" t="s">
        <v>11</v>
      </c>
      <c r="D553" t="s">
        <v>621</v>
      </c>
      <c r="E553" t="s">
        <v>13</v>
      </c>
      <c r="F553">
        <v>241.9</v>
      </c>
      <c r="G553">
        <v>16.04</v>
      </c>
      <c r="H553">
        <v>257.94</v>
      </c>
    </row>
    <row r="554" spans="1:8" x14ac:dyDescent="0.35">
      <c r="A554" t="s">
        <v>9</v>
      </c>
      <c r="B554" t="s">
        <v>633</v>
      </c>
      <c r="C554" t="s">
        <v>11</v>
      </c>
      <c r="D554" t="s">
        <v>621</v>
      </c>
      <c r="E554" t="s">
        <v>13</v>
      </c>
      <c r="F554">
        <v>582.70000000000005</v>
      </c>
      <c r="G554">
        <v>56.21</v>
      </c>
      <c r="H554">
        <v>638.91</v>
      </c>
    </row>
    <row r="555" spans="1:8" x14ac:dyDescent="0.35">
      <c r="A555" t="s">
        <v>9</v>
      </c>
      <c r="B555" t="s">
        <v>634</v>
      </c>
      <c r="C555" t="s">
        <v>11</v>
      </c>
      <c r="D555" t="s">
        <v>635</v>
      </c>
      <c r="E555" t="s">
        <v>13</v>
      </c>
      <c r="F555">
        <v>1007.87</v>
      </c>
      <c r="G555">
        <v>108.89</v>
      </c>
      <c r="H555">
        <v>1116.76</v>
      </c>
    </row>
    <row r="556" spans="1:8" x14ac:dyDescent="0.35">
      <c r="A556" t="s">
        <v>9</v>
      </c>
      <c r="B556" t="s">
        <v>636</v>
      </c>
      <c r="C556" t="s">
        <v>11</v>
      </c>
      <c r="D556" t="s">
        <v>635</v>
      </c>
      <c r="E556" t="s">
        <v>13</v>
      </c>
      <c r="F556">
        <v>735.48</v>
      </c>
      <c r="G556">
        <v>107.32</v>
      </c>
      <c r="H556">
        <v>842.8</v>
      </c>
    </row>
    <row r="557" spans="1:8" x14ac:dyDescent="0.35">
      <c r="A557" t="s">
        <v>9</v>
      </c>
      <c r="B557" t="s">
        <v>637</v>
      </c>
      <c r="C557" t="s">
        <v>11</v>
      </c>
      <c r="D557" t="s">
        <v>635</v>
      </c>
      <c r="E557" t="s">
        <v>13</v>
      </c>
      <c r="F557">
        <v>382.3</v>
      </c>
      <c r="G557">
        <v>41.6</v>
      </c>
      <c r="H557">
        <v>423.9</v>
      </c>
    </row>
    <row r="558" spans="1:8" x14ac:dyDescent="0.35">
      <c r="A558" t="s">
        <v>9</v>
      </c>
      <c r="B558" t="s">
        <v>638</v>
      </c>
      <c r="C558" t="s">
        <v>11</v>
      </c>
      <c r="D558" t="s">
        <v>635</v>
      </c>
      <c r="E558" t="s">
        <v>13</v>
      </c>
      <c r="F558">
        <v>151.15</v>
      </c>
      <c r="G558">
        <v>10.82</v>
      </c>
      <c r="H558">
        <v>161.97</v>
      </c>
    </row>
    <row r="559" spans="1:8" x14ac:dyDescent="0.35">
      <c r="A559" t="s">
        <v>9</v>
      </c>
      <c r="B559" t="s">
        <v>639</v>
      </c>
      <c r="C559" t="s">
        <v>11</v>
      </c>
      <c r="D559" t="s">
        <v>635</v>
      </c>
      <c r="E559" t="s">
        <v>13</v>
      </c>
      <c r="F559">
        <v>382.89</v>
      </c>
      <c r="G559">
        <v>49.03</v>
      </c>
      <c r="H559">
        <v>431.92</v>
      </c>
    </row>
    <row r="560" spans="1:8" x14ac:dyDescent="0.35">
      <c r="A560" t="s">
        <v>9</v>
      </c>
      <c r="B560" t="s">
        <v>640</v>
      </c>
      <c r="C560" t="s">
        <v>11</v>
      </c>
      <c r="D560" t="s">
        <v>635</v>
      </c>
      <c r="E560" t="s">
        <v>13</v>
      </c>
      <c r="F560">
        <v>375.3</v>
      </c>
      <c r="G560">
        <v>31.4</v>
      </c>
      <c r="H560">
        <v>406.7</v>
      </c>
    </row>
    <row r="561" spans="1:8" x14ac:dyDescent="0.35">
      <c r="A561" t="s">
        <v>9</v>
      </c>
      <c r="B561" t="s">
        <v>641</v>
      </c>
      <c r="C561" t="s">
        <v>11</v>
      </c>
      <c r="D561" t="s">
        <v>635</v>
      </c>
      <c r="E561" t="s">
        <v>13</v>
      </c>
      <c r="F561">
        <v>217.83</v>
      </c>
      <c r="G561">
        <v>15.13</v>
      </c>
      <c r="H561">
        <v>232.96</v>
      </c>
    </row>
    <row r="562" spans="1:8" x14ac:dyDescent="0.35">
      <c r="A562" t="s">
        <v>9</v>
      </c>
      <c r="B562" t="s">
        <v>642</v>
      </c>
      <c r="C562" t="s">
        <v>11</v>
      </c>
      <c r="D562" t="s">
        <v>635</v>
      </c>
      <c r="E562" t="s">
        <v>13</v>
      </c>
      <c r="F562">
        <v>125.19</v>
      </c>
      <c r="G562">
        <v>18.78</v>
      </c>
      <c r="H562">
        <v>143.97</v>
      </c>
    </row>
    <row r="563" spans="1:8" x14ac:dyDescent="0.35">
      <c r="A563" t="s">
        <v>9</v>
      </c>
      <c r="B563" t="s">
        <v>643</v>
      </c>
      <c r="C563" t="s">
        <v>11</v>
      </c>
      <c r="D563" t="s">
        <v>635</v>
      </c>
      <c r="E563" t="s">
        <v>13</v>
      </c>
      <c r="F563">
        <v>121.7</v>
      </c>
      <c r="G563">
        <v>18.260000000000002</v>
      </c>
      <c r="H563">
        <v>139.96</v>
      </c>
    </row>
    <row r="564" spans="1:8" x14ac:dyDescent="0.35">
      <c r="A564" t="s">
        <v>9</v>
      </c>
      <c r="B564" t="s">
        <v>644</v>
      </c>
      <c r="C564" t="s">
        <v>11</v>
      </c>
      <c r="D564" t="s">
        <v>635</v>
      </c>
      <c r="E564" t="s">
        <v>13</v>
      </c>
      <c r="F564">
        <v>534.30999999999995</v>
      </c>
      <c r="G564">
        <v>78.650000000000006</v>
      </c>
      <c r="H564">
        <v>612.96</v>
      </c>
    </row>
    <row r="565" spans="1:8" x14ac:dyDescent="0.35">
      <c r="A565" t="s">
        <v>9</v>
      </c>
      <c r="B565" t="s">
        <v>645</v>
      </c>
      <c r="C565" t="s">
        <v>11</v>
      </c>
      <c r="D565" t="s">
        <v>646</v>
      </c>
      <c r="E565" t="s">
        <v>13</v>
      </c>
      <c r="F565">
        <v>326.29000000000002</v>
      </c>
      <c r="G565">
        <v>42.64</v>
      </c>
      <c r="H565">
        <v>368.93</v>
      </c>
    </row>
    <row r="566" spans="1:8" x14ac:dyDescent="0.35">
      <c r="A566" t="s">
        <v>9</v>
      </c>
      <c r="B566" t="s">
        <v>647</v>
      </c>
      <c r="C566" t="s">
        <v>11</v>
      </c>
      <c r="D566" t="s">
        <v>646</v>
      </c>
      <c r="E566" t="s">
        <v>13</v>
      </c>
      <c r="F566">
        <v>153.21</v>
      </c>
      <c r="G566">
        <v>17.73</v>
      </c>
      <c r="H566">
        <v>170.94</v>
      </c>
    </row>
    <row r="567" spans="1:8" x14ac:dyDescent="0.35">
      <c r="A567" t="s">
        <v>9</v>
      </c>
      <c r="B567" t="s">
        <v>648</v>
      </c>
      <c r="C567" t="s">
        <v>11</v>
      </c>
      <c r="D567" t="s">
        <v>646</v>
      </c>
      <c r="E567" t="s">
        <v>13</v>
      </c>
      <c r="F567">
        <v>759.85</v>
      </c>
      <c r="G567">
        <v>77.98</v>
      </c>
      <c r="H567">
        <v>837.83</v>
      </c>
    </row>
    <row r="568" spans="1:8" x14ac:dyDescent="0.35">
      <c r="A568" t="s">
        <v>9</v>
      </c>
      <c r="B568" t="s">
        <v>649</v>
      </c>
      <c r="C568" t="s">
        <v>11</v>
      </c>
      <c r="D568" t="s">
        <v>646</v>
      </c>
      <c r="E568" t="s">
        <v>13</v>
      </c>
      <c r="F568">
        <v>210.83</v>
      </c>
      <c r="G568">
        <v>30.13</v>
      </c>
      <c r="H568">
        <v>240.96</v>
      </c>
    </row>
    <row r="569" spans="1:8" x14ac:dyDescent="0.35">
      <c r="A569" t="s">
        <v>9</v>
      </c>
      <c r="B569" t="s">
        <v>650</v>
      </c>
      <c r="C569" t="s">
        <v>11</v>
      </c>
      <c r="D569" t="s">
        <v>646</v>
      </c>
      <c r="E569" t="s">
        <v>13</v>
      </c>
      <c r="F569">
        <v>480.24</v>
      </c>
      <c r="G569">
        <v>63.04</v>
      </c>
      <c r="H569">
        <v>543.28</v>
      </c>
    </row>
    <row r="570" spans="1:8" x14ac:dyDescent="0.35">
      <c r="A570" t="s">
        <v>9</v>
      </c>
      <c r="B570" t="s">
        <v>651</v>
      </c>
      <c r="C570" t="s">
        <v>11</v>
      </c>
      <c r="D570" t="s">
        <v>646</v>
      </c>
      <c r="E570" t="s">
        <v>13</v>
      </c>
      <c r="F570">
        <v>155.61000000000001</v>
      </c>
      <c r="G570">
        <v>23.34</v>
      </c>
      <c r="H570">
        <v>178.95</v>
      </c>
    </row>
    <row r="571" spans="1:8" x14ac:dyDescent="0.35">
      <c r="A571" t="s">
        <v>9</v>
      </c>
      <c r="B571" t="s">
        <v>652</v>
      </c>
      <c r="C571" t="s">
        <v>11</v>
      </c>
      <c r="D571" t="s">
        <v>653</v>
      </c>
      <c r="E571" t="s">
        <v>13</v>
      </c>
      <c r="F571">
        <v>312.07</v>
      </c>
      <c r="G571">
        <v>35.86</v>
      </c>
      <c r="H571">
        <v>347.93</v>
      </c>
    </row>
    <row r="572" spans="1:8" x14ac:dyDescent="0.35">
      <c r="A572" t="s">
        <v>9</v>
      </c>
      <c r="B572" t="s">
        <v>654</v>
      </c>
      <c r="C572" t="s">
        <v>11</v>
      </c>
      <c r="D572" t="s">
        <v>653</v>
      </c>
      <c r="E572" t="s">
        <v>13</v>
      </c>
      <c r="F572">
        <v>90.11</v>
      </c>
      <c r="G572">
        <v>13.52</v>
      </c>
      <c r="H572">
        <v>103.63</v>
      </c>
    </row>
    <row r="573" spans="1:8" x14ac:dyDescent="0.35">
      <c r="A573" t="s">
        <v>9</v>
      </c>
      <c r="B573" t="s">
        <v>655</v>
      </c>
      <c r="C573" t="s">
        <v>11</v>
      </c>
      <c r="D573" t="s">
        <v>653</v>
      </c>
      <c r="E573" t="s">
        <v>13</v>
      </c>
      <c r="F573">
        <v>543.79</v>
      </c>
      <c r="G573">
        <v>65.069999999999993</v>
      </c>
      <c r="H573">
        <v>608.86</v>
      </c>
    </row>
    <row r="574" spans="1:8" x14ac:dyDescent="0.35">
      <c r="A574" t="s">
        <v>9</v>
      </c>
      <c r="B574" t="s">
        <v>656</v>
      </c>
      <c r="C574" t="s">
        <v>11</v>
      </c>
      <c r="D574" t="s">
        <v>653</v>
      </c>
      <c r="E574" t="s">
        <v>13</v>
      </c>
      <c r="F574">
        <v>263.20999999999998</v>
      </c>
      <c r="G574">
        <v>20.73</v>
      </c>
      <c r="H574">
        <v>283.94</v>
      </c>
    </row>
    <row r="575" spans="1:8" x14ac:dyDescent="0.35">
      <c r="A575" t="s">
        <v>9</v>
      </c>
      <c r="B575" t="s">
        <v>657</v>
      </c>
      <c r="C575" t="s">
        <v>11</v>
      </c>
      <c r="D575" t="s">
        <v>653</v>
      </c>
      <c r="E575" t="s">
        <v>13</v>
      </c>
      <c r="F575">
        <v>202.1</v>
      </c>
      <c r="G575">
        <v>28.82</v>
      </c>
      <c r="H575">
        <v>230.92</v>
      </c>
    </row>
    <row r="576" spans="1:8" x14ac:dyDescent="0.35">
      <c r="A576" t="s">
        <v>9</v>
      </c>
      <c r="B576" t="s">
        <v>658</v>
      </c>
      <c r="C576" t="s">
        <v>11</v>
      </c>
      <c r="D576" t="s">
        <v>653</v>
      </c>
      <c r="E576" t="s">
        <v>13</v>
      </c>
      <c r="F576">
        <v>523.66999999999996</v>
      </c>
      <c r="G576">
        <v>63.25</v>
      </c>
      <c r="H576">
        <v>586.91999999999996</v>
      </c>
    </row>
    <row r="577" spans="1:8" x14ac:dyDescent="0.35">
      <c r="A577" t="s">
        <v>9</v>
      </c>
      <c r="B577" t="s">
        <v>659</v>
      </c>
      <c r="C577" t="s">
        <v>11</v>
      </c>
      <c r="D577" t="s">
        <v>660</v>
      </c>
      <c r="E577" t="s">
        <v>13</v>
      </c>
      <c r="F577">
        <v>177.34</v>
      </c>
      <c r="G577">
        <v>25.1</v>
      </c>
      <c r="H577">
        <v>202.44</v>
      </c>
    </row>
    <row r="578" spans="1:8" x14ac:dyDescent="0.35">
      <c r="A578" t="s">
        <v>9</v>
      </c>
      <c r="B578" t="s">
        <v>661</v>
      </c>
      <c r="C578" t="s">
        <v>11</v>
      </c>
      <c r="D578" t="s">
        <v>660</v>
      </c>
      <c r="E578" t="s">
        <v>13</v>
      </c>
      <c r="F578">
        <v>361.19</v>
      </c>
      <c r="G578">
        <v>44.73</v>
      </c>
      <c r="H578">
        <v>405.92</v>
      </c>
    </row>
    <row r="579" spans="1:8" x14ac:dyDescent="0.35">
      <c r="A579" t="s">
        <v>9</v>
      </c>
      <c r="B579" t="s">
        <v>662</v>
      </c>
      <c r="C579" t="s">
        <v>11</v>
      </c>
      <c r="D579" t="s">
        <v>660</v>
      </c>
      <c r="E579" t="s">
        <v>13</v>
      </c>
      <c r="F579">
        <v>143.04</v>
      </c>
      <c r="G579">
        <v>19.96</v>
      </c>
      <c r="H579">
        <v>163</v>
      </c>
    </row>
    <row r="580" spans="1:8" x14ac:dyDescent="0.35">
      <c r="A580" t="s">
        <v>9</v>
      </c>
      <c r="B580" t="s">
        <v>663</v>
      </c>
      <c r="C580" t="s">
        <v>11</v>
      </c>
      <c r="D580" t="s">
        <v>660</v>
      </c>
      <c r="E580" t="s">
        <v>13</v>
      </c>
      <c r="F580">
        <v>143.88999999999999</v>
      </c>
      <c r="G580">
        <v>17.079999999999998</v>
      </c>
      <c r="H580">
        <v>160.97</v>
      </c>
    </row>
    <row r="581" spans="1:8" x14ac:dyDescent="0.35">
      <c r="A581" t="s">
        <v>9</v>
      </c>
      <c r="B581" t="s">
        <v>664</v>
      </c>
      <c r="C581" t="s">
        <v>11</v>
      </c>
      <c r="D581" t="s">
        <v>660</v>
      </c>
      <c r="E581" t="s">
        <v>13</v>
      </c>
      <c r="F581">
        <v>288.26</v>
      </c>
      <c r="G581">
        <v>41.74</v>
      </c>
      <c r="H581">
        <v>330</v>
      </c>
    </row>
    <row r="582" spans="1:8" x14ac:dyDescent="0.35">
      <c r="A582" t="s">
        <v>9</v>
      </c>
      <c r="B582" t="s">
        <v>665</v>
      </c>
      <c r="C582" t="s">
        <v>11</v>
      </c>
      <c r="D582" t="s">
        <v>660</v>
      </c>
      <c r="E582" t="s">
        <v>13</v>
      </c>
      <c r="F582">
        <v>160.83000000000001</v>
      </c>
      <c r="G582">
        <v>24.13</v>
      </c>
      <c r="H582">
        <v>184.96</v>
      </c>
    </row>
    <row r="583" spans="1:8" x14ac:dyDescent="0.35">
      <c r="A583" t="s">
        <v>9</v>
      </c>
      <c r="B583" t="s">
        <v>666</v>
      </c>
      <c r="C583" t="s">
        <v>11</v>
      </c>
      <c r="D583" t="s">
        <v>660</v>
      </c>
      <c r="E583" t="s">
        <v>13</v>
      </c>
      <c r="F583">
        <v>143.04</v>
      </c>
      <c r="G583">
        <v>19.96</v>
      </c>
      <c r="H583">
        <v>163</v>
      </c>
    </row>
    <row r="584" spans="1:8" x14ac:dyDescent="0.35">
      <c r="A584" t="s">
        <v>9</v>
      </c>
      <c r="B584" t="s">
        <v>667</v>
      </c>
      <c r="C584" t="s">
        <v>11</v>
      </c>
      <c r="D584" t="s">
        <v>660</v>
      </c>
      <c r="E584" t="s">
        <v>13</v>
      </c>
      <c r="F584">
        <v>161.30000000000001</v>
      </c>
      <c r="G584">
        <v>12.65</v>
      </c>
      <c r="H584">
        <v>173.95</v>
      </c>
    </row>
    <row r="585" spans="1:8" x14ac:dyDescent="0.35">
      <c r="A585" t="s">
        <v>9</v>
      </c>
      <c r="B585" t="s">
        <v>668</v>
      </c>
      <c r="C585" t="s">
        <v>11</v>
      </c>
      <c r="D585" t="s">
        <v>669</v>
      </c>
      <c r="E585" t="s">
        <v>13</v>
      </c>
      <c r="F585">
        <v>1108.83</v>
      </c>
      <c r="G585">
        <v>122.68</v>
      </c>
      <c r="H585">
        <v>1231.51</v>
      </c>
    </row>
    <row r="586" spans="1:8" x14ac:dyDescent="0.35">
      <c r="A586" t="s">
        <v>9</v>
      </c>
      <c r="B586" t="s">
        <v>670</v>
      </c>
      <c r="C586" t="s">
        <v>11</v>
      </c>
      <c r="D586" t="s">
        <v>669</v>
      </c>
      <c r="E586" t="s">
        <v>13</v>
      </c>
      <c r="F586">
        <v>239.52</v>
      </c>
      <c r="G586">
        <v>31.43</v>
      </c>
      <c r="H586">
        <v>270.95</v>
      </c>
    </row>
    <row r="587" spans="1:8" x14ac:dyDescent="0.35">
      <c r="A587" t="s">
        <v>9</v>
      </c>
      <c r="B587" t="s">
        <v>671</v>
      </c>
      <c r="C587" t="s">
        <v>11</v>
      </c>
      <c r="D587" t="s">
        <v>669</v>
      </c>
      <c r="E587" t="s">
        <v>13</v>
      </c>
      <c r="F587">
        <v>134.97</v>
      </c>
      <c r="G587">
        <v>15</v>
      </c>
      <c r="H587">
        <v>149.97</v>
      </c>
    </row>
    <row r="588" spans="1:8" x14ac:dyDescent="0.35">
      <c r="A588" t="s">
        <v>9</v>
      </c>
      <c r="B588" t="s">
        <v>672</v>
      </c>
      <c r="C588" t="s">
        <v>11</v>
      </c>
      <c r="D588" t="s">
        <v>669</v>
      </c>
      <c r="E588" t="s">
        <v>13</v>
      </c>
      <c r="F588">
        <v>378.73</v>
      </c>
      <c r="G588">
        <v>46.16</v>
      </c>
      <c r="H588">
        <v>424.89</v>
      </c>
    </row>
    <row r="589" spans="1:8" x14ac:dyDescent="0.35">
      <c r="A589" t="s">
        <v>9</v>
      </c>
      <c r="B589" t="s">
        <v>673</v>
      </c>
      <c r="C589" t="s">
        <v>11</v>
      </c>
      <c r="D589" t="s">
        <v>669</v>
      </c>
      <c r="E589" t="s">
        <v>13</v>
      </c>
      <c r="F589">
        <v>511.01</v>
      </c>
      <c r="G589">
        <v>45.91</v>
      </c>
      <c r="H589">
        <v>556.91999999999996</v>
      </c>
    </row>
    <row r="590" spans="1:8" x14ac:dyDescent="0.35">
      <c r="A590" t="s">
        <v>9</v>
      </c>
      <c r="B590" t="s">
        <v>674</v>
      </c>
      <c r="C590" t="s">
        <v>11</v>
      </c>
      <c r="D590" t="s">
        <v>669</v>
      </c>
      <c r="E590" t="s">
        <v>13</v>
      </c>
      <c r="F590">
        <v>49.56</v>
      </c>
      <c r="G590">
        <v>7.43</v>
      </c>
      <c r="H590">
        <v>56.99</v>
      </c>
    </row>
    <row r="591" spans="1:8" x14ac:dyDescent="0.35">
      <c r="A591" t="s">
        <v>9</v>
      </c>
      <c r="B591" t="s">
        <v>675</v>
      </c>
      <c r="C591" t="s">
        <v>11</v>
      </c>
      <c r="D591" t="s">
        <v>669</v>
      </c>
      <c r="E591" t="s">
        <v>13</v>
      </c>
      <c r="F591">
        <v>580.77</v>
      </c>
      <c r="G591">
        <v>84.11</v>
      </c>
      <c r="H591">
        <v>664.88</v>
      </c>
    </row>
    <row r="592" spans="1:8" x14ac:dyDescent="0.35">
      <c r="A592" t="s">
        <v>9</v>
      </c>
      <c r="B592" t="s">
        <v>676</v>
      </c>
      <c r="C592" t="s">
        <v>11</v>
      </c>
      <c r="D592" t="s">
        <v>669</v>
      </c>
      <c r="E592" t="s">
        <v>13</v>
      </c>
      <c r="F592">
        <v>155.94999999999999</v>
      </c>
      <c r="G592">
        <v>20.99</v>
      </c>
      <c r="H592">
        <v>176.94</v>
      </c>
    </row>
    <row r="593" spans="1:8" x14ac:dyDescent="0.35">
      <c r="A593" t="s">
        <v>9</v>
      </c>
      <c r="B593" t="s">
        <v>677</v>
      </c>
      <c r="C593" t="s">
        <v>11</v>
      </c>
      <c r="D593" t="s">
        <v>669</v>
      </c>
      <c r="E593" t="s">
        <v>13</v>
      </c>
      <c r="F593">
        <v>242.34</v>
      </c>
      <c r="G593">
        <v>17.61</v>
      </c>
      <c r="H593">
        <v>259.95</v>
      </c>
    </row>
    <row r="594" spans="1:8" x14ac:dyDescent="0.35">
      <c r="A594" t="s">
        <v>9</v>
      </c>
      <c r="B594" t="s">
        <v>678</v>
      </c>
      <c r="C594" t="s">
        <v>11</v>
      </c>
      <c r="D594" t="s">
        <v>669</v>
      </c>
      <c r="E594" t="s">
        <v>13</v>
      </c>
      <c r="F594">
        <v>165.21</v>
      </c>
      <c r="G594">
        <v>20.73</v>
      </c>
      <c r="H594">
        <v>185.94</v>
      </c>
    </row>
    <row r="595" spans="1:8" x14ac:dyDescent="0.35">
      <c r="A595" t="s">
        <v>9</v>
      </c>
      <c r="B595" t="s">
        <v>679</v>
      </c>
      <c r="C595" t="s">
        <v>11</v>
      </c>
      <c r="D595" t="s">
        <v>669</v>
      </c>
      <c r="E595" t="s">
        <v>13</v>
      </c>
      <c r="F595">
        <v>244.29</v>
      </c>
      <c r="G595">
        <v>36.64</v>
      </c>
      <c r="H595">
        <v>280.93</v>
      </c>
    </row>
    <row r="596" spans="1:8" x14ac:dyDescent="0.35">
      <c r="A596" t="s">
        <v>9</v>
      </c>
      <c r="B596" t="s">
        <v>680</v>
      </c>
      <c r="C596" t="s">
        <v>11</v>
      </c>
      <c r="D596" t="s">
        <v>669</v>
      </c>
      <c r="E596" t="s">
        <v>13</v>
      </c>
      <c r="F596">
        <v>220.37</v>
      </c>
      <c r="G596">
        <v>31.56</v>
      </c>
      <c r="H596">
        <v>251.93</v>
      </c>
    </row>
    <row r="597" spans="1:8" x14ac:dyDescent="0.35">
      <c r="A597" t="s">
        <v>9</v>
      </c>
      <c r="B597" t="s">
        <v>681</v>
      </c>
      <c r="C597" t="s">
        <v>11</v>
      </c>
      <c r="D597" t="s">
        <v>682</v>
      </c>
      <c r="E597" t="s">
        <v>13</v>
      </c>
      <c r="F597">
        <v>1102.75</v>
      </c>
      <c r="G597">
        <v>142.91999999999999</v>
      </c>
      <c r="H597">
        <v>1245.67</v>
      </c>
    </row>
    <row r="598" spans="1:8" x14ac:dyDescent="0.35">
      <c r="A598" t="s">
        <v>9</v>
      </c>
      <c r="B598" t="s">
        <v>683</v>
      </c>
      <c r="C598" t="s">
        <v>11</v>
      </c>
      <c r="D598" t="s">
        <v>682</v>
      </c>
      <c r="E598" t="s">
        <v>13</v>
      </c>
      <c r="F598">
        <v>762.3</v>
      </c>
      <c r="G598">
        <v>103.85</v>
      </c>
      <c r="H598">
        <v>866.15</v>
      </c>
    </row>
    <row r="599" spans="1:8" x14ac:dyDescent="0.35">
      <c r="A599" t="s">
        <v>9</v>
      </c>
      <c r="B599" t="s">
        <v>684</v>
      </c>
      <c r="C599" t="s">
        <v>11</v>
      </c>
      <c r="D599" t="s">
        <v>682</v>
      </c>
      <c r="E599" t="s">
        <v>13</v>
      </c>
      <c r="F599">
        <v>607.74</v>
      </c>
      <c r="G599">
        <v>82.16</v>
      </c>
      <c r="H599">
        <v>689.9</v>
      </c>
    </row>
    <row r="600" spans="1:8" x14ac:dyDescent="0.35">
      <c r="A600" t="s">
        <v>9</v>
      </c>
      <c r="B600" t="s">
        <v>685</v>
      </c>
      <c r="C600" t="s">
        <v>11</v>
      </c>
      <c r="D600" t="s">
        <v>682</v>
      </c>
      <c r="E600" t="s">
        <v>13</v>
      </c>
      <c r="F600">
        <v>391.37</v>
      </c>
      <c r="G600">
        <v>55.71</v>
      </c>
      <c r="H600">
        <v>447.08</v>
      </c>
    </row>
    <row r="601" spans="1:8" x14ac:dyDescent="0.35">
      <c r="A601" t="s">
        <v>9</v>
      </c>
      <c r="B601" t="s">
        <v>686</v>
      </c>
      <c r="C601" t="s">
        <v>11</v>
      </c>
      <c r="D601" t="s">
        <v>682</v>
      </c>
      <c r="E601" t="s">
        <v>13</v>
      </c>
      <c r="F601">
        <v>183.21</v>
      </c>
      <c r="G601">
        <v>17.73</v>
      </c>
      <c r="H601">
        <v>200.94</v>
      </c>
    </row>
    <row r="602" spans="1:8" x14ac:dyDescent="0.35">
      <c r="A602" t="s">
        <v>9</v>
      </c>
      <c r="B602" t="s">
        <v>687</v>
      </c>
      <c r="C602" t="s">
        <v>11</v>
      </c>
      <c r="D602" t="s">
        <v>682</v>
      </c>
      <c r="E602" t="s">
        <v>13</v>
      </c>
      <c r="F602">
        <v>233.18</v>
      </c>
      <c r="G602">
        <v>17.73</v>
      </c>
      <c r="H602">
        <v>250.91</v>
      </c>
    </row>
    <row r="603" spans="1:8" x14ac:dyDescent="0.35">
      <c r="A603" t="s">
        <v>9</v>
      </c>
      <c r="B603" t="s">
        <v>688</v>
      </c>
      <c r="C603" t="s">
        <v>11</v>
      </c>
      <c r="D603" t="s">
        <v>689</v>
      </c>
      <c r="E603" t="s">
        <v>13</v>
      </c>
      <c r="F603">
        <v>199.33</v>
      </c>
      <c r="G603">
        <v>20.6</v>
      </c>
      <c r="H603">
        <v>219.93</v>
      </c>
    </row>
    <row r="604" spans="1:8" x14ac:dyDescent="0.35">
      <c r="A604" t="s">
        <v>9</v>
      </c>
      <c r="B604" t="s">
        <v>690</v>
      </c>
      <c r="C604" t="s">
        <v>11</v>
      </c>
      <c r="D604" t="s">
        <v>689</v>
      </c>
      <c r="E604" t="s">
        <v>13</v>
      </c>
      <c r="F604">
        <v>199.05</v>
      </c>
      <c r="G604">
        <v>24.91</v>
      </c>
      <c r="H604">
        <v>223.96</v>
      </c>
    </row>
    <row r="605" spans="1:8" x14ac:dyDescent="0.35">
      <c r="A605" t="s">
        <v>9</v>
      </c>
      <c r="B605" t="s">
        <v>691</v>
      </c>
      <c r="C605" t="s">
        <v>11</v>
      </c>
      <c r="D605" t="s">
        <v>689</v>
      </c>
      <c r="E605" t="s">
        <v>13</v>
      </c>
      <c r="F605">
        <v>908.75</v>
      </c>
      <c r="G605">
        <v>119.06</v>
      </c>
      <c r="H605">
        <v>1027.81</v>
      </c>
    </row>
    <row r="606" spans="1:8" x14ac:dyDescent="0.35">
      <c r="A606" t="s">
        <v>9</v>
      </c>
      <c r="B606" t="s">
        <v>692</v>
      </c>
      <c r="C606" t="s">
        <v>11</v>
      </c>
      <c r="D606" t="s">
        <v>693</v>
      </c>
      <c r="E606" t="s">
        <v>13</v>
      </c>
      <c r="F606">
        <v>328.2</v>
      </c>
      <c r="G606">
        <v>34.229999999999997</v>
      </c>
      <c r="H606">
        <v>362.43</v>
      </c>
    </row>
    <row r="607" spans="1:8" x14ac:dyDescent="0.35">
      <c r="A607" t="s">
        <v>9</v>
      </c>
      <c r="B607" t="s">
        <v>694</v>
      </c>
      <c r="C607" t="s">
        <v>11</v>
      </c>
      <c r="D607" t="s">
        <v>693</v>
      </c>
      <c r="E607" t="s">
        <v>13</v>
      </c>
      <c r="F607">
        <v>414.19</v>
      </c>
      <c r="G607">
        <v>43.68</v>
      </c>
      <c r="H607">
        <v>457.87</v>
      </c>
    </row>
    <row r="608" spans="1:8" x14ac:dyDescent="0.35">
      <c r="A608" t="s">
        <v>9</v>
      </c>
      <c r="B608" t="s">
        <v>695</v>
      </c>
      <c r="C608" t="s">
        <v>11</v>
      </c>
      <c r="D608" t="s">
        <v>693</v>
      </c>
      <c r="E608" t="s">
        <v>13</v>
      </c>
      <c r="F608">
        <v>404.01</v>
      </c>
      <c r="G608">
        <v>36.909999999999997</v>
      </c>
      <c r="H608">
        <v>440.92</v>
      </c>
    </row>
    <row r="609" spans="1:8" x14ac:dyDescent="0.35">
      <c r="A609" t="s">
        <v>9</v>
      </c>
      <c r="B609" t="s">
        <v>696</v>
      </c>
      <c r="C609" t="s">
        <v>11</v>
      </c>
      <c r="D609" t="s">
        <v>693</v>
      </c>
      <c r="E609" t="s">
        <v>13</v>
      </c>
      <c r="F609">
        <v>365.29</v>
      </c>
      <c r="G609">
        <v>32.6</v>
      </c>
      <c r="H609">
        <v>397.89</v>
      </c>
    </row>
    <row r="610" spans="1:8" x14ac:dyDescent="0.35">
      <c r="A610" t="s">
        <v>9</v>
      </c>
      <c r="B610" t="s">
        <v>697</v>
      </c>
      <c r="C610" t="s">
        <v>11</v>
      </c>
      <c r="D610" t="s">
        <v>693</v>
      </c>
      <c r="E610" t="s">
        <v>13</v>
      </c>
      <c r="F610">
        <v>364.54</v>
      </c>
      <c r="G610">
        <v>39.380000000000003</v>
      </c>
      <c r="H610">
        <v>403.92</v>
      </c>
    </row>
    <row r="611" spans="1:8" x14ac:dyDescent="0.35">
      <c r="A611" t="s">
        <v>9</v>
      </c>
      <c r="B611" t="s">
        <v>698</v>
      </c>
      <c r="C611" t="s">
        <v>11</v>
      </c>
      <c r="D611" t="s">
        <v>693</v>
      </c>
      <c r="E611" t="s">
        <v>13</v>
      </c>
      <c r="F611">
        <v>579.76</v>
      </c>
      <c r="G611">
        <v>56.08</v>
      </c>
      <c r="H611">
        <v>635.84</v>
      </c>
    </row>
    <row r="612" spans="1:8" x14ac:dyDescent="0.35">
      <c r="A612" t="s">
        <v>9</v>
      </c>
      <c r="B612" t="s">
        <v>699</v>
      </c>
      <c r="C612" t="s">
        <v>11</v>
      </c>
      <c r="D612" t="s">
        <v>693</v>
      </c>
      <c r="E612" t="s">
        <v>13</v>
      </c>
      <c r="F612">
        <v>137.78</v>
      </c>
      <c r="G612">
        <v>19.170000000000002</v>
      </c>
      <c r="H612">
        <v>156.94999999999999</v>
      </c>
    </row>
    <row r="613" spans="1:8" x14ac:dyDescent="0.35">
      <c r="A613" t="s">
        <v>9</v>
      </c>
      <c r="B613" t="s">
        <v>700</v>
      </c>
      <c r="C613" t="s">
        <v>11</v>
      </c>
      <c r="D613" t="s">
        <v>693</v>
      </c>
      <c r="E613" t="s">
        <v>13</v>
      </c>
      <c r="F613">
        <v>178.22</v>
      </c>
      <c r="G613">
        <v>26.73</v>
      </c>
      <c r="H613">
        <v>204.95</v>
      </c>
    </row>
    <row r="614" spans="1:8" x14ac:dyDescent="0.35">
      <c r="A614" t="s">
        <v>9</v>
      </c>
      <c r="B614" t="s">
        <v>701</v>
      </c>
      <c r="C614" t="s">
        <v>11</v>
      </c>
      <c r="D614" t="s">
        <v>693</v>
      </c>
      <c r="E614" t="s">
        <v>13</v>
      </c>
      <c r="F614">
        <v>465.39</v>
      </c>
      <c r="G614">
        <v>62.61</v>
      </c>
      <c r="H614">
        <v>528</v>
      </c>
    </row>
    <row r="615" spans="1:8" x14ac:dyDescent="0.35">
      <c r="A615" t="s">
        <v>9</v>
      </c>
      <c r="B615" t="s">
        <v>702</v>
      </c>
      <c r="C615" t="s">
        <v>11</v>
      </c>
      <c r="D615" t="s">
        <v>703</v>
      </c>
      <c r="E615" t="s">
        <v>13</v>
      </c>
      <c r="F615">
        <v>681.66</v>
      </c>
      <c r="G615">
        <v>91.15</v>
      </c>
      <c r="H615">
        <v>772.81</v>
      </c>
    </row>
    <row r="616" spans="1:8" x14ac:dyDescent="0.35">
      <c r="A616" t="s">
        <v>9</v>
      </c>
      <c r="B616" t="s">
        <v>704</v>
      </c>
      <c r="C616" t="s">
        <v>11</v>
      </c>
      <c r="D616" t="s">
        <v>703</v>
      </c>
      <c r="E616" t="s">
        <v>13</v>
      </c>
      <c r="F616">
        <v>522.07000000000005</v>
      </c>
      <c r="G616">
        <v>76.81</v>
      </c>
      <c r="H616">
        <v>598.88</v>
      </c>
    </row>
    <row r="617" spans="1:8" x14ac:dyDescent="0.35">
      <c r="A617" t="s">
        <v>9</v>
      </c>
      <c r="B617" t="s">
        <v>705</v>
      </c>
      <c r="C617" t="s">
        <v>11</v>
      </c>
      <c r="D617" t="s">
        <v>703</v>
      </c>
      <c r="E617" t="s">
        <v>13</v>
      </c>
      <c r="F617">
        <v>428.65</v>
      </c>
      <c r="G617">
        <v>53.2</v>
      </c>
      <c r="H617">
        <v>481.85</v>
      </c>
    </row>
    <row r="618" spans="1:8" x14ac:dyDescent="0.35">
      <c r="A618" t="s">
        <v>9</v>
      </c>
      <c r="B618" t="s">
        <v>706</v>
      </c>
      <c r="C618" t="s">
        <v>11</v>
      </c>
      <c r="D618" t="s">
        <v>703</v>
      </c>
      <c r="E618" t="s">
        <v>13</v>
      </c>
      <c r="F618">
        <v>480.76</v>
      </c>
      <c r="G618">
        <v>69.11</v>
      </c>
      <c r="H618">
        <v>549.87</v>
      </c>
    </row>
    <row r="619" spans="1:8" x14ac:dyDescent="0.35">
      <c r="A619" t="s">
        <v>9</v>
      </c>
      <c r="B619" t="s">
        <v>707</v>
      </c>
      <c r="C619" t="s">
        <v>11</v>
      </c>
      <c r="D619" t="s">
        <v>703</v>
      </c>
      <c r="E619" t="s">
        <v>13</v>
      </c>
      <c r="F619">
        <v>148.19999999999999</v>
      </c>
      <c r="G619">
        <v>22.23</v>
      </c>
      <c r="H619">
        <v>170.43</v>
      </c>
    </row>
    <row r="620" spans="1:8" x14ac:dyDescent="0.35">
      <c r="A620" t="s">
        <v>9</v>
      </c>
      <c r="B620" t="s">
        <v>708</v>
      </c>
      <c r="C620" t="s">
        <v>11</v>
      </c>
      <c r="D620" t="s">
        <v>703</v>
      </c>
      <c r="E620" t="s">
        <v>13</v>
      </c>
      <c r="F620">
        <v>161.66</v>
      </c>
      <c r="G620">
        <v>13.3</v>
      </c>
      <c r="H620">
        <v>174.96</v>
      </c>
    </row>
    <row r="621" spans="1:8" x14ac:dyDescent="0.35">
      <c r="A621" t="s">
        <v>9</v>
      </c>
      <c r="B621" t="s">
        <v>709</v>
      </c>
      <c r="C621" t="s">
        <v>11</v>
      </c>
      <c r="D621" t="s">
        <v>703</v>
      </c>
      <c r="E621" t="s">
        <v>13</v>
      </c>
      <c r="F621">
        <v>156.28</v>
      </c>
      <c r="G621">
        <v>21.19</v>
      </c>
      <c r="H621">
        <v>177.47</v>
      </c>
    </row>
    <row r="622" spans="1:8" x14ac:dyDescent="0.35">
      <c r="A622" t="s">
        <v>9</v>
      </c>
      <c r="B622" t="s">
        <v>710</v>
      </c>
      <c r="C622" t="s">
        <v>11</v>
      </c>
      <c r="D622" t="s">
        <v>703</v>
      </c>
      <c r="E622" t="s">
        <v>13</v>
      </c>
      <c r="F622">
        <v>488.68</v>
      </c>
      <c r="G622">
        <v>60.25</v>
      </c>
      <c r="H622">
        <v>548.92999999999995</v>
      </c>
    </row>
    <row r="623" spans="1:8" x14ac:dyDescent="0.35">
      <c r="A623" t="s">
        <v>9</v>
      </c>
      <c r="B623" t="s">
        <v>711</v>
      </c>
      <c r="C623" t="s">
        <v>11</v>
      </c>
      <c r="D623" t="s">
        <v>712</v>
      </c>
      <c r="E623" t="s">
        <v>13</v>
      </c>
      <c r="F623">
        <v>429.91</v>
      </c>
      <c r="G623">
        <v>62.99</v>
      </c>
      <c r="H623">
        <v>492.9</v>
      </c>
    </row>
    <row r="624" spans="1:8" x14ac:dyDescent="0.35">
      <c r="A624" t="s">
        <v>9</v>
      </c>
      <c r="B624" t="s">
        <v>713</v>
      </c>
      <c r="C624" t="s">
        <v>11</v>
      </c>
      <c r="D624" t="s">
        <v>712</v>
      </c>
      <c r="E624" t="s">
        <v>13</v>
      </c>
      <c r="F624">
        <v>343.42</v>
      </c>
      <c r="G624">
        <v>39.51</v>
      </c>
      <c r="H624">
        <v>382.93</v>
      </c>
    </row>
    <row r="625" spans="1:8" x14ac:dyDescent="0.35">
      <c r="A625" t="s">
        <v>9</v>
      </c>
      <c r="B625" t="s">
        <v>714</v>
      </c>
      <c r="C625" t="s">
        <v>11</v>
      </c>
      <c r="D625" t="s">
        <v>712</v>
      </c>
      <c r="E625" t="s">
        <v>13</v>
      </c>
      <c r="F625">
        <v>251.76</v>
      </c>
      <c r="G625">
        <v>25.17</v>
      </c>
      <c r="H625">
        <v>276.93</v>
      </c>
    </row>
    <row r="626" spans="1:8" x14ac:dyDescent="0.35">
      <c r="A626" t="s">
        <v>9</v>
      </c>
      <c r="B626" t="s">
        <v>715</v>
      </c>
      <c r="C626" t="s">
        <v>11</v>
      </c>
      <c r="D626" t="s">
        <v>712</v>
      </c>
      <c r="E626" t="s">
        <v>13</v>
      </c>
      <c r="F626">
        <v>715.12</v>
      </c>
      <c r="G626">
        <v>93.77</v>
      </c>
      <c r="H626">
        <v>808.89</v>
      </c>
    </row>
    <row r="627" spans="1:8" x14ac:dyDescent="0.35">
      <c r="A627" t="s">
        <v>9</v>
      </c>
      <c r="B627" t="s">
        <v>716</v>
      </c>
      <c r="C627" t="s">
        <v>11</v>
      </c>
      <c r="D627" t="s">
        <v>712</v>
      </c>
      <c r="E627" t="s">
        <v>13</v>
      </c>
      <c r="F627">
        <v>132.44999999999999</v>
      </c>
      <c r="G627">
        <v>15.52</v>
      </c>
      <c r="H627">
        <v>147.97</v>
      </c>
    </row>
    <row r="628" spans="1:8" x14ac:dyDescent="0.35">
      <c r="A628" t="s">
        <v>9</v>
      </c>
      <c r="B628" t="s">
        <v>717</v>
      </c>
      <c r="C628" t="s">
        <v>11</v>
      </c>
      <c r="D628" t="s">
        <v>712</v>
      </c>
      <c r="E628" t="s">
        <v>13</v>
      </c>
      <c r="F628">
        <v>230.85</v>
      </c>
      <c r="G628">
        <v>20.079999999999998</v>
      </c>
      <c r="H628">
        <v>250.93</v>
      </c>
    </row>
    <row r="629" spans="1:8" x14ac:dyDescent="0.35">
      <c r="A629" t="s">
        <v>9</v>
      </c>
      <c r="B629" t="s">
        <v>718</v>
      </c>
      <c r="C629" t="s">
        <v>11</v>
      </c>
      <c r="D629" t="s">
        <v>712</v>
      </c>
      <c r="E629" t="s">
        <v>13</v>
      </c>
      <c r="F629">
        <v>225.61</v>
      </c>
      <c r="G629">
        <v>32.340000000000003</v>
      </c>
      <c r="H629">
        <v>257.95</v>
      </c>
    </row>
    <row r="630" spans="1:8" x14ac:dyDescent="0.35">
      <c r="A630" t="s">
        <v>9</v>
      </c>
      <c r="B630" t="s">
        <v>719</v>
      </c>
      <c r="C630" t="s">
        <v>11</v>
      </c>
      <c r="D630" t="s">
        <v>712</v>
      </c>
      <c r="E630" t="s">
        <v>13</v>
      </c>
      <c r="F630">
        <v>252.52</v>
      </c>
      <c r="G630">
        <v>36.380000000000003</v>
      </c>
      <c r="H630">
        <v>288.89999999999998</v>
      </c>
    </row>
    <row r="631" spans="1:8" x14ac:dyDescent="0.35">
      <c r="A631" t="s">
        <v>9</v>
      </c>
      <c r="B631" t="s">
        <v>720</v>
      </c>
      <c r="C631" t="s">
        <v>11</v>
      </c>
      <c r="D631" t="s">
        <v>721</v>
      </c>
      <c r="E631" t="s">
        <v>13</v>
      </c>
      <c r="F631">
        <v>458.63</v>
      </c>
      <c r="G631">
        <v>64.3</v>
      </c>
      <c r="H631">
        <v>522.92999999999995</v>
      </c>
    </row>
    <row r="632" spans="1:8" x14ac:dyDescent="0.35">
      <c r="A632" t="s">
        <v>9</v>
      </c>
      <c r="B632" t="s">
        <v>722</v>
      </c>
      <c r="C632" t="s">
        <v>11</v>
      </c>
      <c r="D632" t="s">
        <v>721</v>
      </c>
      <c r="E632" t="s">
        <v>13</v>
      </c>
      <c r="F632">
        <v>517.34</v>
      </c>
      <c r="G632">
        <v>67.55</v>
      </c>
      <c r="H632">
        <v>584.89</v>
      </c>
    </row>
    <row r="633" spans="1:8" x14ac:dyDescent="0.35">
      <c r="A633" t="s">
        <v>9</v>
      </c>
      <c r="B633" t="s">
        <v>723</v>
      </c>
      <c r="C633" t="s">
        <v>11</v>
      </c>
      <c r="D633" t="s">
        <v>721</v>
      </c>
      <c r="E633" t="s">
        <v>13</v>
      </c>
      <c r="F633">
        <v>135.91999999999999</v>
      </c>
      <c r="G633">
        <v>16.04</v>
      </c>
      <c r="H633">
        <v>151.96</v>
      </c>
    </row>
    <row r="634" spans="1:8" x14ac:dyDescent="0.35">
      <c r="A634" t="s">
        <v>9</v>
      </c>
      <c r="B634" t="s">
        <v>724</v>
      </c>
      <c r="C634" t="s">
        <v>11</v>
      </c>
      <c r="D634" t="s">
        <v>721</v>
      </c>
      <c r="E634" t="s">
        <v>13</v>
      </c>
      <c r="F634">
        <v>143.44</v>
      </c>
      <c r="G634">
        <v>18.52</v>
      </c>
      <c r="H634">
        <v>161.96</v>
      </c>
    </row>
    <row r="635" spans="1:8" x14ac:dyDescent="0.35">
      <c r="A635" t="s">
        <v>9</v>
      </c>
      <c r="B635" t="s">
        <v>725</v>
      </c>
      <c r="C635" t="s">
        <v>11</v>
      </c>
      <c r="D635" t="s">
        <v>721</v>
      </c>
      <c r="E635" t="s">
        <v>13</v>
      </c>
      <c r="F635">
        <v>278.62</v>
      </c>
      <c r="G635">
        <v>31.3</v>
      </c>
      <c r="H635">
        <v>309.92</v>
      </c>
    </row>
    <row r="636" spans="1:8" x14ac:dyDescent="0.35">
      <c r="A636" t="s">
        <v>9</v>
      </c>
      <c r="B636" t="s">
        <v>726</v>
      </c>
      <c r="C636" t="s">
        <v>11</v>
      </c>
      <c r="D636" t="s">
        <v>721</v>
      </c>
      <c r="E636" t="s">
        <v>13</v>
      </c>
      <c r="F636">
        <v>523.46</v>
      </c>
      <c r="G636">
        <v>65.02</v>
      </c>
      <c r="H636">
        <v>588.48</v>
      </c>
    </row>
    <row r="637" spans="1:8" x14ac:dyDescent="0.35">
      <c r="A637" t="s">
        <v>9</v>
      </c>
      <c r="B637" t="s">
        <v>727</v>
      </c>
      <c r="C637" t="s">
        <v>11</v>
      </c>
      <c r="D637" t="s">
        <v>721</v>
      </c>
      <c r="E637" t="s">
        <v>13</v>
      </c>
      <c r="F637">
        <v>250.04</v>
      </c>
      <c r="G637">
        <v>30.31</v>
      </c>
      <c r="H637">
        <v>280.35000000000002</v>
      </c>
    </row>
    <row r="638" spans="1:8" x14ac:dyDescent="0.35">
      <c r="A638" t="s">
        <v>9</v>
      </c>
      <c r="B638" t="s">
        <v>728</v>
      </c>
      <c r="C638" t="s">
        <v>11</v>
      </c>
      <c r="D638" t="s">
        <v>721</v>
      </c>
      <c r="E638" t="s">
        <v>13</v>
      </c>
      <c r="F638">
        <v>168.68</v>
      </c>
      <c r="G638">
        <v>19.3</v>
      </c>
      <c r="H638">
        <v>187.98</v>
      </c>
    </row>
    <row r="639" spans="1:8" x14ac:dyDescent="0.35">
      <c r="A639" t="s">
        <v>9</v>
      </c>
      <c r="B639" t="s">
        <v>729</v>
      </c>
      <c r="C639" t="s">
        <v>11</v>
      </c>
      <c r="D639" t="s">
        <v>730</v>
      </c>
      <c r="E639" t="s">
        <v>13</v>
      </c>
      <c r="F639">
        <v>216.9</v>
      </c>
      <c r="G639">
        <v>28.04</v>
      </c>
      <c r="H639">
        <v>244.94</v>
      </c>
    </row>
    <row r="640" spans="1:8" x14ac:dyDescent="0.35">
      <c r="A640" t="s">
        <v>9</v>
      </c>
      <c r="B640" t="s">
        <v>731</v>
      </c>
      <c r="C640" t="s">
        <v>11</v>
      </c>
      <c r="D640" t="s">
        <v>730</v>
      </c>
      <c r="E640" t="s">
        <v>13</v>
      </c>
      <c r="F640">
        <v>529.74</v>
      </c>
      <c r="G640">
        <v>56.21</v>
      </c>
      <c r="H640">
        <v>585.95000000000005</v>
      </c>
    </row>
    <row r="641" spans="1:8" x14ac:dyDescent="0.35">
      <c r="A641" t="s">
        <v>9</v>
      </c>
      <c r="B641" t="s">
        <v>732</v>
      </c>
      <c r="C641" t="s">
        <v>11</v>
      </c>
      <c r="D641" t="s">
        <v>730</v>
      </c>
      <c r="E641" t="s">
        <v>13</v>
      </c>
      <c r="F641">
        <v>152.68</v>
      </c>
      <c r="G641">
        <v>12.26</v>
      </c>
      <c r="H641">
        <v>164.94</v>
      </c>
    </row>
    <row r="642" spans="1:8" x14ac:dyDescent="0.35">
      <c r="A642" t="s">
        <v>9</v>
      </c>
      <c r="B642" t="s">
        <v>733</v>
      </c>
      <c r="C642" t="s">
        <v>11</v>
      </c>
      <c r="D642" t="s">
        <v>730</v>
      </c>
      <c r="E642" t="s">
        <v>13</v>
      </c>
      <c r="F642">
        <v>780.1</v>
      </c>
      <c r="G642">
        <v>117.01</v>
      </c>
      <c r="H642">
        <v>897.11</v>
      </c>
    </row>
    <row r="643" spans="1:8" x14ac:dyDescent="0.35">
      <c r="A643" t="s">
        <v>9</v>
      </c>
      <c r="B643" t="s">
        <v>734</v>
      </c>
      <c r="C643" t="s">
        <v>11</v>
      </c>
      <c r="D643" t="s">
        <v>730</v>
      </c>
      <c r="E643" t="s">
        <v>13</v>
      </c>
      <c r="F643">
        <v>394.27</v>
      </c>
      <c r="G643">
        <v>51.64</v>
      </c>
      <c r="H643">
        <v>445.91</v>
      </c>
    </row>
    <row r="644" spans="1:8" x14ac:dyDescent="0.35">
      <c r="A644" t="s">
        <v>9</v>
      </c>
      <c r="B644" t="s">
        <v>735</v>
      </c>
      <c r="C644" t="s">
        <v>11</v>
      </c>
      <c r="D644" t="s">
        <v>736</v>
      </c>
      <c r="E644" t="s">
        <v>13</v>
      </c>
      <c r="F644">
        <v>503.77</v>
      </c>
      <c r="G644">
        <v>65.069999999999993</v>
      </c>
      <c r="H644">
        <v>568.84</v>
      </c>
    </row>
    <row r="645" spans="1:8" x14ac:dyDescent="0.35">
      <c r="A645" t="s">
        <v>9</v>
      </c>
      <c r="B645" t="s">
        <v>737</v>
      </c>
      <c r="C645" t="s">
        <v>11</v>
      </c>
      <c r="D645" t="s">
        <v>736</v>
      </c>
      <c r="E645" t="s">
        <v>13</v>
      </c>
      <c r="F645">
        <v>856.31</v>
      </c>
      <c r="G645">
        <v>100.7</v>
      </c>
      <c r="H645">
        <v>957.01</v>
      </c>
    </row>
    <row r="646" spans="1:8" x14ac:dyDescent="0.35">
      <c r="A646" t="s">
        <v>9</v>
      </c>
      <c r="B646" t="s">
        <v>738</v>
      </c>
      <c r="C646" t="s">
        <v>11</v>
      </c>
      <c r="D646" t="s">
        <v>736</v>
      </c>
      <c r="E646" t="s">
        <v>13</v>
      </c>
      <c r="F646">
        <v>743</v>
      </c>
      <c r="G646">
        <v>84.61</v>
      </c>
      <c r="H646">
        <v>827.61</v>
      </c>
    </row>
    <row r="647" spans="1:8" x14ac:dyDescent="0.35">
      <c r="A647" t="s">
        <v>9</v>
      </c>
      <c r="B647" t="s">
        <v>739</v>
      </c>
      <c r="C647" t="s">
        <v>11</v>
      </c>
      <c r="D647" t="s">
        <v>736</v>
      </c>
      <c r="E647" t="s">
        <v>13</v>
      </c>
      <c r="F647">
        <v>469.1</v>
      </c>
      <c r="G647">
        <v>48.77</v>
      </c>
      <c r="H647">
        <v>517.87</v>
      </c>
    </row>
    <row r="648" spans="1:8" x14ac:dyDescent="0.35">
      <c r="A648" t="s">
        <v>9</v>
      </c>
      <c r="B648" t="s">
        <v>740</v>
      </c>
      <c r="C648" t="s">
        <v>11</v>
      </c>
      <c r="D648" t="s">
        <v>736</v>
      </c>
      <c r="E648" t="s">
        <v>13</v>
      </c>
      <c r="F648">
        <v>640.48</v>
      </c>
      <c r="G648">
        <v>56.33</v>
      </c>
      <c r="H648">
        <v>696.81</v>
      </c>
    </row>
    <row r="649" spans="1:8" x14ac:dyDescent="0.35">
      <c r="A649" t="s">
        <v>9</v>
      </c>
      <c r="B649" t="s">
        <v>741</v>
      </c>
      <c r="C649" t="s">
        <v>11</v>
      </c>
      <c r="D649" t="s">
        <v>736</v>
      </c>
      <c r="E649" t="s">
        <v>13</v>
      </c>
      <c r="F649">
        <v>410.36</v>
      </c>
      <c r="G649">
        <v>52.55</v>
      </c>
      <c r="H649">
        <v>462.91</v>
      </c>
    </row>
    <row r="650" spans="1:8" x14ac:dyDescent="0.35">
      <c r="A650" t="s">
        <v>9</v>
      </c>
      <c r="B650" t="s">
        <v>742</v>
      </c>
      <c r="C650" t="s">
        <v>11</v>
      </c>
      <c r="D650" t="s">
        <v>743</v>
      </c>
      <c r="E650" t="s">
        <v>13</v>
      </c>
      <c r="F650">
        <v>312.99</v>
      </c>
      <c r="G650">
        <v>46.95</v>
      </c>
      <c r="H650">
        <v>359.94</v>
      </c>
    </row>
    <row r="651" spans="1:8" x14ac:dyDescent="0.35">
      <c r="A651" t="s">
        <v>9</v>
      </c>
      <c r="B651" t="s">
        <v>744</v>
      </c>
      <c r="C651" t="s">
        <v>11</v>
      </c>
      <c r="D651" t="s">
        <v>743</v>
      </c>
      <c r="E651" t="s">
        <v>13</v>
      </c>
      <c r="F651">
        <v>128.93</v>
      </c>
      <c r="G651">
        <v>13.04</v>
      </c>
      <c r="H651">
        <v>141.97</v>
      </c>
    </row>
    <row r="652" spans="1:8" x14ac:dyDescent="0.35">
      <c r="A652" t="s">
        <v>9</v>
      </c>
      <c r="B652" t="s">
        <v>745</v>
      </c>
      <c r="C652" t="s">
        <v>11</v>
      </c>
      <c r="D652" t="s">
        <v>743</v>
      </c>
      <c r="E652" t="s">
        <v>13</v>
      </c>
      <c r="F652">
        <v>315.47000000000003</v>
      </c>
      <c r="G652">
        <v>26.63</v>
      </c>
      <c r="H652">
        <v>342.1</v>
      </c>
    </row>
    <row r="653" spans="1:8" x14ac:dyDescent="0.35">
      <c r="A653" t="s">
        <v>9</v>
      </c>
      <c r="B653" t="s">
        <v>746</v>
      </c>
      <c r="C653" t="s">
        <v>11</v>
      </c>
      <c r="D653" t="s">
        <v>743</v>
      </c>
      <c r="E653" t="s">
        <v>13</v>
      </c>
      <c r="F653">
        <v>590.65</v>
      </c>
      <c r="G653">
        <v>44.6</v>
      </c>
      <c r="H653">
        <v>635.25</v>
      </c>
    </row>
    <row r="654" spans="1:8" x14ac:dyDescent="0.35">
      <c r="A654" t="s">
        <v>9</v>
      </c>
      <c r="B654" t="s">
        <v>747</v>
      </c>
      <c r="C654" t="s">
        <v>11</v>
      </c>
      <c r="D654" t="s">
        <v>743</v>
      </c>
      <c r="E654" t="s">
        <v>13</v>
      </c>
      <c r="F654">
        <v>293.62</v>
      </c>
      <c r="G654">
        <v>40.299999999999997</v>
      </c>
      <c r="H654">
        <v>333.92</v>
      </c>
    </row>
    <row r="655" spans="1:8" x14ac:dyDescent="0.35">
      <c r="A655" t="s">
        <v>9</v>
      </c>
      <c r="B655" t="s">
        <v>748</v>
      </c>
      <c r="C655" t="s">
        <v>11</v>
      </c>
      <c r="D655" t="s">
        <v>743</v>
      </c>
      <c r="E655" t="s">
        <v>13</v>
      </c>
      <c r="F655">
        <v>292.97000000000003</v>
      </c>
      <c r="G655">
        <v>37.950000000000003</v>
      </c>
      <c r="H655">
        <v>330.92</v>
      </c>
    </row>
    <row r="656" spans="1:8" x14ac:dyDescent="0.35">
      <c r="A656" t="s">
        <v>9</v>
      </c>
      <c r="B656" t="s">
        <v>749</v>
      </c>
      <c r="C656" t="s">
        <v>11</v>
      </c>
      <c r="D656" t="s">
        <v>743</v>
      </c>
      <c r="E656" t="s">
        <v>13</v>
      </c>
      <c r="F656">
        <v>314.76</v>
      </c>
      <c r="G656">
        <v>38.97</v>
      </c>
      <c r="H656">
        <v>353.73</v>
      </c>
    </row>
    <row r="657" spans="1:8" x14ac:dyDescent="0.35">
      <c r="A657" t="s">
        <v>9</v>
      </c>
      <c r="B657" t="s">
        <v>750</v>
      </c>
      <c r="C657" t="s">
        <v>11</v>
      </c>
      <c r="D657" t="s">
        <v>743</v>
      </c>
      <c r="E657" t="s">
        <v>13</v>
      </c>
      <c r="F657">
        <v>567.70000000000005</v>
      </c>
      <c r="G657">
        <v>82.16</v>
      </c>
      <c r="H657">
        <v>649.86</v>
      </c>
    </row>
    <row r="658" spans="1:8" x14ac:dyDescent="0.35">
      <c r="A658" t="s">
        <v>9</v>
      </c>
      <c r="B658" t="s">
        <v>751</v>
      </c>
      <c r="C658" t="s">
        <v>11</v>
      </c>
      <c r="D658" t="s">
        <v>752</v>
      </c>
      <c r="E658" t="s">
        <v>13</v>
      </c>
      <c r="F658">
        <v>299.98</v>
      </c>
      <c r="G658">
        <v>45</v>
      </c>
      <c r="H658">
        <v>344.98</v>
      </c>
    </row>
    <row r="659" spans="1:8" x14ac:dyDescent="0.35">
      <c r="A659" t="s">
        <v>9</v>
      </c>
      <c r="B659" t="s">
        <v>753</v>
      </c>
      <c r="C659" t="s">
        <v>11</v>
      </c>
      <c r="D659" t="s">
        <v>752</v>
      </c>
      <c r="E659" t="s">
        <v>13</v>
      </c>
      <c r="F659">
        <v>1260.6300000000001</v>
      </c>
      <c r="G659">
        <v>158.5</v>
      </c>
      <c r="H659">
        <v>1419.13</v>
      </c>
    </row>
    <row r="660" spans="1:8" x14ac:dyDescent="0.35">
      <c r="A660" t="s">
        <v>9</v>
      </c>
      <c r="B660" t="s">
        <v>754</v>
      </c>
      <c r="C660" t="s">
        <v>11</v>
      </c>
      <c r="D660" t="s">
        <v>752</v>
      </c>
      <c r="E660" t="s">
        <v>13</v>
      </c>
      <c r="F660">
        <v>291.88</v>
      </c>
      <c r="G660">
        <v>43.78</v>
      </c>
      <c r="H660">
        <v>335.66</v>
      </c>
    </row>
    <row r="661" spans="1:8" x14ac:dyDescent="0.35">
      <c r="A661" t="s">
        <v>9</v>
      </c>
      <c r="B661" t="s">
        <v>755</v>
      </c>
      <c r="C661" t="s">
        <v>11</v>
      </c>
      <c r="D661" t="s">
        <v>752</v>
      </c>
      <c r="E661" t="s">
        <v>13</v>
      </c>
      <c r="F661">
        <v>634.24</v>
      </c>
      <c r="G661">
        <v>72.64</v>
      </c>
      <c r="H661">
        <v>706.88</v>
      </c>
    </row>
    <row r="662" spans="1:8" x14ac:dyDescent="0.35">
      <c r="A662" t="s">
        <v>9</v>
      </c>
      <c r="B662" t="s">
        <v>756</v>
      </c>
      <c r="C662" t="s">
        <v>11</v>
      </c>
      <c r="D662" t="s">
        <v>752</v>
      </c>
      <c r="E662" t="s">
        <v>13</v>
      </c>
      <c r="F662">
        <v>536.47</v>
      </c>
      <c r="G662">
        <v>64.42</v>
      </c>
      <c r="H662">
        <v>600.89</v>
      </c>
    </row>
    <row r="663" spans="1:8" x14ac:dyDescent="0.35">
      <c r="A663" t="s">
        <v>9</v>
      </c>
      <c r="B663" t="s">
        <v>757</v>
      </c>
      <c r="C663" t="s">
        <v>11</v>
      </c>
      <c r="D663" t="s">
        <v>752</v>
      </c>
      <c r="E663" t="s">
        <v>13</v>
      </c>
      <c r="F663">
        <v>147.43</v>
      </c>
      <c r="G663">
        <v>17.87</v>
      </c>
      <c r="H663">
        <v>165.3</v>
      </c>
    </row>
    <row r="664" spans="1:8" x14ac:dyDescent="0.35">
      <c r="A664" t="s">
        <v>9</v>
      </c>
      <c r="B664" t="s">
        <v>758</v>
      </c>
      <c r="C664" t="s">
        <v>11</v>
      </c>
      <c r="D664" t="s">
        <v>759</v>
      </c>
      <c r="E664" t="s">
        <v>13</v>
      </c>
      <c r="F664">
        <v>168.23</v>
      </c>
      <c r="G664">
        <v>19.239999999999998</v>
      </c>
      <c r="H664">
        <v>187.47</v>
      </c>
    </row>
    <row r="665" spans="1:8" x14ac:dyDescent="0.35">
      <c r="A665" t="s">
        <v>9</v>
      </c>
      <c r="B665" t="s">
        <v>760</v>
      </c>
      <c r="C665" t="s">
        <v>11</v>
      </c>
      <c r="D665" t="s">
        <v>759</v>
      </c>
      <c r="E665" t="s">
        <v>13</v>
      </c>
      <c r="F665">
        <v>375.53</v>
      </c>
      <c r="G665">
        <v>45.38</v>
      </c>
      <c r="H665">
        <v>420.91</v>
      </c>
    </row>
    <row r="666" spans="1:8" x14ac:dyDescent="0.35">
      <c r="A666" t="s">
        <v>9</v>
      </c>
      <c r="B666" t="s">
        <v>761</v>
      </c>
      <c r="C666" t="s">
        <v>11</v>
      </c>
      <c r="D666" t="s">
        <v>759</v>
      </c>
      <c r="E666" t="s">
        <v>13</v>
      </c>
      <c r="F666">
        <v>156.49</v>
      </c>
      <c r="G666">
        <v>23.47</v>
      </c>
      <c r="H666">
        <v>179.96</v>
      </c>
    </row>
    <row r="667" spans="1:8" x14ac:dyDescent="0.35">
      <c r="A667" t="s">
        <v>9</v>
      </c>
      <c r="B667" t="s">
        <v>762</v>
      </c>
      <c r="C667" t="s">
        <v>11</v>
      </c>
      <c r="D667" t="s">
        <v>759</v>
      </c>
      <c r="E667" t="s">
        <v>13</v>
      </c>
      <c r="F667">
        <v>164.95</v>
      </c>
      <c r="G667">
        <v>17.989999999999998</v>
      </c>
      <c r="H667">
        <v>182.94</v>
      </c>
    </row>
    <row r="668" spans="1:8" x14ac:dyDescent="0.35">
      <c r="A668" t="s">
        <v>9</v>
      </c>
      <c r="B668" t="s">
        <v>763</v>
      </c>
      <c r="C668" t="s">
        <v>11</v>
      </c>
      <c r="D668" t="s">
        <v>759</v>
      </c>
      <c r="E668" t="s">
        <v>13</v>
      </c>
      <c r="F668">
        <v>855.85</v>
      </c>
      <c r="G668">
        <v>126.88</v>
      </c>
      <c r="H668">
        <v>982.73</v>
      </c>
    </row>
    <row r="669" spans="1:8" x14ac:dyDescent="0.35">
      <c r="A669" t="s">
        <v>9</v>
      </c>
      <c r="B669" t="s">
        <v>764</v>
      </c>
      <c r="C669" t="s">
        <v>11</v>
      </c>
      <c r="D669" t="s">
        <v>759</v>
      </c>
      <c r="E669" t="s">
        <v>13</v>
      </c>
      <c r="F669">
        <v>460.93</v>
      </c>
      <c r="G669">
        <v>43.95</v>
      </c>
      <c r="H669">
        <v>504.88</v>
      </c>
    </row>
    <row r="670" spans="1:8" x14ac:dyDescent="0.35">
      <c r="A670" t="s">
        <v>9</v>
      </c>
      <c r="B670" t="s">
        <v>765</v>
      </c>
      <c r="C670" t="s">
        <v>11</v>
      </c>
      <c r="D670" t="s">
        <v>759</v>
      </c>
      <c r="E670" t="s">
        <v>13</v>
      </c>
      <c r="F670">
        <v>356.99</v>
      </c>
      <c r="G670">
        <v>19.95</v>
      </c>
      <c r="H670">
        <v>376.94</v>
      </c>
    </row>
    <row r="671" spans="1:8" x14ac:dyDescent="0.35">
      <c r="A671" t="s">
        <v>9</v>
      </c>
      <c r="B671" t="s">
        <v>766</v>
      </c>
      <c r="C671" t="s">
        <v>11</v>
      </c>
      <c r="D671" t="s">
        <v>759</v>
      </c>
      <c r="E671" t="s">
        <v>13</v>
      </c>
      <c r="F671">
        <v>133.88</v>
      </c>
      <c r="G671">
        <v>11.08</v>
      </c>
      <c r="H671">
        <v>144.96</v>
      </c>
    </row>
    <row r="672" spans="1:8" x14ac:dyDescent="0.35">
      <c r="A672" t="s">
        <v>9</v>
      </c>
      <c r="B672" t="s">
        <v>767</v>
      </c>
      <c r="C672" t="s">
        <v>11</v>
      </c>
      <c r="D672" t="s">
        <v>768</v>
      </c>
      <c r="E672" t="s">
        <v>13</v>
      </c>
      <c r="F672">
        <v>831.6</v>
      </c>
      <c r="G672">
        <v>102.1</v>
      </c>
      <c r="H672">
        <v>933.7</v>
      </c>
    </row>
    <row r="673" spans="1:8" x14ac:dyDescent="0.35">
      <c r="A673" t="s">
        <v>9</v>
      </c>
      <c r="B673" t="s">
        <v>769</v>
      </c>
      <c r="C673" t="s">
        <v>11</v>
      </c>
      <c r="D673" t="s">
        <v>768</v>
      </c>
      <c r="E673" t="s">
        <v>13</v>
      </c>
      <c r="F673">
        <v>402.12</v>
      </c>
      <c r="G673">
        <v>58.82</v>
      </c>
      <c r="H673">
        <v>460.94</v>
      </c>
    </row>
    <row r="674" spans="1:8" x14ac:dyDescent="0.35">
      <c r="A674" t="s">
        <v>9</v>
      </c>
      <c r="B674" t="s">
        <v>770</v>
      </c>
      <c r="C674" t="s">
        <v>11</v>
      </c>
      <c r="D674" t="s">
        <v>768</v>
      </c>
      <c r="E674" t="s">
        <v>13</v>
      </c>
      <c r="F674">
        <v>427.74</v>
      </c>
      <c r="G674">
        <v>61.16</v>
      </c>
      <c r="H674">
        <v>488.9</v>
      </c>
    </row>
    <row r="675" spans="1:8" x14ac:dyDescent="0.35">
      <c r="A675" t="s">
        <v>9</v>
      </c>
      <c r="B675" t="s">
        <v>771</v>
      </c>
      <c r="C675" t="s">
        <v>11</v>
      </c>
      <c r="D675" t="s">
        <v>768</v>
      </c>
      <c r="E675" t="s">
        <v>13</v>
      </c>
      <c r="F675">
        <v>182.17</v>
      </c>
      <c r="G675">
        <v>25.83</v>
      </c>
      <c r="H675">
        <v>208</v>
      </c>
    </row>
    <row r="676" spans="1:8" x14ac:dyDescent="0.35">
      <c r="A676" t="s">
        <v>9</v>
      </c>
      <c r="B676" t="s">
        <v>772</v>
      </c>
      <c r="C676" t="s">
        <v>11</v>
      </c>
      <c r="D676" t="s">
        <v>768</v>
      </c>
      <c r="E676" t="s">
        <v>13</v>
      </c>
      <c r="F676">
        <v>386.28</v>
      </c>
      <c r="G676">
        <v>46.69</v>
      </c>
      <c r="H676">
        <v>432.97</v>
      </c>
    </row>
    <row r="677" spans="1:8" x14ac:dyDescent="0.35">
      <c r="A677" t="s">
        <v>9</v>
      </c>
      <c r="B677" t="s">
        <v>773</v>
      </c>
      <c r="C677" t="s">
        <v>11</v>
      </c>
      <c r="D677" t="s">
        <v>768</v>
      </c>
      <c r="E677" t="s">
        <v>13</v>
      </c>
      <c r="F677">
        <v>442.73</v>
      </c>
      <c r="G677">
        <v>37.17</v>
      </c>
      <c r="H677">
        <v>479.9</v>
      </c>
    </row>
    <row r="678" spans="1:8" x14ac:dyDescent="0.35">
      <c r="A678" t="s">
        <v>9</v>
      </c>
      <c r="B678" t="s">
        <v>774</v>
      </c>
      <c r="C678" t="s">
        <v>11</v>
      </c>
      <c r="D678" t="s">
        <v>775</v>
      </c>
      <c r="E678" t="s">
        <v>13</v>
      </c>
      <c r="F678">
        <v>187.88</v>
      </c>
      <c r="G678">
        <v>8.08</v>
      </c>
      <c r="H678">
        <v>195.96</v>
      </c>
    </row>
    <row r="679" spans="1:8" x14ac:dyDescent="0.35">
      <c r="A679" t="s">
        <v>9</v>
      </c>
      <c r="B679" t="s">
        <v>776</v>
      </c>
      <c r="C679" t="s">
        <v>11</v>
      </c>
      <c r="D679" t="s">
        <v>775</v>
      </c>
      <c r="E679" t="s">
        <v>13</v>
      </c>
      <c r="F679">
        <v>404.94</v>
      </c>
      <c r="G679">
        <v>46.94</v>
      </c>
      <c r="H679">
        <v>451.88</v>
      </c>
    </row>
    <row r="680" spans="1:8" x14ac:dyDescent="0.35">
      <c r="A680" t="s">
        <v>9</v>
      </c>
      <c r="B680" t="s">
        <v>777</v>
      </c>
      <c r="C680" t="s">
        <v>11</v>
      </c>
      <c r="D680" t="s">
        <v>775</v>
      </c>
      <c r="E680" t="s">
        <v>13</v>
      </c>
      <c r="F680">
        <v>839.25</v>
      </c>
      <c r="G680">
        <v>105.64</v>
      </c>
      <c r="H680">
        <v>944.89</v>
      </c>
    </row>
    <row r="681" spans="1:8" x14ac:dyDescent="0.35">
      <c r="A681" t="s">
        <v>9</v>
      </c>
      <c r="B681" t="s">
        <v>778</v>
      </c>
      <c r="C681" t="s">
        <v>11</v>
      </c>
      <c r="D681" t="s">
        <v>775</v>
      </c>
      <c r="E681" t="s">
        <v>13</v>
      </c>
      <c r="F681">
        <v>353.41</v>
      </c>
      <c r="G681">
        <v>51.51</v>
      </c>
      <c r="H681">
        <v>404.92</v>
      </c>
    </row>
    <row r="682" spans="1:8" x14ac:dyDescent="0.35">
      <c r="A682" t="s">
        <v>9</v>
      </c>
      <c r="B682" t="s">
        <v>779</v>
      </c>
      <c r="C682" t="s">
        <v>11</v>
      </c>
      <c r="D682" t="s">
        <v>775</v>
      </c>
      <c r="E682" t="s">
        <v>13</v>
      </c>
      <c r="F682">
        <v>822.89</v>
      </c>
      <c r="G682">
        <v>109.94</v>
      </c>
      <c r="H682">
        <v>932.83</v>
      </c>
    </row>
    <row r="683" spans="1:8" x14ac:dyDescent="0.35">
      <c r="A683" t="s">
        <v>9</v>
      </c>
      <c r="B683" t="s">
        <v>780</v>
      </c>
      <c r="C683" t="s">
        <v>11</v>
      </c>
      <c r="D683" t="s">
        <v>775</v>
      </c>
      <c r="E683" t="s">
        <v>13</v>
      </c>
      <c r="F683">
        <v>394.71</v>
      </c>
      <c r="G683">
        <v>59.21</v>
      </c>
      <c r="H683">
        <v>453.92</v>
      </c>
    </row>
    <row r="684" spans="1:8" x14ac:dyDescent="0.35">
      <c r="A684" t="s">
        <v>9</v>
      </c>
      <c r="B684" t="s">
        <v>781</v>
      </c>
      <c r="C684" t="s">
        <v>11</v>
      </c>
      <c r="D684" t="s">
        <v>775</v>
      </c>
      <c r="E684" t="s">
        <v>13</v>
      </c>
      <c r="F684">
        <v>381.26</v>
      </c>
      <c r="G684">
        <v>55.69</v>
      </c>
      <c r="H684">
        <v>436.95</v>
      </c>
    </row>
    <row r="685" spans="1:8" x14ac:dyDescent="0.35">
      <c r="A685" t="s">
        <v>9</v>
      </c>
      <c r="B685" t="s">
        <v>782</v>
      </c>
      <c r="C685" t="s">
        <v>11</v>
      </c>
      <c r="D685" t="s">
        <v>775</v>
      </c>
      <c r="E685" t="s">
        <v>13</v>
      </c>
      <c r="F685">
        <v>253.36</v>
      </c>
      <c r="G685">
        <v>30.06</v>
      </c>
      <c r="H685">
        <v>283.42</v>
      </c>
    </row>
    <row r="686" spans="1:8" x14ac:dyDescent="0.35">
      <c r="A686" t="s">
        <v>9</v>
      </c>
      <c r="B686" t="s">
        <v>783</v>
      </c>
      <c r="C686" t="s">
        <v>11</v>
      </c>
      <c r="D686" t="s">
        <v>775</v>
      </c>
      <c r="E686" t="s">
        <v>13</v>
      </c>
      <c r="F686">
        <v>283.44</v>
      </c>
      <c r="G686">
        <v>42.52</v>
      </c>
      <c r="H686">
        <v>325.95999999999998</v>
      </c>
    </row>
    <row r="687" spans="1:8" x14ac:dyDescent="0.35">
      <c r="A687" t="s">
        <v>9</v>
      </c>
      <c r="B687" t="s">
        <v>784</v>
      </c>
      <c r="C687" t="s">
        <v>11</v>
      </c>
      <c r="D687" t="s">
        <v>775</v>
      </c>
      <c r="E687" t="s">
        <v>13</v>
      </c>
      <c r="F687">
        <v>346.42</v>
      </c>
      <c r="G687">
        <v>35.47</v>
      </c>
      <c r="H687">
        <v>381.89</v>
      </c>
    </row>
    <row r="688" spans="1:8" x14ac:dyDescent="0.35">
      <c r="A688" t="s">
        <v>9</v>
      </c>
      <c r="B688" t="s">
        <v>785</v>
      </c>
      <c r="C688" t="s">
        <v>11</v>
      </c>
      <c r="D688" t="s">
        <v>775</v>
      </c>
      <c r="E688" t="s">
        <v>13</v>
      </c>
      <c r="F688">
        <v>225.17</v>
      </c>
      <c r="G688">
        <v>33.78</v>
      </c>
      <c r="H688">
        <v>258.95</v>
      </c>
    </row>
    <row r="689" spans="1:8" x14ac:dyDescent="0.35">
      <c r="A689" t="s">
        <v>9</v>
      </c>
      <c r="B689" t="s">
        <v>786</v>
      </c>
      <c r="C689" t="s">
        <v>11</v>
      </c>
      <c r="D689" t="s">
        <v>787</v>
      </c>
      <c r="E689" t="s">
        <v>13</v>
      </c>
      <c r="F689">
        <v>1278.81</v>
      </c>
      <c r="G689">
        <v>167.83</v>
      </c>
      <c r="H689">
        <v>1446.64</v>
      </c>
    </row>
    <row r="690" spans="1:8" x14ac:dyDescent="0.35">
      <c r="A690" t="s">
        <v>9</v>
      </c>
      <c r="B690" t="s">
        <v>788</v>
      </c>
      <c r="C690" t="s">
        <v>11</v>
      </c>
      <c r="D690" t="s">
        <v>787</v>
      </c>
      <c r="E690" t="s">
        <v>13</v>
      </c>
      <c r="F690">
        <v>232.56</v>
      </c>
      <c r="G690">
        <v>30.39</v>
      </c>
      <c r="H690">
        <v>262.95</v>
      </c>
    </row>
    <row r="691" spans="1:8" x14ac:dyDescent="0.35">
      <c r="A691" t="s">
        <v>9</v>
      </c>
      <c r="B691" t="s">
        <v>789</v>
      </c>
      <c r="C691" t="s">
        <v>11</v>
      </c>
      <c r="D691" t="s">
        <v>787</v>
      </c>
      <c r="E691" t="s">
        <v>13</v>
      </c>
      <c r="F691">
        <v>708.88</v>
      </c>
      <c r="G691">
        <v>83.39</v>
      </c>
      <c r="H691">
        <v>792.27</v>
      </c>
    </row>
    <row r="692" spans="1:8" x14ac:dyDescent="0.35">
      <c r="A692" t="s">
        <v>9</v>
      </c>
      <c r="B692" t="s">
        <v>790</v>
      </c>
      <c r="C692" t="s">
        <v>11</v>
      </c>
      <c r="D692" t="s">
        <v>787</v>
      </c>
      <c r="E692" t="s">
        <v>13</v>
      </c>
      <c r="F692">
        <v>559.69000000000005</v>
      </c>
      <c r="G692">
        <v>47.21</v>
      </c>
      <c r="H692">
        <v>606.9</v>
      </c>
    </row>
    <row r="693" spans="1:8" x14ac:dyDescent="0.35">
      <c r="A693" t="s">
        <v>9</v>
      </c>
      <c r="B693" t="s">
        <v>791</v>
      </c>
      <c r="C693" t="s">
        <v>11</v>
      </c>
      <c r="D693" t="s">
        <v>787</v>
      </c>
      <c r="E693" t="s">
        <v>13</v>
      </c>
      <c r="F693">
        <v>224.73</v>
      </c>
      <c r="G693">
        <v>32.21</v>
      </c>
      <c r="H693">
        <v>256.94</v>
      </c>
    </row>
    <row r="694" spans="1:8" x14ac:dyDescent="0.35">
      <c r="A694" t="s">
        <v>9</v>
      </c>
      <c r="B694" t="s">
        <v>792</v>
      </c>
      <c r="C694" t="s">
        <v>11</v>
      </c>
      <c r="D694" t="s">
        <v>787</v>
      </c>
      <c r="E694" t="s">
        <v>13</v>
      </c>
      <c r="F694">
        <v>156.96</v>
      </c>
      <c r="G694">
        <v>22.04</v>
      </c>
      <c r="H694">
        <v>179</v>
      </c>
    </row>
    <row r="695" spans="1:8" x14ac:dyDescent="0.35">
      <c r="A695" t="s">
        <v>9</v>
      </c>
      <c r="B695" t="s">
        <v>793</v>
      </c>
      <c r="C695" t="s">
        <v>11</v>
      </c>
      <c r="D695" t="s">
        <v>794</v>
      </c>
      <c r="E695" t="s">
        <v>13</v>
      </c>
      <c r="F695">
        <v>265.99</v>
      </c>
      <c r="G695">
        <v>30.9</v>
      </c>
      <c r="H695">
        <v>296.89</v>
      </c>
    </row>
    <row r="696" spans="1:8" x14ac:dyDescent="0.35">
      <c r="A696" t="s">
        <v>9</v>
      </c>
      <c r="B696" t="s">
        <v>795</v>
      </c>
      <c r="C696" t="s">
        <v>11</v>
      </c>
      <c r="D696" t="s">
        <v>794</v>
      </c>
      <c r="E696" t="s">
        <v>13</v>
      </c>
      <c r="F696">
        <v>480.79</v>
      </c>
      <c r="G696">
        <v>48.12</v>
      </c>
      <c r="H696">
        <v>528.91</v>
      </c>
    </row>
    <row r="697" spans="1:8" x14ac:dyDescent="0.35">
      <c r="A697" t="s">
        <v>9</v>
      </c>
      <c r="B697" t="s">
        <v>796</v>
      </c>
      <c r="C697" t="s">
        <v>11</v>
      </c>
      <c r="D697" t="s">
        <v>794</v>
      </c>
      <c r="E697" t="s">
        <v>13</v>
      </c>
      <c r="F697">
        <v>134.76</v>
      </c>
      <c r="G697">
        <v>20.21</v>
      </c>
      <c r="H697">
        <v>154.97</v>
      </c>
    </row>
    <row r="698" spans="1:8" x14ac:dyDescent="0.35">
      <c r="A698" t="s">
        <v>9</v>
      </c>
      <c r="B698" t="s">
        <v>797</v>
      </c>
      <c r="C698" t="s">
        <v>11</v>
      </c>
      <c r="D698" t="s">
        <v>794</v>
      </c>
      <c r="E698" t="s">
        <v>13</v>
      </c>
      <c r="F698">
        <v>240.57</v>
      </c>
      <c r="G698">
        <v>26.34</v>
      </c>
      <c r="H698">
        <v>266.91000000000003</v>
      </c>
    </row>
    <row r="699" spans="1:8" x14ac:dyDescent="0.35">
      <c r="A699" t="s">
        <v>9</v>
      </c>
      <c r="B699" t="s">
        <v>798</v>
      </c>
      <c r="C699" t="s">
        <v>11</v>
      </c>
      <c r="D699" t="s">
        <v>794</v>
      </c>
      <c r="E699" t="s">
        <v>13</v>
      </c>
      <c r="F699">
        <v>152.97</v>
      </c>
      <c r="G699">
        <v>12</v>
      </c>
      <c r="H699">
        <v>164.97</v>
      </c>
    </row>
    <row r="700" spans="1:8" x14ac:dyDescent="0.35">
      <c r="A700" t="s">
        <v>9</v>
      </c>
      <c r="B700" t="s">
        <v>799</v>
      </c>
      <c r="C700" t="s">
        <v>11</v>
      </c>
      <c r="D700" t="s">
        <v>794</v>
      </c>
      <c r="E700" t="s">
        <v>13</v>
      </c>
      <c r="F700">
        <v>131.25</v>
      </c>
      <c r="G700">
        <v>19.690000000000001</v>
      </c>
      <c r="H700">
        <v>150.94</v>
      </c>
    </row>
    <row r="701" spans="1:8" x14ac:dyDescent="0.35">
      <c r="A701" t="s">
        <v>9</v>
      </c>
      <c r="B701" t="s">
        <v>800</v>
      </c>
      <c r="C701" t="s">
        <v>11</v>
      </c>
      <c r="D701" t="s">
        <v>794</v>
      </c>
      <c r="E701" t="s">
        <v>13</v>
      </c>
      <c r="F701">
        <v>123.46</v>
      </c>
      <c r="G701">
        <v>18.52</v>
      </c>
      <c r="H701">
        <v>141.97999999999999</v>
      </c>
    </row>
    <row r="702" spans="1:8" x14ac:dyDescent="0.35">
      <c r="A702" t="s">
        <v>9</v>
      </c>
      <c r="B702" t="s">
        <v>801</v>
      </c>
      <c r="C702" t="s">
        <v>11</v>
      </c>
      <c r="D702" t="s">
        <v>794</v>
      </c>
      <c r="E702" t="s">
        <v>13</v>
      </c>
      <c r="F702">
        <v>321.92</v>
      </c>
      <c r="G702">
        <v>40.19</v>
      </c>
      <c r="H702">
        <v>362.11</v>
      </c>
    </row>
    <row r="703" spans="1:8" x14ac:dyDescent="0.35">
      <c r="A703" t="s">
        <v>9</v>
      </c>
      <c r="B703" t="s">
        <v>802</v>
      </c>
      <c r="C703" t="s">
        <v>11</v>
      </c>
      <c r="D703" t="s">
        <v>794</v>
      </c>
      <c r="E703" t="s">
        <v>13</v>
      </c>
      <c r="F703">
        <v>504.23</v>
      </c>
      <c r="G703">
        <v>60.64</v>
      </c>
      <c r="H703">
        <v>564.87</v>
      </c>
    </row>
    <row r="704" spans="1:8" x14ac:dyDescent="0.35">
      <c r="A704" t="s">
        <v>9</v>
      </c>
      <c r="B704" t="s">
        <v>803</v>
      </c>
      <c r="C704" t="s">
        <v>11</v>
      </c>
      <c r="D704" t="s">
        <v>794</v>
      </c>
      <c r="E704" t="s">
        <v>13</v>
      </c>
      <c r="F704">
        <v>312.91000000000003</v>
      </c>
      <c r="G704">
        <v>26.99</v>
      </c>
      <c r="H704">
        <v>339.9</v>
      </c>
    </row>
    <row r="705" spans="1:8" x14ac:dyDescent="0.35">
      <c r="A705" t="s">
        <v>9</v>
      </c>
      <c r="B705" t="s">
        <v>804</v>
      </c>
      <c r="C705" t="s">
        <v>11</v>
      </c>
      <c r="D705" t="s">
        <v>794</v>
      </c>
      <c r="E705" t="s">
        <v>13</v>
      </c>
      <c r="F705">
        <v>631.79999999999995</v>
      </c>
      <c r="G705">
        <v>76.02</v>
      </c>
      <c r="H705">
        <v>707.82</v>
      </c>
    </row>
    <row r="706" spans="1:8" x14ac:dyDescent="0.35">
      <c r="A706" t="s">
        <v>9</v>
      </c>
      <c r="B706" t="s">
        <v>805</v>
      </c>
      <c r="C706" t="s">
        <v>11</v>
      </c>
      <c r="D706" t="s">
        <v>806</v>
      </c>
      <c r="E706" t="s">
        <v>13</v>
      </c>
      <c r="F706">
        <v>206.9</v>
      </c>
      <c r="G706">
        <v>28.03</v>
      </c>
      <c r="H706">
        <v>234.93</v>
      </c>
    </row>
    <row r="707" spans="1:8" x14ac:dyDescent="0.35">
      <c r="A707" t="s">
        <v>9</v>
      </c>
      <c r="B707" t="s">
        <v>807</v>
      </c>
      <c r="C707" t="s">
        <v>11</v>
      </c>
      <c r="D707" t="s">
        <v>806</v>
      </c>
      <c r="E707" t="s">
        <v>13</v>
      </c>
      <c r="F707">
        <v>165.16</v>
      </c>
      <c r="G707">
        <v>21.78</v>
      </c>
      <c r="H707">
        <v>186.94</v>
      </c>
    </row>
    <row r="708" spans="1:8" x14ac:dyDescent="0.35">
      <c r="A708" t="s">
        <v>9</v>
      </c>
      <c r="B708" t="s">
        <v>808</v>
      </c>
      <c r="C708" t="s">
        <v>11</v>
      </c>
      <c r="D708" t="s">
        <v>806</v>
      </c>
      <c r="E708" t="s">
        <v>13</v>
      </c>
      <c r="F708">
        <v>496.46</v>
      </c>
      <c r="G708">
        <v>59.47</v>
      </c>
      <c r="H708">
        <v>555.92999999999995</v>
      </c>
    </row>
    <row r="709" spans="1:8" x14ac:dyDescent="0.35">
      <c r="A709" t="s">
        <v>9</v>
      </c>
      <c r="B709" t="s">
        <v>809</v>
      </c>
      <c r="C709" t="s">
        <v>11</v>
      </c>
      <c r="D709" t="s">
        <v>806</v>
      </c>
      <c r="E709" t="s">
        <v>13</v>
      </c>
      <c r="F709">
        <v>492.02</v>
      </c>
      <c r="G709">
        <v>73.8</v>
      </c>
      <c r="H709">
        <v>565.82000000000005</v>
      </c>
    </row>
    <row r="710" spans="1:8" x14ac:dyDescent="0.35">
      <c r="A710" t="s">
        <v>9</v>
      </c>
      <c r="B710" t="s">
        <v>810</v>
      </c>
      <c r="C710" t="s">
        <v>11</v>
      </c>
      <c r="D710" t="s">
        <v>806</v>
      </c>
      <c r="E710" t="s">
        <v>13</v>
      </c>
      <c r="F710">
        <v>876.64</v>
      </c>
      <c r="G710">
        <v>76.16</v>
      </c>
      <c r="H710">
        <v>952.8</v>
      </c>
    </row>
    <row r="711" spans="1:8" x14ac:dyDescent="0.35">
      <c r="A711" t="s">
        <v>9</v>
      </c>
      <c r="B711" t="s">
        <v>811</v>
      </c>
      <c r="C711" t="s">
        <v>11</v>
      </c>
      <c r="D711" t="s">
        <v>806</v>
      </c>
      <c r="E711" t="s">
        <v>13</v>
      </c>
      <c r="F711">
        <v>298.23</v>
      </c>
      <c r="G711">
        <v>44.74</v>
      </c>
      <c r="H711">
        <v>342.97</v>
      </c>
    </row>
    <row r="712" spans="1:8" x14ac:dyDescent="0.35">
      <c r="A712" t="s">
        <v>9</v>
      </c>
      <c r="B712" t="s">
        <v>812</v>
      </c>
      <c r="C712" t="s">
        <v>11</v>
      </c>
      <c r="D712" t="s">
        <v>806</v>
      </c>
      <c r="E712" t="s">
        <v>13</v>
      </c>
      <c r="F712">
        <v>131.12</v>
      </c>
      <c r="G712">
        <v>16.82</v>
      </c>
      <c r="H712">
        <v>147.94</v>
      </c>
    </row>
    <row r="713" spans="1:8" x14ac:dyDescent="0.35">
      <c r="A713" t="s">
        <v>9</v>
      </c>
      <c r="B713" t="s">
        <v>813</v>
      </c>
      <c r="C713" t="s">
        <v>11</v>
      </c>
      <c r="D713" t="s">
        <v>806</v>
      </c>
      <c r="E713" t="s">
        <v>13</v>
      </c>
      <c r="F713">
        <v>354.66</v>
      </c>
      <c r="G713">
        <v>53.2</v>
      </c>
      <c r="H713">
        <v>407.86</v>
      </c>
    </row>
    <row r="714" spans="1:8" x14ac:dyDescent="0.35">
      <c r="A714" t="s">
        <v>9</v>
      </c>
      <c r="B714" t="s">
        <v>814</v>
      </c>
      <c r="C714" t="s">
        <v>11</v>
      </c>
      <c r="D714" t="s">
        <v>806</v>
      </c>
      <c r="E714" t="s">
        <v>13</v>
      </c>
      <c r="F714">
        <v>137.36000000000001</v>
      </c>
      <c r="G714">
        <v>14.61</v>
      </c>
      <c r="H714">
        <v>151.97</v>
      </c>
    </row>
    <row r="715" spans="1:8" x14ac:dyDescent="0.35">
      <c r="A715" t="s">
        <v>9</v>
      </c>
      <c r="B715" t="s">
        <v>815</v>
      </c>
      <c r="C715" t="s">
        <v>11</v>
      </c>
      <c r="D715" t="s">
        <v>806</v>
      </c>
      <c r="E715" t="s">
        <v>13</v>
      </c>
      <c r="F715">
        <v>128.05000000000001</v>
      </c>
      <c r="G715">
        <v>9.91</v>
      </c>
      <c r="H715">
        <v>137.96</v>
      </c>
    </row>
    <row r="716" spans="1:8" x14ac:dyDescent="0.35">
      <c r="A716" t="s">
        <v>9</v>
      </c>
      <c r="B716" t="s">
        <v>816</v>
      </c>
      <c r="C716" t="s">
        <v>11</v>
      </c>
      <c r="D716" t="s">
        <v>806</v>
      </c>
      <c r="E716" t="s">
        <v>13</v>
      </c>
      <c r="F716">
        <v>223.85</v>
      </c>
      <c r="G716">
        <v>32.08</v>
      </c>
      <c r="H716">
        <v>255.93</v>
      </c>
    </row>
    <row r="717" spans="1:8" x14ac:dyDescent="0.35">
      <c r="A717" t="s">
        <v>9</v>
      </c>
      <c r="B717" t="s">
        <v>817</v>
      </c>
      <c r="C717" t="s">
        <v>11</v>
      </c>
      <c r="D717" t="s">
        <v>806</v>
      </c>
      <c r="E717" t="s">
        <v>13</v>
      </c>
      <c r="F717">
        <v>130.41999999999999</v>
      </c>
      <c r="G717">
        <v>18.059999999999999</v>
      </c>
      <c r="H717">
        <v>148.47999999999999</v>
      </c>
    </row>
    <row r="718" spans="1:8" x14ac:dyDescent="0.35">
      <c r="A718" t="s">
        <v>9</v>
      </c>
      <c r="B718" t="s">
        <v>818</v>
      </c>
      <c r="C718" t="s">
        <v>11</v>
      </c>
      <c r="D718" t="s">
        <v>806</v>
      </c>
      <c r="E718" t="s">
        <v>13</v>
      </c>
      <c r="F718">
        <v>323.85000000000002</v>
      </c>
      <c r="G718">
        <v>47.08</v>
      </c>
      <c r="H718">
        <v>370.93</v>
      </c>
    </row>
    <row r="719" spans="1:8" x14ac:dyDescent="0.35">
      <c r="A719" t="s">
        <v>9</v>
      </c>
      <c r="B719" t="s">
        <v>819</v>
      </c>
      <c r="C719" t="s">
        <v>11</v>
      </c>
      <c r="D719" t="s">
        <v>806</v>
      </c>
      <c r="E719" t="s">
        <v>13</v>
      </c>
      <c r="F719">
        <v>276.48</v>
      </c>
      <c r="G719">
        <v>32.47</v>
      </c>
      <c r="H719">
        <v>308.95</v>
      </c>
    </row>
    <row r="720" spans="1:8" x14ac:dyDescent="0.35">
      <c r="A720" t="s">
        <v>9</v>
      </c>
      <c r="B720" t="s">
        <v>820</v>
      </c>
      <c r="C720" t="s">
        <v>11</v>
      </c>
      <c r="D720" t="s">
        <v>806</v>
      </c>
      <c r="E720" t="s">
        <v>13</v>
      </c>
      <c r="F720">
        <v>324.31</v>
      </c>
      <c r="G720">
        <v>39.65</v>
      </c>
      <c r="H720">
        <v>363.96</v>
      </c>
    </row>
    <row r="721" spans="1:8" x14ac:dyDescent="0.35">
      <c r="A721" t="s">
        <v>9</v>
      </c>
      <c r="B721" t="s">
        <v>821</v>
      </c>
      <c r="C721" t="s">
        <v>11</v>
      </c>
      <c r="D721" t="s">
        <v>822</v>
      </c>
      <c r="E721" t="s">
        <v>13</v>
      </c>
      <c r="F721">
        <v>169.54</v>
      </c>
      <c r="G721">
        <v>25.43</v>
      </c>
      <c r="H721">
        <v>194.97</v>
      </c>
    </row>
    <row r="722" spans="1:8" x14ac:dyDescent="0.35">
      <c r="A722" t="s">
        <v>9</v>
      </c>
      <c r="B722" t="s">
        <v>823</v>
      </c>
      <c r="C722" t="s">
        <v>11</v>
      </c>
      <c r="D722" t="s">
        <v>822</v>
      </c>
      <c r="E722" t="s">
        <v>13</v>
      </c>
      <c r="F722">
        <v>207.8</v>
      </c>
      <c r="G722">
        <v>31.17</v>
      </c>
      <c r="H722">
        <v>238.97</v>
      </c>
    </row>
    <row r="723" spans="1:8" x14ac:dyDescent="0.35">
      <c r="A723" t="s">
        <v>9</v>
      </c>
      <c r="B723" t="s">
        <v>824</v>
      </c>
      <c r="C723" t="s">
        <v>11</v>
      </c>
      <c r="D723" t="s">
        <v>822</v>
      </c>
      <c r="E723" t="s">
        <v>13</v>
      </c>
      <c r="F723">
        <v>279.02999999999997</v>
      </c>
      <c r="G723">
        <v>41.85</v>
      </c>
      <c r="H723">
        <v>320.88</v>
      </c>
    </row>
    <row r="724" spans="1:8" x14ac:dyDescent="0.35">
      <c r="A724" t="s">
        <v>9</v>
      </c>
      <c r="B724" t="s">
        <v>825</v>
      </c>
      <c r="C724" t="s">
        <v>11</v>
      </c>
      <c r="D724" t="s">
        <v>822</v>
      </c>
      <c r="E724" t="s">
        <v>13</v>
      </c>
      <c r="F724">
        <v>194.3</v>
      </c>
      <c r="G724">
        <v>27.64</v>
      </c>
      <c r="H724">
        <v>221.94</v>
      </c>
    </row>
    <row r="725" spans="1:8" x14ac:dyDescent="0.35">
      <c r="A725" t="s">
        <v>9</v>
      </c>
      <c r="B725" t="s">
        <v>826</v>
      </c>
      <c r="C725" t="s">
        <v>11</v>
      </c>
      <c r="D725" t="s">
        <v>822</v>
      </c>
      <c r="E725" t="s">
        <v>13</v>
      </c>
      <c r="F725">
        <v>592.07000000000005</v>
      </c>
      <c r="G725">
        <v>68.87</v>
      </c>
      <c r="H725">
        <v>660.94</v>
      </c>
    </row>
    <row r="726" spans="1:8" x14ac:dyDescent="0.35">
      <c r="A726" t="s">
        <v>9</v>
      </c>
      <c r="B726" t="s">
        <v>827</v>
      </c>
      <c r="C726" t="s">
        <v>11</v>
      </c>
      <c r="D726" t="s">
        <v>822</v>
      </c>
      <c r="E726" t="s">
        <v>13</v>
      </c>
      <c r="F726">
        <v>163.63999999999999</v>
      </c>
      <c r="G726">
        <v>19.3</v>
      </c>
      <c r="H726">
        <v>182.94</v>
      </c>
    </row>
    <row r="727" spans="1:8" x14ac:dyDescent="0.35">
      <c r="A727" t="s">
        <v>9</v>
      </c>
      <c r="B727" t="s">
        <v>828</v>
      </c>
      <c r="C727" t="s">
        <v>11</v>
      </c>
      <c r="D727" t="s">
        <v>822</v>
      </c>
      <c r="E727" t="s">
        <v>13</v>
      </c>
      <c r="F727">
        <v>244.3</v>
      </c>
      <c r="G727">
        <v>33.64</v>
      </c>
      <c r="H727">
        <v>277.94</v>
      </c>
    </row>
    <row r="728" spans="1:8" x14ac:dyDescent="0.35">
      <c r="A728" t="s">
        <v>9</v>
      </c>
      <c r="B728" t="s">
        <v>829</v>
      </c>
      <c r="C728" t="s">
        <v>11</v>
      </c>
      <c r="D728" t="s">
        <v>822</v>
      </c>
      <c r="E728" t="s">
        <v>13</v>
      </c>
      <c r="F728">
        <v>322.07</v>
      </c>
      <c r="G728">
        <v>46.81</v>
      </c>
      <c r="H728">
        <v>368.88</v>
      </c>
    </row>
    <row r="729" spans="1:8" x14ac:dyDescent="0.35">
      <c r="A729" t="s">
        <v>9</v>
      </c>
      <c r="B729" t="s">
        <v>830</v>
      </c>
      <c r="C729" t="s">
        <v>11</v>
      </c>
      <c r="D729" t="s">
        <v>831</v>
      </c>
      <c r="E729" t="s">
        <v>13</v>
      </c>
      <c r="F729">
        <v>185.16</v>
      </c>
      <c r="G729">
        <v>27.77</v>
      </c>
      <c r="H729">
        <v>212.93</v>
      </c>
    </row>
    <row r="730" spans="1:8" x14ac:dyDescent="0.35">
      <c r="A730" t="s">
        <v>9</v>
      </c>
      <c r="B730" t="s">
        <v>832</v>
      </c>
      <c r="C730" t="s">
        <v>11</v>
      </c>
      <c r="D730" t="s">
        <v>831</v>
      </c>
      <c r="E730" t="s">
        <v>13</v>
      </c>
      <c r="F730">
        <v>756.23</v>
      </c>
      <c r="G730">
        <v>77.59</v>
      </c>
      <c r="H730">
        <v>833.82</v>
      </c>
    </row>
    <row r="731" spans="1:8" x14ac:dyDescent="0.35">
      <c r="A731" t="s">
        <v>9</v>
      </c>
      <c r="B731" t="s">
        <v>833</v>
      </c>
      <c r="C731" t="s">
        <v>11</v>
      </c>
      <c r="D731" t="s">
        <v>831</v>
      </c>
      <c r="E731" t="s">
        <v>13</v>
      </c>
      <c r="F731">
        <v>164.87</v>
      </c>
      <c r="G731">
        <v>14.09</v>
      </c>
      <c r="H731">
        <v>178.96</v>
      </c>
    </row>
    <row r="732" spans="1:8" x14ac:dyDescent="0.35">
      <c r="A732" t="s">
        <v>9</v>
      </c>
      <c r="B732" t="s">
        <v>834</v>
      </c>
      <c r="C732" t="s">
        <v>11</v>
      </c>
      <c r="D732" t="s">
        <v>831</v>
      </c>
      <c r="E732" t="s">
        <v>13</v>
      </c>
      <c r="F732">
        <v>126.04</v>
      </c>
      <c r="G732">
        <v>18.91</v>
      </c>
      <c r="H732">
        <v>144.94999999999999</v>
      </c>
    </row>
    <row r="733" spans="1:8" x14ac:dyDescent="0.35">
      <c r="A733" t="s">
        <v>9</v>
      </c>
      <c r="B733" t="s">
        <v>835</v>
      </c>
      <c r="C733" t="s">
        <v>11</v>
      </c>
      <c r="D733" t="s">
        <v>831</v>
      </c>
      <c r="E733" t="s">
        <v>13</v>
      </c>
      <c r="F733">
        <v>140.53</v>
      </c>
      <c r="G733">
        <v>7.43</v>
      </c>
      <c r="H733">
        <v>147.96</v>
      </c>
    </row>
    <row r="734" spans="1:8" x14ac:dyDescent="0.35">
      <c r="A734" t="s">
        <v>9</v>
      </c>
      <c r="B734" t="s">
        <v>836</v>
      </c>
      <c r="C734" t="s">
        <v>11</v>
      </c>
      <c r="D734" t="s">
        <v>831</v>
      </c>
      <c r="E734" t="s">
        <v>13</v>
      </c>
      <c r="F734">
        <v>243.4</v>
      </c>
      <c r="G734">
        <v>30.51</v>
      </c>
      <c r="H734">
        <v>273.91000000000003</v>
      </c>
    </row>
    <row r="735" spans="1:8" x14ac:dyDescent="0.35">
      <c r="A735" t="s">
        <v>9</v>
      </c>
      <c r="B735" t="s">
        <v>837</v>
      </c>
      <c r="C735" t="s">
        <v>11</v>
      </c>
      <c r="D735" t="s">
        <v>831</v>
      </c>
      <c r="E735" t="s">
        <v>13</v>
      </c>
      <c r="F735">
        <v>462.1</v>
      </c>
      <c r="G735">
        <v>67.819999999999993</v>
      </c>
      <c r="H735">
        <v>529.91999999999996</v>
      </c>
    </row>
    <row r="736" spans="1:8" x14ac:dyDescent="0.35">
      <c r="A736" t="s">
        <v>9</v>
      </c>
      <c r="B736" t="s">
        <v>838</v>
      </c>
      <c r="C736" t="s">
        <v>11</v>
      </c>
      <c r="D736" t="s">
        <v>831</v>
      </c>
      <c r="E736" t="s">
        <v>13</v>
      </c>
      <c r="F736">
        <v>503.66</v>
      </c>
      <c r="G736">
        <v>66.25</v>
      </c>
      <c r="H736">
        <v>569.91</v>
      </c>
    </row>
    <row r="737" spans="1:8" x14ac:dyDescent="0.35">
      <c r="A737" t="s">
        <v>9</v>
      </c>
      <c r="B737" t="s">
        <v>839</v>
      </c>
      <c r="C737" t="s">
        <v>11</v>
      </c>
      <c r="D737" t="s">
        <v>840</v>
      </c>
      <c r="E737" t="s">
        <v>13</v>
      </c>
      <c r="F737">
        <v>266.02999999999997</v>
      </c>
      <c r="G737">
        <v>33.909999999999997</v>
      </c>
      <c r="H737">
        <v>299.94</v>
      </c>
    </row>
    <row r="738" spans="1:8" x14ac:dyDescent="0.35">
      <c r="A738" t="s">
        <v>9</v>
      </c>
      <c r="B738" t="s">
        <v>841</v>
      </c>
      <c r="C738" t="s">
        <v>11</v>
      </c>
      <c r="D738" t="s">
        <v>840</v>
      </c>
      <c r="E738" t="s">
        <v>13</v>
      </c>
      <c r="F738">
        <v>702.47</v>
      </c>
      <c r="G738">
        <v>99.37</v>
      </c>
      <c r="H738">
        <v>801.84</v>
      </c>
    </row>
    <row r="739" spans="1:8" x14ac:dyDescent="0.35">
      <c r="A739" t="s">
        <v>9</v>
      </c>
      <c r="B739" t="s">
        <v>842</v>
      </c>
      <c r="C739" t="s">
        <v>11</v>
      </c>
      <c r="D739" t="s">
        <v>840</v>
      </c>
      <c r="E739" t="s">
        <v>13</v>
      </c>
      <c r="F739">
        <v>167.34</v>
      </c>
      <c r="G739">
        <v>11.6</v>
      </c>
      <c r="H739">
        <v>178.94</v>
      </c>
    </row>
    <row r="740" spans="1:8" x14ac:dyDescent="0.35">
      <c r="A740" t="s">
        <v>9</v>
      </c>
      <c r="B740" t="s">
        <v>843</v>
      </c>
      <c r="C740" t="s">
        <v>11</v>
      </c>
      <c r="D740" t="s">
        <v>840</v>
      </c>
      <c r="E740" t="s">
        <v>13</v>
      </c>
      <c r="F740">
        <v>125.17</v>
      </c>
      <c r="G740">
        <v>18.78</v>
      </c>
      <c r="H740">
        <v>143.94999999999999</v>
      </c>
    </row>
    <row r="741" spans="1:8" x14ac:dyDescent="0.35">
      <c r="A741" t="s">
        <v>9</v>
      </c>
      <c r="B741" t="s">
        <v>844</v>
      </c>
      <c r="C741" t="s">
        <v>11</v>
      </c>
      <c r="D741" t="s">
        <v>840</v>
      </c>
      <c r="E741" t="s">
        <v>13</v>
      </c>
      <c r="F741">
        <v>812.08</v>
      </c>
      <c r="G741">
        <v>109.82</v>
      </c>
      <c r="H741">
        <v>921.9</v>
      </c>
    </row>
    <row r="742" spans="1:8" x14ac:dyDescent="0.35">
      <c r="A742" t="s">
        <v>9</v>
      </c>
      <c r="B742" t="s">
        <v>845</v>
      </c>
      <c r="C742" t="s">
        <v>11</v>
      </c>
      <c r="D742" t="s">
        <v>840</v>
      </c>
      <c r="E742" t="s">
        <v>13</v>
      </c>
      <c r="F742">
        <v>767.74</v>
      </c>
      <c r="G742">
        <v>100.16</v>
      </c>
      <c r="H742">
        <v>867.9</v>
      </c>
    </row>
    <row r="743" spans="1:8" x14ac:dyDescent="0.35">
      <c r="A743" t="s">
        <v>9</v>
      </c>
      <c r="B743" t="s">
        <v>846</v>
      </c>
      <c r="C743" t="s">
        <v>11</v>
      </c>
      <c r="D743" t="s">
        <v>840</v>
      </c>
      <c r="E743" t="s">
        <v>13</v>
      </c>
      <c r="F743">
        <v>166.9</v>
      </c>
      <c r="G743">
        <v>25.03</v>
      </c>
      <c r="H743">
        <v>191.93</v>
      </c>
    </row>
    <row r="744" spans="1:8" x14ac:dyDescent="0.35">
      <c r="A744" t="s">
        <v>9</v>
      </c>
      <c r="B744" t="s">
        <v>847</v>
      </c>
      <c r="C744" t="s">
        <v>11</v>
      </c>
      <c r="D744" t="s">
        <v>840</v>
      </c>
      <c r="E744" t="s">
        <v>13</v>
      </c>
      <c r="F744">
        <v>443.51</v>
      </c>
      <c r="G744">
        <v>66.53</v>
      </c>
      <c r="H744">
        <v>510.04</v>
      </c>
    </row>
    <row r="745" spans="1:8" x14ac:dyDescent="0.35">
      <c r="A745" t="s">
        <v>9</v>
      </c>
      <c r="B745" t="s">
        <v>848</v>
      </c>
      <c r="C745" t="s">
        <v>11</v>
      </c>
      <c r="D745" t="s">
        <v>840</v>
      </c>
      <c r="E745" t="s">
        <v>13</v>
      </c>
      <c r="F745">
        <v>196.13</v>
      </c>
      <c r="G745">
        <v>25.82</v>
      </c>
      <c r="H745">
        <v>221.95</v>
      </c>
    </row>
    <row r="746" spans="1:8" x14ac:dyDescent="0.35">
      <c r="A746" t="s">
        <v>9</v>
      </c>
      <c r="B746" t="s">
        <v>849</v>
      </c>
      <c r="C746" t="s">
        <v>11</v>
      </c>
      <c r="D746" t="s">
        <v>840</v>
      </c>
      <c r="E746" t="s">
        <v>13</v>
      </c>
      <c r="F746">
        <v>140.38999999999999</v>
      </c>
      <c r="G746">
        <v>19.559999999999999</v>
      </c>
      <c r="H746">
        <v>159.94999999999999</v>
      </c>
    </row>
    <row r="747" spans="1:8" x14ac:dyDescent="0.35">
      <c r="A747" t="s">
        <v>9</v>
      </c>
      <c r="B747" t="s">
        <v>850</v>
      </c>
      <c r="C747" t="s">
        <v>11</v>
      </c>
      <c r="D747" t="s">
        <v>840</v>
      </c>
      <c r="E747" t="s">
        <v>13</v>
      </c>
      <c r="F747">
        <v>587.65</v>
      </c>
      <c r="G747">
        <v>77.2</v>
      </c>
      <c r="H747">
        <v>664.85</v>
      </c>
    </row>
    <row r="748" spans="1:8" x14ac:dyDescent="0.35">
      <c r="A748" t="s">
        <v>9</v>
      </c>
      <c r="B748" t="s">
        <v>851</v>
      </c>
      <c r="C748" t="s">
        <v>11</v>
      </c>
      <c r="D748" t="s">
        <v>840</v>
      </c>
      <c r="E748" t="s">
        <v>13</v>
      </c>
      <c r="F748">
        <v>112.66</v>
      </c>
      <c r="G748">
        <v>10.3</v>
      </c>
      <c r="H748">
        <v>122.96</v>
      </c>
    </row>
    <row r="749" spans="1:8" x14ac:dyDescent="0.35">
      <c r="A749" t="s">
        <v>9</v>
      </c>
      <c r="B749" t="s">
        <v>852</v>
      </c>
      <c r="C749" t="s">
        <v>11</v>
      </c>
      <c r="D749" t="s">
        <v>853</v>
      </c>
      <c r="E749" t="s">
        <v>13</v>
      </c>
      <c r="F749">
        <v>292.12</v>
      </c>
      <c r="G749">
        <v>43.82</v>
      </c>
      <c r="H749">
        <v>335.94</v>
      </c>
    </row>
    <row r="750" spans="1:8" x14ac:dyDescent="0.35">
      <c r="A750" t="s">
        <v>9</v>
      </c>
      <c r="B750" t="s">
        <v>854</v>
      </c>
      <c r="C750" t="s">
        <v>11</v>
      </c>
      <c r="D750" t="s">
        <v>853</v>
      </c>
      <c r="E750" t="s">
        <v>13</v>
      </c>
      <c r="F750">
        <v>162.46</v>
      </c>
      <c r="G750">
        <v>16.12</v>
      </c>
      <c r="H750">
        <v>178.58</v>
      </c>
    </row>
    <row r="751" spans="1:8" x14ac:dyDescent="0.35">
      <c r="A751" t="s">
        <v>9</v>
      </c>
      <c r="B751" t="s">
        <v>855</v>
      </c>
      <c r="C751" t="s">
        <v>11</v>
      </c>
      <c r="D751" t="s">
        <v>853</v>
      </c>
      <c r="E751" t="s">
        <v>13</v>
      </c>
      <c r="F751">
        <v>185.05</v>
      </c>
      <c r="G751">
        <v>18.91</v>
      </c>
      <c r="H751">
        <v>203.96</v>
      </c>
    </row>
    <row r="752" spans="1:8" x14ac:dyDescent="0.35">
      <c r="A752" t="s">
        <v>9</v>
      </c>
      <c r="B752" t="s">
        <v>856</v>
      </c>
      <c r="C752" t="s">
        <v>11</v>
      </c>
      <c r="D752" t="s">
        <v>853</v>
      </c>
      <c r="E752" t="s">
        <v>13</v>
      </c>
      <c r="F752">
        <v>428.61</v>
      </c>
      <c r="G752">
        <v>44.34</v>
      </c>
      <c r="H752">
        <v>472.95</v>
      </c>
    </row>
    <row r="753" spans="1:8" x14ac:dyDescent="0.35">
      <c r="A753" t="s">
        <v>9</v>
      </c>
      <c r="B753" t="s">
        <v>857</v>
      </c>
      <c r="C753" t="s">
        <v>11</v>
      </c>
      <c r="D753" t="s">
        <v>853</v>
      </c>
      <c r="E753" t="s">
        <v>13</v>
      </c>
      <c r="F753">
        <v>210.83</v>
      </c>
      <c r="G753">
        <v>30.13</v>
      </c>
      <c r="H753">
        <v>240.96</v>
      </c>
    </row>
    <row r="754" spans="1:8" x14ac:dyDescent="0.35">
      <c r="A754" t="s">
        <v>9</v>
      </c>
      <c r="B754" t="s">
        <v>858</v>
      </c>
      <c r="C754" t="s">
        <v>11</v>
      </c>
      <c r="D754" t="s">
        <v>853</v>
      </c>
      <c r="E754" t="s">
        <v>13</v>
      </c>
      <c r="F754">
        <v>84.76</v>
      </c>
      <c r="G754">
        <v>11.21</v>
      </c>
      <c r="H754">
        <v>95.97</v>
      </c>
    </row>
    <row r="755" spans="1:8" x14ac:dyDescent="0.35">
      <c r="A755" t="s">
        <v>9</v>
      </c>
      <c r="B755" t="s">
        <v>859</v>
      </c>
      <c r="C755" t="s">
        <v>11</v>
      </c>
      <c r="D755" t="s">
        <v>853</v>
      </c>
      <c r="E755" t="s">
        <v>13</v>
      </c>
      <c r="F755">
        <v>172.57</v>
      </c>
      <c r="G755">
        <v>24.38</v>
      </c>
      <c r="H755">
        <v>196.95</v>
      </c>
    </row>
    <row r="756" spans="1:8" x14ac:dyDescent="0.35">
      <c r="A756" t="s">
        <v>9</v>
      </c>
      <c r="B756" t="s">
        <v>860</v>
      </c>
      <c r="C756" t="s">
        <v>11</v>
      </c>
      <c r="D756" t="s">
        <v>853</v>
      </c>
      <c r="E756" t="s">
        <v>13</v>
      </c>
      <c r="F756">
        <v>154.77000000000001</v>
      </c>
      <c r="G756">
        <v>21.71</v>
      </c>
      <c r="H756">
        <v>176.48</v>
      </c>
    </row>
    <row r="757" spans="1:8" x14ac:dyDescent="0.35">
      <c r="A757" t="s">
        <v>9</v>
      </c>
      <c r="B757" t="s">
        <v>861</v>
      </c>
      <c r="C757" t="s">
        <v>11</v>
      </c>
      <c r="D757" t="s">
        <v>853</v>
      </c>
      <c r="E757" t="s">
        <v>13</v>
      </c>
      <c r="F757">
        <v>395.16</v>
      </c>
      <c r="G757">
        <v>42.78</v>
      </c>
      <c r="H757">
        <v>437.94</v>
      </c>
    </row>
    <row r="758" spans="1:8" x14ac:dyDescent="0.35">
      <c r="A758" t="s">
        <v>9</v>
      </c>
      <c r="B758" t="s">
        <v>862</v>
      </c>
      <c r="C758" t="s">
        <v>11</v>
      </c>
      <c r="D758" t="s">
        <v>863</v>
      </c>
      <c r="E758" t="s">
        <v>13</v>
      </c>
      <c r="F758">
        <v>189.51</v>
      </c>
      <c r="G758">
        <v>20.93</v>
      </c>
      <c r="H758">
        <v>210.44</v>
      </c>
    </row>
    <row r="759" spans="1:8" x14ac:dyDescent="0.35">
      <c r="A759" t="s">
        <v>9</v>
      </c>
      <c r="B759" t="s">
        <v>864</v>
      </c>
      <c r="C759" t="s">
        <v>11</v>
      </c>
      <c r="D759" t="s">
        <v>863</v>
      </c>
      <c r="E759" t="s">
        <v>13</v>
      </c>
      <c r="F759">
        <v>275.25</v>
      </c>
      <c r="G759">
        <v>34.69</v>
      </c>
      <c r="H759">
        <v>309.94</v>
      </c>
    </row>
    <row r="760" spans="1:8" x14ac:dyDescent="0.35">
      <c r="A760" t="s">
        <v>9</v>
      </c>
      <c r="B760" t="s">
        <v>865</v>
      </c>
      <c r="C760" t="s">
        <v>11</v>
      </c>
      <c r="D760" t="s">
        <v>863</v>
      </c>
      <c r="E760" t="s">
        <v>13</v>
      </c>
      <c r="F760">
        <v>245.27</v>
      </c>
      <c r="G760">
        <v>24.65</v>
      </c>
      <c r="H760">
        <v>269.92</v>
      </c>
    </row>
    <row r="761" spans="1:8" x14ac:dyDescent="0.35">
      <c r="A761" t="s">
        <v>9</v>
      </c>
      <c r="B761" t="s">
        <v>866</v>
      </c>
      <c r="C761" t="s">
        <v>11</v>
      </c>
      <c r="D761" t="s">
        <v>863</v>
      </c>
      <c r="E761" t="s">
        <v>13</v>
      </c>
      <c r="F761">
        <v>132.88999999999999</v>
      </c>
      <c r="G761">
        <v>17.09</v>
      </c>
      <c r="H761">
        <v>149.97999999999999</v>
      </c>
    </row>
    <row r="762" spans="1:8" x14ac:dyDescent="0.35">
      <c r="A762" t="s">
        <v>9</v>
      </c>
      <c r="B762" t="s">
        <v>867</v>
      </c>
      <c r="C762" t="s">
        <v>11</v>
      </c>
      <c r="D762" t="s">
        <v>863</v>
      </c>
      <c r="E762" t="s">
        <v>13</v>
      </c>
      <c r="F762">
        <v>214.33</v>
      </c>
      <c r="G762">
        <v>30.65</v>
      </c>
      <c r="H762">
        <v>244.98</v>
      </c>
    </row>
    <row r="763" spans="1:8" x14ac:dyDescent="0.35">
      <c r="A763" t="s">
        <v>9</v>
      </c>
      <c r="B763" t="s">
        <v>868</v>
      </c>
      <c r="C763" t="s">
        <v>11</v>
      </c>
      <c r="D763" t="s">
        <v>869</v>
      </c>
      <c r="E763" t="s">
        <v>13</v>
      </c>
      <c r="F763">
        <v>393.37</v>
      </c>
      <c r="G763">
        <v>54.51</v>
      </c>
      <c r="H763">
        <v>447.88</v>
      </c>
    </row>
    <row r="764" spans="1:8" x14ac:dyDescent="0.35">
      <c r="A764" t="s">
        <v>9</v>
      </c>
      <c r="B764" t="s">
        <v>870</v>
      </c>
      <c r="C764" t="s">
        <v>11</v>
      </c>
      <c r="D764" t="s">
        <v>869</v>
      </c>
      <c r="E764" t="s">
        <v>13</v>
      </c>
      <c r="F764">
        <v>350.91</v>
      </c>
      <c r="G764">
        <v>37.94</v>
      </c>
      <c r="H764">
        <v>388.85</v>
      </c>
    </row>
    <row r="765" spans="1:8" x14ac:dyDescent="0.35">
      <c r="A765" t="s">
        <v>9</v>
      </c>
      <c r="B765" t="s">
        <v>871</v>
      </c>
      <c r="C765" t="s">
        <v>11</v>
      </c>
      <c r="D765" t="s">
        <v>869</v>
      </c>
      <c r="E765" t="s">
        <v>13</v>
      </c>
      <c r="F765">
        <v>273.01</v>
      </c>
      <c r="G765">
        <v>40.950000000000003</v>
      </c>
      <c r="H765">
        <v>313.95999999999998</v>
      </c>
    </row>
    <row r="766" spans="1:8" x14ac:dyDescent="0.35">
      <c r="A766" t="s">
        <v>9</v>
      </c>
      <c r="B766" t="s">
        <v>872</v>
      </c>
      <c r="C766" t="s">
        <v>11</v>
      </c>
      <c r="D766" t="s">
        <v>869</v>
      </c>
      <c r="E766" t="s">
        <v>13</v>
      </c>
      <c r="F766">
        <v>360.37</v>
      </c>
      <c r="G766">
        <v>49.55</v>
      </c>
      <c r="H766">
        <v>409.92</v>
      </c>
    </row>
    <row r="767" spans="1:8" x14ac:dyDescent="0.35">
      <c r="A767" t="s">
        <v>9</v>
      </c>
      <c r="B767" t="s">
        <v>873</v>
      </c>
      <c r="C767" t="s">
        <v>11</v>
      </c>
      <c r="D767" t="s">
        <v>869</v>
      </c>
      <c r="E767" t="s">
        <v>13</v>
      </c>
      <c r="F767">
        <v>934.25</v>
      </c>
      <c r="G767">
        <v>90.44</v>
      </c>
      <c r="H767">
        <v>1024.69</v>
      </c>
    </row>
    <row r="768" spans="1:8" x14ac:dyDescent="0.35">
      <c r="A768" t="s">
        <v>9</v>
      </c>
      <c r="B768" t="s">
        <v>874</v>
      </c>
      <c r="C768" t="s">
        <v>11</v>
      </c>
      <c r="D768" t="s">
        <v>869</v>
      </c>
      <c r="E768" t="s">
        <v>13</v>
      </c>
      <c r="F768">
        <v>478.81</v>
      </c>
      <c r="G768">
        <v>66.87</v>
      </c>
      <c r="H768">
        <v>545.67999999999995</v>
      </c>
    </row>
    <row r="769" spans="1:8" x14ac:dyDescent="0.35">
      <c r="A769" t="s">
        <v>9</v>
      </c>
      <c r="B769" t="s">
        <v>875</v>
      </c>
      <c r="C769" t="s">
        <v>11</v>
      </c>
      <c r="D769" t="s">
        <v>869</v>
      </c>
      <c r="E769" t="s">
        <v>13</v>
      </c>
      <c r="F769">
        <v>806.66</v>
      </c>
      <c r="G769">
        <v>104.81</v>
      </c>
      <c r="H769">
        <v>911.47</v>
      </c>
    </row>
    <row r="770" spans="1:8" x14ac:dyDescent="0.35">
      <c r="A770" t="s">
        <v>9</v>
      </c>
      <c r="B770" t="s">
        <v>876</v>
      </c>
      <c r="C770" t="s">
        <v>11</v>
      </c>
      <c r="D770" t="s">
        <v>869</v>
      </c>
      <c r="E770" t="s">
        <v>13</v>
      </c>
      <c r="F770">
        <v>356.5</v>
      </c>
      <c r="G770">
        <v>38.479999999999997</v>
      </c>
      <c r="H770">
        <v>394.98</v>
      </c>
    </row>
    <row r="771" spans="1:8" x14ac:dyDescent="0.35">
      <c r="A771" t="s">
        <v>9</v>
      </c>
      <c r="B771" t="s">
        <v>877</v>
      </c>
      <c r="C771" t="s">
        <v>11</v>
      </c>
      <c r="D771" t="s">
        <v>869</v>
      </c>
      <c r="E771" t="s">
        <v>13</v>
      </c>
      <c r="F771">
        <v>288.62</v>
      </c>
      <c r="G771">
        <v>37.29</v>
      </c>
      <c r="H771">
        <v>325.91000000000003</v>
      </c>
    </row>
    <row r="772" spans="1:8" x14ac:dyDescent="0.35">
      <c r="A772" t="s">
        <v>9</v>
      </c>
      <c r="B772" t="s">
        <v>878</v>
      </c>
      <c r="C772" t="s">
        <v>11</v>
      </c>
      <c r="D772" t="s">
        <v>869</v>
      </c>
      <c r="E772" t="s">
        <v>13</v>
      </c>
      <c r="F772">
        <v>343.28</v>
      </c>
      <c r="G772">
        <v>40.630000000000003</v>
      </c>
      <c r="H772">
        <v>383.91</v>
      </c>
    </row>
    <row r="773" spans="1:8" x14ac:dyDescent="0.35">
      <c r="A773" t="s">
        <v>9</v>
      </c>
      <c r="B773" t="s">
        <v>879</v>
      </c>
      <c r="C773" t="s">
        <v>11</v>
      </c>
      <c r="D773" t="s">
        <v>869</v>
      </c>
      <c r="E773" t="s">
        <v>13</v>
      </c>
      <c r="F773">
        <v>372.33</v>
      </c>
      <c r="G773">
        <v>40.549999999999997</v>
      </c>
      <c r="H773">
        <v>412.88</v>
      </c>
    </row>
    <row r="774" spans="1:8" x14ac:dyDescent="0.35">
      <c r="A774" t="s">
        <v>9</v>
      </c>
      <c r="B774" t="s">
        <v>880</v>
      </c>
      <c r="C774" t="s">
        <v>11</v>
      </c>
      <c r="D774" t="s">
        <v>869</v>
      </c>
      <c r="E774" t="s">
        <v>13</v>
      </c>
      <c r="F774">
        <v>261.27999999999997</v>
      </c>
      <c r="G774">
        <v>37.69</v>
      </c>
      <c r="H774">
        <v>298.97000000000003</v>
      </c>
    </row>
    <row r="775" spans="1:8" x14ac:dyDescent="0.35">
      <c r="A775" t="s">
        <v>9</v>
      </c>
      <c r="B775" t="s">
        <v>881</v>
      </c>
      <c r="C775" t="s">
        <v>11</v>
      </c>
      <c r="D775" t="s">
        <v>882</v>
      </c>
      <c r="E775" t="s">
        <v>13</v>
      </c>
      <c r="F775">
        <v>494.1</v>
      </c>
      <c r="G775">
        <v>48.77</v>
      </c>
      <c r="H775">
        <v>542.87</v>
      </c>
    </row>
    <row r="776" spans="1:8" x14ac:dyDescent="0.35">
      <c r="A776" t="s">
        <v>9</v>
      </c>
      <c r="B776" t="s">
        <v>883</v>
      </c>
      <c r="C776" t="s">
        <v>11</v>
      </c>
      <c r="D776" t="s">
        <v>882</v>
      </c>
      <c r="E776" t="s">
        <v>13</v>
      </c>
      <c r="F776">
        <v>197.32</v>
      </c>
      <c r="G776">
        <v>29.6</v>
      </c>
      <c r="H776">
        <v>226.92</v>
      </c>
    </row>
    <row r="777" spans="1:8" x14ac:dyDescent="0.35">
      <c r="A777" t="s">
        <v>9</v>
      </c>
      <c r="B777" t="s">
        <v>884</v>
      </c>
      <c r="C777" t="s">
        <v>11</v>
      </c>
      <c r="D777" t="s">
        <v>882</v>
      </c>
      <c r="E777" t="s">
        <v>13</v>
      </c>
      <c r="F777">
        <v>240.77</v>
      </c>
      <c r="G777">
        <v>36.11</v>
      </c>
      <c r="H777">
        <v>276.88</v>
      </c>
    </row>
    <row r="778" spans="1:8" x14ac:dyDescent="0.35">
      <c r="A778" t="s">
        <v>9</v>
      </c>
      <c r="B778" t="s">
        <v>885</v>
      </c>
      <c r="C778" t="s">
        <v>11</v>
      </c>
      <c r="D778" t="s">
        <v>882</v>
      </c>
      <c r="E778" t="s">
        <v>13</v>
      </c>
      <c r="F778">
        <v>421.61</v>
      </c>
      <c r="G778">
        <v>48.25</v>
      </c>
      <c r="H778">
        <v>469.86</v>
      </c>
    </row>
    <row r="779" spans="1:8" x14ac:dyDescent="0.35">
      <c r="A779" t="s">
        <v>9</v>
      </c>
      <c r="B779" t="s">
        <v>886</v>
      </c>
      <c r="C779" t="s">
        <v>11</v>
      </c>
      <c r="D779" t="s">
        <v>882</v>
      </c>
      <c r="E779" t="s">
        <v>13</v>
      </c>
      <c r="F779">
        <v>238.42</v>
      </c>
      <c r="G779">
        <v>30.52</v>
      </c>
      <c r="H779">
        <v>268.94</v>
      </c>
    </row>
    <row r="780" spans="1:8" x14ac:dyDescent="0.35">
      <c r="A780" t="s">
        <v>9</v>
      </c>
      <c r="B780" t="s">
        <v>887</v>
      </c>
      <c r="C780" t="s">
        <v>11</v>
      </c>
      <c r="D780" t="s">
        <v>882</v>
      </c>
      <c r="E780" t="s">
        <v>13</v>
      </c>
      <c r="F780">
        <v>534.22</v>
      </c>
      <c r="G780">
        <v>66.64</v>
      </c>
      <c r="H780">
        <v>600.86</v>
      </c>
    </row>
    <row r="781" spans="1:8" x14ac:dyDescent="0.35">
      <c r="A781" t="s">
        <v>9</v>
      </c>
      <c r="B781" t="s">
        <v>888</v>
      </c>
      <c r="C781" t="s">
        <v>11</v>
      </c>
      <c r="D781" t="s">
        <v>882</v>
      </c>
      <c r="E781" t="s">
        <v>13</v>
      </c>
      <c r="F781">
        <v>447.34</v>
      </c>
      <c r="G781">
        <v>65.599999999999994</v>
      </c>
      <c r="H781">
        <v>512.94000000000005</v>
      </c>
    </row>
    <row r="782" spans="1:8" x14ac:dyDescent="0.35">
      <c r="A782" t="s">
        <v>9</v>
      </c>
      <c r="B782" t="s">
        <v>889</v>
      </c>
      <c r="C782" t="s">
        <v>11</v>
      </c>
      <c r="D782" t="s">
        <v>882</v>
      </c>
      <c r="E782" t="s">
        <v>13</v>
      </c>
      <c r="F782">
        <v>287.49</v>
      </c>
      <c r="G782">
        <v>19.43</v>
      </c>
      <c r="H782">
        <v>306.92</v>
      </c>
    </row>
    <row r="783" spans="1:8" x14ac:dyDescent="0.35">
      <c r="A783" t="s">
        <v>9</v>
      </c>
      <c r="B783" t="s">
        <v>890</v>
      </c>
      <c r="C783" t="s">
        <v>11</v>
      </c>
      <c r="D783" t="s">
        <v>891</v>
      </c>
      <c r="E783" t="s">
        <v>13</v>
      </c>
      <c r="F783">
        <v>145.69</v>
      </c>
      <c r="G783">
        <v>12.26</v>
      </c>
      <c r="H783">
        <v>157.94999999999999</v>
      </c>
    </row>
    <row r="784" spans="1:8" x14ac:dyDescent="0.35">
      <c r="A784" t="s">
        <v>9</v>
      </c>
      <c r="B784" t="s">
        <v>892</v>
      </c>
      <c r="C784" t="s">
        <v>11</v>
      </c>
      <c r="D784" t="s">
        <v>891</v>
      </c>
      <c r="E784" t="s">
        <v>13</v>
      </c>
      <c r="F784">
        <v>343.53</v>
      </c>
      <c r="G784">
        <v>17.79</v>
      </c>
      <c r="H784">
        <v>361.32</v>
      </c>
    </row>
    <row r="785" spans="1:8" x14ac:dyDescent="0.35">
      <c r="A785" t="s">
        <v>9</v>
      </c>
      <c r="B785" t="s">
        <v>893</v>
      </c>
      <c r="C785" t="s">
        <v>11</v>
      </c>
      <c r="D785" t="s">
        <v>891</v>
      </c>
      <c r="E785" t="s">
        <v>13</v>
      </c>
      <c r="F785">
        <v>379.93</v>
      </c>
      <c r="G785">
        <v>35.99</v>
      </c>
      <c r="H785">
        <v>415.92</v>
      </c>
    </row>
    <row r="786" spans="1:8" x14ac:dyDescent="0.35">
      <c r="A786" t="s">
        <v>9</v>
      </c>
      <c r="B786" t="s">
        <v>894</v>
      </c>
      <c r="C786" t="s">
        <v>11</v>
      </c>
      <c r="D786" t="s">
        <v>891</v>
      </c>
      <c r="E786" t="s">
        <v>13</v>
      </c>
      <c r="F786">
        <v>588.91999999999996</v>
      </c>
      <c r="G786">
        <v>74.989999999999995</v>
      </c>
      <c r="H786">
        <v>663.91</v>
      </c>
    </row>
    <row r="787" spans="1:8" x14ac:dyDescent="0.35">
      <c r="A787" t="s">
        <v>9</v>
      </c>
      <c r="B787" t="s">
        <v>895</v>
      </c>
      <c r="C787" t="s">
        <v>11</v>
      </c>
      <c r="D787" t="s">
        <v>891</v>
      </c>
      <c r="E787" t="s">
        <v>13</v>
      </c>
      <c r="F787">
        <v>174.76</v>
      </c>
      <c r="G787">
        <v>26.21</v>
      </c>
      <c r="H787">
        <v>200.97</v>
      </c>
    </row>
    <row r="788" spans="1:8" x14ac:dyDescent="0.35">
      <c r="A788" t="s">
        <v>9</v>
      </c>
      <c r="B788" t="s">
        <v>896</v>
      </c>
      <c r="C788" t="s">
        <v>11</v>
      </c>
      <c r="D788" t="s">
        <v>891</v>
      </c>
      <c r="E788" t="s">
        <v>13</v>
      </c>
      <c r="F788">
        <v>136.91999999999999</v>
      </c>
      <c r="G788">
        <v>20.54</v>
      </c>
      <c r="H788">
        <v>157.46</v>
      </c>
    </row>
    <row r="789" spans="1:8" x14ac:dyDescent="0.35">
      <c r="A789" t="s">
        <v>9</v>
      </c>
      <c r="B789" t="s">
        <v>897</v>
      </c>
      <c r="C789" t="s">
        <v>11</v>
      </c>
      <c r="D789" t="s">
        <v>891</v>
      </c>
      <c r="E789" t="s">
        <v>13</v>
      </c>
      <c r="F789">
        <v>162.35</v>
      </c>
      <c r="G789">
        <v>17.600000000000001</v>
      </c>
      <c r="H789">
        <v>179.95</v>
      </c>
    </row>
    <row r="790" spans="1:8" x14ac:dyDescent="0.35">
      <c r="A790" t="s">
        <v>9</v>
      </c>
      <c r="B790" t="s">
        <v>898</v>
      </c>
      <c r="C790" t="s">
        <v>11</v>
      </c>
      <c r="D790" t="s">
        <v>891</v>
      </c>
      <c r="E790" t="s">
        <v>13</v>
      </c>
      <c r="F790">
        <v>328.39</v>
      </c>
      <c r="G790">
        <v>42.51</v>
      </c>
      <c r="H790">
        <v>370.9</v>
      </c>
    </row>
    <row r="791" spans="1:8" x14ac:dyDescent="0.35">
      <c r="A791" t="s">
        <v>9</v>
      </c>
      <c r="B791" t="s">
        <v>899</v>
      </c>
      <c r="C791" t="s">
        <v>11</v>
      </c>
      <c r="D791" t="s">
        <v>900</v>
      </c>
      <c r="E791" t="s">
        <v>13</v>
      </c>
      <c r="F791">
        <v>952.68</v>
      </c>
      <c r="G791">
        <v>110.81</v>
      </c>
      <c r="H791">
        <v>1063.49</v>
      </c>
    </row>
    <row r="792" spans="1:8" x14ac:dyDescent="0.35">
      <c r="A792" t="s">
        <v>9</v>
      </c>
      <c r="B792" t="s">
        <v>901</v>
      </c>
      <c r="C792" t="s">
        <v>11</v>
      </c>
      <c r="D792" t="s">
        <v>900</v>
      </c>
      <c r="E792" t="s">
        <v>13</v>
      </c>
      <c r="F792">
        <v>859.52</v>
      </c>
      <c r="G792">
        <v>98.93</v>
      </c>
      <c r="H792">
        <v>958.45</v>
      </c>
    </row>
    <row r="793" spans="1:8" x14ac:dyDescent="0.35">
      <c r="A793" t="s">
        <v>9</v>
      </c>
      <c r="B793" t="s">
        <v>902</v>
      </c>
      <c r="C793" t="s">
        <v>11</v>
      </c>
      <c r="D793" t="s">
        <v>900</v>
      </c>
      <c r="E793" t="s">
        <v>13</v>
      </c>
      <c r="F793">
        <v>568.72</v>
      </c>
      <c r="G793">
        <v>63.12</v>
      </c>
      <c r="H793">
        <v>631.84</v>
      </c>
    </row>
    <row r="794" spans="1:8" x14ac:dyDescent="0.35">
      <c r="A794" t="s">
        <v>9</v>
      </c>
      <c r="B794" t="s">
        <v>903</v>
      </c>
      <c r="C794" t="s">
        <v>11</v>
      </c>
      <c r="D794" t="s">
        <v>900</v>
      </c>
      <c r="E794" t="s">
        <v>13</v>
      </c>
      <c r="F794">
        <v>443.51</v>
      </c>
      <c r="G794">
        <v>48.23</v>
      </c>
      <c r="H794">
        <v>491.74</v>
      </c>
    </row>
    <row r="795" spans="1:8" x14ac:dyDescent="0.35">
      <c r="A795" t="s">
        <v>9</v>
      </c>
      <c r="B795" t="s">
        <v>904</v>
      </c>
      <c r="C795" t="s">
        <v>11</v>
      </c>
      <c r="D795" t="s">
        <v>900</v>
      </c>
      <c r="E795" t="s">
        <v>13</v>
      </c>
      <c r="F795">
        <v>321.39999999999998</v>
      </c>
      <c r="G795">
        <v>48.21</v>
      </c>
      <c r="H795">
        <v>369.61</v>
      </c>
    </row>
    <row r="796" spans="1:8" x14ac:dyDescent="0.35">
      <c r="A796" t="s">
        <v>9</v>
      </c>
      <c r="B796" t="s">
        <v>905</v>
      </c>
      <c r="C796" t="s">
        <v>11</v>
      </c>
      <c r="D796" t="s">
        <v>900</v>
      </c>
      <c r="E796" t="s">
        <v>13</v>
      </c>
      <c r="F796">
        <v>285.81</v>
      </c>
      <c r="G796">
        <v>39.119999999999997</v>
      </c>
      <c r="H796">
        <v>324.93</v>
      </c>
    </row>
    <row r="797" spans="1:8" x14ac:dyDescent="0.35">
      <c r="A797" t="s">
        <v>9</v>
      </c>
      <c r="B797" t="s">
        <v>906</v>
      </c>
      <c r="C797" t="s">
        <v>11</v>
      </c>
      <c r="D797" t="s">
        <v>900</v>
      </c>
      <c r="E797" t="s">
        <v>13</v>
      </c>
      <c r="F797">
        <v>471.6</v>
      </c>
      <c r="G797">
        <v>66.239999999999995</v>
      </c>
      <c r="H797">
        <v>537.84</v>
      </c>
    </row>
    <row r="798" spans="1:8" x14ac:dyDescent="0.35">
      <c r="A798" t="s">
        <v>9</v>
      </c>
      <c r="B798" t="s">
        <v>907</v>
      </c>
      <c r="C798" t="s">
        <v>11</v>
      </c>
      <c r="D798" t="s">
        <v>908</v>
      </c>
      <c r="E798" t="s">
        <v>13</v>
      </c>
      <c r="F798">
        <v>196.02</v>
      </c>
      <c r="G798">
        <v>24.91</v>
      </c>
      <c r="H798">
        <v>220.93</v>
      </c>
    </row>
    <row r="799" spans="1:8" x14ac:dyDescent="0.35">
      <c r="A799" t="s">
        <v>9</v>
      </c>
      <c r="B799" t="s">
        <v>909</v>
      </c>
      <c r="C799" t="s">
        <v>11</v>
      </c>
      <c r="D799" t="s">
        <v>908</v>
      </c>
      <c r="E799" t="s">
        <v>13</v>
      </c>
      <c r="F799">
        <v>630.30999999999995</v>
      </c>
      <c r="G799">
        <v>91.55</v>
      </c>
      <c r="H799">
        <v>721.86</v>
      </c>
    </row>
    <row r="800" spans="1:8" x14ac:dyDescent="0.35">
      <c r="A800" t="s">
        <v>9</v>
      </c>
      <c r="B800" t="s">
        <v>910</v>
      </c>
      <c r="C800" t="s">
        <v>11</v>
      </c>
      <c r="D800" t="s">
        <v>908</v>
      </c>
      <c r="E800" t="s">
        <v>13</v>
      </c>
      <c r="F800">
        <v>220.81</v>
      </c>
      <c r="G800">
        <v>33.119999999999997</v>
      </c>
      <c r="H800">
        <v>253.93</v>
      </c>
    </row>
    <row r="801" spans="1:8" x14ac:dyDescent="0.35">
      <c r="A801" t="s">
        <v>9</v>
      </c>
      <c r="B801" t="s">
        <v>911</v>
      </c>
      <c r="C801" t="s">
        <v>11</v>
      </c>
      <c r="D801" t="s">
        <v>908</v>
      </c>
      <c r="E801" t="s">
        <v>13</v>
      </c>
      <c r="F801">
        <v>378.14</v>
      </c>
      <c r="G801">
        <v>40.229999999999997</v>
      </c>
      <c r="H801">
        <v>418.37</v>
      </c>
    </row>
    <row r="802" spans="1:8" x14ac:dyDescent="0.35">
      <c r="A802" t="s">
        <v>9</v>
      </c>
      <c r="B802" t="s">
        <v>912</v>
      </c>
      <c r="C802" t="s">
        <v>11</v>
      </c>
      <c r="D802" t="s">
        <v>908</v>
      </c>
      <c r="E802" t="s">
        <v>13</v>
      </c>
      <c r="F802">
        <v>1275.8</v>
      </c>
      <c r="G802">
        <v>123.89</v>
      </c>
      <c r="H802">
        <v>1399.69</v>
      </c>
    </row>
    <row r="803" spans="1:8" x14ac:dyDescent="0.35">
      <c r="A803" t="s">
        <v>9</v>
      </c>
      <c r="B803" t="s">
        <v>913</v>
      </c>
      <c r="C803" t="s">
        <v>11</v>
      </c>
      <c r="D803" t="s">
        <v>908</v>
      </c>
      <c r="E803" t="s">
        <v>13</v>
      </c>
      <c r="F803">
        <v>186.73</v>
      </c>
      <c r="G803">
        <v>18.71</v>
      </c>
      <c r="H803">
        <v>205.44</v>
      </c>
    </row>
    <row r="804" spans="1:8" x14ac:dyDescent="0.35">
      <c r="A804" t="s">
        <v>9</v>
      </c>
      <c r="B804" t="s">
        <v>914</v>
      </c>
      <c r="C804" t="s">
        <v>11</v>
      </c>
      <c r="D804" t="s">
        <v>908</v>
      </c>
      <c r="E804" t="s">
        <v>13</v>
      </c>
      <c r="F804">
        <v>327.63</v>
      </c>
      <c r="G804">
        <v>34.299999999999997</v>
      </c>
      <c r="H804">
        <v>361.93</v>
      </c>
    </row>
    <row r="805" spans="1:8" x14ac:dyDescent="0.35">
      <c r="A805" t="s">
        <v>9</v>
      </c>
      <c r="B805" t="s">
        <v>915</v>
      </c>
      <c r="C805" t="s">
        <v>11</v>
      </c>
      <c r="D805" t="s">
        <v>908</v>
      </c>
      <c r="E805" t="s">
        <v>13</v>
      </c>
      <c r="F805">
        <v>216.02</v>
      </c>
      <c r="G805">
        <v>30.9</v>
      </c>
      <c r="H805">
        <v>246.92</v>
      </c>
    </row>
    <row r="806" spans="1:8" x14ac:dyDescent="0.35">
      <c r="A806" t="s">
        <v>9</v>
      </c>
      <c r="B806" t="s">
        <v>916</v>
      </c>
      <c r="C806" t="s">
        <v>11</v>
      </c>
      <c r="D806" t="s">
        <v>908</v>
      </c>
      <c r="E806" t="s">
        <v>13</v>
      </c>
      <c r="F806">
        <v>216.33</v>
      </c>
      <c r="G806">
        <v>23.6</v>
      </c>
      <c r="H806">
        <v>239.93</v>
      </c>
    </row>
    <row r="807" spans="1:8" x14ac:dyDescent="0.35">
      <c r="A807" t="s">
        <v>9</v>
      </c>
      <c r="B807" t="s">
        <v>917</v>
      </c>
      <c r="C807" t="s">
        <v>11</v>
      </c>
      <c r="D807" t="s">
        <v>908</v>
      </c>
      <c r="E807" t="s">
        <v>13</v>
      </c>
      <c r="F807">
        <v>136.51</v>
      </c>
      <c r="G807">
        <v>18.98</v>
      </c>
      <c r="H807">
        <v>155.49</v>
      </c>
    </row>
    <row r="808" spans="1:8" x14ac:dyDescent="0.35">
      <c r="A808" t="s">
        <v>9</v>
      </c>
      <c r="B808" t="s">
        <v>918</v>
      </c>
      <c r="C808" t="s">
        <v>11</v>
      </c>
      <c r="D808" t="s">
        <v>908</v>
      </c>
      <c r="E808" t="s">
        <v>13</v>
      </c>
      <c r="F808">
        <v>131.72</v>
      </c>
      <c r="G808">
        <v>18.260000000000002</v>
      </c>
      <c r="H808">
        <v>149.97999999999999</v>
      </c>
    </row>
    <row r="809" spans="1:8" x14ac:dyDescent="0.35">
      <c r="A809" t="s">
        <v>9</v>
      </c>
      <c r="B809" t="s">
        <v>919</v>
      </c>
      <c r="C809" t="s">
        <v>11</v>
      </c>
      <c r="D809" t="s">
        <v>908</v>
      </c>
      <c r="E809" t="s">
        <v>13</v>
      </c>
      <c r="F809">
        <v>244.59</v>
      </c>
      <c r="G809">
        <v>20.34</v>
      </c>
      <c r="H809">
        <v>264.93</v>
      </c>
    </row>
    <row r="810" spans="1:8" x14ac:dyDescent="0.35">
      <c r="A810" t="s">
        <v>9</v>
      </c>
      <c r="B810" t="s">
        <v>920</v>
      </c>
      <c r="C810" t="s">
        <v>11</v>
      </c>
      <c r="D810" t="s">
        <v>908</v>
      </c>
      <c r="E810" t="s">
        <v>13</v>
      </c>
      <c r="F810">
        <v>509.09</v>
      </c>
      <c r="G810">
        <v>59.87</v>
      </c>
      <c r="H810">
        <v>568.96</v>
      </c>
    </row>
    <row r="811" spans="1:8" x14ac:dyDescent="0.35">
      <c r="A811" t="s">
        <v>9</v>
      </c>
      <c r="B811" t="s">
        <v>921</v>
      </c>
      <c r="C811" t="s">
        <v>11</v>
      </c>
      <c r="D811" t="s">
        <v>922</v>
      </c>
      <c r="E811" t="s">
        <v>13</v>
      </c>
      <c r="F811">
        <v>421.1</v>
      </c>
      <c r="G811">
        <v>61.66</v>
      </c>
      <c r="H811">
        <v>482.76</v>
      </c>
    </row>
    <row r="812" spans="1:8" x14ac:dyDescent="0.35">
      <c r="A812" t="s">
        <v>9</v>
      </c>
      <c r="B812" t="s">
        <v>923</v>
      </c>
      <c r="C812" t="s">
        <v>11</v>
      </c>
      <c r="D812" t="s">
        <v>922</v>
      </c>
      <c r="E812" t="s">
        <v>13</v>
      </c>
      <c r="F812">
        <v>610.57000000000005</v>
      </c>
      <c r="G812">
        <v>71.95</v>
      </c>
      <c r="H812">
        <v>682.52</v>
      </c>
    </row>
    <row r="813" spans="1:8" x14ac:dyDescent="0.35">
      <c r="A813" t="s">
        <v>9</v>
      </c>
      <c r="B813" t="s">
        <v>924</v>
      </c>
      <c r="C813" t="s">
        <v>11</v>
      </c>
      <c r="D813" t="s">
        <v>922</v>
      </c>
      <c r="E813" t="s">
        <v>13</v>
      </c>
      <c r="F813">
        <v>180.55</v>
      </c>
      <c r="G813">
        <v>18.39</v>
      </c>
      <c r="H813">
        <v>198.94</v>
      </c>
    </row>
    <row r="814" spans="1:8" x14ac:dyDescent="0.35">
      <c r="A814" t="s">
        <v>9</v>
      </c>
      <c r="B814" t="s">
        <v>925</v>
      </c>
      <c r="C814" t="s">
        <v>11</v>
      </c>
      <c r="D814" t="s">
        <v>922</v>
      </c>
      <c r="E814" t="s">
        <v>13</v>
      </c>
      <c r="F814">
        <v>197.55</v>
      </c>
      <c r="G814">
        <v>24.38</v>
      </c>
      <c r="H814">
        <v>221.93</v>
      </c>
    </row>
    <row r="815" spans="1:8" x14ac:dyDescent="0.35">
      <c r="A815" t="s">
        <v>9</v>
      </c>
      <c r="B815" t="s">
        <v>926</v>
      </c>
      <c r="C815" t="s">
        <v>11</v>
      </c>
      <c r="D815" t="s">
        <v>922</v>
      </c>
      <c r="E815" t="s">
        <v>13</v>
      </c>
      <c r="F815">
        <v>405.27</v>
      </c>
      <c r="G815">
        <v>57.79</v>
      </c>
      <c r="H815">
        <v>463.06</v>
      </c>
    </row>
    <row r="816" spans="1:8" x14ac:dyDescent="0.35">
      <c r="A816" t="s">
        <v>9</v>
      </c>
      <c r="B816" t="s">
        <v>927</v>
      </c>
      <c r="C816" t="s">
        <v>11</v>
      </c>
      <c r="D816" t="s">
        <v>922</v>
      </c>
      <c r="E816" t="s">
        <v>13</v>
      </c>
      <c r="F816">
        <v>215.58</v>
      </c>
      <c r="G816">
        <v>29.34</v>
      </c>
      <c r="H816">
        <v>244.92</v>
      </c>
    </row>
    <row r="817" spans="1:8" x14ac:dyDescent="0.35">
      <c r="A817" t="s">
        <v>9</v>
      </c>
      <c r="B817" t="s">
        <v>928</v>
      </c>
      <c r="C817" t="s">
        <v>11</v>
      </c>
      <c r="D817" t="s">
        <v>929</v>
      </c>
      <c r="E817" t="s">
        <v>13</v>
      </c>
      <c r="F817">
        <v>143.66</v>
      </c>
      <c r="G817">
        <v>7.3</v>
      </c>
      <c r="H817">
        <v>150.96</v>
      </c>
    </row>
    <row r="818" spans="1:8" x14ac:dyDescent="0.35">
      <c r="A818" t="s">
        <v>9</v>
      </c>
      <c r="B818" t="s">
        <v>930</v>
      </c>
      <c r="C818" t="s">
        <v>11</v>
      </c>
      <c r="D818" t="s">
        <v>929</v>
      </c>
      <c r="E818" t="s">
        <v>13</v>
      </c>
      <c r="F818">
        <v>288.10000000000002</v>
      </c>
      <c r="G818">
        <v>33.770000000000003</v>
      </c>
      <c r="H818">
        <v>321.87</v>
      </c>
    </row>
    <row r="819" spans="1:8" x14ac:dyDescent="0.35">
      <c r="A819" t="s">
        <v>9</v>
      </c>
      <c r="B819" t="s">
        <v>931</v>
      </c>
      <c r="C819" t="s">
        <v>11</v>
      </c>
      <c r="D819" t="s">
        <v>929</v>
      </c>
      <c r="E819" t="s">
        <v>13</v>
      </c>
      <c r="F819">
        <v>534.21</v>
      </c>
      <c r="G819">
        <v>36.65</v>
      </c>
      <c r="H819">
        <v>570.86</v>
      </c>
    </row>
    <row r="820" spans="1:8" x14ac:dyDescent="0.35">
      <c r="A820" t="s">
        <v>9</v>
      </c>
      <c r="B820" t="s">
        <v>932</v>
      </c>
      <c r="C820" t="s">
        <v>11</v>
      </c>
      <c r="D820" t="s">
        <v>929</v>
      </c>
      <c r="E820" t="s">
        <v>13</v>
      </c>
      <c r="F820">
        <v>297.85000000000002</v>
      </c>
      <c r="G820">
        <v>20.079999999999998</v>
      </c>
      <c r="H820">
        <v>317.93</v>
      </c>
    </row>
    <row r="821" spans="1:8" x14ac:dyDescent="0.35">
      <c r="A821" t="s">
        <v>9</v>
      </c>
      <c r="B821" t="s">
        <v>933</v>
      </c>
      <c r="C821" t="s">
        <v>11</v>
      </c>
      <c r="D821" t="s">
        <v>929</v>
      </c>
      <c r="E821" t="s">
        <v>13</v>
      </c>
      <c r="F821">
        <v>582.01</v>
      </c>
      <c r="G821">
        <v>52.81</v>
      </c>
      <c r="H821">
        <v>634.82000000000005</v>
      </c>
    </row>
    <row r="822" spans="1:8" x14ac:dyDescent="0.35">
      <c r="A822" t="s">
        <v>9</v>
      </c>
      <c r="B822" t="s">
        <v>934</v>
      </c>
      <c r="C822" t="s">
        <v>11</v>
      </c>
      <c r="D822" t="s">
        <v>929</v>
      </c>
      <c r="E822" t="s">
        <v>13</v>
      </c>
      <c r="F822">
        <v>194.54</v>
      </c>
      <c r="G822">
        <v>24.38</v>
      </c>
      <c r="H822">
        <v>218.92</v>
      </c>
    </row>
    <row r="823" spans="1:8" x14ac:dyDescent="0.35">
      <c r="A823" t="s">
        <v>9</v>
      </c>
      <c r="B823" t="s">
        <v>935</v>
      </c>
      <c r="C823" t="s">
        <v>11</v>
      </c>
      <c r="D823" t="s">
        <v>936</v>
      </c>
      <c r="E823" t="s">
        <v>13</v>
      </c>
      <c r="F823">
        <v>247.79</v>
      </c>
      <c r="G823">
        <v>37.17</v>
      </c>
      <c r="H823">
        <v>284.95999999999998</v>
      </c>
    </row>
    <row r="824" spans="1:8" x14ac:dyDescent="0.35">
      <c r="A824" t="s">
        <v>9</v>
      </c>
      <c r="B824" t="s">
        <v>937</v>
      </c>
      <c r="C824" t="s">
        <v>11</v>
      </c>
      <c r="D824" t="s">
        <v>936</v>
      </c>
      <c r="E824" t="s">
        <v>13</v>
      </c>
      <c r="F824">
        <v>402.47</v>
      </c>
      <c r="G824">
        <v>49.42</v>
      </c>
      <c r="H824">
        <v>451.89</v>
      </c>
    </row>
    <row r="825" spans="1:8" x14ac:dyDescent="0.35">
      <c r="A825" t="s">
        <v>9</v>
      </c>
      <c r="B825" t="s">
        <v>938</v>
      </c>
      <c r="C825" t="s">
        <v>11</v>
      </c>
      <c r="D825" t="s">
        <v>936</v>
      </c>
      <c r="E825" t="s">
        <v>13</v>
      </c>
      <c r="F825">
        <v>139.36000000000001</v>
      </c>
      <c r="G825">
        <v>14.6</v>
      </c>
      <c r="H825">
        <v>153.96</v>
      </c>
    </row>
    <row r="826" spans="1:8" x14ac:dyDescent="0.35">
      <c r="A826" t="s">
        <v>9</v>
      </c>
      <c r="B826" t="s">
        <v>939</v>
      </c>
      <c r="C826" t="s">
        <v>11</v>
      </c>
      <c r="D826" t="s">
        <v>940</v>
      </c>
      <c r="E826" t="s">
        <v>13</v>
      </c>
      <c r="F826">
        <v>456.45</v>
      </c>
      <c r="G826">
        <v>50.34</v>
      </c>
      <c r="H826">
        <v>506.79</v>
      </c>
    </row>
    <row r="827" spans="1:8" x14ac:dyDescent="0.35">
      <c r="A827" t="s">
        <v>9</v>
      </c>
      <c r="B827" t="s">
        <v>941</v>
      </c>
      <c r="C827" t="s">
        <v>11</v>
      </c>
      <c r="D827" t="s">
        <v>940</v>
      </c>
      <c r="E827" t="s">
        <v>13</v>
      </c>
      <c r="F827">
        <v>189.29</v>
      </c>
      <c r="G827">
        <v>24.64</v>
      </c>
      <c r="H827">
        <v>213.93</v>
      </c>
    </row>
    <row r="828" spans="1:8" x14ac:dyDescent="0.35">
      <c r="A828" t="s">
        <v>9</v>
      </c>
      <c r="B828" t="s">
        <v>942</v>
      </c>
      <c r="C828" t="s">
        <v>11</v>
      </c>
      <c r="D828" t="s">
        <v>940</v>
      </c>
      <c r="E828" t="s">
        <v>13</v>
      </c>
      <c r="F828">
        <v>203.21</v>
      </c>
      <c r="G828">
        <v>25.68</v>
      </c>
      <c r="H828">
        <v>228.89</v>
      </c>
    </row>
    <row r="829" spans="1:8" x14ac:dyDescent="0.35">
      <c r="A829" t="s">
        <v>9</v>
      </c>
      <c r="B829" t="s">
        <v>943</v>
      </c>
      <c r="C829" t="s">
        <v>11</v>
      </c>
      <c r="D829" t="s">
        <v>944</v>
      </c>
      <c r="E829" t="s">
        <v>13</v>
      </c>
      <c r="F829">
        <v>395.62</v>
      </c>
      <c r="G829">
        <v>59.34</v>
      </c>
      <c r="H829">
        <v>454.96</v>
      </c>
    </row>
    <row r="830" spans="1:8" x14ac:dyDescent="0.35">
      <c r="A830" t="s">
        <v>9</v>
      </c>
      <c r="B830" t="s">
        <v>945</v>
      </c>
      <c r="C830" t="s">
        <v>11</v>
      </c>
      <c r="D830" t="s">
        <v>944</v>
      </c>
      <c r="E830" t="s">
        <v>13</v>
      </c>
      <c r="F830">
        <v>170.29</v>
      </c>
      <c r="G830">
        <v>6.65</v>
      </c>
      <c r="H830">
        <v>176.94</v>
      </c>
    </row>
    <row r="831" spans="1:8" x14ac:dyDescent="0.35">
      <c r="A831" t="s">
        <v>9</v>
      </c>
      <c r="B831" t="s">
        <v>946</v>
      </c>
      <c r="C831" t="s">
        <v>11</v>
      </c>
      <c r="D831" t="s">
        <v>944</v>
      </c>
      <c r="E831" t="s">
        <v>13</v>
      </c>
      <c r="F831">
        <v>949.13</v>
      </c>
      <c r="G831">
        <v>111.63</v>
      </c>
      <c r="H831">
        <v>1060.76</v>
      </c>
    </row>
    <row r="832" spans="1:8" x14ac:dyDescent="0.35">
      <c r="A832" t="s">
        <v>9</v>
      </c>
      <c r="B832" t="s">
        <v>947</v>
      </c>
      <c r="C832" t="s">
        <v>11</v>
      </c>
      <c r="D832" t="s">
        <v>948</v>
      </c>
      <c r="E832" t="s">
        <v>13</v>
      </c>
      <c r="F832">
        <v>134.61000000000001</v>
      </c>
      <c r="G832">
        <v>14.34</v>
      </c>
      <c r="H832">
        <v>148.94999999999999</v>
      </c>
    </row>
    <row r="833" spans="1:8" x14ac:dyDescent="0.35">
      <c r="A833" t="s">
        <v>9</v>
      </c>
      <c r="B833" t="s">
        <v>949</v>
      </c>
      <c r="C833" t="s">
        <v>11</v>
      </c>
      <c r="D833" t="s">
        <v>948</v>
      </c>
      <c r="E833" t="s">
        <v>13</v>
      </c>
      <c r="F833">
        <v>348.56</v>
      </c>
      <c r="G833">
        <v>43.29</v>
      </c>
      <c r="H833">
        <v>391.85</v>
      </c>
    </row>
    <row r="834" spans="1:8" x14ac:dyDescent="0.35">
      <c r="A834" t="s">
        <v>9</v>
      </c>
      <c r="B834" t="s">
        <v>950</v>
      </c>
      <c r="C834" t="s">
        <v>11</v>
      </c>
      <c r="D834" t="s">
        <v>948</v>
      </c>
      <c r="E834" t="s">
        <v>13</v>
      </c>
      <c r="F834">
        <v>213.88</v>
      </c>
      <c r="G834">
        <v>29.08</v>
      </c>
      <c r="H834">
        <v>242.96</v>
      </c>
    </row>
    <row r="835" spans="1:8" x14ac:dyDescent="0.35">
      <c r="A835" t="s">
        <v>9</v>
      </c>
      <c r="B835" t="s">
        <v>951</v>
      </c>
      <c r="C835" t="s">
        <v>11</v>
      </c>
      <c r="D835" t="s">
        <v>948</v>
      </c>
      <c r="E835" t="s">
        <v>13</v>
      </c>
      <c r="F835">
        <v>193.44</v>
      </c>
      <c r="G835">
        <v>20.47</v>
      </c>
      <c r="H835">
        <v>213.91</v>
      </c>
    </row>
    <row r="836" spans="1:8" x14ac:dyDescent="0.35">
      <c r="A836" t="s">
        <v>9</v>
      </c>
      <c r="B836" t="s">
        <v>952</v>
      </c>
      <c r="C836" t="s">
        <v>11</v>
      </c>
      <c r="D836" t="s">
        <v>948</v>
      </c>
      <c r="E836" t="s">
        <v>13</v>
      </c>
      <c r="F836">
        <v>470.83</v>
      </c>
      <c r="G836">
        <v>69.12</v>
      </c>
      <c r="H836">
        <v>539.95000000000005</v>
      </c>
    </row>
    <row r="837" spans="1:8" x14ac:dyDescent="0.35">
      <c r="A837" t="s">
        <v>9</v>
      </c>
      <c r="B837" t="s">
        <v>953</v>
      </c>
      <c r="C837" t="s">
        <v>11</v>
      </c>
      <c r="D837" t="s">
        <v>948</v>
      </c>
      <c r="E837" t="s">
        <v>13</v>
      </c>
      <c r="F837">
        <v>270.60000000000002</v>
      </c>
      <c r="G837">
        <v>32.340000000000003</v>
      </c>
      <c r="H837">
        <v>302.94</v>
      </c>
    </row>
    <row r="838" spans="1:8" x14ac:dyDescent="0.35">
      <c r="A838" t="s">
        <v>9</v>
      </c>
      <c r="B838" t="s">
        <v>954</v>
      </c>
      <c r="C838" t="s">
        <v>11</v>
      </c>
      <c r="D838" t="s">
        <v>948</v>
      </c>
      <c r="E838" t="s">
        <v>13</v>
      </c>
      <c r="F838">
        <v>274.73</v>
      </c>
      <c r="G838">
        <v>25.16</v>
      </c>
      <c r="H838">
        <v>299.89</v>
      </c>
    </row>
    <row r="839" spans="1:8" x14ac:dyDescent="0.35">
      <c r="A839" t="s">
        <v>9</v>
      </c>
      <c r="B839" t="s">
        <v>955</v>
      </c>
      <c r="C839" t="s">
        <v>11</v>
      </c>
      <c r="D839" t="s">
        <v>948</v>
      </c>
      <c r="E839" t="s">
        <v>13</v>
      </c>
      <c r="F839">
        <v>491.7</v>
      </c>
      <c r="G839">
        <v>54.26</v>
      </c>
      <c r="H839">
        <v>545.96</v>
      </c>
    </row>
    <row r="840" spans="1:8" x14ac:dyDescent="0.35">
      <c r="A840" t="s">
        <v>9</v>
      </c>
      <c r="B840" t="s">
        <v>956</v>
      </c>
      <c r="C840" t="s">
        <v>11</v>
      </c>
      <c r="D840" t="s">
        <v>948</v>
      </c>
      <c r="E840" t="s">
        <v>13</v>
      </c>
      <c r="F840">
        <v>306.07</v>
      </c>
      <c r="G840">
        <v>42.91</v>
      </c>
      <c r="H840">
        <v>348.98</v>
      </c>
    </row>
    <row r="841" spans="1:8" x14ac:dyDescent="0.35">
      <c r="A841" t="s">
        <v>9</v>
      </c>
      <c r="B841" t="s">
        <v>957</v>
      </c>
      <c r="C841" t="s">
        <v>11</v>
      </c>
      <c r="D841" t="s">
        <v>958</v>
      </c>
      <c r="E841" t="s">
        <v>13</v>
      </c>
      <c r="F841">
        <v>161.69999999999999</v>
      </c>
      <c r="G841">
        <v>24.25</v>
      </c>
      <c r="H841">
        <v>185.95</v>
      </c>
    </row>
    <row r="842" spans="1:8" x14ac:dyDescent="0.35">
      <c r="A842" t="s">
        <v>9</v>
      </c>
      <c r="B842" t="s">
        <v>959</v>
      </c>
      <c r="C842" t="s">
        <v>11</v>
      </c>
      <c r="D842" t="s">
        <v>958</v>
      </c>
      <c r="E842" t="s">
        <v>13</v>
      </c>
      <c r="F842">
        <v>133.1</v>
      </c>
      <c r="G842">
        <v>19.96</v>
      </c>
      <c r="H842">
        <v>153.06</v>
      </c>
    </row>
    <row r="843" spans="1:8" x14ac:dyDescent="0.35">
      <c r="A843" t="s">
        <v>9</v>
      </c>
      <c r="B843" t="s">
        <v>960</v>
      </c>
      <c r="C843" t="s">
        <v>11</v>
      </c>
      <c r="D843" t="s">
        <v>958</v>
      </c>
      <c r="E843" t="s">
        <v>13</v>
      </c>
      <c r="F843">
        <v>271.86</v>
      </c>
      <c r="G843">
        <v>35.979999999999997</v>
      </c>
      <c r="H843">
        <v>307.83999999999997</v>
      </c>
    </row>
    <row r="844" spans="1:8" x14ac:dyDescent="0.35">
      <c r="A844" t="s">
        <v>9</v>
      </c>
      <c r="B844" t="s">
        <v>961</v>
      </c>
      <c r="C844" t="s">
        <v>11</v>
      </c>
      <c r="D844" t="s">
        <v>958</v>
      </c>
      <c r="E844" t="s">
        <v>13</v>
      </c>
      <c r="F844">
        <v>726.75</v>
      </c>
      <c r="G844">
        <v>65.08</v>
      </c>
      <c r="H844">
        <v>791.83</v>
      </c>
    </row>
    <row r="845" spans="1:8" x14ac:dyDescent="0.35">
      <c r="A845" t="s">
        <v>9</v>
      </c>
      <c r="B845" t="s">
        <v>962</v>
      </c>
      <c r="C845" t="s">
        <v>11</v>
      </c>
      <c r="D845" t="s">
        <v>958</v>
      </c>
      <c r="E845" t="s">
        <v>13</v>
      </c>
      <c r="F845">
        <v>133.71</v>
      </c>
      <c r="G845">
        <v>17.21</v>
      </c>
      <c r="H845">
        <v>150.91999999999999</v>
      </c>
    </row>
    <row r="846" spans="1:8" x14ac:dyDescent="0.35">
      <c r="A846" t="s">
        <v>9</v>
      </c>
      <c r="B846" t="s">
        <v>963</v>
      </c>
      <c r="C846" t="s">
        <v>11</v>
      </c>
      <c r="D846" t="s">
        <v>958</v>
      </c>
      <c r="E846" t="s">
        <v>13</v>
      </c>
      <c r="F846">
        <v>348.12</v>
      </c>
      <c r="G846">
        <v>41.72</v>
      </c>
      <c r="H846">
        <v>389.84</v>
      </c>
    </row>
    <row r="847" spans="1:8" x14ac:dyDescent="0.35">
      <c r="A847" t="s">
        <v>9</v>
      </c>
      <c r="B847" t="s">
        <v>964</v>
      </c>
      <c r="C847" t="s">
        <v>11</v>
      </c>
      <c r="D847" t="s">
        <v>958</v>
      </c>
      <c r="E847" t="s">
        <v>13</v>
      </c>
      <c r="F847">
        <v>399.62</v>
      </c>
      <c r="G847">
        <v>51.25</v>
      </c>
      <c r="H847">
        <v>450.87</v>
      </c>
    </row>
    <row r="848" spans="1:8" x14ac:dyDescent="0.35">
      <c r="A848" t="s">
        <v>9</v>
      </c>
      <c r="B848" t="s">
        <v>965</v>
      </c>
      <c r="C848" t="s">
        <v>11</v>
      </c>
      <c r="D848" t="s">
        <v>958</v>
      </c>
      <c r="E848" t="s">
        <v>13</v>
      </c>
      <c r="F848">
        <v>137.79</v>
      </c>
      <c r="G848">
        <v>19.170000000000002</v>
      </c>
      <c r="H848">
        <v>156.96</v>
      </c>
    </row>
    <row r="849" spans="1:8" x14ac:dyDescent="0.35">
      <c r="A849" t="s">
        <v>9</v>
      </c>
      <c r="B849" t="s">
        <v>966</v>
      </c>
      <c r="C849" t="s">
        <v>11</v>
      </c>
      <c r="D849" t="s">
        <v>958</v>
      </c>
      <c r="E849" t="s">
        <v>13</v>
      </c>
      <c r="F849">
        <v>179.78</v>
      </c>
      <c r="G849">
        <v>13.17</v>
      </c>
      <c r="H849">
        <v>192.95</v>
      </c>
    </row>
    <row r="850" spans="1:8" x14ac:dyDescent="0.35">
      <c r="A850" t="s">
        <v>9</v>
      </c>
      <c r="B850" t="s">
        <v>967</v>
      </c>
      <c r="C850" t="s">
        <v>11</v>
      </c>
      <c r="D850" t="s">
        <v>958</v>
      </c>
      <c r="E850" t="s">
        <v>13</v>
      </c>
      <c r="F850">
        <v>146.22999999999999</v>
      </c>
      <c r="G850">
        <v>14.73</v>
      </c>
      <c r="H850">
        <v>160.96</v>
      </c>
    </row>
    <row r="851" spans="1:8" x14ac:dyDescent="0.35">
      <c r="A851" t="s">
        <v>9</v>
      </c>
      <c r="B851" t="s">
        <v>968</v>
      </c>
      <c r="C851" t="s">
        <v>11</v>
      </c>
      <c r="D851" t="s">
        <v>958</v>
      </c>
      <c r="E851" t="s">
        <v>13</v>
      </c>
      <c r="F851">
        <v>619.03</v>
      </c>
      <c r="G851">
        <v>56.86</v>
      </c>
      <c r="H851">
        <v>675.89</v>
      </c>
    </row>
    <row r="852" spans="1:8" x14ac:dyDescent="0.35">
      <c r="A852" t="s">
        <v>9</v>
      </c>
      <c r="B852" t="s">
        <v>969</v>
      </c>
      <c r="C852" t="s">
        <v>11</v>
      </c>
      <c r="D852" t="s">
        <v>970</v>
      </c>
      <c r="E852" t="s">
        <v>13</v>
      </c>
      <c r="F852">
        <v>915.29</v>
      </c>
      <c r="G852">
        <v>115.1</v>
      </c>
      <c r="H852">
        <v>1030.3900000000001</v>
      </c>
    </row>
    <row r="853" spans="1:8" x14ac:dyDescent="0.35">
      <c r="A853" t="s">
        <v>9</v>
      </c>
      <c r="B853" t="s">
        <v>971</v>
      </c>
      <c r="C853" t="s">
        <v>11</v>
      </c>
      <c r="D853" t="s">
        <v>970</v>
      </c>
      <c r="E853" t="s">
        <v>13</v>
      </c>
      <c r="F853">
        <v>623.58000000000004</v>
      </c>
      <c r="G853">
        <v>82.29</v>
      </c>
      <c r="H853">
        <v>705.87</v>
      </c>
    </row>
    <row r="854" spans="1:8" x14ac:dyDescent="0.35">
      <c r="A854" t="s">
        <v>9</v>
      </c>
      <c r="B854" t="s">
        <v>972</v>
      </c>
      <c r="C854" t="s">
        <v>11</v>
      </c>
      <c r="D854" t="s">
        <v>970</v>
      </c>
      <c r="E854" t="s">
        <v>13</v>
      </c>
      <c r="F854">
        <v>226.93</v>
      </c>
      <c r="G854">
        <v>34.04</v>
      </c>
      <c r="H854">
        <v>260.97000000000003</v>
      </c>
    </row>
    <row r="855" spans="1:8" x14ac:dyDescent="0.35">
      <c r="A855" t="s">
        <v>9</v>
      </c>
      <c r="B855" t="s">
        <v>973</v>
      </c>
      <c r="C855" t="s">
        <v>11</v>
      </c>
      <c r="D855" t="s">
        <v>970</v>
      </c>
      <c r="E855" t="s">
        <v>13</v>
      </c>
      <c r="F855">
        <v>547.53</v>
      </c>
      <c r="G855">
        <v>64.73</v>
      </c>
      <c r="H855">
        <v>612.26</v>
      </c>
    </row>
    <row r="856" spans="1:8" x14ac:dyDescent="0.35">
      <c r="A856" t="s">
        <v>9</v>
      </c>
      <c r="B856" t="s">
        <v>974</v>
      </c>
      <c r="C856" t="s">
        <v>11</v>
      </c>
      <c r="D856" t="s">
        <v>970</v>
      </c>
      <c r="E856" t="s">
        <v>13</v>
      </c>
      <c r="F856">
        <v>144.75</v>
      </c>
      <c r="G856">
        <v>20.21</v>
      </c>
      <c r="H856">
        <v>164.96</v>
      </c>
    </row>
    <row r="857" spans="1:8" x14ac:dyDescent="0.35">
      <c r="A857" t="s">
        <v>9</v>
      </c>
      <c r="B857" t="s">
        <v>975</v>
      </c>
      <c r="C857" t="s">
        <v>11</v>
      </c>
      <c r="D857" t="s">
        <v>970</v>
      </c>
      <c r="E857" t="s">
        <v>13</v>
      </c>
      <c r="F857">
        <v>366.48</v>
      </c>
      <c r="G857">
        <v>39.380000000000003</v>
      </c>
      <c r="H857">
        <v>405.86</v>
      </c>
    </row>
    <row r="858" spans="1:8" x14ac:dyDescent="0.35">
      <c r="A858" t="s">
        <v>9</v>
      </c>
      <c r="B858" t="s">
        <v>976</v>
      </c>
      <c r="C858" t="s">
        <v>11</v>
      </c>
      <c r="D858" t="s">
        <v>970</v>
      </c>
      <c r="E858" t="s">
        <v>13</v>
      </c>
      <c r="F858">
        <v>405.17</v>
      </c>
      <c r="G858">
        <v>35.729999999999997</v>
      </c>
      <c r="H858">
        <v>440.9</v>
      </c>
    </row>
    <row r="859" spans="1:8" x14ac:dyDescent="0.35">
      <c r="A859" t="s">
        <v>9</v>
      </c>
      <c r="B859" t="s">
        <v>977</v>
      </c>
      <c r="C859" t="s">
        <v>11</v>
      </c>
      <c r="D859" t="s">
        <v>970</v>
      </c>
      <c r="E859" t="s">
        <v>13</v>
      </c>
      <c r="F859">
        <v>292.75</v>
      </c>
      <c r="G859">
        <v>35.21</v>
      </c>
      <c r="H859">
        <v>327.96</v>
      </c>
    </row>
    <row r="860" spans="1:8" x14ac:dyDescent="0.35">
      <c r="A860" t="s">
        <v>9</v>
      </c>
      <c r="B860" t="s">
        <v>978</v>
      </c>
      <c r="C860" t="s">
        <v>11</v>
      </c>
      <c r="D860" t="s">
        <v>970</v>
      </c>
      <c r="E860" t="s">
        <v>13</v>
      </c>
      <c r="F860">
        <v>513.53</v>
      </c>
      <c r="G860">
        <v>61.29</v>
      </c>
      <c r="H860">
        <v>574.82000000000005</v>
      </c>
    </row>
    <row r="861" spans="1:8" x14ac:dyDescent="0.35">
      <c r="A861" t="s">
        <v>9</v>
      </c>
      <c r="B861" t="s">
        <v>979</v>
      </c>
      <c r="C861" t="s">
        <v>11</v>
      </c>
      <c r="D861" t="s">
        <v>970</v>
      </c>
      <c r="E861" t="s">
        <v>13</v>
      </c>
      <c r="F861">
        <v>213.7</v>
      </c>
      <c r="G861">
        <v>23.21</v>
      </c>
      <c r="H861">
        <v>236.91</v>
      </c>
    </row>
    <row r="862" spans="1:8" x14ac:dyDescent="0.35">
      <c r="A862" t="s">
        <v>9</v>
      </c>
      <c r="B862" t="s">
        <v>980</v>
      </c>
      <c r="C862" t="s">
        <v>11</v>
      </c>
      <c r="D862" t="s">
        <v>970</v>
      </c>
      <c r="E862" t="s">
        <v>13</v>
      </c>
      <c r="F862">
        <v>180.44</v>
      </c>
      <c r="G862">
        <v>24.52</v>
      </c>
      <c r="H862">
        <v>204.96</v>
      </c>
    </row>
    <row r="863" spans="1:8" x14ac:dyDescent="0.35">
      <c r="A863" t="s">
        <v>9</v>
      </c>
      <c r="B863" t="s">
        <v>981</v>
      </c>
      <c r="C863" t="s">
        <v>11</v>
      </c>
      <c r="D863" t="s">
        <v>970</v>
      </c>
      <c r="E863" t="s">
        <v>13</v>
      </c>
      <c r="F863">
        <v>346.67</v>
      </c>
      <c r="G863">
        <v>36.909999999999997</v>
      </c>
      <c r="H863">
        <v>383.58</v>
      </c>
    </row>
    <row r="864" spans="1:8" x14ac:dyDescent="0.35">
      <c r="A864" t="s">
        <v>9</v>
      </c>
      <c r="B864" t="s">
        <v>982</v>
      </c>
      <c r="C864" t="s">
        <v>11</v>
      </c>
      <c r="D864" t="s">
        <v>970</v>
      </c>
      <c r="E864" t="s">
        <v>13</v>
      </c>
      <c r="F864">
        <v>294.54000000000002</v>
      </c>
      <c r="G864">
        <v>39.380000000000003</v>
      </c>
      <c r="H864">
        <v>333.92</v>
      </c>
    </row>
    <row r="865" spans="1:8" x14ac:dyDescent="0.35">
      <c r="A865" t="s">
        <v>9</v>
      </c>
      <c r="B865" t="s">
        <v>983</v>
      </c>
      <c r="C865" t="s">
        <v>11</v>
      </c>
      <c r="D865" t="s">
        <v>970</v>
      </c>
      <c r="E865" t="s">
        <v>13</v>
      </c>
      <c r="F865">
        <v>350.5</v>
      </c>
      <c r="G865">
        <v>39.380000000000003</v>
      </c>
      <c r="H865">
        <v>389.88</v>
      </c>
    </row>
    <row r="866" spans="1:8" x14ac:dyDescent="0.35">
      <c r="A866" t="s">
        <v>9</v>
      </c>
      <c r="B866" t="s">
        <v>984</v>
      </c>
      <c r="C866" t="s">
        <v>11</v>
      </c>
      <c r="D866" t="s">
        <v>970</v>
      </c>
      <c r="E866" t="s">
        <v>13</v>
      </c>
      <c r="F866">
        <v>400.17</v>
      </c>
      <c r="G866">
        <v>46.08</v>
      </c>
      <c r="H866">
        <v>446.25</v>
      </c>
    </row>
    <row r="867" spans="1:8" x14ac:dyDescent="0.35">
      <c r="A867" t="s">
        <v>9</v>
      </c>
      <c r="B867" t="s">
        <v>985</v>
      </c>
      <c r="C867" t="s">
        <v>11</v>
      </c>
      <c r="D867" t="s">
        <v>970</v>
      </c>
      <c r="E867" t="s">
        <v>13</v>
      </c>
      <c r="F867">
        <v>176.91</v>
      </c>
      <c r="G867">
        <v>19.04</v>
      </c>
      <c r="H867">
        <v>195.95</v>
      </c>
    </row>
    <row r="868" spans="1:8" x14ac:dyDescent="0.35">
      <c r="A868" t="s">
        <v>9</v>
      </c>
      <c r="B868" t="s">
        <v>986</v>
      </c>
      <c r="C868" t="s">
        <v>11</v>
      </c>
      <c r="D868" t="s">
        <v>970</v>
      </c>
      <c r="E868" t="s">
        <v>13</v>
      </c>
      <c r="F868">
        <v>157.53</v>
      </c>
      <c r="G868">
        <v>10.43</v>
      </c>
      <c r="H868">
        <v>167.96</v>
      </c>
    </row>
    <row r="869" spans="1:8" x14ac:dyDescent="0.35">
      <c r="A869" t="s">
        <v>9</v>
      </c>
      <c r="B869" t="s">
        <v>987</v>
      </c>
      <c r="C869" t="s">
        <v>11</v>
      </c>
      <c r="D869" t="s">
        <v>988</v>
      </c>
      <c r="E869" t="s">
        <v>13</v>
      </c>
      <c r="F869">
        <v>183.01</v>
      </c>
      <c r="G869">
        <v>20.25</v>
      </c>
      <c r="H869">
        <v>203.26</v>
      </c>
    </row>
    <row r="870" spans="1:8" x14ac:dyDescent="0.35">
      <c r="A870" t="s">
        <v>9</v>
      </c>
      <c r="B870" t="s">
        <v>989</v>
      </c>
      <c r="C870" t="s">
        <v>11</v>
      </c>
      <c r="D870" t="s">
        <v>988</v>
      </c>
      <c r="E870" t="s">
        <v>13</v>
      </c>
      <c r="F870">
        <v>278.07</v>
      </c>
      <c r="G870">
        <v>35.86</v>
      </c>
      <c r="H870">
        <v>313.93</v>
      </c>
    </row>
    <row r="871" spans="1:8" x14ac:dyDescent="0.35">
      <c r="A871" t="s">
        <v>9</v>
      </c>
      <c r="B871" t="s">
        <v>990</v>
      </c>
      <c r="C871" t="s">
        <v>11</v>
      </c>
      <c r="D871" t="s">
        <v>988</v>
      </c>
      <c r="E871" t="s">
        <v>13</v>
      </c>
      <c r="F871">
        <v>1095.33</v>
      </c>
      <c r="G871">
        <v>146.30000000000001</v>
      </c>
      <c r="H871">
        <v>1241.6300000000001</v>
      </c>
    </row>
    <row r="872" spans="1:8" x14ac:dyDescent="0.35">
      <c r="A872" t="s">
        <v>9</v>
      </c>
      <c r="B872" t="s">
        <v>991</v>
      </c>
      <c r="C872" t="s">
        <v>11</v>
      </c>
      <c r="D872" t="s">
        <v>988</v>
      </c>
      <c r="E872" t="s">
        <v>13</v>
      </c>
      <c r="F872">
        <v>147.61000000000001</v>
      </c>
      <c r="G872">
        <v>14.35</v>
      </c>
      <c r="H872">
        <v>161.96</v>
      </c>
    </row>
    <row r="873" spans="1:8" x14ac:dyDescent="0.35">
      <c r="A873" t="s">
        <v>9</v>
      </c>
      <c r="B873" t="s">
        <v>992</v>
      </c>
      <c r="C873" t="s">
        <v>11</v>
      </c>
      <c r="D873" t="s">
        <v>988</v>
      </c>
      <c r="E873" t="s">
        <v>13</v>
      </c>
      <c r="F873">
        <v>386.82</v>
      </c>
      <c r="G873">
        <v>41.53</v>
      </c>
      <c r="H873">
        <v>428.35</v>
      </c>
    </row>
    <row r="874" spans="1:8" x14ac:dyDescent="0.35">
      <c r="A874" t="s">
        <v>9</v>
      </c>
      <c r="B874" t="s">
        <v>993</v>
      </c>
      <c r="C874" t="s">
        <v>11</v>
      </c>
      <c r="D874" t="s">
        <v>988</v>
      </c>
      <c r="E874" t="s">
        <v>13</v>
      </c>
      <c r="F874">
        <v>115.89</v>
      </c>
      <c r="G874">
        <v>11.09</v>
      </c>
      <c r="H874">
        <v>126.98</v>
      </c>
    </row>
    <row r="875" spans="1:8" x14ac:dyDescent="0.35">
      <c r="A875" t="s">
        <v>9</v>
      </c>
      <c r="B875" t="s">
        <v>994</v>
      </c>
      <c r="C875" t="s">
        <v>11</v>
      </c>
      <c r="D875" t="s">
        <v>988</v>
      </c>
      <c r="E875" t="s">
        <v>13</v>
      </c>
      <c r="F875">
        <v>299.08999999999997</v>
      </c>
      <c r="G875">
        <v>26.86</v>
      </c>
      <c r="H875">
        <v>325.95</v>
      </c>
    </row>
    <row r="876" spans="1:8" x14ac:dyDescent="0.35">
      <c r="A876" t="s">
        <v>9</v>
      </c>
      <c r="B876" t="s">
        <v>995</v>
      </c>
      <c r="C876" t="s">
        <v>11</v>
      </c>
      <c r="D876" t="s">
        <v>996</v>
      </c>
      <c r="E876" t="s">
        <v>13</v>
      </c>
      <c r="F876">
        <v>366.9</v>
      </c>
      <c r="G876">
        <v>31.04</v>
      </c>
      <c r="H876">
        <v>397.94</v>
      </c>
    </row>
    <row r="877" spans="1:8" x14ac:dyDescent="0.35">
      <c r="A877" t="s">
        <v>9</v>
      </c>
      <c r="B877" t="s">
        <v>997</v>
      </c>
      <c r="C877" t="s">
        <v>11</v>
      </c>
      <c r="D877" t="s">
        <v>996</v>
      </c>
      <c r="E877" t="s">
        <v>13</v>
      </c>
      <c r="F877">
        <v>139.16999999999999</v>
      </c>
      <c r="G877">
        <v>12.78</v>
      </c>
      <c r="H877">
        <v>151.94999999999999</v>
      </c>
    </row>
    <row r="878" spans="1:8" x14ac:dyDescent="0.35">
      <c r="A878" t="s">
        <v>9</v>
      </c>
      <c r="B878" t="s">
        <v>998</v>
      </c>
      <c r="C878" t="s">
        <v>11</v>
      </c>
      <c r="D878" t="s">
        <v>996</v>
      </c>
      <c r="E878" t="s">
        <v>13</v>
      </c>
      <c r="F878">
        <v>693.83</v>
      </c>
      <c r="G878">
        <v>104.08</v>
      </c>
      <c r="H878">
        <v>797.91</v>
      </c>
    </row>
    <row r="879" spans="1:8" x14ac:dyDescent="0.35">
      <c r="A879" t="s">
        <v>9</v>
      </c>
      <c r="B879" t="s">
        <v>999</v>
      </c>
      <c r="C879" t="s">
        <v>11</v>
      </c>
      <c r="D879" t="s">
        <v>996</v>
      </c>
      <c r="E879" t="s">
        <v>13</v>
      </c>
      <c r="F879">
        <v>539.97</v>
      </c>
      <c r="G879">
        <v>49.95</v>
      </c>
      <c r="H879">
        <v>589.91999999999996</v>
      </c>
    </row>
    <row r="880" spans="1:8" x14ac:dyDescent="0.35">
      <c r="A880" t="s">
        <v>9</v>
      </c>
      <c r="B880" t="s">
        <v>1000</v>
      </c>
      <c r="C880" t="s">
        <v>11</v>
      </c>
      <c r="D880" t="s">
        <v>996</v>
      </c>
      <c r="E880" t="s">
        <v>13</v>
      </c>
      <c r="F880">
        <v>622.1</v>
      </c>
      <c r="G880">
        <v>72.77</v>
      </c>
      <c r="H880">
        <v>694.87</v>
      </c>
    </row>
    <row r="881" spans="1:8" x14ac:dyDescent="0.35">
      <c r="A881" t="s">
        <v>9</v>
      </c>
      <c r="B881" t="s">
        <v>1001</v>
      </c>
      <c r="C881" t="s">
        <v>11</v>
      </c>
      <c r="D881" t="s">
        <v>996</v>
      </c>
      <c r="E881" t="s">
        <v>13</v>
      </c>
      <c r="F881">
        <v>355.16</v>
      </c>
      <c r="G881">
        <v>36.78</v>
      </c>
      <c r="H881">
        <v>391.94</v>
      </c>
    </row>
    <row r="882" spans="1:8" x14ac:dyDescent="0.35">
      <c r="A882" t="s">
        <v>9</v>
      </c>
      <c r="B882" t="s">
        <v>1002</v>
      </c>
      <c r="C882" t="s">
        <v>11</v>
      </c>
      <c r="D882" t="s">
        <v>996</v>
      </c>
      <c r="E882" t="s">
        <v>13</v>
      </c>
      <c r="F882">
        <v>315.89</v>
      </c>
      <c r="G882">
        <v>39.44</v>
      </c>
      <c r="H882">
        <v>355.33</v>
      </c>
    </row>
    <row r="883" spans="1:8" x14ac:dyDescent="0.35">
      <c r="A883" t="s">
        <v>9</v>
      </c>
      <c r="B883" t="s">
        <v>1003</v>
      </c>
      <c r="C883" t="s">
        <v>11</v>
      </c>
      <c r="D883" t="s">
        <v>996</v>
      </c>
      <c r="E883" t="s">
        <v>13</v>
      </c>
      <c r="F883">
        <v>250.36</v>
      </c>
      <c r="G883">
        <v>37.549999999999997</v>
      </c>
      <c r="H883">
        <v>287.91000000000003</v>
      </c>
    </row>
    <row r="884" spans="1:8" x14ac:dyDescent="0.35">
      <c r="A884" t="s">
        <v>9</v>
      </c>
      <c r="B884" t="s">
        <v>1004</v>
      </c>
      <c r="C884" t="s">
        <v>11</v>
      </c>
      <c r="D884" t="s">
        <v>996</v>
      </c>
      <c r="E884" t="s">
        <v>13</v>
      </c>
      <c r="F884">
        <v>366</v>
      </c>
      <c r="G884">
        <v>48.9</v>
      </c>
      <c r="H884">
        <v>414.9</v>
      </c>
    </row>
    <row r="885" spans="1:8" x14ac:dyDescent="0.35">
      <c r="A885" t="s">
        <v>9</v>
      </c>
      <c r="B885" t="s">
        <v>1005</v>
      </c>
      <c r="C885" t="s">
        <v>11</v>
      </c>
      <c r="D885" t="s">
        <v>996</v>
      </c>
      <c r="E885" t="s">
        <v>13</v>
      </c>
      <c r="F885">
        <v>545.09</v>
      </c>
      <c r="G885">
        <v>78.760000000000005</v>
      </c>
      <c r="H885">
        <v>623.85</v>
      </c>
    </row>
    <row r="886" spans="1:8" x14ac:dyDescent="0.35">
      <c r="A886" t="s">
        <v>9</v>
      </c>
      <c r="B886" t="s">
        <v>1006</v>
      </c>
      <c r="C886" t="s">
        <v>11</v>
      </c>
      <c r="D886" t="s">
        <v>996</v>
      </c>
      <c r="E886" t="s">
        <v>13</v>
      </c>
      <c r="F886">
        <v>134.75</v>
      </c>
      <c r="G886">
        <v>20.21</v>
      </c>
      <c r="H886">
        <v>154.96</v>
      </c>
    </row>
    <row r="887" spans="1:8" x14ac:dyDescent="0.35">
      <c r="A887" t="s">
        <v>9</v>
      </c>
      <c r="B887" t="s">
        <v>1007</v>
      </c>
      <c r="C887" t="s">
        <v>11</v>
      </c>
      <c r="D887" t="s">
        <v>1008</v>
      </c>
      <c r="E887" t="s">
        <v>13</v>
      </c>
      <c r="F887">
        <v>376.31</v>
      </c>
      <c r="G887">
        <v>51.65</v>
      </c>
      <c r="H887">
        <v>427.96</v>
      </c>
    </row>
    <row r="888" spans="1:8" x14ac:dyDescent="0.35">
      <c r="A888" t="s">
        <v>9</v>
      </c>
      <c r="B888" t="s">
        <v>1009</v>
      </c>
      <c r="C888" t="s">
        <v>11</v>
      </c>
      <c r="D888" t="s">
        <v>1008</v>
      </c>
      <c r="E888" t="s">
        <v>13</v>
      </c>
      <c r="F888">
        <v>607.11</v>
      </c>
      <c r="G888">
        <v>41.73</v>
      </c>
      <c r="H888">
        <v>648.84</v>
      </c>
    </row>
    <row r="889" spans="1:8" x14ac:dyDescent="0.35">
      <c r="A889" t="s">
        <v>9</v>
      </c>
      <c r="B889" t="s">
        <v>1010</v>
      </c>
      <c r="C889" t="s">
        <v>11</v>
      </c>
      <c r="D889" t="s">
        <v>1008</v>
      </c>
      <c r="E889" t="s">
        <v>13</v>
      </c>
      <c r="F889">
        <v>490.16</v>
      </c>
      <c r="G889">
        <v>63.77</v>
      </c>
      <c r="H889">
        <v>553.92999999999995</v>
      </c>
    </row>
    <row r="890" spans="1:8" x14ac:dyDescent="0.35">
      <c r="A890" t="s">
        <v>9</v>
      </c>
      <c r="B890" t="s">
        <v>1011</v>
      </c>
      <c r="C890" t="s">
        <v>11</v>
      </c>
      <c r="D890" t="s">
        <v>1008</v>
      </c>
      <c r="E890" t="s">
        <v>13</v>
      </c>
      <c r="F890">
        <v>368.2</v>
      </c>
      <c r="G890">
        <v>37.68</v>
      </c>
      <c r="H890">
        <v>405.88</v>
      </c>
    </row>
    <row r="891" spans="1:8" x14ac:dyDescent="0.35">
      <c r="A891" t="s">
        <v>9</v>
      </c>
      <c r="B891" t="s">
        <v>1012</v>
      </c>
      <c r="C891" t="s">
        <v>11</v>
      </c>
      <c r="D891" t="s">
        <v>1008</v>
      </c>
      <c r="E891" t="s">
        <v>13</v>
      </c>
      <c r="F891">
        <v>244.3</v>
      </c>
      <c r="G891">
        <v>33.64</v>
      </c>
      <c r="H891">
        <v>277.94</v>
      </c>
    </row>
    <row r="892" spans="1:8" x14ac:dyDescent="0.35">
      <c r="A892" t="s">
        <v>9</v>
      </c>
      <c r="B892" t="s">
        <v>1013</v>
      </c>
      <c r="C892" t="s">
        <v>11</v>
      </c>
      <c r="D892" t="s">
        <v>1008</v>
      </c>
      <c r="E892" t="s">
        <v>13</v>
      </c>
      <c r="F892">
        <v>144.72999999999999</v>
      </c>
      <c r="G892">
        <v>20.21</v>
      </c>
      <c r="H892">
        <v>164.94</v>
      </c>
    </row>
    <row r="893" spans="1:8" x14ac:dyDescent="0.35">
      <c r="A893" t="s">
        <v>9</v>
      </c>
      <c r="B893" t="s">
        <v>1014</v>
      </c>
      <c r="C893" t="s">
        <v>11</v>
      </c>
      <c r="D893" t="s">
        <v>1008</v>
      </c>
      <c r="E893" t="s">
        <v>13</v>
      </c>
      <c r="F893">
        <v>276.83999999999997</v>
      </c>
      <c r="G893">
        <v>37.03</v>
      </c>
      <c r="H893">
        <v>313.87</v>
      </c>
    </row>
    <row r="894" spans="1:8" x14ac:dyDescent="0.35">
      <c r="A894" t="s">
        <v>9</v>
      </c>
      <c r="B894" t="s">
        <v>1015</v>
      </c>
      <c r="C894" t="s">
        <v>11</v>
      </c>
      <c r="D894" t="s">
        <v>1008</v>
      </c>
      <c r="E894" t="s">
        <v>13</v>
      </c>
      <c r="F894">
        <v>175.44</v>
      </c>
      <c r="G894">
        <v>15.52</v>
      </c>
      <c r="H894">
        <v>190.96</v>
      </c>
    </row>
    <row r="895" spans="1:8" x14ac:dyDescent="0.35">
      <c r="A895" t="s">
        <v>9</v>
      </c>
      <c r="B895" t="s">
        <v>1016</v>
      </c>
      <c r="C895" t="s">
        <v>11</v>
      </c>
      <c r="D895" t="s">
        <v>1008</v>
      </c>
      <c r="E895" t="s">
        <v>13</v>
      </c>
      <c r="F895">
        <v>280.38</v>
      </c>
      <c r="G895">
        <v>40.56</v>
      </c>
      <c r="H895">
        <v>320.94</v>
      </c>
    </row>
    <row r="896" spans="1:8" x14ac:dyDescent="0.35">
      <c r="A896" t="s">
        <v>9</v>
      </c>
      <c r="B896" t="s">
        <v>1017</v>
      </c>
      <c r="C896" t="s">
        <v>11</v>
      </c>
      <c r="D896" t="s">
        <v>1018</v>
      </c>
      <c r="E896" t="s">
        <v>13</v>
      </c>
      <c r="F896">
        <v>431.61</v>
      </c>
      <c r="G896">
        <v>25.3</v>
      </c>
      <c r="H896">
        <v>456.91</v>
      </c>
    </row>
    <row r="897" spans="1:8" x14ac:dyDescent="0.35">
      <c r="A897" t="s">
        <v>9</v>
      </c>
      <c r="B897" t="s">
        <v>1019</v>
      </c>
      <c r="C897" t="s">
        <v>11</v>
      </c>
      <c r="D897" t="s">
        <v>1018</v>
      </c>
      <c r="E897" t="s">
        <v>13</v>
      </c>
      <c r="F897">
        <v>188.89</v>
      </c>
      <c r="G897">
        <v>20.09</v>
      </c>
      <c r="H897">
        <v>208.98</v>
      </c>
    </row>
    <row r="898" spans="1:8" x14ac:dyDescent="0.35">
      <c r="A898" t="s">
        <v>9</v>
      </c>
      <c r="B898" t="s">
        <v>1020</v>
      </c>
      <c r="C898" t="s">
        <v>11</v>
      </c>
      <c r="D898" t="s">
        <v>1018</v>
      </c>
      <c r="E898" t="s">
        <v>13</v>
      </c>
      <c r="F898">
        <v>401.65</v>
      </c>
      <c r="G898">
        <v>54.25</v>
      </c>
      <c r="H898">
        <v>455.9</v>
      </c>
    </row>
    <row r="899" spans="1:8" x14ac:dyDescent="0.35">
      <c r="A899" t="s">
        <v>9</v>
      </c>
      <c r="B899" t="s">
        <v>1021</v>
      </c>
      <c r="C899" t="s">
        <v>11</v>
      </c>
      <c r="D899" t="s">
        <v>1018</v>
      </c>
      <c r="E899" t="s">
        <v>13</v>
      </c>
      <c r="F899">
        <v>134.03</v>
      </c>
      <c r="G899">
        <v>10.66</v>
      </c>
      <c r="H899">
        <v>144.69</v>
      </c>
    </row>
    <row r="900" spans="1:8" x14ac:dyDescent="0.35">
      <c r="A900" t="s">
        <v>9</v>
      </c>
      <c r="B900" t="s">
        <v>1022</v>
      </c>
      <c r="C900" t="s">
        <v>11</v>
      </c>
      <c r="D900" t="s">
        <v>1018</v>
      </c>
      <c r="E900" t="s">
        <v>13</v>
      </c>
      <c r="F900">
        <v>384.61</v>
      </c>
      <c r="G900">
        <v>50.8</v>
      </c>
      <c r="H900">
        <v>435.41</v>
      </c>
    </row>
    <row r="901" spans="1:8" x14ac:dyDescent="0.35">
      <c r="A901" t="s">
        <v>9</v>
      </c>
      <c r="B901" t="s">
        <v>1023</v>
      </c>
      <c r="C901" t="s">
        <v>11</v>
      </c>
      <c r="D901" t="s">
        <v>1018</v>
      </c>
      <c r="E901" t="s">
        <v>13</v>
      </c>
      <c r="F901">
        <v>326.89</v>
      </c>
      <c r="G901">
        <v>49.03</v>
      </c>
      <c r="H901">
        <v>375.92</v>
      </c>
    </row>
    <row r="902" spans="1:8" x14ac:dyDescent="0.35">
      <c r="A902" t="s">
        <v>9</v>
      </c>
      <c r="B902" t="s">
        <v>1024</v>
      </c>
      <c r="C902" t="s">
        <v>11</v>
      </c>
      <c r="D902" t="s">
        <v>1018</v>
      </c>
      <c r="E902" t="s">
        <v>13</v>
      </c>
      <c r="F902">
        <v>478.61</v>
      </c>
      <c r="G902">
        <v>64.290000000000006</v>
      </c>
      <c r="H902">
        <v>542.9</v>
      </c>
    </row>
    <row r="903" spans="1:8" x14ac:dyDescent="0.35">
      <c r="A903" t="s">
        <v>9</v>
      </c>
      <c r="B903" t="s">
        <v>1025</v>
      </c>
      <c r="C903" t="s">
        <v>11</v>
      </c>
      <c r="D903" t="s">
        <v>1018</v>
      </c>
      <c r="E903" t="s">
        <v>13</v>
      </c>
      <c r="F903">
        <v>396.03</v>
      </c>
      <c r="G903">
        <v>57.91</v>
      </c>
      <c r="H903">
        <v>453.94</v>
      </c>
    </row>
    <row r="904" spans="1:8" x14ac:dyDescent="0.35">
      <c r="A904" t="s">
        <v>9</v>
      </c>
      <c r="B904" t="s">
        <v>1026</v>
      </c>
      <c r="C904" t="s">
        <v>11</v>
      </c>
      <c r="D904" t="s">
        <v>1027</v>
      </c>
      <c r="E904" t="s">
        <v>13</v>
      </c>
      <c r="F904">
        <v>353.14</v>
      </c>
      <c r="G904">
        <v>42.77</v>
      </c>
      <c r="H904">
        <v>395.91</v>
      </c>
    </row>
    <row r="905" spans="1:8" x14ac:dyDescent="0.35">
      <c r="A905" t="s">
        <v>9</v>
      </c>
      <c r="B905" t="s">
        <v>1028</v>
      </c>
      <c r="C905" t="s">
        <v>11</v>
      </c>
      <c r="D905" t="s">
        <v>1027</v>
      </c>
      <c r="E905" t="s">
        <v>13</v>
      </c>
      <c r="F905">
        <v>425.58</v>
      </c>
      <c r="G905">
        <v>41.34</v>
      </c>
      <c r="H905">
        <v>466.92</v>
      </c>
    </row>
    <row r="906" spans="1:8" x14ac:dyDescent="0.35">
      <c r="A906" t="s">
        <v>9</v>
      </c>
      <c r="B906" t="s">
        <v>1029</v>
      </c>
      <c r="C906" t="s">
        <v>11</v>
      </c>
      <c r="D906" t="s">
        <v>1027</v>
      </c>
      <c r="E906" t="s">
        <v>13</v>
      </c>
      <c r="F906">
        <v>131.88</v>
      </c>
      <c r="G906">
        <v>14.09</v>
      </c>
      <c r="H906">
        <v>145.97</v>
      </c>
    </row>
    <row r="907" spans="1:8" x14ac:dyDescent="0.35">
      <c r="A907" t="s">
        <v>9</v>
      </c>
      <c r="B907" t="s">
        <v>1030</v>
      </c>
      <c r="C907" t="s">
        <v>11</v>
      </c>
      <c r="D907" t="s">
        <v>1027</v>
      </c>
      <c r="E907" t="s">
        <v>13</v>
      </c>
      <c r="F907">
        <v>136.94</v>
      </c>
      <c r="G907">
        <v>7.04</v>
      </c>
      <c r="H907">
        <v>143.97999999999999</v>
      </c>
    </row>
    <row r="908" spans="1:8" x14ac:dyDescent="0.35">
      <c r="A908" t="s">
        <v>9</v>
      </c>
      <c r="B908" t="s">
        <v>1031</v>
      </c>
      <c r="C908" t="s">
        <v>11</v>
      </c>
      <c r="D908" t="s">
        <v>1027</v>
      </c>
      <c r="E908" t="s">
        <v>13</v>
      </c>
      <c r="F908">
        <v>138.19999999999999</v>
      </c>
      <c r="G908">
        <v>20.73</v>
      </c>
      <c r="H908">
        <v>158.93</v>
      </c>
    </row>
    <row r="909" spans="1:8" x14ac:dyDescent="0.35">
      <c r="A909" t="s">
        <v>9</v>
      </c>
      <c r="B909" t="s">
        <v>1032</v>
      </c>
      <c r="C909" t="s">
        <v>11</v>
      </c>
      <c r="D909" t="s">
        <v>1027</v>
      </c>
      <c r="E909" t="s">
        <v>13</v>
      </c>
      <c r="F909">
        <v>410.83</v>
      </c>
      <c r="G909">
        <v>42.13</v>
      </c>
      <c r="H909">
        <v>452.96</v>
      </c>
    </row>
    <row r="910" spans="1:8" x14ac:dyDescent="0.35">
      <c r="A910" t="s">
        <v>9</v>
      </c>
      <c r="B910" t="s">
        <v>1033</v>
      </c>
      <c r="C910" t="s">
        <v>11</v>
      </c>
      <c r="D910" t="s">
        <v>1034</v>
      </c>
      <c r="E910" t="s">
        <v>13</v>
      </c>
      <c r="F910">
        <v>507.95</v>
      </c>
      <c r="G910">
        <v>74.69</v>
      </c>
      <c r="H910">
        <v>582.64</v>
      </c>
    </row>
    <row r="911" spans="1:8" x14ac:dyDescent="0.35">
      <c r="A911" t="s">
        <v>9</v>
      </c>
      <c r="B911" t="s">
        <v>1035</v>
      </c>
      <c r="C911" t="s">
        <v>11</v>
      </c>
      <c r="D911" t="s">
        <v>1034</v>
      </c>
      <c r="E911" t="s">
        <v>13</v>
      </c>
      <c r="F911">
        <v>272.58</v>
      </c>
      <c r="G911">
        <v>24.39</v>
      </c>
      <c r="H911">
        <v>296.97000000000003</v>
      </c>
    </row>
    <row r="912" spans="1:8" x14ac:dyDescent="0.35">
      <c r="A912" t="s">
        <v>9</v>
      </c>
      <c r="B912" t="s">
        <v>1036</v>
      </c>
      <c r="C912" t="s">
        <v>11</v>
      </c>
      <c r="D912" t="s">
        <v>1034</v>
      </c>
      <c r="E912" t="s">
        <v>13</v>
      </c>
      <c r="F912">
        <v>142.57</v>
      </c>
      <c r="G912">
        <v>21.38</v>
      </c>
      <c r="H912">
        <v>163.95</v>
      </c>
    </row>
    <row r="913" spans="1:8" x14ac:dyDescent="0.35">
      <c r="A913" t="s">
        <v>9</v>
      </c>
      <c r="B913" t="s">
        <v>1037</v>
      </c>
      <c r="C913" t="s">
        <v>11</v>
      </c>
      <c r="D913" t="s">
        <v>1034</v>
      </c>
      <c r="E913" t="s">
        <v>13</v>
      </c>
      <c r="F913">
        <v>195.58</v>
      </c>
      <c r="G913">
        <v>26.34</v>
      </c>
      <c r="H913">
        <v>221.92</v>
      </c>
    </row>
    <row r="914" spans="1:8" x14ac:dyDescent="0.35">
      <c r="A914" t="s">
        <v>9</v>
      </c>
      <c r="B914" t="s">
        <v>1038</v>
      </c>
      <c r="C914" t="s">
        <v>11</v>
      </c>
      <c r="D914" t="s">
        <v>1034</v>
      </c>
      <c r="E914" t="s">
        <v>13</v>
      </c>
      <c r="F914">
        <v>516.41999999999996</v>
      </c>
      <c r="G914">
        <v>74.459999999999994</v>
      </c>
      <c r="H914">
        <v>590.88</v>
      </c>
    </row>
    <row r="915" spans="1:8" x14ac:dyDescent="0.35">
      <c r="A915" t="s">
        <v>9</v>
      </c>
      <c r="B915" t="s">
        <v>1039</v>
      </c>
      <c r="C915" t="s">
        <v>11</v>
      </c>
      <c r="D915" t="s">
        <v>1034</v>
      </c>
      <c r="E915" t="s">
        <v>13</v>
      </c>
      <c r="F915">
        <v>359.97</v>
      </c>
      <c r="G915">
        <v>53.99</v>
      </c>
      <c r="H915">
        <v>413.96</v>
      </c>
    </row>
    <row r="916" spans="1:8" x14ac:dyDescent="0.35">
      <c r="A916" t="s">
        <v>9</v>
      </c>
      <c r="B916" t="s">
        <v>1040</v>
      </c>
      <c r="C916" t="s">
        <v>11</v>
      </c>
      <c r="D916" t="s">
        <v>1034</v>
      </c>
      <c r="E916" t="s">
        <v>13</v>
      </c>
      <c r="F916">
        <v>522.21</v>
      </c>
      <c r="G916">
        <v>60.64</v>
      </c>
      <c r="H916">
        <v>582.85</v>
      </c>
    </row>
    <row r="917" spans="1:8" x14ac:dyDescent="0.35">
      <c r="A917" t="s">
        <v>9</v>
      </c>
      <c r="B917" t="s">
        <v>1041</v>
      </c>
      <c r="C917" t="s">
        <v>11</v>
      </c>
      <c r="D917" t="s">
        <v>1034</v>
      </c>
      <c r="E917" t="s">
        <v>13</v>
      </c>
      <c r="F917">
        <v>268.94</v>
      </c>
      <c r="G917">
        <v>29.1</v>
      </c>
      <c r="H917">
        <v>298.04000000000002</v>
      </c>
    </row>
    <row r="918" spans="1:8" x14ac:dyDescent="0.35">
      <c r="A918" t="s">
        <v>9</v>
      </c>
      <c r="B918" t="s">
        <v>1042</v>
      </c>
      <c r="C918" t="s">
        <v>11</v>
      </c>
      <c r="D918" t="s">
        <v>1034</v>
      </c>
      <c r="E918" t="s">
        <v>13</v>
      </c>
      <c r="F918">
        <v>542.54</v>
      </c>
      <c r="G918">
        <v>66.38</v>
      </c>
      <c r="H918">
        <v>608.91999999999996</v>
      </c>
    </row>
    <row r="919" spans="1:8" x14ac:dyDescent="0.35">
      <c r="A919" t="s">
        <v>9</v>
      </c>
      <c r="B919" t="s">
        <v>1043</v>
      </c>
      <c r="C919" t="s">
        <v>11</v>
      </c>
      <c r="D919" t="s">
        <v>1034</v>
      </c>
      <c r="E919" t="s">
        <v>13</v>
      </c>
      <c r="F919">
        <v>185.13</v>
      </c>
      <c r="G919">
        <v>22.82</v>
      </c>
      <c r="H919">
        <v>207.95</v>
      </c>
    </row>
    <row r="920" spans="1:8" x14ac:dyDescent="0.35">
      <c r="A920" t="s">
        <v>9</v>
      </c>
      <c r="B920" t="s">
        <v>1044</v>
      </c>
      <c r="C920" t="s">
        <v>11</v>
      </c>
      <c r="D920" t="s">
        <v>1034</v>
      </c>
      <c r="E920" t="s">
        <v>13</v>
      </c>
      <c r="F920">
        <v>95.01</v>
      </c>
      <c r="G920">
        <v>14.25</v>
      </c>
      <c r="H920">
        <v>109.26</v>
      </c>
    </row>
    <row r="921" spans="1:8" x14ac:dyDescent="0.35">
      <c r="A921" t="s">
        <v>9</v>
      </c>
      <c r="B921" t="s">
        <v>1045</v>
      </c>
      <c r="C921" t="s">
        <v>11</v>
      </c>
      <c r="D921" t="s">
        <v>1034</v>
      </c>
      <c r="E921" t="s">
        <v>13</v>
      </c>
      <c r="F921">
        <v>306.05</v>
      </c>
      <c r="G921">
        <v>39.909999999999997</v>
      </c>
      <c r="H921">
        <v>345.96</v>
      </c>
    </row>
    <row r="922" spans="1:8" x14ac:dyDescent="0.35">
      <c r="A922" t="s">
        <v>9</v>
      </c>
      <c r="B922" t="s">
        <v>1046</v>
      </c>
      <c r="C922" t="s">
        <v>11</v>
      </c>
      <c r="D922" t="s">
        <v>1034</v>
      </c>
      <c r="E922" t="s">
        <v>13</v>
      </c>
      <c r="F922">
        <v>242.58</v>
      </c>
      <c r="G922">
        <v>33.39</v>
      </c>
      <c r="H922">
        <v>275.97000000000003</v>
      </c>
    </row>
    <row r="923" spans="1:8" x14ac:dyDescent="0.35">
      <c r="A923" t="s">
        <v>9</v>
      </c>
      <c r="B923" t="s">
        <v>1047</v>
      </c>
      <c r="C923" t="s">
        <v>11</v>
      </c>
      <c r="D923" t="s">
        <v>1048</v>
      </c>
      <c r="E923" t="s">
        <v>13</v>
      </c>
      <c r="F923">
        <v>378.63</v>
      </c>
      <c r="G923">
        <v>43.3</v>
      </c>
      <c r="H923">
        <v>421.93</v>
      </c>
    </row>
    <row r="924" spans="1:8" x14ac:dyDescent="0.35">
      <c r="A924" t="s">
        <v>9</v>
      </c>
      <c r="B924" t="s">
        <v>1049</v>
      </c>
      <c r="C924" t="s">
        <v>11</v>
      </c>
      <c r="D924" t="s">
        <v>1048</v>
      </c>
      <c r="E924" t="s">
        <v>13</v>
      </c>
      <c r="F924">
        <v>224.21</v>
      </c>
      <c r="G924">
        <v>14.74</v>
      </c>
      <c r="H924">
        <v>238.95</v>
      </c>
    </row>
    <row r="925" spans="1:8" x14ac:dyDescent="0.35">
      <c r="A925" t="s">
        <v>9</v>
      </c>
      <c r="B925" t="s">
        <v>1050</v>
      </c>
      <c r="C925" t="s">
        <v>11</v>
      </c>
      <c r="D925" t="s">
        <v>1048</v>
      </c>
      <c r="E925" t="s">
        <v>13</v>
      </c>
      <c r="F925">
        <v>316.02</v>
      </c>
      <c r="G925">
        <v>33.9</v>
      </c>
      <c r="H925">
        <v>349.92</v>
      </c>
    </row>
    <row r="926" spans="1:8" x14ac:dyDescent="0.35">
      <c r="A926" t="s">
        <v>9</v>
      </c>
      <c r="B926" t="s">
        <v>1051</v>
      </c>
      <c r="C926" t="s">
        <v>11</v>
      </c>
      <c r="D926" t="s">
        <v>1048</v>
      </c>
      <c r="E926" t="s">
        <v>13</v>
      </c>
      <c r="F926">
        <v>114.28</v>
      </c>
      <c r="G926">
        <v>13.69</v>
      </c>
      <c r="H926">
        <v>127.97</v>
      </c>
    </row>
    <row r="927" spans="1:8" x14ac:dyDescent="0.35">
      <c r="A927" t="s">
        <v>9</v>
      </c>
      <c r="B927" t="s">
        <v>1052</v>
      </c>
      <c r="C927" t="s">
        <v>11</v>
      </c>
      <c r="D927" t="s">
        <v>1048</v>
      </c>
      <c r="E927" t="s">
        <v>13</v>
      </c>
      <c r="F927">
        <v>135.99</v>
      </c>
      <c r="G927">
        <v>13.95</v>
      </c>
      <c r="H927">
        <v>149.94</v>
      </c>
    </row>
    <row r="928" spans="1:8" x14ac:dyDescent="0.35">
      <c r="A928" t="s">
        <v>9</v>
      </c>
      <c r="B928" t="s">
        <v>1053</v>
      </c>
      <c r="C928" t="s">
        <v>11</v>
      </c>
      <c r="D928" t="s">
        <v>1048</v>
      </c>
      <c r="E928" t="s">
        <v>13</v>
      </c>
      <c r="F928">
        <v>249.94</v>
      </c>
      <c r="G928">
        <v>35.99</v>
      </c>
      <c r="H928">
        <v>285.93</v>
      </c>
    </row>
    <row r="929" spans="1:8" x14ac:dyDescent="0.35">
      <c r="A929" t="s">
        <v>9</v>
      </c>
      <c r="B929" t="s">
        <v>1054</v>
      </c>
      <c r="C929" t="s">
        <v>11</v>
      </c>
      <c r="D929" t="s">
        <v>1048</v>
      </c>
      <c r="E929" t="s">
        <v>13</v>
      </c>
      <c r="F929">
        <v>175.38</v>
      </c>
      <c r="G929">
        <v>19.559999999999999</v>
      </c>
      <c r="H929">
        <v>194.94</v>
      </c>
    </row>
    <row r="930" spans="1:8" x14ac:dyDescent="0.35">
      <c r="A930" t="s">
        <v>9</v>
      </c>
      <c r="B930" t="s">
        <v>1055</v>
      </c>
      <c r="C930" t="s">
        <v>11</v>
      </c>
      <c r="D930" t="s">
        <v>1048</v>
      </c>
      <c r="E930" t="s">
        <v>13</v>
      </c>
      <c r="F930">
        <v>293.42</v>
      </c>
      <c r="G930">
        <v>37.72</v>
      </c>
      <c r="H930">
        <v>331.14</v>
      </c>
    </row>
    <row r="931" spans="1:8" x14ac:dyDescent="0.35">
      <c r="A931" t="s">
        <v>9</v>
      </c>
      <c r="B931" t="s">
        <v>1056</v>
      </c>
      <c r="C931" t="s">
        <v>11</v>
      </c>
      <c r="D931" t="s">
        <v>1048</v>
      </c>
      <c r="E931" t="s">
        <v>13</v>
      </c>
      <c r="F931">
        <v>281.69</v>
      </c>
      <c r="G931">
        <v>33.26</v>
      </c>
      <c r="H931">
        <v>314.95</v>
      </c>
    </row>
    <row r="932" spans="1:8" x14ac:dyDescent="0.35">
      <c r="A932" t="s">
        <v>9</v>
      </c>
      <c r="B932" t="s">
        <v>1057</v>
      </c>
      <c r="C932" t="s">
        <v>11</v>
      </c>
      <c r="D932" t="s">
        <v>1058</v>
      </c>
      <c r="E932" t="s">
        <v>13</v>
      </c>
      <c r="F932">
        <v>900.61</v>
      </c>
      <c r="G932">
        <v>100.15</v>
      </c>
      <c r="H932">
        <v>1000.76</v>
      </c>
    </row>
    <row r="933" spans="1:8" x14ac:dyDescent="0.35">
      <c r="A933" t="s">
        <v>9</v>
      </c>
      <c r="B933" t="s">
        <v>1059</v>
      </c>
      <c r="C933" t="s">
        <v>11</v>
      </c>
      <c r="D933" t="s">
        <v>1058</v>
      </c>
      <c r="E933" t="s">
        <v>13</v>
      </c>
      <c r="F933">
        <v>213.26</v>
      </c>
      <c r="G933">
        <v>18.489999999999998</v>
      </c>
      <c r="H933">
        <v>231.75</v>
      </c>
    </row>
    <row r="934" spans="1:8" x14ac:dyDescent="0.35">
      <c r="A934" t="s">
        <v>9</v>
      </c>
      <c r="B934" t="s">
        <v>1060</v>
      </c>
      <c r="C934" t="s">
        <v>11</v>
      </c>
      <c r="D934" t="s">
        <v>1058</v>
      </c>
      <c r="E934" t="s">
        <v>13</v>
      </c>
      <c r="F934">
        <v>327.8</v>
      </c>
      <c r="G934">
        <v>22.63</v>
      </c>
      <c r="H934">
        <v>350.43</v>
      </c>
    </row>
    <row r="935" spans="1:8" x14ac:dyDescent="0.35">
      <c r="A935" t="s">
        <v>9</v>
      </c>
      <c r="B935" t="s">
        <v>1061</v>
      </c>
      <c r="C935" t="s">
        <v>11</v>
      </c>
      <c r="D935" t="s">
        <v>1058</v>
      </c>
      <c r="E935" t="s">
        <v>13</v>
      </c>
      <c r="F935">
        <v>403.16</v>
      </c>
      <c r="G935">
        <v>38.729999999999997</v>
      </c>
      <c r="H935">
        <v>441.89</v>
      </c>
    </row>
    <row r="936" spans="1:8" x14ac:dyDescent="0.35">
      <c r="A936" t="s">
        <v>9</v>
      </c>
      <c r="B936" t="s">
        <v>1062</v>
      </c>
      <c r="C936" t="s">
        <v>11</v>
      </c>
      <c r="D936" t="s">
        <v>1058</v>
      </c>
      <c r="E936" t="s">
        <v>13</v>
      </c>
      <c r="F936">
        <v>196.86</v>
      </c>
      <c r="G936">
        <v>23.08</v>
      </c>
      <c r="H936">
        <v>219.94</v>
      </c>
    </row>
    <row r="937" spans="1:8" x14ac:dyDescent="0.35">
      <c r="A937" t="s">
        <v>9</v>
      </c>
      <c r="B937" t="s">
        <v>1063</v>
      </c>
      <c r="C937" t="s">
        <v>11</v>
      </c>
      <c r="D937" t="s">
        <v>1058</v>
      </c>
      <c r="E937" t="s">
        <v>13</v>
      </c>
      <c r="F937">
        <v>328.61</v>
      </c>
      <c r="G937">
        <v>44.34</v>
      </c>
      <c r="H937">
        <v>372.95</v>
      </c>
    </row>
    <row r="938" spans="1:8" x14ac:dyDescent="0.35">
      <c r="A938" t="s">
        <v>9</v>
      </c>
      <c r="B938" t="s">
        <v>1064</v>
      </c>
      <c r="C938" t="s">
        <v>11</v>
      </c>
      <c r="D938" t="s">
        <v>1058</v>
      </c>
      <c r="E938" t="s">
        <v>13</v>
      </c>
      <c r="F938">
        <v>226</v>
      </c>
      <c r="G938">
        <v>33.9</v>
      </c>
      <c r="H938">
        <v>259.89999999999998</v>
      </c>
    </row>
    <row r="939" spans="1:8" x14ac:dyDescent="0.35">
      <c r="A939" t="s">
        <v>9</v>
      </c>
      <c r="B939" t="s">
        <v>1065</v>
      </c>
      <c r="C939" t="s">
        <v>11</v>
      </c>
      <c r="D939" t="s">
        <v>1066</v>
      </c>
      <c r="E939" t="s">
        <v>13</v>
      </c>
      <c r="F939">
        <v>312.48</v>
      </c>
      <c r="G939">
        <v>38.479999999999997</v>
      </c>
      <c r="H939">
        <v>350.96</v>
      </c>
    </row>
    <row r="940" spans="1:8" x14ac:dyDescent="0.35">
      <c r="A940" t="s">
        <v>9</v>
      </c>
      <c r="B940" t="s">
        <v>1067</v>
      </c>
      <c r="C940" t="s">
        <v>11</v>
      </c>
      <c r="D940" t="s">
        <v>1066</v>
      </c>
      <c r="E940" t="s">
        <v>13</v>
      </c>
      <c r="F940">
        <v>749.97</v>
      </c>
      <c r="G940">
        <v>79.650000000000006</v>
      </c>
      <c r="H940">
        <v>829.62</v>
      </c>
    </row>
    <row r="941" spans="1:8" x14ac:dyDescent="0.35">
      <c r="A941" t="s">
        <v>9</v>
      </c>
      <c r="B941" t="s">
        <v>1068</v>
      </c>
      <c r="C941" t="s">
        <v>11</v>
      </c>
      <c r="D941" t="s">
        <v>1066</v>
      </c>
      <c r="E941" t="s">
        <v>13</v>
      </c>
      <c r="F941">
        <v>132.33000000000001</v>
      </c>
      <c r="G941">
        <v>15.65</v>
      </c>
      <c r="H941">
        <v>147.97999999999999</v>
      </c>
    </row>
    <row r="942" spans="1:8" x14ac:dyDescent="0.35">
      <c r="A942" t="s">
        <v>9</v>
      </c>
      <c r="B942" t="s">
        <v>1069</v>
      </c>
      <c r="C942" t="s">
        <v>11</v>
      </c>
      <c r="D942" t="s">
        <v>1066</v>
      </c>
      <c r="E942" t="s">
        <v>13</v>
      </c>
      <c r="F942">
        <v>290.16000000000003</v>
      </c>
      <c r="G942">
        <v>33.78</v>
      </c>
      <c r="H942">
        <v>323.94</v>
      </c>
    </row>
    <row r="943" spans="1:8" x14ac:dyDescent="0.35">
      <c r="A943" t="s">
        <v>9</v>
      </c>
      <c r="B943" t="s">
        <v>1070</v>
      </c>
      <c r="C943" t="s">
        <v>11</v>
      </c>
      <c r="D943" t="s">
        <v>1066</v>
      </c>
      <c r="E943" t="s">
        <v>13</v>
      </c>
      <c r="F943">
        <v>139.51</v>
      </c>
      <c r="G943">
        <v>13.43</v>
      </c>
      <c r="H943">
        <v>152.94</v>
      </c>
    </row>
    <row r="944" spans="1:8" x14ac:dyDescent="0.35">
      <c r="A944" t="s">
        <v>9</v>
      </c>
      <c r="B944" t="s">
        <v>1071</v>
      </c>
      <c r="C944" t="s">
        <v>11</v>
      </c>
      <c r="D944" t="s">
        <v>1066</v>
      </c>
      <c r="E944" t="s">
        <v>13</v>
      </c>
      <c r="F944">
        <v>268.64999999999998</v>
      </c>
      <c r="G944">
        <v>34.299999999999997</v>
      </c>
      <c r="H944">
        <v>302.95</v>
      </c>
    </row>
    <row r="945" spans="1:8" x14ac:dyDescent="0.35">
      <c r="A945" t="s">
        <v>9</v>
      </c>
      <c r="B945" t="s">
        <v>1072</v>
      </c>
      <c r="C945" t="s">
        <v>11</v>
      </c>
      <c r="D945" t="s">
        <v>1066</v>
      </c>
      <c r="E945" t="s">
        <v>13</v>
      </c>
      <c r="F945">
        <v>156.59</v>
      </c>
      <c r="G945">
        <v>17.34</v>
      </c>
      <c r="H945">
        <v>173.93</v>
      </c>
    </row>
    <row r="946" spans="1:8" x14ac:dyDescent="0.35">
      <c r="A946" t="s">
        <v>9</v>
      </c>
      <c r="B946" t="s">
        <v>1073</v>
      </c>
      <c r="C946" t="s">
        <v>11</v>
      </c>
      <c r="D946" t="s">
        <v>1074</v>
      </c>
      <c r="E946" t="s">
        <v>13</v>
      </c>
      <c r="F946">
        <v>284.31</v>
      </c>
      <c r="G946">
        <v>39.65</v>
      </c>
      <c r="H946">
        <v>323.95999999999998</v>
      </c>
    </row>
    <row r="947" spans="1:8" x14ac:dyDescent="0.35">
      <c r="A947" t="s">
        <v>9</v>
      </c>
      <c r="B947" t="s">
        <v>1075</v>
      </c>
      <c r="C947" t="s">
        <v>11</v>
      </c>
      <c r="D947" t="s">
        <v>1074</v>
      </c>
      <c r="E947" t="s">
        <v>13</v>
      </c>
      <c r="F947">
        <v>327.8</v>
      </c>
      <c r="G947">
        <v>27.13</v>
      </c>
      <c r="H947">
        <v>354.93</v>
      </c>
    </row>
    <row r="948" spans="1:8" x14ac:dyDescent="0.35">
      <c r="A948" t="s">
        <v>9</v>
      </c>
      <c r="B948" t="s">
        <v>1076</v>
      </c>
      <c r="C948" t="s">
        <v>11</v>
      </c>
      <c r="D948" t="s">
        <v>1074</v>
      </c>
      <c r="E948" t="s">
        <v>13</v>
      </c>
      <c r="F948">
        <v>439.02</v>
      </c>
      <c r="G948">
        <v>62.85</v>
      </c>
      <c r="H948">
        <v>501.87</v>
      </c>
    </row>
    <row r="949" spans="1:8" x14ac:dyDescent="0.35">
      <c r="A949" t="s">
        <v>9</v>
      </c>
      <c r="B949" t="s">
        <v>1077</v>
      </c>
      <c r="C949" t="s">
        <v>11</v>
      </c>
      <c r="D949" t="s">
        <v>1074</v>
      </c>
      <c r="E949" t="s">
        <v>13</v>
      </c>
      <c r="F949">
        <v>271.27999999999997</v>
      </c>
      <c r="G949">
        <v>28.69</v>
      </c>
      <c r="H949">
        <v>299.97000000000003</v>
      </c>
    </row>
    <row r="950" spans="1:8" x14ac:dyDescent="0.35">
      <c r="A950" t="s">
        <v>9</v>
      </c>
      <c r="B950" t="s">
        <v>1078</v>
      </c>
      <c r="C950" t="s">
        <v>11</v>
      </c>
      <c r="D950" t="s">
        <v>1074</v>
      </c>
      <c r="E950" t="s">
        <v>13</v>
      </c>
      <c r="F950">
        <v>821.6</v>
      </c>
      <c r="G950">
        <v>113.19</v>
      </c>
      <c r="H950">
        <v>934.79</v>
      </c>
    </row>
    <row r="951" spans="1:8" x14ac:dyDescent="0.35">
      <c r="A951" t="s">
        <v>9</v>
      </c>
      <c r="B951" t="s">
        <v>1079</v>
      </c>
      <c r="C951" t="s">
        <v>11</v>
      </c>
      <c r="D951" t="s">
        <v>1080</v>
      </c>
      <c r="E951" t="s">
        <v>13</v>
      </c>
      <c r="F951">
        <v>384.28</v>
      </c>
      <c r="G951">
        <v>39.65</v>
      </c>
      <c r="H951">
        <v>423.93</v>
      </c>
    </row>
    <row r="952" spans="1:8" x14ac:dyDescent="0.35">
      <c r="A952" t="s">
        <v>9</v>
      </c>
      <c r="B952" t="s">
        <v>1081</v>
      </c>
      <c r="C952" t="s">
        <v>11</v>
      </c>
      <c r="D952" t="s">
        <v>1080</v>
      </c>
      <c r="E952" t="s">
        <v>13</v>
      </c>
      <c r="F952">
        <v>1163.4000000000001</v>
      </c>
      <c r="G952">
        <v>79.290000000000006</v>
      </c>
      <c r="H952">
        <v>1242.69</v>
      </c>
    </row>
    <row r="953" spans="1:8" x14ac:dyDescent="0.35">
      <c r="A953" t="s">
        <v>9</v>
      </c>
      <c r="B953" t="s">
        <v>1082</v>
      </c>
      <c r="C953" t="s">
        <v>11</v>
      </c>
      <c r="D953" t="s">
        <v>1080</v>
      </c>
      <c r="E953" t="s">
        <v>13</v>
      </c>
      <c r="F953">
        <v>190.41</v>
      </c>
      <c r="G953">
        <v>28.56</v>
      </c>
      <c r="H953">
        <v>218.97</v>
      </c>
    </row>
    <row r="954" spans="1:8" x14ac:dyDescent="0.35">
      <c r="A954" t="s">
        <v>9</v>
      </c>
      <c r="B954" t="s">
        <v>1083</v>
      </c>
      <c r="C954" t="s">
        <v>11</v>
      </c>
      <c r="D954" t="s">
        <v>1080</v>
      </c>
      <c r="E954" t="s">
        <v>13</v>
      </c>
      <c r="F954">
        <v>723.31</v>
      </c>
      <c r="G954">
        <v>84.5</v>
      </c>
      <c r="H954">
        <v>807.81</v>
      </c>
    </row>
    <row r="955" spans="1:8" x14ac:dyDescent="0.35">
      <c r="A955" t="s">
        <v>9</v>
      </c>
      <c r="B955" t="s">
        <v>1084</v>
      </c>
      <c r="C955" t="s">
        <v>11</v>
      </c>
      <c r="D955" t="s">
        <v>1080</v>
      </c>
      <c r="E955" t="s">
        <v>13</v>
      </c>
      <c r="F955">
        <v>133.44999999999999</v>
      </c>
      <c r="G955">
        <v>18.52</v>
      </c>
      <c r="H955">
        <v>151.97</v>
      </c>
    </row>
    <row r="956" spans="1:8" x14ac:dyDescent="0.35">
      <c r="A956" t="s">
        <v>9</v>
      </c>
      <c r="B956" t="s">
        <v>1085</v>
      </c>
      <c r="C956" t="s">
        <v>11</v>
      </c>
      <c r="D956" t="s">
        <v>1086</v>
      </c>
      <c r="E956" t="s">
        <v>13</v>
      </c>
      <c r="F956">
        <v>1283.06</v>
      </c>
      <c r="G956">
        <v>145.66999999999999</v>
      </c>
      <c r="H956">
        <v>1428.73</v>
      </c>
    </row>
    <row r="957" spans="1:8" x14ac:dyDescent="0.35">
      <c r="A957" t="s">
        <v>9</v>
      </c>
      <c r="B957" t="s">
        <v>1087</v>
      </c>
      <c r="C957" t="s">
        <v>11</v>
      </c>
      <c r="D957" t="s">
        <v>1086</v>
      </c>
      <c r="E957" t="s">
        <v>13</v>
      </c>
      <c r="F957">
        <v>163.78</v>
      </c>
      <c r="G957">
        <v>18.57</v>
      </c>
      <c r="H957">
        <v>182.35</v>
      </c>
    </row>
    <row r="958" spans="1:8" x14ac:dyDescent="0.35">
      <c r="A958" t="s">
        <v>9</v>
      </c>
      <c r="B958" t="s">
        <v>1088</v>
      </c>
      <c r="C958" t="s">
        <v>11</v>
      </c>
      <c r="D958" t="s">
        <v>1086</v>
      </c>
      <c r="E958" t="s">
        <v>13</v>
      </c>
      <c r="F958">
        <v>135.61000000000001</v>
      </c>
      <c r="G958">
        <v>20.34</v>
      </c>
      <c r="H958">
        <v>155.94999999999999</v>
      </c>
    </row>
    <row r="959" spans="1:8" x14ac:dyDescent="0.35">
      <c r="A959" t="s">
        <v>9</v>
      </c>
      <c r="B959" t="s">
        <v>1089</v>
      </c>
      <c r="C959" t="s">
        <v>11</v>
      </c>
      <c r="D959" t="s">
        <v>1086</v>
      </c>
      <c r="E959" t="s">
        <v>13</v>
      </c>
      <c r="F959">
        <v>296.01</v>
      </c>
      <c r="G959">
        <v>42.9</v>
      </c>
      <c r="H959">
        <v>338.91</v>
      </c>
    </row>
    <row r="960" spans="1:8" x14ac:dyDescent="0.35">
      <c r="A960" t="s">
        <v>9</v>
      </c>
      <c r="B960" t="s">
        <v>1090</v>
      </c>
      <c r="C960" t="s">
        <v>11</v>
      </c>
      <c r="D960" t="s">
        <v>1086</v>
      </c>
      <c r="E960" t="s">
        <v>13</v>
      </c>
      <c r="F960">
        <v>443.47</v>
      </c>
      <c r="G960">
        <v>52.42</v>
      </c>
      <c r="H960">
        <v>495.89</v>
      </c>
    </row>
    <row r="961" spans="1:8" x14ac:dyDescent="0.35">
      <c r="A961" t="s">
        <v>9</v>
      </c>
      <c r="B961" t="s">
        <v>1091</v>
      </c>
      <c r="C961" t="s">
        <v>11</v>
      </c>
      <c r="D961" t="s">
        <v>1086</v>
      </c>
      <c r="E961" t="s">
        <v>13</v>
      </c>
      <c r="F961">
        <v>739.45</v>
      </c>
      <c r="G961">
        <v>82.42</v>
      </c>
      <c r="H961">
        <v>821.87</v>
      </c>
    </row>
    <row r="962" spans="1:8" x14ac:dyDescent="0.35">
      <c r="A962" t="s">
        <v>9</v>
      </c>
      <c r="B962" t="s">
        <v>1092</v>
      </c>
      <c r="C962" t="s">
        <v>11</v>
      </c>
      <c r="D962" t="s">
        <v>1086</v>
      </c>
      <c r="E962" t="s">
        <v>13</v>
      </c>
      <c r="F962">
        <v>437.18</v>
      </c>
      <c r="G962">
        <v>61.68</v>
      </c>
      <c r="H962">
        <v>498.86</v>
      </c>
    </row>
    <row r="963" spans="1:8" x14ac:dyDescent="0.35">
      <c r="A963" t="s">
        <v>9</v>
      </c>
      <c r="B963" t="s">
        <v>1093</v>
      </c>
      <c r="C963" t="s">
        <v>11</v>
      </c>
      <c r="D963" t="s">
        <v>1086</v>
      </c>
      <c r="E963" t="s">
        <v>13</v>
      </c>
      <c r="F963">
        <v>434.94</v>
      </c>
      <c r="G963">
        <v>57.89</v>
      </c>
      <c r="H963">
        <v>492.83</v>
      </c>
    </row>
    <row r="964" spans="1:8" x14ac:dyDescent="0.35">
      <c r="A964" t="s">
        <v>9</v>
      </c>
      <c r="B964" t="s">
        <v>1094</v>
      </c>
      <c r="C964" t="s">
        <v>11</v>
      </c>
      <c r="D964" t="s">
        <v>1086</v>
      </c>
      <c r="E964" t="s">
        <v>13</v>
      </c>
      <c r="F964">
        <v>251.2</v>
      </c>
      <c r="G964">
        <v>14.73</v>
      </c>
      <c r="H964">
        <v>265.93</v>
      </c>
    </row>
    <row r="965" spans="1:8" x14ac:dyDescent="0.35">
      <c r="A965" t="s">
        <v>9</v>
      </c>
      <c r="B965" t="s">
        <v>1095</v>
      </c>
      <c r="C965" t="s">
        <v>11</v>
      </c>
      <c r="D965" t="s">
        <v>1096</v>
      </c>
      <c r="E965" t="s">
        <v>13</v>
      </c>
      <c r="F965">
        <v>422.73</v>
      </c>
      <c r="G965">
        <v>44.21</v>
      </c>
      <c r="H965">
        <v>466.94</v>
      </c>
    </row>
    <row r="966" spans="1:8" x14ac:dyDescent="0.35">
      <c r="A966" t="s">
        <v>9</v>
      </c>
      <c r="B966" t="s">
        <v>1097</v>
      </c>
      <c r="C966" t="s">
        <v>11</v>
      </c>
      <c r="D966" t="s">
        <v>1096</v>
      </c>
      <c r="E966" t="s">
        <v>13</v>
      </c>
      <c r="F966">
        <v>195.49</v>
      </c>
      <c r="G966">
        <v>26.47</v>
      </c>
      <c r="H966">
        <v>221.96</v>
      </c>
    </row>
    <row r="967" spans="1:8" x14ac:dyDescent="0.35">
      <c r="A967" t="s">
        <v>9</v>
      </c>
      <c r="B967" t="s">
        <v>1098</v>
      </c>
      <c r="C967" t="s">
        <v>11</v>
      </c>
      <c r="D967" t="s">
        <v>1096</v>
      </c>
      <c r="E967" t="s">
        <v>13</v>
      </c>
      <c r="F967">
        <v>1188.26</v>
      </c>
      <c r="G967">
        <v>151.4</v>
      </c>
      <c r="H967">
        <v>1339.66</v>
      </c>
    </row>
    <row r="968" spans="1:8" x14ac:dyDescent="0.35">
      <c r="A968" t="s">
        <v>9</v>
      </c>
      <c r="B968" t="s">
        <v>1099</v>
      </c>
      <c r="C968" t="s">
        <v>11</v>
      </c>
      <c r="D968" t="s">
        <v>1096</v>
      </c>
      <c r="E968" t="s">
        <v>13</v>
      </c>
      <c r="F968">
        <v>743.59</v>
      </c>
      <c r="G968">
        <v>67.3</v>
      </c>
      <c r="H968">
        <v>810.89</v>
      </c>
    </row>
    <row r="969" spans="1:8" x14ac:dyDescent="0.35">
      <c r="A969" t="s">
        <v>9</v>
      </c>
      <c r="B969" t="s">
        <v>1100</v>
      </c>
      <c r="C969" t="s">
        <v>11</v>
      </c>
      <c r="D969" t="s">
        <v>1096</v>
      </c>
      <c r="E969" t="s">
        <v>13</v>
      </c>
      <c r="F969">
        <v>525.30999999999995</v>
      </c>
      <c r="G969">
        <v>37.549999999999997</v>
      </c>
      <c r="H969">
        <v>562.86</v>
      </c>
    </row>
    <row r="970" spans="1:8" x14ac:dyDescent="0.35">
      <c r="A970" t="s">
        <v>9</v>
      </c>
      <c r="B970" t="s">
        <v>1101</v>
      </c>
      <c r="C970" t="s">
        <v>11</v>
      </c>
      <c r="D970" t="s">
        <v>1096</v>
      </c>
      <c r="E970" t="s">
        <v>13</v>
      </c>
      <c r="F970">
        <v>176.06</v>
      </c>
      <c r="G970">
        <v>21.91</v>
      </c>
      <c r="H970">
        <v>197.97</v>
      </c>
    </row>
    <row r="971" spans="1:8" x14ac:dyDescent="0.35">
      <c r="A971" t="s">
        <v>9</v>
      </c>
      <c r="B971" t="s">
        <v>1102</v>
      </c>
      <c r="C971" t="s">
        <v>11</v>
      </c>
      <c r="D971" t="s">
        <v>1096</v>
      </c>
      <c r="E971" t="s">
        <v>13</v>
      </c>
      <c r="F971">
        <v>666.28</v>
      </c>
      <c r="G971">
        <v>78.95</v>
      </c>
      <c r="H971">
        <v>745.23</v>
      </c>
    </row>
    <row r="972" spans="1:8" x14ac:dyDescent="0.35">
      <c r="A972" t="s">
        <v>9</v>
      </c>
      <c r="B972" t="s">
        <v>1103</v>
      </c>
      <c r="C972" t="s">
        <v>11</v>
      </c>
      <c r="D972" t="s">
        <v>1096</v>
      </c>
      <c r="E972" t="s">
        <v>13</v>
      </c>
      <c r="F972">
        <v>205.62</v>
      </c>
      <c r="G972">
        <v>29.34</v>
      </c>
      <c r="H972">
        <v>234.96</v>
      </c>
    </row>
    <row r="973" spans="1:8" x14ac:dyDescent="0.35">
      <c r="A973" t="s">
        <v>9</v>
      </c>
      <c r="B973" t="s">
        <v>1104</v>
      </c>
      <c r="C973" t="s">
        <v>11</v>
      </c>
      <c r="D973" t="s">
        <v>1096</v>
      </c>
      <c r="E973" t="s">
        <v>13</v>
      </c>
      <c r="F973">
        <v>147.13999999999999</v>
      </c>
      <c r="G973">
        <v>13.82</v>
      </c>
      <c r="H973">
        <v>160.96</v>
      </c>
    </row>
    <row r="974" spans="1:8" x14ac:dyDescent="0.35">
      <c r="A974" t="s">
        <v>9</v>
      </c>
      <c r="B974" t="s">
        <v>1105</v>
      </c>
      <c r="C974" t="s">
        <v>11</v>
      </c>
      <c r="D974" t="s">
        <v>1096</v>
      </c>
      <c r="E974" t="s">
        <v>13</v>
      </c>
      <c r="F974">
        <v>272.10000000000002</v>
      </c>
      <c r="G974">
        <v>37.82</v>
      </c>
      <c r="H974">
        <v>309.92</v>
      </c>
    </row>
    <row r="975" spans="1:8" x14ac:dyDescent="0.35">
      <c r="A975" t="s">
        <v>9</v>
      </c>
      <c r="B975" t="s">
        <v>1106</v>
      </c>
      <c r="C975" t="s">
        <v>11</v>
      </c>
      <c r="D975" t="s">
        <v>1096</v>
      </c>
      <c r="E975" t="s">
        <v>13</v>
      </c>
      <c r="F975">
        <v>202.89</v>
      </c>
      <c r="G975">
        <v>19.04</v>
      </c>
      <c r="H975">
        <v>221.93</v>
      </c>
    </row>
    <row r="976" spans="1:8" x14ac:dyDescent="0.35">
      <c r="A976" t="s">
        <v>9</v>
      </c>
      <c r="B976" t="s">
        <v>1107</v>
      </c>
      <c r="C976" t="s">
        <v>11</v>
      </c>
      <c r="D976" t="s">
        <v>1108</v>
      </c>
      <c r="E976" t="s">
        <v>13</v>
      </c>
      <c r="F976">
        <v>264.73</v>
      </c>
      <c r="G976">
        <v>38.21</v>
      </c>
      <c r="H976">
        <v>302.94</v>
      </c>
    </row>
    <row r="977" spans="1:8" x14ac:dyDescent="0.35">
      <c r="A977" t="s">
        <v>9</v>
      </c>
      <c r="B977" t="s">
        <v>1109</v>
      </c>
      <c r="C977" t="s">
        <v>11</v>
      </c>
      <c r="D977" t="s">
        <v>1108</v>
      </c>
      <c r="E977" t="s">
        <v>13</v>
      </c>
      <c r="F977">
        <v>755.52</v>
      </c>
      <c r="G977">
        <v>107.33</v>
      </c>
      <c r="H977">
        <v>862.85</v>
      </c>
    </row>
    <row r="978" spans="1:8" x14ac:dyDescent="0.35">
      <c r="A978" t="s">
        <v>9</v>
      </c>
      <c r="B978" t="s">
        <v>1110</v>
      </c>
      <c r="C978" t="s">
        <v>11</v>
      </c>
      <c r="D978" t="s">
        <v>1108</v>
      </c>
      <c r="E978" t="s">
        <v>13</v>
      </c>
      <c r="F978">
        <v>309.85000000000002</v>
      </c>
      <c r="G978">
        <v>35.08</v>
      </c>
      <c r="H978">
        <v>344.93</v>
      </c>
    </row>
    <row r="979" spans="1:8" x14ac:dyDescent="0.35">
      <c r="A979" t="s">
        <v>9</v>
      </c>
      <c r="B979" t="s">
        <v>1111</v>
      </c>
      <c r="C979" t="s">
        <v>11</v>
      </c>
      <c r="D979" t="s">
        <v>1108</v>
      </c>
      <c r="E979" t="s">
        <v>13</v>
      </c>
      <c r="F979">
        <v>244.33</v>
      </c>
      <c r="G979">
        <v>30.65</v>
      </c>
      <c r="H979">
        <v>274.98</v>
      </c>
    </row>
    <row r="980" spans="1:8" x14ac:dyDescent="0.35">
      <c r="A980" t="s">
        <v>9</v>
      </c>
      <c r="B980" t="s">
        <v>1112</v>
      </c>
      <c r="C980" t="s">
        <v>11</v>
      </c>
      <c r="D980" t="s">
        <v>1108</v>
      </c>
      <c r="E980" t="s">
        <v>13</v>
      </c>
      <c r="F980">
        <v>326.45999999999998</v>
      </c>
      <c r="G980">
        <v>41.47</v>
      </c>
      <c r="H980">
        <v>367.93</v>
      </c>
    </row>
    <row r="981" spans="1:8" x14ac:dyDescent="0.35">
      <c r="A981" t="s">
        <v>9</v>
      </c>
      <c r="B981" t="s">
        <v>1113</v>
      </c>
      <c r="C981" t="s">
        <v>11</v>
      </c>
      <c r="D981" t="s">
        <v>1108</v>
      </c>
      <c r="E981" t="s">
        <v>13</v>
      </c>
      <c r="F981">
        <v>120.12</v>
      </c>
      <c r="G981">
        <v>18.02</v>
      </c>
      <c r="H981">
        <v>138.13999999999999</v>
      </c>
    </row>
    <row r="982" spans="1:8" x14ac:dyDescent="0.35">
      <c r="A982" t="s">
        <v>9</v>
      </c>
      <c r="B982" t="s">
        <v>1114</v>
      </c>
      <c r="C982" t="s">
        <v>11</v>
      </c>
      <c r="D982" t="s">
        <v>1115</v>
      </c>
      <c r="E982" t="s">
        <v>13</v>
      </c>
      <c r="F982">
        <v>143.43</v>
      </c>
      <c r="G982">
        <v>21.52</v>
      </c>
      <c r="H982">
        <v>164.95</v>
      </c>
    </row>
    <row r="983" spans="1:8" x14ac:dyDescent="0.35">
      <c r="A983" t="s">
        <v>9</v>
      </c>
      <c r="B983" t="s">
        <v>1116</v>
      </c>
      <c r="C983" t="s">
        <v>11</v>
      </c>
      <c r="D983" t="s">
        <v>1115</v>
      </c>
      <c r="E983" t="s">
        <v>13</v>
      </c>
      <c r="F983">
        <v>544.69000000000005</v>
      </c>
      <c r="G983">
        <v>65.209999999999994</v>
      </c>
      <c r="H983">
        <v>609.9</v>
      </c>
    </row>
    <row r="984" spans="1:8" x14ac:dyDescent="0.35">
      <c r="A984" t="s">
        <v>9</v>
      </c>
      <c r="B984" t="s">
        <v>1117</v>
      </c>
      <c r="C984" t="s">
        <v>11</v>
      </c>
      <c r="D984" t="s">
        <v>1115</v>
      </c>
      <c r="E984" t="s">
        <v>13</v>
      </c>
      <c r="F984">
        <v>1497.78</v>
      </c>
      <c r="G984">
        <v>165.88</v>
      </c>
      <c r="H984">
        <v>1663.66</v>
      </c>
    </row>
    <row r="985" spans="1:8" x14ac:dyDescent="0.35">
      <c r="A985" t="s">
        <v>9</v>
      </c>
      <c r="B985" t="s">
        <v>1118</v>
      </c>
      <c r="C985" t="s">
        <v>11</v>
      </c>
      <c r="D985" t="s">
        <v>1115</v>
      </c>
      <c r="E985" t="s">
        <v>13</v>
      </c>
      <c r="F985">
        <v>368.17</v>
      </c>
      <c r="G985">
        <v>53.73</v>
      </c>
      <c r="H985">
        <v>421.9</v>
      </c>
    </row>
    <row r="986" spans="1:8" x14ac:dyDescent="0.35">
      <c r="A986" t="s">
        <v>9</v>
      </c>
      <c r="B986" t="s">
        <v>1119</v>
      </c>
      <c r="C986" t="s">
        <v>11</v>
      </c>
      <c r="D986" t="s">
        <v>1115</v>
      </c>
      <c r="E986" t="s">
        <v>13</v>
      </c>
      <c r="F986">
        <v>308.64999999999998</v>
      </c>
      <c r="G986">
        <v>40.299999999999997</v>
      </c>
      <c r="H986">
        <v>348.95</v>
      </c>
    </row>
    <row r="987" spans="1:8" x14ac:dyDescent="0.35">
      <c r="A987" t="s">
        <v>9</v>
      </c>
      <c r="B987" t="s">
        <v>1120</v>
      </c>
      <c r="C987" t="s">
        <v>11</v>
      </c>
      <c r="D987" t="s">
        <v>1115</v>
      </c>
      <c r="E987" t="s">
        <v>13</v>
      </c>
      <c r="F987">
        <v>821.46</v>
      </c>
      <c r="G987">
        <v>116.32</v>
      </c>
      <c r="H987">
        <v>937.78</v>
      </c>
    </row>
    <row r="988" spans="1:8" x14ac:dyDescent="0.35">
      <c r="A988" t="s">
        <v>9</v>
      </c>
      <c r="B988" t="s">
        <v>1121</v>
      </c>
      <c r="C988" t="s">
        <v>11</v>
      </c>
      <c r="D988" t="s">
        <v>1122</v>
      </c>
      <c r="E988" t="s">
        <v>13</v>
      </c>
      <c r="F988">
        <v>288.42</v>
      </c>
      <c r="G988">
        <v>21.52</v>
      </c>
      <c r="H988">
        <v>309.94</v>
      </c>
    </row>
    <row r="989" spans="1:8" x14ac:dyDescent="0.35">
      <c r="A989" t="s">
        <v>9</v>
      </c>
      <c r="B989" t="s">
        <v>1123</v>
      </c>
      <c r="C989" t="s">
        <v>11</v>
      </c>
      <c r="D989" t="s">
        <v>1122</v>
      </c>
      <c r="E989" t="s">
        <v>13</v>
      </c>
      <c r="F989">
        <v>702.9</v>
      </c>
      <c r="G989">
        <v>88.94</v>
      </c>
      <c r="H989">
        <v>791.84</v>
      </c>
    </row>
    <row r="990" spans="1:8" x14ac:dyDescent="0.35">
      <c r="A990" t="s">
        <v>9</v>
      </c>
      <c r="B990" t="s">
        <v>1124</v>
      </c>
      <c r="C990" t="s">
        <v>11</v>
      </c>
      <c r="D990" t="s">
        <v>1122</v>
      </c>
      <c r="E990" t="s">
        <v>13</v>
      </c>
      <c r="F990">
        <v>482.33</v>
      </c>
      <c r="G990">
        <v>58.55</v>
      </c>
      <c r="H990">
        <v>540.88</v>
      </c>
    </row>
    <row r="991" spans="1:8" x14ac:dyDescent="0.35">
      <c r="A991" t="s">
        <v>9</v>
      </c>
      <c r="B991" t="s">
        <v>1125</v>
      </c>
      <c r="C991" t="s">
        <v>11</v>
      </c>
      <c r="D991" t="s">
        <v>1122</v>
      </c>
      <c r="E991" t="s">
        <v>13</v>
      </c>
      <c r="F991">
        <v>139.83000000000001</v>
      </c>
      <c r="G991">
        <v>18.13</v>
      </c>
      <c r="H991">
        <v>157.96</v>
      </c>
    </row>
    <row r="992" spans="1:8" x14ac:dyDescent="0.35">
      <c r="A992" t="s">
        <v>9</v>
      </c>
      <c r="B992" t="s">
        <v>1126</v>
      </c>
      <c r="C992" t="s">
        <v>11</v>
      </c>
      <c r="D992" t="s">
        <v>1122</v>
      </c>
      <c r="E992" t="s">
        <v>13</v>
      </c>
      <c r="F992">
        <v>776.6</v>
      </c>
      <c r="G992">
        <v>91.55</v>
      </c>
      <c r="H992">
        <v>868.15</v>
      </c>
    </row>
    <row r="993" spans="1:8" x14ac:dyDescent="0.35">
      <c r="A993" t="s">
        <v>9</v>
      </c>
      <c r="B993" t="s">
        <v>1127</v>
      </c>
      <c r="C993" t="s">
        <v>11</v>
      </c>
      <c r="D993" t="s">
        <v>1122</v>
      </c>
      <c r="E993" t="s">
        <v>13</v>
      </c>
      <c r="F993">
        <v>308.92</v>
      </c>
      <c r="G993">
        <v>41.99</v>
      </c>
      <c r="H993">
        <v>350.91</v>
      </c>
    </row>
    <row r="994" spans="1:8" x14ac:dyDescent="0.35">
      <c r="A994" t="s">
        <v>9</v>
      </c>
      <c r="B994" t="s">
        <v>1128</v>
      </c>
      <c r="C994" t="s">
        <v>11</v>
      </c>
      <c r="D994" t="s">
        <v>1122</v>
      </c>
      <c r="E994" t="s">
        <v>13</v>
      </c>
      <c r="F994">
        <v>352.05</v>
      </c>
      <c r="G994">
        <v>52.81</v>
      </c>
      <c r="H994">
        <v>404.86</v>
      </c>
    </row>
    <row r="995" spans="1:8" x14ac:dyDescent="0.35">
      <c r="A995" t="s">
        <v>9</v>
      </c>
      <c r="B995" t="s">
        <v>1129</v>
      </c>
      <c r="C995" t="s">
        <v>11</v>
      </c>
      <c r="D995" t="s">
        <v>1122</v>
      </c>
      <c r="E995" t="s">
        <v>13</v>
      </c>
      <c r="F995">
        <v>464.24</v>
      </c>
      <c r="G995">
        <v>69.64</v>
      </c>
      <c r="H995">
        <v>533.88</v>
      </c>
    </row>
    <row r="996" spans="1:8" x14ac:dyDescent="0.35">
      <c r="A996" t="s">
        <v>9</v>
      </c>
      <c r="B996" t="s">
        <v>1130</v>
      </c>
      <c r="C996" t="s">
        <v>11</v>
      </c>
      <c r="D996" t="s">
        <v>1122</v>
      </c>
      <c r="E996" t="s">
        <v>13</v>
      </c>
      <c r="F996">
        <v>125.9</v>
      </c>
      <c r="G996">
        <v>17.38</v>
      </c>
      <c r="H996">
        <v>143.28</v>
      </c>
    </row>
    <row r="997" spans="1:8" x14ac:dyDescent="0.35">
      <c r="A997" t="s">
        <v>9</v>
      </c>
      <c r="B997" t="s">
        <v>1131</v>
      </c>
      <c r="C997" t="s">
        <v>11</v>
      </c>
      <c r="D997" t="s">
        <v>1132</v>
      </c>
      <c r="E997" t="s">
        <v>13</v>
      </c>
      <c r="F997">
        <v>408.04</v>
      </c>
      <c r="G997">
        <v>26.86</v>
      </c>
      <c r="H997">
        <v>434.9</v>
      </c>
    </row>
    <row r="998" spans="1:8" x14ac:dyDescent="0.35">
      <c r="A998" t="s">
        <v>9</v>
      </c>
      <c r="B998" t="s">
        <v>1133</v>
      </c>
      <c r="C998" t="s">
        <v>11</v>
      </c>
      <c r="D998" t="s">
        <v>1132</v>
      </c>
      <c r="E998" t="s">
        <v>13</v>
      </c>
      <c r="F998">
        <v>850.24</v>
      </c>
      <c r="G998">
        <v>124.54</v>
      </c>
      <c r="H998">
        <v>974.78</v>
      </c>
    </row>
    <row r="999" spans="1:8" x14ac:dyDescent="0.35">
      <c r="A999" t="s">
        <v>9</v>
      </c>
      <c r="B999" t="s">
        <v>1134</v>
      </c>
      <c r="C999" t="s">
        <v>11</v>
      </c>
      <c r="D999" t="s">
        <v>1132</v>
      </c>
      <c r="E999" t="s">
        <v>13</v>
      </c>
      <c r="F999">
        <v>310.33</v>
      </c>
      <c r="G999">
        <v>7.57</v>
      </c>
      <c r="H999">
        <v>317.89999999999998</v>
      </c>
    </row>
    <row r="1000" spans="1:8" x14ac:dyDescent="0.35">
      <c r="A1000" t="s">
        <v>9</v>
      </c>
      <c r="B1000" t="s">
        <v>1135</v>
      </c>
      <c r="C1000" t="s">
        <v>11</v>
      </c>
      <c r="D1000" t="s">
        <v>1132</v>
      </c>
      <c r="E1000" t="s">
        <v>13</v>
      </c>
      <c r="F1000">
        <v>343.87</v>
      </c>
      <c r="G1000">
        <v>50.08</v>
      </c>
      <c r="H1000">
        <v>393.95</v>
      </c>
    </row>
    <row r="1001" spans="1:8" x14ac:dyDescent="0.35">
      <c r="A1001" t="s">
        <v>9</v>
      </c>
      <c r="B1001" t="s">
        <v>1136</v>
      </c>
      <c r="C1001" t="s">
        <v>11</v>
      </c>
      <c r="D1001" t="s">
        <v>1132</v>
      </c>
      <c r="E1001" t="s">
        <v>13</v>
      </c>
      <c r="F1001">
        <v>160.37</v>
      </c>
      <c r="G1001">
        <v>24.06</v>
      </c>
      <c r="H1001">
        <v>184.43</v>
      </c>
    </row>
    <row r="1002" spans="1:8" x14ac:dyDescent="0.35">
      <c r="A1002" t="s">
        <v>9</v>
      </c>
      <c r="B1002" t="s">
        <v>1137</v>
      </c>
      <c r="C1002" t="s">
        <v>11</v>
      </c>
      <c r="D1002" t="s">
        <v>1132</v>
      </c>
      <c r="E1002" t="s">
        <v>13</v>
      </c>
      <c r="F1002">
        <v>854.89</v>
      </c>
      <c r="G1002">
        <v>107.99</v>
      </c>
      <c r="H1002">
        <v>962.88</v>
      </c>
    </row>
    <row r="1003" spans="1:8" x14ac:dyDescent="0.35">
      <c r="A1003" t="s">
        <v>9</v>
      </c>
      <c r="B1003" t="s">
        <v>1138</v>
      </c>
      <c r="C1003" t="s">
        <v>11</v>
      </c>
      <c r="D1003" t="s">
        <v>1139</v>
      </c>
      <c r="E1003" t="s">
        <v>13</v>
      </c>
      <c r="F1003">
        <v>233.44</v>
      </c>
      <c r="G1003">
        <v>18.52</v>
      </c>
      <c r="H1003">
        <v>251.96</v>
      </c>
    </row>
    <row r="1004" spans="1:8" x14ac:dyDescent="0.35">
      <c r="A1004" t="s">
        <v>9</v>
      </c>
      <c r="B1004" t="s">
        <v>1140</v>
      </c>
      <c r="C1004" t="s">
        <v>11</v>
      </c>
      <c r="D1004" t="s">
        <v>1139</v>
      </c>
      <c r="E1004" t="s">
        <v>13</v>
      </c>
      <c r="F1004">
        <v>151</v>
      </c>
      <c r="G1004">
        <v>16.95</v>
      </c>
      <c r="H1004">
        <v>167.95</v>
      </c>
    </row>
    <row r="1005" spans="1:8" x14ac:dyDescent="0.35">
      <c r="A1005" t="s">
        <v>9</v>
      </c>
      <c r="B1005" t="s">
        <v>1141</v>
      </c>
      <c r="C1005" t="s">
        <v>11</v>
      </c>
      <c r="D1005" t="s">
        <v>1139</v>
      </c>
      <c r="E1005" t="s">
        <v>13</v>
      </c>
      <c r="F1005">
        <v>213.75</v>
      </c>
      <c r="G1005">
        <v>29.21</v>
      </c>
      <c r="H1005">
        <v>242.96</v>
      </c>
    </row>
    <row r="1006" spans="1:8" x14ac:dyDescent="0.35">
      <c r="A1006" t="s">
        <v>9</v>
      </c>
      <c r="B1006" t="s">
        <v>1142</v>
      </c>
      <c r="C1006" t="s">
        <v>11</v>
      </c>
      <c r="D1006" t="s">
        <v>1139</v>
      </c>
      <c r="E1006" t="s">
        <v>13</v>
      </c>
      <c r="F1006">
        <v>991.96</v>
      </c>
      <c r="G1006">
        <v>145.79</v>
      </c>
      <c r="H1006">
        <v>1137.75</v>
      </c>
    </row>
    <row r="1007" spans="1:8" x14ac:dyDescent="0.35">
      <c r="A1007" t="s">
        <v>9</v>
      </c>
      <c r="B1007" t="s">
        <v>1143</v>
      </c>
      <c r="C1007" t="s">
        <v>11</v>
      </c>
      <c r="D1007" t="s">
        <v>1139</v>
      </c>
      <c r="E1007" t="s">
        <v>13</v>
      </c>
      <c r="F1007">
        <v>250.77</v>
      </c>
      <c r="G1007">
        <v>36.119999999999997</v>
      </c>
      <c r="H1007">
        <v>286.89</v>
      </c>
    </row>
    <row r="1008" spans="1:8" x14ac:dyDescent="0.35">
      <c r="A1008" t="s">
        <v>9</v>
      </c>
      <c r="B1008" t="s">
        <v>1144</v>
      </c>
      <c r="C1008" t="s">
        <v>11</v>
      </c>
      <c r="D1008" t="s">
        <v>1139</v>
      </c>
      <c r="E1008" t="s">
        <v>13</v>
      </c>
      <c r="F1008">
        <v>594.64</v>
      </c>
      <c r="G1008">
        <v>86.2</v>
      </c>
      <c r="H1008">
        <v>680.84</v>
      </c>
    </row>
    <row r="1009" spans="1:8" x14ac:dyDescent="0.35">
      <c r="A1009" t="s">
        <v>9</v>
      </c>
      <c r="B1009" t="s">
        <v>1145</v>
      </c>
      <c r="C1009" t="s">
        <v>11</v>
      </c>
      <c r="D1009" t="s">
        <v>1146</v>
      </c>
      <c r="E1009" t="s">
        <v>13</v>
      </c>
      <c r="F1009">
        <v>404.97</v>
      </c>
      <c r="G1009">
        <v>37.950000000000003</v>
      </c>
      <c r="H1009">
        <v>442.92</v>
      </c>
    </row>
    <row r="1010" spans="1:8" x14ac:dyDescent="0.35">
      <c r="A1010" t="s">
        <v>9</v>
      </c>
      <c r="B1010" t="s">
        <v>1147</v>
      </c>
      <c r="C1010" t="s">
        <v>11</v>
      </c>
      <c r="D1010" t="s">
        <v>1146</v>
      </c>
      <c r="E1010" t="s">
        <v>13</v>
      </c>
      <c r="F1010">
        <v>235.59</v>
      </c>
      <c r="G1010">
        <v>20.34</v>
      </c>
      <c r="H1010">
        <v>255.93</v>
      </c>
    </row>
    <row r="1011" spans="1:8" x14ac:dyDescent="0.35">
      <c r="A1011" t="s">
        <v>9</v>
      </c>
      <c r="B1011" t="s">
        <v>1148</v>
      </c>
      <c r="C1011" t="s">
        <v>11</v>
      </c>
      <c r="D1011" t="s">
        <v>1146</v>
      </c>
      <c r="E1011" t="s">
        <v>13</v>
      </c>
      <c r="F1011">
        <v>537.26</v>
      </c>
      <c r="G1011">
        <v>58.09</v>
      </c>
      <c r="H1011">
        <v>595.35</v>
      </c>
    </row>
    <row r="1012" spans="1:8" x14ac:dyDescent="0.35">
      <c r="A1012" t="s">
        <v>9</v>
      </c>
      <c r="B1012" t="s">
        <v>1149</v>
      </c>
      <c r="C1012" t="s">
        <v>11</v>
      </c>
      <c r="D1012" t="s">
        <v>1146</v>
      </c>
      <c r="E1012" t="s">
        <v>13</v>
      </c>
      <c r="F1012">
        <v>156.91</v>
      </c>
      <c r="G1012">
        <v>22.04</v>
      </c>
      <c r="H1012">
        <v>178.95</v>
      </c>
    </row>
    <row r="1013" spans="1:8" x14ac:dyDescent="0.35">
      <c r="A1013" t="s">
        <v>9</v>
      </c>
      <c r="B1013" t="s">
        <v>1150</v>
      </c>
      <c r="C1013" t="s">
        <v>11</v>
      </c>
      <c r="D1013" t="s">
        <v>1146</v>
      </c>
      <c r="E1013" t="s">
        <v>13</v>
      </c>
      <c r="F1013">
        <v>582.13</v>
      </c>
      <c r="G1013">
        <v>56.72</v>
      </c>
      <c r="H1013">
        <v>638.85</v>
      </c>
    </row>
    <row r="1014" spans="1:8" x14ac:dyDescent="0.35">
      <c r="A1014" t="s">
        <v>9</v>
      </c>
      <c r="B1014" t="s">
        <v>1151</v>
      </c>
      <c r="C1014" t="s">
        <v>11</v>
      </c>
      <c r="D1014" t="s">
        <v>1146</v>
      </c>
      <c r="E1014" t="s">
        <v>13</v>
      </c>
      <c r="F1014">
        <v>368.53</v>
      </c>
      <c r="G1014">
        <v>52.43</v>
      </c>
      <c r="H1014">
        <v>420.96</v>
      </c>
    </row>
    <row r="1015" spans="1:8" x14ac:dyDescent="0.35">
      <c r="A1015" t="s">
        <v>9</v>
      </c>
      <c r="B1015" t="s">
        <v>1152</v>
      </c>
      <c r="C1015" t="s">
        <v>11</v>
      </c>
      <c r="D1015" t="s">
        <v>1146</v>
      </c>
      <c r="E1015" t="s">
        <v>13</v>
      </c>
      <c r="F1015">
        <v>137.38</v>
      </c>
      <c r="G1015">
        <v>19.11</v>
      </c>
      <c r="H1015">
        <v>156.49</v>
      </c>
    </row>
    <row r="1016" spans="1:8" x14ac:dyDescent="0.35">
      <c r="A1016" t="s">
        <v>9</v>
      </c>
      <c r="B1016" t="s">
        <v>1153</v>
      </c>
      <c r="C1016" t="s">
        <v>11</v>
      </c>
      <c r="D1016" t="s">
        <v>1146</v>
      </c>
      <c r="E1016" t="s">
        <v>13</v>
      </c>
      <c r="F1016">
        <v>451.32</v>
      </c>
      <c r="G1016">
        <v>53.6</v>
      </c>
      <c r="H1016">
        <v>504.92</v>
      </c>
    </row>
    <row r="1017" spans="1:8" x14ac:dyDescent="0.35">
      <c r="A1017" t="s">
        <v>9</v>
      </c>
      <c r="B1017" t="s">
        <v>1154</v>
      </c>
      <c r="C1017" t="s">
        <v>11</v>
      </c>
      <c r="D1017" t="s">
        <v>1146</v>
      </c>
      <c r="E1017" t="s">
        <v>13</v>
      </c>
      <c r="F1017">
        <v>346.82</v>
      </c>
      <c r="G1017">
        <v>43.02</v>
      </c>
      <c r="H1017">
        <v>389.84</v>
      </c>
    </row>
    <row r="1018" spans="1:8" x14ac:dyDescent="0.35">
      <c r="A1018" t="s">
        <v>9</v>
      </c>
      <c r="B1018" t="s">
        <v>1155</v>
      </c>
      <c r="C1018" t="s">
        <v>11</v>
      </c>
      <c r="D1018" t="s">
        <v>1146</v>
      </c>
      <c r="E1018" t="s">
        <v>13</v>
      </c>
      <c r="F1018">
        <v>510.49</v>
      </c>
      <c r="G1018">
        <v>42.38</v>
      </c>
      <c r="H1018">
        <v>552.87</v>
      </c>
    </row>
    <row r="1019" spans="1:8" x14ac:dyDescent="0.35">
      <c r="A1019" t="s">
        <v>9</v>
      </c>
      <c r="B1019" t="s">
        <v>1156</v>
      </c>
      <c r="C1019" t="s">
        <v>11</v>
      </c>
      <c r="D1019" t="s">
        <v>1146</v>
      </c>
      <c r="E1019" t="s">
        <v>13</v>
      </c>
      <c r="F1019">
        <v>476.53</v>
      </c>
      <c r="G1019">
        <v>63.23</v>
      </c>
      <c r="H1019">
        <v>539.76</v>
      </c>
    </row>
    <row r="1020" spans="1:8" x14ac:dyDescent="0.35">
      <c r="A1020" t="s">
        <v>9</v>
      </c>
      <c r="B1020" t="s">
        <v>1157</v>
      </c>
      <c r="C1020" t="s">
        <v>11</v>
      </c>
      <c r="D1020" t="s">
        <v>1158</v>
      </c>
      <c r="E1020" t="s">
        <v>13</v>
      </c>
      <c r="F1020">
        <v>452.14</v>
      </c>
      <c r="G1020">
        <v>52.82</v>
      </c>
      <c r="H1020">
        <v>504.96</v>
      </c>
    </row>
    <row r="1021" spans="1:8" x14ac:dyDescent="0.35">
      <c r="A1021" t="s">
        <v>9</v>
      </c>
      <c r="B1021" t="s">
        <v>1159</v>
      </c>
      <c r="C1021" t="s">
        <v>11</v>
      </c>
      <c r="D1021" t="s">
        <v>1158</v>
      </c>
      <c r="E1021" t="s">
        <v>13</v>
      </c>
      <c r="F1021">
        <v>315.93</v>
      </c>
      <c r="G1021">
        <v>9</v>
      </c>
      <c r="H1021">
        <v>324.93</v>
      </c>
    </row>
    <row r="1022" spans="1:8" x14ac:dyDescent="0.35">
      <c r="A1022" t="s">
        <v>9</v>
      </c>
      <c r="B1022" t="s">
        <v>1160</v>
      </c>
      <c r="C1022" t="s">
        <v>11</v>
      </c>
      <c r="D1022" t="s">
        <v>1158</v>
      </c>
      <c r="E1022" t="s">
        <v>13</v>
      </c>
      <c r="F1022">
        <v>870.75</v>
      </c>
      <c r="G1022">
        <v>97.47</v>
      </c>
      <c r="H1022">
        <v>968.22</v>
      </c>
    </row>
    <row r="1023" spans="1:8" x14ac:dyDescent="0.35">
      <c r="A1023" t="s">
        <v>9</v>
      </c>
      <c r="B1023" t="s">
        <v>1161</v>
      </c>
      <c r="C1023" t="s">
        <v>11</v>
      </c>
      <c r="D1023" t="s">
        <v>1158</v>
      </c>
      <c r="E1023" t="s">
        <v>13</v>
      </c>
      <c r="F1023">
        <v>618.54</v>
      </c>
      <c r="G1023">
        <v>70.290000000000006</v>
      </c>
      <c r="H1023">
        <v>688.83</v>
      </c>
    </row>
    <row r="1024" spans="1:8" x14ac:dyDescent="0.35">
      <c r="A1024" t="s">
        <v>9</v>
      </c>
      <c r="B1024" t="s">
        <v>1162</v>
      </c>
      <c r="C1024" t="s">
        <v>11</v>
      </c>
      <c r="D1024" t="s">
        <v>1158</v>
      </c>
      <c r="E1024" t="s">
        <v>13</v>
      </c>
      <c r="F1024">
        <v>282.89</v>
      </c>
      <c r="G1024">
        <v>37.04</v>
      </c>
      <c r="H1024">
        <v>319.93</v>
      </c>
    </row>
    <row r="1025" spans="1:8" x14ac:dyDescent="0.35">
      <c r="A1025" t="s">
        <v>9</v>
      </c>
      <c r="B1025" t="s">
        <v>1163</v>
      </c>
      <c r="C1025" t="s">
        <v>11</v>
      </c>
      <c r="D1025" t="s">
        <v>1158</v>
      </c>
      <c r="E1025" t="s">
        <v>13</v>
      </c>
      <c r="F1025">
        <v>429.67</v>
      </c>
      <c r="G1025">
        <v>62.95</v>
      </c>
      <c r="H1025">
        <v>492.62</v>
      </c>
    </row>
    <row r="1026" spans="1:8" x14ac:dyDescent="0.35">
      <c r="A1026" t="s">
        <v>9</v>
      </c>
      <c r="B1026" t="s">
        <v>1164</v>
      </c>
      <c r="C1026" t="s">
        <v>11</v>
      </c>
      <c r="D1026" t="s">
        <v>1158</v>
      </c>
      <c r="E1026" t="s">
        <v>13</v>
      </c>
      <c r="F1026">
        <v>135.16999999999999</v>
      </c>
      <c r="G1026">
        <v>18.77</v>
      </c>
      <c r="H1026">
        <v>153.94</v>
      </c>
    </row>
    <row r="1027" spans="1:8" x14ac:dyDescent="0.35">
      <c r="A1027" t="s">
        <v>9</v>
      </c>
      <c r="B1027" t="s">
        <v>1165</v>
      </c>
      <c r="C1027" t="s">
        <v>11</v>
      </c>
      <c r="D1027" t="s">
        <v>1158</v>
      </c>
      <c r="E1027" t="s">
        <v>13</v>
      </c>
      <c r="F1027">
        <v>597.86</v>
      </c>
      <c r="G1027">
        <v>86.68</v>
      </c>
      <c r="H1027">
        <v>684.54</v>
      </c>
    </row>
    <row r="1028" spans="1:8" x14ac:dyDescent="0.35">
      <c r="A1028" t="s">
        <v>9</v>
      </c>
      <c r="B1028" t="s">
        <v>1166</v>
      </c>
      <c r="C1028" t="s">
        <v>11</v>
      </c>
      <c r="D1028" t="s">
        <v>1167</v>
      </c>
      <c r="E1028" t="s">
        <v>13</v>
      </c>
      <c r="F1028">
        <v>778.23</v>
      </c>
      <c r="G1028">
        <v>91.54</v>
      </c>
      <c r="H1028">
        <v>869.77</v>
      </c>
    </row>
    <row r="1029" spans="1:8" x14ac:dyDescent="0.35">
      <c r="A1029" t="s">
        <v>9</v>
      </c>
      <c r="B1029" t="s">
        <v>1168</v>
      </c>
      <c r="C1029" t="s">
        <v>11</v>
      </c>
      <c r="D1029" t="s">
        <v>1167</v>
      </c>
      <c r="E1029" t="s">
        <v>13</v>
      </c>
      <c r="F1029">
        <v>148.26</v>
      </c>
      <c r="G1029">
        <v>20.74</v>
      </c>
      <c r="H1029">
        <v>169</v>
      </c>
    </row>
    <row r="1030" spans="1:8" x14ac:dyDescent="0.35">
      <c r="A1030" t="s">
        <v>9</v>
      </c>
      <c r="B1030" t="s">
        <v>1169</v>
      </c>
      <c r="C1030" t="s">
        <v>11</v>
      </c>
      <c r="D1030" t="s">
        <v>1167</v>
      </c>
      <c r="E1030" t="s">
        <v>13</v>
      </c>
      <c r="F1030">
        <v>530.67999999999995</v>
      </c>
      <c r="G1030">
        <v>69.11</v>
      </c>
      <c r="H1030">
        <v>599.79</v>
      </c>
    </row>
    <row r="1031" spans="1:8" x14ac:dyDescent="0.35">
      <c r="A1031" t="s">
        <v>9</v>
      </c>
      <c r="B1031" t="s">
        <v>1170</v>
      </c>
      <c r="C1031" t="s">
        <v>11</v>
      </c>
      <c r="D1031" t="s">
        <v>1167</v>
      </c>
      <c r="E1031" t="s">
        <v>13</v>
      </c>
      <c r="F1031">
        <v>809.74</v>
      </c>
      <c r="G1031">
        <v>94.47</v>
      </c>
      <c r="H1031">
        <v>904.21</v>
      </c>
    </row>
    <row r="1032" spans="1:8" x14ac:dyDescent="0.35">
      <c r="A1032" t="s">
        <v>9</v>
      </c>
      <c r="B1032" t="s">
        <v>1171</v>
      </c>
      <c r="C1032" t="s">
        <v>11</v>
      </c>
      <c r="D1032" t="s">
        <v>1167</v>
      </c>
      <c r="E1032" t="s">
        <v>13</v>
      </c>
      <c r="F1032">
        <v>285.47000000000003</v>
      </c>
      <c r="G1032">
        <v>38.47</v>
      </c>
      <c r="H1032">
        <v>323.94</v>
      </c>
    </row>
    <row r="1033" spans="1:8" x14ac:dyDescent="0.35">
      <c r="A1033" t="s">
        <v>9</v>
      </c>
      <c r="B1033" t="s">
        <v>1172</v>
      </c>
      <c r="C1033" t="s">
        <v>11</v>
      </c>
      <c r="D1033" t="s">
        <v>1167</v>
      </c>
      <c r="E1033" t="s">
        <v>13</v>
      </c>
      <c r="F1033">
        <v>514.73</v>
      </c>
      <c r="G1033">
        <v>74.209999999999994</v>
      </c>
      <c r="H1033">
        <v>588.94000000000005</v>
      </c>
    </row>
    <row r="1034" spans="1:8" x14ac:dyDescent="0.35">
      <c r="A1034" t="s">
        <v>9</v>
      </c>
      <c r="B1034" t="s">
        <v>1173</v>
      </c>
      <c r="C1034" t="s">
        <v>11</v>
      </c>
      <c r="D1034" t="s">
        <v>1167</v>
      </c>
      <c r="E1034" t="s">
        <v>13</v>
      </c>
      <c r="F1034">
        <v>142.62</v>
      </c>
      <c r="G1034">
        <v>13.9</v>
      </c>
      <c r="H1034">
        <v>156.52000000000001</v>
      </c>
    </row>
    <row r="1035" spans="1:8" x14ac:dyDescent="0.35">
      <c r="A1035" t="s">
        <v>9</v>
      </c>
      <c r="B1035" t="s">
        <v>1174</v>
      </c>
      <c r="C1035" t="s">
        <v>11</v>
      </c>
      <c r="D1035" t="s">
        <v>1167</v>
      </c>
      <c r="E1035" t="s">
        <v>13</v>
      </c>
      <c r="F1035">
        <v>198.23</v>
      </c>
      <c r="G1035">
        <v>26.74</v>
      </c>
      <c r="H1035">
        <v>224.97</v>
      </c>
    </row>
    <row r="1036" spans="1:8" x14ac:dyDescent="0.35">
      <c r="A1036" t="s">
        <v>9</v>
      </c>
      <c r="B1036" t="s">
        <v>1175</v>
      </c>
      <c r="C1036" t="s">
        <v>11</v>
      </c>
      <c r="D1036" t="s">
        <v>1167</v>
      </c>
      <c r="E1036" t="s">
        <v>13</v>
      </c>
      <c r="F1036">
        <v>483.66</v>
      </c>
      <c r="G1036">
        <v>38.11</v>
      </c>
      <c r="H1036">
        <v>521.77</v>
      </c>
    </row>
    <row r="1037" spans="1:8" x14ac:dyDescent="0.35">
      <c r="A1037" t="s">
        <v>9</v>
      </c>
      <c r="B1037" t="s">
        <v>1176</v>
      </c>
      <c r="C1037" t="s">
        <v>11</v>
      </c>
      <c r="D1037" t="s">
        <v>1167</v>
      </c>
      <c r="E1037" t="s">
        <v>13</v>
      </c>
      <c r="F1037">
        <v>559.52</v>
      </c>
      <c r="G1037">
        <v>75.38</v>
      </c>
      <c r="H1037">
        <v>634.9</v>
      </c>
    </row>
    <row r="1038" spans="1:8" x14ac:dyDescent="0.35">
      <c r="A1038" t="s">
        <v>9</v>
      </c>
      <c r="B1038" t="s">
        <v>1177</v>
      </c>
      <c r="C1038" t="s">
        <v>11</v>
      </c>
      <c r="D1038" t="s">
        <v>1167</v>
      </c>
      <c r="E1038" t="s">
        <v>13</v>
      </c>
      <c r="F1038">
        <v>206.13</v>
      </c>
      <c r="G1038">
        <v>22.82</v>
      </c>
      <c r="H1038">
        <v>228.95</v>
      </c>
    </row>
    <row r="1039" spans="1:8" x14ac:dyDescent="0.35">
      <c r="A1039" t="s">
        <v>9</v>
      </c>
      <c r="B1039" t="s">
        <v>1178</v>
      </c>
      <c r="C1039" t="s">
        <v>11</v>
      </c>
      <c r="D1039" t="s">
        <v>1167</v>
      </c>
      <c r="E1039" t="s">
        <v>13</v>
      </c>
      <c r="F1039">
        <v>165.95</v>
      </c>
      <c r="G1039">
        <v>10.039999999999999</v>
      </c>
      <c r="H1039">
        <v>175.99</v>
      </c>
    </row>
    <row r="1040" spans="1:8" x14ac:dyDescent="0.35">
      <c r="A1040" t="s">
        <v>9</v>
      </c>
      <c r="B1040" t="s">
        <v>1179</v>
      </c>
      <c r="C1040" t="s">
        <v>11</v>
      </c>
      <c r="D1040" t="s">
        <v>1167</v>
      </c>
      <c r="E1040" t="s">
        <v>13</v>
      </c>
      <c r="F1040">
        <v>143.22999999999999</v>
      </c>
      <c r="G1040">
        <v>14.74</v>
      </c>
      <c r="H1040">
        <v>157.97</v>
      </c>
    </row>
    <row r="1041" spans="1:8" x14ac:dyDescent="0.35">
      <c r="A1041" t="s">
        <v>9</v>
      </c>
      <c r="B1041" t="s">
        <v>1180</v>
      </c>
      <c r="C1041" t="s">
        <v>11</v>
      </c>
      <c r="D1041" t="s">
        <v>1181</v>
      </c>
      <c r="E1041" t="s">
        <v>13</v>
      </c>
      <c r="F1041">
        <v>281.89</v>
      </c>
      <c r="G1041">
        <v>26.99</v>
      </c>
      <c r="H1041">
        <v>308.88</v>
      </c>
    </row>
    <row r="1042" spans="1:8" x14ac:dyDescent="0.35">
      <c r="A1042" t="s">
        <v>9</v>
      </c>
      <c r="B1042" t="s">
        <v>1182</v>
      </c>
      <c r="C1042" t="s">
        <v>11</v>
      </c>
      <c r="D1042" t="s">
        <v>1181</v>
      </c>
      <c r="E1042" t="s">
        <v>13</v>
      </c>
      <c r="F1042">
        <v>240.46</v>
      </c>
      <c r="G1042">
        <v>20.170000000000002</v>
      </c>
      <c r="H1042">
        <v>260.63</v>
      </c>
    </row>
    <row r="1043" spans="1:8" x14ac:dyDescent="0.35">
      <c r="A1043" t="s">
        <v>9</v>
      </c>
      <c r="B1043" t="s">
        <v>1183</v>
      </c>
      <c r="C1043" t="s">
        <v>11</v>
      </c>
      <c r="D1043" t="s">
        <v>1181</v>
      </c>
      <c r="E1043" t="s">
        <v>13</v>
      </c>
      <c r="F1043">
        <v>147.36000000000001</v>
      </c>
      <c r="G1043">
        <v>22.1</v>
      </c>
      <c r="H1043">
        <v>169.46</v>
      </c>
    </row>
    <row r="1044" spans="1:8" x14ac:dyDescent="0.35">
      <c r="A1044" t="s">
        <v>9</v>
      </c>
      <c r="B1044" t="s">
        <v>1184</v>
      </c>
      <c r="C1044" t="s">
        <v>11</v>
      </c>
      <c r="D1044" t="s">
        <v>1181</v>
      </c>
      <c r="E1044" t="s">
        <v>13</v>
      </c>
      <c r="F1044">
        <v>309.19</v>
      </c>
      <c r="G1044">
        <v>22.69</v>
      </c>
      <c r="H1044">
        <v>331.88</v>
      </c>
    </row>
    <row r="1045" spans="1:8" x14ac:dyDescent="0.35">
      <c r="A1045" t="s">
        <v>9</v>
      </c>
      <c r="B1045" t="s">
        <v>1185</v>
      </c>
      <c r="C1045" t="s">
        <v>11</v>
      </c>
      <c r="D1045" t="s">
        <v>1181</v>
      </c>
      <c r="E1045" t="s">
        <v>13</v>
      </c>
      <c r="F1045">
        <v>99.56</v>
      </c>
      <c r="G1045">
        <v>13.43</v>
      </c>
      <c r="H1045">
        <v>112.99</v>
      </c>
    </row>
    <row r="1046" spans="1:8" x14ac:dyDescent="0.35">
      <c r="A1046" t="s">
        <v>9</v>
      </c>
      <c r="B1046" t="s">
        <v>1186</v>
      </c>
      <c r="C1046" t="s">
        <v>11</v>
      </c>
      <c r="D1046" t="s">
        <v>1181</v>
      </c>
      <c r="E1046" t="s">
        <v>13</v>
      </c>
      <c r="F1046">
        <v>137.35</v>
      </c>
      <c r="G1046">
        <v>20.6</v>
      </c>
      <c r="H1046">
        <v>157.94999999999999</v>
      </c>
    </row>
    <row r="1047" spans="1:8" x14ac:dyDescent="0.35">
      <c r="A1047" t="s">
        <v>9</v>
      </c>
      <c r="B1047" t="s">
        <v>1187</v>
      </c>
      <c r="C1047" t="s">
        <v>11</v>
      </c>
      <c r="D1047" t="s">
        <v>1181</v>
      </c>
      <c r="E1047" t="s">
        <v>13</v>
      </c>
      <c r="F1047">
        <v>495.54</v>
      </c>
      <c r="G1047">
        <v>41.34</v>
      </c>
      <c r="H1047">
        <v>536.88</v>
      </c>
    </row>
    <row r="1048" spans="1:8" x14ac:dyDescent="0.35">
      <c r="A1048" t="s">
        <v>9</v>
      </c>
      <c r="B1048" t="s">
        <v>1188</v>
      </c>
      <c r="C1048" t="s">
        <v>11</v>
      </c>
      <c r="D1048" t="s">
        <v>1181</v>
      </c>
      <c r="E1048" t="s">
        <v>13</v>
      </c>
      <c r="F1048">
        <v>205</v>
      </c>
      <c r="G1048">
        <v>25.95</v>
      </c>
      <c r="H1048">
        <v>230.95</v>
      </c>
    </row>
    <row r="1049" spans="1:8" x14ac:dyDescent="0.35">
      <c r="A1049" t="s">
        <v>9</v>
      </c>
      <c r="B1049" t="s">
        <v>1189</v>
      </c>
      <c r="C1049" t="s">
        <v>11</v>
      </c>
      <c r="D1049" t="s">
        <v>1181</v>
      </c>
      <c r="E1049" t="s">
        <v>13</v>
      </c>
      <c r="F1049">
        <v>133.44999999999999</v>
      </c>
      <c r="G1049">
        <v>18.52</v>
      </c>
      <c r="H1049">
        <v>151.97</v>
      </c>
    </row>
    <row r="1050" spans="1:8" x14ac:dyDescent="0.35">
      <c r="A1050" t="s">
        <v>9</v>
      </c>
      <c r="B1050" t="s">
        <v>1190</v>
      </c>
      <c r="C1050" t="s">
        <v>11</v>
      </c>
      <c r="D1050" t="s">
        <v>1181</v>
      </c>
      <c r="E1050" t="s">
        <v>13</v>
      </c>
      <c r="F1050">
        <v>131.93</v>
      </c>
      <c r="G1050">
        <v>13.04</v>
      </c>
      <c r="H1050">
        <v>144.97</v>
      </c>
    </row>
    <row r="1051" spans="1:8" x14ac:dyDescent="0.35">
      <c r="A1051" t="s">
        <v>9</v>
      </c>
      <c r="B1051" t="s">
        <v>1191</v>
      </c>
      <c r="C1051" t="s">
        <v>11</v>
      </c>
      <c r="D1051" t="s">
        <v>1181</v>
      </c>
      <c r="E1051" t="s">
        <v>13</v>
      </c>
      <c r="F1051">
        <v>169.1</v>
      </c>
      <c r="G1051">
        <v>23.86</v>
      </c>
      <c r="H1051">
        <v>192.96</v>
      </c>
    </row>
    <row r="1052" spans="1:8" x14ac:dyDescent="0.35">
      <c r="A1052" t="s">
        <v>9</v>
      </c>
      <c r="B1052" t="s">
        <v>1192</v>
      </c>
      <c r="C1052" t="s">
        <v>11</v>
      </c>
      <c r="D1052" t="s">
        <v>1181</v>
      </c>
      <c r="E1052" t="s">
        <v>13</v>
      </c>
      <c r="F1052">
        <v>192.13</v>
      </c>
      <c r="G1052">
        <v>28.82</v>
      </c>
      <c r="H1052">
        <v>220.95</v>
      </c>
    </row>
    <row r="1053" spans="1:8" x14ac:dyDescent="0.35">
      <c r="A1053" t="s">
        <v>9</v>
      </c>
      <c r="B1053" t="s">
        <v>1193</v>
      </c>
      <c r="C1053" t="s">
        <v>11</v>
      </c>
      <c r="D1053" t="s">
        <v>1181</v>
      </c>
      <c r="E1053" t="s">
        <v>13</v>
      </c>
      <c r="F1053">
        <v>341.66</v>
      </c>
      <c r="G1053">
        <v>51.25</v>
      </c>
      <c r="H1053">
        <v>392.91</v>
      </c>
    </row>
    <row r="1054" spans="1:8" x14ac:dyDescent="0.35">
      <c r="A1054" t="s">
        <v>9</v>
      </c>
      <c r="B1054" t="s">
        <v>1194</v>
      </c>
      <c r="C1054" t="s">
        <v>11</v>
      </c>
      <c r="D1054" t="s">
        <v>1181</v>
      </c>
      <c r="E1054" t="s">
        <v>13</v>
      </c>
      <c r="F1054">
        <v>169.53</v>
      </c>
      <c r="G1054">
        <v>25.43</v>
      </c>
      <c r="H1054">
        <v>194.96</v>
      </c>
    </row>
    <row r="1055" spans="1:8" x14ac:dyDescent="0.35">
      <c r="A1055" t="s">
        <v>9</v>
      </c>
      <c r="B1055" t="s">
        <v>1195</v>
      </c>
      <c r="C1055" t="s">
        <v>11</v>
      </c>
      <c r="D1055" t="s">
        <v>1181</v>
      </c>
      <c r="E1055" t="s">
        <v>13</v>
      </c>
      <c r="F1055">
        <v>156.47999999999999</v>
      </c>
      <c r="G1055">
        <v>14.48</v>
      </c>
      <c r="H1055">
        <v>170.96</v>
      </c>
    </row>
    <row r="1056" spans="1:8" x14ac:dyDescent="0.35">
      <c r="A1056" t="s">
        <v>9</v>
      </c>
      <c r="B1056" t="s">
        <v>1196</v>
      </c>
      <c r="C1056" t="s">
        <v>11</v>
      </c>
      <c r="D1056" t="s">
        <v>1181</v>
      </c>
      <c r="E1056" t="s">
        <v>13</v>
      </c>
      <c r="F1056">
        <v>179.08</v>
      </c>
      <c r="G1056">
        <v>26.86</v>
      </c>
      <c r="H1056">
        <v>205.94</v>
      </c>
    </row>
    <row r="1057" spans="1:8" x14ac:dyDescent="0.35">
      <c r="A1057" t="s">
        <v>9</v>
      </c>
      <c r="B1057" t="s">
        <v>1197</v>
      </c>
      <c r="C1057" t="s">
        <v>11</v>
      </c>
      <c r="D1057" t="s">
        <v>1198</v>
      </c>
      <c r="E1057" t="s">
        <v>13</v>
      </c>
      <c r="F1057">
        <v>503.42</v>
      </c>
      <c r="G1057">
        <v>69.510000000000005</v>
      </c>
      <c r="H1057">
        <v>572.92999999999995</v>
      </c>
    </row>
    <row r="1058" spans="1:8" x14ac:dyDescent="0.35">
      <c r="A1058" t="s">
        <v>9</v>
      </c>
      <c r="B1058" t="s">
        <v>1199</v>
      </c>
      <c r="C1058" t="s">
        <v>11</v>
      </c>
      <c r="D1058" t="s">
        <v>1198</v>
      </c>
      <c r="E1058" t="s">
        <v>13</v>
      </c>
      <c r="F1058">
        <v>504.95</v>
      </c>
      <c r="G1058">
        <v>65.989999999999995</v>
      </c>
      <c r="H1058">
        <v>570.94000000000005</v>
      </c>
    </row>
    <row r="1059" spans="1:8" x14ac:dyDescent="0.35">
      <c r="A1059" t="s">
        <v>9</v>
      </c>
      <c r="B1059" t="s">
        <v>1200</v>
      </c>
      <c r="C1059" t="s">
        <v>11</v>
      </c>
      <c r="D1059" t="s">
        <v>1198</v>
      </c>
      <c r="E1059" t="s">
        <v>13</v>
      </c>
      <c r="F1059">
        <v>269.93</v>
      </c>
      <c r="G1059">
        <v>38.99</v>
      </c>
      <c r="H1059">
        <v>308.92</v>
      </c>
    </row>
    <row r="1060" spans="1:8" x14ac:dyDescent="0.35">
      <c r="A1060" t="s">
        <v>9</v>
      </c>
      <c r="B1060" t="s">
        <v>1201</v>
      </c>
      <c r="C1060" t="s">
        <v>11</v>
      </c>
      <c r="D1060" t="s">
        <v>1198</v>
      </c>
      <c r="E1060" t="s">
        <v>13</v>
      </c>
      <c r="F1060">
        <v>232.71</v>
      </c>
      <c r="G1060">
        <v>29.21</v>
      </c>
      <c r="H1060">
        <v>261.92</v>
      </c>
    </row>
    <row r="1061" spans="1:8" x14ac:dyDescent="0.35">
      <c r="A1061" t="s">
        <v>9</v>
      </c>
      <c r="B1061" t="s">
        <v>1202</v>
      </c>
      <c r="C1061" t="s">
        <v>11</v>
      </c>
      <c r="D1061" t="s">
        <v>1198</v>
      </c>
      <c r="E1061" t="s">
        <v>13</v>
      </c>
      <c r="F1061">
        <v>125.83</v>
      </c>
      <c r="G1061">
        <v>12.13</v>
      </c>
      <c r="H1061">
        <v>137.96</v>
      </c>
    </row>
    <row r="1062" spans="1:8" x14ac:dyDescent="0.35">
      <c r="A1062" t="s">
        <v>9</v>
      </c>
      <c r="B1062" t="s">
        <v>1203</v>
      </c>
      <c r="C1062" t="s">
        <v>11</v>
      </c>
      <c r="D1062" t="s">
        <v>1204</v>
      </c>
      <c r="E1062" t="s">
        <v>13</v>
      </c>
      <c r="F1062">
        <v>325.7</v>
      </c>
      <c r="G1062">
        <v>25.16</v>
      </c>
      <c r="H1062">
        <v>350.86</v>
      </c>
    </row>
    <row r="1063" spans="1:8" x14ac:dyDescent="0.35">
      <c r="A1063" t="s">
        <v>9</v>
      </c>
      <c r="B1063" t="s">
        <v>1205</v>
      </c>
      <c r="C1063" t="s">
        <v>11</v>
      </c>
      <c r="D1063" t="s">
        <v>1204</v>
      </c>
      <c r="E1063" t="s">
        <v>13</v>
      </c>
      <c r="F1063">
        <v>364.89</v>
      </c>
      <c r="G1063">
        <v>43.04</v>
      </c>
      <c r="H1063">
        <v>407.93</v>
      </c>
    </row>
    <row r="1064" spans="1:8" x14ac:dyDescent="0.35">
      <c r="A1064" t="s">
        <v>9</v>
      </c>
      <c r="B1064" t="s">
        <v>1206</v>
      </c>
      <c r="C1064" t="s">
        <v>11</v>
      </c>
      <c r="D1064" t="s">
        <v>1204</v>
      </c>
      <c r="E1064" t="s">
        <v>13</v>
      </c>
      <c r="F1064">
        <v>136.61000000000001</v>
      </c>
      <c r="G1064">
        <v>7.16</v>
      </c>
      <c r="H1064">
        <v>143.77000000000001</v>
      </c>
    </row>
    <row r="1065" spans="1:8" x14ac:dyDescent="0.35">
      <c r="A1065" t="s">
        <v>9</v>
      </c>
      <c r="B1065" t="s">
        <v>1207</v>
      </c>
      <c r="C1065" t="s">
        <v>11</v>
      </c>
      <c r="D1065" t="s">
        <v>1204</v>
      </c>
      <c r="E1065" t="s">
        <v>13</v>
      </c>
      <c r="F1065">
        <v>245.95</v>
      </c>
      <c r="G1065">
        <v>28.94</v>
      </c>
      <c r="H1065">
        <v>274.89</v>
      </c>
    </row>
    <row r="1066" spans="1:8" x14ac:dyDescent="0.35">
      <c r="A1066" t="s">
        <v>9</v>
      </c>
      <c r="B1066" t="s">
        <v>1208</v>
      </c>
      <c r="C1066" t="s">
        <v>11</v>
      </c>
      <c r="D1066" t="s">
        <v>1204</v>
      </c>
      <c r="E1066" t="s">
        <v>13</v>
      </c>
      <c r="F1066">
        <v>166.48</v>
      </c>
      <c r="G1066">
        <v>14.47</v>
      </c>
      <c r="H1066">
        <v>180.95</v>
      </c>
    </row>
    <row r="1067" spans="1:8" x14ac:dyDescent="0.35">
      <c r="A1067" t="s">
        <v>9</v>
      </c>
      <c r="B1067" t="s">
        <v>1209</v>
      </c>
      <c r="C1067" t="s">
        <v>11</v>
      </c>
      <c r="D1067" t="s">
        <v>1204</v>
      </c>
      <c r="E1067" t="s">
        <v>13</v>
      </c>
      <c r="F1067">
        <v>192.97</v>
      </c>
      <c r="G1067">
        <v>28.94</v>
      </c>
      <c r="H1067">
        <v>221.91</v>
      </c>
    </row>
    <row r="1068" spans="1:8" x14ac:dyDescent="0.35">
      <c r="A1068" t="s">
        <v>9</v>
      </c>
      <c r="B1068" t="s">
        <v>1210</v>
      </c>
      <c r="C1068" t="s">
        <v>11</v>
      </c>
      <c r="D1068" t="s">
        <v>1204</v>
      </c>
      <c r="E1068" t="s">
        <v>13</v>
      </c>
      <c r="F1068">
        <v>398.25</v>
      </c>
      <c r="G1068">
        <v>45.64</v>
      </c>
      <c r="H1068">
        <v>443.89</v>
      </c>
    </row>
    <row r="1069" spans="1:8" x14ac:dyDescent="0.35">
      <c r="A1069" t="s">
        <v>9</v>
      </c>
      <c r="B1069" t="s">
        <v>1211</v>
      </c>
      <c r="C1069" t="s">
        <v>11</v>
      </c>
      <c r="D1069" t="s">
        <v>1204</v>
      </c>
      <c r="E1069" t="s">
        <v>13</v>
      </c>
      <c r="F1069">
        <v>227.36</v>
      </c>
      <c r="G1069">
        <v>29.6</v>
      </c>
      <c r="H1069">
        <v>256.95999999999998</v>
      </c>
    </row>
    <row r="1070" spans="1:8" x14ac:dyDescent="0.35">
      <c r="A1070" t="s">
        <v>9</v>
      </c>
      <c r="B1070" t="s">
        <v>1212</v>
      </c>
      <c r="C1070" t="s">
        <v>11</v>
      </c>
      <c r="D1070" t="s">
        <v>1213</v>
      </c>
      <c r="E1070" t="s">
        <v>13</v>
      </c>
      <c r="F1070">
        <v>393.87</v>
      </c>
      <c r="G1070">
        <v>41.08</v>
      </c>
      <c r="H1070">
        <v>434.95</v>
      </c>
    </row>
    <row r="1071" spans="1:8" x14ac:dyDescent="0.35">
      <c r="A1071" t="s">
        <v>9</v>
      </c>
      <c r="B1071" t="s">
        <v>1214</v>
      </c>
      <c r="C1071" t="s">
        <v>11</v>
      </c>
      <c r="D1071" t="s">
        <v>1213</v>
      </c>
      <c r="E1071" t="s">
        <v>13</v>
      </c>
      <c r="F1071">
        <v>284.31</v>
      </c>
      <c r="G1071">
        <v>42.65</v>
      </c>
      <c r="H1071">
        <v>326.95999999999998</v>
      </c>
    </row>
    <row r="1072" spans="1:8" x14ac:dyDescent="0.35">
      <c r="A1072" t="s">
        <v>9</v>
      </c>
      <c r="B1072" t="s">
        <v>1215</v>
      </c>
      <c r="C1072" t="s">
        <v>11</v>
      </c>
      <c r="D1072" t="s">
        <v>1213</v>
      </c>
      <c r="E1072" t="s">
        <v>13</v>
      </c>
      <c r="F1072">
        <v>289.44</v>
      </c>
      <c r="G1072">
        <v>15.52</v>
      </c>
      <c r="H1072">
        <v>304.95999999999998</v>
      </c>
    </row>
    <row r="1073" spans="1:8" x14ac:dyDescent="0.35">
      <c r="A1073" t="s">
        <v>9</v>
      </c>
      <c r="B1073" t="s">
        <v>1216</v>
      </c>
      <c r="C1073" t="s">
        <v>11</v>
      </c>
      <c r="D1073" t="s">
        <v>1213</v>
      </c>
      <c r="E1073" t="s">
        <v>13</v>
      </c>
      <c r="F1073">
        <v>903.09</v>
      </c>
      <c r="G1073">
        <v>73.680000000000007</v>
      </c>
      <c r="H1073">
        <v>976.77</v>
      </c>
    </row>
    <row r="1074" spans="1:8" x14ac:dyDescent="0.35">
      <c r="A1074" t="s">
        <v>9</v>
      </c>
      <c r="B1074" t="s">
        <v>1217</v>
      </c>
      <c r="C1074" t="s">
        <v>11</v>
      </c>
      <c r="D1074" t="s">
        <v>1213</v>
      </c>
      <c r="E1074" t="s">
        <v>13</v>
      </c>
      <c r="F1074">
        <v>185.59</v>
      </c>
      <c r="G1074">
        <v>11.35</v>
      </c>
      <c r="H1074">
        <v>196.94</v>
      </c>
    </row>
    <row r="1075" spans="1:8" x14ac:dyDescent="0.35">
      <c r="A1075" t="s">
        <v>9</v>
      </c>
      <c r="B1075" t="s">
        <v>1218</v>
      </c>
      <c r="C1075" t="s">
        <v>11</v>
      </c>
      <c r="D1075" t="s">
        <v>1213</v>
      </c>
      <c r="E1075" t="s">
        <v>13</v>
      </c>
      <c r="F1075">
        <v>199.93</v>
      </c>
      <c r="G1075">
        <v>10.039999999999999</v>
      </c>
      <c r="H1075">
        <v>209.97</v>
      </c>
    </row>
    <row r="1076" spans="1:8" x14ac:dyDescent="0.35">
      <c r="A1076" t="s">
        <v>9</v>
      </c>
      <c r="B1076" t="s">
        <v>1219</v>
      </c>
      <c r="C1076" t="s">
        <v>11</v>
      </c>
      <c r="D1076" t="s">
        <v>1213</v>
      </c>
      <c r="E1076" t="s">
        <v>13</v>
      </c>
      <c r="F1076">
        <v>768.3</v>
      </c>
      <c r="G1076">
        <v>107</v>
      </c>
      <c r="H1076">
        <v>875.3</v>
      </c>
    </row>
    <row r="1077" spans="1:8" x14ac:dyDescent="0.35">
      <c r="A1077" t="s">
        <v>9</v>
      </c>
      <c r="B1077" t="s">
        <v>1220</v>
      </c>
      <c r="C1077" t="s">
        <v>11</v>
      </c>
      <c r="D1077" t="s">
        <v>1221</v>
      </c>
      <c r="E1077" t="s">
        <v>13</v>
      </c>
      <c r="F1077">
        <v>222.98</v>
      </c>
      <c r="G1077">
        <v>19.95</v>
      </c>
      <c r="H1077">
        <v>242.93</v>
      </c>
    </row>
    <row r="1078" spans="1:8" x14ac:dyDescent="0.35">
      <c r="A1078" t="s">
        <v>9</v>
      </c>
      <c r="B1078" t="s">
        <v>1222</v>
      </c>
      <c r="C1078" t="s">
        <v>11</v>
      </c>
      <c r="D1078" t="s">
        <v>1221</v>
      </c>
      <c r="E1078" t="s">
        <v>13</v>
      </c>
      <c r="F1078">
        <v>233.19</v>
      </c>
      <c r="G1078">
        <v>23.73</v>
      </c>
      <c r="H1078">
        <v>256.92</v>
      </c>
    </row>
    <row r="1079" spans="1:8" x14ac:dyDescent="0.35">
      <c r="A1079" t="s">
        <v>9</v>
      </c>
      <c r="B1079" t="s">
        <v>1223</v>
      </c>
      <c r="C1079" t="s">
        <v>11</v>
      </c>
      <c r="D1079" t="s">
        <v>1221</v>
      </c>
      <c r="E1079" t="s">
        <v>13</v>
      </c>
      <c r="F1079">
        <v>164.13</v>
      </c>
      <c r="G1079">
        <v>13.82</v>
      </c>
      <c r="H1079">
        <v>177.95</v>
      </c>
    </row>
    <row r="1080" spans="1:8" x14ac:dyDescent="0.35">
      <c r="A1080" t="s">
        <v>9</v>
      </c>
      <c r="B1080" t="s">
        <v>1224</v>
      </c>
      <c r="C1080" t="s">
        <v>11</v>
      </c>
      <c r="D1080" t="s">
        <v>1221</v>
      </c>
      <c r="E1080" t="s">
        <v>13</v>
      </c>
      <c r="F1080">
        <v>367.82</v>
      </c>
      <c r="G1080">
        <v>29.08</v>
      </c>
      <c r="H1080">
        <v>396.9</v>
      </c>
    </row>
    <row r="1081" spans="1:8" x14ac:dyDescent="0.35">
      <c r="A1081" t="s">
        <v>9</v>
      </c>
      <c r="B1081" t="s">
        <v>1225</v>
      </c>
      <c r="C1081" t="s">
        <v>11</v>
      </c>
      <c r="D1081" t="s">
        <v>1221</v>
      </c>
      <c r="E1081" t="s">
        <v>13</v>
      </c>
      <c r="F1081">
        <v>314.29000000000002</v>
      </c>
      <c r="G1081">
        <v>27.65</v>
      </c>
      <c r="H1081">
        <v>341.94</v>
      </c>
    </row>
    <row r="1082" spans="1:8" x14ac:dyDescent="0.35">
      <c r="A1082" t="s">
        <v>9</v>
      </c>
      <c r="B1082" t="s">
        <v>1226</v>
      </c>
      <c r="C1082" t="s">
        <v>11</v>
      </c>
      <c r="D1082" t="s">
        <v>1221</v>
      </c>
      <c r="E1082" t="s">
        <v>13</v>
      </c>
      <c r="F1082">
        <v>292.58</v>
      </c>
      <c r="G1082">
        <v>39.39</v>
      </c>
      <c r="H1082">
        <v>331.97</v>
      </c>
    </row>
    <row r="1083" spans="1:8" x14ac:dyDescent="0.35">
      <c r="A1083" t="s">
        <v>9</v>
      </c>
      <c r="B1083" t="s">
        <v>1227</v>
      </c>
      <c r="C1083" t="s">
        <v>11</v>
      </c>
      <c r="D1083" t="s">
        <v>1228</v>
      </c>
      <c r="E1083" t="s">
        <v>13</v>
      </c>
      <c r="F1083">
        <v>225.2</v>
      </c>
      <c r="G1083">
        <v>33.78</v>
      </c>
      <c r="H1083">
        <v>258.98</v>
      </c>
    </row>
    <row r="1084" spans="1:8" x14ac:dyDescent="0.35">
      <c r="A1084" t="s">
        <v>9</v>
      </c>
      <c r="B1084" t="s">
        <v>1229</v>
      </c>
      <c r="C1084" t="s">
        <v>11</v>
      </c>
      <c r="D1084" t="s">
        <v>1228</v>
      </c>
      <c r="E1084" t="s">
        <v>13</v>
      </c>
      <c r="F1084">
        <v>162.13</v>
      </c>
      <c r="G1084">
        <v>22.82</v>
      </c>
      <c r="H1084">
        <v>184.95</v>
      </c>
    </row>
    <row r="1085" spans="1:8" x14ac:dyDescent="0.35">
      <c r="A1085" t="s">
        <v>9</v>
      </c>
      <c r="B1085" t="s">
        <v>1230</v>
      </c>
      <c r="C1085" t="s">
        <v>11</v>
      </c>
      <c r="D1085" t="s">
        <v>1228</v>
      </c>
      <c r="E1085" t="s">
        <v>13</v>
      </c>
      <c r="F1085">
        <v>976.5</v>
      </c>
      <c r="G1085">
        <v>130.12</v>
      </c>
      <c r="H1085">
        <v>1106.6199999999999</v>
      </c>
    </row>
    <row r="1086" spans="1:8" x14ac:dyDescent="0.35">
      <c r="A1086" t="s">
        <v>9</v>
      </c>
      <c r="B1086" t="s">
        <v>1231</v>
      </c>
      <c r="C1086" t="s">
        <v>11</v>
      </c>
      <c r="D1086" t="s">
        <v>1228</v>
      </c>
      <c r="E1086" t="s">
        <v>13</v>
      </c>
      <c r="F1086">
        <v>141.69999999999999</v>
      </c>
      <c r="G1086">
        <v>21.26</v>
      </c>
      <c r="H1086">
        <v>162.96</v>
      </c>
    </row>
    <row r="1087" spans="1:8" x14ac:dyDescent="0.35">
      <c r="A1087" t="s">
        <v>9</v>
      </c>
      <c r="B1087" t="s">
        <v>1232</v>
      </c>
      <c r="C1087" t="s">
        <v>11</v>
      </c>
      <c r="D1087" t="s">
        <v>1228</v>
      </c>
      <c r="E1087" t="s">
        <v>13</v>
      </c>
      <c r="F1087">
        <v>136.05000000000001</v>
      </c>
      <c r="G1087">
        <v>15.91</v>
      </c>
      <c r="H1087">
        <v>151.96</v>
      </c>
    </row>
    <row r="1088" spans="1:8" x14ac:dyDescent="0.35">
      <c r="A1088" t="s">
        <v>9</v>
      </c>
      <c r="B1088" t="s">
        <v>1233</v>
      </c>
      <c r="C1088" t="s">
        <v>11</v>
      </c>
      <c r="D1088" t="s">
        <v>1228</v>
      </c>
      <c r="E1088" t="s">
        <v>13</v>
      </c>
      <c r="F1088">
        <v>149.52000000000001</v>
      </c>
      <c r="G1088">
        <v>22.43</v>
      </c>
      <c r="H1088">
        <v>171.95</v>
      </c>
    </row>
    <row r="1089" spans="1:8" x14ac:dyDescent="0.35">
      <c r="A1089" t="s">
        <v>9</v>
      </c>
      <c r="B1089" t="s">
        <v>1234</v>
      </c>
      <c r="C1089" t="s">
        <v>11</v>
      </c>
      <c r="D1089" t="s">
        <v>1228</v>
      </c>
      <c r="E1089" t="s">
        <v>13</v>
      </c>
      <c r="F1089">
        <v>262.43</v>
      </c>
      <c r="G1089">
        <v>14.47</v>
      </c>
      <c r="H1089">
        <v>276.89999999999998</v>
      </c>
    </row>
    <row r="1090" spans="1:8" x14ac:dyDescent="0.35">
      <c r="A1090" t="s">
        <v>9</v>
      </c>
      <c r="B1090" t="s">
        <v>1235</v>
      </c>
      <c r="C1090" t="s">
        <v>11</v>
      </c>
      <c r="D1090" t="s">
        <v>1228</v>
      </c>
      <c r="E1090" t="s">
        <v>13</v>
      </c>
      <c r="F1090">
        <v>210.38</v>
      </c>
      <c r="G1090">
        <v>4.57</v>
      </c>
      <c r="H1090">
        <v>214.95</v>
      </c>
    </row>
    <row r="1091" spans="1:8" x14ac:dyDescent="0.35">
      <c r="A1091" t="s">
        <v>9</v>
      </c>
      <c r="B1091" t="s">
        <v>1236</v>
      </c>
      <c r="C1091" t="s">
        <v>11</v>
      </c>
      <c r="D1091" t="s">
        <v>1228</v>
      </c>
      <c r="E1091" t="s">
        <v>13</v>
      </c>
      <c r="F1091">
        <v>288.08999999999997</v>
      </c>
      <c r="G1091">
        <v>38.86</v>
      </c>
      <c r="H1091">
        <v>326.95</v>
      </c>
    </row>
    <row r="1092" spans="1:8" x14ac:dyDescent="0.35">
      <c r="A1092" t="s">
        <v>9</v>
      </c>
      <c r="B1092" t="s">
        <v>1237</v>
      </c>
      <c r="C1092" t="s">
        <v>11</v>
      </c>
      <c r="D1092" t="s">
        <v>1228</v>
      </c>
      <c r="E1092" t="s">
        <v>13</v>
      </c>
      <c r="F1092">
        <v>484.57</v>
      </c>
      <c r="G1092">
        <v>28.3</v>
      </c>
      <c r="H1092">
        <v>512.87</v>
      </c>
    </row>
    <row r="1093" spans="1:8" x14ac:dyDescent="0.35">
      <c r="A1093" t="s">
        <v>9</v>
      </c>
      <c r="B1093" t="s">
        <v>1238</v>
      </c>
      <c r="C1093" t="s">
        <v>11</v>
      </c>
      <c r="D1093" t="s">
        <v>1239</v>
      </c>
      <c r="E1093" t="s">
        <v>13</v>
      </c>
      <c r="F1093">
        <v>421.25</v>
      </c>
      <c r="G1093">
        <v>44.08</v>
      </c>
      <c r="H1093">
        <v>465.33</v>
      </c>
    </row>
    <row r="1094" spans="1:8" x14ac:dyDescent="0.35">
      <c r="A1094" t="s">
        <v>9</v>
      </c>
      <c r="B1094" t="s">
        <v>1240</v>
      </c>
      <c r="C1094" t="s">
        <v>11</v>
      </c>
      <c r="D1094" t="s">
        <v>1239</v>
      </c>
      <c r="E1094" t="s">
        <v>13</v>
      </c>
      <c r="F1094">
        <v>131.69</v>
      </c>
      <c r="G1094">
        <v>12.26</v>
      </c>
      <c r="H1094">
        <v>143.94999999999999</v>
      </c>
    </row>
    <row r="1095" spans="1:8" x14ac:dyDescent="0.35">
      <c r="A1095" t="s">
        <v>9</v>
      </c>
      <c r="B1095" t="s">
        <v>1241</v>
      </c>
      <c r="C1095" t="s">
        <v>11</v>
      </c>
      <c r="D1095" t="s">
        <v>1239</v>
      </c>
      <c r="E1095" t="s">
        <v>13</v>
      </c>
      <c r="F1095">
        <v>475.53</v>
      </c>
      <c r="G1095">
        <v>62.33</v>
      </c>
      <c r="H1095">
        <v>537.86</v>
      </c>
    </row>
    <row r="1096" spans="1:8" x14ac:dyDescent="0.35">
      <c r="A1096" t="s">
        <v>9</v>
      </c>
      <c r="B1096" t="s">
        <v>1242</v>
      </c>
      <c r="C1096" t="s">
        <v>11</v>
      </c>
      <c r="D1096" t="s">
        <v>1239</v>
      </c>
      <c r="E1096" t="s">
        <v>13</v>
      </c>
      <c r="F1096">
        <v>447.39</v>
      </c>
      <c r="G1096">
        <v>45.51</v>
      </c>
      <c r="H1096">
        <v>492.9</v>
      </c>
    </row>
    <row r="1097" spans="1:8" x14ac:dyDescent="0.35">
      <c r="A1097" t="s">
        <v>9</v>
      </c>
      <c r="B1097" t="s">
        <v>1243</v>
      </c>
      <c r="C1097" t="s">
        <v>11</v>
      </c>
      <c r="D1097" t="s">
        <v>1239</v>
      </c>
      <c r="E1097" t="s">
        <v>13</v>
      </c>
      <c r="F1097">
        <v>124.66</v>
      </c>
      <c r="G1097">
        <v>16.3</v>
      </c>
      <c r="H1097">
        <v>140.96</v>
      </c>
    </row>
    <row r="1098" spans="1:8" x14ac:dyDescent="0.35">
      <c r="A1098" t="s">
        <v>9</v>
      </c>
      <c r="B1098" t="s">
        <v>1244</v>
      </c>
      <c r="C1098" t="s">
        <v>11</v>
      </c>
      <c r="D1098" t="s">
        <v>1245</v>
      </c>
      <c r="E1098" t="s">
        <v>13</v>
      </c>
      <c r="F1098">
        <v>510.86</v>
      </c>
      <c r="G1098">
        <v>56.98</v>
      </c>
      <c r="H1098">
        <v>567.84</v>
      </c>
    </row>
    <row r="1099" spans="1:8" x14ac:dyDescent="0.35">
      <c r="A1099" t="s">
        <v>9</v>
      </c>
      <c r="B1099" t="s">
        <v>1246</v>
      </c>
      <c r="C1099" t="s">
        <v>11</v>
      </c>
      <c r="D1099" t="s">
        <v>1245</v>
      </c>
      <c r="E1099" t="s">
        <v>13</v>
      </c>
      <c r="F1099">
        <v>254.73</v>
      </c>
      <c r="G1099">
        <v>32.21</v>
      </c>
      <c r="H1099">
        <v>286.94</v>
      </c>
    </row>
    <row r="1100" spans="1:8" x14ac:dyDescent="0.35">
      <c r="A1100" t="s">
        <v>9</v>
      </c>
      <c r="B1100" t="s">
        <v>1247</v>
      </c>
      <c r="C1100" t="s">
        <v>11</v>
      </c>
      <c r="D1100" t="s">
        <v>1245</v>
      </c>
      <c r="E1100" t="s">
        <v>13</v>
      </c>
      <c r="F1100">
        <v>519.03</v>
      </c>
      <c r="G1100">
        <v>69.91</v>
      </c>
      <c r="H1100">
        <v>588.94000000000005</v>
      </c>
    </row>
    <row r="1101" spans="1:8" x14ac:dyDescent="0.35">
      <c r="A1101" t="s">
        <v>9</v>
      </c>
      <c r="B1101" t="s">
        <v>1248</v>
      </c>
      <c r="C1101" t="s">
        <v>11</v>
      </c>
      <c r="D1101" t="s">
        <v>1245</v>
      </c>
      <c r="E1101" t="s">
        <v>13</v>
      </c>
      <c r="F1101">
        <v>174.02</v>
      </c>
      <c r="G1101">
        <v>21.91</v>
      </c>
      <c r="H1101">
        <v>195.93</v>
      </c>
    </row>
    <row r="1102" spans="1:8" x14ac:dyDescent="0.35">
      <c r="A1102" t="s">
        <v>9</v>
      </c>
      <c r="B1102" t="s">
        <v>1249</v>
      </c>
      <c r="C1102" t="s">
        <v>11</v>
      </c>
      <c r="D1102" t="s">
        <v>1245</v>
      </c>
      <c r="E1102" t="s">
        <v>13</v>
      </c>
      <c r="F1102">
        <v>683.31</v>
      </c>
      <c r="G1102">
        <v>46.56</v>
      </c>
      <c r="H1102">
        <v>729.87</v>
      </c>
    </row>
    <row r="1103" spans="1:8" x14ac:dyDescent="0.35">
      <c r="A1103" t="s">
        <v>9</v>
      </c>
      <c r="B1103" t="s">
        <v>1250</v>
      </c>
      <c r="C1103" t="s">
        <v>11</v>
      </c>
      <c r="D1103" t="s">
        <v>1245</v>
      </c>
      <c r="E1103" t="s">
        <v>13</v>
      </c>
      <c r="F1103">
        <v>513.02</v>
      </c>
      <c r="G1103">
        <v>56.86</v>
      </c>
      <c r="H1103">
        <v>569.88</v>
      </c>
    </row>
    <row r="1104" spans="1:8" x14ac:dyDescent="0.35">
      <c r="A1104" t="s">
        <v>9</v>
      </c>
      <c r="B1104" t="s">
        <v>1251</v>
      </c>
      <c r="C1104" t="s">
        <v>11</v>
      </c>
      <c r="D1104" t="s">
        <v>1245</v>
      </c>
      <c r="E1104" t="s">
        <v>13</v>
      </c>
      <c r="F1104">
        <v>770.28</v>
      </c>
      <c r="G1104">
        <v>100.55</v>
      </c>
      <c r="H1104">
        <v>870.83</v>
      </c>
    </row>
    <row r="1105" spans="1:8" x14ac:dyDescent="0.35">
      <c r="A1105" t="s">
        <v>9</v>
      </c>
      <c r="B1105" t="s">
        <v>1252</v>
      </c>
      <c r="C1105" t="s">
        <v>11</v>
      </c>
      <c r="D1105" t="s">
        <v>1245</v>
      </c>
      <c r="E1105" t="s">
        <v>13</v>
      </c>
      <c r="F1105">
        <v>158.21</v>
      </c>
      <c r="G1105">
        <v>9.7799999999999994</v>
      </c>
      <c r="H1105">
        <v>167.99</v>
      </c>
    </row>
    <row r="1106" spans="1:8" x14ac:dyDescent="0.35">
      <c r="A1106" t="s">
        <v>9</v>
      </c>
      <c r="B1106" t="s">
        <v>1253</v>
      </c>
      <c r="C1106" t="s">
        <v>11</v>
      </c>
      <c r="D1106" t="s">
        <v>1245</v>
      </c>
      <c r="E1106" t="s">
        <v>13</v>
      </c>
      <c r="F1106">
        <v>200.36</v>
      </c>
      <c r="G1106">
        <v>25.55</v>
      </c>
      <c r="H1106">
        <v>225.91</v>
      </c>
    </row>
    <row r="1107" spans="1:8" x14ac:dyDescent="0.35">
      <c r="A1107" t="s">
        <v>9</v>
      </c>
      <c r="B1107" t="s">
        <v>1254</v>
      </c>
      <c r="C1107" t="s">
        <v>11</v>
      </c>
      <c r="D1107" t="s">
        <v>1255</v>
      </c>
      <c r="E1107" t="s">
        <v>13</v>
      </c>
      <c r="F1107">
        <v>267.77999999999997</v>
      </c>
      <c r="G1107">
        <v>40.17</v>
      </c>
      <c r="H1107">
        <v>307.95</v>
      </c>
    </row>
    <row r="1108" spans="1:8" x14ac:dyDescent="0.35">
      <c r="A1108" t="s">
        <v>9</v>
      </c>
      <c r="B1108" t="s">
        <v>1256</v>
      </c>
      <c r="C1108" t="s">
        <v>11</v>
      </c>
      <c r="D1108" t="s">
        <v>1255</v>
      </c>
      <c r="E1108" t="s">
        <v>13</v>
      </c>
      <c r="F1108">
        <v>858.55</v>
      </c>
      <c r="G1108">
        <v>100.14</v>
      </c>
      <c r="H1108">
        <v>958.69</v>
      </c>
    </row>
    <row r="1109" spans="1:8" x14ac:dyDescent="0.35">
      <c r="A1109" t="s">
        <v>9</v>
      </c>
      <c r="B1109" t="s">
        <v>1257</v>
      </c>
      <c r="C1109" t="s">
        <v>11</v>
      </c>
      <c r="D1109" t="s">
        <v>1255</v>
      </c>
      <c r="E1109" t="s">
        <v>13</v>
      </c>
      <c r="F1109">
        <v>311.55</v>
      </c>
      <c r="G1109">
        <v>38.340000000000003</v>
      </c>
      <c r="H1109">
        <v>349.89</v>
      </c>
    </row>
    <row r="1110" spans="1:8" x14ac:dyDescent="0.35">
      <c r="A1110" t="s">
        <v>9</v>
      </c>
      <c r="B1110" t="s">
        <v>1258</v>
      </c>
      <c r="C1110" t="s">
        <v>11</v>
      </c>
      <c r="D1110" t="s">
        <v>1255</v>
      </c>
      <c r="E1110" t="s">
        <v>13</v>
      </c>
      <c r="F1110">
        <v>481.4</v>
      </c>
      <c r="G1110">
        <v>56.47</v>
      </c>
      <c r="H1110">
        <v>537.87</v>
      </c>
    </row>
    <row r="1111" spans="1:8" x14ac:dyDescent="0.35">
      <c r="A1111" t="s">
        <v>9</v>
      </c>
      <c r="B1111" t="s">
        <v>1259</v>
      </c>
      <c r="C1111" t="s">
        <v>11</v>
      </c>
      <c r="D1111" t="s">
        <v>1255</v>
      </c>
      <c r="E1111" t="s">
        <v>13</v>
      </c>
      <c r="F1111">
        <v>529.84</v>
      </c>
      <c r="G1111">
        <v>61.03</v>
      </c>
      <c r="H1111">
        <v>590.87</v>
      </c>
    </row>
    <row r="1112" spans="1:8" x14ac:dyDescent="0.35">
      <c r="A1112" t="s">
        <v>9</v>
      </c>
      <c r="B1112" t="s">
        <v>1260</v>
      </c>
      <c r="C1112" t="s">
        <v>11</v>
      </c>
      <c r="D1112" t="s">
        <v>1255</v>
      </c>
      <c r="E1112" t="s">
        <v>13</v>
      </c>
      <c r="F1112">
        <v>117.35</v>
      </c>
      <c r="G1112">
        <v>17.600000000000001</v>
      </c>
      <c r="H1112">
        <v>134.94999999999999</v>
      </c>
    </row>
    <row r="1113" spans="1:8" x14ac:dyDescent="0.35">
      <c r="A1113" t="s">
        <v>9</v>
      </c>
      <c r="B1113" t="s">
        <v>1261</v>
      </c>
      <c r="C1113" t="s">
        <v>11</v>
      </c>
      <c r="D1113" t="s">
        <v>1255</v>
      </c>
      <c r="E1113" t="s">
        <v>13</v>
      </c>
      <c r="F1113">
        <v>248.49</v>
      </c>
      <c r="G1113">
        <v>31.43</v>
      </c>
      <c r="H1113">
        <v>279.92</v>
      </c>
    </row>
    <row r="1114" spans="1:8" x14ac:dyDescent="0.35">
      <c r="A1114" t="s">
        <v>9</v>
      </c>
      <c r="B1114" t="s">
        <v>1262</v>
      </c>
      <c r="C1114" t="s">
        <v>11</v>
      </c>
      <c r="D1114" t="s">
        <v>1255</v>
      </c>
      <c r="E1114" t="s">
        <v>13</v>
      </c>
      <c r="F1114">
        <v>170.57</v>
      </c>
      <c r="G1114">
        <v>12.39</v>
      </c>
      <c r="H1114">
        <v>182.96</v>
      </c>
    </row>
    <row r="1115" spans="1:8" x14ac:dyDescent="0.35">
      <c r="A1115" t="s">
        <v>9</v>
      </c>
      <c r="B1115" t="s">
        <v>1263</v>
      </c>
      <c r="C1115" t="s">
        <v>11</v>
      </c>
      <c r="D1115" t="s">
        <v>1255</v>
      </c>
      <c r="E1115" t="s">
        <v>13</v>
      </c>
      <c r="F1115">
        <v>130.15</v>
      </c>
      <c r="G1115">
        <v>7.82</v>
      </c>
      <c r="H1115">
        <v>137.97</v>
      </c>
    </row>
    <row r="1116" spans="1:8" x14ac:dyDescent="0.35">
      <c r="A1116" t="s">
        <v>9</v>
      </c>
      <c r="B1116" t="s">
        <v>1264</v>
      </c>
      <c r="C1116" t="s">
        <v>11</v>
      </c>
      <c r="D1116" t="s">
        <v>1255</v>
      </c>
      <c r="E1116" t="s">
        <v>13</v>
      </c>
      <c r="F1116">
        <v>149.97</v>
      </c>
      <c r="G1116">
        <v>20.99</v>
      </c>
      <c r="H1116">
        <v>170.96</v>
      </c>
    </row>
    <row r="1117" spans="1:8" x14ac:dyDescent="0.35">
      <c r="A1117" t="s">
        <v>9</v>
      </c>
      <c r="B1117" t="s">
        <v>1265</v>
      </c>
      <c r="C1117" t="s">
        <v>11</v>
      </c>
      <c r="D1117" t="s">
        <v>1255</v>
      </c>
      <c r="E1117" t="s">
        <v>13</v>
      </c>
      <c r="F1117">
        <v>156.83000000000001</v>
      </c>
      <c r="G1117">
        <v>18.13</v>
      </c>
      <c r="H1117">
        <v>174.96</v>
      </c>
    </row>
    <row r="1118" spans="1:8" x14ac:dyDescent="0.35">
      <c r="A1118" t="s">
        <v>9</v>
      </c>
      <c r="B1118" t="s">
        <v>1266</v>
      </c>
      <c r="C1118" t="s">
        <v>11</v>
      </c>
      <c r="D1118" t="s">
        <v>1255</v>
      </c>
      <c r="E1118" t="s">
        <v>13</v>
      </c>
      <c r="F1118">
        <v>197.8</v>
      </c>
      <c r="G1118">
        <v>15.13</v>
      </c>
      <c r="H1118">
        <v>212.93</v>
      </c>
    </row>
    <row r="1119" spans="1:8" x14ac:dyDescent="0.35">
      <c r="A1119" t="s">
        <v>9</v>
      </c>
      <c r="B1119" t="s">
        <v>1267</v>
      </c>
      <c r="C1119" t="s">
        <v>11</v>
      </c>
      <c r="D1119" t="s">
        <v>1268</v>
      </c>
      <c r="E1119" t="s">
        <v>13</v>
      </c>
      <c r="F1119">
        <v>142.02000000000001</v>
      </c>
      <c r="G1119">
        <v>17.41</v>
      </c>
      <c r="H1119">
        <v>159.43</v>
      </c>
    </row>
    <row r="1120" spans="1:8" x14ac:dyDescent="0.35">
      <c r="A1120" t="s">
        <v>9</v>
      </c>
      <c r="B1120" t="s">
        <v>1269</v>
      </c>
      <c r="C1120" t="s">
        <v>11</v>
      </c>
      <c r="D1120" t="s">
        <v>1268</v>
      </c>
      <c r="E1120" t="s">
        <v>13</v>
      </c>
      <c r="F1120">
        <v>760</v>
      </c>
      <c r="G1120">
        <v>102.91</v>
      </c>
      <c r="H1120">
        <v>862.91</v>
      </c>
    </row>
    <row r="1121" spans="1:8" x14ac:dyDescent="0.35">
      <c r="A1121" t="s">
        <v>9</v>
      </c>
      <c r="B1121" t="s">
        <v>1270</v>
      </c>
      <c r="C1121" t="s">
        <v>11</v>
      </c>
      <c r="D1121" t="s">
        <v>1268</v>
      </c>
      <c r="E1121" t="s">
        <v>13</v>
      </c>
      <c r="F1121">
        <v>164.3</v>
      </c>
      <c r="G1121">
        <v>15.65</v>
      </c>
      <c r="H1121">
        <v>179.95</v>
      </c>
    </row>
    <row r="1122" spans="1:8" x14ac:dyDescent="0.35">
      <c r="A1122" t="s">
        <v>9</v>
      </c>
      <c r="B1122" t="s">
        <v>1271</v>
      </c>
      <c r="C1122" t="s">
        <v>11</v>
      </c>
      <c r="D1122" t="s">
        <v>1268</v>
      </c>
      <c r="E1122" t="s">
        <v>13</v>
      </c>
      <c r="F1122">
        <v>252.16</v>
      </c>
      <c r="G1122">
        <v>37.82</v>
      </c>
      <c r="H1122">
        <v>289.98</v>
      </c>
    </row>
    <row r="1123" spans="1:8" x14ac:dyDescent="0.35">
      <c r="A1123" t="s">
        <v>9</v>
      </c>
      <c r="B1123" t="s">
        <v>1272</v>
      </c>
      <c r="C1123" t="s">
        <v>11</v>
      </c>
      <c r="D1123" t="s">
        <v>1273</v>
      </c>
      <c r="E1123" t="s">
        <v>13</v>
      </c>
      <c r="F1123">
        <v>955.15</v>
      </c>
      <c r="G1123">
        <v>134.58000000000001</v>
      </c>
      <c r="H1123">
        <v>1089.73</v>
      </c>
    </row>
    <row r="1124" spans="1:8" x14ac:dyDescent="0.35">
      <c r="A1124" t="s">
        <v>9</v>
      </c>
      <c r="B1124" t="s">
        <v>1274</v>
      </c>
      <c r="C1124" t="s">
        <v>11</v>
      </c>
      <c r="D1124" t="s">
        <v>1273</v>
      </c>
      <c r="E1124" t="s">
        <v>13</v>
      </c>
      <c r="F1124">
        <v>304.61</v>
      </c>
      <c r="G1124">
        <v>38.340000000000003</v>
      </c>
      <c r="H1124">
        <v>342.95</v>
      </c>
    </row>
    <row r="1125" spans="1:8" x14ac:dyDescent="0.35">
      <c r="A1125" t="s">
        <v>9</v>
      </c>
      <c r="B1125" t="s">
        <v>1275</v>
      </c>
      <c r="C1125" t="s">
        <v>11</v>
      </c>
      <c r="D1125" t="s">
        <v>1273</v>
      </c>
      <c r="E1125" t="s">
        <v>13</v>
      </c>
      <c r="F1125">
        <v>234.63</v>
      </c>
      <c r="G1125">
        <v>25.3</v>
      </c>
      <c r="H1125">
        <v>259.93</v>
      </c>
    </row>
    <row r="1126" spans="1:8" x14ac:dyDescent="0.35">
      <c r="A1126" t="s">
        <v>9</v>
      </c>
      <c r="B1126" t="s">
        <v>1276</v>
      </c>
      <c r="C1126" t="s">
        <v>11</v>
      </c>
      <c r="D1126" t="s">
        <v>1273</v>
      </c>
      <c r="E1126" t="s">
        <v>13</v>
      </c>
      <c r="F1126">
        <v>784.01</v>
      </c>
      <c r="G1126">
        <v>105.91</v>
      </c>
      <c r="H1126">
        <v>889.92</v>
      </c>
    </row>
    <row r="1127" spans="1:8" x14ac:dyDescent="0.35">
      <c r="A1127" t="s">
        <v>9</v>
      </c>
      <c r="B1127" t="s">
        <v>1277</v>
      </c>
      <c r="C1127" t="s">
        <v>11</v>
      </c>
      <c r="D1127" t="s">
        <v>1273</v>
      </c>
      <c r="E1127" t="s">
        <v>13</v>
      </c>
      <c r="F1127">
        <v>487.58</v>
      </c>
      <c r="G1127">
        <v>61.29</v>
      </c>
      <c r="H1127">
        <v>548.87</v>
      </c>
    </row>
    <row r="1128" spans="1:8" x14ac:dyDescent="0.35">
      <c r="A1128" t="s">
        <v>9</v>
      </c>
      <c r="B1128" t="s">
        <v>1278</v>
      </c>
      <c r="C1128" t="s">
        <v>11</v>
      </c>
      <c r="D1128" t="s">
        <v>1273</v>
      </c>
      <c r="E1128" t="s">
        <v>13</v>
      </c>
      <c r="F1128">
        <v>476.05</v>
      </c>
      <c r="G1128">
        <v>62.86</v>
      </c>
      <c r="H1128">
        <v>538.91</v>
      </c>
    </row>
    <row r="1129" spans="1:8" x14ac:dyDescent="0.35">
      <c r="A1129" t="s">
        <v>9</v>
      </c>
      <c r="B1129" t="s">
        <v>1279</v>
      </c>
      <c r="C1129" t="s">
        <v>11</v>
      </c>
      <c r="D1129" t="s">
        <v>1273</v>
      </c>
      <c r="E1129" t="s">
        <v>13</v>
      </c>
      <c r="F1129">
        <v>127.36</v>
      </c>
      <c r="G1129">
        <v>14.6</v>
      </c>
      <c r="H1129">
        <v>141.96</v>
      </c>
    </row>
    <row r="1130" spans="1:8" x14ac:dyDescent="0.35">
      <c r="A1130" t="s">
        <v>9</v>
      </c>
      <c r="B1130" t="s">
        <v>1280</v>
      </c>
      <c r="C1130" t="s">
        <v>11</v>
      </c>
      <c r="D1130" t="s">
        <v>1273</v>
      </c>
      <c r="E1130" t="s">
        <v>13</v>
      </c>
      <c r="F1130">
        <v>909.25</v>
      </c>
      <c r="G1130">
        <v>72.5</v>
      </c>
      <c r="H1130">
        <v>981.75</v>
      </c>
    </row>
    <row r="1131" spans="1:8" x14ac:dyDescent="0.35">
      <c r="A1131" t="s">
        <v>9</v>
      </c>
      <c r="B1131" t="s">
        <v>1281</v>
      </c>
      <c r="C1131" t="s">
        <v>11</v>
      </c>
      <c r="D1131" t="s">
        <v>1273</v>
      </c>
      <c r="E1131" t="s">
        <v>13</v>
      </c>
      <c r="F1131">
        <v>478.17</v>
      </c>
      <c r="G1131">
        <v>71.73</v>
      </c>
      <c r="H1131">
        <v>549.9</v>
      </c>
    </row>
    <row r="1132" spans="1:8" x14ac:dyDescent="0.35">
      <c r="A1132" t="s">
        <v>9</v>
      </c>
      <c r="B1132" t="s">
        <v>1282</v>
      </c>
      <c r="C1132" t="s">
        <v>11</v>
      </c>
      <c r="D1132" t="s">
        <v>1273</v>
      </c>
      <c r="E1132" t="s">
        <v>13</v>
      </c>
      <c r="F1132">
        <v>259.49</v>
      </c>
      <c r="G1132">
        <v>23.48</v>
      </c>
      <c r="H1132">
        <v>282.97000000000003</v>
      </c>
    </row>
    <row r="1133" spans="1:8" x14ac:dyDescent="0.35">
      <c r="A1133" t="s">
        <v>9</v>
      </c>
      <c r="B1133" t="s">
        <v>1283</v>
      </c>
      <c r="C1133" t="s">
        <v>11</v>
      </c>
      <c r="D1133" t="s">
        <v>1284</v>
      </c>
      <c r="E1133" t="s">
        <v>13</v>
      </c>
      <c r="F1133">
        <v>148.86000000000001</v>
      </c>
      <c r="G1133">
        <v>11.08</v>
      </c>
      <c r="H1133">
        <v>159.94</v>
      </c>
    </row>
    <row r="1134" spans="1:8" x14ac:dyDescent="0.35">
      <c r="A1134" t="s">
        <v>9</v>
      </c>
      <c r="B1134" t="s">
        <v>1285</v>
      </c>
      <c r="C1134" t="s">
        <v>11</v>
      </c>
      <c r="D1134" t="s">
        <v>1284</v>
      </c>
      <c r="E1134" t="s">
        <v>13</v>
      </c>
      <c r="F1134">
        <v>255.16</v>
      </c>
      <c r="G1134">
        <v>22.23</v>
      </c>
      <c r="H1134">
        <v>277.39</v>
      </c>
    </row>
    <row r="1135" spans="1:8" x14ac:dyDescent="0.35">
      <c r="A1135" t="s">
        <v>9</v>
      </c>
      <c r="B1135" t="s">
        <v>1286</v>
      </c>
      <c r="C1135" t="s">
        <v>11</v>
      </c>
      <c r="D1135" t="s">
        <v>1284</v>
      </c>
      <c r="E1135" t="s">
        <v>13</v>
      </c>
      <c r="F1135">
        <v>533.07000000000005</v>
      </c>
      <c r="G1135">
        <v>63.76</v>
      </c>
      <c r="H1135">
        <v>596.83000000000004</v>
      </c>
    </row>
    <row r="1136" spans="1:8" x14ac:dyDescent="0.35">
      <c r="A1136" t="s">
        <v>9</v>
      </c>
      <c r="B1136" t="s">
        <v>1287</v>
      </c>
      <c r="C1136" t="s">
        <v>11</v>
      </c>
      <c r="D1136" t="s">
        <v>1284</v>
      </c>
      <c r="E1136" t="s">
        <v>13</v>
      </c>
      <c r="F1136">
        <v>508.29</v>
      </c>
      <c r="G1136">
        <v>74.739999999999995</v>
      </c>
      <c r="H1136">
        <v>583.03</v>
      </c>
    </row>
    <row r="1137" spans="1:8" x14ac:dyDescent="0.35">
      <c r="A1137" t="s">
        <v>9</v>
      </c>
      <c r="B1137" t="s">
        <v>1288</v>
      </c>
      <c r="C1137" t="s">
        <v>11</v>
      </c>
      <c r="D1137" t="s">
        <v>1284</v>
      </c>
      <c r="E1137" t="s">
        <v>13</v>
      </c>
      <c r="F1137">
        <v>275.18</v>
      </c>
      <c r="G1137">
        <v>39.78</v>
      </c>
      <c r="H1137">
        <v>314.95999999999998</v>
      </c>
    </row>
    <row r="1138" spans="1:8" x14ac:dyDescent="0.35">
      <c r="A1138" t="s">
        <v>9</v>
      </c>
      <c r="B1138" t="s">
        <v>1289</v>
      </c>
      <c r="C1138" t="s">
        <v>11</v>
      </c>
      <c r="D1138" t="s">
        <v>1290</v>
      </c>
      <c r="E1138" t="s">
        <v>13</v>
      </c>
      <c r="F1138">
        <v>206.88</v>
      </c>
      <c r="G1138">
        <v>17.079999999999998</v>
      </c>
      <c r="H1138">
        <v>223.96</v>
      </c>
    </row>
    <row r="1139" spans="1:8" x14ac:dyDescent="0.35">
      <c r="A1139" t="s">
        <v>9</v>
      </c>
      <c r="B1139" t="s">
        <v>1291</v>
      </c>
      <c r="C1139" t="s">
        <v>11</v>
      </c>
      <c r="D1139" t="s">
        <v>1290</v>
      </c>
      <c r="E1139" t="s">
        <v>13</v>
      </c>
      <c r="F1139">
        <v>320.33</v>
      </c>
      <c r="G1139">
        <v>32.6</v>
      </c>
      <c r="H1139">
        <v>352.93</v>
      </c>
    </row>
    <row r="1140" spans="1:8" x14ac:dyDescent="0.35">
      <c r="A1140" t="s">
        <v>9</v>
      </c>
      <c r="B1140" t="s">
        <v>1292</v>
      </c>
      <c r="C1140" t="s">
        <v>11</v>
      </c>
      <c r="D1140" t="s">
        <v>1290</v>
      </c>
      <c r="E1140" t="s">
        <v>13</v>
      </c>
      <c r="F1140">
        <v>145.19999999999999</v>
      </c>
      <c r="G1140">
        <v>20.28</v>
      </c>
      <c r="H1140">
        <v>165.48</v>
      </c>
    </row>
    <row r="1141" spans="1:8" x14ac:dyDescent="0.35">
      <c r="A1141" t="s">
        <v>9</v>
      </c>
      <c r="B1141" t="s">
        <v>1293</v>
      </c>
      <c r="C1141" t="s">
        <v>11</v>
      </c>
      <c r="D1141" t="s">
        <v>1290</v>
      </c>
      <c r="E1141" t="s">
        <v>13</v>
      </c>
      <c r="F1141">
        <v>335.1</v>
      </c>
      <c r="G1141">
        <v>22.82</v>
      </c>
      <c r="H1141">
        <v>357.92</v>
      </c>
    </row>
    <row r="1142" spans="1:8" x14ac:dyDescent="0.35">
      <c r="A1142" t="s">
        <v>9</v>
      </c>
      <c r="B1142" t="s">
        <v>1294</v>
      </c>
      <c r="C1142" t="s">
        <v>11</v>
      </c>
      <c r="D1142" t="s">
        <v>1290</v>
      </c>
      <c r="E1142" t="s">
        <v>13</v>
      </c>
      <c r="F1142">
        <v>312.13</v>
      </c>
      <c r="G1142">
        <v>43.82</v>
      </c>
      <c r="H1142">
        <v>355.95</v>
      </c>
    </row>
    <row r="1143" spans="1:8" x14ac:dyDescent="0.35">
      <c r="A1143" t="s">
        <v>9</v>
      </c>
      <c r="B1143" t="s">
        <v>1295</v>
      </c>
      <c r="C1143" t="s">
        <v>11</v>
      </c>
      <c r="D1143" t="s">
        <v>1296</v>
      </c>
      <c r="E1143" t="s">
        <v>13</v>
      </c>
      <c r="F1143">
        <v>763.8</v>
      </c>
      <c r="G1143">
        <v>103.02</v>
      </c>
      <c r="H1143">
        <v>866.82</v>
      </c>
    </row>
    <row r="1144" spans="1:8" x14ac:dyDescent="0.35">
      <c r="A1144" t="s">
        <v>9</v>
      </c>
      <c r="B1144" t="s">
        <v>1297</v>
      </c>
      <c r="C1144" t="s">
        <v>11</v>
      </c>
      <c r="D1144" t="s">
        <v>1296</v>
      </c>
      <c r="E1144" t="s">
        <v>13</v>
      </c>
      <c r="F1144">
        <v>456.12</v>
      </c>
      <c r="G1144">
        <v>49.97</v>
      </c>
      <c r="H1144">
        <v>506.09</v>
      </c>
    </row>
    <row r="1145" spans="1:8" x14ac:dyDescent="0.35">
      <c r="A1145" t="s">
        <v>9</v>
      </c>
      <c r="B1145" t="s">
        <v>1298</v>
      </c>
      <c r="C1145" t="s">
        <v>11</v>
      </c>
      <c r="D1145" t="s">
        <v>1296</v>
      </c>
      <c r="E1145" t="s">
        <v>13</v>
      </c>
      <c r="F1145">
        <v>166.05</v>
      </c>
      <c r="G1145">
        <v>24.91</v>
      </c>
      <c r="H1145">
        <v>190.96</v>
      </c>
    </row>
    <row r="1146" spans="1:8" x14ac:dyDescent="0.35">
      <c r="A1146" t="s">
        <v>9</v>
      </c>
      <c r="B1146" t="s">
        <v>1299</v>
      </c>
      <c r="C1146" t="s">
        <v>11</v>
      </c>
      <c r="D1146" t="s">
        <v>1300</v>
      </c>
      <c r="E1146" t="s">
        <v>13</v>
      </c>
      <c r="F1146">
        <v>153.47</v>
      </c>
      <c r="G1146">
        <v>21.52</v>
      </c>
      <c r="H1146">
        <v>174.99</v>
      </c>
    </row>
    <row r="1147" spans="1:8" x14ac:dyDescent="0.35">
      <c r="A1147" t="s">
        <v>9</v>
      </c>
      <c r="B1147" t="s">
        <v>1301</v>
      </c>
      <c r="C1147" t="s">
        <v>11</v>
      </c>
      <c r="D1147" t="s">
        <v>1300</v>
      </c>
      <c r="E1147" t="s">
        <v>13</v>
      </c>
      <c r="F1147">
        <v>1126.44</v>
      </c>
      <c r="G1147">
        <v>146.77000000000001</v>
      </c>
      <c r="H1147">
        <v>1273.21</v>
      </c>
    </row>
    <row r="1148" spans="1:8" x14ac:dyDescent="0.35">
      <c r="A1148" t="s">
        <v>9</v>
      </c>
      <c r="B1148" t="s">
        <v>1302</v>
      </c>
      <c r="C1148" t="s">
        <v>11</v>
      </c>
      <c r="D1148" t="s">
        <v>1300</v>
      </c>
      <c r="E1148" t="s">
        <v>13</v>
      </c>
      <c r="F1148">
        <v>537.53</v>
      </c>
      <c r="G1148">
        <v>47.86</v>
      </c>
      <c r="H1148">
        <v>585.39</v>
      </c>
    </row>
    <row r="1149" spans="1:8" x14ac:dyDescent="0.35">
      <c r="A1149" t="s">
        <v>9</v>
      </c>
      <c r="B1149" t="s">
        <v>1303</v>
      </c>
      <c r="C1149" t="s">
        <v>11</v>
      </c>
      <c r="D1149" t="s">
        <v>1300</v>
      </c>
      <c r="E1149" t="s">
        <v>13</v>
      </c>
      <c r="F1149">
        <v>382.34</v>
      </c>
      <c r="G1149">
        <v>35.6</v>
      </c>
      <c r="H1149">
        <v>417.94</v>
      </c>
    </row>
    <row r="1150" spans="1:8" x14ac:dyDescent="0.35">
      <c r="A1150" t="s">
        <v>9</v>
      </c>
      <c r="B1150" t="s">
        <v>1304</v>
      </c>
      <c r="C1150" t="s">
        <v>11</v>
      </c>
      <c r="D1150" t="s">
        <v>1300</v>
      </c>
      <c r="E1150" t="s">
        <v>13</v>
      </c>
      <c r="F1150">
        <v>846.36</v>
      </c>
      <c r="G1150">
        <v>116.46</v>
      </c>
      <c r="H1150">
        <v>962.82</v>
      </c>
    </row>
    <row r="1151" spans="1:8" x14ac:dyDescent="0.35">
      <c r="A1151" t="s">
        <v>9</v>
      </c>
      <c r="B1151" t="s">
        <v>1305</v>
      </c>
      <c r="C1151" t="s">
        <v>11</v>
      </c>
      <c r="D1151" t="s">
        <v>1300</v>
      </c>
      <c r="E1151" t="s">
        <v>13</v>
      </c>
      <c r="F1151">
        <v>696.97</v>
      </c>
      <c r="G1151">
        <v>69.760000000000005</v>
      </c>
      <c r="H1151">
        <v>766.73</v>
      </c>
    </row>
    <row r="1152" spans="1:8" x14ac:dyDescent="0.35">
      <c r="A1152" t="s">
        <v>9</v>
      </c>
      <c r="B1152" t="s">
        <v>1306</v>
      </c>
      <c r="C1152" t="s">
        <v>11</v>
      </c>
      <c r="D1152" t="s">
        <v>1300</v>
      </c>
      <c r="E1152" t="s">
        <v>13</v>
      </c>
      <c r="F1152">
        <v>217.79</v>
      </c>
      <c r="G1152">
        <v>31.17</v>
      </c>
      <c r="H1152">
        <v>248.96</v>
      </c>
    </row>
    <row r="1153" spans="1:8" x14ac:dyDescent="0.35">
      <c r="A1153" t="s">
        <v>9</v>
      </c>
      <c r="B1153" t="s">
        <v>1307</v>
      </c>
      <c r="C1153" t="s">
        <v>11</v>
      </c>
      <c r="D1153" t="s">
        <v>1300</v>
      </c>
      <c r="E1153" t="s">
        <v>13</v>
      </c>
      <c r="F1153">
        <v>204.3</v>
      </c>
      <c r="G1153">
        <v>30.65</v>
      </c>
      <c r="H1153">
        <v>234.95</v>
      </c>
    </row>
    <row r="1154" spans="1:8" x14ac:dyDescent="0.35">
      <c r="A1154" t="s">
        <v>9</v>
      </c>
      <c r="B1154" t="s">
        <v>1308</v>
      </c>
      <c r="C1154" t="s">
        <v>11</v>
      </c>
      <c r="D1154" t="s">
        <v>1309</v>
      </c>
      <c r="E1154" t="s">
        <v>13</v>
      </c>
      <c r="F1154">
        <v>272.02999999999997</v>
      </c>
      <c r="G1154">
        <v>26.86</v>
      </c>
      <c r="H1154">
        <v>298.89</v>
      </c>
    </row>
    <row r="1155" spans="1:8" x14ac:dyDescent="0.35">
      <c r="A1155" t="s">
        <v>9</v>
      </c>
      <c r="B1155" t="s">
        <v>1310</v>
      </c>
      <c r="C1155" t="s">
        <v>11</v>
      </c>
      <c r="D1155" t="s">
        <v>1309</v>
      </c>
      <c r="E1155" t="s">
        <v>13</v>
      </c>
      <c r="F1155">
        <v>293.37</v>
      </c>
      <c r="G1155">
        <v>42.5</v>
      </c>
      <c r="H1155">
        <v>335.87</v>
      </c>
    </row>
    <row r="1156" spans="1:8" x14ac:dyDescent="0.35">
      <c r="A1156" t="s">
        <v>9</v>
      </c>
      <c r="B1156" t="s">
        <v>1311</v>
      </c>
      <c r="C1156" t="s">
        <v>11</v>
      </c>
      <c r="D1156" t="s">
        <v>1309</v>
      </c>
      <c r="E1156" t="s">
        <v>13</v>
      </c>
      <c r="F1156">
        <v>301.69</v>
      </c>
      <c r="G1156">
        <v>42.25</v>
      </c>
      <c r="H1156">
        <v>343.94</v>
      </c>
    </row>
    <row r="1157" spans="1:8" x14ac:dyDescent="0.35">
      <c r="A1157" t="s">
        <v>9</v>
      </c>
      <c r="B1157" t="s">
        <v>1312</v>
      </c>
      <c r="C1157" t="s">
        <v>11</v>
      </c>
      <c r="D1157" t="s">
        <v>1309</v>
      </c>
      <c r="E1157" t="s">
        <v>13</v>
      </c>
      <c r="F1157">
        <v>247.66</v>
      </c>
      <c r="G1157">
        <v>24.25</v>
      </c>
      <c r="H1157">
        <v>271.91000000000003</v>
      </c>
    </row>
    <row r="1158" spans="1:8" x14ac:dyDescent="0.35">
      <c r="A1158" t="s">
        <v>9</v>
      </c>
      <c r="B1158" t="s">
        <v>1313</v>
      </c>
      <c r="C1158" t="s">
        <v>11</v>
      </c>
      <c r="D1158" t="s">
        <v>1309</v>
      </c>
      <c r="E1158" t="s">
        <v>13</v>
      </c>
      <c r="F1158">
        <v>235.96</v>
      </c>
      <c r="G1158">
        <v>27.9</v>
      </c>
      <c r="H1158">
        <v>263.86</v>
      </c>
    </row>
    <row r="1159" spans="1:8" x14ac:dyDescent="0.35">
      <c r="A1159" t="s">
        <v>9</v>
      </c>
      <c r="B1159" t="s">
        <v>1314</v>
      </c>
      <c r="C1159" t="s">
        <v>11</v>
      </c>
      <c r="D1159" t="s">
        <v>1315</v>
      </c>
      <c r="E1159" t="s">
        <v>13</v>
      </c>
      <c r="F1159">
        <v>318.23</v>
      </c>
      <c r="G1159">
        <v>44.73</v>
      </c>
      <c r="H1159">
        <v>362.96</v>
      </c>
    </row>
    <row r="1160" spans="1:8" x14ac:dyDescent="0.35">
      <c r="A1160" t="s">
        <v>9</v>
      </c>
      <c r="B1160" t="s">
        <v>1316</v>
      </c>
      <c r="C1160" t="s">
        <v>11</v>
      </c>
      <c r="D1160" t="s">
        <v>1315</v>
      </c>
      <c r="E1160" t="s">
        <v>13</v>
      </c>
      <c r="F1160">
        <v>550.15</v>
      </c>
      <c r="G1160">
        <v>69.77</v>
      </c>
      <c r="H1160">
        <v>619.91999999999996</v>
      </c>
    </row>
    <row r="1161" spans="1:8" x14ac:dyDescent="0.35">
      <c r="A1161" t="s">
        <v>9</v>
      </c>
      <c r="B1161" t="s">
        <v>1317</v>
      </c>
      <c r="C1161" t="s">
        <v>11</v>
      </c>
      <c r="D1161" t="s">
        <v>1315</v>
      </c>
      <c r="E1161" t="s">
        <v>13</v>
      </c>
      <c r="F1161">
        <v>115.2</v>
      </c>
      <c r="G1161">
        <v>15.78</v>
      </c>
      <c r="H1161">
        <v>130.97999999999999</v>
      </c>
    </row>
    <row r="1162" spans="1:8" x14ac:dyDescent="0.35">
      <c r="A1162" t="s">
        <v>9</v>
      </c>
      <c r="B1162" t="s">
        <v>1318</v>
      </c>
      <c r="C1162" t="s">
        <v>11</v>
      </c>
      <c r="D1162" t="s">
        <v>1315</v>
      </c>
      <c r="E1162" t="s">
        <v>13</v>
      </c>
      <c r="F1162">
        <v>969.41</v>
      </c>
      <c r="G1162">
        <v>131.46</v>
      </c>
      <c r="H1162">
        <v>1100.8699999999999</v>
      </c>
    </row>
    <row r="1163" spans="1:8" x14ac:dyDescent="0.35">
      <c r="A1163" t="s">
        <v>9</v>
      </c>
      <c r="B1163" t="s">
        <v>1319</v>
      </c>
      <c r="C1163" t="s">
        <v>11</v>
      </c>
      <c r="D1163" t="s">
        <v>1320</v>
      </c>
      <c r="E1163" t="s">
        <v>13</v>
      </c>
      <c r="F1163">
        <v>434.22</v>
      </c>
      <c r="G1163">
        <v>49.68</v>
      </c>
      <c r="H1163">
        <v>483.9</v>
      </c>
    </row>
    <row r="1164" spans="1:8" x14ac:dyDescent="0.35">
      <c r="A1164" t="s">
        <v>9</v>
      </c>
      <c r="B1164" t="s">
        <v>1321</v>
      </c>
      <c r="C1164" t="s">
        <v>11</v>
      </c>
      <c r="D1164" t="s">
        <v>1320</v>
      </c>
      <c r="E1164" t="s">
        <v>13</v>
      </c>
      <c r="F1164">
        <v>428.61</v>
      </c>
      <c r="G1164">
        <v>39.25</v>
      </c>
      <c r="H1164">
        <v>467.86</v>
      </c>
    </row>
    <row r="1165" spans="1:8" x14ac:dyDescent="0.35">
      <c r="A1165" t="s">
        <v>9</v>
      </c>
      <c r="B1165" t="s">
        <v>1322</v>
      </c>
      <c r="C1165" t="s">
        <v>11</v>
      </c>
      <c r="D1165" t="s">
        <v>1320</v>
      </c>
      <c r="E1165" t="s">
        <v>13</v>
      </c>
      <c r="F1165">
        <v>328.64</v>
      </c>
      <c r="G1165">
        <v>49.3</v>
      </c>
      <c r="H1165">
        <v>377.94</v>
      </c>
    </row>
    <row r="1166" spans="1:8" x14ac:dyDescent="0.35">
      <c r="A1166" t="s">
        <v>9</v>
      </c>
      <c r="B1166" t="s">
        <v>1323</v>
      </c>
      <c r="C1166" t="s">
        <v>11</v>
      </c>
      <c r="D1166" t="s">
        <v>1320</v>
      </c>
      <c r="E1166" t="s">
        <v>13</v>
      </c>
      <c r="F1166">
        <v>163.44</v>
      </c>
      <c r="G1166">
        <v>24.52</v>
      </c>
      <c r="H1166">
        <v>187.96</v>
      </c>
    </row>
    <row r="1167" spans="1:8" x14ac:dyDescent="0.35">
      <c r="A1167" t="s">
        <v>9</v>
      </c>
      <c r="B1167" t="s">
        <v>1324</v>
      </c>
      <c r="C1167" t="s">
        <v>11</v>
      </c>
      <c r="D1167" t="s">
        <v>1320</v>
      </c>
      <c r="E1167" t="s">
        <v>13</v>
      </c>
      <c r="F1167">
        <v>575.1</v>
      </c>
      <c r="G1167">
        <v>84.77</v>
      </c>
      <c r="H1167">
        <v>659.87</v>
      </c>
    </row>
    <row r="1168" spans="1:8" x14ac:dyDescent="0.35">
      <c r="A1168" t="s">
        <v>9</v>
      </c>
      <c r="B1168" t="s">
        <v>1325</v>
      </c>
      <c r="C1168" t="s">
        <v>11</v>
      </c>
      <c r="D1168" t="s">
        <v>1326</v>
      </c>
      <c r="E1168" t="s">
        <v>13</v>
      </c>
      <c r="F1168">
        <v>244.09</v>
      </c>
      <c r="G1168">
        <v>29.87</v>
      </c>
      <c r="H1168">
        <v>273.95999999999998</v>
      </c>
    </row>
    <row r="1169" spans="1:8" x14ac:dyDescent="0.35">
      <c r="A1169" t="s">
        <v>9</v>
      </c>
      <c r="B1169" t="s">
        <v>1327</v>
      </c>
      <c r="C1169" t="s">
        <v>11</v>
      </c>
      <c r="D1169" t="s">
        <v>1326</v>
      </c>
      <c r="E1169" t="s">
        <v>13</v>
      </c>
      <c r="F1169">
        <v>430.24</v>
      </c>
      <c r="G1169">
        <v>61.69</v>
      </c>
      <c r="H1169">
        <v>491.93</v>
      </c>
    </row>
    <row r="1170" spans="1:8" x14ac:dyDescent="0.35">
      <c r="A1170" t="s">
        <v>9</v>
      </c>
      <c r="B1170" t="s">
        <v>1328</v>
      </c>
      <c r="C1170" t="s">
        <v>11</v>
      </c>
      <c r="D1170" t="s">
        <v>1326</v>
      </c>
      <c r="E1170" t="s">
        <v>13</v>
      </c>
      <c r="F1170">
        <v>694.42</v>
      </c>
      <c r="G1170">
        <v>88.42</v>
      </c>
      <c r="H1170">
        <v>782.84</v>
      </c>
    </row>
    <row r="1171" spans="1:8" x14ac:dyDescent="0.35">
      <c r="A1171" t="s">
        <v>9</v>
      </c>
      <c r="B1171" t="s">
        <v>1329</v>
      </c>
      <c r="C1171" t="s">
        <v>11</v>
      </c>
      <c r="D1171" t="s">
        <v>1326</v>
      </c>
      <c r="E1171" t="s">
        <v>13</v>
      </c>
      <c r="F1171">
        <v>663.83</v>
      </c>
      <c r="G1171">
        <v>98.07</v>
      </c>
      <c r="H1171">
        <v>761.9</v>
      </c>
    </row>
    <row r="1172" spans="1:8" x14ac:dyDescent="0.35">
      <c r="A1172" t="s">
        <v>9</v>
      </c>
      <c r="B1172" t="s">
        <v>1330</v>
      </c>
      <c r="C1172" t="s">
        <v>11</v>
      </c>
      <c r="D1172" t="s">
        <v>1326</v>
      </c>
      <c r="E1172" t="s">
        <v>13</v>
      </c>
      <c r="F1172">
        <v>184.72</v>
      </c>
      <c r="G1172">
        <v>26.21</v>
      </c>
      <c r="H1172">
        <v>210.93</v>
      </c>
    </row>
    <row r="1173" spans="1:8" x14ac:dyDescent="0.35">
      <c r="A1173" t="s">
        <v>9</v>
      </c>
      <c r="B1173" t="s">
        <v>1331</v>
      </c>
      <c r="C1173" t="s">
        <v>11</v>
      </c>
      <c r="D1173" t="s">
        <v>1326</v>
      </c>
      <c r="E1173" t="s">
        <v>13</v>
      </c>
      <c r="F1173">
        <v>250.74</v>
      </c>
      <c r="G1173">
        <v>19.690000000000001</v>
      </c>
      <c r="H1173">
        <v>270.43</v>
      </c>
    </row>
    <row r="1174" spans="1:8" x14ac:dyDescent="0.35">
      <c r="A1174" t="s">
        <v>9</v>
      </c>
      <c r="B1174" t="s">
        <v>1332</v>
      </c>
      <c r="C1174" t="s">
        <v>11</v>
      </c>
      <c r="D1174" t="s">
        <v>1326</v>
      </c>
      <c r="E1174" t="s">
        <v>13</v>
      </c>
      <c r="F1174">
        <v>362.12</v>
      </c>
      <c r="G1174">
        <v>52.82</v>
      </c>
      <c r="H1174">
        <v>414.94</v>
      </c>
    </row>
    <row r="1175" spans="1:8" x14ac:dyDescent="0.35">
      <c r="A1175" t="s">
        <v>9</v>
      </c>
      <c r="B1175" t="s">
        <v>1333</v>
      </c>
      <c r="C1175" t="s">
        <v>11</v>
      </c>
      <c r="D1175" t="s">
        <v>1334</v>
      </c>
      <c r="E1175" t="s">
        <v>13</v>
      </c>
      <c r="F1175">
        <v>131.28</v>
      </c>
      <c r="G1175">
        <v>19.690000000000001</v>
      </c>
      <c r="H1175">
        <v>150.97</v>
      </c>
    </row>
    <row r="1176" spans="1:8" x14ac:dyDescent="0.35">
      <c r="A1176" t="s">
        <v>9</v>
      </c>
      <c r="B1176" t="s">
        <v>1335</v>
      </c>
      <c r="C1176" t="s">
        <v>11</v>
      </c>
      <c r="D1176" t="s">
        <v>1336</v>
      </c>
      <c r="E1176" t="s">
        <v>13</v>
      </c>
      <c r="F1176">
        <v>277.14999999999998</v>
      </c>
      <c r="G1176">
        <v>34.07</v>
      </c>
      <c r="H1176">
        <v>311.22000000000003</v>
      </c>
    </row>
    <row r="1177" spans="1:8" x14ac:dyDescent="0.35">
      <c r="A1177" t="s">
        <v>9</v>
      </c>
      <c r="B1177" t="s">
        <v>1337</v>
      </c>
      <c r="C1177" t="s">
        <v>11</v>
      </c>
      <c r="D1177" t="s">
        <v>1336</v>
      </c>
      <c r="E1177" t="s">
        <v>13</v>
      </c>
      <c r="F1177">
        <v>115.97</v>
      </c>
      <c r="G1177">
        <v>15</v>
      </c>
      <c r="H1177">
        <v>130.97</v>
      </c>
    </row>
    <row r="1178" spans="1:8" x14ac:dyDescent="0.35">
      <c r="A1178" t="s">
        <v>9</v>
      </c>
      <c r="B1178" t="s">
        <v>1338</v>
      </c>
      <c r="C1178" t="s">
        <v>11</v>
      </c>
      <c r="D1178" t="s">
        <v>1336</v>
      </c>
      <c r="E1178" t="s">
        <v>13</v>
      </c>
      <c r="F1178">
        <v>880.06</v>
      </c>
      <c r="G1178">
        <v>97.07</v>
      </c>
      <c r="H1178">
        <v>977.13</v>
      </c>
    </row>
    <row r="1179" spans="1:8" x14ac:dyDescent="0.35">
      <c r="A1179" t="s">
        <v>9</v>
      </c>
      <c r="B1179" t="s">
        <v>1339</v>
      </c>
      <c r="C1179" t="s">
        <v>11</v>
      </c>
      <c r="D1179" t="s">
        <v>1336</v>
      </c>
      <c r="E1179" t="s">
        <v>13</v>
      </c>
      <c r="F1179">
        <v>467.65</v>
      </c>
      <c r="G1179">
        <v>70.150000000000006</v>
      </c>
      <c r="H1179">
        <v>537.79999999999995</v>
      </c>
    </row>
    <row r="1180" spans="1:8" x14ac:dyDescent="0.35">
      <c r="A1180" t="s">
        <v>9</v>
      </c>
      <c r="B1180" t="s">
        <v>1340</v>
      </c>
      <c r="C1180" t="s">
        <v>11</v>
      </c>
      <c r="D1180" t="s">
        <v>1336</v>
      </c>
      <c r="E1180" t="s">
        <v>13</v>
      </c>
      <c r="F1180">
        <v>471.34</v>
      </c>
      <c r="G1180">
        <v>64.55</v>
      </c>
      <c r="H1180">
        <v>535.89</v>
      </c>
    </row>
    <row r="1181" spans="1:8" x14ac:dyDescent="0.35">
      <c r="A1181" t="s">
        <v>9</v>
      </c>
      <c r="B1181" t="s">
        <v>1341</v>
      </c>
      <c r="C1181" t="s">
        <v>11</v>
      </c>
      <c r="D1181" t="s">
        <v>1336</v>
      </c>
      <c r="E1181" t="s">
        <v>13</v>
      </c>
      <c r="F1181">
        <v>239.56</v>
      </c>
      <c r="G1181">
        <v>27.39</v>
      </c>
      <c r="H1181">
        <v>266.95</v>
      </c>
    </row>
    <row r="1182" spans="1:8" x14ac:dyDescent="0.35">
      <c r="A1182" t="s">
        <v>9</v>
      </c>
      <c r="B1182" t="s">
        <v>1342</v>
      </c>
      <c r="C1182" t="s">
        <v>11</v>
      </c>
      <c r="D1182" t="s">
        <v>1336</v>
      </c>
      <c r="E1182" t="s">
        <v>13</v>
      </c>
      <c r="F1182">
        <v>493.22</v>
      </c>
      <c r="G1182">
        <v>50.82</v>
      </c>
      <c r="H1182">
        <v>544.04</v>
      </c>
    </row>
    <row r="1183" spans="1:8" x14ac:dyDescent="0.35">
      <c r="A1183" t="s">
        <v>9</v>
      </c>
      <c r="B1183" t="s">
        <v>1343</v>
      </c>
      <c r="C1183" t="s">
        <v>11</v>
      </c>
      <c r="D1183" t="s">
        <v>1344</v>
      </c>
      <c r="E1183" t="s">
        <v>13</v>
      </c>
      <c r="F1183">
        <v>200.33</v>
      </c>
      <c r="G1183">
        <v>20.6</v>
      </c>
      <c r="H1183">
        <v>220.93</v>
      </c>
    </row>
    <row r="1184" spans="1:8" x14ac:dyDescent="0.35">
      <c r="A1184" t="s">
        <v>9</v>
      </c>
      <c r="B1184" t="s">
        <v>1345</v>
      </c>
      <c r="C1184" t="s">
        <v>11</v>
      </c>
      <c r="D1184" t="s">
        <v>1344</v>
      </c>
      <c r="E1184" t="s">
        <v>13</v>
      </c>
      <c r="F1184">
        <v>745.17</v>
      </c>
      <c r="G1184">
        <v>108.77</v>
      </c>
      <c r="H1184">
        <v>853.94</v>
      </c>
    </row>
    <row r="1185" spans="1:8" x14ac:dyDescent="0.35">
      <c r="A1185" t="s">
        <v>9</v>
      </c>
      <c r="B1185" t="s">
        <v>1346</v>
      </c>
      <c r="C1185" t="s">
        <v>11</v>
      </c>
      <c r="D1185" t="s">
        <v>1344</v>
      </c>
      <c r="E1185" t="s">
        <v>13</v>
      </c>
      <c r="F1185">
        <v>165.17</v>
      </c>
      <c r="G1185">
        <v>24.78</v>
      </c>
      <c r="H1185">
        <v>189.95</v>
      </c>
    </row>
    <row r="1186" spans="1:8" x14ac:dyDescent="0.35">
      <c r="A1186" t="s">
        <v>9</v>
      </c>
      <c r="B1186" t="s">
        <v>1347</v>
      </c>
      <c r="C1186" t="s">
        <v>11</v>
      </c>
      <c r="D1186" t="s">
        <v>1344</v>
      </c>
      <c r="E1186" t="s">
        <v>13</v>
      </c>
      <c r="F1186">
        <v>884.07</v>
      </c>
      <c r="G1186">
        <v>113.87</v>
      </c>
      <c r="H1186">
        <v>997.94</v>
      </c>
    </row>
    <row r="1187" spans="1:8" x14ac:dyDescent="0.35">
      <c r="A1187" t="s">
        <v>9</v>
      </c>
      <c r="B1187" t="s">
        <v>1348</v>
      </c>
      <c r="C1187" t="s">
        <v>11</v>
      </c>
      <c r="D1187" t="s">
        <v>1344</v>
      </c>
      <c r="E1187" t="s">
        <v>13</v>
      </c>
      <c r="F1187">
        <v>490.01</v>
      </c>
      <c r="G1187">
        <v>53.86</v>
      </c>
      <c r="H1187">
        <v>543.87</v>
      </c>
    </row>
    <row r="1188" spans="1:8" x14ac:dyDescent="0.35">
      <c r="A1188" t="s">
        <v>9</v>
      </c>
      <c r="B1188" t="s">
        <v>1349</v>
      </c>
      <c r="C1188" t="s">
        <v>11</v>
      </c>
      <c r="D1188" t="s">
        <v>1344</v>
      </c>
      <c r="E1188" t="s">
        <v>13</v>
      </c>
      <c r="F1188">
        <v>584.19000000000005</v>
      </c>
      <c r="G1188">
        <v>73.680000000000007</v>
      </c>
      <c r="H1188">
        <v>657.87</v>
      </c>
    </row>
    <row r="1189" spans="1:8" x14ac:dyDescent="0.35">
      <c r="A1189" t="s">
        <v>9</v>
      </c>
      <c r="B1189" t="s">
        <v>1350</v>
      </c>
      <c r="C1189" t="s">
        <v>11</v>
      </c>
      <c r="D1189" t="s">
        <v>1344</v>
      </c>
      <c r="E1189" t="s">
        <v>13</v>
      </c>
      <c r="F1189">
        <v>179.95</v>
      </c>
      <c r="G1189">
        <v>26.99</v>
      </c>
      <c r="H1189">
        <v>206.94</v>
      </c>
    </row>
    <row r="1190" spans="1:8" x14ac:dyDescent="0.35">
      <c r="A1190" t="s">
        <v>9</v>
      </c>
      <c r="B1190" t="s">
        <v>1351</v>
      </c>
      <c r="C1190" t="s">
        <v>11</v>
      </c>
      <c r="D1190" t="s">
        <v>1344</v>
      </c>
      <c r="E1190" t="s">
        <v>13</v>
      </c>
      <c r="F1190">
        <v>601.61</v>
      </c>
      <c r="G1190">
        <v>87.24</v>
      </c>
      <c r="H1190">
        <v>688.85</v>
      </c>
    </row>
    <row r="1191" spans="1:8" x14ac:dyDescent="0.35">
      <c r="A1191" t="s">
        <v>9</v>
      </c>
      <c r="B1191" t="s">
        <v>1352</v>
      </c>
      <c r="C1191" t="s">
        <v>11</v>
      </c>
      <c r="D1191" t="s">
        <v>1353</v>
      </c>
      <c r="E1191" t="s">
        <v>13</v>
      </c>
      <c r="F1191">
        <v>289.04000000000002</v>
      </c>
      <c r="G1191">
        <v>36.909999999999997</v>
      </c>
      <c r="H1191">
        <v>325.95</v>
      </c>
    </row>
    <row r="1192" spans="1:8" x14ac:dyDescent="0.35">
      <c r="A1192" t="s">
        <v>9</v>
      </c>
      <c r="B1192" t="s">
        <v>1354</v>
      </c>
      <c r="C1192" t="s">
        <v>11</v>
      </c>
      <c r="D1192" t="s">
        <v>1353</v>
      </c>
      <c r="E1192" t="s">
        <v>13</v>
      </c>
      <c r="F1192">
        <v>149.11000000000001</v>
      </c>
      <c r="G1192">
        <v>20.87</v>
      </c>
      <c r="H1192">
        <v>169.98</v>
      </c>
    </row>
    <row r="1193" spans="1:8" x14ac:dyDescent="0.35">
      <c r="A1193" t="s">
        <v>9</v>
      </c>
      <c r="B1193" t="s">
        <v>1355</v>
      </c>
      <c r="C1193" t="s">
        <v>11</v>
      </c>
      <c r="D1193" t="s">
        <v>1353</v>
      </c>
      <c r="E1193" t="s">
        <v>13</v>
      </c>
      <c r="F1193">
        <v>170.33</v>
      </c>
      <c r="G1193">
        <v>21.13</v>
      </c>
      <c r="H1193">
        <v>191.46</v>
      </c>
    </row>
    <row r="1194" spans="1:8" x14ac:dyDescent="0.35">
      <c r="A1194" t="s">
        <v>9</v>
      </c>
      <c r="B1194" t="s">
        <v>1356</v>
      </c>
      <c r="C1194" t="s">
        <v>11</v>
      </c>
      <c r="D1194" t="s">
        <v>1353</v>
      </c>
      <c r="E1194" t="s">
        <v>13</v>
      </c>
      <c r="F1194">
        <v>379.55</v>
      </c>
      <c r="G1194">
        <v>35.86</v>
      </c>
      <c r="H1194">
        <v>415.41</v>
      </c>
    </row>
    <row r="1195" spans="1:8" x14ac:dyDescent="0.35">
      <c r="A1195" t="s">
        <v>9</v>
      </c>
      <c r="B1195" t="s">
        <v>1357</v>
      </c>
      <c r="C1195" t="s">
        <v>11</v>
      </c>
      <c r="D1195" t="s">
        <v>1353</v>
      </c>
      <c r="E1195" t="s">
        <v>13</v>
      </c>
      <c r="F1195">
        <v>465.55</v>
      </c>
      <c r="G1195">
        <v>23.34</v>
      </c>
      <c r="H1195">
        <v>488.89</v>
      </c>
    </row>
    <row r="1196" spans="1:8" x14ac:dyDescent="0.35">
      <c r="A1196" t="s">
        <v>9</v>
      </c>
      <c r="B1196" t="s">
        <v>1358</v>
      </c>
      <c r="C1196" t="s">
        <v>11</v>
      </c>
      <c r="D1196" t="s">
        <v>1359</v>
      </c>
      <c r="E1196" t="s">
        <v>13</v>
      </c>
      <c r="F1196">
        <v>241.7</v>
      </c>
      <c r="G1196">
        <v>36.25</v>
      </c>
      <c r="H1196">
        <v>277.95</v>
      </c>
    </row>
    <row r="1197" spans="1:8" x14ac:dyDescent="0.35">
      <c r="A1197" t="s">
        <v>9</v>
      </c>
      <c r="B1197" t="s">
        <v>1360</v>
      </c>
      <c r="C1197" t="s">
        <v>11</v>
      </c>
      <c r="D1197" t="s">
        <v>1359</v>
      </c>
      <c r="E1197" t="s">
        <v>13</v>
      </c>
      <c r="F1197">
        <v>771.15</v>
      </c>
      <c r="G1197">
        <v>101.72</v>
      </c>
      <c r="H1197">
        <v>872.87</v>
      </c>
    </row>
    <row r="1198" spans="1:8" x14ac:dyDescent="0.35">
      <c r="A1198" t="s">
        <v>9</v>
      </c>
      <c r="B1198" t="s">
        <v>1361</v>
      </c>
      <c r="C1198" t="s">
        <v>11</v>
      </c>
      <c r="D1198" t="s">
        <v>1359</v>
      </c>
      <c r="E1198" t="s">
        <v>13</v>
      </c>
      <c r="F1198">
        <v>307.77999999999997</v>
      </c>
      <c r="G1198">
        <v>32.07</v>
      </c>
      <c r="H1198">
        <v>339.85</v>
      </c>
    </row>
    <row r="1199" spans="1:8" x14ac:dyDescent="0.35">
      <c r="A1199" t="s">
        <v>9</v>
      </c>
      <c r="B1199" t="s">
        <v>1362</v>
      </c>
      <c r="C1199" t="s">
        <v>11</v>
      </c>
      <c r="D1199" t="s">
        <v>1359</v>
      </c>
      <c r="E1199" t="s">
        <v>13</v>
      </c>
      <c r="F1199">
        <v>461.36</v>
      </c>
      <c r="G1199">
        <v>62.16</v>
      </c>
      <c r="H1199">
        <v>523.52</v>
      </c>
    </row>
    <row r="1200" spans="1:8" x14ac:dyDescent="0.35">
      <c r="A1200" t="s">
        <v>9</v>
      </c>
      <c r="B1200" t="s">
        <v>1363</v>
      </c>
      <c r="C1200" t="s">
        <v>11</v>
      </c>
      <c r="D1200" t="s">
        <v>1359</v>
      </c>
      <c r="E1200" t="s">
        <v>13</v>
      </c>
      <c r="F1200">
        <v>278.60000000000002</v>
      </c>
      <c r="G1200">
        <v>26.34</v>
      </c>
      <c r="H1200">
        <v>304.94</v>
      </c>
    </row>
    <row r="1201" spans="1:8" x14ac:dyDescent="0.35">
      <c r="A1201" t="s">
        <v>9</v>
      </c>
      <c r="B1201" t="s">
        <v>1364</v>
      </c>
      <c r="C1201" t="s">
        <v>11</v>
      </c>
      <c r="D1201" t="s">
        <v>1359</v>
      </c>
      <c r="E1201" t="s">
        <v>13</v>
      </c>
      <c r="F1201">
        <v>395.53</v>
      </c>
      <c r="G1201">
        <v>44.34</v>
      </c>
      <c r="H1201">
        <v>439.87</v>
      </c>
    </row>
    <row r="1202" spans="1:8" x14ac:dyDescent="0.35">
      <c r="A1202" t="s">
        <v>9</v>
      </c>
      <c r="B1202" t="s">
        <v>1365</v>
      </c>
      <c r="C1202" t="s">
        <v>11</v>
      </c>
      <c r="D1202" t="s">
        <v>1359</v>
      </c>
      <c r="E1202" t="s">
        <v>13</v>
      </c>
      <c r="F1202">
        <v>722.62</v>
      </c>
      <c r="G1202">
        <v>92.95</v>
      </c>
      <c r="H1202">
        <v>815.57</v>
      </c>
    </row>
    <row r="1203" spans="1:8" x14ac:dyDescent="0.35">
      <c r="A1203" t="s">
        <v>9</v>
      </c>
      <c r="B1203" t="s">
        <v>1366</v>
      </c>
      <c r="C1203" t="s">
        <v>11</v>
      </c>
      <c r="D1203" t="s">
        <v>1359</v>
      </c>
      <c r="E1203" t="s">
        <v>13</v>
      </c>
      <c r="F1203">
        <v>242.96</v>
      </c>
      <c r="G1203">
        <v>15</v>
      </c>
      <c r="H1203">
        <v>257.95999999999998</v>
      </c>
    </row>
    <row r="1204" spans="1:8" x14ac:dyDescent="0.35">
      <c r="A1204" t="s">
        <v>9</v>
      </c>
      <c r="B1204" t="s">
        <v>1367</v>
      </c>
      <c r="C1204" t="s">
        <v>11</v>
      </c>
      <c r="D1204" t="s">
        <v>1359</v>
      </c>
      <c r="E1204" t="s">
        <v>13</v>
      </c>
      <c r="F1204">
        <v>201.79</v>
      </c>
      <c r="G1204">
        <v>19.170000000000002</v>
      </c>
      <c r="H1204">
        <v>220.96</v>
      </c>
    </row>
    <row r="1205" spans="1:8" x14ac:dyDescent="0.35">
      <c r="A1205" t="s">
        <v>9</v>
      </c>
      <c r="B1205" t="s">
        <v>1368</v>
      </c>
      <c r="C1205" t="s">
        <v>11</v>
      </c>
      <c r="D1205" t="s">
        <v>1359</v>
      </c>
      <c r="E1205" t="s">
        <v>13</v>
      </c>
      <c r="F1205">
        <v>226.68</v>
      </c>
      <c r="G1205">
        <v>21.26</v>
      </c>
      <c r="H1205">
        <v>247.94</v>
      </c>
    </row>
    <row r="1206" spans="1:8" x14ac:dyDescent="0.35">
      <c r="A1206" t="s">
        <v>9</v>
      </c>
      <c r="B1206" t="s">
        <v>1369</v>
      </c>
      <c r="C1206" t="s">
        <v>11</v>
      </c>
      <c r="D1206" t="s">
        <v>1370</v>
      </c>
      <c r="E1206" t="s">
        <v>13</v>
      </c>
      <c r="F1206">
        <v>217.43</v>
      </c>
      <c r="G1206">
        <v>23.47</v>
      </c>
      <c r="H1206">
        <v>240.9</v>
      </c>
    </row>
    <row r="1207" spans="1:8" x14ac:dyDescent="0.35">
      <c r="A1207" t="s">
        <v>9</v>
      </c>
      <c r="B1207" t="s">
        <v>1371</v>
      </c>
      <c r="C1207" t="s">
        <v>11</v>
      </c>
      <c r="D1207" t="s">
        <v>1370</v>
      </c>
      <c r="E1207" t="s">
        <v>13</v>
      </c>
      <c r="F1207">
        <v>298.22000000000003</v>
      </c>
      <c r="G1207">
        <v>44.73</v>
      </c>
      <c r="H1207">
        <v>342.95</v>
      </c>
    </row>
    <row r="1208" spans="1:8" x14ac:dyDescent="0.35">
      <c r="A1208" t="s">
        <v>9</v>
      </c>
      <c r="B1208" t="s">
        <v>1372</v>
      </c>
      <c r="C1208" t="s">
        <v>11</v>
      </c>
      <c r="D1208" t="s">
        <v>1370</v>
      </c>
      <c r="E1208" t="s">
        <v>13</v>
      </c>
      <c r="F1208">
        <v>954.5</v>
      </c>
      <c r="G1208">
        <v>101.19</v>
      </c>
      <c r="H1208">
        <v>1055.69</v>
      </c>
    </row>
    <row r="1209" spans="1:8" x14ac:dyDescent="0.35">
      <c r="A1209" t="s">
        <v>9</v>
      </c>
      <c r="B1209" t="s">
        <v>1373</v>
      </c>
      <c r="C1209" t="s">
        <v>11</v>
      </c>
      <c r="D1209" t="s">
        <v>1370</v>
      </c>
      <c r="E1209" t="s">
        <v>13</v>
      </c>
      <c r="F1209">
        <v>316.95999999999998</v>
      </c>
      <c r="G1209">
        <v>24</v>
      </c>
      <c r="H1209">
        <v>340.96</v>
      </c>
    </row>
    <row r="1210" spans="1:8" x14ac:dyDescent="0.35">
      <c r="A1210" t="s">
        <v>9</v>
      </c>
      <c r="B1210" t="s">
        <v>1374</v>
      </c>
      <c r="C1210" t="s">
        <v>11</v>
      </c>
      <c r="D1210" t="s">
        <v>1370</v>
      </c>
      <c r="E1210" t="s">
        <v>13</v>
      </c>
      <c r="F1210">
        <v>514.16999999999996</v>
      </c>
      <c r="G1210">
        <v>41.13</v>
      </c>
      <c r="H1210">
        <v>555.29999999999995</v>
      </c>
    </row>
    <row r="1211" spans="1:8" x14ac:dyDescent="0.35">
      <c r="A1211" t="s">
        <v>9</v>
      </c>
      <c r="B1211" t="s">
        <v>1375</v>
      </c>
      <c r="C1211" t="s">
        <v>11</v>
      </c>
      <c r="D1211" t="s">
        <v>1370</v>
      </c>
      <c r="E1211" t="s">
        <v>13</v>
      </c>
      <c r="F1211">
        <v>194.96</v>
      </c>
      <c r="G1211">
        <v>21</v>
      </c>
      <c r="H1211">
        <v>215.96</v>
      </c>
    </row>
    <row r="1212" spans="1:8" x14ac:dyDescent="0.35">
      <c r="A1212" t="s">
        <v>9</v>
      </c>
      <c r="B1212" t="s">
        <v>1376</v>
      </c>
      <c r="C1212" t="s">
        <v>11</v>
      </c>
      <c r="D1212" t="s">
        <v>1370</v>
      </c>
      <c r="E1212" t="s">
        <v>13</v>
      </c>
      <c r="F1212">
        <v>498.38</v>
      </c>
      <c r="G1212">
        <v>59.46</v>
      </c>
      <c r="H1212">
        <v>557.84</v>
      </c>
    </row>
    <row r="1213" spans="1:8" x14ac:dyDescent="0.35">
      <c r="A1213" t="s">
        <v>9</v>
      </c>
      <c r="B1213" t="s">
        <v>1377</v>
      </c>
      <c r="C1213" t="s">
        <v>11</v>
      </c>
      <c r="D1213" t="s">
        <v>1378</v>
      </c>
      <c r="E1213" t="s">
        <v>13</v>
      </c>
      <c r="F1213">
        <v>318.19</v>
      </c>
      <c r="G1213">
        <v>33.78</v>
      </c>
      <c r="H1213">
        <v>351.97</v>
      </c>
    </row>
    <row r="1214" spans="1:8" x14ac:dyDescent="0.35">
      <c r="A1214" t="s">
        <v>9</v>
      </c>
      <c r="B1214" t="s">
        <v>1379</v>
      </c>
      <c r="C1214" t="s">
        <v>11</v>
      </c>
      <c r="D1214" t="s">
        <v>1378</v>
      </c>
      <c r="E1214" t="s">
        <v>13</v>
      </c>
      <c r="F1214">
        <v>122.58</v>
      </c>
      <c r="G1214">
        <v>18.39</v>
      </c>
      <c r="H1214">
        <v>140.97</v>
      </c>
    </row>
    <row r="1215" spans="1:8" x14ac:dyDescent="0.35">
      <c r="A1215" t="s">
        <v>9</v>
      </c>
      <c r="B1215" t="s">
        <v>1380</v>
      </c>
      <c r="C1215" t="s">
        <v>11</v>
      </c>
      <c r="D1215" t="s">
        <v>1378</v>
      </c>
      <c r="E1215" t="s">
        <v>13</v>
      </c>
      <c r="F1215">
        <v>288.98</v>
      </c>
      <c r="G1215">
        <v>41.85</v>
      </c>
      <c r="H1215">
        <v>330.83</v>
      </c>
    </row>
    <row r="1216" spans="1:8" x14ac:dyDescent="0.35">
      <c r="A1216" t="s">
        <v>9</v>
      </c>
      <c r="B1216" t="s">
        <v>1381</v>
      </c>
      <c r="C1216" t="s">
        <v>11</v>
      </c>
      <c r="D1216" t="s">
        <v>1378</v>
      </c>
      <c r="E1216" t="s">
        <v>13</v>
      </c>
      <c r="F1216">
        <v>544.36</v>
      </c>
      <c r="G1216">
        <v>27.52</v>
      </c>
      <c r="H1216">
        <v>571.88</v>
      </c>
    </row>
    <row r="1217" spans="1:8" x14ac:dyDescent="0.35">
      <c r="A1217" t="s">
        <v>9</v>
      </c>
      <c r="B1217" t="s">
        <v>1382</v>
      </c>
      <c r="C1217" t="s">
        <v>11</v>
      </c>
      <c r="D1217" t="s">
        <v>1378</v>
      </c>
      <c r="E1217" t="s">
        <v>13</v>
      </c>
      <c r="F1217">
        <v>871.03</v>
      </c>
      <c r="G1217">
        <v>104.86</v>
      </c>
      <c r="H1217">
        <v>975.89</v>
      </c>
    </row>
    <row r="1218" spans="1:8" x14ac:dyDescent="0.35">
      <c r="A1218" t="s">
        <v>9</v>
      </c>
      <c r="B1218" t="s">
        <v>1383</v>
      </c>
      <c r="C1218" t="s">
        <v>11</v>
      </c>
      <c r="D1218" t="s">
        <v>1378</v>
      </c>
      <c r="E1218" t="s">
        <v>13</v>
      </c>
      <c r="F1218">
        <v>643.29</v>
      </c>
      <c r="G1218">
        <v>82.55</v>
      </c>
      <c r="H1218">
        <v>725.84</v>
      </c>
    </row>
    <row r="1219" spans="1:8" x14ac:dyDescent="0.35">
      <c r="A1219" t="s">
        <v>9</v>
      </c>
      <c r="B1219" t="s">
        <v>1384</v>
      </c>
      <c r="C1219" t="s">
        <v>11</v>
      </c>
      <c r="D1219" t="s">
        <v>1378</v>
      </c>
      <c r="E1219" t="s">
        <v>13</v>
      </c>
      <c r="F1219">
        <v>506.81</v>
      </c>
      <c r="G1219">
        <v>74.52</v>
      </c>
      <c r="H1219">
        <v>581.33000000000004</v>
      </c>
    </row>
    <row r="1220" spans="1:8" x14ac:dyDescent="0.35">
      <c r="A1220" t="s">
        <v>9</v>
      </c>
      <c r="B1220" t="s">
        <v>1385</v>
      </c>
      <c r="C1220" t="s">
        <v>11</v>
      </c>
      <c r="D1220" t="s">
        <v>1378</v>
      </c>
      <c r="E1220" t="s">
        <v>13</v>
      </c>
      <c r="F1220">
        <v>455.87</v>
      </c>
      <c r="G1220">
        <v>43.94</v>
      </c>
      <c r="H1220">
        <v>499.81</v>
      </c>
    </row>
    <row r="1221" spans="1:8" x14ac:dyDescent="0.35">
      <c r="A1221" t="s">
        <v>9</v>
      </c>
      <c r="B1221" t="s">
        <v>1386</v>
      </c>
      <c r="C1221" t="s">
        <v>11</v>
      </c>
      <c r="D1221" t="s">
        <v>1378</v>
      </c>
      <c r="E1221" t="s">
        <v>13</v>
      </c>
      <c r="F1221">
        <v>727.17</v>
      </c>
      <c r="G1221">
        <v>84.64</v>
      </c>
      <c r="H1221">
        <v>811.81</v>
      </c>
    </row>
    <row r="1222" spans="1:8" x14ac:dyDescent="0.35">
      <c r="A1222" t="s">
        <v>9</v>
      </c>
      <c r="B1222" t="s">
        <v>1387</v>
      </c>
      <c r="C1222" t="s">
        <v>11</v>
      </c>
      <c r="D1222" t="s">
        <v>1378</v>
      </c>
      <c r="E1222" t="s">
        <v>13</v>
      </c>
      <c r="F1222">
        <v>376.12</v>
      </c>
      <c r="G1222">
        <v>50.72</v>
      </c>
      <c r="H1222">
        <v>426.84</v>
      </c>
    </row>
    <row r="1223" spans="1:8" x14ac:dyDescent="0.35">
      <c r="A1223" t="s">
        <v>9</v>
      </c>
      <c r="B1223" t="s">
        <v>1388</v>
      </c>
      <c r="C1223" t="s">
        <v>11</v>
      </c>
      <c r="D1223" t="s">
        <v>1389</v>
      </c>
      <c r="E1223" t="s">
        <v>13</v>
      </c>
      <c r="F1223">
        <v>1064.57</v>
      </c>
      <c r="G1223">
        <v>153.09</v>
      </c>
      <c r="H1223">
        <v>1217.6600000000001</v>
      </c>
    </row>
    <row r="1224" spans="1:8" x14ac:dyDescent="0.35">
      <c r="A1224" t="s">
        <v>9</v>
      </c>
      <c r="B1224" t="s">
        <v>1390</v>
      </c>
      <c r="C1224" t="s">
        <v>11</v>
      </c>
      <c r="D1224" t="s">
        <v>1389</v>
      </c>
      <c r="E1224" t="s">
        <v>13</v>
      </c>
      <c r="F1224">
        <v>439.01</v>
      </c>
      <c r="G1224">
        <v>56.85</v>
      </c>
      <c r="H1224">
        <v>495.86</v>
      </c>
    </row>
    <row r="1225" spans="1:8" x14ac:dyDescent="0.35">
      <c r="A1225" t="s">
        <v>9</v>
      </c>
      <c r="B1225" t="s">
        <v>1391</v>
      </c>
      <c r="C1225" t="s">
        <v>11</v>
      </c>
      <c r="D1225" t="s">
        <v>1389</v>
      </c>
      <c r="E1225" t="s">
        <v>13</v>
      </c>
      <c r="F1225">
        <v>275.8</v>
      </c>
      <c r="G1225">
        <v>17.079999999999998</v>
      </c>
      <c r="H1225">
        <v>292.88</v>
      </c>
    </row>
    <row r="1226" spans="1:8" x14ac:dyDescent="0.35">
      <c r="A1226" t="s">
        <v>9</v>
      </c>
      <c r="B1226" t="s">
        <v>1392</v>
      </c>
      <c r="C1226" t="s">
        <v>11</v>
      </c>
      <c r="D1226" t="s">
        <v>1389</v>
      </c>
      <c r="E1226" t="s">
        <v>13</v>
      </c>
      <c r="F1226">
        <v>159.63</v>
      </c>
      <c r="G1226">
        <v>14.35</v>
      </c>
      <c r="H1226">
        <v>173.98</v>
      </c>
    </row>
    <row r="1227" spans="1:8" x14ac:dyDescent="0.35">
      <c r="A1227" t="s">
        <v>9</v>
      </c>
      <c r="B1227" t="s">
        <v>1393</v>
      </c>
      <c r="C1227" t="s">
        <v>11</v>
      </c>
      <c r="D1227" t="s">
        <v>1389</v>
      </c>
      <c r="E1227" t="s">
        <v>13</v>
      </c>
      <c r="F1227">
        <v>144.30000000000001</v>
      </c>
      <c r="G1227">
        <v>21.65</v>
      </c>
      <c r="H1227">
        <v>165.95</v>
      </c>
    </row>
    <row r="1228" spans="1:8" x14ac:dyDescent="0.35">
      <c r="A1228" t="s">
        <v>9</v>
      </c>
      <c r="B1228" t="s">
        <v>1394</v>
      </c>
      <c r="C1228" t="s">
        <v>11</v>
      </c>
      <c r="D1228" t="s">
        <v>1395</v>
      </c>
      <c r="E1228" t="s">
        <v>13</v>
      </c>
      <c r="F1228">
        <v>209.3</v>
      </c>
      <c r="G1228">
        <v>25.04</v>
      </c>
      <c r="H1228">
        <v>234.34</v>
      </c>
    </row>
    <row r="1229" spans="1:8" x14ac:dyDescent="0.35">
      <c r="A1229" t="s">
        <v>9</v>
      </c>
      <c r="B1229" t="s">
        <v>1396</v>
      </c>
      <c r="C1229" t="s">
        <v>11</v>
      </c>
      <c r="D1229" t="s">
        <v>1395</v>
      </c>
      <c r="E1229" t="s">
        <v>13</v>
      </c>
      <c r="F1229">
        <v>706.35</v>
      </c>
      <c r="G1229">
        <v>78.900000000000006</v>
      </c>
      <c r="H1229">
        <v>785.25</v>
      </c>
    </row>
    <row r="1230" spans="1:8" x14ac:dyDescent="0.35">
      <c r="A1230" t="s">
        <v>9</v>
      </c>
      <c r="B1230" t="s">
        <v>1397</v>
      </c>
      <c r="C1230" t="s">
        <v>11</v>
      </c>
      <c r="D1230" t="s">
        <v>1395</v>
      </c>
      <c r="E1230" t="s">
        <v>13</v>
      </c>
      <c r="F1230">
        <v>320.31</v>
      </c>
      <c r="G1230">
        <v>40.549999999999997</v>
      </c>
      <c r="H1230">
        <v>360.86</v>
      </c>
    </row>
    <row r="1231" spans="1:8" x14ac:dyDescent="0.35">
      <c r="A1231" t="s">
        <v>9</v>
      </c>
      <c r="B1231" t="s">
        <v>1398</v>
      </c>
      <c r="C1231" t="s">
        <v>11</v>
      </c>
      <c r="D1231" t="s">
        <v>1395</v>
      </c>
      <c r="E1231" t="s">
        <v>13</v>
      </c>
      <c r="F1231">
        <v>555.70000000000005</v>
      </c>
      <c r="G1231">
        <v>55.16</v>
      </c>
      <c r="H1231">
        <v>610.86</v>
      </c>
    </row>
    <row r="1232" spans="1:8" x14ac:dyDescent="0.35">
      <c r="A1232" t="s">
        <v>9</v>
      </c>
      <c r="B1232" t="s">
        <v>1399</v>
      </c>
      <c r="C1232" t="s">
        <v>11</v>
      </c>
      <c r="D1232" t="s">
        <v>1395</v>
      </c>
      <c r="E1232" t="s">
        <v>13</v>
      </c>
      <c r="F1232">
        <v>206.47</v>
      </c>
      <c r="G1232">
        <v>15.97</v>
      </c>
      <c r="H1232">
        <v>222.44</v>
      </c>
    </row>
    <row r="1233" spans="1:8" x14ac:dyDescent="0.35">
      <c r="A1233" t="s">
        <v>9</v>
      </c>
      <c r="B1233" t="s">
        <v>1400</v>
      </c>
      <c r="C1233" t="s">
        <v>11</v>
      </c>
      <c r="D1233" t="s">
        <v>1395</v>
      </c>
      <c r="E1233" t="s">
        <v>13</v>
      </c>
      <c r="F1233">
        <v>390.75</v>
      </c>
      <c r="G1233">
        <v>57.11</v>
      </c>
      <c r="H1233">
        <v>447.86</v>
      </c>
    </row>
    <row r="1234" spans="1:8" x14ac:dyDescent="0.35">
      <c r="A1234" t="s">
        <v>9</v>
      </c>
      <c r="B1234" t="s">
        <v>1401</v>
      </c>
      <c r="C1234" t="s">
        <v>11</v>
      </c>
      <c r="D1234" t="s">
        <v>1402</v>
      </c>
      <c r="E1234" t="s">
        <v>13</v>
      </c>
      <c r="F1234">
        <v>342.68</v>
      </c>
      <c r="G1234">
        <v>41.5</v>
      </c>
      <c r="H1234">
        <v>384.18</v>
      </c>
    </row>
    <row r="1235" spans="1:8" x14ac:dyDescent="0.35">
      <c r="A1235" t="s">
        <v>9</v>
      </c>
      <c r="B1235" t="s">
        <v>1403</v>
      </c>
      <c r="C1235" t="s">
        <v>11</v>
      </c>
      <c r="D1235" t="s">
        <v>1402</v>
      </c>
      <c r="E1235" t="s">
        <v>13</v>
      </c>
      <c r="F1235">
        <v>947.4</v>
      </c>
      <c r="G1235">
        <v>123.37</v>
      </c>
      <c r="H1235">
        <v>1070.77</v>
      </c>
    </row>
    <row r="1236" spans="1:8" x14ac:dyDescent="0.35">
      <c r="A1236" t="s">
        <v>9</v>
      </c>
      <c r="B1236" t="s">
        <v>1404</v>
      </c>
      <c r="C1236" t="s">
        <v>11</v>
      </c>
      <c r="D1236" t="s">
        <v>1402</v>
      </c>
      <c r="E1236" t="s">
        <v>13</v>
      </c>
      <c r="F1236">
        <v>280.89999999999998</v>
      </c>
      <c r="G1236">
        <v>31.04</v>
      </c>
      <c r="H1236">
        <v>311.94</v>
      </c>
    </row>
    <row r="1237" spans="1:8" x14ac:dyDescent="0.35">
      <c r="A1237" t="s">
        <v>9</v>
      </c>
      <c r="B1237" t="s">
        <v>1405</v>
      </c>
      <c r="C1237" t="s">
        <v>11</v>
      </c>
      <c r="D1237" t="s">
        <v>1402</v>
      </c>
      <c r="E1237" t="s">
        <v>13</v>
      </c>
      <c r="F1237">
        <v>398.54</v>
      </c>
      <c r="G1237">
        <v>58.28</v>
      </c>
      <c r="H1237">
        <v>456.82</v>
      </c>
    </row>
    <row r="1238" spans="1:8" x14ac:dyDescent="0.35">
      <c r="A1238" t="s">
        <v>9</v>
      </c>
      <c r="B1238" t="s">
        <v>1406</v>
      </c>
      <c r="C1238" t="s">
        <v>11</v>
      </c>
      <c r="D1238" t="s">
        <v>1407</v>
      </c>
      <c r="E1238" t="s">
        <v>13</v>
      </c>
      <c r="F1238">
        <v>396.94</v>
      </c>
      <c r="G1238">
        <v>58.04</v>
      </c>
      <c r="H1238">
        <v>454.98</v>
      </c>
    </row>
    <row r="1239" spans="1:8" x14ac:dyDescent="0.35">
      <c r="A1239" t="s">
        <v>9</v>
      </c>
      <c r="B1239" t="s">
        <v>1408</v>
      </c>
      <c r="C1239" t="s">
        <v>11</v>
      </c>
      <c r="D1239" t="s">
        <v>1407</v>
      </c>
      <c r="E1239" t="s">
        <v>13</v>
      </c>
      <c r="F1239">
        <v>301.47000000000003</v>
      </c>
      <c r="G1239">
        <v>19.95</v>
      </c>
      <c r="H1239">
        <v>321.42</v>
      </c>
    </row>
    <row r="1240" spans="1:8" x14ac:dyDescent="0.35">
      <c r="A1240" t="s">
        <v>9</v>
      </c>
      <c r="B1240" t="s">
        <v>1409</v>
      </c>
      <c r="C1240" t="s">
        <v>11</v>
      </c>
      <c r="D1240" t="s">
        <v>1407</v>
      </c>
      <c r="E1240" t="s">
        <v>13</v>
      </c>
      <c r="F1240">
        <v>130.38</v>
      </c>
      <c r="G1240">
        <v>17.079999999999998</v>
      </c>
      <c r="H1240">
        <v>147.46</v>
      </c>
    </row>
    <row r="1241" spans="1:8" x14ac:dyDescent="0.35">
      <c r="A1241" t="s">
        <v>9</v>
      </c>
      <c r="B1241" t="s">
        <v>1410</v>
      </c>
      <c r="C1241" t="s">
        <v>11</v>
      </c>
      <c r="D1241" t="s">
        <v>1407</v>
      </c>
      <c r="E1241" t="s">
        <v>13</v>
      </c>
      <c r="F1241">
        <v>321.08999999999997</v>
      </c>
      <c r="G1241">
        <v>43.81</v>
      </c>
      <c r="H1241">
        <v>364.9</v>
      </c>
    </row>
    <row r="1242" spans="1:8" x14ac:dyDescent="0.35">
      <c r="A1242" t="s">
        <v>9</v>
      </c>
      <c r="B1242" t="s">
        <v>1411</v>
      </c>
      <c r="C1242" t="s">
        <v>11</v>
      </c>
      <c r="D1242" t="s">
        <v>1412</v>
      </c>
      <c r="E1242" t="s">
        <v>13</v>
      </c>
      <c r="F1242">
        <v>255.2</v>
      </c>
      <c r="G1242">
        <v>18.78</v>
      </c>
      <c r="H1242">
        <v>273.98</v>
      </c>
    </row>
    <row r="1243" spans="1:8" x14ac:dyDescent="0.35">
      <c r="A1243" t="s">
        <v>9</v>
      </c>
      <c r="B1243" t="s">
        <v>1413</v>
      </c>
      <c r="C1243" t="s">
        <v>11</v>
      </c>
      <c r="D1243" t="s">
        <v>1412</v>
      </c>
      <c r="E1243" t="s">
        <v>13</v>
      </c>
      <c r="F1243">
        <v>221.72</v>
      </c>
      <c r="G1243">
        <v>33.26</v>
      </c>
      <c r="H1243">
        <v>254.98</v>
      </c>
    </row>
    <row r="1244" spans="1:8" x14ac:dyDescent="0.35">
      <c r="A1244" t="s">
        <v>9</v>
      </c>
      <c r="B1244" t="s">
        <v>1414</v>
      </c>
      <c r="C1244" t="s">
        <v>11</v>
      </c>
      <c r="D1244" t="s">
        <v>1412</v>
      </c>
      <c r="E1244" t="s">
        <v>13</v>
      </c>
      <c r="F1244">
        <v>300.77999999999997</v>
      </c>
      <c r="G1244">
        <v>45.12</v>
      </c>
      <c r="H1244">
        <v>345.9</v>
      </c>
    </row>
    <row r="1245" spans="1:8" x14ac:dyDescent="0.35">
      <c r="A1245" t="s">
        <v>9</v>
      </c>
      <c r="B1245" t="s">
        <v>1415</v>
      </c>
      <c r="C1245" t="s">
        <v>11</v>
      </c>
      <c r="D1245" t="s">
        <v>1412</v>
      </c>
      <c r="E1245" t="s">
        <v>13</v>
      </c>
      <c r="F1245">
        <v>352.24</v>
      </c>
      <c r="G1245">
        <v>43.16</v>
      </c>
      <c r="H1245">
        <v>395.4</v>
      </c>
    </row>
    <row r="1246" spans="1:8" x14ac:dyDescent="0.35">
      <c r="A1246" t="s">
        <v>9</v>
      </c>
      <c r="B1246" t="s">
        <v>1416</v>
      </c>
      <c r="C1246" t="s">
        <v>11</v>
      </c>
      <c r="D1246" t="s">
        <v>1412</v>
      </c>
      <c r="E1246" t="s">
        <v>13</v>
      </c>
      <c r="F1246">
        <v>485.11</v>
      </c>
      <c r="G1246">
        <v>72.77</v>
      </c>
      <c r="H1246">
        <v>557.88</v>
      </c>
    </row>
    <row r="1247" spans="1:8" x14ac:dyDescent="0.35">
      <c r="A1247" t="s">
        <v>9</v>
      </c>
      <c r="B1247" t="s">
        <v>1417</v>
      </c>
      <c r="C1247" t="s">
        <v>11</v>
      </c>
      <c r="D1247" t="s">
        <v>1412</v>
      </c>
      <c r="E1247" t="s">
        <v>13</v>
      </c>
      <c r="F1247">
        <v>217.18</v>
      </c>
      <c r="G1247">
        <v>9.7799999999999994</v>
      </c>
      <c r="H1247">
        <v>226.96</v>
      </c>
    </row>
    <row r="1248" spans="1:8" x14ac:dyDescent="0.35">
      <c r="A1248" t="s">
        <v>9</v>
      </c>
      <c r="B1248" t="s">
        <v>1418</v>
      </c>
      <c r="C1248" t="s">
        <v>11</v>
      </c>
      <c r="D1248" t="s">
        <v>1419</v>
      </c>
      <c r="E1248" t="s">
        <v>13</v>
      </c>
      <c r="F1248">
        <v>285.27999999999997</v>
      </c>
      <c r="G1248">
        <v>33.65</v>
      </c>
      <c r="H1248">
        <v>318.93</v>
      </c>
    </row>
    <row r="1249" spans="1:8" x14ac:dyDescent="0.35">
      <c r="A1249" t="s">
        <v>9</v>
      </c>
      <c r="B1249" t="s">
        <v>1420</v>
      </c>
      <c r="C1249" t="s">
        <v>11</v>
      </c>
      <c r="D1249" t="s">
        <v>1419</v>
      </c>
      <c r="E1249" t="s">
        <v>13</v>
      </c>
      <c r="F1249">
        <v>449.9</v>
      </c>
      <c r="G1249">
        <v>65.989999999999995</v>
      </c>
      <c r="H1249">
        <v>515.89</v>
      </c>
    </row>
    <row r="1250" spans="1:8" x14ac:dyDescent="0.35">
      <c r="A1250" t="s">
        <v>9</v>
      </c>
      <c r="B1250" t="s">
        <v>1421</v>
      </c>
      <c r="C1250" t="s">
        <v>11</v>
      </c>
      <c r="D1250" t="s">
        <v>1419</v>
      </c>
      <c r="E1250" t="s">
        <v>13</v>
      </c>
      <c r="F1250">
        <v>368.05</v>
      </c>
      <c r="G1250">
        <v>8.8699999999999992</v>
      </c>
      <c r="H1250">
        <v>376.92</v>
      </c>
    </row>
    <row r="1251" spans="1:8" x14ac:dyDescent="0.35">
      <c r="A1251" t="s">
        <v>9</v>
      </c>
      <c r="B1251" t="s">
        <v>1422</v>
      </c>
      <c r="C1251" t="s">
        <v>11</v>
      </c>
      <c r="D1251" t="s">
        <v>1419</v>
      </c>
      <c r="E1251" t="s">
        <v>13</v>
      </c>
      <c r="F1251">
        <v>347.06</v>
      </c>
      <c r="G1251">
        <v>43.81</v>
      </c>
      <c r="H1251">
        <v>390.87</v>
      </c>
    </row>
    <row r="1252" spans="1:8" x14ac:dyDescent="0.35">
      <c r="A1252" t="s">
        <v>9</v>
      </c>
      <c r="B1252" t="s">
        <v>1423</v>
      </c>
      <c r="C1252" t="s">
        <v>11</v>
      </c>
      <c r="D1252" t="s">
        <v>1419</v>
      </c>
      <c r="E1252" t="s">
        <v>13</v>
      </c>
      <c r="F1252">
        <v>177.71</v>
      </c>
      <c r="G1252">
        <v>25.16</v>
      </c>
      <c r="H1252">
        <v>202.87</v>
      </c>
    </row>
    <row r="1253" spans="1:8" x14ac:dyDescent="0.35">
      <c r="A1253" t="s">
        <v>9</v>
      </c>
      <c r="B1253" t="s">
        <v>1424</v>
      </c>
      <c r="C1253" t="s">
        <v>11</v>
      </c>
      <c r="D1253" t="s">
        <v>1419</v>
      </c>
      <c r="E1253" t="s">
        <v>13</v>
      </c>
      <c r="F1253">
        <v>320.70999999999998</v>
      </c>
      <c r="G1253">
        <v>44.21</v>
      </c>
      <c r="H1253">
        <v>364.92</v>
      </c>
    </row>
    <row r="1254" spans="1:8" x14ac:dyDescent="0.35">
      <c r="A1254" t="s">
        <v>9</v>
      </c>
      <c r="B1254" t="s">
        <v>1425</v>
      </c>
      <c r="C1254" t="s">
        <v>11</v>
      </c>
      <c r="D1254" t="s">
        <v>1419</v>
      </c>
      <c r="E1254" t="s">
        <v>13</v>
      </c>
      <c r="F1254">
        <v>120.76</v>
      </c>
      <c r="G1254">
        <v>18.11</v>
      </c>
      <c r="H1254">
        <v>138.87</v>
      </c>
    </row>
    <row r="1255" spans="1:8" x14ac:dyDescent="0.35">
      <c r="A1255" t="s">
        <v>9</v>
      </c>
      <c r="B1255" t="s">
        <v>1426</v>
      </c>
      <c r="C1255" t="s">
        <v>11</v>
      </c>
      <c r="D1255" t="s">
        <v>1419</v>
      </c>
      <c r="E1255" t="s">
        <v>13</v>
      </c>
      <c r="F1255">
        <v>826.99</v>
      </c>
      <c r="G1255">
        <v>70.81</v>
      </c>
      <c r="H1255">
        <v>897.8</v>
      </c>
    </row>
    <row r="1256" spans="1:8" x14ac:dyDescent="0.35">
      <c r="A1256" t="s">
        <v>9</v>
      </c>
      <c r="B1256" t="s">
        <v>1427</v>
      </c>
      <c r="C1256" t="s">
        <v>11</v>
      </c>
      <c r="D1256" t="s">
        <v>1419</v>
      </c>
      <c r="E1256" t="s">
        <v>13</v>
      </c>
      <c r="F1256">
        <v>331.27</v>
      </c>
      <c r="G1256">
        <v>46.69</v>
      </c>
      <c r="H1256">
        <v>377.96</v>
      </c>
    </row>
    <row r="1257" spans="1:8" x14ac:dyDescent="0.35">
      <c r="A1257" t="s">
        <v>9</v>
      </c>
      <c r="B1257" t="s">
        <v>1428</v>
      </c>
      <c r="C1257" t="s">
        <v>11</v>
      </c>
      <c r="D1257" t="s">
        <v>1419</v>
      </c>
      <c r="E1257" t="s">
        <v>13</v>
      </c>
      <c r="F1257">
        <v>203.13</v>
      </c>
      <c r="G1257">
        <v>13.82</v>
      </c>
      <c r="H1257">
        <v>216.95</v>
      </c>
    </row>
    <row r="1258" spans="1:8" x14ac:dyDescent="0.35">
      <c r="A1258" t="s">
        <v>9</v>
      </c>
      <c r="B1258" t="s">
        <v>1429</v>
      </c>
      <c r="C1258" t="s">
        <v>11</v>
      </c>
      <c r="D1258" t="s">
        <v>1419</v>
      </c>
      <c r="E1258" t="s">
        <v>13</v>
      </c>
      <c r="F1258">
        <v>428.91</v>
      </c>
      <c r="G1258">
        <v>58.04</v>
      </c>
      <c r="H1258">
        <v>486.95</v>
      </c>
    </row>
    <row r="1259" spans="1:8" x14ac:dyDescent="0.35">
      <c r="A1259" t="s">
        <v>9</v>
      </c>
      <c r="B1259" t="s">
        <v>1430</v>
      </c>
      <c r="C1259" t="s">
        <v>11</v>
      </c>
      <c r="D1259" t="s">
        <v>1431</v>
      </c>
      <c r="E1259" t="s">
        <v>13</v>
      </c>
      <c r="F1259">
        <v>267.77999999999997</v>
      </c>
      <c r="G1259">
        <v>7.17</v>
      </c>
      <c r="H1259">
        <v>274.95</v>
      </c>
    </row>
    <row r="1260" spans="1:8" x14ac:dyDescent="0.35">
      <c r="A1260" t="s">
        <v>9</v>
      </c>
      <c r="B1260" t="s">
        <v>1432</v>
      </c>
      <c r="C1260" t="s">
        <v>11</v>
      </c>
      <c r="D1260" t="s">
        <v>1431</v>
      </c>
      <c r="E1260" t="s">
        <v>13</v>
      </c>
      <c r="F1260">
        <v>484.7</v>
      </c>
      <c r="G1260">
        <v>47.21</v>
      </c>
      <c r="H1260">
        <v>531.91</v>
      </c>
    </row>
    <row r="1261" spans="1:8" x14ac:dyDescent="0.35">
      <c r="A1261" t="s">
        <v>9</v>
      </c>
      <c r="B1261" t="s">
        <v>1433</v>
      </c>
      <c r="C1261" t="s">
        <v>11</v>
      </c>
      <c r="D1261" t="s">
        <v>1431</v>
      </c>
      <c r="E1261" t="s">
        <v>13</v>
      </c>
      <c r="F1261">
        <v>136.79</v>
      </c>
      <c r="G1261">
        <v>11.07</v>
      </c>
      <c r="H1261">
        <v>147.86000000000001</v>
      </c>
    </row>
    <row r="1262" spans="1:8" x14ac:dyDescent="0.35">
      <c r="A1262" t="s">
        <v>9</v>
      </c>
      <c r="B1262" t="s">
        <v>1434</v>
      </c>
      <c r="C1262" t="s">
        <v>11</v>
      </c>
      <c r="D1262" t="s">
        <v>1431</v>
      </c>
      <c r="E1262" t="s">
        <v>13</v>
      </c>
      <c r="F1262">
        <v>136.69999999999999</v>
      </c>
      <c r="G1262">
        <v>9.26</v>
      </c>
      <c r="H1262">
        <v>145.96</v>
      </c>
    </row>
    <row r="1263" spans="1:8" x14ac:dyDescent="0.35">
      <c r="A1263" t="s">
        <v>9</v>
      </c>
      <c r="B1263" t="s">
        <v>1435</v>
      </c>
      <c r="C1263" t="s">
        <v>11</v>
      </c>
      <c r="D1263" t="s">
        <v>1431</v>
      </c>
      <c r="E1263" t="s">
        <v>13</v>
      </c>
      <c r="F1263">
        <v>343.78</v>
      </c>
      <c r="G1263">
        <v>50.07</v>
      </c>
      <c r="H1263">
        <v>393.85</v>
      </c>
    </row>
    <row r="1264" spans="1:8" x14ac:dyDescent="0.35">
      <c r="A1264" t="s">
        <v>9</v>
      </c>
      <c r="B1264" t="s">
        <v>1436</v>
      </c>
      <c r="C1264" t="s">
        <v>11</v>
      </c>
      <c r="D1264" t="s">
        <v>1431</v>
      </c>
      <c r="E1264" t="s">
        <v>13</v>
      </c>
      <c r="F1264">
        <v>343.53</v>
      </c>
      <c r="G1264">
        <v>42.38</v>
      </c>
      <c r="H1264">
        <v>385.91</v>
      </c>
    </row>
    <row r="1265" spans="1:8" x14ac:dyDescent="0.35">
      <c r="A1265" t="s">
        <v>9</v>
      </c>
      <c r="B1265" t="s">
        <v>1437</v>
      </c>
      <c r="C1265" t="s">
        <v>11</v>
      </c>
      <c r="D1265" t="s">
        <v>1431</v>
      </c>
      <c r="E1265" t="s">
        <v>13</v>
      </c>
      <c r="F1265">
        <v>272.95999999999998</v>
      </c>
      <c r="G1265">
        <v>40.94</v>
      </c>
      <c r="H1265">
        <v>313.89999999999998</v>
      </c>
    </row>
    <row r="1266" spans="1:8" x14ac:dyDescent="0.35">
      <c r="A1266" t="s">
        <v>9</v>
      </c>
      <c r="B1266" t="s">
        <v>1438</v>
      </c>
      <c r="C1266" t="s">
        <v>11</v>
      </c>
      <c r="D1266" t="s">
        <v>1431</v>
      </c>
      <c r="E1266" t="s">
        <v>13</v>
      </c>
      <c r="F1266">
        <v>436.2</v>
      </c>
      <c r="G1266">
        <v>48.63</v>
      </c>
      <c r="H1266">
        <v>484.83</v>
      </c>
    </row>
    <row r="1267" spans="1:8" x14ac:dyDescent="0.35">
      <c r="A1267" t="s">
        <v>9</v>
      </c>
      <c r="B1267" t="s">
        <v>1439</v>
      </c>
      <c r="C1267" t="s">
        <v>11</v>
      </c>
      <c r="D1267" t="s">
        <v>1440</v>
      </c>
      <c r="E1267" t="s">
        <v>13</v>
      </c>
      <c r="F1267">
        <v>189.5</v>
      </c>
      <c r="G1267">
        <v>28.43</v>
      </c>
      <c r="H1267">
        <v>217.93</v>
      </c>
    </row>
    <row r="1268" spans="1:8" x14ac:dyDescent="0.35">
      <c r="A1268" t="s">
        <v>9</v>
      </c>
      <c r="B1268" t="s">
        <v>1441</v>
      </c>
      <c r="C1268" t="s">
        <v>11</v>
      </c>
      <c r="D1268" t="s">
        <v>1440</v>
      </c>
      <c r="E1268" t="s">
        <v>13</v>
      </c>
      <c r="F1268">
        <v>199.4</v>
      </c>
      <c r="G1268">
        <v>4.57</v>
      </c>
      <c r="H1268">
        <v>203.97</v>
      </c>
    </row>
    <row r="1269" spans="1:8" x14ac:dyDescent="0.35">
      <c r="A1269" t="s">
        <v>9</v>
      </c>
      <c r="B1269" t="s">
        <v>1442</v>
      </c>
      <c r="C1269" t="s">
        <v>11</v>
      </c>
      <c r="D1269" t="s">
        <v>1440</v>
      </c>
      <c r="E1269" t="s">
        <v>13</v>
      </c>
      <c r="F1269">
        <v>369.91</v>
      </c>
      <c r="G1269">
        <v>52.49</v>
      </c>
      <c r="H1269">
        <v>422.4</v>
      </c>
    </row>
    <row r="1270" spans="1:8" x14ac:dyDescent="0.35">
      <c r="A1270" t="s">
        <v>9</v>
      </c>
      <c r="B1270" t="s">
        <v>1443</v>
      </c>
      <c r="C1270" t="s">
        <v>11</v>
      </c>
      <c r="D1270" t="s">
        <v>1440</v>
      </c>
      <c r="E1270" t="s">
        <v>13</v>
      </c>
      <c r="F1270">
        <v>283.89</v>
      </c>
      <c r="G1270">
        <v>41.08</v>
      </c>
      <c r="H1270">
        <v>324.97000000000003</v>
      </c>
    </row>
    <row r="1271" spans="1:8" x14ac:dyDescent="0.35">
      <c r="A1271" t="s">
        <v>9</v>
      </c>
      <c r="B1271" t="s">
        <v>1444</v>
      </c>
      <c r="C1271" t="s">
        <v>11</v>
      </c>
      <c r="D1271" t="s">
        <v>1440</v>
      </c>
      <c r="E1271" t="s">
        <v>13</v>
      </c>
      <c r="F1271">
        <v>303.83</v>
      </c>
      <c r="G1271">
        <v>44.08</v>
      </c>
      <c r="H1271">
        <v>347.91</v>
      </c>
    </row>
    <row r="1272" spans="1:8" x14ac:dyDescent="0.35">
      <c r="A1272" t="s">
        <v>9</v>
      </c>
      <c r="B1272" t="s">
        <v>1445</v>
      </c>
      <c r="C1272" t="s">
        <v>11</v>
      </c>
      <c r="D1272" t="s">
        <v>1440</v>
      </c>
      <c r="E1272" t="s">
        <v>13</v>
      </c>
      <c r="F1272">
        <v>634.91</v>
      </c>
      <c r="G1272">
        <v>64.94</v>
      </c>
      <c r="H1272">
        <v>699.85</v>
      </c>
    </row>
    <row r="1273" spans="1:8" x14ac:dyDescent="0.35">
      <c r="A1273" t="s">
        <v>9</v>
      </c>
      <c r="B1273" t="s">
        <v>1446</v>
      </c>
      <c r="C1273" t="s">
        <v>11</v>
      </c>
      <c r="D1273" t="s">
        <v>1447</v>
      </c>
      <c r="E1273" t="s">
        <v>13</v>
      </c>
      <c r="F1273">
        <v>409.24</v>
      </c>
      <c r="G1273">
        <v>51.64</v>
      </c>
      <c r="H1273">
        <v>460.88</v>
      </c>
    </row>
    <row r="1274" spans="1:8" x14ac:dyDescent="0.35">
      <c r="A1274" t="s">
        <v>9</v>
      </c>
      <c r="B1274" t="s">
        <v>1448</v>
      </c>
      <c r="C1274" t="s">
        <v>11</v>
      </c>
      <c r="D1274" t="s">
        <v>1447</v>
      </c>
      <c r="E1274" t="s">
        <v>13</v>
      </c>
      <c r="F1274">
        <v>519.76</v>
      </c>
      <c r="G1274">
        <v>61.77</v>
      </c>
      <c r="H1274">
        <v>581.53</v>
      </c>
    </row>
    <row r="1275" spans="1:8" x14ac:dyDescent="0.35">
      <c r="A1275" t="s">
        <v>9</v>
      </c>
      <c r="B1275" t="s">
        <v>1449</v>
      </c>
      <c r="C1275" t="s">
        <v>11</v>
      </c>
      <c r="D1275" t="s">
        <v>1447</v>
      </c>
      <c r="E1275" t="s">
        <v>13</v>
      </c>
      <c r="F1275">
        <v>154.59</v>
      </c>
      <c r="G1275">
        <v>17.87</v>
      </c>
      <c r="H1275">
        <v>172.46</v>
      </c>
    </row>
    <row r="1276" spans="1:8" x14ac:dyDescent="0.35">
      <c r="A1276" t="s">
        <v>9</v>
      </c>
      <c r="B1276" t="s">
        <v>1450</v>
      </c>
      <c r="C1276" t="s">
        <v>11</v>
      </c>
      <c r="D1276" t="s">
        <v>1447</v>
      </c>
      <c r="E1276" t="s">
        <v>13</v>
      </c>
      <c r="F1276">
        <v>402.98</v>
      </c>
      <c r="G1276">
        <v>39.9</v>
      </c>
      <c r="H1276">
        <v>442.88</v>
      </c>
    </row>
    <row r="1277" spans="1:8" x14ac:dyDescent="0.35">
      <c r="A1277" t="s">
        <v>9</v>
      </c>
      <c r="B1277" t="s">
        <v>1451</v>
      </c>
      <c r="C1277" t="s">
        <v>11</v>
      </c>
      <c r="D1277" t="s">
        <v>1447</v>
      </c>
      <c r="E1277" t="s">
        <v>13</v>
      </c>
      <c r="F1277">
        <v>322.56</v>
      </c>
      <c r="G1277">
        <v>36.380000000000003</v>
      </c>
      <c r="H1277">
        <v>358.94</v>
      </c>
    </row>
    <row r="1278" spans="1:8" x14ac:dyDescent="0.35">
      <c r="A1278" t="s">
        <v>9</v>
      </c>
      <c r="B1278" t="s">
        <v>1452</v>
      </c>
      <c r="C1278" t="s">
        <v>11</v>
      </c>
      <c r="D1278" t="s">
        <v>1447</v>
      </c>
      <c r="E1278" t="s">
        <v>13</v>
      </c>
      <c r="F1278">
        <v>134.32</v>
      </c>
      <c r="G1278">
        <v>18.649999999999999</v>
      </c>
      <c r="H1278">
        <v>152.97</v>
      </c>
    </row>
    <row r="1279" spans="1:8" x14ac:dyDescent="0.35">
      <c r="A1279" t="s">
        <v>9</v>
      </c>
      <c r="B1279" t="s">
        <v>1453</v>
      </c>
      <c r="C1279" t="s">
        <v>11</v>
      </c>
      <c r="D1279" t="s">
        <v>1447</v>
      </c>
      <c r="E1279" t="s">
        <v>13</v>
      </c>
      <c r="F1279">
        <v>248.79</v>
      </c>
      <c r="G1279">
        <v>18.12</v>
      </c>
      <c r="H1279">
        <v>266.91000000000003</v>
      </c>
    </row>
    <row r="1280" spans="1:8" x14ac:dyDescent="0.35">
      <c r="A1280" t="s">
        <v>9</v>
      </c>
      <c r="B1280" t="s">
        <v>1454</v>
      </c>
      <c r="C1280" t="s">
        <v>11</v>
      </c>
      <c r="D1280" t="s">
        <v>1447</v>
      </c>
      <c r="E1280" t="s">
        <v>13</v>
      </c>
      <c r="F1280">
        <v>240.37</v>
      </c>
      <c r="G1280">
        <v>34.56</v>
      </c>
      <c r="H1280">
        <v>274.93</v>
      </c>
    </row>
    <row r="1281" spans="1:8" x14ac:dyDescent="0.35">
      <c r="A1281" t="s">
        <v>9</v>
      </c>
      <c r="B1281" t="s">
        <v>1455</v>
      </c>
      <c r="C1281" t="s">
        <v>11</v>
      </c>
      <c r="D1281" t="s">
        <v>1447</v>
      </c>
      <c r="E1281" t="s">
        <v>13</v>
      </c>
      <c r="F1281">
        <v>1331.95</v>
      </c>
      <c r="G1281">
        <v>171.68</v>
      </c>
      <c r="H1281">
        <v>1503.63</v>
      </c>
    </row>
    <row r="1282" spans="1:8" x14ac:dyDescent="0.35">
      <c r="A1282" t="s">
        <v>9</v>
      </c>
      <c r="B1282" t="s">
        <v>1456</v>
      </c>
      <c r="C1282" t="s">
        <v>11</v>
      </c>
      <c r="D1282" t="s">
        <v>1447</v>
      </c>
      <c r="E1282" t="s">
        <v>13</v>
      </c>
      <c r="F1282">
        <v>358.27</v>
      </c>
      <c r="G1282">
        <v>30.65</v>
      </c>
      <c r="H1282">
        <v>388.92</v>
      </c>
    </row>
    <row r="1283" spans="1:8" x14ac:dyDescent="0.35">
      <c r="A1283" t="s">
        <v>9</v>
      </c>
      <c r="B1283" t="s">
        <v>1457</v>
      </c>
      <c r="C1283" t="s">
        <v>11</v>
      </c>
      <c r="D1283" t="s">
        <v>1447</v>
      </c>
      <c r="E1283" t="s">
        <v>13</v>
      </c>
      <c r="F1283">
        <v>356.92</v>
      </c>
      <c r="G1283">
        <v>52.04</v>
      </c>
      <c r="H1283">
        <v>408.96</v>
      </c>
    </row>
    <row r="1284" spans="1:8" x14ac:dyDescent="0.35">
      <c r="A1284" t="s">
        <v>9</v>
      </c>
      <c r="B1284" t="s">
        <v>1458</v>
      </c>
      <c r="C1284" t="s">
        <v>11</v>
      </c>
      <c r="D1284" t="s">
        <v>1447</v>
      </c>
      <c r="E1284" t="s">
        <v>13</v>
      </c>
      <c r="F1284">
        <v>394.24</v>
      </c>
      <c r="G1284">
        <v>48.64</v>
      </c>
      <c r="H1284">
        <v>442.88</v>
      </c>
    </row>
    <row r="1285" spans="1:8" x14ac:dyDescent="0.35">
      <c r="A1285" t="s">
        <v>9</v>
      </c>
      <c r="B1285" t="s">
        <v>1459</v>
      </c>
      <c r="C1285" t="s">
        <v>11</v>
      </c>
      <c r="D1285" t="s">
        <v>1460</v>
      </c>
      <c r="E1285" t="s">
        <v>13</v>
      </c>
      <c r="F1285">
        <v>359.92</v>
      </c>
      <c r="G1285">
        <v>53.99</v>
      </c>
      <c r="H1285">
        <v>413.91</v>
      </c>
    </row>
    <row r="1286" spans="1:8" x14ac:dyDescent="0.35">
      <c r="A1286" t="s">
        <v>9</v>
      </c>
      <c r="B1286" t="s">
        <v>1461</v>
      </c>
      <c r="C1286" t="s">
        <v>11</v>
      </c>
      <c r="D1286" t="s">
        <v>1460</v>
      </c>
      <c r="E1286" t="s">
        <v>13</v>
      </c>
      <c r="F1286">
        <v>231.94</v>
      </c>
      <c r="G1286">
        <v>29.99</v>
      </c>
      <c r="H1286">
        <v>261.93</v>
      </c>
    </row>
    <row r="1287" spans="1:8" x14ac:dyDescent="0.35">
      <c r="A1287" t="s">
        <v>9</v>
      </c>
      <c r="B1287" t="s">
        <v>1462</v>
      </c>
      <c r="C1287" t="s">
        <v>11</v>
      </c>
      <c r="D1287" t="s">
        <v>1460</v>
      </c>
      <c r="E1287" t="s">
        <v>13</v>
      </c>
      <c r="F1287">
        <v>1100.05</v>
      </c>
      <c r="G1287">
        <v>129.61000000000001</v>
      </c>
      <c r="H1287">
        <v>1229.6600000000001</v>
      </c>
    </row>
    <row r="1288" spans="1:8" x14ac:dyDescent="0.35">
      <c r="A1288" t="s">
        <v>9</v>
      </c>
      <c r="B1288" t="s">
        <v>1463</v>
      </c>
      <c r="C1288" t="s">
        <v>11</v>
      </c>
      <c r="D1288" t="s">
        <v>1460</v>
      </c>
      <c r="E1288" t="s">
        <v>13</v>
      </c>
      <c r="F1288">
        <v>281.92</v>
      </c>
      <c r="G1288">
        <v>28.04</v>
      </c>
      <c r="H1288">
        <v>309.95999999999998</v>
      </c>
    </row>
    <row r="1289" spans="1:8" x14ac:dyDescent="0.35">
      <c r="A1289" t="s">
        <v>9</v>
      </c>
      <c r="B1289" t="s">
        <v>1464</v>
      </c>
      <c r="C1289" t="s">
        <v>11</v>
      </c>
      <c r="D1289" t="s">
        <v>1460</v>
      </c>
      <c r="E1289" t="s">
        <v>13</v>
      </c>
      <c r="F1289">
        <v>130.41999999999999</v>
      </c>
      <c r="G1289">
        <v>19.559999999999999</v>
      </c>
      <c r="H1289">
        <v>149.97999999999999</v>
      </c>
    </row>
    <row r="1290" spans="1:8" x14ac:dyDescent="0.35">
      <c r="A1290" t="s">
        <v>9</v>
      </c>
      <c r="B1290" t="s">
        <v>1465</v>
      </c>
      <c r="C1290" t="s">
        <v>11</v>
      </c>
      <c r="D1290" t="s">
        <v>1460</v>
      </c>
      <c r="E1290" t="s">
        <v>13</v>
      </c>
      <c r="F1290">
        <v>143.88</v>
      </c>
      <c r="G1290">
        <v>20.079999999999998</v>
      </c>
      <c r="H1290">
        <v>163.96</v>
      </c>
    </row>
    <row r="1291" spans="1:8" x14ac:dyDescent="0.35">
      <c r="A1291" t="s">
        <v>9</v>
      </c>
      <c r="B1291" t="s">
        <v>1466</v>
      </c>
      <c r="C1291" t="s">
        <v>11</v>
      </c>
      <c r="D1291" t="s">
        <v>1460</v>
      </c>
      <c r="E1291" t="s">
        <v>13</v>
      </c>
      <c r="F1291">
        <v>240.62</v>
      </c>
      <c r="G1291">
        <v>31.3</v>
      </c>
      <c r="H1291">
        <v>271.92</v>
      </c>
    </row>
    <row r="1292" spans="1:8" x14ac:dyDescent="0.35">
      <c r="A1292" t="s">
        <v>9</v>
      </c>
      <c r="B1292" t="s">
        <v>1467</v>
      </c>
      <c r="C1292" t="s">
        <v>11</v>
      </c>
      <c r="D1292" t="s">
        <v>1468</v>
      </c>
      <c r="E1292" t="s">
        <v>13</v>
      </c>
      <c r="F1292">
        <v>179.9</v>
      </c>
      <c r="G1292">
        <v>26.98</v>
      </c>
      <c r="H1292">
        <v>206.88</v>
      </c>
    </row>
    <row r="1293" spans="1:8" x14ac:dyDescent="0.35">
      <c r="A1293" t="s">
        <v>9</v>
      </c>
      <c r="B1293" t="s">
        <v>1469</v>
      </c>
      <c r="C1293" t="s">
        <v>11</v>
      </c>
      <c r="D1293" t="s">
        <v>1468</v>
      </c>
      <c r="E1293" t="s">
        <v>13</v>
      </c>
      <c r="F1293">
        <v>146.49</v>
      </c>
      <c r="G1293">
        <v>20.47</v>
      </c>
      <c r="H1293">
        <v>166.96</v>
      </c>
    </row>
    <row r="1294" spans="1:8" x14ac:dyDescent="0.35">
      <c r="A1294" t="s">
        <v>9</v>
      </c>
      <c r="B1294" t="s">
        <v>1470</v>
      </c>
      <c r="C1294" t="s">
        <v>11</v>
      </c>
      <c r="D1294" t="s">
        <v>1468</v>
      </c>
      <c r="E1294" t="s">
        <v>13</v>
      </c>
      <c r="F1294">
        <v>394.93</v>
      </c>
      <c r="G1294">
        <v>37.950000000000003</v>
      </c>
      <c r="H1294">
        <v>432.88</v>
      </c>
    </row>
    <row r="1295" spans="1:8" x14ac:dyDescent="0.35">
      <c r="A1295" t="s">
        <v>9</v>
      </c>
      <c r="B1295" t="s">
        <v>1471</v>
      </c>
      <c r="C1295" t="s">
        <v>11</v>
      </c>
      <c r="D1295" t="s">
        <v>1468</v>
      </c>
      <c r="E1295" t="s">
        <v>13</v>
      </c>
      <c r="F1295">
        <v>164.3</v>
      </c>
      <c r="G1295">
        <v>24.64</v>
      </c>
      <c r="H1295">
        <v>188.94</v>
      </c>
    </row>
    <row r="1296" spans="1:8" x14ac:dyDescent="0.35">
      <c r="A1296" t="s">
        <v>9</v>
      </c>
      <c r="B1296" t="s">
        <v>1472</v>
      </c>
      <c r="C1296" t="s">
        <v>11</v>
      </c>
      <c r="D1296" t="s">
        <v>1468</v>
      </c>
      <c r="E1296" t="s">
        <v>13</v>
      </c>
      <c r="F1296">
        <v>156.03</v>
      </c>
      <c r="G1296">
        <v>21.91</v>
      </c>
      <c r="H1296">
        <v>177.94</v>
      </c>
    </row>
    <row r="1297" spans="1:8" x14ac:dyDescent="0.35">
      <c r="A1297" t="s">
        <v>9</v>
      </c>
      <c r="B1297" t="s">
        <v>1473</v>
      </c>
      <c r="C1297" t="s">
        <v>11</v>
      </c>
      <c r="D1297" t="s">
        <v>1468</v>
      </c>
      <c r="E1297" t="s">
        <v>13</v>
      </c>
      <c r="F1297">
        <v>231.21</v>
      </c>
      <c r="G1297">
        <v>34.68</v>
      </c>
      <c r="H1297">
        <v>265.89</v>
      </c>
    </row>
    <row r="1298" spans="1:8" x14ac:dyDescent="0.35">
      <c r="A1298" t="s">
        <v>9</v>
      </c>
      <c r="B1298" t="s">
        <v>1474</v>
      </c>
      <c r="C1298" t="s">
        <v>11</v>
      </c>
      <c r="D1298" t="s">
        <v>1468</v>
      </c>
      <c r="E1298" t="s">
        <v>13</v>
      </c>
      <c r="F1298">
        <v>479.24</v>
      </c>
      <c r="G1298">
        <v>50.6</v>
      </c>
      <c r="H1298">
        <v>529.84</v>
      </c>
    </row>
    <row r="1299" spans="1:8" x14ac:dyDescent="0.35">
      <c r="A1299" t="s">
        <v>9</v>
      </c>
      <c r="B1299" t="s">
        <v>1475</v>
      </c>
      <c r="C1299" t="s">
        <v>11</v>
      </c>
      <c r="D1299" t="s">
        <v>1468</v>
      </c>
      <c r="E1299" t="s">
        <v>13</v>
      </c>
      <c r="F1299">
        <v>276.79000000000002</v>
      </c>
      <c r="G1299">
        <v>24.12</v>
      </c>
      <c r="H1299">
        <v>300.91000000000003</v>
      </c>
    </row>
    <row r="1300" spans="1:8" x14ac:dyDescent="0.35">
      <c r="A1300" t="s">
        <v>9</v>
      </c>
      <c r="B1300" t="s">
        <v>1476</v>
      </c>
      <c r="C1300" t="s">
        <v>11</v>
      </c>
      <c r="D1300" t="s">
        <v>1468</v>
      </c>
      <c r="E1300" t="s">
        <v>13</v>
      </c>
      <c r="F1300">
        <v>266.57</v>
      </c>
      <c r="G1300">
        <v>38.479999999999997</v>
      </c>
      <c r="H1300">
        <v>305.05</v>
      </c>
    </row>
    <row r="1301" spans="1:8" x14ac:dyDescent="0.35">
      <c r="A1301" t="s">
        <v>9</v>
      </c>
      <c r="B1301" t="s">
        <v>1477</v>
      </c>
      <c r="C1301" t="s">
        <v>11</v>
      </c>
      <c r="D1301" t="s">
        <v>1468</v>
      </c>
      <c r="E1301" t="s">
        <v>13</v>
      </c>
      <c r="F1301">
        <v>313.85000000000002</v>
      </c>
      <c r="G1301">
        <v>41.08</v>
      </c>
      <c r="H1301">
        <v>354.93</v>
      </c>
    </row>
    <row r="1302" spans="1:8" x14ac:dyDescent="0.35">
      <c r="A1302" t="s">
        <v>9</v>
      </c>
      <c r="B1302" t="s">
        <v>1478</v>
      </c>
      <c r="C1302" t="s">
        <v>11</v>
      </c>
      <c r="D1302" t="s">
        <v>1468</v>
      </c>
      <c r="E1302" t="s">
        <v>13</v>
      </c>
      <c r="F1302">
        <v>316.83999999999997</v>
      </c>
      <c r="G1302">
        <v>41.08</v>
      </c>
      <c r="H1302">
        <v>357.92</v>
      </c>
    </row>
    <row r="1303" spans="1:8" x14ac:dyDescent="0.35">
      <c r="A1303" t="s">
        <v>9</v>
      </c>
      <c r="B1303" t="s">
        <v>1479</v>
      </c>
      <c r="C1303" t="s">
        <v>11</v>
      </c>
      <c r="D1303" t="s">
        <v>1468</v>
      </c>
      <c r="E1303" t="s">
        <v>13</v>
      </c>
      <c r="F1303">
        <v>534.5</v>
      </c>
      <c r="G1303">
        <v>75.83</v>
      </c>
      <c r="H1303">
        <v>610.33000000000004</v>
      </c>
    </row>
    <row r="1304" spans="1:8" x14ac:dyDescent="0.35">
      <c r="A1304" t="s">
        <v>9</v>
      </c>
      <c r="B1304" t="s">
        <v>1480</v>
      </c>
      <c r="C1304" t="s">
        <v>11</v>
      </c>
      <c r="D1304" t="s">
        <v>1481</v>
      </c>
      <c r="E1304" t="s">
        <v>13</v>
      </c>
      <c r="F1304">
        <v>429</v>
      </c>
      <c r="G1304">
        <v>62.85</v>
      </c>
      <c r="H1304">
        <v>491.85</v>
      </c>
    </row>
    <row r="1305" spans="1:8" x14ac:dyDescent="0.35">
      <c r="A1305" t="s">
        <v>9</v>
      </c>
      <c r="B1305" t="s">
        <v>1482</v>
      </c>
      <c r="C1305" t="s">
        <v>11</v>
      </c>
      <c r="D1305" t="s">
        <v>1481</v>
      </c>
      <c r="E1305" t="s">
        <v>13</v>
      </c>
      <c r="F1305">
        <v>281.27999999999997</v>
      </c>
      <c r="G1305">
        <v>26.89</v>
      </c>
      <c r="H1305">
        <v>308.17</v>
      </c>
    </row>
    <row r="1306" spans="1:8" x14ac:dyDescent="0.35">
      <c r="A1306" t="s">
        <v>9</v>
      </c>
      <c r="B1306" t="s">
        <v>1483</v>
      </c>
      <c r="C1306" t="s">
        <v>11</v>
      </c>
      <c r="D1306" t="s">
        <v>1481</v>
      </c>
      <c r="E1306" t="s">
        <v>13</v>
      </c>
      <c r="F1306">
        <v>331.91</v>
      </c>
      <c r="G1306">
        <v>35.99</v>
      </c>
      <c r="H1306">
        <v>367.9</v>
      </c>
    </row>
    <row r="1307" spans="1:8" x14ac:dyDescent="0.35">
      <c r="A1307" t="s">
        <v>9</v>
      </c>
      <c r="B1307" t="s">
        <v>1484</v>
      </c>
      <c r="C1307" t="s">
        <v>11</v>
      </c>
      <c r="D1307" t="s">
        <v>1481</v>
      </c>
      <c r="E1307" t="s">
        <v>13</v>
      </c>
      <c r="F1307">
        <v>668.78</v>
      </c>
      <c r="G1307">
        <v>94.02</v>
      </c>
      <c r="H1307">
        <v>762.8</v>
      </c>
    </row>
    <row r="1308" spans="1:8" x14ac:dyDescent="0.35">
      <c r="A1308" t="s">
        <v>9</v>
      </c>
      <c r="B1308" t="s">
        <v>1485</v>
      </c>
      <c r="C1308" t="s">
        <v>11</v>
      </c>
      <c r="D1308" t="s">
        <v>1481</v>
      </c>
      <c r="E1308" t="s">
        <v>13</v>
      </c>
      <c r="F1308">
        <v>168.22</v>
      </c>
      <c r="G1308">
        <v>23.73</v>
      </c>
      <c r="H1308">
        <v>191.95</v>
      </c>
    </row>
    <row r="1309" spans="1:8" x14ac:dyDescent="0.35">
      <c r="A1309" t="s">
        <v>9</v>
      </c>
      <c r="B1309" t="s">
        <v>1486</v>
      </c>
      <c r="C1309" t="s">
        <v>11</v>
      </c>
      <c r="D1309" t="s">
        <v>1481</v>
      </c>
      <c r="E1309" t="s">
        <v>13</v>
      </c>
      <c r="F1309">
        <v>204.34</v>
      </c>
      <c r="G1309">
        <v>30.65</v>
      </c>
      <c r="H1309">
        <v>234.99</v>
      </c>
    </row>
    <row r="1310" spans="1:8" x14ac:dyDescent="0.35">
      <c r="A1310" t="s">
        <v>9</v>
      </c>
      <c r="B1310" t="s">
        <v>1487</v>
      </c>
      <c r="C1310" t="s">
        <v>11</v>
      </c>
      <c r="D1310" t="s">
        <v>1481</v>
      </c>
      <c r="E1310" t="s">
        <v>13</v>
      </c>
      <c r="F1310">
        <v>145.16999999999999</v>
      </c>
      <c r="G1310">
        <v>21.77</v>
      </c>
      <c r="H1310">
        <v>166.94</v>
      </c>
    </row>
    <row r="1311" spans="1:8" x14ac:dyDescent="0.35">
      <c r="A1311" t="s">
        <v>9</v>
      </c>
      <c r="B1311" t="s">
        <v>1488</v>
      </c>
      <c r="C1311" t="s">
        <v>11</v>
      </c>
      <c r="D1311" t="s">
        <v>1489</v>
      </c>
      <c r="E1311" t="s">
        <v>13</v>
      </c>
      <c r="F1311">
        <v>429.6</v>
      </c>
      <c r="G1311">
        <v>57.77</v>
      </c>
      <c r="H1311">
        <v>487.37</v>
      </c>
    </row>
    <row r="1312" spans="1:8" x14ac:dyDescent="0.35">
      <c r="A1312" t="s">
        <v>9</v>
      </c>
      <c r="B1312" t="s">
        <v>1490</v>
      </c>
      <c r="C1312" t="s">
        <v>11</v>
      </c>
      <c r="D1312" t="s">
        <v>1489</v>
      </c>
      <c r="E1312" t="s">
        <v>13</v>
      </c>
      <c r="F1312">
        <v>516.04999999999995</v>
      </c>
      <c r="G1312">
        <v>72.91</v>
      </c>
      <c r="H1312">
        <v>588.96</v>
      </c>
    </row>
    <row r="1313" spans="1:8" x14ac:dyDescent="0.35">
      <c r="A1313" t="s">
        <v>9</v>
      </c>
      <c r="B1313" t="s">
        <v>1491</v>
      </c>
      <c r="C1313" t="s">
        <v>11</v>
      </c>
      <c r="D1313" t="s">
        <v>1489</v>
      </c>
      <c r="E1313" t="s">
        <v>13</v>
      </c>
      <c r="F1313">
        <v>915.43</v>
      </c>
      <c r="G1313">
        <v>79.28</v>
      </c>
      <c r="H1313">
        <v>994.71</v>
      </c>
    </row>
    <row r="1314" spans="1:8" x14ac:dyDescent="0.35">
      <c r="A1314" t="s">
        <v>9</v>
      </c>
      <c r="B1314" t="s">
        <v>1492</v>
      </c>
      <c r="C1314" t="s">
        <v>11</v>
      </c>
      <c r="D1314" t="s">
        <v>1489</v>
      </c>
      <c r="E1314" t="s">
        <v>13</v>
      </c>
      <c r="F1314">
        <v>215.38</v>
      </c>
      <c r="G1314">
        <v>19.559999999999999</v>
      </c>
      <c r="H1314">
        <v>234.94</v>
      </c>
    </row>
    <row r="1315" spans="1:8" x14ac:dyDescent="0.35">
      <c r="A1315" t="s">
        <v>9</v>
      </c>
      <c r="B1315" t="s">
        <v>1493</v>
      </c>
      <c r="C1315" t="s">
        <v>11</v>
      </c>
      <c r="D1315" t="s">
        <v>1489</v>
      </c>
      <c r="E1315" t="s">
        <v>13</v>
      </c>
      <c r="F1315">
        <v>305.14999999999998</v>
      </c>
      <c r="G1315">
        <v>42.77</v>
      </c>
      <c r="H1315">
        <v>347.92</v>
      </c>
    </row>
    <row r="1316" spans="1:8" x14ac:dyDescent="0.35">
      <c r="A1316" t="s">
        <v>9</v>
      </c>
      <c r="B1316" t="s">
        <v>1494</v>
      </c>
      <c r="C1316" t="s">
        <v>11</v>
      </c>
      <c r="D1316" t="s">
        <v>1495</v>
      </c>
      <c r="E1316" t="s">
        <v>13</v>
      </c>
      <c r="F1316">
        <v>157.80000000000001</v>
      </c>
      <c r="G1316">
        <v>22.17</v>
      </c>
      <c r="H1316">
        <v>179.97</v>
      </c>
    </row>
    <row r="1317" spans="1:8" x14ac:dyDescent="0.35">
      <c r="A1317" t="s">
        <v>9</v>
      </c>
      <c r="B1317" t="s">
        <v>1496</v>
      </c>
      <c r="C1317" t="s">
        <v>11</v>
      </c>
      <c r="D1317" t="s">
        <v>1495</v>
      </c>
      <c r="E1317" t="s">
        <v>13</v>
      </c>
      <c r="F1317">
        <v>361.19</v>
      </c>
      <c r="G1317">
        <v>31.69</v>
      </c>
      <c r="H1317">
        <v>392.88</v>
      </c>
    </row>
    <row r="1318" spans="1:8" x14ac:dyDescent="0.35">
      <c r="A1318" t="s">
        <v>9</v>
      </c>
      <c r="B1318" t="s">
        <v>1497</v>
      </c>
      <c r="C1318" t="s">
        <v>11</v>
      </c>
      <c r="D1318" t="s">
        <v>1495</v>
      </c>
      <c r="E1318" t="s">
        <v>13</v>
      </c>
      <c r="F1318">
        <v>640.52</v>
      </c>
      <c r="G1318">
        <v>32.340000000000003</v>
      </c>
      <c r="H1318">
        <v>672.86</v>
      </c>
    </row>
    <row r="1319" spans="1:8" x14ac:dyDescent="0.35">
      <c r="A1319" t="s">
        <v>9</v>
      </c>
      <c r="B1319" t="s">
        <v>1498</v>
      </c>
      <c r="C1319" t="s">
        <v>11</v>
      </c>
      <c r="D1319" t="s">
        <v>1495</v>
      </c>
      <c r="E1319" t="s">
        <v>13</v>
      </c>
      <c r="F1319">
        <v>294.68</v>
      </c>
      <c r="G1319">
        <v>41.73</v>
      </c>
      <c r="H1319">
        <v>336.41</v>
      </c>
    </row>
    <row r="1320" spans="1:8" x14ac:dyDescent="0.35">
      <c r="A1320" t="s">
        <v>9</v>
      </c>
      <c r="B1320" t="s">
        <v>1499</v>
      </c>
      <c r="C1320" t="s">
        <v>11</v>
      </c>
      <c r="D1320" t="s">
        <v>1500</v>
      </c>
      <c r="E1320" t="s">
        <v>13</v>
      </c>
      <c r="F1320">
        <v>694.7</v>
      </c>
      <c r="G1320">
        <v>98.21</v>
      </c>
      <c r="H1320">
        <v>792.91</v>
      </c>
    </row>
    <row r="1321" spans="1:8" x14ac:dyDescent="0.35">
      <c r="A1321" t="s">
        <v>9</v>
      </c>
      <c r="B1321" t="s">
        <v>1501</v>
      </c>
      <c r="C1321" t="s">
        <v>11</v>
      </c>
      <c r="D1321" t="s">
        <v>1500</v>
      </c>
      <c r="E1321" t="s">
        <v>13</v>
      </c>
      <c r="F1321">
        <v>329.94</v>
      </c>
      <c r="G1321">
        <v>47.99</v>
      </c>
      <c r="H1321">
        <v>377.93</v>
      </c>
    </row>
    <row r="1322" spans="1:8" x14ac:dyDescent="0.35">
      <c r="A1322" t="s">
        <v>9</v>
      </c>
      <c r="B1322" t="s">
        <v>1502</v>
      </c>
      <c r="C1322" t="s">
        <v>11</v>
      </c>
      <c r="D1322" t="s">
        <v>1500</v>
      </c>
      <c r="E1322" t="s">
        <v>13</v>
      </c>
      <c r="F1322">
        <v>523.62</v>
      </c>
      <c r="G1322">
        <v>60.7</v>
      </c>
      <c r="H1322">
        <v>584.32000000000005</v>
      </c>
    </row>
    <row r="1323" spans="1:8" x14ac:dyDescent="0.35">
      <c r="A1323" t="s">
        <v>9</v>
      </c>
      <c r="B1323" t="s">
        <v>1503</v>
      </c>
      <c r="C1323" t="s">
        <v>11</v>
      </c>
      <c r="D1323" t="s">
        <v>1500</v>
      </c>
      <c r="E1323" t="s">
        <v>13</v>
      </c>
      <c r="F1323">
        <v>167.54</v>
      </c>
      <c r="G1323">
        <v>22.43</v>
      </c>
      <c r="H1323">
        <v>189.97</v>
      </c>
    </row>
    <row r="1324" spans="1:8" x14ac:dyDescent="0.35">
      <c r="A1324" t="s">
        <v>9</v>
      </c>
      <c r="B1324" t="s">
        <v>1504</v>
      </c>
      <c r="C1324" t="s">
        <v>11</v>
      </c>
      <c r="D1324" t="s">
        <v>1505</v>
      </c>
      <c r="E1324" t="s">
        <v>13</v>
      </c>
      <c r="F1324">
        <v>192.1</v>
      </c>
      <c r="G1324">
        <v>28.81</v>
      </c>
      <c r="H1324">
        <v>220.91</v>
      </c>
    </row>
    <row r="1325" spans="1:8" x14ac:dyDescent="0.35">
      <c r="A1325" t="s">
        <v>9</v>
      </c>
      <c r="B1325" t="s">
        <v>1506</v>
      </c>
      <c r="C1325" t="s">
        <v>11</v>
      </c>
      <c r="D1325" t="s">
        <v>1505</v>
      </c>
      <c r="E1325" t="s">
        <v>13</v>
      </c>
      <c r="F1325">
        <v>150.41999999999999</v>
      </c>
      <c r="G1325">
        <v>4.57</v>
      </c>
      <c r="H1325">
        <v>154.99</v>
      </c>
    </row>
    <row r="1326" spans="1:8" x14ac:dyDescent="0.35">
      <c r="A1326" t="s">
        <v>9</v>
      </c>
      <c r="B1326" t="s">
        <v>1507</v>
      </c>
      <c r="C1326" t="s">
        <v>11</v>
      </c>
      <c r="D1326" t="s">
        <v>1505</v>
      </c>
      <c r="E1326" t="s">
        <v>13</v>
      </c>
      <c r="F1326">
        <v>243.85</v>
      </c>
      <c r="G1326">
        <v>35.08</v>
      </c>
      <c r="H1326">
        <v>278.93</v>
      </c>
    </row>
    <row r="1327" spans="1:8" x14ac:dyDescent="0.35">
      <c r="A1327" t="s">
        <v>9</v>
      </c>
      <c r="B1327" t="s">
        <v>1508</v>
      </c>
      <c r="C1327" t="s">
        <v>11</v>
      </c>
      <c r="D1327" t="s">
        <v>1505</v>
      </c>
      <c r="E1327" t="s">
        <v>13</v>
      </c>
      <c r="F1327">
        <v>238.66</v>
      </c>
      <c r="G1327">
        <v>16.3</v>
      </c>
      <c r="H1327">
        <v>254.96</v>
      </c>
    </row>
    <row r="1328" spans="1:8" x14ac:dyDescent="0.35">
      <c r="A1328" t="s">
        <v>9</v>
      </c>
      <c r="B1328" t="s">
        <v>1509</v>
      </c>
      <c r="C1328" t="s">
        <v>11</v>
      </c>
      <c r="D1328" t="s">
        <v>1505</v>
      </c>
      <c r="E1328" t="s">
        <v>13</v>
      </c>
      <c r="F1328">
        <v>208.84</v>
      </c>
      <c r="G1328">
        <v>7.16</v>
      </c>
      <c r="H1328">
        <v>216</v>
      </c>
    </row>
    <row r="1329" spans="1:8" x14ac:dyDescent="0.35">
      <c r="A1329" t="s">
        <v>9</v>
      </c>
      <c r="B1329" t="s">
        <v>1510</v>
      </c>
      <c r="C1329" t="s">
        <v>11</v>
      </c>
      <c r="D1329" t="s">
        <v>1505</v>
      </c>
      <c r="E1329" t="s">
        <v>13</v>
      </c>
      <c r="F1329">
        <v>254.73</v>
      </c>
      <c r="G1329">
        <v>26.21</v>
      </c>
      <c r="H1329">
        <v>280.94</v>
      </c>
    </row>
    <row r="1330" spans="1:8" x14ac:dyDescent="0.35">
      <c r="A1330" t="s">
        <v>9</v>
      </c>
      <c r="B1330" t="s">
        <v>1511</v>
      </c>
      <c r="C1330" t="s">
        <v>11</v>
      </c>
      <c r="D1330" t="s">
        <v>1505</v>
      </c>
      <c r="E1330" t="s">
        <v>13</v>
      </c>
      <c r="F1330">
        <v>214.14</v>
      </c>
      <c r="G1330">
        <v>22.82</v>
      </c>
      <c r="H1330">
        <v>236.96</v>
      </c>
    </row>
    <row r="1331" spans="1:8" x14ac:dyDescent="0.35">
      <c r="A1331" t="s">
        <v>9</v>
      </c>
      <c r="B1331" t="s">
        <v>1512</v>
      </c>
      <c r="C1331" t="s">
        <v>11</v>
      </c>
      <c r="D1331" t="s">
        <v>1505</v>
      </c>
      <c r="E1331" t="s">
        <v>13</v>
      </c>
      <c r="F1331">
        <v>171.97</v>
      </c>
      <c r="G1331">
        <v>12.39</v>
      </c>
      <c r="H1331">
        <v>184.36</v>
      </c>
    </row>
    <row r="1332" spans="1:8" x14ac:dyDescent="0.35">
      <c r="A1332" t="s">
        <v>9</v>
      </c>
      <c r="B1332" t="s">
        <v>1513</v>
      </c>
      <c r="C1332" t="s">
        <v>11</v>
      </c>
      <c r="D1332" t="s">
        <v>1505</v>
      </c>
      <c r="E1332" t="s">
        <v>13</v>
      </c>
      <c r="F1332">
        <v>522.80999999999995</v>
      </c>
      <c r="G1332">
        <v>62.37</v>
      </c>
      <c r="H1332">
        <v>585.17999999999995</v>
      </c>
    </row>
    <row r="1333" spans="1:8" x14ac:dyDescent="0.35">
      <c r="A1333" t="s">
        <v>9</v>
      </c>
      <c r="B1333" t="s">
        <v>1514</v>
      </c>
      <c r="C1333" t="s">
        <v>11</v>
      </c>
      <c r="D1333" t="s">
        <v>1505</v>
      </c>
      <c r="E1333" t="s">
        <v>13</v>
      </c>
      <c r="F1333">
        <v>343.98</v>
      </c>
      <c r="G1333">
        <v>38.33</v>
      </c>
      <c r="H1333">
        <v>382.31</v>
      </c>
    </row>
    <row r="1334" spans="1:8" x14ac:dyDescent="0.35">
      <c r="A1334" t="s">
        <v>9</v>
      </c>
      <c r="B1334" t="s">
        <v>1515</v>
      </c>
      <c r="C1334" t="s">
        <v>11</v>
      </c>
      <c r="D1334" t="s">
        <v>1505</v>
      </c>
      <c r="E1334" t="s">
        <v>13</v>
      </c>
      <c r="F1334">
        <v>176.49</v>
      </c>
      <c r="G1334">
        <v>20.47</v>
      </c>
      <c r="H1334">
        <v>196.96</v>
      </c>
    </row>
    <row r="1335" spans="1:8" x14ac:dyDescent="0.35">
      <c r="A1335" t="s">
        <v>9</v>
      </c>
      <c r="B1335" t="s">
        <v>1516</v>
      </c>
      <c r="C1335" t="s">
        <v>11</v>
      </c>
      <c r="D1335" t="s">
        <v>1505</v>
      </c>
      <c r="E1335" t="s">
        <v>13</v>
      </c>
      <c r="F1335">
        <v>566.45000000000005</v>
      </c>
      <c r="G1335">
        <v>83.47</v>
      </c>
      <c r="H1335">
        <v>649.91999999999996</v>
      </c>
    </row>
    <row r="1336" spans="1:8" x14ac:dyDescent="0.35">
      <c r="A1336" t="s">
        <v>9</v>
      </c>
      <c r="B1336" t="s">
        <v>1517</v>
      </c>
      <c r="C1336" t="s">
        <v>11</v>
      </c>
      <c r="D1336" t="s">
        <v>1518</v>
      </c>
      <c r="E1336" t="s">
        <v>13</v>
      </c>
      <c r="F1336">
        <v>906.07</v>
      </c>
      <c r="G1336">
        <v>106.97</v>
      </c>
      <c r="H1336">
        <v>1013.04</v>
      </c>
    </row>
    <row r="1337" spans="1:8" x14ac:dyDescent="0.35">
      <c r="A1337" t="s">
        <v>9</v>
      </c>
      <c r="B1337" t="s">
        <v>1519</v>
      </c>
      <c r="C1337" t="s">
        <v>11</v>
      </c>
      <c r="D1337" t="s">
        <v>1518</v>
      </c>
      <c r="E1337" t="s">
        <v>13</v>
      </c>
      <c r="F1337">
        <v>276.48</v>
      </c>
      <c r="G1337">
        <v>41.47</v>
      </c>
      <c r="H1337">
        <v>317.95</v>
      </c>
    </row>
    <row r="1338" spans="1:8" x14ac:dyDescent="0.35">
      <c r="A1338" t="s">
        <v>9</v>
      </c>
      <c r="B1338" t="s">
        <v>1520</v>
      </c>
      <c r="C1338" t="s">
        <v>11</v>
      </c>
      <c r="D1338" t="s">
        <v>1518</v>
      </c>
      <c r="E1338" t="s">
        <v>13</v>
      </c>
      <c r="F1338">
        <v>170.41</v>
      </c>
      <c r="G1338">
        <v>4.57</v>
      </c>
      <c r="H1338">
        <v>174.98</v>
      </c>
    </row>
    <row r="1339" spans="1:8" x14ac:dyDescent="0.35">
      <c r="A1339" t="s">
        <v>9</v>
      </c>
      <c r="B1339" t="s">
        <v>1521</v>
      </c>
      <c r="C1339" t="s">
        <v>11</v>
      </c>
      <c r="D1339" t="s">
        <v>1518</v>
      </c>
      <c r="E1339" t="s">
        <v>13</v>
      </c>
      <c r="F1339">
        <v>137.97999999999999</v>
      </c>
      <c r="G1339">
        <v>15</v>
      </c>
      <c r="H1339">
        <v>152.97999999999999</v>
      </c>
    </row>
    <row r="1340" spans="1:8" x14ac:dyDescent="0.35">
      <c r="A1340" t="s">
        <v>9</v>
      </c>
      <c r="B1340" t="s">
        <v>1522</v>
      </c>
      <c r="C1340" t="s">
        <v>11</v>
      </c>
      <c r="D1340" t="s">
        <v>1518</v>
      </c>
      <c r="E1340" t="s">
        <v>13</v>
      </c>
      <c r="F1340">
        <v>500.96</v>
      </c>
      <c r="G1340">
        <v>53.85</v>
      </c>
      <c r="H1340">
        <v>554.80999999999995</v>
      </c>
    </row>
    <row r="1341" spans="1:8" x14ac:dyDescent="0.35">
      <c r="A1341" t="s">
        <v>9</v>
      </c>
      <c r="B1341" t="s">
        <v>1523</v>
      </c>
      <c r="C1341" t="s">
        <v>11</v>
      </c>
      <c r="D1341" t="s">
        <v>1518</v>
      </c>
      <c r="E1341" t="s">
        <v>13</v>
      </c>
      <c r="F1341">
        <v>132.13</v>
      </c>
      <c r="G1341">
        <v>19.82</v>
      </c>
      <c r="H1341">
        <v>151.94999999999999</v>
      </c>
    </row>
    <row r="1342" spans="1:8" x14ac:dyDescent="0.35">
      <c r="A1342" t="s">
        <v>9</v>
      </c>
      <c r="B1342" t="s">
        <v>1524</v>
      </c>
      <c r="C1342" t="s">
        <v>11</v>
      </c>
      <c r="D1342" t="s">
        <v>1518</v>
      </c>
      <c r="E1342" t="s">
        <v>13</v>
      </c>
      <c r="F1342">
        <v>598.05999999999995</v>
      </c>
      <c r="G1342">
        <v>72.459999999999994</v>
      </c>
      <c r="H1342">
        <v>670.52</v>
      </c>
    </row>
    <row r="1343" spans="1:8" x14ac:dyDescent="0.35">
      <c r="A1343" t="s">
        <v>9</v>
      </c>
      <c r="B1343" t="s">
        <v>1525</v>
      </c>
      <c r="C1343" t="s">
        <v>11</v>
      </c>
      <c r="D1343" t="s">
        <v>1526</v>
      </c>
      <c r="E1343" t="s">
        <v>13</v>
      </c>
      <c r="F1343">
        <v>162.13</v>
      </c>
      <c r="G1343">
        <v>22.82</v>
      </c>
      <c r="H1343">
        <v>184.95</v>
      </c>
    </row>
    <row r="1344" spans="1:8" x14ac:dyDescent="0.35">
      <c r="A1344" t="s">
        <v>9</v>
      </c>
      <c r="B1344" t="s">
        <v>1527</v>
      </c>
      <c r="C1344" t="s">
        <v>11</v>
      </c>
      <c r="D1344" t="s">
        <v>1526</v>
      </c>
      <c r="E1344" t="s">
        <v>13</v>
      </c>
      <c r="F1344">
        <v>171.46</v>
      </c>
      <c r="G1344">
        <v>21.52</v>
      </c>
      <c r="H1344">
        <v>192.98</v>
      </c>
    </row>
    <row r="1345" spans="1:8" x14ac:dyDescent="0.35">
      <c r="A1345" t="s">
        <v>9</v>
      </c>
      <c r="B1345" t="s">
        <v>1528</v>
      </c>
      <c r="C1345" t="s">
        <v>11</v>
      </c>
      <c r="D1345" t="s">
        <v>1529</v>
      </c>
      <c r="E1345" t="s">
        <v>13</v>
      </c>
      <c r="F1345">
        <v>379.93</v>
      </c>
      <c r="G1345">
        <v>53.99</v>
      </c>
      <c r="H1345">
        <v>433.92</v>
      </c>
    </row>
    <row r="1346" spans="1:8" x14ac:dyDescent="0.35">
      <c r="A1346" t="s">
        <v>9</v>
      </c>
      <c r="B1346" t="s">
        <v>1530</v>
      </c>
      <c r="C1346" t="s">
        <v>11</v>
      </c>
      <c r="D1346" t="s">
        <v>1529</v>
      </c>
      <c r="E1346" t="s">
        <v>13</v>
      </c>
      <c r="F1346">
        <v>205.56</v>
      </c>
      <c r="G1346">
        <v>12.39</v>
      </c>
      <c r="H1346">
        <v>217.95</v>
      </c>
    </row>
    <row r="1347" spans="1:8" x14ac:dyDescent="0.35">
      <c r="A1347" t="s">
        <v>9</v>
      </c>
      <c r="B1347" t="s">
        <v>1531</v>
      </c>
      <c r="C1347" t="s">
        <v>11</v>
      </c>
      <c r="D1347" t="s">
        <v>1529</v>
      </c>
      <c r="E1347" t="s">
        <v>13</v>
      </c>
      <c r="F1347">
        <v>795.01</v>
      </c>
      <c r="G1347">
        <v>85.81</v>
      </c>
      <c r="H1347">
        <v>880.82</v>
      </c>
    </row>
    <row r="1348" spans="1:8" x14ac:dyDescent="0.35">
      <c r="A1348" t="s">
        <v>9</v>
      </c>
      <c r="B1348" t="s">
        <v>1532</v>
      </c>
      <c r="C1348" t="s">
        <v>11</v>
      </c>
      <c r="D1348" t="s">
        <v>1529</v>
      </c>
      <c r="E1348" t="s">
        <v>13</v>
      </c>
      <c r="F1348">
        <v>386.3</v>
      </c>
      <c r="G1348">
        <v>41.6</v>
      </c>
      <c r="H1348">
        <v>427.9</v>
      </c>
    </row>
    <row r="1349" spans="1:8" x14ac:dyDescent="0.35">
      <c r="A1349" t="s">
        <v>9</v>
      </c>
      <c r="B1349" t="s">
        <v>1533</v>
      </c>
      <c r="C1349" t="s">
        <v>11</v>
      </c>
      <c r="D1349" t="s">
        <v>1529</v>
      </c>
      <c r="E1349" t="s">
        <v>13</v>
      </c>
      <c r="F1349">
        <v>334.91</v>
      </c>
      <c r="G1349">
        <v>29.99</v>
      </c>
      <c r="H1349">
        <v>364.9</v>
      </c>
    </row>
    <row r="1350" spans="1:8" x14ac:dyDescent="0.35">
      <c r="A1350" t="s">
        <v>9</v>
      </c>
      <c r="B1350" t="s">
        <v>1534</v>
      </c>
      <c r="C1350" t="s">
        <v>11</v>
      </c>
      <c r="D1350" t="s">
        <v>1535</v>
      </c>
      <c r="E1350" t="s">
        <v>13</v>
      </c>
      <c r="F1350">
        <v>1071.74</v>
      </c>
      <c r="G1350">
        <v>106.02</v>
      </c>
      <c r="H1350">
        <v>1177.76</v>
      </c>
    </row>
    <row r="1351" spans="1:8" x14ac:dyDescent="0.35">
      <c r="A1351" t="s">
        <v>9</v>
      </c>
      <c r="B1351" t="s">
        <v>1536</v>
      </c>
      <c r="C1351" t="s">
        <v>11</v>
      </c>
      <c r="D1351" t="s">
        <v>1535</v>
      </c>
      <c r="E1351" t="s">
        <v>13</v>
      </c>
      <c r="F1351">
        <v>259.08</v>
      </c>
      <c r="G1351">
        <v>26.87</v>
      </c>
      <c r="H1351">
        <v>285.95</v>
      </c>
    </row>
    <row r="1352" spans="1:8" x14ac:dyDescent="0.35">
      <c r="A1352" t="s">
        <v>9</v>
      </c>
      <c r="B1352" t="s">
        <v>1537</v>
      </c>
      <c r="C1352" t="s">
        <v>11</v>
      </c>
      <c r="D1352" t="s">
        <v>1535</v>
      </c>
      <c r="E1352" t="s">
        <v>13</v>
      </c>
      <c r="F1352">
        <v>913.11</v>
      </c>
      <c r="G1352">
        <v>117.47</v>
      </c>
      <c r="H1352">
        <v>1030.58</v>
      </c>
    </row>
    <row r="1353" spans="1:8" x14ac:dyDescent="0.35">
      <c r="A1353" t="s">
        <v>9</v>
      </c>
      <c r="B1353" t="s">
        <v>1538</v>
      </c>
      <c r="C1353" t="s">
        <v>11</v>
      </c>
      <c r="D1353" t="s">
        <v>1535</v>
      </c>
      <c r="E1353" t="s">
        <v>13</v>
      </c>
      <c r="F1353">
        <v>345.32</v>
      </c>
      <c r="G1353">
        <v>38.6</v>
      </c>
      <c r="H1353">
        <v>383.92</v>
      </c>
    </row>
    <row r="1354" spans="1:8" x14ac:dyDescent="0.35">
      <c r="A1354" t="s">
        <v>9</v>
      </c>
      <c r="B1354" t="s">
        <v>1539</v>
      </c>
      <c r="C1354" t="s">
        <v>11</v>
      </c>
      <c r="D1354" t="s">
        <v>1535</v>
      </c>
      <c r="E1354" t="s">
        <v>13</v>
      </c>
      <c r="F1354">
        <v>167.36</v>
      </c>
      <c r="G1354">
        <v>23.6</v>
      </c>
      <c r="H1354">
        <v>190.96</v>
      </c>
    </row>
    <row r="1355" spans="1:8" x14ac:dyDescent="0.35">
      <c r="A1355" t="s">
        <v>9</v>
      </c>
      <c r="B1355" t="s">
        <v>1540</v>
      </c>
      <c r="C1355" t="s">
        <v>11</v>
      </c>
      <c r="D1355" t="s">
        <v>1535</v>
      </c>
      <c r="E1355" t="s">
        <v>13</v>
      </c>
      <c r="F1355">
        <v>146.44</v>
      </c>
      <c r="G1355">
        <v>20.47</v>
      </c>
      <c r="H1355">
        <v>166.91</v>
      </c>
    </row>
    <row r="1356" spans="1:8" x14ac:dyDescent="0.35">
      <c r="A1356" t="s">
        <v>9</v>
      </c>
      <c r="B1356" t="s">
        <v>1541</v>
      </c>
      <c r="C1356" t="s">
        <v>11</v>
      </c>
      <c r="D1356" t="s">
        <v>1535</v>
      </c>
      <c r="E1356" t="s">
        <v>13</v>
      </c>
      <c r="F1356">
        <v>366.49</v>
      </c>
      <c r="G1356">
        <v>53.47</v>
      </c>
      <c r="H1356">
        <v>419.96</v>
      </c>
    </row>
    <row r="1357" spans="1:8" x14ac:dyDescent="0.35">
      <c r="A1357" t="s">
        <v>9</v>
      </c>
      <c r="B1357" t="s">
        <v>1542</v>
      </c>
      <c r="C1357" t="s">
        <v>11</v>
      </c>
      <c r="D1357" t="s">
        <v>1535</v>
      </c>
      <c r="E1357" t="s">
        <v>13</v>
      </c>
      <c r="F1357">
        <v>175.16</v>
      </c>
      <c r="G1357">
        <v>21.78</v>
      </c>
      <c r="H1357">
        <v>196.94</v>
      </c>
    </row>
    <row r="1358" spans="1:8" x14ac:dyDescent="0.35">
      <c r="A1358" t="s">
        <v>9</v>
      </c>
      <c r="B1358" t="s">
        <v>1543</v>
      </c>
      <c r="C1358" t="s">
        <v>11</v>
      </c>
      <c r="D1358" t="s">
        <v>1544</v>
      </c>
      <c r="E1358" t="s">
        <v>13</v>
      </c>
      <c r="F1358">
        <v>191.94</v>
      </c>
      <c r="G1358">
        <v>13.04</v>
      </c>
      <c r="H1358">
        <v>204.98</v>
      </c>
    </row>
    <row r="1359" spans="1:8" x14ac:dyDescent="0.35">
      <c r="A1359" t="s">
        <v>9</v>
      </c>
      <c r="B1359" t="s">
        <v>1545</v>
      </c>
      <c r="C1359" t="s">
        <v>11</v>
      </c>
      <c r="D1359" t="s">
        <v>1544</v>
      </c>
      <c r="E1359" t="s">
        <v>13</v>
      </c>
      <c r="F1359">
        <v>550.80999999999995</v>
      </c>
      <c r="G1359">
        <v>54.13</v>
      </c>
      <c r="H1359">
        <v>604.94000000000005</v>
      </c>
    </row>
    <row r="1360" spans="1:8" x14ac:dyDescent="0.35">
      <c r="A1360" t="s">
        <v>9</v>
      </c>
      <c r="B1360" t="s">
        <v>1546</v>
      </c>
      <c r="C1360" t="s">
        <v>11</v>
      </c>
      <c r="D1360" t="s">
        <v>1544</v>
      </c>
      <c r="E1360" t="s">
        <v>13</v>
      </c>
      <c r="F1360">
        <v>454.83</v>
      </c>
      <c r="G1360">
        <v>40.03</v>
      </c>
      <c r="H1360">
        <v>494.86</v>
      </c>
    </row>
    <row r="1361" spans="1:8" x14ac:dyDescent="0.35">
      <c r="A1361" t="s">
        <v>9</v>
      </c>
      <c r="B1361" t="s">
        <v>1547</v>
      </c>
      <c r="C1361" t="s">
        <v>11</v>
      </c>
      <c r="D1361" t="s">
        <v>1544</v>
      </c>
      <c r="E1361" t="s">
        <v>13</v>
      </c>
      <c r="F1361">
        <v>315.74</v>
      </c>
      <c r="G1361">
        <v>40.159999999999997</v>
      </c>
      <c r="H1361">
        <v>355.9</v>
      </c>
    </row>
    <row r="1362" spans="1:8" x14ac:dyDescent="0.35">
      <c r="A1362" t="s">
        <v>9</v>
      </c>
      <c r="B1362" t="s">
        <v>1548</v>
      </c>
      <c r="C1362" t="s">
        <v>11</v>
      </c>
      <c r="D1362" t="s">
        <v>1544</v>
      </c>
      <c r="E1362" t="s">
        <v>13</v>
      </c>
      <c r="F1362">
        <v>201.82</v>
      </c>
      <c r="G1362">
        <v>27.12</v>
      </c>
      <c r="H1362">
        <v>228.94</v>
      </c>
    </row>
    <row r="1363" spans="1:8" x14ac:dyDescent="0.35">
      <c r="A1363" t="s">
        <v>9</v>
      </c>
      <c r="B1363" t="s">
        <v>1549</v>
      </c>
      <c r="C1363" t="s">
        <v>11</v>
      </c>
      <c r="D1363" t="s">
        <v>1544</v>
      </c>
      <c r="E1363" t="s">
        <v>13</v>
      </c>
      <c r="F1363">
        <v>293.20999999999998</v>
      </c>
      <c r="G1363">
        <v>26.74</v>
      </c>
      <c r="H1363">
        <v>319.95</v>
      </c>
    </row>
    <row r="1364" spans="1:8" x14ac:dyDescent="0.35">
      <c r="A1364" t="s">
        <v>9</v>
      </c>
      <c r="B1364" t="s">
        <v>1550</v>
      </c>
      <c r="C1364" t="s">
        <v>11</v>
      </c>
      <c r="D1364" t="s">
        <v>1544</v>
      </c>
      <c r="E1364" t="s">
        <v>13</v>
      </c>
      <c r="F1364">
        <v>191.59</v>
      </c>
      <c r="G1364">
        <v>11.35</v>
      </c>
      <c r="H1364">
        <v>202.94</v>
      </c>
    </row>
    <row r="1365" spans="1:8" x14ac:dyDescent="0.35">
      <c r="A1365" t="s">
        <v>9</v>
      </c>
      <c r="B1365" t="s">
        <v>1551</v>
      </c>
      <c r="C1365" t="s">
        <v>11</v>
      </c>
      <c r="D1365" t="s">
        <v>1544</v>
      </c>
      <c r="E1365" t="s">
        <v>13</v>
      </c>
      <c r="F1365">
        <v>293.82</v>
      </c>
      <c r="G1365">
        <v>39.58</v>
      </c>
      <c r="H1365">
        <v>333.4</v>
      </c>
    </row>
    <row r="1366" spans="1:8" x14ac:dyDescent="0.35">
      <c r="A1366" t="s">
        <v>9</v>
      </c>
      <c r="B1366" t="s">
        <v>1552</v>
      </c>
      <c r="C1366" t="s">
        <v>11</v>
      </c>
      <c r="D1366" t="s">
        <v>1544</v>
      </c>
      <c r="E1366" t="s">
        <v>13</v>
      </c>
      <c r="F1366">
        <v>387.99</v>
      </c>
      <c r="G1366">
        <v>40.950000000000003</v>
      </c>
      <c r="H1366">
        <v>428.94</v>
      </c>
    </row>
    <row r="1367" spans="1:8" x14ac:dyDescent="0.35">
      <c r="A1367" t="s">
        <v>9</v>
      </c>
      <c r="B1367" t="s">
        <v>1553</v>
      </c>
      <c r="C1367" t="s">
        <v>11</v>
      </c>
      <c r="D1367" t="s">
        <v>1544</v>
      </c>
      <c r="E1367" t="s">
        <v>13</v>
      </c>
      <c r="F1367">
        <v>144.5</v>
      </c>
      <c r="G1367">
        <v>14.48</v>
      </c>
      <c r="H1367">
        <v>158.97999999999999</v>
      </c>
    </row>
    <row r="1368" spans="1:8" x14ac:dyDescent="0.35">
      <c r="A1368" t="s">
        <v>9</v>
      </c>
      <c r="B1368" t="s">
        <v>1554</v>
      </c>
      <c r="C1368" t="s">
        <v>11</v>
      </c>
      <c r="D1368" t="s">
        <v>1555</v>
      </c>
      <c r="E1368" t="s">
        <v>13</v>
      </c>
      <c r="F1368">
        <v>740.23</v>
      </c>
      <c r="G1368">
        <v>52.55</v>
      </c>
      <c r="H1368">
        <v>792.78</v>
      </c>
    </row>
    <row r="1369" spans="1:8" x14ac:dyDescent="0.35">
      <c r="A1369" t="s">
        <v>9</v>
      </c>
      <c r="B1369" t="s">
        <v>1556</v>
      </c>
      <c r="C1369" t="s">
        <v>11</v>
      </c>
      <c r="D1369" t="s">
        <v>1555</v>
      </c>
      <c r="E1369" t="s">
        <v>13</v>
      </c>
      <c r="F1369">
        <v>347.89</v>
      </c>
      <c r="G1369">
        <v>30.52</v>
      </c>
      <c r="H1369">
        <v>378.41</v>
      </c>
    </row>
    <row r="1370" spans="1:8" x14ac:dyDescent="0.35">
      <c r="A1370" t="s">
        <v>9</v>
      </c>
      <c r="B1370" t="s">
        <v>1557</v>
      </c>
      <c r="C1370" t="s">
        <v>11</v>
      </c>
      <c r="D1370" t="s">
        <v>1555</v>
      </c>
      <c r="E1370" t="s">
        <v>13</v>
      </c>
      <c r="F1370">
        <v>992.95</v>
      </c>
      <c r="G1370">
        <v>113.85</v>
      </c>
      <c r="H1370">
        <v>1106.8</v>
      </c>
    </row>
    <row r="1371" spans="1:8" x14ac:dyDescent="0.35">
      <c r="A1371" t="s">
        <v>9</v>
      </c>
      <c r="B1371" t="s">
        <v>1558</v>
      </c>
      <c r="C1371" t="s">
        <v>11</v>
      </c>
      <c r="D1371" t="s">
        <v>1555</v>
      </c>
      <c r="E1371" t="s">
        <v>13</v>
      </c>
      <c r="F1371">
        <v>943.67</v>
      </c>
      <c r="G1371">
        <v>108.11</v>
      </c>
      <c r="H1371">
        <v>1051.78</v>
      </c>
    </row>
    <row r="1372" spans="1:8" x14ac:dyDescent="0.35">
      <c r="A1372" t="s">
        <v>9</v>
      </c>
      <c r="B1372" t="s">
        <v>1559</v>
      </c>
      <c r="C1372" t="s">
        <v>11</v>
      </c>
      <c r="D1372" t="s">
        <v>1555</v>
      </c>
      <c r="E1372" t="s">
        <v>13</v>
      </c>
      <c r="F1372">
        <v>217.97</v>
      </c>
      <c r="G1372">
        <v>16.95</v>
      </c>
      <c r="H1372">
        <v>234.92</v>
      </c>
    </row>
    <row r="1373" spans="1:8" x14ac:dyDescent="0.35">
      <c r="A1373" t="s">
        <v>9</v>
      </c>
      <c r="B1373" t="s">
        <v>1560</v>
      </c>
      <c r="C1373" t="s">
        <v>11</v>
      </c>
      <c r="D1373" t="s">
        <v>1561</v>
      </c>
      <c r="E1373" t="s">
        <v>13</v>
      </c>
      <c r="F1373">
        <v>314.95999999999998</v>
      </c>
      <c r="G1373">
        <v>25.95</v>
      </c>
      <c r="H1373">
        <v>340.91</v>
      </c>
    </row>
    <row r="1374" spans="1:8" x14ac:dyDescent="0.35">
      <c r="A1374" t="s">
        <v>9</v>
      </c>
      <c r="B1374" t="s">
        <v>1562</v>
      </c>
      <c r="C1374" t="s">
        <v>11</v>
      </c>
      <c r="D1374" t="s">
        <v>1561</v>
      </c>
      <c r="E1374" t="s">
        <v>13</v>
      </c>
      <c r="F1374">
        <v>151.24</v>
      </c>
      <c r="G1374">
        <v>22.69</v>
      </c>
      <c r="H1374">
        <v>173.93</v>
      </c>
    </row>
    <row r="1375" spans="1:8" x14ac:dyDescent="0.35">
      <c r="A1375" t="s">
        <v>9</v>
      </c>
      <c r="B1375" t="s">
        <v>1563</v>
      </c>
      <c r="C1375" t="s">
        <v>11</v>
      </c>
      <c r="D1375" t="s">
        <v>1561</v>
      </c>
      <c r="E1375" t="s">
        <v>13</v>
      </c>
      <c r="F1375">
        <v>561.6</v>
      </c>
      <c r="G1375">
        <v>75.239999999999995</v>
      </c>
      <c r="H1375">
        <v>636.84</v>
      </c>
    </row>
    <row r="1376" spans="1:8" x14ac:dyDescent="0.35">
      <c r="A1376" t="s">
        <v>9</v>
      </c>
      <c r="B1376" t="s">
        <v>1564</v>
      </c>
      <c r="C1376" t="s">
        <v>11</v>
      </c>
      <c r="D1376" t="s">
        <v>1561</v>
      </c>
      <c r="E1376" t="s">
        <v>13</v>
      </c>
      <c r="F1376">
        <v>560.72</v>
      </c>
      <c r="G1376">
        <v>13.17</v>
      </c>
      <c r="H1376">
        <v>573.89</v>
      </c>
    </row>
    <row r="1377" spans="1:8" x14ac:dyDescent="0.35">
      <c r="A1377" t="s">
        <v>9</v>
      </c>
      <c r="B1377" t="s">
        <v>1565</v>
      </c>
      <c r="C1377" t="s">
        <v>11</v>
      </c>
      <c r="D1377" t="s">
        <v>1561</v>
      </c>
      <c r="E1377" t="s">
        <v>13</v>
      </c>
      <c r="F1377">
        <v>160.76</v>
      </c>
      <c r="G1377">
        <v>20.21</v>
      </c>
      <c r="H1377">
        <v>180.97</v>
      </c>
    </row>
    <row r="1378" spans="1:8" x14ac:dyDescent="0.35">
      <c r="A1378" t="s">
        <v>9</v>
      </c>
      <c r="B1378" t="s">
        <v>1566</v>
      </c>
      <c r="C1378" t="s">
        <v>11</v>
      </c>
      <c r="D1378" t="s">
        <v>1561</v>
      </c>
      <c r="E1378" t="s">
        <v>13</v>
      </c>
      <c r="F1378">
        <v>367.99</v>
      </c>
      <c r="G1378">
        <v>37.799999999999997</v>
      </c>
      <c r="H1378">
        <v>405.79</v>
      </c>
    </row>
    <row r="1379" spans="1:8" x14ac:dyDescent="0.35">
      <c r="A1379" t="s">
        <v>9</v>
      </c>
      <c r="B1379" t="s">
        <v>1567</v>
      </c>
      <c r="C1379" t="s">
        <v>11</v>
      </c>
      <c r="D1379" t="s">
        <v>1561</v>
      </c>
      <c r="E1379" t="s">
        <v>13</v>
      </c>
      <c r="F1379">
        <v>342.09</v>
      </c>
      <c r="G1379">
        <v>43.81</v>
      </c>
      <c r="H1379">
        <v>385.9</v>
      </c>
    </row>
    <row r="1380" spans="1:8" x14ac:dyDescent="0.35">
      <c r="A1380" t="s">
        <v>9</v>
      </c>
      <c r="B1380" t="s">
        <v>1568</v>
      </c>
      <c r="C1380" t="s">
        <v>11</v>
      </c>
      <c r="D1380" t="s">
        <v>1561</v>
      </c>
      <c r="E1380" t="s">
        <v>13</v>
      </c>
      <c r="F1380">
        <v>339.06</v>
      </c>
      <c r="G1380">
        <v>47.86</v>
      </c>
      <c r="H1380">
        <v>386.92</v>
      </c>
    </row>
    <row r="1381" spans="1:8" x14ac:dyDescent="0.35">
      <c r="A1381" t="s">
        <v>9</v>
      </c>
      <c r="B1381" t="s">
        <v>1569</v>
      </c>
      <c r="C1381" t="s">
        <v>11</v>
      </c>
      <c r="D1381" t="s">
        <v>1561</v>
      </c>
      <c r="E1381" t="s">
        <v>13</v>
      </c>
      <c r="F1381">
        <v>372.96</v>
      </c>
      <c r="G1381">
        <v>40.94</v>
      </c>
      <c r="H1381">
        <v>413.9</v>
      </c>
    </row>
    <row r="1382" spans="1:8" x14ac:dyDescent="0.35">
      <c r="A1382" t="s">
        <v>9</v>
      </c>
      <c r="B1382" t="s">
        <v>1570</v>
      </c>
      <c r="C1382" t="s">
        <v>11</v>
      </c>
      <c r="D1382" t="s">
        <v>1561</v>
      </c>
      <c r="E1382" t="s">
        <v>13</v>
      </c>
      <c r="F1382">
        <v>661.91</v>
      </c>
      <c r="G1382">
        <v>87.89</v>
      </c>
      <c r="H1382">
        <v>749.8</v>
      </c>
    </row>
    <row r="1383" spans="1:8" x14ac:dyDescent="0.35">
      <c r="A1383" t="s">
        <v>9</v>
      </c>
      <c r="B1383" t="s">
        <v>1571</v>
      </c>
      <c r="C1383" t="s">
        <v>11</v>
      </c>
      <c r="D1383" t="s">
        <v>1572</v>
      </c>
      <c r="E1383" t="s">
        <v>13</v>
      </c>
      <c r="F1383">
        <v>430.94</v>
      </c>
      <c r="G1383">
        <v>43.95</v>
      </c>
      <c r="H1383">
        <v>474.89</v>
      </c>
    </row>
    <row r="1384" spans="1:8" x14ac:dyDescent="0.35">
      <c r="A1384" t="s">
        <v>9</v>
      </c>
      <c r="B1384" t="s">
        <v>1573</v>
      </c>
      <c r="C1384" t="s">
        <v>11</v>
      </c>
      <c r="D1384" t="s">
        <v>1572</v>
      </c>
      <c r="E1384" t="s">
        <v>13</v>
      </c>
      <c r="F1384">
        <v>606.91999999999996</v>
      </c>
      <c r="G1384">
        <v>88.04</v>
      </c>
      <c r="H1384">
        <v>694.96</v>
      </c>
    </row>
    <row r="1385" spans="1:8" x14ac:dyDescent="0.35">
      <c r="A1385" t="s">
        <v>9</v>
      </c>
      <c r="B1385" t="s">
        <v>1574</v>
      </c>
      <c r="C1385" t="s">
        <v>11</v>
      </c>
      <c r="D1385" t="s">
        <v>1572</v>
      </c>
      <c r="E1385" t="s">
        <v>13</v>
      </c>
      <c r="F1385">
        <v>348.18</v>
      </c>
      <c r="G1385">
        <v>38.729999999999997</v>
      </c>
      <c r="H1385">
        <v>386.91</v>
      </c>
    </row>
    <row r="1386" spans="1:8" x14ac:dyDescent="0.35">
      <c r="A1386" t="s">
        <v>9</v>
      </c>
      <c r="B1386" t="s">
        <v>1575</v>
      </c>
      <c r="C1386" t="s">
        <v>11</v>
      </c>
      <c r="D1386" t="s">
        <v>1572</v>
      </c>
      <c r="E1386" t="s">
        <v>13</v>
      </c>
      <c r="F1386">
        <v>1092.42</v>
      </c>
      <c r="G1386">
        <v>139.41999999999999</v>
      </c>
      <c r="H1386">
        <v>1231.8399999999999</v>
      </c>
    </row>
    <row r="1387" spans="1:8" x14ac:dyDescent="0.35">
      <c r="A1387" t="s">
        <v>9</v>
      </c>
      <c r="B1387" t="s">
        <v>1576</v>
      </c>
      <c r="C1387" t="s">
        <v>11</v>
      </c>
      <c r="D1387" t="s">
        <v>1572</v>
      </c>
      <c r="E1387" t="s">
        <v>13</v>
      </c>
      <c r="F1387">
        <v>164.08</v>
      </c>
      <c r="G1387">
        <v>16.809999999999999</v>
      </c>
      <c r="H1387">
        <v>180.89</v>
      </c>
    </row>
    <row r="1388" spans="1:8" x14ac:dyDescent="0.35">
      <c r="A1388" t="s">
        <v>9</v>
      </c>
      <c r="B1388" t="s">
        <v>1577</v>
      </c>
      <c r="C1388" t="s">
        <v>11</v>
      </c>
      <c r="D1388" t="s">
        <v>1572</v>
      </c>
      <c r="E1388" t="s">
        <v>13</v>
      </c>
      <c r="F1388">
        <v>256.44</v>
      </c>
      <c r="G1388">
        <v>20.47</v>
      </c>
      <c r="H1388">
        <v>276.91000000000003</v>
      </c>
    </row>
    <row r="1389" spans="1:8" x14ac:dyDescent="0.35">
      <c r="A1389" t="s">
        <v>9</v>
      </c>
      <c r="B1389" t="s">
        <v>1578</v>
      </c>
      <c r="C1389" t="s">
        <v>11</v>
      </c>
      <c r="D1389" t="s">
        <v>1572</v>
      </c>
      <c r="E1389" t="s">
        <v>13</v>
      </c>
      <c r="F1389">
        <v>411.23</v>
      </c>
      <c r="G1389">
        <v>61.68</v>
      </c>
      <c r="H1389">
        <v>472.91</v>
      </c>
    </row>
    <row r="1390" spans="1:8" x14ac:dyDescent="0.35">
      <c r="A1390" t="s">
        <v>9</v>
      </c>
      <c r="B1390" t="s">
        <v>1579</v>
      </c>
      <c r="C1390" t="s">
        <v>11</v>
      </c>
      <c r="D1390" t="s">
        <v>1572</v>
      </c>
      <c r="E1390" t="s">
        <v>13</v>
      </c>
      <c r="F1390">
        <v>267.48</v>
      </c>
      <c r="G1390">
        <v>10.43</v>
      </c>
      <c r="H1390">
        <v>277.91000000000003</v>
      </c>
    </row>
    <row r="1391" spans="1:8" x14ac:dyDescent="0.35">
      <c r="A1391" t="s">
        <v>9</v>
      </c>
      <c r="B1391" t="s">
        <v>1580</v>
      </c>
      <c r="C1391" t="s">
        <v>11</v>
      </c>
      <c r="D1391" t="s">
        <v>1581</v>
      </c>
      <c r="E1391" t="s">
        <v>13</v>
      </c>
      <c r="F1391">
        <v>365.15</v>
      </c>
      <c r="G1391">
        <v>54.77</v>
      </c>
      <c r="H1391">
        <v>419.92</v>
      </c>
    </row>
    <row r="1392" spans="1:8" x14ac:dyDescent="0.35">
      <c r="A1392" t="s">
        <v>9</v>
      </c>
      <c r="B1392" t="s">
        <v>1582</v>
      </c>
      <c r="C1392" t="s">
        <v>11</v>
      </c>
      <c r="D1392" t="s">
        <v>1581</v>
      </c>
      <c r="E1392" t="s">
        <v>13</v>
      </c>
      <c r="F1392">
        <v>168.67</v>
      </c>
      <c r="G1392">
        <v>16.3</v>
      </c>
      <c r="H1392">
        <v>184.97</v>
      </c>
    </row>
    <row r="1393" spans="1:8" x14ac:dyDescent="0.35">
      <c r="A1393" t="s">
        <v>9</v>
      </c>
      <c r="B1393" t="s">
        <v>1583</v>
      </c>
      <c r="C1393" t="s">
        <v>11</v>
      </c>
      <c r="D1393" t="s">
        <v>1581</v>
      </c>
      <c r="E1393" t="s">
        <v>13</v>
      </c>
      <c r="F1393">
        <v>806.91</v>
      </c>
      <c r="G1393">
        <v>63.9</v>
      </c>
      <c r="H1393">
        <v>870.81</v>
      </c>
    </row>
    <row r="1394" spans="1:8" x14ac:dyDescent="0.35">
      <c r="A1394" t="s">
        <v>9</v>
      </c>
      <c r="B1394" t="s">
        <v>1584</v>
      </c>
      <c r="C1394" t="s">
        <v>11</v>
      </c>
      <c r="D1394" t="s">
        <v>1581</v>
      </c>
      <c r="E1394" t="s">
        <v>13</v>
      </c>
      <c r="F1394">
        <v>148.66</v>
      </c>
      <c r="G1394">
        <v>10.3</v>
      </c>
      <c r="H1394">
        <v>158.96</v>
      </c>
    </row>
    <row r="1395" spans="1:8" x14ac:dyDescent="0.35">
      <c r="A1395" t="s">
        <v>9</v>
      </c>
      <c r="B1395" t="s">
        <v>1585</v>
      </c>
      <c r="C1395" t="s">
        <v>11</v>
      </c>
      <c r="D1395" t="s">
        <v>1581</v>
      </c>
      <c r="E1395" t="s">
        <v>13</v>
      </c>
      <c r="F1395">
        <v>251.7</v>
      </c>
      <c r="G1395">
        <v>36.26</v>
      </c>
      <c r="H1395">
        <v>287.95999999999998</v>
      </c>
    </row>
    <row r="1396" spans="1:8" x14ac:dyDescent="0.35">
      <c r="A1396" t="s">
        <v>9</v>
      </c>
      <c r="B1396" t="s">
        <v>1586</v>
      </c>
      <c r="C1396" t="s">
        <v>11</v>
      </c>
      <c r="D1396" t="s">
        <v>1581</v>
      </c>
      <c r="E1396" t="s">
        <v>13</v>
      </c>
      <c r="F1396">
        <v>162.12</v>
      </c>
      <c r="G1396">
        <v>22.82</v>
      </c>
      <c r="H1396">
        <v>184.94</v>
      </c>
    </row>
    <row r="1397" spans="1:8" x14ac:dyDescent="0.35">
      <c r="A1397" t="s">
        <v>9</v>
      </c>
      <c r="B1397" t="s">
        <v>1587</v>
      </c>
      <c r="C1397" t="s">
        <v>11</v>
      </c>
      <c r="D1397" t="s">
        <v>1581</v>
      </c>
      <c r="E1397" t="s">
        <v>13</v>
      </c>
      <c r="F1397">
        <v>256.08999999999997</v>
      </c>
      <c r="G1397">
        <v>24.62</v>
      </c>
      <c r="H1397">
        <v>280.70999999999998</v>
      </c>
    </row>
    <row r="1398" spans="1:8" x14ac:dyDescent="0.35">
      <c r="A1398" t="s">
        <v>9</v>
      </c>
      <c r="B1398" t="s">
        <v>1588</v>
      </c>
      <c r="C1398" t="s">
        <v>11</v>
      </c>
      <c r="D1398" t="s">
        <v>1581</v>
      </c>
      <c r="E1398" t="s">
        <v>13</v>
      </c>
      <c r="F1398">
        <v>150.41</v>
      </c>
      <c r="G1398">
        <v>16.559999999999999</v>
      </c>
      <c r="H1398">
        <v>166.97</v>
      </c>
    </row>
    <row r="1399" spans="1:8" x14ac:dyDescent="0.35">
      <c r="A1399" t="s">
        <v>9</v>
      </c>
      <c r="B1399" t="s">
        <v>1589</v>
      </c>
      <c r="C1399" t="s">
        <v>11</v>
      </c>
      <c r="D1399" t="s">
        <v>1581</v>
      </c>
      <c r="E1399" t="s">
        <v>13</v>
      </c>
      <c r="F1399">
        <v>354.28</v>
      </c>
      <c r="G1399">
        <v>51.64</v>
      </c>
      <c r="H1399">
        <v>405.92</v>
      </c>
    </row>
    <row r="1400" spans="1:8" x14ac:dyDescent="0.35">
      <c r="A1400" t="s">
        <v>9</v>
      </c>
      <c r="B1400" t="s">
        <v>1590</v>
      </c>
      <c r="C1400" t="s">
        <v>11</v>
      </c>
      <c r="D1400" t="s">
        <v>1581</v>
      </c>
      <c r="E1400" t="s">
        <v>13</v>
      </c>
      <c r="F1400">
        <v>118.4</v>
      </c>
      <c r="G1400">
        <v>4.57</v>
      </c>
      <c r="H1400">
        <v>122.97</v>
      </c>
    </row>
    <row r="1401" spans="1:8" x14ac:dyDescent="0.35">
      <c r="A1401" t="s">
        <v>9</v>
      </c>
      <c r="B1401" t="s">
        <v>1591</v>
      </c>
      <c r="C1401" t="s">
        <v>11</v>
      </c>
      <c r="D1401" t="s">
        <v>1592</v>
      </c>
      <c r="E1401" t="s">
        <v>13</v>
      </c>
      <c r="F1401">
        <v>176.56</v>
      </c>
      <c r="G1401">
        <v>21.39</v>
      </c>
      <c r="H1401">
        <v>197.95</v>
      </c>
    </row>
    <row r="1402" spans="1:8" x14ac:dyDescent="0.35">
      <c r="A1402" t="s">
        <v>9</v>
      </c>
      <c r="B1402" t="s">
        <v>1593</v>
      </c>
      <c r="C1402" t="s">
        <v>11</v>
      </c>
      <c r="D1402" t="s">
        <v>1592</v>
      </c>
      <c r="E1402" t="s">
        <v>13</v>
      </c>
      <c r="F1402">
        <v>625.23</v>
      </c>
      <c r="G1402">
        <v>83.59</v>
      </c>
      <c r="H1402">
        <v>708.82</v>
      </c>
    </row>
    <row r="1403" spans="1:8" x14ac:dyDescent="0.35">
      <c r="A1403" t="s">
        <v>9</v>
      </c>
      <c r="B1403" t="s">
        <v>1594</v>
      </c>
      <c r="C1403" t="s">
        <v>11</v>
      </c>
      <c r="D1403" t="s">
        <v>1592</v>
      </c>
      <c r="E1403" t="s">
        <v>13</v>
      </c>
      <c r="F1403">
        <v>189.95</v>
      </c>
      <c r="G1403">
        <v>15</v>
      </c>
      <c r="H1403">
        <v>204.95</v>
      </c>
    </row>
    <row r="1404" spans="1:8" x14ac:dyDescent="0.35">
      <c r="A1404" t="s">
        <v>9</v>
      </c>
      <c r="B1404" t="s">
        <v>1595</v>
      </c>
      <c r="C1404" t="s">
        <v>11</v>
      </c>
      <c r="D1404" t="s">
        <v>1592</v>
      </c>
      <c r="E1404" t="s">
        <v>13</v>
      </c>
      <c r="F1404">
        <v>173.43</v>
      </c>
      <c r="G1404">
        <v>18.52</v>
      </c>
      <c r="H1404">
        <v>191.95</v>
      </c>
    </row>
    <row r="1405" spans="1:8" x14ac:dyDescent="0.35">
      <c r="A1405" t="s">
        <v>9</v>
      </c>
      <c r="B1405" t="s">
        <v>1596</v>
      </c>
      <c r="C1405" t="s">
        <v>11</v>
      </c>
      <c r="D1405" t="s">
        <v>1592</v>
      </c>
      <c r="E1405" t="s">
        <v>13</v>
      </c>
      <c r="F1405">
        <v>812</v>
      </c>
      <c r="G1405">
        <v>25.17</v>
      </c>
      <c r="H1405">
        <v>837.17</v>
      </c>
    </row>
    <row r="1406" spans="1:8" x14ac:dyDescent="0.35">
      <c r="A1406" t="s">
        <v>9</v>
      </c>
      <c r="B1406" t="s">
        <v>1597</v>
      </c>
      <c r="C1406" t="s">
        <v>11</v>
      </c>
      <c r="D1406" t="s">
        <v>1592</v>
      </c>
      <c r="E1406" t="s">
        <v>13</v>
      </c>
      <c r="F1406">
        <v>169.07</v>
      </c>
      <c r="G1406">
        <v>23.86</v>
      </c>
      <c r="H1406">
        <v>192.93</v>
      </c>
    </row>
    <row r="1407" spans="1:8" x14ac:dyDescent="0.35">
      <c r="A1407" t="s">
        <v>9</v>
      </c>
      <c r="B1407" t="s">
        <v>1598</v>
      </c>
      <c r="C1407" t="s">
        <v>11</v>
      </c>
      <c r="D1407" t="s">
        <v>1592</v>
      </c>
      <c r="E1407" t="s">
        <v>13</v>
      </c>
      <c r="F1407">
        <v>358.03</v>
      </c>
      <c r="G1407">
        <v>35.86</v>
      </c>
      <c r="H1407">
        <v>393.89</v>
      </c>
    </row>
    <row r="1408" spans="1:8" x14ac:dyDescent="0.35">
      <c r="A1408" t="s">
        <v>9</v>
      </c>
      <c r="B1408" t="s">
        <v>1599</v>
      </c>
      <c r="C1408" t="s">
        <v>11</v>
      </c>
      <c r="D1408" t="s">
        <v>1592</v>
      </c>
      <c r="E1408" t="s">
        <v>13</v>
      </c>
      <c r="F1408">
        <v>246.03</v>
      </c>
      <c r="G1408">
        <v>36.9</v>
      </c>
      <c r="H1408">
        <v>282.93</v>
      </c>
    </row>
    <row r="1409" spans="1:8" x14ac:dyDescent="0.35">
      <c r="A1409" t="s">
        <v>9</v>
      </c>
      <c r="B1409" t="s">
        <v>1600</v>
      </c>
      <c r="C1409" t="s">
        <v>11</v>
      </c>
      <c r="D1409" t="s">
        <v>1592</v>
      </c>
      <c r="E1409" t="s">
        <v>13</v>
      </c>
      <c r="F1409">
        <v>254.76</v>
      </c>
      <c r="G1409">
        <v>38.21</v>
      </c>
      <c r="H1409">
        <v>292.97000000000003</v>
      </c>
    </row>
    <row r="1410" spans="1:8" x14ac:dyDescent="0.35">
      <c r="A1410" t="s">
        <v>9</v>
      </c>
      <c r="B1410" t="s">
        <v>1601</v>
      </c>
      <c r="C1410" t="s">
        <v>11</v>
      </c>
      <c r="D1410" t="s">
        <v>1602</v>
      </c>
      <c r="E1410" t="s">
        <v>13</v>
      </c>
      <c r="F1410">
        <v>489.66</v>
      </c>
      <c r="G1410">
        <v>32.729999999999997</v>
      </c>
      <c r="H1410">
        <v>522.39</v>
      </c>
    </row>
    <row r="1411" spans="1:8" x14ac:dyDescent="0.35">
      <c r="A1411" t="s">
        <v>9</v>
      </c>
      <c r="B1411" t="s">
        <v>1603</v>
      </c>
      <c r="C1411" t="s">
        <v>11</v>
      </c>
      <c r="D1411" t="s">
        <v>1602</v>
      </c>
      <c r="E1411" t="s">
        <v>13</v>
      </c>
      <c r="F1411">
        <v>167</v>
      </c>
      <c r="G1411">
        <v>19.95</v>
      </c>
      <c r="H1411">
        <v>186.95</v>
      </c>
    </row>
    <row r="1412" spans="1:8" x14ac:dyDescent="0.35">
      <c r="A1412" t="s">
        <v>9</v>
      </c>
      <c r="B1412" t="s">
        <v>1604</v>
      </c>
      <c r="C1412" t="s">
        <v>11</v>
      </c>
      <c r="D1412" t="s">
        <v>1602</v>
      </c>
      <c r="E1412" t="s">
        <v>13</v>
      </c>
      <c r="F1412">
        <v>767.34</v>
      </c>
      <c r="G1412">
        <v>100.41</v>
      </c>
      <c r="H1412">
        <v>867.75</v>
      </c>
    </row>
    <row r="1413" spans="1:8" x14ac:dyDescent="0.35">
      <c r="A1413" t="s">
        <v>9</v>
      </c>
      <c r="B1413" t="s">
        <v>1605</v>
      </c>
      <c r="C1413" t="s">
        <v>11</v>
      </c>
      <c r="D1413" t="s">
        <v>1602</v>
      </c>
      <c r="E1413" t="s">
        <v>13</v>
      </c>
      <c r="F1413">
        <v>436.21</v>
      </c>
      <c r="G1413">
        <v>43.69</v>
      </c>
      <c r="H1413">
        <v>479.9</v>
      </c>
    </row>
    <row r="1414" spans="1:8" x14ac:dyDescent="0.35">
      <c r="A1414" t="s">
        <v>9</v>
      </c>
      <c r="B1414" t="s">
        <v>1606</v>
      </c>
      <c r="C1414" t="s">
        <v>11</v>
      </c>
      <c r="D1414" t="s">
        <v>1602</v>
      </c>
      <c r="E1414" t="s">
        <v>13</v>
      </c>
      <c r="F1414">
        <v>101.3</v>
      </c>
      <c r="G1414">
        <v>13.69</v>
      </c>
      <c r="H1414">
        <v>114.99</v>
      </c>
    </row>
    <row r="1415" spans="1:8" x14ac:dyDescent="0.35">
      <c r="A1415" t="s">
        <v>9</v>
      </c>
      <c r="B1415" t="s">
        <v>1607</v>
      </c>
      <c r="C1415" t="s">
        <v>11</v>
      </c>
      <c r="D1415" t="s">
        <v>1602</v>
      </c>
      <c r="E1415" t="s">
        <v>13</v>
      </c>
      <c r="F1415">
        <v>426.92</v>
      </c>
      <c r="G1415">
        <v>41.99</v>
      </c>
      <c r="H1415">
        <v>468.91</v>
      </c>
    </row>
    <row r="1416" spans="1:8" x14ac:dyDescent="0.35">
      <c r="A1416" t="s">
        <v>9</v>
      </c>
      <c r="B1416" t="s">
        <v>1608</v>
      </c>
      <c r="C1416" t="s">
        <v>11</v>
      </c>
      <c r="D1416" t="s">
        <v>1602</v>
      </c>
      <c r="E1416" t="s">
        <v>13</v>
      </c>
      <c r="F1416">
        <v>340.7</v>
      </c>
      <c r="G1416">
        <v>49.6</v>
      </c>
      <c r="H1416">
        <v>390.3</v>
      </c>
    </row>
    <row r="1417" spans="1:8" x14ac:dyDescent="0.35">
      <c r="A1417" t="s">
        <v>9</v>
      </c>
      <c r="B1417" t="s">
        <v>1609</v>
      </c>
      <c r="C1417" t="s">
        <v>11</v>
      </c>
      <c r="D1417" t="s">
        <v>1602</v>
      </c>
      <c r="E1417" t="s">
        <v>13</v>
      </c>
      <c r="F1417">
        <v>237.8</v>
      </c>
      <c r="G1417">
        <v>24.12</v>
      </c>
      <c r="H1417">
        <v>261.92</v>
      </c>
    </row>
    <row r="1418" spans="1:8" x14ac:dyDescent="0.35">
      <c r="A1418" t="s">
        <v>9</v>
      </c>
      <c r="B1418" t="s">
        <v>1610</v>
      </c>
      <c r="C1418" t="s">
        <v>11</v>
      </c>
      <c r="D1418" t="s">
        <v>1602</v>
      </c>
      <c r="E1418" t="s">
        <v>13</v>
      </c>
      <c r="F1418">
        <v>221.67</v>
      </c>
      <c r="G1418">
        <v>33.25</v>
      </c>
      <c r="H1418">
        <v>254.92</v>
      </c>
    </row>
    <row r="1419" spans="1:8" x14ac:dyDescent="0.35">
      <c r="A1419" t="s">
        <v>9</v>
      </c>
      <c r="B1419" t="s">
        <v>1611</v>
      </c>
      <c r="C1419" t="s">
        <v>11</v>
      </c>
      <c r="D1419" t="s">
        <v>1602</v>
      </c>
      <c r="E1419" t="s">
        <v>13</v>
      </c>
      <c r="F1419">
        <v>222.57</v>
      </c>
      <c r="G1419">
        <v>33.39</v>
      </c>
      <c r="H1419">
        <v>255.96</v>
      </c>
    </row>
    <row r="1420" spans="1:8" x14ac:dyDescent="0.35">
      <c r="A1420" t="s">
        <v>9</v>
      </c>
      <c r="B1420" t="s">
        <v>1612</v>
      </c>
      <c r="C1420" t="s">
        <v>11</v>
      </c>
      <c r="D1420" t="s">
        <v>1602</v>
      </c>
      <c r="E1420" t="s">
        <v>13</v>
      </c>
      <c r="F1420">
        <v>207.35</v>
      </c>
      <c r="G1420">
        <v>26.6</v>
      </c>
      <c r="H1420">
        <v>233.95</v>
      </c>
    </row>
    <row r="1421" spans="1:8" x14ac:dyDescent="0.35">
      <c r="A1421" t="s">
        <v>9</v>
      </c>
      <c r="B1421" t="s">
        <v>1613</v>
      </c>
      <c r="C1421" t="s">
        <v>11</v>
      </c>
      <c r="D1421" t="s">
        <v>1602</v>
      </c>
      <c r="E1421" t="s">
        <v>13</v>
      </c>
      <c r="F1421">
        <v>518.9</v>
      </c>
      <c r="G1421">
        <v>65.84</v>
      </c>
      <c r="H1421">
        <v>584.74</v>
      </c>
    </row>
    <row r="1422" spans="1:8" x14ac:dyDescent="0.35">
      <c r="A1422" t="s">
        <v>9</v>
      </c>
      <c r="B1422" t="s">
        <v>1614</v>
      </c>
      <c r="C1422" t="s">
        <v>11</v>
      </c>
      <c r="D1422" t="s">
        <v>1615</v>
      </c>
      <c r="E1422" t="s">
        <v>13</v>
      </c>
      <c r="F1422">
        <v>270.83</v>
      </c>
      <c r="G1422">
        <v>39.130000000000003</v>
      </c>
      <c r="H1422">
        <v>309.95999999999998</v>
      </c>
    </row>
    <row r="1423" spans="1:8" x14ac:dyDescent="0.35">
      <c r="A1423" t="s">
        <v>9</v>
      </c>
      <c r="B1423" t="s">
        <v>1616</v>
      </c>
      <c r="C1423" t="s">
        <v>11</v>
      </c>
      <c r="D1423" t="s">
        <v>1615</v>
      </c>
      <c r="E1423" t="s">
        <v>13</v>
      </c>
      <c r="F1423">
        <v>536.86</v>
      </c>
      <c r="G1423">
        <v>52.03</v>
      </c>
      <c r="H1423">
        <v>588.89</v>
      </c>
    </row>
    <row r="1424" spans="1:8" x14ac:dyDescent="0.35">
      <c r="A1424" t="s">
        <v>9</v>
      </c>
      <c r="B1424" t="s">
        <v>1617</v>
      </c>
      <c r="C1424" t="s">
        <v>11</v>
      </c>
      <c r="D1424" t="s">
        <v>1615</v>
      </c>
      <c r="E1424" t="s">
        <v>13</v>
      </c>
      <c r="F1424">
        <v>138.30000000000001</v>
      </c>
      <c r="G1424">
        <v>15.65</v>
      </c>
      <c r="H1424">
        <v>153.94999999999999</v>
      </c>
    </row>
    <row r="1425" spans="1:8" x14ac:dyDescent="0.35">
      <c r="A1425" t="s">
        <v>9</v>
      </c>
      <c r="B1425" t="s">
        <v>1618</v>
      </c>
      <c r="C1425" t="s">
        <v>11</v>
      </c>
      <c r="D1425" t="s">
        <v>1615</v>
      </c>
      <c r="E1425" t="s">
        <v>13</v>
      </c>
      <c r="F1425">
        <v>217.39</v>
      </c>
      <c r="G1425">
        <v>22.56</v>
      </c>
      <c r="H1425">
        <v>239.95</v>
      </c>
    </row>
    <row r="1426" spans="1:8" x14ac:dyDescent="0.35">
      <c r="A1426" t="s">
        <v>9</v>
      </c>
      <c r="B1426" t="s">
        <v>1619</v>
      </c>
      <c r="C1426" t="s">
        <v>11</v>
      </c>
      <c r="D1426" t="s">
        <v>1615</v>
      </c>
      <c r="E1426" t="s">
        <v>13</v>
      </c>
      <c r="F1426">
        <v>1198.6500000000001</v>
      </c>
      <c r="G1426">
        <v>81.11</v>
      </c>
      <c r="H1426">
        <v>1279.76</v>
      </c>
    </row>
    <row r="1427" spans="1:8" x14ac:dyDescent="0.35">
      <c r="A1427" t="s">
        <v>9</v>
      </c>
      <c r="B1427" t="s">
        <v>1620</v>
      </c>
      <c r="C1427" t="s">
        <v>11</v>
      </c>
      <c r="D1427" t="s">
        <v>1615</v>
      </c>
      <c r="E1427" t="s">
        <v>13</v>
      </c>
      <c r="F1427">
        <v>222.97</v>
      </c>
      <c r="G1427">
        <v>25.95</v>
      </c>
      <c r="H1427">
        <v>248.92</v>
      </c>
    </row>
    <row r="1428" spans="1:8" x14ac:dyDescent="0.35">
      <c r="A1428" t="s">
        <v>9</v>
      </c>
      <c r="B1428" t="s">
        <v>1621</v>
      </c>
      <c r="C1428" t="s">
        <v>11</v>
      </c>
      <c r="D1428" t="s">
        <v>1615</v>
      </c>
      <c r="E1428" t="s">
        <v>13</v>
      </c>
      <c r="F1428">
        <v>252.79</v>
      </c>
      <c r="G1428">
        <v>18.12</v>
      </c>
      <c r="H1428">
        <v>270.91000000000003</v>
      </c>
    </row>
    <row r="1429" spans="1:8" x14ac:dyDescent="0.35">
      <c r="A1429" t="s">
        <v>9</v>
      </c>
      <c r="B1429" t="s">
        <v>1622</v>
      </c>
      <c r="C1429" t="s">
        <v>11</v>
      </c>
      <c r="D1429" t="s">
        <v>1623</v>
      </c>
      <c r="E1429" t="s">
        <v>13</v>
      </c>
      <c r="F1429">
        <v>179.97</v>
      </c>
      <c r="G1429">
        <v>26.99</v>
      </c>
      <c r="H1429">
        <v>206.96</v>
      </c>
    </row>
    <row r="1430" spans="1:8" x14ac:dyDescent="0.35">
      <c r="A1430" t="s">
        <v>9</v>
      </c>
      <c r="B1430" t="s">
        <v>1624</v>
      </c>
      <c r="C1430" t="s">
        <v>11</v>
      </c>
      <c r="D1430" t="s">
        <v>1623</v>
      </c>
      <c r="E1430" t="s">
        <v>13</v>
      </c>
      <c r="F1430">
        <v>196.41</v>
      </c>
      <c r="G1430">
        <v>16.559999999999999</v>
      </c>
      <c r="H1430">
        <v>212.97</v>
      </c>
    </row>
    <row r="1431" spans="1:8" x14ac:dyDescent="0.35">
      <c r="A1431" t="s">
        <v>9</v>
      </c>
      <c r="B1431" t="s">
        <v>1625</v>
      </c>
      <c r="C1431" t="s">
        <v>11</v>
      </c>
      <c r="D1431" t="s">
        <v>1623</v>
      </c>
      <c r="E1431" t="s">
        <v>13</v>
      </c>
      <c r="F1431">
        <v>133.44</v>
      </c>
      <c r="G1431">
        <v>18.52</v>
      </c>
      <c r="H1431">
        <v>151.96</v>
      </c>
    </row>
    <row r="1432" spans="1:8" x14ac:dyDescent="0.35">
      <c r="A1432" t="s">
        <v>9</v>
      </c>
      <c r="B1432" t="s">
        <v>1626</v>
      </c>
      <c r="C1432" t="s">
        <v>11</v>
      </c>
      <c r="D1432" t="s">
        <v>1623</v>
      </c>
      <c r="E1432" t="s">
        <v>13</v>
      </c>
      <c r="F1432">
        <v>302.12</v>
      </c>
      <c r="G1432">
        <v>40.82</v>
      </c>
      <c r="H1432">
        <v>342.94</v>
      </c>
    </row>
    <row r="1433" spans="1:8" x14ac:dyDescent="0.35">
      <c r="A1433" t="s">
        <v>9</v>
      </c>
      <c r="B1433" t="s">
        <v>1627</v>
      </c>
      <c r="C1433" t="s">
        <v>11</v>
      </c>
      <c r="D1433" t="s">
        <v>1623</v>
      </c>
      <c r="E1433" t="s">
        <v>13</v>
      </c>
      <c r="F1433">
        <v>176.56</v>
      </c>
      <c r="G1433">
        <v>21.38</v>
      </c>
      <c r="H1433">
        <v>197.94</v>
      </c>
    </row>
    <row r="1434" spans="1:8" x14ac:dyDescent="0.35">
      <c r="A1434" t="s">
        <v>9</v>
      </c>
      <c r="B1434" t="s">
        <v>1628</v>
      </c>
      <c r="C1434" t="s">
        <v>11</v>
      </c>
      <c r="D1434" t="s">
        <v>1623</v>
      </c>
      <c r="E1434" t="s">
        <v>13</v>
      </c>
      <c r="F1434">
        <v>136.80000000000001</v>
      </c>
      <c r="G1434">
        <v>16.170000000000002</v>
      </c>
      <c r="H1434">
        <v>152.97</v>
      </c>
    </row>
    <row r="1435" spans="1:8" x14ac:dyDescent="0.35">
      <c r="A1435" t="s">
        <v>9</v>
      </c>
      <c r="B1435" t="s">
        <v>1629</v>
      </c>
      <c r="C1435" t="s">
        <v>11</v>
      </c>
      <c r="D1435" t="s">
        <v>1630</v>
      </c>
      <c r="E1435" t="s">
        <v>13</v>
      </c>
      <c r="F1435">
        <v>115.63</v>
      </c>
      <c r="G1435">
        <v>17.34</v>
      </c>
      <c r="H1435">
        <v>132.97</v>
      </c>
    </row>
    <row r="1436" spans="1:8" x14ac:dyDescent="0.35">
      <c r="A1436" t="s">
        <v>9</v>
      </c>
      <c r="B1436" t="s">
        <v>1631</v>
      </c>
      <c r="C1436" t="s">
        <v>11</v>
      </c>
      <c r="D1436" t="s">
        <v>1630</v>
      </c>
      <c r="E1436" t="s">
        <v>13</v>
      </c>
      <c r="F1436">
        <v>473.55</v>
      </c>
      <c r="G1436">
        <v>55.28</v>
      </c>
      <c r="H1436">
        <v>528.83000000000004</v>
      </c>
    </row>
    <row r="1437" spans="1:8" x14ac:dyDescent="0.35">
      <c r="A1437" t="s">
        <v>9</v>
      </c>
      <c r="B1437" t="s">
        <v>1632</v>
      </c>
      <c r="C1437" t="s">
        <v>11</v>
      </c>
      <c r="D1437" t="s">
        <v>1630</v>
      </c>
      <c r="E1437" t="s">
        <v>13</v>
      </c>
      <c r="F1437">
        <v>165.18</v>
      </c>
      <c r="G1437">
        <v>24.78</v>
      </c>
      <c r="H1437">
        <v>189.96</v>
      </c>
    </row>
    <row r="1438" spans="1:8" x14ac:dyDescent="0.35">
      <c r="A1438" t="s">
        <v>9</v>
      </c>
      <c r="B1438" t="s">
        <v>1633</v>
      </c>
      <c r="C1438" t="s">
        <v>11</v>
      </c>
      <c r="D1438" t="s">
        <v>1630</v>
      </c>
      <c r="E1438" t="s">
        <v>13</v>
      </c>
      <c r="F1438">
        <v>496.41</v>
      </c>
      <c r="G1438">
        <v>50.47</v>
      </c>
      <c r="H1438">
        <v>546.88</v>
      </c>
    </row>
    <row r="1439" spans="1:8" x14ac:dyDescent="0.35">
      <c r="A1439" t="s">
        <v>9</v>
      </c>
      <c r="B1439" t="s">
        <v>1634</v>
      </c>
      <c r="C1439" t="s">
        <v>11</v>
      </c>
      <c r="D1439" t="s">
        <v>1630</v>
      </c>
      <c r="E1439" t="s">
        <v>13</v>
      </c>
      <c r="F1439">
        <v>86.76</v>
      </c>
      <c r="G1439">
        <v>9.11</v>
      </c>
      <c r="H1439">
        <v>95.87</v>
      </c>
    </row>
    <row r="1440" spans="1:8" x14ac:dyDescent="0.35">
      <c r="A1440" t="s">
        <v>9</v>
      </c>
      <c r="B1440" t="s">
        <v>1635</v>
      </c>
      <c r="C1440" t="s">
        <v>11</v>
      </c>
      <c r="D1440" t="s">
        <v>1630</v>
      </c>
      <c r="E1440" t="s">
        <v>13</v>
      </c>
      <c r="F1440">
        <v>122.08</v>
      </c>
      <c r="G1440">
        <v>11.86</v>
      </c>
      <c r="H1440">
        <v>133.94</v>
      </c>
    </row>
    <row r="1441" spans="1:8" x14ac:dyDescent="0.35">
      <c r="A1441" t="s">
        <v>9</v>
      </c>
      <c r="B1441" t="s">
        <v>1636</v>
      </c>
      <c r="C1441" t="s">
        <v>11</v>
      </c>
      <c r="D1441" t="s">
        <v>1630</v>
      </c>
      <c r="E1441" t="s">
        <v>13</v>
      </c>
      <c r="F1441">
        <v>153.22999999999999</v>
      </c>
      <c r="G1441">
        <v>8.74</v>
      </c>
      <c r="H1441">
        <v>161.97</v>
      </c>
    </row>
    <row r="1442" spans="1:8" x14ac:dyDescent="0.35">
      <c r="A1442" t="s">
        <v>9</v>
      </c>
      <c r="B1442" t="s">
        <v>1637</v>
      </c>
      <c r="C1442" t="s">
        <v>11</v>
      </c>
      <c r="D1442" t="s">
        <v>1630</v>
      </c>
      <c r="E1442" t="s">
        <v>13</v>
      </c>
      <c r="F1442">
        <v>341.09</v>
      </c>
      <c r="G1442">
        <v>40.81</v>
      </c>
      <c r="H1442">
        <v>381.9</v>
      </c>
    </row>
    <row r="1443" spans="1:8" x14ac:dyDescent="0.35">
      <c r="A1443" t="s">
        <v>9</v>
      </c>
      <c r="B1443" t="s">
        <v>1638</v>
      </c>
      <c r="C1443" t="s">
        <v>11</v>
      </c>
      <c r="D1443" t="s">
        <v>1639</v>
      </c>
      <c r="E1443" t="s">
        <v>13</v>
      </c>
      <c r="F1443">
        <v>985.63</v>
      </c>
      <c r="G1443">
        <v>127.9</v>
      </c>
      <c r="H1443">
        <v>1113.53</v>
      </c>
    </row>
    <row r="1444" spans="1:8" x14ac:dyDescent="0.35">
      <c r="A1444" t="s">
        <v>9</v>
      </c>
      <c r="B1444" t="s">
        <v>1640</v>
      </c>
      <c r="C1444" t="s">
        <v>11</v>
      </c>
      <c r="D1444" t="s">
        <v>1639</v>
      </c>
      <c r="E1444" t="s">
        <v>13</v>
      </c>
      <c r="F1444">
        <v>1307.1300000000001</v>
      </c>
      <c r="G1444">
        <v>180.47</v>
      </c>
      <c r="H1444">
        <v>1487.6</v>
      </c>
    </row>
    <row r="1445" spans="1:8" x14ac:dyDescent="0.35">
      <c r="A1445" t="s">
        <v>9</v>
      </c>
      <c r="B1445" t="s">
        <v>1641</v>
      </c>
      <c r="C1445" t="s">
        <v>11</v>
      </c>
      <c r="D1445" t="s">
        <v>1639</v>
      </c>
      <c r="E1445" t="s">
        <v>13</v>
      </c>
      <c r="F1445">
        <v>478.87</v>
      </c>
      <c r="G1445">
        <v>49.03</v>
      </c>
      <c r="H1445">
        <v>527.9</v>
      </c>
    </row>
    <row r="1446" spans="1:8" x14ac:dyDescent="0.35">
      <c r="A1446" t="s">
        <v>9</v>
      </c>
      <c r="B1446" t="s">
        <v>1642</v>
      </c>
      <c r="C1446" t="s">
        <v>11</v>
      </c>
      <c r="D1446" t="s">
        <v>1639</v>
      </c>
      <c r="E1446" t="s">
        <v>13</v>
      </c>
      <c r="F1446">
        <v>457.91</v>
      </c>
      <c r="G1446">
        <v>14.99</v>
      </c>
      <c r="H1446">
        <v>472.9</v>
      </c>
    </row>
    <row r="1447" spans="1:8" x14ac:dyDescent="0.35">
      <c r="A1447" t="s">
        <v>9</v>
      </c>
      <c r="B1447" t="s">
        <v>1643</v>
      </c>
      <c r="C1447" t="s">
        <v>11</v>
      </c>
      <c r="D1447" t="s">
        <v>1639</v>
      </c>
      <c r="E1447" t="s">
        <v>13</v>
      </c>
      <c r="F1447">
        <v>227.34</v>
      </c>
      <c r="G1447">
        <v>32.6</v>
      </c>
      <c r="H1447">
        <v>259.94</v>
      </c>
    </row>
    <row r="1448" spans="1:8" x14ac:dyDescent="0.35">
      <c r="A1448" t="s">
        <v>9</v>
      </c>
      <c r="B1448" t="s">
        <v>1644</v>
      </c>
      <c r="C1448" t="s">
        <v>11</v>
      </c>
      <c r="D1448" t="s">
        <v>1639</v>
      </c>
      <c r="E1448" t="s">
        <v>13</v>
      </c>
      <c r="F1448">
        <v>183.55</v>
      </c>
      <c r="G1448">
        <v>9.39</v>
      </c>
      <c r="H1448">
        <v>192.94</v>
      </c>
    </row>
    <row r="1449" spans="1:8" x14ac:dyDescent="0.35">
      <c r="A1449" t="s">
        <v>9</v>
      </c>
      <c r="B1449" t="s">
        <v>1645</v>
      </c>
      <c r="C1449" t="s">
        <v>11</v>
      </c>
      <c r="D1449" t="s">
        <v>1646</v>
      </c>
      <c r="E1449" t="s">
        <v>13</v>
      </c>
      <c r="F1449">
        <v>199.52</v>
      </c>
      <c r="G1449">
        <v>28.43</v>
      </c>
      <c r="H1449">
        <v>227.95</v>
      </c>
    </row>
    <row r="1450" spans="1:8" x14ac:dyDescent="0.35">
      <c r="A1450" t="s">
        <v>9</v>
      </c>
      <c r="B1450" t="s">
        <v>1647</v>
      </c>
      <c r="C1450" t="s">
        <v>11</v>
      </c>
      <c r="D1450" t="s">
        <v>1646</v>
      </c>
      <c r="E1450" t="s">
        <v>13</v>
      </c>
      <c r="F1450">
        <v>249.05</v>
      </c>
      <c r="G1450">
        <v>35.86</v>
      </c>
      <c r="H1450">
        <v>284.91000000000003</v>
      </c>
    </row>
    <row r="1451" spans="1:8" x14ac:dyDescent="0.35">
      <c r="A1451" t="s">
        <v>9</v>
      </c>
      <c r="B1451" t="s">
        <v>1648</v>
      </c>
      <c r="C1451" t="s">
        <v>11</v>
      </c>
      <c r="D1451" t="s">
        <v>1646</v>
      </c>
      <c r="E1451" t="s">
        <v>13</v>
      </c>
      <c r="F1451">
        <v>197.55</v>
      </c>
      <c r="G1451">
        <v>18.39</v>
      </c>
      <c r="H1451">
        <v>215.94</v>
      </c>
    </row>
    <row r="1452" spans="1:8" x14ac:dyDescent="0.35">
      <c r="A1452" t="s">
        <v>9</v>
      </c>
      <c r="B1452" t="s">
        <v>1649</v>
      </c>
      <c r="C1452" t="s">
        <v>11</v>
      </c>
      <c r="D1452" t="s">
        <v>1646</v>
      </c>
      <c r="E1452" t="s">
        <v>13</v>
      </c>
      <c r="F1452">
        <v>543.46</v>
      </c>
      <c r="G1452">
        <v>81.52</v>
      </c>
      <c r="H1452">
        <v>624.98</v>
      </c>
    </row>
    <row r="1453" spans="1:8" x14ac:dyDescent="0.35">
      <c r="A1453" t="s">
        <v>9</v>
      </c>
      <c r="B1453" t="s">
        <v>1650</v>
      </c>
      <c r="C1453" t="s">
        <v>11</v>
      </c>
      <c r="D1453" t="s">
        <v>1646</v>
      </c>
      <c r="E1453" t="s">
        <v>13</v>
      </c>
      <c r="F1453">
        <v>269.75</v>
      </c>
      <c r="G1453">
        <v>26.21</v>
      </c>
      <c r="H1453">
        <v>295.95999999999998</v>
      </c>
    </row>
    <row r="1454" spans="1:8" x14ac:dyDescent="0.35">
      <c r="A1454" t="s">
        <v>9</v>
      </c>
      <c r="B1454" t="s">
        <v>1651</v>
      </c>
      <c r="C1454" t="s">
        <v>11</v>
      </c>
      <c r="D1454" t="s">
        <v>1646</v>
      </c>
      <c r="E1454" t="s">
        <v>13</v>
      </c>
      <c r="F1454">
        <v>277.31</v>
      </c>
      <c r="G1454">
        <v>29.6</v>
      </c>
      <c r="H1454">
        <v>306.91000000000003</v>
      </c>
    </row>
    <row r="1455" spans="1:8" x14ac:dyDescent="0.35">
      <c r="A1455" t="s">
        <v>9</v>
      </c>
      <c r="B1455" t="s">
        <v>1652</v>
      </c>
      <c r="C1455" t="s">
        <v>11</v>
      </c>
      <c r="D1455" t="s">
        <v>1646</v>
      </c>
      <c r="E1455" t="s">
        <v>13</v>
      </c>
      <c r="F1455">
        <v>845.54</v>
      </c>
      <c r="G1455">
        <v>104.33</v>
      </c>
      <c r="H1455">
        <v>949.87</v>
      </c>
    </row>
    <row r="1456" spans="1:8" x14ac:dyDescent="0.35">
      <c r="A1456" t="s">
        <v>9</v>
      </c>
      <c r="B1456" t="s">
        <v>1653</v>
      </c>
      <c r="C1456" t="s">
        <v>11</v>
      </c>
      <c r="D1456" t="s">
        <v>1646</v>
      </c>
      <c r="E1456" t="s">
        <v>13</v>
      </c>
      <c r="F1456">
        <v>352.09</v>
      </c>
      <c r="G1456">
        <v>52.81</v>
      </c>
      <c r="H1456">
        <v>404.9</v>
      </c>
    </row>
    <row r="1457" spans="1:8" x14ac:dyDescent="0.35">
      <c r="A1457" t="s">
        <v>9</v>
      </c>
      <c r="B1457" t="s">
        <v>1654</v>
      </c>
      <c r="C1457" t="s">
        <v>11</v>
      </c>
      <c r="D1457" t="s">
        <v>1646</v>
      </c>
      <c r="E1457" t="s">
        <v>13</v>
      </c>
      <c r="F1457">
        <v>501.56</v>
      </c>
      <c r="G1457">
        <v>65.34</v>
      </c>
      <c r="H1457">
        <v>566.9</v>
      </c>
    </row>
    <row r="1458" spans="1:8" x14ac:dyDescent="0.35">
      <c r="A1458" t="s">
        <v>9</v>
      </c>
      <c r="B1458" t="s">
        <v>1655</v>
      </c>
      <c r="C1458" t="s">
        <v>11</v>
      </c>
      <c r="D1458" t="s">
        <v>1646</v>
      </c>
      <c r="E1458" t="s">
        <v>13</v>
      </c>
      <c r="F1458">
        <v>124.32</v>
      </c>
      <c r="G1458">
        <v>18.649999999999999</v>
      </c>
      <c r="H1458">
        <v>142.97</v>
      </c>
    </row>
    <row r="1459" spans="1:8" x14ac:dyDescent="0.35">
      <c r="A1459" t="s">
        <v>9</v>
      </c>
      <c r="B1459" t="s">
        <v>1656</v>
      </c>
      <c r="C1459" t="s">
        <v>11</v>
      </c>
      <c r="D1459" t="s">
        <v>1646</v>
      </c>
      <c r="E1459" t="s">
        <v>13</v>
      </c>
      <c r="F1459">
        <v>183.87</v>
      </c>
      <c r="G1459">
        <v>26.08</v>
      </c>
      <c r="H1459">
        <v>209.95</v>
      </c>
    </row>
    <row r="1460" spans="1:8" x14ac:dyDescent="0.35">
      <c r="A1460" t="s">
        <v>9</v>
      </c>
      <c r="B1460" t="s">
        <v>1657</v>
      </c>
      <c r="C1460" t="s">
        <v>11</v>
      </c>
      <c r="D1460" t="s">
        <v>1646</v>
      </c>
      <c r="E1460" t="s">
        <v>13</v>
      </c>
      <c r="F1460">
        <v>152.35</v>
      </c>
      <c r="G1460">
        <v>14.61</v>
      </c>
      <c r="H1460">
        <v>166.96</v>
      </c>
    </row>
    <row r="1461" spans="1:8" x14ac:dyDescent="0.35">
      <c r="A1461" t="s">
        <v>9</v>
      </c>
      <c r="B1461" t="s">
        <v>1658</v>
      </c>
      <c r="C1461" t="s">
        <v>11</v>
      </c>
      <c r="D1461" t="s">
        <v>1646</v>
      </c>
      <c r="E1461" t="s">
        <v>13</v>
      </c>
      <c r="F1461">
        <v>348.18</v>
      </c>
      <c r="G1461">
        <v>32.729999999999997</v>
      </c>
      <c r="H1461">
        <v>380.91</v>
      </c>
    </row>
    <row r="1462" spans="1:8" x14ac:dyDescent="0.35">
      <c r="A1462" t="s">
        <v>9</v>
      </c>
      <c r="B1462" t="s">
        <v>1659</v>
      </c>
      <c r="C1462" t="s">
        <v>11</v>
      </c>
      <c r="D1462" t="s">
        <v>1646</v>
      </c>
      <c r="E1462" t="s">
        <v>13</v>
      </c>
      <c r="F1462">
        <v>530.73</v>
      </c>
      <c r="G1462">
        <v>63.11</v>
      </c>
      <c r="H1462">
        <v>593.84</v>
      </c>
    </row>
    <row r="1463" spans="1:8" x14ac:dyDescent="0.35">
      <c r="A1463" t="s">
        <v>9</v>
      </c>
      <c r="B1463" t="s">
        <v>1660</v>
      </c>
      <c r="C1463" t="s">
        <v>11</v>
      </c>
      <c r="D1463" t="s">
        <v>1661</v>
      </c>
      <c r="E1463" t="s">
        <v>13</v>
      </c>
      <c r="F1463">
        <v>336.23</v>
      </c>
      <c r="G1463">
        <v>40.69</v>
      </c>
      <c r="H1463">
        <v>376.92</v>
      </c>
    </row>
    <row r="1464" spans="1:8" x14ac:dyDescent="0.35">
      <c r="A1464" t="s">
        <v>9</v>
      </c>
      <c r="B1464" t="s">
        <v>1662</v>
      </c>
      <c r="C1464" t="s">
        <v>11</v>
      </c>
      <c r="D1464" t="s">
        <v>1661</v>
      </c>
      <c r="E1464" t="s">
        <v>13</v>
      </c>
      <c r="F1464">
        <v>306.89999999999998</v>
      </c>
      <c r="G1464">
        <v>46.04</v>
      </c>
      <c r="H1464">
        <v>352.94</v>
      </c>
    </row>
    <row r="1465" spans="1:8" x14ac:dyDescent="0.35">
      <c r="A1465" t="s">
        <v>9</v>
      </c>
      <c r="B1465" t="s">
        <v>1663</v>
      </c>
      <c r="C1465" t="s">
        <v>11</v>
      </c>
      <c r="D1465" t="s">
        <v>1661</v>
      </c>
      <c r="E1465" t="s">
        <v>13</v>
      </c>
      <c r="F1465">
        <v>298.17</v>
      </c>
      <c r="G1465">
        <v>41.73</v>
      </c>
      <c r="H1465">
        <v>339.9</v>
      </c>
    </row>
    <row r="1466" spans="1:8" x14ac:dyDescent="0.35">
      <c r="A1466" t="s">
        <v>9</v>
      </c>
      <c r="B1466" t="s">
        <v>1664</v>
      </c>
      <c r="C1466" t="s">
        <v>11</v>
      </c>
      <c r="D1466" t="s">
        <v>1661</v>
      </c>
      <c r="E1466" t="s">
        <v>13</v>
      </c>
      <c r="F1466">
        <v>194.3</v>
      </c>
      <c r="G1466">
        <v>21.65</v>
      </c>
      <c r="H1466">
        <v>215.95</v>
      </c>
    </row>
    <row r="1467" spans="1:8" x14ac:dyDescent="0.35">
      <c r="A1467" t="s">
        <v>9</v>
      </c>
      <c r="B1467" t="s">
        <v>1665</v>
      </c>
      <c r="C1467" t="s">
        <v>11</v>
      </c>
      <c r="D1467" t="s">
        <v>1661</v>
      </c>
      <c r="E1467" t="s">
        <v>13</v>
      </c>
      <c r="F1467">
        <v>277.98</v>
      </c>
      <c r="G1467">
        <v>22.95</v>
      </c>
      <c r="H1467">
        <v>300.93</v>
      </c>
    </row>
    <row r="1468" spans="1:8" x14ac:dyDescent="0.35">
      <c r="A1468" t="s">
        <v>9</v>
      </c>
      <c r="B1468" t="s">
        <v>1666</v>
      </c>
      <c r="C1468" t="s">
        <v>11</v>
      </c>
      <c r="D1468" t="s">
        <v>1667</v>
      </c>
      <c r="E1468" t="s">
        <v>13</v>
      </c>
      <c r="F1468">
        <v>184.72</v>
      </c>
      <c r="G1468">
        <v>26.21</v>
      </c>
      <c r="H1468">
        <v>210.93</v>
      </c>
    </row>
    <row r="1469" spans="1:8" x14ac:dyDescent="0.35">
      <c r="A1469" t="s">
        <v>9</v>
      </c>
      <c r="B1469" t="s">
        <v>1668</v>
      </c>
      <c r="C1469" t="s">
        <v>11</v>
      </c>
      <c r="D1469" t="s">
        <v>1667</v>
      </c>
      <c r="E1469" t="s">
        <v>13</v>
      </c>
      <c r="F1469">
        <v>122.54</v>
      </c>
      <c r="G1469">
        <v>14.33</v>
      </c>
      <c r="H1469">
        <v>136.87</v>
      </c>
    </row>
    <row r="1470" spans="1:8" x14ac:dyDescent="0.35">
      <c r="A1470" t="s">
        <v>9</v>
      </c>
      <c r="B1470" t="s">
        <v>1669</v>
      </c>
      <c r="C1470" t="s">
        <v>11</v>
      </c>
      <c r="D1470" t="s">
        <v>1667</v>
      </c>
      <c r="E1470" t="s">
        <v>13</v>
      </c>
      <c r="F1470">
        <v>208.64</v>
      </c>
      <c r="G1470">
        <v>31.3</v>
      </c>
      <c r="H1470">
        <v>239.94</v>
      </c>
    </row>
    <row r="1471" spans="1:8" x14ac:dyDescent="0.35">
      <c r="A1471" t="s">
        <v>9</v>
      </c>
      <c r="B1471" t="s">
        <v>1670</v>
      </c>
      <c r="C1471" t="s">
        <v>11</v>
      </c>
      <c r="D1471" t="s">
        <v>1667</v>
      </c>
      <c r="E1471" t="s">
        <v>13</v>
      </c>
      <c r="F1471">
        <v>190.81</v>
      </c>
      <c r="G1471">
        <v>27.12</v>
      </c>
      <c r="H1471">
        <v>217.93</v>
      </c>
    </row>
    <row r="1472" spans="1:8" x14ac:dyDescent="0.35">
      <c r="A1472" t="s">
        <v>9</v>
      </c>
      <c r="B1472" t="s">
        <v>1671</v>
      </c>
      <c r="C1472" t="s">
        <v>11</v>
      </c>
      <c r="D1472" t="s">
        <v>1667</v>
      </c>
      <c r="E1472" t="s">
        <v>13</v>
      </c>
      <c r="F1472">
        <v>167.81</v>
      </c>
      <c r="G1472">
        <v>18.13</v>
      </c>
      <c r="H1472">
        <v>185.94</v>
      </c>
    </row>
    <row r="1473" spans="1:8" x14ac:dyDescent="0.35">
      <c r="A1473" t="s">
        <v>9</v>
      </c>
      <c r="B1473" t="s">
        <v>1672</v>
      </c>
      <c r="C1473" t="s">
        <v>11</v>
      </c>
      <c r="D1473" t="s">
        <v>1667</v>
      </c>
      <c r="E1473" t="s">
        <v>13</v>
      </c>
      <c r="F1473">
        <v>589.41999999999996</v>
      </c>
      <c r="G1473">
        <v>62.47</v>
      </c>
      <c r="H1473">
        <v>651.89</v>
      </c>
    </row>
    <row r="1474" spans="1:8" x14ac:dyDescent="0.35">
      <c r="A1474" t="s">
        <v>9</v>
      </c>
      <c r="B1474" t="s">
        <v>1673</v>
      </c>
      <c r="C1474" t="s">
        <v>11</v>
      </c>
      <c r="D1474" t="s">
        <v>1667</v>
      </c>
      <c r="E1474" t="s">
        <v>13</v>
      </c>
      <c r="F1474">
        <v>282.58</v>
      </c>
      <c r="G1474">
        <v>42.39</v>
      </c>
      <c r="H1474">
        <v>324.97000000000003</v>
      </c>
    </row>
    <row r="1475" spans="1:8" x14ac:dyDescent="0.35">
      <c r="A1475" t="s">
        <v>9</v>
      </c>
      <c r="B1475" t="s">
        <v>1674</v>
      </c>
      <c r="C1475" t="s">
        <v>11</v>
      </c>
      <c r="D1475" t="s">
        <v>1675</v>
      </c>
      <c r="E1475" t="s">
        <v>13</v>
      </c>
      <c r="F1475">
        <v>284.45999999999998</v>
      </c>
      <c r="G1475">
        <v>39.67</v>
      </c>
      <c r="H1475">
        <v>324.13</v>
      </c>
    </row>
    <row r="1476" spans="1:8" x14ac:dyDescent="0.35">
      <c r="A1476" t="s">
        <v>9</v>
      </c>
      <c r="B1476" t="s">
        <v>1676</v>
      </c>
      <c r="C1476" t="s">
        <v>11</v>
      </c>
      <c r="D1476" t="s">
        <v>1675</v>
      </c>
      <c r="E1476" t="s">
        <v>13</v>
      </c>
      <c r="F1476">
        <v>344.31</v>
      </c>
      <c r="G1476">
        <v>30.65</v>
      </c>
      <c r="H1476">
        <v>374.96</v>
      </c>
    </row>
    <row r="1477" spans="1:8" x14ac:dyDescent="0.35">
      <c r="A1477" t="s">
        <v>9</v>
      </c>
      <c r="B1477" t="s">
        <v>1677</v>
      </c>
      <c r="C1477" t="s">
        <v>11</v>
      </c>
      <c r="D1477" t="s">
        <v>1675</v>
      </c>
      <c r="E1477" t="s">
        <v>13</v>
      </c>
      <c r="F1477">
        <v>366.46</v>
      </c>
      <c r="G1477">
        <v>35.47</v>
      </c>
      <c r="H1477">
        <v>401.93</v>
      </c>
    </row>
    <row r="1478" spans="1:8" x14ac:dyDescent="0.35">
      <c r="A1478" t="s">
        <v>9</v>
      </c>
      <c r="B1478" t="s">
        <v>1678</v>
      </c>
      <c r="C1478" t="s">
        <v>11</v>
      </c>
      <c r="D1478" t="s">
        <v>1675</v>
      </c>
      <c r="E1478" t="s">
        <v>13</v>
      </c>
      <c r="F1478">
        <v>183.52</v>
      </c>
      <c r="G1478">
        <v>7.43</v>
      </c>
      <c r="H1478">
        <v>190.95</v>
      </c>
    </row>
    <row r="1479" spans="1:8" x14ac:dyDescent="0.35">
      <c r="A1479" t="s">
        <v>9</v>
      </c>
      <c r="B1479" t="s">
        <v>1679</v>
      </c>
      <c r="C1479" t="s">
        <v>11</v>
      </c>
      <c r="D1479" t="s">
        <v>1675</v>
      </c>
      <c r="E1479" t="s">
        <v>13</v>
      </c>
      <c r="F1479">
        <v>172.11</v>
      </c>
      <c r="G1479">
        <v>25.82</v>
      </c>
      <c r="H1479">
        <v>197.93</v>
      </c>
    </row>
    <row r="1480" spans="1:8" x14ac:dyDescent="0.35">
      <c r="A1480" t="s">
        <v>9</v>
      </c>
      <c r="B1480" t="s">
        <v>1680</v>
      </c>
      <c r="C1480" t="s">
        <v>11</v>
      </c>
      <c r="D1480" t="s">
        <v>1675</v>
      </c>
      <c r="E1480" t="s">
        <v>13</v>
      </c>
      <c r="F1480">
        <v>355.05</v>
      </c>
      <c r="G1480">
        <v>50.26</v>
      </c>
      <c r="H1480">
        <v>405.31</v>
      </c>
    </row>
    <row r="1481" spans="1:8" x14ac:dyDescent="0.35">
      <c r="A1481" t="s">
        <v>9</v>
      </c>
      <c r="B1481" t="s">
        <v>1681</v>
      </c>
      <c r="C1481" t="s">
        <v>11</v>
      </c>
      <c r="D1481" t="s">
        <v>1675</v>
      </c>
      <c r="E1481" t="s">
        <v>13</v>
      </c>
      <c r="F1481">
        <v>706.19</v>
      </c>
      <c r="G1481">
        <v>86.43</v>
      </c>
      <c r="H1481">
        <v>792.62</v>
      </c>
    </row>
    <row r="1482" spans="1:8" x14ac:dyDescent="0.35">
      <c r="A1482" t="s">
        <v>9</v>
      </c>
      <c r="B1482" t="s">
        <v>1682</v>
      </c>
      <c r="C1482" t="s">
        <v>11</v>
      </c>
      <c r="D1482" t="s">
        <v>1683</v>
      </c>
      <c r="E1482" t="s">
        <v>13</v>
      </c>
      <c r="F1482">
        <v>256.43</v>
      </c>
      <c r="G1482">
        <v>33.520000000000003</v>
      </c>
      <c r="H1482">
        <v>289.95</v>
      </c>
    </row>
    <row r="1483" spans="1:8" x14ac:dyDescent="0.35">
      <c r="A1483" t="s">
        <v>9</v>
      </c>
      <c r="B1483" t="s">
        <v>1684</v>
      </c>
      <c r="C1483" t="s">
        <v>11</v>
      </c>
      <c r="D1483" t="s">
        <v>1683</v>
      </c>
      <c r="E1483" t="s">
        <v>13</v>
      </c>
      <c r="F1483">
        <v>833.34</v>
      </c>
      <c r="G1483">
        <v>110.46</v>
      </c>
      <c r="H1483">
        <v>943.8</v>
      </c>
    </row>
    <row r="1484" spans="1:8" x14ac:dyDescent="0.35">
      <c r="A1484" t="s">
        <v>9</v>
      </c>
      <c r="B1484" t="s">
        <v>1685</v>
      </c>
      <c r="C1484" t="s">
        <v>11</v>
      </c>
      <c r="D1484" t="s">
        <v>1683</v>
      </c>
      <c r="E1484" t="s">
        <v>13</v>
      </c>
      <c r="F1484">
        <v>232.14</v>
      </c>
      <c r="G1484">
        <v>28.82</v>
      </c>
      <c r="H1484">
        <v>260.95999999999998</v>
      </c>
    </row>
    <row r="1485" spans="1:8" x14ac:dyDescent="0.35">
      <c r="A1485" t="s">
        <v>9</v>
      </c>
      <c r="B1485" t="s">
        <v>1686</v>
      </c>
      <c r="C1485" t="s">
        <v>11</v>
      </c>
      <c r="D1485" t="s">
        <v>1683</v>
      </c>
      <c r="E1485" t="s">
        <v>13</v>
      </c>
      <c r="F1485">
        <v>457.05</v>
      </c>
      <c r="G1485">
        <v>58.21</v>
      </c>
      <c r="H1485">
        <v>515.26</v>
      </c>
    </row>
    <row r="1486" spans="1:8" x14ac:dyDescent="0.35">
      <c r="A1486" t="s">
        <v>9</v>
      </c>
      <c r="B1486" t="s">
        <v>1687</v>
      </c>
      <c r="C1486" t="s">
        <v>11</v>
      </c>
      <c r="D1486" t="s">
        <v>1683</v>
      </c>
      <c r="E1486" t="s">
        <v>13</v>
      </c>
      <c r="F1486">
        <v>139.12</v>
      </c>
      <c r="G1486">
        <v>20.87</v>
      </c>
      <c r="H1486">
        <v>159.99</v>
      </c>
    </row>
    <row r="1487" spans="1:8" x14ac:dyDescent="0.35">
      <c r="A1487" t="s">
        <v>9</v>
      </c>
      <c r="B1487" t="s">
        <v>1688</v>
      </c>
      <c r="C1487" t="s">
        <v>11</v>
      </c>
      <c r="D1487" t="s">
        <v>1683</v>
      </c>
      <c r="E1487" t="s">
        <v>13</v>
      </c>
      <c r="F1487">
        <v>414.46</v>
      </c>
      <c r="G1487">
        <v>48.52</v>
      </c>
      <c r="H1487">
        <v>462.98</v>
      </c>
    </row>
    <row r="1488" spans="1:8" x14ac:dyDescent="0.35">
      <c r="A1488" t="s">
        <v>9</v>
      </c>
      <c r="B1488" t="s">
        <v>1689</v>
      </c>
      <c r="C1488" t="s">
        <v>11</v>
      </c>
      <c r="D1488" t="s">
        <v>1690</v>
      </c>
      <c r="E1488" t="s">
        <v>13</v>
      </c>
      <c r="F1488">
        <v>444.04</v>
      </c>
      <c r="G1488">
        <v>14.87</v>
      </c>
      <c r="H1488">
        <v>458.91</v>
      </c>
    </row>
    <row r="1489" spans="1:8" x14ac:dyDescent="0.35">
      <c r="A1489" t="s">
        <v>9</v>
      </c>
      <c r="B1489" t="s">
        <v>1691</v>
      </c>
      <c r="C1489" t="s">
        <v>11</v>
      </c>
      <c r="D1489" t="s">
        <v>1690</v>
      </c>
      <c r="E1489" t="s">
        <v>13</v>
      </c>
      <c r="F1489">
        <v>292.7</v>
      </c>
      <c r="G1489">
        <v>34.909999999999997</v>
      </c>
      <c r="H1489">
        <v>327.61</v>
      </c>
    </row>
    <row r="1490" spans="1:8" x14ac:dyDescent="0.35">
      <c r="A1490" t="s">
        <v>9</v>
      </c>
      <c r="B1490" t="s">
        <v>1692</v>
      </c>
      <c r="C1490" t="s">
        <v>11</v>
      </c>
      <c r="D1490" t="s">
        <v>1690</v>
      </c>
      <c r="E1490" t="s">
        <v>13</v>
      </c>
      <c r="F1490">
        <v>482.06</v>
      </c>
      <c r="G1490">
        <v>64.81</v>
      </c>
      <c r="H1490">
        <v>546.87</v>
      </c>
    </row>
    <row r="1491" spans="1:8" x14ac:dyDescent="0.35">
      <c r="A1491" t="s">
        <v>9</v>
      </c>
      <c r="B1491" t="s">
        <v>1693</v>
      </c>
      <c r="C1491" t="s">
        <v>11</v>
      </c>
      <c r="D1491" t="s">
        <v>1690</v>
      </c>
      <c r="E1491" t="s">
        <v>13</v>
      </c>
      <c r="F1491">
        <v>63.43</v>
      </c>
      <c r="G1491">
        <v>8.01</v>
      </c>
      <c r="H1491">
        <v>71.44</v>
      </c>
    </row>
    <row r="1492" spans="1:8" x14ac:dyDescent="0.35">
      <c r="A1492" t="s">
        <v>9</v>
      </c>
      <c r="B1492" t="s">
        <v>1694</v>
      </c>
      <c r="C1492" t="s">
        <v>11</v>
      </c>
      <c r="D1492" t="s">
        <v>1690</v>
      </c>
      <c r="E1492" t="s">
        <v>13</v>
      </c>
      <c r="F1492">
        <v>418.69</v>
      </c>
      <c r="G1492">
        <v>50.21</v>
      </c>
      <c r="H1492">
        <v>468.9</v>
      </c>
    </row>
    <row r="1493" spans="1:8" x14ac:dyDescent="0.35">
      <c r="A1493" t="s">
        <v>9</v>
      </c>
      <c r="B1493" t="s">
        <v>1695</v>
      </c>
      <c r="C1493" t="s">
        <v>11</v>
      </c>
      <c r="D1493" t="s">
        <v>1690</v>
      </c>
      <c r="E1493" t="s">
        <v>13</v>
      </c>
      <c r="F1493">
        <v>117.35</v>
      </c>
      <c r="G1493">
        <v>17.600000000000001</v>
      </c>
      <c r="H1493">
        <v>134.94999999999999</v>
      </c>
    </row>
    <row r="1494" spans="1:8" x14ac:dyDescent="0.35">
      <c r="A1494" t="s">
        <v>9</v>
      </c>
      <c r="B1494" t="s">
        <v>1696</v>
      </c>
      <c r="C1494" t="s">
        <v>11</v>
      </c>
      <c r="D1494" t="s">
        <v>1690</v>
      </c>
      <c r="E1494" t="s">
        <v>13</v>
      </c>
      <c r="F1494">
        <v>357.49</v>
      </c>
      <c r="G1494">
        <v>49.42</v>
      </c>
      <c r="H1494">
        <v>406.91</v>
      </c>
    </row>
    <row r="1495" spans="1:8" x14ac:dyDescent="0.35">
      <c r="A1495" t="s">
        <v>9</v>
      </c>
      <c r="B1495" t="s">
        <v>1697</v>
      </c>
      <c r="C1495" t="s">
        <v>11</v>
      </c>
      <c r="D1495" t="s">
        <v>1698</v>
      </c>
      <c r="E1495" t="s">
        <v>13</v>
      </c>
      <c r="F1495">
        <v>1058.8699999999999</v>
      </c>
      <c r="G1495">
        <v>138.43</v>
      </c>
      <c r="H1495">
        <v>1197.3</v>
      </c>
    </row>
    <row r="1496" spans="1:8" x14ac:dyDescent="0.35">
      <c r="A1496" t="s">
        <v>9</v>
      </c>
      <c r="B1496" t="s">
        <v>1699</v>
      </c>
      <c r="C1496" t="s">
        <v>11</v>
      </c>
      <c r="D1496" t="s">
        <v>1698</v>
      </c>
      <c r="E1496" t="s">
        <v>13</v>
      </c>
      <c r="F1496">
        <v>610.65</v>
      </c>
      <c r="G1496">
        <v>62.2</v>
      </c>
      <c r="H1496">
        <v>672.85</v>
      </c>
    </row>
    <row r="1497" spans="1:8" x14ac:dyDescent="0.35">
      <c r="A1497" t="s">
        <v>9</v>
      </c>
      <c r="B1497" t="s">
        <v>1700</v>
      </c>
      <c r="C1497" t="s">
        <v>11</v>
      </c>
      <c r="D1497" t="s">
        <v>1698</v>
      </c>
      <c r="E1497" t="s">
        <v>13</v>
      </c>
      <c r="F1497">
        <v>208.66</v>
      </c>
      <c r="G1497">
        <v>28.3</v>
      </c>
      <c r="H1497">
        <v>236.96</v>
      </c>
    </row>
    <row r="1498" spans="1:8" x14ac:dyDescent="0.35">
      <c r="A1498" t="s">
        <v>9</v>
      </c>
      <c r="B1498" t="s">
        <v>1701</v>
      </c>
      <c r="C1498" t="s">
        <v>11</v>
      </c>
      <c r="D1498" t="s">
        <v>1698</v>
      </c>
      <c r="E1498" t="s">
        <v>13</v>
      </c>
      <c r="F1498">
        <v>140.41</v>
      </c>
      <c r="G1498">
        <v>19.559999999999999</v>
      </c>
      <c r="H1498">
        <v>159.97</v>
      </c>
    </row>
    <row r="1499" spans="1:8" x14ac:dyDescent="0.35">
      <c r="A1499" t="s">
        <v>9</v>
      </c>
      <c r="B1499" t="s">
        <v>1702</v>
      </c>
      <c r="C1499" t="s">
        <v>11</v>
      </c>
      <c r="D1499" t="s">
        <v>1703</v>
      </c>
      <c r="E1499" t="s">
        <v>13</v>
      </c>
      <c r="F1499">
        <v>452.16</v>
      </c>
      <c r="G1499">
        <v>47.73</v>
      </c>
      <c r="H1499">
        <v>499.89</v>
      </c>
    </row>
    <row r="1500" spans="1:8" x14ac:dyDescent="0.35">
      <c r="A1500" t="s">
        <v>9</v>
      </c>
      <c r="B1500" t="s">
        <v>1704</v>
      </c>
      <c r="C1500" t="s">
        <v>11</v>
      </c>
      <c r="D1500" t="s">
        <v>1703</v>
      </c>
      <c r="E1500" t="s">
        <v>13</v>
      </c>
      <c r="F1500">
        <v>480.05</v>
      </c>
      <c r="G1500">
        <v>43.82</v>
      </c>
      <c r="H1500">
        <v>523.87</v>
      </c>
    </row>
    <row r="1501" spans="1:8" x14ac:dyDescent="0.35">
      <c r="A1501" t="s">
        <v>9</v>
      </c>
      <c r="B1501" t="s">
        <v>1705</v>
      </c>
      <c r="C1501" t="s">
        <v>11</v>
      </c>
      <c r="D1501" t="s">
        <v>1703</v>
      </c>
      <c r="E1501" t="s">
        <v>13</v>
      </c>
      <c r="F1501">
        <v>592.01</v>
      </c>
      <c r="G1501">
        <v>38.86</v>
      </c>
      <c r="H1501">
        <v>630.87</v>
      </c>
    </row>
    <row r="1502" spans="1:8" x14ac:dyDescent="0.35">
      <c r="A1502" t="s">
        <v>9</v>
      </c>
      <c r="B1502" t="s">
        <v>1706</v>
      </c>
      <c r="C1502" t="s">
        <v>11</v>
      </c>
      <c r="D1502" t="s">
        <v>1703</v>
      </c>
      <c r="E1502" t="s">
        <v>13</v>
      </c>
      <c r="F1502">
        <v>317.77</v>
      </c>
      <c r="G1502">
        <v>40.17</v>
      </c>
      <c r="H1502">
        <v>357.94</v>
      </c>
    </row>
    <row r="1503" spans="1:8" x14ac:dyDescent="0.35">
      <c r="A1503" t="s">
        <v>9</v>
      </c>
      <c r="B1503" t="s">
        <v>1707</v>
      </c>
      <c r="C1503" t="s">
        <v>11</v>
      </c>
      <c r="D1503" t="s">
        <v>1703</v>
      </c>
      <c r="E1503" t="s">
        <v>13</v>
      </c>
      <c r="F1503">
        <v>173.04</v>
      </c>
      <c r="G1503">
        <v>18.91</v>
      </c>
      <c r="H1503">
        <v>191.95</v>
      </c>
    </row>
    <row r="1504" spans="1:8" x14ac:dyDescent="0.35">
      <c r="A1504" t="s">
        <v>9</v>
      </c>
      <c r="B1504" t="s">
        <v>1708</v>
      </c>
      <c r="C1504" t="s">
        <v>11</v>
      </c>
      <c r="D1504" t="s">
        <v>1709</v>
      </c>
      <c r="E1504" t="s">
        <v>13</v>
      </c>
      <c r="F1504">
        <v>256.7</v>
      </c>
      <c r="G1504">
        <v>30.65</v>
      </c>
      <c r="H1504">
        <v>287.35000000000002</v>
      </c>
    </row>
    <row r="1505" spans="1:8" x14ac:dyDescent="0.35">
      <c r="A1505" t="s">
        <v>9</v>
      </c>
      <c r="B1505" t="s">
        <v>1710</v>
      </c>
      <c r="C1505" t="s">
        <v>11</v>
      </c>
      <c r="D1505" t="s">
        <v>1709</v>
      </c>
      <c r="E1505" t="s">
        <v>13</v>
      </c>
      <c r="F1505">
        <v>234.28</v>
      </c>
      <c r="G1505">
        <v>33.64</v>
      </c>
      <c r="H1505">
        <v>267.92</v>
      </c>
    </row>
    <row r="1506" spans="1:8" x14ac:dyDescent="0.35">
      <c r="A1506" t="s">
        <v>9</v>
      </c>
      <c r="B1506" t="s">
        <v>1711</v>
      </c>
      <c r="C1506" t="s">
        <v>11</v>
      </c>
      <c r="D1506" t="s">
        <v>1709</v>
      </c>
      <c r="E1506" t="s">
        <v>13</v>
      </c>
      <c r="F1506">
        <v>203.33</v>
      </c>
      <c r="G1506">
        <v>12.2</v>
      </c>
      <c r="H1506">
        <v>215.53</v>
      </c>
    </row>
    <row r="1507" spans="1:8" x14ac:dyDescent="0.35">
      <c r="A1507" t="s">
        <v>9</v>
      </c>
      <c r="B1507" t="s">
        <v>1712</v>
      </c>
      <c r="C1507" t="s">
        <v>11</v>
      </c>
      <c r="D1507" t="s">
        <v>1709</v>
      </c>
      <c r="E1507" t="s">
        <v>13</v>
      </c>
      <c r="F1507">
        <v>386.36</v>
      </c>
      <c r="G1507">
        <v>51.51</v>
      </c>
      <c r="H1507">
        <v>437.87</v>
      </c>
    </row>
    <row r="1508" spans="1:8" x14ac:dyDescent="0.35">
      <c r="A1508" t="s">
        <v>9</v>
      </c>
      <c r="B1508" t="s">
        <v>1713</v>
      </c>
      <c r="C1508" t="s">
        <v>11</v>
      </c>
      <c r="D1508" t="s">
        <v>1709</v>
      </c>
      <c r="E1508" t="s">
        <v>13</v>
      </c>
      <c r="F1508">
        <v>328.81</v>
      </c>
      <c r="G1508">
        <v>42.12</v>
      </c>
      <c r="H1508">
        <v>370.93</v>
      </c>
    </row>
    <row r="1509" spans="1:8" x14ac:dyDescent="0.35">
      <c r="A1509" t="s">
        <v>9</v>
      </c>
      <c r="B1509" t="s">
        <v>1714</v>
      </c>
      <c r="C1509" t="s">
        <v>11</v>
      </c>
      <c r="D1509" t="s">
        <v>1709</v>
      </c>
      <c r="E1509" t="s">
        <v>13</v>
      </c>
      <c r="F1509">
        <v>166.02</v>
      </c>
      <c r="G1509">
        <v>21.91</v>
      </c>
      <c r="H1509">
        <v>187.93</v>
      </c>
    </row>
    <row r="1510" spans="1:8" x14ac:dyDescent="0.35">
      <c r="A1510" t="s">
        <v>9</v>
      </c>
      <c r="B1510" t="s">
        <v>1715</v>
      </c>
      <c r="C1510" t="s">
        <v>11</v>
      </c>
      <c r="D1510" t="s">
        <v>1709</v>
      </c>
      <c r="E1510" t="s">
        <v>13</v>
      </c>
      <c r="F1510">
        <v>592.17999999999995</v>
      </c>
      <c r="G1510">
        <v>30.64</v>
      </c>
      <c r="H1510">
        <v>622.82000000000005</v>
      </c>
    </row>
    <row r="1511" spans="1:8" x14ac:dyDescent="0.35">
      <c r="A1511" t="s">
        <v>9</v>
      </c>
      <c r="B1511" t="s">
        <v>1716</v>
      </c>
      <c r="C1511" t="s">
        <v>11</v>
      </c>
      <c r="D1511" t="s">
        <v>1709</v>
      </c>
      <c r="E1511" t="s">
        <v>13</v>
      </c>
      <c r="F1511">
        <v>211.03</v>
      </c>
      <c r="G1511">
        <v>15.91</v>
      </c>
      <c r="H1511">
        <v>226.94</v>
      </c>
    </row>
    <row r="1512" spans="1:8" x14ac:dyDescent="0.35">
      <c r="A1512" t="s">
        <v>9</v>
      </c>
      <c r="B1512" t="s">
        <v>1717</v>
      </c>
      <c r="C1512" t="s">
        <v>11</v>
      </c>
      <c r="D1512" t="s">
        <v>1718</v>
      </c>
      <c r="E1512" t="s">
        <v>13</v>
      </c>
      <c r="F1512">
        <v>436.64</v>
      </c>
      <c r="G1512">
        <v>48.25</v>
      </c>
      <c r="H1512">
        <v>484.89</v>
      </c>
    </row>
    <row r="1513" spans="1:8" x14ac:dyDescent="0.35">
      <c r="A1513" t="s">
        <v>9</v>
      </c>
      <c r="B1513" t="s">
        <v>1719</v>
      </c>
      <c r="C1513" t="s">
        <v>11</v>
      </c>
      <c r="D1513" t="s">
        <v>1718</v>
      </c>
      <c r="E1513" t="s">
        <v>13</v>
      </c>
      <c r="F1513">
        <v>232.14</v>
      </c>
      <c r="G1513">
        <v>25.82</v>
      </c>
      <c r="H1513">
        <v>257.95999999999998</v>
      </c>
    </row>
    <row r="1514" spans="1:8" x14ac:dyDescent="0.35">
      <c r="A1514" t="s">
        <v>9</v>
      </c>
      <c r="B1514" t="s">
        <v>1720</v>
      </c>
      <c r="C1514" t="s">
        <v>11</v>
      </c>
      <c r="D1514" t="s">
        <v>1718</v>
      </c>
      <c r="E1514" t="s">
        <v>13</v>
      </c>
      <c r="F1514">
        <v>203.39</v>
      </c>
      <c r="G1514">
        <v>25.56</v>
      </c>
      <c r="H1514">
        <v>228.95</v>
      </c>
    </row>
    <row r="1515" spans="1:8" x14ac:dyDescent="0.35">
      <c r="A1515" t="s">
        <v>9</v>
      </c>
      <c r="B1515" t="s">
        <v>1721</v>
      </c>
      <c r="C1515" t="s">
        <v>11</v>
      </c>
      <c r="D1515" t="s">
        <v>1718</v>
      </c>
      <c r="E1515" t="s">
        <v>13</v>
      </c>
      <c r="F1515">
        <v>340.11</v>
      </c>
      <c r="G1515">
        <v>34.82</v>
      </c>
      <c r="H1515">
        <v>374.93</v>
      </c>
    </row>
    <row r="1516" spans="1:8" x14ac:dyDescent="0.35">
      <c r="A1516" t="s">
        <v>9</v>
      </c>
      <c r="B1516" t="s">
        <v>1722</v>
      </c>
      <c r="C1516" t="s">
        <v>11</v>
      </c>
      <c r="D1516" t="s">
        <v>1718</v>
      </c>
      <c r="E1516" t="s">
        <v>13</v>
      </c>
      <c r="F1516">
        <v>854.17</v>
      </c>
      <c r="G1516">
        <v>100.53</v>
      </c>
      <c r="H1516">
        <v>954.7</v>
      </c>
    </row>
    <row r="1517" spans="1:8" x14ac:dyDescent="0.35">
      <c r="A1517" t="s">
        <v>9</v>
      </c>
      <c r="B1517" t="s">
        <v>1723</v>
      </c>
      <c r="C1517" t="s">
        <v>11</v>
      </c>
      <c r="D1517" t="s">
        <v>1718</v>
      </c>
      <c r="E1517" t="s">
        <v>13</v>
      </c>
      <c r="F1517">
        <v>122.97</v>
      </c>
      <c r="G1517">
        <v>12</v>
      </c>
      <c r="H1517">
        <v>134.97</v>
      </c>
    </row>
    <row r="1518" spans="1:8" x14ac:dyDescent="0.35">
      <c r="A1518" t="s">
        <v>9</v>
      </c>
      <c r="B1518" t="s">
        <v>1724</v>
      </c>
      <c r="C1518" t="s">
        <v>11</v>
      </c>
      <c r="D1518" t="s">
        <v>1725</v>
      </c>
      <c r="E1518" t="s">
        <v>13</v>
      </c>
      <c r="F1518">
        <v>378.72</v>
      </c>
      <c r="G1518">
        <v>55.31</v>
      </c>
      <c r="H1518">
        <v>434.03</v>
      </c>
    </row>
    <row r="1519" spans="1:8" x14ac:dyDescent="0.35">
      <c r="A1519" t="s">
        <v>9</v>
      </c>
      <c r="B1519" t="s">
        <v>1726</v>
      </c>
      <c r="C1519" t="s">
        <v>11</v>
      </c>
      <c r="D1519" t="s">
        <v>1725</v>
      </c>
      <c r="E1519" t="s">
        <v>13</v>
      </c>
      <c r="F1519">
        <v>288.44</v>
      </c>
      <c r="G1519">
        <v>34.42</v>
      </c>
      <c r="H1519">
        <v>322.86</v>
      </c>
    </row>
    <row r="1520" spans="1:8" x14ac:dyDescent="0.35">
      <c r="A1520" t="s">
        <v>9</v>
      </c>
      <c r="B1520" t="s">
        <v>1727</v>
      </c>
      <c r="C1520" t="s">
        <v>11</v>
      </c>
      <c r="D1520" t="s">
        <v>1725</v>
      </c>
      <c r="E1520" t="s">
        <v>13</v>
      </c>
      <c r="F1520">
        <v>736.83</v>
      </c>
      <c r="G1520">
        <v>85.03</v>
      </c>
      <c r="H1520">
        <v>821.86</v>
      </c>
    </row>
    <row r="1521" spans="1:8" x14ac:dyDescent="0.35">
      <c r="A1521" t="s">
        <v>9</v>
      </c>
      <c r="B1521" t="s">
        <v>1728</v>
      </c>
      <c r="C1521" t="s">
        <v>11</v>
      </c>
      <c r="D1521" t="s">
        <v>1725</v>
      </c>
      <c r="E1521" t="s">
        <v>13</v>
      </c>
      <c r="F1521">
        <v>237.81</v>
      </c>
      <c r="G1521">
        <v>34.17</v>
      </c>
      <c r="H1521">
        <v>271.98</v>
      </c>
    </row>
    <row r="1522" spans="1:8" x14ac:dyDescent="0.35">
      <c r="A1522" t="s">
        <v>9</v>
      </c>
      <c r="B1522" t="s">
        <v>1729</v>
      </c>
      <c r="C1522" t="s">
        <v>11</v>
      </c>
      <c r="D1522" t="s">
        <v>1725</v>
      </c>
      <c r="E1522" t="s">
        <v>13</v>
      </c>
      <c r="F1522">
        <v>1069.27</v>
      </c>
      <c r="G1522">
        <v>126.49</v>
      </c>
      <c r="H1522">
        <v>1195.76</v>
      </c>
    </row>
    <row r="1523" spans="1:8" x14ac:dyDescent="0.35">
      <c r="A1523" t="s">
        <v>9</v>
      </c>
      <c r="B1523" t="s">
        <v>1730</v>
      </c>
      <c r="C1523" t="s">
        <v>11</v>
      </c>
      <c r="D1523" t="s">
        <v>1731</v>
      </c>
      <c r="E1523" t="s">
        <v>13</v>
      </c>
      <c r="F1523">
        <v>445.65</v>
      </c>
      <c r="G1523">
        <v>54.25</v>
      </c>
      <c r="H1523">
        <v>499.9</v>
      </c>
    </row>
    <row r="1524" spans="1:8" x14ac:dyDescent="0.35">
      <c r="A1524" t="s">
        <v>9</v>
      </c>
      <c r="B1524" t="s">
        <v>1732</v>
      </c>
      <c r="C1524" t="s">
        <v>11</v>
      </c>
      <c r="D1524" t="s">
        <v>1731</v>
      </c>
      <c r="E1524" t="s">
        <v>13</v>
      </c>
      <c r="F1524">
        <v>175.19</v>
      </c>
      <c r="G1524">
        <v>24.78</v>
      </c>
      <c r="H1524">
        <v>199.97</v>
      </c>
    </row>
    <row r="1525" spans="1:8" x14ac:dyDescent="0.35">
      <c r="A1525" t="s">
        <v>9</v>
      </c>
      <c r="B1525" t="s">
        <v>1733</v>
      </c>
      <c r="C1525" t="s">
        <v>11</v>
      </c>
      <c r="D1525" t="s">
        <v>1731</v>
      </c>
      <c r="E1525" t="s">
        <v>13</v>
      </c>
      <c r="F1525">
        <v>448.61</v>
      </c>
      <c r="G1525">
        <v>43.3</v>
      </c>
      <c r="H1525">
        <v>491.91</v>
      </c>
    </row>
    <row r="1526" spans="1:8" x14ac:dyDescent="0.35">
      <c r="A1526" t="s">
        <v>9</v>
      </c>
      <c r="B1526" t="s">
        <v>1734</v>
      </c>
      <c r="C1526" t="s">
        <v>11</v>
      </c>
      <c r="D1526" t="s">
        <v>1735</v>
      </c>
      <c r="E1526" t="s">
        <v>13</v>
      </c>
      <c r="F1526">
        <v>110.41</v>
      </c>
      <c r="G1526">
        <v>16.559999999999999</v>
      </c>
      <c r="H1526">
        <v>126.97</v>
      </c>
    </row>
    <row r="1527" spans="1:8" x14ac:dyDescent="0.35">
      <c r="A1527" t="s">
        <v>9</v>
      </c>
      <c r="B1527" t="s">
        <v>1736</v>
      </c>
      <c r="C1527" t="s">
        <v>11</v>
      </c>
      <c r="D1527" t="s">
        <v>1735</v>
      </c>
      <c r="E1527" t="s">
        <v>13</v>
      </c>
      <c r="F1527">
        <v>161.82</v>
      </c>
      <c r="G1527">
        <v>18.12</v>
      </c>
      <c r="H1527">
        <v>179.94</v>
      </c>
    </row>
    <row r="1528" spans="1:8" x14ac:dyDescent="0.35">
      <c r="A1528" t="s">
        <v>9</v>
      </c>
      <c r="B1528" t="s">
        <v>1737</v>
      </c>
      <c r="C1528" t="s">
        <v>11</v>
      </c>
      <c r="D1528" t="s">
        <v>1735</v>
      </c>
      <c r="E1528" t="s">
        <v>13</v>
      </c>
      <c r="F1528">
        <v>216.01</v>
      </c>
      <c r="G1528">
        <v>24.9</v>
      </c>
      <c r="H1528">
        <v>240.91</v>
      </c>
    </row>
    <row r="1529" spans="1:8" x14ac:dyDescent="0.35">
      <c r="A1529" t="s">
        <v>9</v>
      </c>
      <c r="B1529" t="s">
        <v>1738</v>
      </c>
      <c r="C1529" t="s">
        <v>11</v>
      </c>
      <c r="D1529" t="s">
        <v>1735</v>
      </c>
      <c r="E1529" t="s">
        <v>13</v>
      </c>
      <c r="F1529">
        <v>404.24</v>
      </c>
      <c r="G1529">
        <v>46.42</v>
      </c>
      <c r="H1529">
        <v>450.66</v>
      </c>
    </row>
    <row r="1530" spans="1:8" x14ac:dyDescent="0.35">
      <c r="A1530" t="s">
        <v>9</v>
      </c>
      <c r="B1530" t="s">
        <v>1739</v>
      </c>
      <c r="C1530" t="s">
        <v>11</v>
      </c>
      <c r="D1530" t="s">
        <v>1735</v>
      </c>
      <c r="E1530" t="s">
        <v>13</v>
      </c>
      <c r="F1530">
        <v>240.14</v>
      </c>
      <c r="G1530">
        <v>12.78</v>
      </c>
      <c r="H1530">
        <v>252.92</v>
      </c>
    </row>
    <row r="1531" spans="1:8" x14ac:dyDescent="0.35">
      <c r="A1531" t="s">
        <v>9</v>
      </c>
      <c r="B1531" t="s">
        <v>1740</v>
      </c>
      <c r="C1531" t="s">
        <v>11</v>
      </c>
      <c r="D1531" t="s">
        <v>1735</v>
      </c>
      <c r="E1531" t="s">
        <v>13</v>
      </c>
      <c r="F1531">
        <v>392.65</v>
      </c>
      <c r="G1531">
        <v>57.4</v>
      </c>
      <c r="H1531">
        <v>450.05</v>
      </c>
    </row>
    <row r="1532" spans="1:8" x14ac:dyDescent="0.35">
      <c r="A1532" t="s">
        <v>9</v>
      </c>
      <c r="B1532" t="s">
        <v>1741</v>
      </c>
      <c r="C1532" t="s">
        <v>11</v>
      </c>
      <c r="D1532" t="s">
        <v>1735</v>
      </c>
      <c r="E1532" t="s">
        <v>13</v>
      </c>
      <c r="F1532">
        <v>177.8</v>
      </c>
      <c r="G1532">
        <v>22.17</v>
      </c>
      <c r="H1532">
        <v>199.97</v>
      </c>
    </row>
    <row r="1533" spans="1:8" x14ac:dyDescent="0.35">
      <c r="A1533" t="s">
        <v>9</v>
      </c>
      <c r="B1533" t="s">
        <v>1742</v>
      </c>
      <c r="C1533" t="s">
        <v>11</v>
      </c>
      <c r="D1533" t="s">
        <v>1735</v>
      </c>
      <c r="E1533" t="s">
        <v>13</v>
      </c>
      <c r="F1533">
        <v>754.28</v>
      </c>
      <c r="G1533">
        <v>68.599999999999994</v>
      </c>
      <c r="H1533">
        <v>822.88</v>
      </c>
    </row>
    <row r="1534" spans="1:8" x14ac:dyDescent="0.35">
      <c r="A1534" t="s">
        <v>9</v>
      </c>
      <c r="B1534" t="s">
        <v>1743</v>
      </c>
      <c r="C1534" t="s">
        <v>11</v>
      </c>
      <c r="D1534" t="s">
        <v>1744</v>
      </c>
      <c r="E1534" t="s">
        <v>13</v>
      </c>
      <c r="F1534">
        <v>193.48</v>
      </c>
      <c r="G1534">
        <v>21.82</v>
      </c>
      <c r="H1534">
        <v>215.3</v>
      </c>
    </row>
    <row r="1535" spans="1:8" x14ac:dyDescent="0.35">
      <c r="A1535" t="s">
        <v>9</v>
      </c>
      <c r="B1535" t="s">
        <v>1745</v>
      </c>
      <c r="C1535" t="s">
        <v>11</v>
      </c>
      <c r="D1535" t="s">
        <v>1744</v>
      </c>
      <c r="E1535" t="s">
        <v>13</v>
      </c>
      <c r="F1535">
        <v>229.61</v>
      </c>
      <c r="G1535">
        <v>17.350000000000001</v>
      </c>
      <c r="H1535">
        <v>246.96</v>
      </c>
    </row>
    <row r="1536" spans="1:8" x14ac:dyDescent="0.35">
      <c r="A1536" t="s">
        <v>9</v>
      </c>
      <c r="B1536" t="s">
        <v>1746</v>
      </c>
      <c r="C1536" t="s">
        <v>11</v>
      </c>
      <c r="D1536" t="s">
        <v>1744</v>
      </c>
      <c r="E1536" t="s">
        <v>13</v>
      </c>
      <c r="F1536">
        <v>232.38</v>
      </c>
      <c r="G1536">
        <v>21.52</v>
      </c>
      <c r="H1536">
        <v>253.9</v>
      </c>
    </row>
    <row r="1537" spans="1:8" x14ac:dyDescent="0.35">
      <c r="A1537" t="s">
        <v>9</v>
      </c>
      <c r="B1537" t="s">
        <v>1747</v>
      </c>
      <c r="C1537" t="s">
        <v>11</v>
      </c>
      <c r="D1537" t="s">
        <v>1744</v>
      </c>
      <c r="E1537" t="s">
        <v>13</v>
      </c>
      <c r="F1537">
        <v>159.97</v>
      </c>
      <c r="G1537">
        <v>24</v>
      </c>
      <c r="H1537">
        <v>183.97</v>
      </c>
    </row>
    <row r="1538" spans="1:8" x14ac:dyDescent="0.35">
      <c r="A1538" t="s">
        <v>9</v>
      </c>
      <c r="B1538" t="s">
        <v>1748</v>
      </c>
      <c r="C1538" t="s">
        <v>11</v>
      </c>
      <c r="D1538" t="s">
        <v>1744</v>
      </c>
      <c r="E1538" t="s">
        <v>13</v>
      </c>
      <c r="F1538">
        <v>1032.3399999999999</v>
      </c>
      <c r="G1538">
        <v>132.65</v>
      </c>
      <c r="H1538">
        <v>1164.99</v>
      </c>
    </row>
    <row r="1539" spans="1:8" x14ac:dyDescent="0.35">
      <c r="A1539" t="s">
        <v>9</v>
      </c>
      <c r="B1539" t="s">
        <v>1749</v>
      </c>
      <c r="C1539" t="s">
        <v>11</v>
      </c>
      <c r="D1539" t="s">
        <v>1750</v>
      </c>
      <c r="E1539" t="s">
        <v>13</v>
      </c>
      <c r="F1539">
        <v>224.29</v>
      </c>
      <c r="G1539">
        <v>33.64</v>
      </c>
      <c r="H1539">
        <v>257.93</v>
      </c>
    </row>
    <row r="1540" spans="1:8" x14ac:dyDescent="0.35">
      <c r="A1540" t="s">
        <v>9</v>
      </c>
      <c r="B1540" t="s">
        <v>1751</v>
      </c>
      <c r="C1540" t="s">
        <v>11</v>
      </c>
      <c r="D1540" t="s">
        <v>1752</v>
      </c>
      <c r="E1540" t="s">
        <v>13</v>
      </c>
      <c r="F1540">
        <v>631.17999999999995</v>
      </c>
      <c r="G1540">
        <v>86.73</v>
      </c>
      <c r="H1540">
        <v>717.91</v>
      </c>
    </row>
    <row r="1541" spans="1:8" x14ac:dyDescent="0.35">
      <c r="A1541" t="s">
        <v>9</v>
      </c>
      <c r="B1541" t="s">
        <v>1753</v>
      </c>
      <c r="C1541" t="s">
        <v>11</v>
      </c>
      <c r="D1541" t="s">
        <v>1752</v>
      </c>
      <c r="E1541" t="s">
        <v>13</v>
      </c>
      <c r="F1541">
        <v>335.15</v>
      </c>
      <c r="G1541">
        <v>48.77</v>
      </c>
      <c r="H1541">
        <v>383.92</v>
      </c>
    </row>
    <row r="1542" spans="1:8" x14ac:dyDescent="0.35">
      <c r="A1542" t="s">
        <v>9</v>
      </c>
      <c r="B1542" t="s">
        <v>1754</v>
      </c>
      <c r="C1542" t="s">
        <v>11</v>
      </c>
      <c r="D1542" t="s">
        <v>1752</v>
      </c>
      <c r="E1542" t="s">
        <v>13</v>
      </c>
      <c r="F1542">
        <v>382.95</v>
      </c>
      <c r="G1542">
        <v>21.91</v>
      </c>
      <c r="H1542">
        <v>404.86</v>
      </c>
    </row>
    <row r="1543" spans="1:8" x14ac:dyDescent="0.35">
      <c r="A1543" t="s">
        <v>9</v>
      </c>
      <c r="B1543" t="s">
        <v>1755</v>
      </c>
      <c r="C1543" t="s">
        <v>11</v>
      </c>
      <c r="D1543" t="s">
        <v>1752</v>
      </c>
      <c r="E1543" t="s">
        <v>13</v>
      </c>
      <c r="F1543">
        <v>132.15</v>
      </c>
      <c r="G1543">
        <v>19.82</v>
      </c>
      <c r="H1543">
        <v>151.97</v>
      </c>
    </row>
    <row r="1544" spans="1:8" x14ac:dyDescent="0.35">
      <c r="A1544" t="s">
        <v>9</v>
      </c>
      <c r="B1544" t="s">
        <v>1756</v>
      </c>
      <c r="C1544" t="s">
        <v>11</v>
      </c>
      <c r="D1544" t="s">
        <v>1757</v>
      </c>
      <c r="E1544" t="s">
        <v>13</v>
      </c>
      <c r="F1544">
        <v>866.65</v>
      </c>
      <c r="G1544">
        <v>103.15</v>
      </c>
      <c r="H1544">
        <v>969.8</v>
      </c>
    </row>
    <row r="1545" spans="1:8" x14ac:dyDescent="0.35">
      <c r="A1545" t="s">
        <v>9</v>
      </c>
      <c r="B1545" t="s">
        <v>1758</v>
      </c>
      <c r="C1545" t="s">
        <v>11</v>
      </c>
      <c r="D1545" t="s">
        <v>1759</v>
      </c>
      <c r="E1545" t="s">
        <v>13</v>
      </c>
      <c r="F1545">
        <v>165.64</v>
      </c>
      <c r="G1545">
        <v>23.35</v>
      </c>
      <c r="H1545">
        <v>188.99</v>
      </c>
    </row>
    <row r="1546" spans="1:8" x14ac:dyDescent="0.35">
      <c r="A1546" t="s">
        <v>9</v>
      </c>
      <c r="B1546" t="s">
        <v>1760</v>
      </c>
      <c r="C1546" t="s">
        <v>11</v>
      </c>
      <c r="D1546" t="s">
        <v>1759</v>
      </c>
      <c r="E1546" t="s">
        <v>13</v>
      </c>
      <c r="F1546">
        <v>283.45</v>
      </c>
      <c r="G1546">
        <v>17.86</v>
      </c>
      <c r="H1546">
        <v>301.31</v>
      </c>
    </row>
    <row r="1547" spans="1:8" x14ac:dyDescent="0.35">
      <c r="A1547" t="s">
        <v>9</v>
      </c>
      <c r="B1547" t="s">
        <v>1761</v>
      </c>
      <c r="C1547" t="s">
        <v>11</v>
      </c>
      <c r="D1547" t="s">
        <v>1759</v>
      </c>
      <c r="E1547" t="s">
        <v>13</v>
      </c>
      <c r="F1547">
        <v>445.79</v>
      </c>
      <c r="G1547">
        <v>51.12</v>
      </c>
      <c r="H1547">
        <v>496.91</v>
      </c>
    </row>
    <row r="1548" spans="1:8" x14ac:dyDescent="0.35">
      <c r="A1548" t="s">
        <v>9</v>
      </c>
      <c r="B1548" t="s">
        <v>1762</v>
      </c>
      <c r="C1548" t="s">
        <v>11</v>
      </c>
      <c r="D1548" t="s">
        <v>1759</v>
      </c>
      <c r="E1548" t="s">
        <v>13</v>
      </c>
      <c r="F1548">
        <v>584.16999999999996</v>
      </c>
      <c r="G1548">
        <v>67.38</v>
      </c>
      <c r="H1548">
        <v>651.54999999999995</v>
      </c>
    </row>
    <row r="1549" spans="1:8" x14ac:dyDescent="0.35">
      <c r="A1549" t="s">
        <v>9</v>
      </c>
      <c r="B1549" t="s">
        <v>1763</v>
      </c>
      <c r="C1549" t="s">
        <v>11</v>
      </c>
      <c r="D1549" t="s">
        <v>1759</v>
      </c>
      <c r="E1549" t="s">
        <v>13</v>
      </c>
      <c r="F1549">
        <v>348.77</v>
      </c>
      <c r="G1549">
        <v>25.17</v>
      </c>
      <c r="H1549">
        <v>373.94</v>
      </c>
    </row>
    <row r="1550" spans="1:8" x14ac:dyDescent="0.35">
      <c r="A1550" t="s">
        <v>9</v>
      </c>
      <c r="B1550" t="s">
        <v>1764</v>
      </c>
      <c r="C1550" t="s">
        <v>11</v>
      </c>
      <c r="D1550" t="s">
        <v>1765</v>
      </c>
      <c r="E1550" t="s">
        <v>13</v>
      </c>
      <c r="F1550">
        <v>239.76</v>
      </c>
      <c r="G1550">
        <v>28.17</v>
      </c>
      <c r="H1550">
        <v>267.93</v>
      </c>
    </row>
    <row r="1551" spans="1:8" x14ac:dyDescent="0.35">
      <c r="A1551" t="s">
        <v>9</v>
      </c>
      <c r="B1551" t="s">
        <v>1766</v>
      </c>
      <c r="C1551" t="s">
        <v>11</v>
      </c>
      <c r="D1551" t="s">
        <v>1765</v>
      </c>
      <c r="E1551" t="s">
        <v>13</v>
      </c>
      <c r="F1551">
        <v>139.11000000000001</v>
      </c>
      <c r="G1551">
        <v>17.87</v>
      </c>
      <c r="H1551">
        <v>156.97999999999999</v>
      </c>
    </row>
    <row r="1552" spans="1:8" x14ac:dyDescent="0.35">
      <c r="A1552" t="s">
        <v>9</v>
      </c>
      <c r="B1552" t="s">
        <v>1767</v>
      </c>
      <c r="C1552" t="s">
        <v>11</v>
      </c>
      <c r="D1552" t="s">
        <v>1765</v>
      </c>
      <c r="E1552" t="s">
        <v>13</v>
      </c>
      <c r="F1552">
        <v>546.86</v>
      </c>
      <c r="G1552">
        <v>82.03</v>
      </c>
      <c r="H1552">
        <v>628.89</v>
      </c>
    </row>
    <row r="1553" spans="1:8" x14ac:dyDescent="0.35">
      <c r="A1553" t="s">
        <v>9</v>
      </c>
      <c r="B1553" t="s">
        <v>1768</v>
      </c>
      <c r="C1553" t="s">
        <v>11</v>
      </c>
      <c r="D1553" t="s">
        <v>1765</v>
      </c>
      <c r="E1553" t="s">
        <v>13</v>
      </c>
      <c r="F1553">
        <v>620.75</v>
      </c>
      <c r="G1553">
        <v>90.11</v>
      </c>
      <c r="H1553">
        <v>710.86</v>
      </c>
    </row>
    <row r="1554" spans="1:8" x14ac:dyDescent="0.35">
      <c r="A1554" t="s">
        <v>9</v>
      </c>
      <c r="B1554" t="s">
        <v>1769</v>
      </c>
      <c r="C1554" t="s">
        <v>11</v>
      </c>
      <c r="D1554" t="s">
        <v>1765</v>
      </c>
      <c r="E1554" t="s">
        <v>13</v>
      </c>
      <c r="F1554">
        <v>657.04</v>
      </c>
      <c r="G1554">
        <v>71.86</v>
      </c>
      <c r="H1554">
        <v>728.9</v>
      </c>
    </row>
    <row r="1555" spans="1:8" x14ac:dyDescent="0.35">
      <c r="A1555" t="s">
        <v>9</v>
      </c>
      <c r="B1555" t="s">
        <v>1770</v>
      </c>
      <c r="C1555" t="s">
        <v>11</v>
      </c>
      <c r="D1555" t="s">
        <v>1765</v>
      </c>
      <c r="E1555" t="s">
        <v>13</v>
      </c>
      <c r="F1555">
        <v>797.84</v>
      </c>
      <c r="G1555">
        <v>65.989999999999995</v>
      </c>
      <c r="H1555">
        <v>863.83</v>
      </c>
    </row>
    <row r="1556" spans="1:8" x14ac:dyDescent="0.35">
      <c r="A1556" t="s">
        <v>9</v>
      </c>
      <c r="B1556" t="s">
        <v>1771</v>
      </c>
      <c r="C1556" t="s">
        <v>11</v>
      </c>
      <c r="D1556" t="s">
        <v>1765</v>
      </c>
      <c r="E1556" t="s">
        <v>13</v>
      </c>
      <c r="F1556">
        <v>249.77</v>
      </c>
      <c r="G1556">
        <v>13.17</v>
      </c>
      <c r="H1556">
        <v>262.94</v>
      </c>
    </row>
    <row r="1557" spans="1:8" x14ac:dyDescent="0.35">
      <c r="A1557" t="s">
        <v>9</v>
      </c>
      <c r="B1557" t="s">
        <v>1772</v>
      </c>
      <c r="C1557" t="s">
        <v>11</v>
      </c>
      <c r="D1557" t="s">
        <v>1765</v>
      </c>
      <c r="E1557" t="s">
        <v>13</v>
      </c>
      <c r="F1557">
        <v>651.36</v>
      </c>
      <c r="G1557">
        <v>49.42</v>
      </c>
      <c r="H1557">
        <v>700.78</v>
      </c>
    </row>
    <row r="1558" spans="1:8" x14ac:dyDescent="0.35">
      <c r="A1558" t="s">
        <v>9</v>
      </c>
      <c r="B1558" t="s">
        <v>1773</v>
      </c>
      <c r="C1558" t="s">
        <v>11</v>
      </c>
      <c r="D1558" t="s">
        <v>1774</v>
      </c>
      <c r="E1558" t="s">
        <v>13</v>
      </c>
      <c r="F1558">
        <v>663.77</v>
      </c>
      <c r="G1558">
        <v>81.42</v>
      </c>
      <c r="H1558">
        <v>745.19</v>
      </c>
    </row>
    <row r="1559" spans="1:8" x14ac:dyDescent="0.35">
      <c r="A1559" t="s">
        <v>9</v>
      </c>
      <c r="B1559" t="s">
        <v>1775</v>
      </c>
      <c r="C1559" t="s">
        <v>11</v>
      </c>
      <c r="D1559" t="s">
        <v>1774</v>
      </c>
      <c r="E1559" t="s">
        <v>13</v>
      </c>
      <c r="F1559">
        <v>354.09</v>
      </c>
      <c r="G1559">
        <v>37.82</v>
      </c>
      <c r="H1559">
        <v>391.91</v>
      </c>
    </row>
    <row r="1560" spans="1:8" x14ac:dyDescent="0.35">
      <c r="A1560" t="s">
        <v>9</v>
      </c>
      <c r="B1560" t="s">
        <v>1776</v>
      </c>
      <c r="C1560" t="s">
        <v>11</v>
      </c>
      <c r="D1560" t="s">
        <v>1774</v>
      </c>
      <c r="E1560" t="s">
        <v>13</v>
      </c>
      <c r="F1560">
        <v>337.39</v>
      </c>
      <c r="G1560">
        <v>7.16</v>
      </c>
      <c r="H1560">
        <v>344.55</v>
      </c>
    </row>
    <row r="1561" spans="1:8" x14ac:dyDescent="0.35">
      <c r="A1561" t="s">
        <v>9</v>
      </c>
      <c r="B1561" t="s">
        <v>1777</v>
      </c>
      <c r="C1561" t="s">
        <v>11</v>
      </c>
      <c r="D1561" t="s">
        <v>1774</v>
      </c>
      <c r="E1561" t="s">
        <v>13</v>
      </c>
      <c r="F1561">
        <v>535.66999999999996</v>
      </c>
      <c r="G1561">
        <v>69.11</v>
      </c>
      <c r="H1561">
        <v>604.78</v>
      </c>
    </row>
    <row r="1562" spans="1:8" x14ac:dyDescent="0.35">
      <c r="A1562" t="s">
        <v>9</v>
      </c>
      <c r="B1562" t="s">
        <v>1778</v>
      </c>
      <c r="C1562" t="s">
        <v>11</v>
      </c>
      <c r="D1562" t="s">
        <v>1774</v>
      </c>
      <c r="E1562" t="s">
        <v>13</v>
      </c>
      <c r="F1562">
        <v>360.79</v>
      </c>
      <c r="G1562">
        <v>41.07</v>
      </c>
      <c r="H1562">
        <v>401.86</v>
      </c>
    </row>
    <row r="1563" spans="1:8" x14ac:dyDescent="0.35">
      <c r="A1563" t="s">
        <v>9</v>
      </c>
      <c r="B1563" t="s">
        <v>1779</v>
      </c>
      <c r="C1563" t="s">
        <v>11</v>
      </c>
      <c r="D1563" t="s">
        <v>1774</v>
      </c>
      <c r="E1563" t="s">
        <v>13</v>
      </c>
      <c r="F1563">
        <v>164.5</v>
      </c>
      <c r="G1563">
        <v>23.17</v>
      </c>
      <c r="H1563">
        <v>187.67</v>
      </c>
    </row>
    <row r="1564" spans="1:8" x14ac:dyDescent="0.35">
      <c r="A1564" t="s">
        <v>9</v>
      </c>
      <c r="B1564" t="s">
        <v>1780</v>
      </c>
      <c r="C1564" t="s">
        <v>11</v>
      </c>
      <c r="D1564" t="s">
        <v>1774</v>
      </c>
      <c r="E1564" t="s">
        <v>13</v>
      </c>
      <c r="F1564">
        <v>807.34</v>
      </c>
      <c r="G1564">
        <v>68.599999999999994</v>
      </c>
      <c r="H1564">
        <v>875.94</v>
      </c>
    </row>
    <row r="1565" spans="1:8" x14ac:dyDescent="0.35">
      <c r="A1565" t="s">
        <v>9</v>
      </c>
      <c r="B1565" t="s">
        <v>1781</v>
      </c>
      <c r="C1565" t="s">
        <v>11</v>
      </c>
      <c r="D1565" t="s">
        <v>1774</v>
      </c>
      <c r="E1565" t="s">
        <v>13</v>
      </c>
      <c r="F1565">
        <v>574.17999999999995</v>
      </c>
      <c r="G1565">
        <v>84.63</v>
      </c>
      <c r="H1565">
        <v>658.81</v>
      </c>
    </row>
    <row r="1566" spans="1:8" x14ac:dyDescent="0.35">
      <c r="A1566" t="s">
        <v>9</v>
      </c>
      <c r="B1566" t="s">
        <v>1782</v>
      </c>
      <c r="C1566" t="s">
        <v>11</v>
      </c>
      <c r="D1566" t="s">
        <v>1783</v>
      </c>
      <c r="E1566" t="s">
        <v>13</v>
      </c>
      <c r="F1566">
        <v>305.17</v>
      </c>
      <c r="G1566">
        <v>45.78</v>
      </c>
      <c r="H1566">
        <v>350.95</v>
      </c>
    </row>
    <row r="1567" spans="1:8" x14ac:dyDescent="0.35">
      <c r="A1567" t="s">
        <v>9</v>
      </c>
      <c r="B1567" t="s">
        <v>1784</v>
      </c>
      <c r="C1567" t="s">
        <v>11</v>
      </c>
      <c r="D1567" t="s">
        <v>1783</v>
      </c>
      <c r="E1567" t="s">
        <v>13</v>
      </c>
      <c r="F1567">
        <v>131.35</v>
      </c>
      <c r="G1567">
        <v>14.6</v>
      </c>
      <c r="H1567">
        <v>145.94999999999999</v>
      </c>
    </row>
    <row r="1568" spans="1:8" x14ac:dyDescent="0.35">
      <c r="A1568" t="s">
        <v>9</v>
      </c>
      <c r="B1568" t="s">
        <v>1785</v>
      </c>
      <c r="C1568" t="s">
        <v>11</v>
      </c>
      <c r="D1568" t="s">
        <v>1783</v>
      </c>
      <c r="E1568" t="s">
        <v>13</v>
      </c>
      <c r="F1568">
        <v>1145.79</v>
      </c>
      <c r="G1568">
        <v>144.41999999999999</v>
      </c>
      <c r="H1568">
        <v>1290.21</v>
      </c>
    </row>
    <row r="1569" spans="1:8" x14ac:dyDescent="0.35">
      <c r="A1569" t="s">
        <v>9</v>
      </c>
      <c r="B1569" t="s">
        <v>1786</v>
      </c>
      <c r="C1569" t="s">
        <v>11</v>
      </c>
      <c r="D1569" t="s">
        <v>1783</v>
      </c>
      <c r="E1569" t="s">
        <v>13</v>
      </c>
      <c r="F1569">
        <v>88.67</v>
      </c>
      <c r="G1569">
        <v>11.8</v>
      </c>
      <c r="H1569">
        <v>100.47</v>
      </c>
    </row>
    <row r="1570" spans="1:8" x14ac:dyDescent="0.35">
      <c r="A1570" t="s">
        <v>9</v>
      </c>
      <c r="B1570" t="s">
        <v>1787</v>
      </c>
      <c r="C1570" t="s">
        <v>11</v>
      </c>
      <c r="D1570" t="s">
        <v>1783</v>
      </c>
      <c r="E1570" t="s">
        <v>13</v>
      </c>
      <c r="F1570">
        <v>143.16</v>
      </c>
      <c r="G1570">
        <v>12.78</v>
      </c>
      <c r="H1570">
        <v>155.94</v>
      </c>
    </row>
    <row r="1571" spans="1:8" x14ac:dyDescent="0.35">
      <c r="A1571" t="s">
        <v>9</v>
      </c>
      <c r="B1571" t="s">
        <v>1788</v>
      </c>
      <c r="C1571" t="s">
        <v>11</v>
      </c>
      <c r="D1571" t="s">
        <v>1783</v>
      </c>
      <c r="E1571" t="s">
        <v>13</v>
      </c>
      <c r="F1571">
        <v>401.7</v>
      </c>
      <c r="G1571">
        <v>58.75</v>
      </c>
      <c r="H1571">
        <v>460.45</v>
      </c>
    </row>
    <row r="1572" spans="1:8" x14ac:dyDescent="0.35">
      <c r="A1572" t="s">
        <v>9</v>
      </c>
      <c r="B1572" t="s">
        <v>1789</v>
      </c>
      <c r="C1572" t="s">
        <v>11</v>
      </c>
      <c r="D1572" t="s">
        <v>1783</v>
      </c>
      <c r="E1572" t="s">
        <v>13</v>
      </c>
      <c r="F1572">
        <v>655.89</v>
      </c>
      <c r="G1572">
        <v>86.99</v>
      </c>
      <c r="H1572">
        <v>742.88</v>
      </c>
    </row>
    <row r="1573" spans="1:8" x14ac:dyDescent="0.35">
      <c r="A1573" t="s">
        <v>9</v>
      </c>
      <c r="B1573" t="s">
        <v>1790</v>
      </c>
      <c r="C1573" t="s">
        <v>11</v>
      </c>
      <c r="D1573" t="s">
        <v>1783</v>
      </c>
      <c r="E1573" t="s">
        <v>13</v>
      </c>
      <c r="F1573">
        <v>343.01</v>
      </c>
      <c r="G1573">
        <v>31.95</v>
      </c>
      <c r="H1573">
        <v>374.96</v>
      </c>
    </row>
    <row r="1574" spans="1:8" x14ac:dyDescent="0.35">
      <c r="A1574" t="s">
        <v>9</v>
      </c>
      <c r="B1574" t="s">
        <v>1791</v>
      </c>
      <c r="C1574" t="s">
        <v>11</v>
      </c>
      <c r="D1574" t="s">
        <v>1783</v>
      </c>
      <c r="E1574" t="s">
        <v>13</v>
      </c>
      <c r="F1574">
        <v>503.4</v>
      </c>
      <c r="G1574">
        <v>75.510000000000005</v>
      </c>
      <c r="H1574">
        <v>578.91</v>
      </c>
    </row>
    <row r="1575" spans="1:8" x14ac:dyDescent="0.35">
      <c r="A1575" t="s">
        <v>9</v>
      </c>
      <c r="B1575" t="s">
        <v>1792</v>
      </c>
      <c r="C1575" t="s">
        <v>11</v>
      </c>
      <c r="D1575" t="s">
        <v>1783</v>
      </c>
      <c r="E1575" t="s">
        <v>13</v>
      </c>
      <c r="F1575">
        <v>332.07</v>
      </c>
      <c r="G1575">
        <v>26.86</v>
      </c>
      <c r="H1575">
        <v>358.93</v>
      </c>
    </row>
    <row r="1576" spans="1:8" x14ac:dyDescent="0.35">
      <c r="A1576" t="s">
        <v>9</v>
      </c>
      <c r="B1576" t="s">
        <v>1793</v>
      </c>
      <c r="C1576" t="s">
        <v>11</v>
      </c>
      <c r="D1576" t="s">
        <v>1783</v>
      </c>
      <c r="E1576" t="s">
        <v>13</v>
      </c>
      <c r="F1576">
        <v>1171.48</v>
      </c>
      <c r="G1576">
        <v>140.33000000000001</v>
      </c>
      <c r="H1576">
        <v>1311.81</v>
      </c>
    </row>
    <row r="1577" spans="1:8" x14ac:dyDescent="0.35">
      <c r="A1577" t="s">
        <v>9</v>
      </c>
      <c r="B1577" t="s">
        <v>1794</v>
      </c>
      <c r="C1577" t="s">
        <v>11</v>
      </c>
      <c r="D1577" t="s">
        <v>1795</v>
      </c>
      <c r="E1577" t="s">
        <v>13</v>
      </c>
      <c r="F1577">
        <v>638.82000000000005</v>
      </c>
      <c r="G1577">
        <v>53.08</v>
      </c>
      <c r="H1577">
        <v>691.9</v>
      </c>
    </row>
    <row r="1578" spans="1:8" x14ac:dyDescent="0.35">
      <c r="A1578" t="s">
        <v>9</v>
      </c>
      <c r="B1578" t="s">
        <v>1796</v>
      </c>
      <c r="C1578" t="s">
        <v>11</v>
      </c>
      <c r="D1578" t="s">
        <v>1795</v>
      </c>
      <c r="E1578" t="s">
        <v>13</v>
      </c>
      <c r="F1578">
        <v>339.47</v>
      </c>
      <c r="G1578">
        <v>49.42</v>
      </c>
      <c r="H1578">
        <v>388.89</v>
      </c>
    </row>
    <row r="1579" spans="1:8" x14ac:dyDescent="0.35">
      <c r="A1579" t="s">
        <v>9</v>
      </c>
      <c r="B1579" t="s">
        <v>1797</v>
      </c>
      <c r="C1579" t="s">
        <v>11</v>
      </c>
      <c r="D1579" t="s">
        <v>1795</v>
      </c>
      <c r="E1579" t="s">
        <v>13</v>
      </c>
      <c r="F1579">
        <v>282.97000000000003</v>
      </c>
      <c r="G1579">
        <v>26.85</v>
      </c>
      <c r="H1579">
        <v>309.82</v>
      </c>
    </row>
    <row r="1580" spans="1:8" x14ac:dyDescent="0.35">
      <c r="A1580" t="s">
        <v>9</v>
      </c>
      <c r="B1580" t="s">
        <v>1798</v>
      </c>
      <c r="C1580" t="s">
        <v>11</v>
      </c>
      <c r="D1580" t="s">
        <v>1795</v>
      </c>
      <c r="E1580" t="s">
        <v>13</v>
      </c>
      <c r="F1580">
        <v>256.89999999999998</v>
      </c>
      <c r="G1580">
        <v>37.04</v>
      </c>
      <c r="H1580">
        <v>293.94</v>
      </c>
    </row>
    <row r="1581" spans="1:8" x14ac:dyDescent="0.35">
      <c r="A1581" t="s">
        <v>9</v>
      </c>
      <c r="B1581" t="s">
        <v>1799</v>
      </c>
      <c r="C1581" t="s">
        <v>11</v>
      </c>
      <c r="D1581" t="s">
        <v>1795</v>
      </c>
      <c r="E1581" t="s">
        <v>13</v>
      </c>
      <c r="F1581">
        <v>157.16999999999999</v>
      </c>
      <c r="G1581">
        <v>9.7799999999999994</v>
      </c>
      <c r="H1581">
        <v>166.95</v>
      </c>
    </row>
    <row r="1582" spans="1:8" x14ac:dyDescent="0.35">
      <c r="A1582" t="s">
        <v>9</v>
      </c>
      <c r="B1582" t="s">
        <v>1800</v>
      </c>
      <c r="C1582" t="s">
        <v>11</v>
      </c>
      <c r="D1582" t="s">
        <v>1795</v>
      </c>
      <c r="E1582" t="s">
        <v>13</v>
      </c>
      <c r="F1582">
        <v>222.57</v>
      </c>
      <c r="G1582">
        <v>30.38</v>
      </c>
      <c r="H1582">
        <v>252.95</v>
      </c>
    </row>
    <row r="1583" spans="1:8" x14ac:dyDescent="0.35">
      <c r="A1583" t="s">
        <v>9</v>
      </c>
      <c r="B1583" t="s">
        <v>1801</v>
      </c>
      <c r="C1583" t="s">
        <v>11</v>
      </c>
      <c r="D1583" t="s">
        <v>1795</v>
      </c>
      <c r="E1583" t="s">
        <v>13</v>
      </c>
      <c r="F1583">
        <v>211.44</v>
      </c>
      <c r="G1583">
        <v>21.52</v>
      </c>
      <c r="H1583">
        <v>232.96</v>
      </c>
    </row>
    <row r="1584" spans="1:8" x14ac:dyDescent="0.35">
      <c r="A1584" t="s">
        <v>9</v>
      </c>
      <c r="B1584" t="s">
        <v>1802</v>
      </c>
      <c r="C1584" t="s">
        <v>11</v>
      </c>
      <c r="D1584" t="s">
        <v>1795</v>
      </c>
      <c r="E1584" t="s">
        <v>13</v>
      </c>
      <c r="F1584">
        <v>291.52</v>
      </c>
      <c r="G1584">
        <v>38.33</v>
      </c>
      <c r="H1584">
        <v>329.85</v>
      </c>
    </row>
    <row r="1585" spans="1:8" x14ac:dyDescent="0.35">
      <c r="A1585" t="s">
        <v>9</v>
      </c>
      <c r="B1585" t="s">
        <v>1803</v>
      </c>
      <c r="C1585" t="s">
        <v>11</v>
      </c>
      <c r="D1585" t="s">
        <v>1804</v>
      </c>
      <c r="E1585" t="s">
        <v>13</v>
      </c>
      <c r="F1585">
        <v>403.12</v>
      </c>
      <c r="G1585">
        <v>58.97</v>
      </c>
      <c r="H1585">
        <v>462.09</v>
      </c>
    </row>
    <row r="1586" spans="1:8" x14ac:dyDescent="0.35">
      <c r="A1586" t="s">
        <v>9</v>
      </c>
      <c r="B1586" t="s">
        <v>1805</v>
      </c>
      <c r="C1586" t="s">
        <v>11</v>
      </c>
      <c r="D1586" t="s">
        <v>1804</v>
      </c>
      <c r="E1586" t="s">
        <v>13</v>
      </c>
      <c r="F1586">
        <v>265.63</v>
      </c>
      <c r="G1586">
        <v>39.840000000000003</v>
      </c>
      <c r="H1586">
        <v>305.47000000000003</v>
      </c>
    </row>
    <row r="1587" spans="1:8" x14ac:dyDescent="0.35">
      <c r="A1587" t="s">
        <v>9</v>
      </c>
      <c r="B1587" t="s">
        <v>1806</v>
      </c>
      <c r="C1587" t="s">
        <v>11</v>
      </c>
      <c r="D1587" t="s">
        <v>1804</v>
      </c>
      <c r="E1587" t="s">
        <v>13</v>
      </c>
      <c r="F1587">
        <v>146.22</v>
      </c>
      <c r="G1587">
        <v>14.74</v>
      </c>
      <c r="H1587">
        <v>160.96</v>
      </c>
    </row>
    <row r="1588" spans="1:8" x14ac:dyDescent="0.35">
      <c r="A1588" t="s">
        <v>9</v>
      </c>
      <c r="B1588" t="s">
        <v>1807</v>
      </c>
      <c r="C1588" t="s">
        <v>11</v>
      </c>
      <c r="D1588" t="s">
        <v>1804</v>
      </c>
      <c r="E1588" t="s">
        <v>13</v>
      </c>
      <c r="F1588">
        <v>515.97</v>
      </c>
      <c r="G1588">
        <v>75.900000000000006</v>
      </c>
      <c r="H1588">
        <v>591.87</v>
      </c>
    </row>
    <row r="1589" spans="1:8" x14ac:dyDescent="0.35">
      <c r="A1589" t="s">
        <v>9</v>
      </c>
      <c r="B1589" t="s">
        <v>1808</v>
      </c>
      <c r="C1589" t="s">
        <v>11</v>
      </c>
      <c r="D1589" t="s">
        <v>1804</v>
      </c>
      <c r="E1589" t="s">
        <v>13</v>
      </c>
      <c r="F1589">
        <v>176.92</v>
      </c>
      <c r="G1589">
        <v>25.04</v>
      </c>
      <c r="H1589">
        <v>201.96</v>
      </c>
    </row>
    <row r="1590" spans="1:8" x14ac:dyDescent="0.35">
      <c r="A1590" t="s">
        <v>9</v>
      </c>
      <c r="B1590" t="s">
        <v>1809</v>
      </c>
      <c r="C1590" t="s">
        <v>11</v>
      </c>
      <c r="D1590" t="s">
        <v>1804</v>
      </c>
      <c r="E1590" t="s">
        <v>13</v>
      </c>
      <c r="F1590">
        <v>450.38</v>
      </c>
      <c r="G1590">
        <v>61.56</v>
      </c>
      <c r="H1590">
        <v>511.94</v>
      </c>
    </row>
    <row r="1591" spans="1:8" x14ac:dyDescent="0.35">
      <c r="A1591" t="s">
        <v>9</v>
      </c>
      <c r="B1591" t="s">
        <v>1810</v>
      </c>
      <c r="C1591" t="s">
        <v>11</v>
      </c>
      <c r="D1591" t="s">
        <v>1811</v>
      </c>
      <c r="E1591" t="s">
        <v>13</v>
      </c>
      <c r="F1591">
        <v>380.77</v>
      </c>
      <c r="G1591">
        <v>35.08</v>
      </c>
      <c r="H1591">
        <v>415.85</v>
      </c>
    </row>
    <row r="1592" spans="1:8" x14ac:dyDescent="0.35">
      <c r="A1592" t="s">
        <v>9</v>
      </c>
      <c r="B1592" t="s">
        <v>1812</v>
      </c>
      <c r="C1592" t="s">
        <v>11</v>
      </c>
      <c r="D1592" t="s">
        <v>1811</v>
      </c>
      <c r="E1592" t="s">
        <v>13</v>
      </c>
      <c r="F1592">
        <v>1047.6199999999999</v>
      </c>
      <c r="G1592">
        <v>118.15</v>
      </c>
      <c r="H1592">
        <v>1165.77</v>
      </c>
    </row>
    <row r="1593" spans="1:8" x14ac:dyDescent="0.35">
      <c r="A1593" t="s">
        <v>9</v>
      </c>
      <c r="B1593" t="s">
        <v>1813</v>
      </c>
      <c r="C1593" t="s">
        <v>11</v>
      </c>
      <c r="D1593" t="s">
        <v>1811</v>
      </c>
      <c r="E1593" t="s">
        <v>13</v>
      </c>
      <c r="F1593">
        <v>234.09</v>
      </c>
      <c r="G1593">
        <v>26.87</v>
      </c>
      <c r="H1593">
        <v>260.95999999999998</v>
      </c>
    </row>
    <row r="1594" spans="1:8" x14ac:dyDescent="0.35">
      <c r="A1594" t="s">
        <v>9</v>
      </c>
      <c r="B1594" t="s">
        <v>1814</v>
      </c>
      <c r="C1594" t="s">
        <v>11</v>
      </c>
      <c r="D1594" t="s">
        <v>1811</v>
      </c>
      <c r="E1594" t="s">
        <v>13</v>
      </c>
      <c r="F1594">
        <v>1129.8499999999999</v>
      </c>
      <c r="G1594">
        <v>141.88</v>
      </c>
      <c r="H1594">
        <v>1271.73</v>
      </c>
    </row>
    <row r="1595" spans="1:8" x14ac:dyDescent="0.35">
      <c r="A1595" t="s">
        <v>9</v>
      </c>
      <c r="B1595" t="s">
        <v>1815</v>
      </c>
      <c r="C1595" t="s">
        <v>11</v>
      </c>
      <c r="D1595" t="s">
        <v>1811</v>
      </c>
      <c r="E1595" t="s">
        <v>13</v>
      </c>
      <c r="F1595">
        <v>77.3</v>
      </c>
      <c r="G1595">
        <v>11.59</v>
      </c>
      <c r="H1595">
        <v>88.89</v>
      </c>
    </row>
    <row r="1596" spans="1:8" x14ac:dyDescent="0.35">
      <c r="A1596" t="s">
        <v>9</v>
      </c>
      <c r="B1596" t="s">
        <v>1816</v>
      </c>
      <c r="C1596" t="s">
        <v>11</v>
      </c>
      <c r="D1596" t="s">
        <v>1811</v>
      </c>
      <c r="E1596" t="s">
        <v>13</v>
      </c>
      <c r="F1596">
        <v>483.5</v>
      </c>
      <c r="G1596">
        <v>61.43</v>
      </c>
      <c r="H1596">
        <v>544.92999999999995</v>
      </c>
    </row>
    <row r="1597" spans="1:8" x14ac:dyDescent="0.35">
      <c r="A1597" t="s">
        <v>9</v>
      </c>
      <c r="B1597" t="s">
        <v>1817</v>
      </c>
      <c r="C1597" t="s">
        <v>11</v>
      </c>
      <c r="D1597" t="s">
        <v>1811</v>
      </c>
      <c r="E1597" t="s">
        <v>13</v>
      </c>
      <c r="F1597">
        <v>149.54</v>
      </c>
      <c r="G1597">
        <v>22.43</v>
      </c>
      <c r="H1597">
        <v>171.97</v>
      </c>
    </row>
    <row r="1598" spans="1:8" x14ac:dyDescent="0.35">
      <c r="A1598" t="s">
        <v>9</v>
      </c>
      <c r="B1598" t="s">
        <v>1818</v>
      </c>
      <c r="C1598" t="s">
        <v>11</v>
      </c>
      <c r="D1598" t="s">
        <v>1811</v>
      </c>
      <c r="E1598" t="s">
        <v>13</v>
      </c>
      <c r="F1598">
        <v>142.15</v>
      </c>
      <c r="G1598">
        <v>19.82</v>
      </c>
      <c r="H1598">
        <v>161.97</v>
      </c>
    </row>
    <row r="1599" spans="1:8" x14ac:dyDescent="0.35">
      <c r="A1599" t="s">
        <v>9</v>
      </c>
      <c r="B1599" t="s">
        <v>1819</v>
      </c>
      <c r="C1599" t="s">
        <v>11</v>
      </c>
      <c r="D1599" t="s">
        <v>1811</v>
      </c>
      <c r="E1599" t="s">
        <v>13</v>
      </c>
      <c r="F1599">
        <v>274.77</v>
      </c>
      <c r="G1599">
        <v>19.170000000000002</v>
      </c>
      <c r="H1599">
        <v>293.94</v>
      </c>
    </row>
    <row r="1600" spans="1:8" x14ac:dyDescent="0.35">
      <c r="A1600" t="s">
        <v>9</v>
      </c>
      <c r="B1600" t="s">
        <v>1820</v>
      </c>
      <c r="C1600" t="s">
        <v>11</v>
      </c>
      <c r="D1600" t="s">
        <v>1811</v>
      </c>
      <c r="E1600" t="s">
        <v>13</v>
      </c>
      <c r="F1600">
        <v>323.23</v>
      </c>
      <c r="G1600">
        <v>28.69</v>
      </c>
      <c r="H1600">
        <v>351.92</v>
      </c>
    </row>
    <row r="1601" spans="1:8" x14ac:dyDescent="0.35">
      <c r="A1601" t="s">
        <v>9</v>
      </c>
      <c r="B1601" t="s">
        <v>1821</v>
      </c>
      <c r="C1601" t="s">
        <v>11</v>
      </c>
      <c r="D1601" t="s">
        <v>1811</v>
      </c>
      <c r="E1601" t="s">
        <v>13</v>
      </c>
      <c r="F1601">
        <v>425.33</v>
      </c>
      <c r="G1601">
        <v>32.6</v>
      </c>
      <c r="H1601">
        <v>457.93</v>
      </c>
    </row>
    <row r="1602" spans="1:8" x14ac:dyDescent="0.35">
      <c r="A1602" t="s">
        <v>9</v>
      </c>
      <c r="B1602" t="s">
        <v>1822</v>
      </c>
      <c r="C1602" t="s">
        <v>11</v>
      </c>
      <c r="D1602" t="s">
        <v>1811</v>
      </c>
      <c r="E1602" t="s">
        <v>13</v>
      </c>
      <c r="F1602">
        <v>147.26</v>
      </c>
      <c r="G1602">
        <v>13.69</v>
      </c>
      <c r="H1602">
        <v>160.94999999999999</v>
      </c>
    </row>
    <row r="1603" spans="1:8" x14ac:dyDescent="0.35">
      <c r="A1603" t="s">
        <v>9</v>
      </c>
      <c r="B1603" t="s">
        <v>1823</v>
      </c>
      <c r="C1603" t="s">
        <v>11</v>
      </c>
      <c r="D1603" t="s">
        <v>1811</v>
      </c>
      <c r="E1603" t="s">
        <v>13</v>
      </c>
      <c r="F1603">
        <v>703.03</v>
      </c>
      <c r="G1603">
        <v>61.81</v>
      </c>
      <c r="H1603">
        <v>764.84</v>
      </c>
    </row>
    <row r="1604" spans="1:8" x14ac:dyDescent="0.35">
      <c r="A1604" t="s">
        <v>9</v>
      </c>
      <c r="B1604" t="s">
        <v>1824</v>
      </c>
      <c r="C1604" t="s">
        <v>11</v>
      </c>
      <c r="D1604" t="s">
        <v>1811</v>
      </c>
      <c r="E1604" t="s">
        <v>13</v>
      </c>
      <c r="F1604">
        <v>347.63</v>
      </c>
      <c r="G1604">
        <v>30.25</v>
      </c>
      <c r="H1604">
        <v>377.88</v>
      </c>
    </row>
    <row r="1605" spans="1:8" x14ac:dyDescent="0.35">
      <c r="A1605" t="s">
        <v>9</v>
      </c>
      <c r="B1605" t="s">
        <v>1825</v>
      </c>
      <c r="C1605" t="s">
        <v>11</v>
      </c>
      <c r="D1605" t="s">
        <v>1811</v>
      </c>
      <c r="E1605" t="s">
        <v>13</v>
      </c>
      <c r="F1605">
        <v>143.47</v>
      </c>
      <c r="G1605">
        <v>21.52</v>
      </c>
      <c r="H1605">
        <v>164.99</v>
      </c>
    </row>
    <row r="1606" spans="1:8" x14ac:dyDescent="0.35">
      <c r="A1606" t="s">
        <v>9</v>
      </c>
      <c r="B1606" t="s">
        <v>1826</v>
      </c>
      <c r="C1606" t="s">
        <v>11</v>
      </c>
      <c r="D1606" t="s">
        <v>1811</v>
      </c>
      <c r="E1606" t="s">
        <v>13</v>
      </c>
      <c r="F1606">
        <v>380.77</v>
      </c>
      <c r="G1606">
        <v>35.08</v>
      </c>
      <c r="H1606">
        <v>415.85</v>
      </c>
    </row>
    <row r="1607" spans="1:8" x14ac:dyDescent="0.35">
      <c r="A1607" t="s">
        <v>9</v>
      </c>
      <c r="B1607" t="s">
        <v>1827</v>
      </c>
      <c r="C1607" t="s">
        <v>11</v>
      </c>
      <c r="D1607" t="s">
        <v>1811</v>
      </c>
      <c r="E1607" t="s">
        <v>13</v>
      </c>
      <c r="F1607">
        <v>1047.6199999999999</v>
      </c>
      <c r="G1607">
        <v>118.15</v>
      </c>
      <c r="H1607">
        <v>1165.77</v>
      </c>
    </row>
    <row r="1608" spans="1:8" x14ac:dyDescent="0.35">
      <c r="A1608" t="s">
        <v>9</v>
      </c>
      <c r="B1608" t="s">
        <v>1828</v>
      </c>
      <c r="C1608" t="s">
        <v>11</v>
      </c>
      <c r="D1608" t="s">
        <v>1811</v>
      </c>
      <c r="E1608" t="s">
        <v>13</v>
      </c>
      <c r="F1608">
        <v>234.09</v>
      </c>
      <c r="G1608">
        <v>26.87</v>
      </c>
      <c r="H1608">
        <v>260.95999999999998</v>
      </c>
    </row>
    <row r="1609" spans="1:8" x14ac:dyDescent="0.35">
      <c r="A1609" t="s">
        <v>9</v>
      </c>
      <c r="B1609" t="s">
        <v>1829</v>
      </c>
      <c r="C1609" t="s">
        <v>11</v>
      </c>
      <c r="D1609" t="s">
        <v>1811</v>
      </c>
      <c r="E1609" t="s">
        <v>13</v>
      </c>
      <c r="F1609">
        <v>1129.8499999999999</v>
      </c>
      <c r="G1609">
        <v>141.88</v>
      </c>
      <c r="H1609">
        <v>1271.73</v>
      </c>
    </row>
    <row r="1610" spans="1:8" x14ac:dyDescent="0.35">
      <c r="A1610" t="s">
        <v>9</v>
      </c>
      <c r="B1610" t="s">
        <v>1830</v>
      </c>
      <c r="C1610" t="s">
        <v>11</v>
      </c>
      <c r="D1610" t="s">
        <v>1811</v>
      </c>
      <c r="E1610" t="s">
        <v>13</v>
      </c>
      <c r="F1610">
        <v>77.3</v>
      </c>
      <c r="G1610">
        <v>11.59</v>
      </c>
      <c r="H1610">
        <v>88.89</v>
      </c>
    </row>
    <row r="1611" spans="1:8" x14ac:dyDescent="0.35">
      <c r="A1611" t="s">
        <v>9</v>
      </c>
      <c r="B1611" t="s">
        <v>1831</v>
      </c>
      <c r="C1611" t="s">
        <v>11</v>
      </c>
      <c r="D1611" t="s">
        <v>1811</v>
      </c>
      <c r="E1611" t="s">
        <v>13</v>
      </c>
      <c r="F1611">
        <v>483.5</v>
      </c>
      <c r="G1611">
        <v>61.43</v>
      </c>
      <c r="H1611">
        <v>544.92999999999995</v>
      </c>
    </row>
    <row r="1612" spans="1:8" x14ac:dyDescent="0.35">
      <c r="A1612" t="s">
        <v>9</v>
      </c>
      <c r="B1612" t="s">
        <v>1832</v>
      </c>
      <c r="C1612" t="s">
        <v>11</v>
      </c>
      <c r="D1612" t="s">
        <v>1811</v>
      </c>
      <c r="E1612" t="s">
        <v>13</v>
      </c>
      <c r="F1612">
        <v>149.54</v>
      </c>
      <c r="G1612">
        <v>22.43</v>
      </c>
      <c r="H1612">
        <v>171.97</v>
      </c>
    </row>
    <row r="1613" spans="1:8" x14ac:dyDescent="0.35">
      <c r="A1613" t="s">
        <v>9</v>
      </c>
      <c r="B1613" t="s">
        <v>1833</v>
      </c>
      <c r="C1613" t="s">
        <v>11</v>
      </c>
      <c r="D1613" t="s">
        <v>1811</v>
      </c>
      <c r="E1613" t="s">
        <v>13</v>
      </c>
      <c r="F1613">
        <v>142.15</v>
      </c>
      <c r="G1613">
        <v>19.82</v>
      </c>
      <c r="H1613">
        <v>161.97</v>
      </c>
    </row>
    <row r="1614" spans="1:8" x14ac:dyDescent="0.35">
      <c r="A1614" t="s">
        <v>9</v>
      </c>
      <c r="B1614" t="s">
        <v>1834</v>
      </c>
      <c r="C1614" t="s">
        <v>11</v>
      </c>
      <c r="D1614" t="s">
        <v>1811</v>
      </c>
      <c r="E1614" t="s">
        <v>13</v>
      </c>
      <c r="F1614">
        <v>274.77</v>
      </c>
      <c r="G1614">
        <v>19.170000000000002</v>
      </c>
      <c r="H1614">
        <v>293.94</v>
      </c>
    </row>
    <row r="1615" spans="1:8" x14ac:dyDescent="0.35">
      <c r="A1615" t="s">
        <v>9</v>
      </c>
      <c r="B1615" t="s">
        <v>1835</v>
      </c>
      <c r="C1615" t="s">
        <v>11</v>
      </c>
      <c r="D1615" t="s">
        <v>1811</v>
      </c>
      <c r="E1615" t="s">
        <v>13</v>
      </c>
      <c r="F1615">
        <v>323.23</v>
      </c>
      <c r="G1615">
        <v>28.69</v>
      </c>
      <c r="H1615">
        <v>351.92</v>
      </c>
    </row>
    <row r="1616" spans="1:8" x14ac:dyDescent="0.35">
      <c r="A1616" t="s">
        <v>9</v>
      </c>
      <c r="B1616" t="s">
        <v>1836</v>
      </c>
      <c r="C1616" t="s">
        <v>11</v>
      </c>
      <c r="D1616" t="s">
        <v>1811</v>
      </c>
      <c r="E1616" t="s">
        <v>13</v>
      </c>
      <c r="F1616">
        <v>425.33</v>
      </c>
      <c r="G1616">
        <v>32.6</v>
      </c>
      <c r="H1616">
        <v>457.93</v>
      </c>
    </row>
    <row r="1617" spans="1:8" x14ac:dyDescent="0.35">
      <c r="A1617" t="s">
        <v>9</v>
      </c>
      <c r="B1617" t="s">
        <v>1837</v>
      </c>
      <c r="C1617" t="s">
        <v>11</v>
      </c>
      <c r="D1617" t="s">
        <v>1811</v>
      </c>
      <c r="E1617" t="s">
        <v>13</v>
      </c>
      <c r="F1617">
        <v>147.26</v>
      </c>
      <c r="G1617">
        <v>13.69</v>
      </c>
      <c r="H1617">
        <v>160.94999999999999</v>
      </c>
    </row>
    <row r="1618" spans="1:8" x14ac:dyDescent="0.35">
      <c r="A1618" t="s">
        <v>9</v>
      </c>
      <c r="B1618" t="s">
        <v>1838</v>
      </c>
      <c r="C1618" t="s">
        <v>11</v>
      </c>
      <c r="D1618" t="s">
        <v>1811</v>
      </c>
      <c r="E1618" t="s">
        <v>13</v>
      </c>
      <c r="F1618">
        <v>703.03</v>
      </c>
      <c r="G1618">
        <v>61.81</v>
      </c>
      <c r="H1618">
        <v>764.84</v>
      </c>
    </row>
    <row r="1619" spans="1:8" x14ac:dyDescent="0.35">
      <c r="A1619" t="s">
        <v>9</v>
      </c>
      <c r="B1619" t="s">
        <v>1839</v>
      </c>
      <c r="C1619" t="s">
        <v>11</v>
      </c>
      <c r="D1619" t="s">
        <v>1811</v>
      </c>
      <c r="E1619" t="s">
        <v>13</v>
      </c>
      <c r="F1619">
        <v>347.63</v>
      </c>
      <c r="G1619">
        <v>30.25</v>
      </c>
      <c r="H1619">
        <v>377.88</v>
      </c>
    </row>
    <row r="1620" spans="1:8" x14ac:dyDescent="0.35">
      <c r="A1620" t="s">
        <v>9</v>
      </c>
      <c r="B1620" t="s">
        <v>1840</v>
      </c>
      <c r="C1620" t="s">
        <v>11</v>
      </c>
      <c r="D1620" t="s">
        <v>1811</v>
      </c>
      <c r="E1620" t="s">
        <v>13</v>
      </c>
      <c r="F1620">
        <v>143.47</v>
      </c>
      <c r="G1620">
        <v>21.52</v>
      </c>
      <c r="H1620">
        <v>164.99</v>
      </c>
    </row>
    <row r="1621" spans="1:8" x14ac:dyDescent="0.35">
      <c r="A1621" t="s">
        <v>9</v>
      </c>
      <c r="B1621" t="s">
        <v>1841</v>
      </c>
      <c r="C1621" t="s">
        <v>11</v>
      </c>
      <c r="D1621" t="s">
        <v>1811</v>
      </c>
      <c r="E1621" t="s">
        <v>13</v>
      </c>
      <c r="F1621">
        <v>278.07</v>
      </c>
      <c r="G1621">
        <v>17.420000000000002</v>
      </c>
      <c r="H1621">
        <v>295.49</v>
      </c>
    </row>
    <row r="1622" spans="1:8" x14ac:dyDescent="0.35">
      <c r="A1622" t="s">
        <v>9</v>
      </c>
      <c r="B1622" t="s">
        <v>1842</v>
      </c>
      <c r="C1622" t="s">
        <v>11</v>
      </c>
      <c r="D1622" t="s">
        <v>1811</v>
      </c>
      <c r="E1622" t="s">
        <v>13</v>
      </c>
      <c r="F1622">
        <v>380.77</v>
      </c>
      <c r="G1622">
        <v>35.08</v>
      </c>
      <c r="H1622">
        <v>415.85</v>
      </c>
    </row>
    <row r="1623" spans="1:8" x14ac:dyDescent="0.35">
      <c r="A1623" t="s">
        <v>9</v>
      </c>
      <c r="B1623" t="s">
        <v>1843</v>
      </c>
      <c r="C1623" t="s">
        <v>11</v>
      </c>
      <c r="D1623" t="s">
        <v>1811</v>
      </c>
      <c r="E1623" t="s">
        <v>13</v>
      </c>
      <c r="F1623">
        <v>1047.6199999999999</v>
      </c>
      <c r="G1623">
        <v>118.15</v>
      </c>
      <c r="H1623">
        <v>1165.77</v>
      </c>
    </row>
    <row r="1624" spans="1:8" x14ac:dyDescent="0.35">
      <c r="A1624" t="s">
        <v>9</v>
      </c>
      <c r="B1624" t="s">
        <v>1844</v>
      </c>
      <c r="C1624" t="s">
        <v>11</v>
      </c>
      <c r="D1624" t="s">
        <v>1811</v>
      </c>
      <c r="E1624" t="s">
        <v>13</v>
      </c>
      <c r="F1624">
        <v>234.09</v>
      </c>
      <c r="G1624">
        <v>26.87</v>
      </c>
      <c r="H1624">
        <v>260.95999999999998</v>
      </c>
    </row>
    <row r="1625" spans="1:8" x14ac:dyDescent="0.35">
      <c r="A1625" t="s">
        <v>9</v>
      </c>
      <c r="B1625" t="s">
        <v>1845</v>
      </c>
      <c r="C1625" t="s">
        <v>11</v>
      </c>
      <c r="D1625" t="s">
        <v>1811</v>
      </c>
      <c r="E1625" t="s">
        <v>13</v>
      </c>
      <c r="F1625">
        <v>1129.8499999999999</v>
      </c>
      <c r="G1625">
        <v>141.88</v>
      </c>
      <c r="H1625">
        <v>1271.73</v>
      </c>
    </row>
    <row r="1626" spans="1:8" x14ac:dyDescent="0.35">
      <c r="A1626" t="s">
        <v>9</v>
      </c>
      <c r="B1626" t="s">
        <v>1846</v>
      </c>
      <c r="C1626" t="s">
        <v>11</v>
      </c>
      <c r="D1626" t="s">
        <v>1811</v>
      </c>
      <c r="E1626" t="s">
        <v>13</v>
      </c>
      <c r="F1626">
        <v>77.3</v>
      </c>
      <c r="G1626">
        <v>11.59</v>
      </c>
      <c r="H1626">
        <v>88.89</v>
      </c>
    </row>
    <row r="1627" spans="1:8" x14ac:dyDescent="0.35">
      <c r="A1627" t="s">
        <v>9</v>
      </c>
      <c r="B1627" t="s">
        <v>1847</v>
      </c>
      <c r="C1627" t="s">
        <v>11</v>
      </c>
      <c r="D1627" t="s">
        <v>1811</v>
      </c>
      <c r="E1627" t="s">
        <v>13</v>
      </c>
      <c r="F1627">
        <v>483.5</v>
      </c>
      <c r="G1627">
        <v>61.43</v>
      </c>
      <c r="H1627">
        <v>544.92999999999995</v>
      </c>
    </row>
    <row r="1628" spans="1:8" x14ac:dyDescent="0.35">
      <c r="A1628" t="s">
        <v>9</v>
      </c>
      <c r="B1628" t="s">
        <v>1848</v>
      </c>
      <c r="C1628" t="s">
        <v>11</v>
      </c>
      <c r="D1628" t="s">
        <v>1811</v>
      </c>
      <c r="E1628" t="s">
        <v>13</v>
      </c>
      <c r="F1628">
        <v>149.54</v>
      </c>
      <c r="G1628">
        <v>22.43</v>
      </c>
      <c r="H1628">
        <v>171.97</v>
      </c>
    </row>
    <row r="1629" spans="1:8" x14ac:dyDescent="0.35">
      <c r="A1629" t="s">
        <v>9</v>
      </c>
      <c r="B1629" t="s">
        <v>1849</v>
      </c>
      <c r="C1629" t="s">
        <v>11</v>
      </c>
      <c r="D1629" t="s">
        <v>1811</v>
      </c>
      <c r="E1629" t="s">
        <v>13</v>
      </c>
      <c r="F1629">
        <v>142.15</v>
      </c>
      <c r="G1629">
        <v>19.82</v>
      </c>
      <c r="H1629">
        <v>161.97</v>
      </c>
    </row>
    <row r="1630" spans="1:8" x14ac:dyDescent="0.35">
      <c r="A1630" t="s">
        <v>9</v>
      </c>
      <c r="B1630" t="s">
        <v>1850</v>
      </c>
      <c r="C1630" t="s">
        <v>11</v>
      </c>
      <c r="D1630" t="s">
        <v>1811</v>
      </c>
      <c r="E1630" t="s">
        <v>13</v>
      </c>
      <c r="F1630">
        <v>274.77</v>
      </c>
      <c r="G1630">
        <v>19.170000000000002</v>
      </c>
      <c r="H1630">
        <v>293.94</v>
      </c>
    </row>
    <row r="1631" spans="1:8" x14ac:dyDescent="0.35">
      <c r="A1631" t="s">
        <v>9</v>
      </c>
      <c r="B1631" t="s">
        <v>1851</v>
      </c>
      <c r="C1631" t="s">
        <v>11</v>
      </c>
      <c r="D1631" t="s">
        <v>1811</v>
      </c>
      <c r="E1631" t="s">
        <v>13</v>
      </c>
      <c r="F1631">
        <v>323.23</v>
      </c>
      <c r="G1631">
        <v>28.69</v>
      </c>
      <c r="H1631">
        <v>351.92</v>
      </c>
    </row>
    <row r="1632" spans="1:8" x14ac:dyDescent="0.35">
      <c r="A1632" t="s">
        <v>9</v>
      </c>
      <c r="B1632" t="s">
        <v>1852</v>
      </c>
      <c r="C1632" t="s">
        <v>11</v>
      </c>
      <c r="D1632" t="s">
        <v>1811</v>
      </c>
      <c r="E1632" t="s">
        <v>13</v>
      </c>
      <c r="F1632">
        <v>425.33</v>
      </c>
      <c r="G1632">
        <v>32.6</v>
      </c>
      <c r="H1632">
        <v>457.93</v>
      </c>
    </row>
    <row r="1633" spans="1:8" x14ac:dyDescent="0.35">
      <c r="A1633" t="s">
        <v>9</v>
      </c>
      <c r="B1633" t="s">
        <v>1853</v>
      </c>
      <c r="C1633" t="s">
        <v>11</v>
      </c>
      <c r="D1633" t="s">
        <v>1811</v>
      </c>
      <c r="E1633" t="s">
        <v>13</v>
      </c>
      <c r="F1633">
        <v>147.26</v>
      </c>
      <c r="G1633">
        <v>13.69</v>
      </c>
      <c r="H1633">
        <v>160.94999999999999</v>
      </c>
    </row>
    <row r="1634" spans="1:8" x14ac:dyDescent="0.35">
      <c r="A1634" t="s">
        <v>9</v>
      </c>
      <c r="B1634" t="s">
        <v>1854</v>
      </c>
      <c r="C1634" t="s">
        <v>11</v>
      </c>
      <c r="D1634" t="s">
        <v>1811</v>
      </c>
      <c r="E1634" t="s">
        <v>13</v>
      </c>
      <c r="F1634">
        <v>703.03</v>
      </c>
      <c r="G1634">
        <v>61.81</v>
      </c>
      <c r="H1634">
        <v>764.84</v>
      </c>
    </row>
    <row r="1635" spans="1:8" x14ac:dyDescent="0.35">
      <c r="A1635" t="s">
        <v>9</v>
      </c>
      <c r="B1635" t="s">
        <v>1855</v>
      </c>
      <c r="C1635" t="s">
        <v>11</v>
      </c>
      <c r="D1635" t="s">
        <v>1811</v>
      </c>
      <c r="E1635" t="s">
        <v>13</v>
      </c>
      <c r="F1635">
        <v>347.63</v>
      </c>
      <c r="G1635">
        <v>30.25</v>
      </c>
      <c r="H1635">
        <v>377.88</v>
      </c>
    </row>
    <row r="1636" spans="1:8" x14ac:dyDescent="0.35">
      <c r="A1636" t="s">
        <v>9</v>
      </c>
      <c r="B1636" t="s">
        <v>1856</v>
      </c>
      <c r="C1636" t="s">
        <v>11</v>
      </c>
      <c r="D1636" t="s">
        <v>1811</v>
      </c>
      <c r="E1636" t="s">
        <v>13</v>
      </c>
      <c r="F1636">
        <v>143.47</v>
      </c>
      <c r="G1636">
        <v>21.52</v>
      </c>
      <c r="H1636">
        <v>164.99</v>
      </c>
    </row>
    <row r="1637" spans="1:8" x14ac:dyDescent="0.35">
      <c r="A1637" t="s">
        <v>9</v>
      </c>
      <c r="B1637" t="s">
        <v>1857</v>
      </c>
      <c r="C1637" t="s">
        <v>11</v>
      </c>
      <c r="D1637" t="s">
        <v>1811</v>
      </c>
      <c r="E1637" t="s">
        <v>13</v>
      </c>
      <c r="F1637">
        <v>380.77</v>
      </c>
      <c r="G1637">
        <v>35.08</v>
      </c>
      <c r="H1637">
        <v>415.85</v>
      </c>
    </row>
    <row r="1638" spans="1:8" x14ac:dyDescent="0.35">
      <c r="A1638" t="s">
        <v>9</v>
      </c>
      <c r="B1638" t="s">
        <v>1858</v>
      </c>
      <c r="C1638" t="s">
        <v>11</v>
      </c>
      <c r="D1638" t="s">
        <v>1811</v>
      </c>
      <c r="E1638" t="s">
        <v>13</v>
      </c>
      <c r="F1638">
        <v>1047.6199999999999</v>
      </c>
      <c r="G1638">
        <v>118.15</v>
      </c>
      <c r="H1638">
        <v>1165.77</v>
      </c>
    </row>
    <row r="1639" spans="1:8" x14ac:dyDescent="0.35">
      <c r="A1639" t="s">
        <v>9</v>
      </c>
      <c r="B1639" t="s">
        <v>1859</v>
      </c>
      <c r="C1639" t="s">
        <v>11</v>
      </c>
      <c r="D1639" t="s">
        <v>1811</v>
      </c>
      <c r="E1639" t="s">
        <v>13</v>
      </c>
      <c r="F1639">
        <v>234.09</v>
      </c>
      <c r="G1639">
        <v>26.87</v>
      </c>
      <c r="H1639">
        <v>260.95999999999998</v>
      </c>
    </row>
    <row r="1640" spans="1:8" x14ac:dyDescent="0.35">
      <c r="A1640" t="s">
        <v>9</v>
      </c>
      <c r="B1640" t="s">
        <v>1860</v>
      </c>
      <c r="C1640" t="s">
        <v>11</v>
      </c>
      <c r="D1640" t="s">
        <v>1811</v>
      </c>
      <c r="E1640" t="s">
        <v>13</v>
      </c>
      <c r="F1640">
        <v>1129.8499999999999</v>
      </c>
      <c r="G1640">
        <v>141.88</v>
      </c>
      <c r="H1640">
        <v>1271.73</v>
      </c>
    </row>
    <row r="1641" spans="1:8" x14ac:dyDescent="0.35">
      <c r="A1641" t="s">
        <v>9</v>
      </c>
      <c r="B1641" t="s">
        <v>1861</v>
      </c>
      <c r="C1641" t="s">
        <v>11</v>
      </c>
      <c r="D1641" t="s">
        <v>1811</v>
      </c>
      <c r="E1641" t="s">
        <v>13</v>
      </c>
      <c r="F1641">
        <v>77.3</v>
      </c>
      <c r="G1641">
        <v>11.59</v>
      </c>
      <c r="H1641">
        <v>88.89</v>
      </c>
    </row>
    <row r="1642" spans="1:8" x14ac:dyDescent="0.35">
      <c r="A1642" t="s">
        <v>9</v>
      </c>
      <c r="B1642" t="s">
        <v>1862</v>
      </c>
      <c r="C1642" t="s">
        <v>11</v>
      </c>
      <c r="D1642" t="s">
        <v>1811</v>
      </c>
      <c r="E1642" t="s">
        <v>13</v>
      </c>
      <c r="F1642">
        <v>483.5</v>
      </c>
      <c r="G1642">
        <v>61.43</v>
      </c>
      <c r="H1642">
        <v>544.92999999999995</v>
      </c>
    </row>
    <row r="1643" spans="1:8" x14ac:dyDescent="0.35">
      <c r="A1643" t="s">
        <v>9</v>
      </c>
      <c r="B1643" t="s">
        <v>1863</v>
      </c>
      <c r="C1643" t="s">
        <v>11</v>
      </c>
      <c r="D1643" t="s">
        <v>1864</v>
      </c>
      <c r="E1643" t="s">
        <v>13</v>
      </c>
      <c r="F1643">
        <v>380.77</v>
      </c>
      <c r="G1643">
        <v>35.08</v>
      </c>
      <c r="H1643">
        <v>415.85</v>
      </c>
    </row>
    <row r="1644" spans="1:8" x14ac:dyDescent="0.35">
      <c r="A1644" t="s">
        <v>9</v>
      </c>
      <c r="B1644" t="s">
        <v>1865</v>
      </c>
      <c r="C1644" t="s">
        <v>11</v>
      </c>
      <c r="D1644" t="s">
        <v>1864</v>
      </c>
      <c r="E1644" t="s">
        <v>13</v>
      </c>
      <c r="F1644">
        <v>1047.6199999999999</v>
      </c>
      <c r="G1644">
        <v>118.15</v>
      </c>
      <c r="H1644">
        <v>1165.77</v>
      </c>
    </row>
    <row r="1645" spans="1:8" x14ac:dyDescent="0.35">
      <c r="A1645" t="s">
        <v>9</v>
      </c>
      <c r="B1645" t="s">
        <v>1866</v>
      </c>
      <c r="C1645" t="s">
        <v>11</v>
      </c>
      <c r="D1645" t="s">
        <v>1864</v>
      </c>
      <c r="E1645" t="s">
        <v>13</v>
      </c>
      <c r="F1645">
        <v>234.09</v>
      </c>
      <c r="G1645">
        <v>26.87</v>
      </c>
      <c r="H1645">
        <v>260.95999999999998</v>
      </c>
    </row>
    <row r="1646" spans="1:8" x14ac:dyDescent="0.35">
      <c r="A1646" t="s">
        <v>9</v>
      </c>
      <c r="B1646" t="s">
        <v>1867</v>
      </c>
      <c r="C1646" t="s">
        <v>11</v>
      </c>
      <c r="D1646" t="s">
        <v>1864</v>
      </c>
      <c r="E1646" t="s">
        <v>13</v>
      </c>
      <c r="F1646">
        <v>1129.8499999999999</v>
      </c>
      <c r="G1646">
        <v>141.88</v>
      </c>
      <c r="H1646">
        <v>1271.73</v>
      </c>
    </row>
    <row r="1647" spans="1:8" x14ac:dyDescent="0.35">
      <c r="A1647" t="s">
        <v>9</v>
      </c>
      <c r="B1647" t="s">
        <v>1868</v>
      </c>
      <c r="C1647" t="s">
        <v>11</v>
      </c>
      <c r="D1647" t="s">
        <v>1864</v>
      </c>
      <c r="E1647" t="s">
        <v>13</v>
      </c>
      <c r="F1647">
        <v>77.3</v>
      </c>
      <c r="G1647">
        <v>11.59</v>
      </c>
      <c r="H1647">
        <v>88.89</v>
      </c>
    </row>
    <row r="1648" spans="1:8" x14ac:dyDescent="0.35">
      <c r="A1648" t="s">
        <v>9</v>
      </c>
      <c r="B1648" t="s">
        <v>1869</v>
      </c>
      <c r="C1648" t="s">
        <v>11</v>
      </c>
      <c r="D1648" t="s">
        <v>1864</v>
      </c>
      <c r="E1648" t="s">
        <v>13</v>
      </c>
      <c r="F1648">
        <v>483.5</v>
      </c>
      <c r="G1648">
        <v>61.43</v>
      </c>
      <c r="H1648">
        <v>544.92999999999995</v>
      </c>
    </row>
    <row r="1649" spans="1:8" x14ac:dyDescent="0.35">
      <c r="A1649" t="s">
        <v>9</v>
      </c>
      <c r="B1649" t="s">
        <v>1870</v>
      </c>
      <c r="C1649" t="s">
        <v>11</v>
      </c>
      <c r="D1649" t="s">
        <v>1864</v>
      </c>
      <c r="E1649" t="s">
        <v>13</v>
      </c>
      <c r="F1649">
        <v>149.54</v>
      </c>
      <c r="G1649">
        <v>22.43</v>
      </c>
      <c r="H1649">
        <v>171.97</v>
      </c>
    </row>
    <row r="1650" spans="1:8" x14ac:dyDescent="0.35">
      <c r="A1650" t="s">
        <v>9</v>
      </c>
      <c r="B1650" t="s">
        <v>1871</v>
      </c>
      <c r="C1650" t="s">
        <v>11</v>
      </c>
      <c r="D1650" t="s">
        <v>1864</v>
      </c>
      <c r="E1650" t="s">
        <v>13</v>
      </c>
      <c r="F1650">
        <v>142.15</v>
      </c>
      <c r="G1650">
        <v>19.82</v>
      </c>
      <c r="H1650">
        <v>161.97</v>
      </c>
    </row>
    <row r="1651" spans="1:8" x14ac:dyDescent="0.35">
      <c r="A1651" t="s">
        <v>9</v>
      </c>
      <c r="B1651" t="s">
        <v>1872</v>
      </c>
      <c r="C1651" t="s">
        <v>11</v>
      </c>
      <c r="D1651" t="s">
        <v>1864</v>
      </c>
      <c r="E1651" t="s">
        <v>13</v>
      </c>
      <c r="F1651">
        <v>274.77</v>
      </c>
      <c r="G1651">
        <v>19.170000000000002</v>
      </c>
      <c r="H1651">
        <v>293.94</v>
      </c>
    </row>
    <row r="1652" spans="1:8" x14ac:dyDescent="0.35">
      <c r="A1652" t="s">
        <v>9</v>
      </c>
      <c r="B1652" t="s">
        <v>1873</v>
      </c>
      <c r="C1652" t="s">
        <v>11</v>
      </c>
      <c r="D1652" t="s">
        <v>1864</v>
      </c>
      <c r="E1652" t="s">
        <v>13</v>
      </c>
      <c r="F1652">
        <v>323.23</v>
      </c>
      <c r="G1652">
        <v>28.69</v>
      </c>
      <c r="H1652">
        <v>351.92</v>
      </c>
    </row>
    <row r="1653" spans="1:8" x14ac:dyDescent="0.35">
      <c r="A1653" t="s">
        <v>9</v>
      </c>
      <c r="B1653" t="s">
        <v>1874</v>
      </c>
      <c r="C1653" t="s">
        <v>11</v>
      </c>
      <c r="D1653" t="s">
        <v>1864</v>
      </c>
      <c r="E1653" t="s">
        <v>13</v>
      </c>
      <c r="F1653">
        <v>425.33</v>
      </c>
      <c r="G1653">
        <v>32.6</v>
      </c>
      <c r="H1653">
        <v>457.93</v>
      </c>
    </row>
    <row r="1654" spans="1:8" x14ac:dyDescent="0.35">
      <c r="A1654" t="s">
        <v>9</v>
      </c>
      <c r="B1654" t="s">
        <v>1875</v>
      </c>
      <c r="C1654" t="s">
        <v>11</v>
      </c>
      <c r="D1654" t="s">
        <v>1864</v>
      </c>
      <c r="E1654" t="s">
        <v>13</v>
      </c>
      <c r="F1654">
        <v>147.26</v>
      </c>
      <c r="G1654">
        <v>13.69</v>
      </c>
      <c r="H1654">
        <v>160.94999999999999</v>
      </c>
    </row>
    <row r="1655" spans="1:8" x14ac:dyDescent="0.35">
      <c r="A1655" t="s">
        <v>9</v>
      </c>
      <c r="B1655" t="s">
        <v>1876</v>
      </c>
      <c r="C1655" t="s">
        <v>11</v>
      </c>
      <c r="D1655" t="s">
        <v>1864</v>
      </c>
      <c r="E1655" t="s">
        <v>13</v>
      </c>
      <c r="F1655">
        <v>703.03</v>
      </c>
      <c r="G1655">
        <v>61.81</v>
      </c>
      <c r="H1655">
        <v>764.84</v>
      </c>
    </row>
    <row r="1656" spans="1:8" x14ac:dyDescent="0.35">
      <c r="A1656" t="s">
        <v>9</v>
      </c>
      <c r="B1656" t="s">
        <v>1877</v>
      </c>
      <c r="C1656" t="s">
        <v>11</v>
      </c>
      <c r="D1656" t="s">
        <v>1864</v>
      </c>
      <c r="E1656" t="s">
        <v>13</v>
      </c>
      <c r="F1656">
        <v>347.63</v>
      </c>
      <c r="G1656">
        <v>30.25</v>
      </c>
      <c r="H1656">
        <v>377.88</v>
      </c>
    </row>
    <row r="1657" spans="1:8" x14ac:dyDescent="0.35">
      <c r="A1657" t="s">
        <v>9</v>
      </c>
      <c r="B1657" t="s">
        <v>1878</v>
      </c>
      <c r="C1657" t="s">
        <v>11</v>
      </c>
      <c r="D1657" t="s">
        <v>1864</v>
      </c>
      <c r="E1657" t="s">
        <v>13</v>
      </c>
      <c r="F1657">
        <v>143.47</v>
      </c>
      <c r="G1657">
        <v>21.52</v>
      </c>
      <c r="H1657">
        <v>164.99</v>
      </c>
    </row>
    <row r="1658" spans="1:8" x14ac:dyDescent="0.35">
      <c r="A1658" t="s">
        <v>9</v>
      </c>
      <c r="B1658" t="s">
        <v>1879</v>
      </c>
      <c r="C1658" t="s">
        <v>11</v>
      </c>
      <c r="D1658" t="s">
        <v>1864</v>
      </c>
      <c r="E1658" t="s">
        <v>13</v>
      </c>
      <c r="F1658">
        <v>278.07</v>
      </c>
      <c r="G1658">
        <v>17.420000000000002</v>
      </c>
      <c r="H1658">
        <v>295.49</v>
      </c>
    </row>
    <row r="1659" spans="1:8" x14ac:dyDescent="0.35">
      <c r="A1659" t="s">
        <v>9</v>
      </c>
      <c r="B1659" t="s">
        <v>1880</v>
      </c>
      <c r="C1659" t="s">
        <v>11</v>
      </c>
      <c r="D1659" t="s">
        <v>1864</v>
      </c>
      <c r="E1659" t="s">
        <v>13</v>
      </c>
      <c r="F1659">
        <v>1772.4</v>
      </c>
      <c r="G1659">
        <v>189.08</v>
      </c>
      <c r="H1659">
        <v>1961.48</v>
      </c>
    </row>
    <row r="1660" spans="1:8" x14ac:dyDescent="0.35">
      <c r="A1660" t="s">
        <v>9</v>
      </c>
      <c r="B1660" t="s">
        <v>1881</v>
      </c>
      <c r="C1660" t="s">
        <v>11</v>
      </c>
      <c r="D1660" t="s">
        <v>1864</v>
      </c>
      <c r="E1660" t="s">
        <v>13</v>
      </c>
      <c r="F1660">
        <v>156.5</v>
      </c>
      <c r="G1660">
        <v>14.48</v>
      </c>
      <c r="H1660">
        <v>170.98</v>
      </c>
    </row>
    <row r="1661" spans="1:8" x14ac:dyDescent="0.35">
      <c r="A1661" t="s">
        <v>9</v>
      </c>
      <c r="B1661" t="s">
        <v>1882</v>
      </c>
      <c r="C1661" t="s">
        <v>11</v>
      </c>
      <c r="D1661" t="s">
        <v>1864</v>
      </c>
      <c r="E1661" t="s">
        <v>13</v>
      </c>
      <c r="F1661">
        <v>250.61</v>
      </c>
      <c r="G1661">
        <v>29.34</v>
      </c>
      <c r="H1661">
        <v>279.95</v>
      </c>
    </row>
    <row r="1662" spans="1:8" x14ac:dyDescent="0.35">
      <c r="A1662" t="s">
        <v>9</v>
      </c>
      <c r="B1662" t="s">
        <v>1883</v>
      </c>
      <c r="C1662" t="s">
        <v>11</v>
      </c>
      <c r="D1662" t="s">
        <v>1864</v>
      </c>
      <c r="E1662" t="s">
        <v>13</v>
      </c>
      <c r="F1662">
        <v>243.41</v>
      </c>
      <c r="G1662">
        <v>24.52</v>
      </c>
      <c r="H1662">
        <v>267.93</v>
      </c>
    </row>
    <row r="1663" spans="1:8" x14ac:dyDescent="0.35">
      <c r="A1663" t="s">
        <v>9</v>
      </c>
      <c r="B1663" t="s">
        <v>1884</v>
      </c>
      <c r="C1663" t="s">
        <v>11</v>
      </c>
      <c r="D1663" t="s">
        <v>1864</v>
      </c>
      <c r="E1663" t="s">
        <v>13</v>
      </c>
      <c r="F1663">
        <v>248.82</v>
      </c>
      <c r="G1663">
        <v>29.07</v>
      </c>
      <c r="H1663">
        <v>277.89</v>
      </c>
    </row>
    <row r="1664" spans="1:8" x14ac:dyDescent="0.35">
      <c r="A1664" t="s">
        <v>9</v>
      </c>
      <c r="B1664" t="s">
        <v>1885</v>
      </c>
      <c r="C1664" t="s">
        <v>11</v>
      </c>
      <c r="D1664" t="s">
        <v>1864</v>
      </c>
      <c r="E1664" t="s">
        <v>13</v>
      </c>
      <c r="F1664">
        <v>254.75</v>
      </c>
      <c r="G1664">
        <v>38.21</v>
      </c>
      <c r="H1664">
        <v>292.95999999999998</v>
      </c>
    </row>
    <row r="1665" spans="1:8" x14ac:dyDescent="0.35">
      <c r="A1665" t="s">
        <v>9</v>
      </c>
      <c r="B1665" t="s">
        <v>1886</v>
      </c>
      <c r="C1665" t="s">
        <v>11</v>
      </c>
      <c r="D1665" t="s">
        <v>1864</v>
      </c>
      <c r="E1665" t="s">
        <v>13</v>
      </c>
      <c r="F1665">
        <v>299.66000000000003</v>
      </c>
      <c r="G1665">
        <v>21.26</v>
      </c>
      <c r="H1665">
        <v>320.92</v>
      </c>
    </row>
    <row r="1666" spans="1:8" x14ac:dyDescent="0.35">
      <c r="A1666" t="s">
        <v>9</v>
      </c>
      <c r="B1666" t="s">
        <v>1887</v>
      </c>
      <c r="C1666" t="s">
        <v>11</v>
      </c>
      <c r="D1666" t="s">
        <v>1888</v>
      </c>
      <c r="E1666" t="s">
        <v>13</v>
      </c>
      <c r="F1666">
        <v>1202.03</v>
      </c>
      <c r="G1666">
        <v>154.36000000000001</v>
      </c>
      <c r="H1666">
        <v>1356.39</v>
      </c>
    </row>
    <row r="1667" spans="1:8" x14ac:dyDescent="0.35">
      <c r="A1667" t="s">
        <v>9</v>
      </c>
      <c r="B1667" t="s">
        <v>1889</v>
      </c>
      <c r="C1667" t="s">
        <v>11</v>
      </c>
      <c r="D1667" t="s">
        <v>1888</v>
      </c>
      <c r="E1667" t="s">
        <v>13</v>
      </c>
      <c r="F1667">
        <v>305.22000000000003</v>
      </c>
      <c r="G1667">
        <v>40.69</v>
      </c>
      <c r="H1667">
        <v>345.91</v>
      </c>
    </row>
    <row r="1668" spans="1:8" x14ac:dyDescent="0.35">
      <c r="A1668" t="s">
        <v>9</v>
      </c>
      <c r="B1668" t="s">
        <v>1890</v>
      </c>
      <c r="C1668" t="s">
        <v>11</v>
      </c>
      <c r="D1668" t="s">
        <v>1888</v>
      </c>
      <c r="E1668" t="s">
        <v>13</v>
      </c>
      <c r="F1668">
        <v>297.57</v>
      </c>
      <c r="G1668">
        <v>35.340000000000003</v>
      </c>
      <c r="H1668">
        <v>332.91</v>
      </c>
    </row>
    <row r="1669" spans="1:8" x14ac:dyDescent="0.35">
      <c r="A1669" t="s">
        <v>9</v>
      </c>
      <c r="B1669" t="s">
        <v>1891</v>
      </c>
      <c r="C1669" t="s">
        <v>11</v>
      </c>
      <c r="D1669" t="s">
        <v>1888</v>
      </c>
      <c r="E1669" t="s">
        <v>13</v>
      </c>
      <c r="F1669">
        <v>492.97</v>
      </c>
      <c r="G1669">
        <v>73.94</v>
      </c>
      <c r="H1669">
        <v>566.91</v>
      </c>
    </row>
    <row r="1670" spans="1:8" x14ac:dyDescent="0.35">
      <c r="A1670" t="s">
        <v>9</v>
      </c>
      <c r="B1670" t="s">
        <v>1892</v>
      </c>
      <c r="C1670" t="s">
        <v>11</v>
      </c>
      <c r="D1670" t="s">
        <v>1888</v>
      </c>
      <c r="E1670" t="s">
        <v>13</v>
      </c>
      <c r="F1670">
        <v>267.08</v>
      </c>
      <c r="G1670">
        <v>35.86</v>
      </c>
      <c r="H1670">
        <v>302.94</v>
      </c>
    </row>
    <row r="1671" spans="1:8" x14ac:dyDescent="0.35">
      <c r="A1671" t="s">
        <v>9</v>
      </c>
      <c r="B1671" t="s">
        <v>1893</v>
      </c>
      <c r="C1671" t="s">
        <v>11</v>
      </c>
      <c r="D1671" t="s">
        <v>1888</v>
      </c>
      <c r="E1671" t="s">
        <v>13</v>
      </c>
      <c r="F1671">
        <v>460.97</v>
      </c>
      <c r="G1671">
        <v>41.73</v>
      </c>
      <c r="H1671">
        <v>502.7</v>
      </c>
    </row>
    <row r="1672" spans="1:8" x14ac:dyDescent="0.35">
      <c r="A1672" t="s">
        <v>9</v>
      </c>
      <c r="B1672" t="s">
        <v>1894</v>
      </c>
      <c r="C1672" t="s">
        <v>11</v>
      </c>
      <c r="D1672" t="s">
        <v>1888</v>
      </c>
      <c r="E1672" t="s">
        <v>13</v>
      </c>
      <c r="F1672">
        <v>206.06</v>
      </c>
      <c r="G1672">
        <v>30.91</v>
      </c>
      <c r="H1672">
        <v>236.97</v>
      </c>
    </row>
    <row r="1673" spans="1:8" x14ac:dyDescent="0.35">
      <c r="A1673" t="s">
        <v>9</v>
      </c>
      <c r="B1673" t="s">
        <v>1895</v>
      </c>
      <c r="C1673" t="s">
        <v>11</v>
      </c>
      <c r="D1673" t="s">
        <v>1888</v>
      </c>
      <c r="E1673" t="s">
        <v>13</v>
      </c>
      <c r="F1673">
        <v>126.92</v>
      </c>
      <c r="G1673">
        <v>19.04</v>
      </c>
      <c r="H1673">
        <v>145.96</v>
      </c>
    </row>
    <row r="1674" spans="1:8" x14ac:dyDescent="0.35">
      <c r="A1674" t="s">
        <v>9</v>
      </c>
      <c r="B1674" t="s">
        <v>1896</v>
      </c>
      <c r="C1674" t="s">
        <v>11</v>
      </c>
      <c r="D1674" t="s">
        <v>1888</v>
      </c>
      <c r="E1674" t="s">
        <v>13</v>
      </c>
      <c r="F1674">
        <v>224.1</v>
      </c>
      <c r="G1674">
        <v>26.87</v>
      </c>
      <c r="H1674">
        <v>250.97</v>
      </c>
    </row>
    <row r="1675" spans="1:8" x14ac:dyDescent="0.35">
      <c r="A1675" t="s">
        <v>9</v>
      </c>
      <c r="B1675" t="s">
        <v>1897</v>
      </c>
      <c r="C1675" t="s">
        <v>11</v>
      </c>
      <c r="D1675" t="s">
        <v>1888</v>
      </c>
      <c r="E1675" t="s">
        <v>13</v>
      </c>
      <c r="F1675">
        <v>314.35000000000002</v>
      </c>
      <c r="G1675">
        <v>18.52</v>
      </c>
      <c r="H1675">
        <v>332.87</v>
      </c>
    </row>
    <row r="1676" spans="1:8" x14ac:dyDescent="0.35">
      <c r="A1676" t="s">
        <v>9</v>
      </c>
      <c r="B1676" t="s">
        <v>1898</v>
      </c>
      <c r="C1676" t="s">
        <v>11</v>
      </c>
      <c r="D1676" t="s">
        <v>1888</v>
      </c>
      <c r="E1676" t="s">
        <v>13</v>
      </c>
      <c r="F1676">
        <v>323.79000000000002</v>
      </c>
      <c r="G1676">
        <v>41.07</v>
      </c>
      <c r="H1676">
        <v>364.86</v>
      </c>
    </row>
    <row r="1677" spans="1:8" x14ac:dyDescent="0.35">
      <c r="A1677" t="s">
        <v>9</v>
      </c>
      <c r="B1677" t="s">
        <v>1899</v>
      </c>
      <c r="C1677" t="s">
        <v>11</v>
      </c>
      <c r="D1677" t="s">
        <v>1900</v>
      </c>
      <c r="E1677" t="s">
        <v>13</v>
      </c>
      <c r="F1677">
        <v>1086.83</v>
      </c>
      <c r="G1677">
        <v>143.38</v>
      </c>
      <c r="H1677">
        <v>1230.21</v>
      </c>
    </row>
    <row r="1678" spans="1:8" x14ac:dyDescent="0.35">
      <c r="A1678" t="s">
        <v>9</v>
      </c>
      <c r="B1678" t="s">
        <v>1901</v>
      </c>
      <c r="C1678" t="s">
        <v>11</v>
      </c>
      <c r="D1678" t="s">
        <v>1900</v>
      </c>
      <c r="E1678" t="s">
        <v>13</v>
      </c>
      <c r="F1678">
        <v>486.61</v>
      </c>
      <c r="G1678">
        <v>62.79</v>
      </c>
      <c r="H1678">
        <v>549.4</v>
      </c>
    </row>
    <row r="1679" spans="1:8" x14ac:dyDescent="0.35">
      <c r="A1679" t="s">
        <v>9</v>
      </c>
      <c r="B1679" t="s">
        <v>1902</v>
      </c>
      <c r="C1679" t="s">
        <v>11</v>
      </c>
      <c r="D1679" t="s">
        <v>1900</v>
      </c>
      <c r="E1679" t="s">
        <v>13</v>
      </c>
      <c r="F1679">
        <v>251.56</v>
      </c>
      <c r="G1679">
        <v>33.380000000000003</v>
      </c>
      <c r="H1679">
        <v>284.94</v>
      </c>
    </row>
    <row r="1680" spans="1:8" x14ac:dyDescent="0.35">
      <c r="A1680" t="s">
        <v>9</v>
      </c>
      <c r="B1680" t="s">
        <v>1903</v>
      </c>
      <c r="C1680" t="s">
        <v>11</v>
      </c>
      <c r="D1680" t="s">
        <v>1900</v>
      </c>
      <c r="E1680" t="s">
        <v>13</v>
      </c>
      <c r="F1680">
        <v>1423.26</v>
      </c>
      <c r="G1680">
        <v>177.35</v>
      </c>
      <c r="H1680">
        <v>1600.61</v>
      </c>
    </row>
    <row r="1681" spans="1:8" x14ac:dyDescent="0.35">
      <c r="A1681" t="s">
        <v>9</v>
      </c>
      <c r="B1681" t="s">
        <v>1904</v>
      </c>
      <c r="C1681" t="s">
        <v>11</v>
      </c>
      <c r="D1681" t="s">
        <v>1900</v>
      </c>
      <c r="E1681" t="s">
        <v>13</v>
      </c>
      <c r="F1681">
        <v>154.97</v>
      </c>
      <c r="G1681">
        <v>7.5</v>
      </c>
      <c r="H1681">
        <v>162.47</v>
      </c>
    </row>
    <row r="1682" spans="1:8" x14ac:dyDescent="0.35">
      <c r="A1682" t="s">
        <v>9</v>
      </c>
      <c r="B1682" t="s">
        <v>1905</v>
      </c>
      <c r="C1682" t="s">
        <v>11</v>
      </c>
      <c r="D1682" t="s">
        <v>1900</v>
      </c>
      <c r="E1682" t="s">
        <v>13</v>
      </c>
      <c r="F1682">
        <v>749.95</v>
      </c>
      <c r="G1682">
        <v>80.849999999999994</v>
      </c>
      <c r="H1682">
        <v>830.8</v>
      </c>
    </row>
    <row r="1683" spans="1:8" x14ac:dyDescent="0.35">
      <c r="A1683" t="s">
        <v>9</v>
      </c>
      <c r="B1683" t="s">
        <v>1906</v>
      </c>
      <c r="C1683" t="s">
        <v>11</v>
      </c>
      <c r="D1683" t="s">
        <v>1900</v>
      </c>
      <c r="E1683" t="s">
        <v>13</v>
      </c>
      <c r="F1683">
        <v>380.61</v>
      </c>
      <c r="G1683">
        <v>47.79</v>
      </c>
      <c r="H1683">
        <v>428.4</v>
      </c>
    </row>
    <row r="1684" spans="1:8" x14ac:dyDescent="0.35">
      <c r="A1684" t="s">
        <v>9</v>
      </c>
      <c r="B1684" t="s">
        <v>1907</v>
      </c>
      <c r="C1684" t="s">
        <v>11</v>
      </c>
      <c r="D1684" t="s">
        <v>1908</v>
      </c>
      <c r="E1684" t="s">
        <v>13</v>
      </c>
      <c r="F1684">
        <v>123.88</v>
      </c>
      <c r="G1684">
        <v>18.579999999999998</v>
      </c>
      <c r="H1684">
        <v>142.46</v>
      </c>
    </row>
    <row r="1685" spans="1:8" x14ac:dyDescent="0.35">
      <c r="A1685" t="s">
        <v>9</v>
      </c>
      <c r="B1685" t="s">
        <v>1909</v>
      </c>
      <c r="C1685" t="s">
        <v>11</v>
      </c>
      <c r="D1685" t="s">
        <v>1908</v>
      </c>
      <c r="E1685" t="s">
        <v>13</v>
      </c>
      <c r="F1685">
        <v>201.94</v>
      </c>
      <c r="G1685">
        <v>26.99</v>
      </c>
      <c r="H1685">
        <v>228.93</v>
      </c>
    </row>
    <row r="1686" spans="1:8" x14ac:dyDescent="0.35">
      <c r="A1686" t="s">
        <v>9</v>
      </c>
      <c r="B1686" t="s">
        <v>1910</v>
      </c>
      <c r="C1686" t="s">
        <v>11</v>
      </c>
      <c r="D1686" t="s">
        <v>1908</v>
      </c>
      <c r="E1686" t="s">
        <v>13</v>
      </c>
      <c r="F1686">
        <v>177.72</v>
      </c>
      <c r="G1686">
        <v>25.16</v>
      </c>
      <c r="H1686">
        <v>202.88</v>
      </c>
    </row>
    <row r="1687" spans="1:8" x14ac:dyDescent="0.35">
      <c r="A1687" t="s">
        <v>9</v>
      </c>
      <c r="B1687" t="s">
        <v>1911</v>
      </c>
      <c r="C1687" t="s">
        <v>11</v>
      </c>
      <c r="D1687" t="s">
        <v>1908</v>
      </c>
      <c r="E1687" t="s">
        <v>13</v>
      </c>
      <c r="F1687">
        <v>450.58</v>
      </c>
      <c r="G1687">
        <v>50.34</v>
      </c>
      <c r="H1687">
        <v>500.92</v>
      </c>
    </row>
    <row r="1688" spans="1:8" x14ac:dyDescent="0.35">
      <c r="A1688" t="s">
        <v>9</v>
      </c>
      <c r="B1688" t="s">
        <v>1912</v>
      </c>
      <c r="C1688" t="s">
        <v>11</v>
      </c>
      <c r="D1688" t="s">
        <v>1908</v>
      </c>
      <c r="E1688" t="s">
        <v>13</v>
      </c>
      <c r="F1688">
        <v>168.02</v>
      </c>
      <c r="G1688">
        <v>16.96</v>
      </c>
      <c r="H1688">
        <v>184.98</v>
      </c>
    </row>
    <row r="1689" spans="1:8" x14ac:dyDescent="0.35">
      <c r="A1689" t="s">
        <v>9</v>
      </c>
      <c r="B1689" t="s">
        <v>1913</v>
      </c>
      <c r="C1689" t="s">
        <v>11</v>
      </c>
      <c r="D1689" t="s">
        <v>1908</v>
      </c>
      <c r="E1689" t="s">
        <v>13</v>
      </c>
      <c r="F1689">
        <v>341.64</v>
      </c>
      <c r="G1689">
        <v>30.25</v>
      </c>
      <c r="H1689">
        <v>371.89</v>
      </c>
    </row>
    <row r="1690" spans="1:8" x14ac:dyDescent="0.35">
      <c r="A1690" t="s">
        <v>9</v>
      </c>
      <c r="B1690" t="s">
        <v>1914</v>
      </c>
      <c r="C1690" t="s">
        <v>11</v>
      </c>
      <c r="D1690" t="s">
        <v>1915</v>
      </c>
      <c r="E1690" t="s">
        <v>13</v>
      </c>
      <c r="F1690">
        <v>550.16999999999996</v>
      </c>
      <c r="G1690">
        <v>70.680000000000007</v>
      </c>
      <c r="H1690">
        <v>620.85</v>
      </c>
    </row>
    <row r="1691" spans="1:8" x14ac:dyDescent="0.35">
      <c r="A1691" t="s">
        <v>9</v>
      </c>
      <c r="B1691" t="s">
        <v>1916</v>
      </c>
      <c r="C1691" t="s">
        <v>11</v>
      </c>
      <c r="D1691" t="s">
        <v>1915</v>
      </c>
      <c r="E1691" t="s">
        <v>13</v>
      </c>
      <c r="F1691">
        <v>290.37</v>
      </c>
      <c r="G1691">
        <v>40.549999999999997</v>
      </c>
      <c r="H1691">
        <v>330.92</v>
      </c>
    </row>
    <row r="1692" spans="1:8" x14ac:dyDescent="0.35">
      <c r="A1692" t="s">
        <v>9</v>
      </c>
      <c r="B1692" t="s">
        <v>1917</v>
      </c>
      <c r="C1692" t="s">
        <v>11</v>
      </c>
      <c r="D1692" t="s">
        <v>1915</v>
      </c>
      <c r="E1692" t="s">
        <v>13</v>
      </c>
      <c r="F1692">
        <v>271.66000000000003</v>
      </c>
      <c r="G1692">
        <v>39.25</v>
      </c>
      <c r="H1692">
        <v>310.91000000000003</v>
      </c>
    </row>
    <row r="1693" spans="1:8" x14ac:dyDescent="0.35">
      <c r="A1693" t="s">
        <v>9</v>
      </c>
      <c r="B1693" t="s">
        <v>1918</v>
      </c>
      <c r="C1693" t="s">
        <v>11</v>
      </c>
      <c r="D1693" t="s">
        <v>1915</v>
      </c>
      <c r="E1693" t="s">
        <v>13</v>
      </c>
      <c r="F1693">
        <v>498.07</v>
      </c>
      <c r="G1693">
        <v>50.86</v>
      </c>
      <c r="H1693">
        <v>548.92999999999995</v>
      </c>
    </row>
    <row r="1694" spans="1:8" x14ac:dyDescent="0.35">
      <c r="A1694" t="s">
        <v>9</v>
      </c>
      <c r="B1694" t="s">
        <v>1919</v>
      </c>
      <c r="C1694" t="s">
        <v>11</v>
      </c>
      <c r="D1694" t="s">
        <v>1915</v>
      </c>
      <c r="E1694" t="s">
        <v>13</v>
      </c>
      <c r="F1694">
        <v>283.01</v>
      </c>
      <c r="G1694">
        <v>37.950000000000003</v>
      </c>
      <c r="H1694">
        <v>320.95999999999998</v>
      </c>
    </row>
    <row r="1695" spans="1:8" x14ac:dyDescent="0.35">
      <c r="A1695" t="s">
        <v>9</v>
      </c>
      <c r="B1695" t="s">
        <v>1920</v>
      </c>
      <c r="C1695" t="s">
        <v>11</v>
      </c>
      <c r="D1695" t="s">
        <v>1915</v>
      </c>
      <c r="E1695" t="s">
        <v>13</v>
      </c>
      <c r="F1695">
        <v>186.9</v>
      </c>
      <c r="G1695">
        <v>25.03</v>
      </c>
      <c r="H1695">
        <v>211.93</v>
      </c>
    </row>
    <row r="1696" spans="1:8" x14ac:dyDescent="0.35">
      <c r="A1696" t="s">
        <v>9</v>
      </c>
      <c r="B1696" t="s">
        <v>1921</v>
      </c>
      <c r="C1696" t="s">
        <v>11</v>
      </c>
      <c r="D1696" t="s">
        <v>1922</v>
      </c>
      <c r="E1696" t="s">
        <v>13</v>
      </c>
      <c r="F1696">
        <v>707.28</v>
      </c>
      <c r="G1696">
        <v>104.59</v>
      </c>
      <c r="H1696">
        <v>811.87</v>
      </c>
    </row>
    <row r="1697" spans="1:8" x14ac:dyDescent="0.35">
      <c r="A1697" t="s">
        <v>9</v>
      </c>
      <c r="B1697" t="s">
        <v>1923</v>
      </c>
      <c r="C1697" t="s">
        <v>11</v>
      </c>
      <c r="D1697" t="s">
        <v>1922</v>
      </c>
      <c r="E1697" t="s">
        <v>13</v>
      </c>
      <c r="F1697">
        <v>222.99</v>
      </c>
      <c r="G1697">
        <v>30.45</v>
      </c>
      <c r="H1697">
        <v>253.44</v>
      </c>
    </row>
    <row r="1698" spans="1:8" x14ac:dyDescent="0.35">
      <c r="A1698" t="s">
        <v>9</v>
      </c>
      <c r="B1698" t="s">
        <v>1924</v>
      </c>
      <c r="C1698" t="s">
        <v>11</v>
      </c>
      <c r="D1698" t="s">
        <v>1922</v>
      </c>
      <c r="E1698" t="s">
        <v>13</v>
      </c>
      <c r="F1698">
        <v>148.66999999999999</v>
      </c>
      <c r="G1698">
        <v>22.3</v>
      </c>
      <c r="H1698">
        <v>170.97</v>
      </c>
    </row>
    <row r="1699" spans="1:8" x14ac:dyDescent="0.35">
      <c r="A1699" t="s">
        <v>9</v>
      </c>
      <c r="B1699" t="s">
        <v>1925</v>
      </c>
      <c r="C1699" t="s">
        <v>11</v>
      </c>
      <c r="D1699" t="s">
        <v>1922</v>
      </c>
      <c r="E1699" t="s">
        <v>13</v>
      </c>
      <c r="F1699">
        <v>766.15</v>
      </c>
      <c r="G1699">
        <v>94.83</v>
      </c>
      <c r="H1699">
        <v>860.98</v>
      </c>
    </row>
    <row r="1700" spans="1:8" x14ac:dyDescent="0.35">
      <c r="A1700" t="s">
        <v>9</v>
      </c>
      <c r="B1700" t="s">
        <v>1926</v>
      </c>
      <c r="C1700" t="s">
        <v>11</v>
      </c>
      <c r="D1700" t="s">
        <v>1922</v>
      </c>
      <c r="E1700" t="s">
        <v>13</v>
      </c>
      <c r="F1700">
        <v>184.76</v>
      </c>
      <c r="G1700">
        <v>20.22</v>
      </c>
      <c r="H1700">
        <v>204.98</v>
      </c>
    </row>
    <row r="1701" spans="1:8" x14ac:dyDescent="0.35">
      <c r="A1701" t="s">
        <v>9</v>
      </c>
      <c r="B1701" t="s">
        <v>1927</v>
      </c>
      <c r="C1701" t="s">
        <v>11</v>
      </c>
      <c r="D1701" t="s">
        <v>1922</v>
      </c>
      <c r="E1701" t="s">
        <v>13</v>
      </c>
      <c r="F1701">
        <v>1494.48</v>
      </c>
      <c r="G1701">
        <v>163.13999999999999</v>
      </c>
      <c r="H1701">
        <v>1657.62</v>
      </c>
    </row>
    <row r="1702" spans="1:8" x14ac:dyDescent="0.35">
      <c r="A1702" t="s">
        <v>9</v>
      </c>
      <c r="B1702" t="s">
        <v>1928</v>
      </c>
      <c r="C1702" t="s">
        <v>11</v>
      </c>
      <c r="D1702" t="s">
        <v>1922</v>
      </c>
      <c r="E1702" t="s">
        <v>13</v>
      </c>
      <c r="F1702">
        <v>369.93</v>
      </c>
      <c r="G1702">
        <v>53.99</v>
      </c>
      <c r="H1702">
        <v>423.92</v>
      </c>
    </row>
    <row r="1703" spans="1:8" x14ac:dyDescent="0.35">
      <c r="A1703" t="s">
        <v>9</v>
      </c>
      <c r="B1703" t="s">
        <v>1929</v>
      </c>
      <c r="C1703" t="s">
        <v>11</v>
      </c>
      <c r="D1703" t="s">
        <v>1922</v>
      </c>
      <c r="E1703" t="s">
        <v>13</v>
      </c>
      <c r="F1703">
        <v>426.44</v>
      </c>
      <c r="G1703">
        <v>50.47</v>
      </c>
      <c r="H1703">
        <v>476.91</v>
      </c>
    </row>
    <row r="1704" spans="1:8" x14ac:dyDescent="0.35">
      <c r="A1704" t="s">
        <v>9</v>
      </c>
      <c r="B1704" t="s">
        <v>1930</v>
      </c>
      <c r="C1704" t="s">
        <v>11</v>
      </c>
      <c r="D1704" t="s">
        <v>1922</v>
      </c>
      <c r="E1704" t="s">
        <v>13</v>
      </c>
      <c r="F1704">
        <v>248.62</v>
      </c>
      <c r="G1704">
        <v>28.3</v>
      </c>
      <c r="H1704">
        <v>276.92</v>
      </c>
    </row>
    <row r="1705" spans="1:8" x14ac:dyDescent="0.35">
      <c r="A1705" t="s">
        <v>9</v>
      </c>
      <c r="B1705" t="s">
        <v>1931</v>
      </c>
      <c r="C1705" t="s">
        <v>11</v>
      </c>
      <c r="D1705" t="s">
        <v>1922</v>
      </c>
      <c r="E1705" t="s">
        <v>13</v>
      </c>
      <c r="F1705">
        <v>154.96</v>
      </c>
      <c r="G1705">
        <v>15</v>
      </c>
      <c r="H1705">
        <v>169.96</v>
      </c>
    </row>
    <row r="1706" spans="1:8" x14ac:dyDescent="0.35">
      <c r="A1706" t="s">
        <v>9</v>
      </c>
      <c r="B1706" t="s">
        <v>1932</v>
      </c>
      <c r="C1706" t="s">
        <v>11</v>
      </c>
      <c r="D1706" t="s">
        <v>1933</v>
      </c>
      <c r="E1706" t="s">
        <v>13</v>
      </c>
      <c r="F1706">
        <v>150.81</v>
      </c>
      <c r="G1706">
        <v>21.12</v>
      </c>
      <c r="H1706">
        <v>171.93</v>
      </c>
    </row>
    <row r="1707" spans="1:8" x14ac:dyDescent="0.35">
      <c r="A1707" t="s">
        <v>9</v>
      </c>
      <c r="B1707" t="s">
        <v>1934</v>
      </c>
      <c r="C1707" t="s">
        <v>11</v>
      </c>
      <c r="D1707" t="s">
        <v>1933</v>
      </c>
      <c r="E1707" t="s">
        <v>13</v>
      </c>
      <c r="F1707">
        <v>177.35</v>
      </c>
      <c r="G1707">
        <v>26.6</v>
      </c>
      <c r="H1707">
        <v>203.95</v>
      </c>
    </row>
    <row r="1708" spans="1:8" x14ac:dyDescent="0.35">
      <c r="A1708" t="s">
        <v>9</v>
      </c>
      <c r="B1708" t="s">
        <v>1935</v>
      </c>
      <c r="C1708" t="s">
        <v>11</v>
      </c>
      <c r="D1708" t="s">
        <v>1933</v>
      </c>
      <c r="E1708" t="s">
        <v>13</v>
      </c>
      <c r="F1708">
        <v>143.4</v>
      </c>
      <c r="G1708">
        <v>4.57</v>
      </c>
      <c r="H1708">
        <v>147.97</v>
      </c>
    </row>
    <row r="1709" spans="1:8" x14ac:dyDescent="0.35">
      <c r="A1709" t="s">
        <v>9</v>
      </c>
      <c r="B1709" t="s">
        <v>1936</v>
      </c>
      <c r="C1709" t="s">
        <v>11</v>
      </c>
      <c r="D1709" t="s">
        <v>1933</v>
      </c>
      <c r="E1709" t="s">
        <v>13</v>
      </c>
      <c r="F1709">
        <v>197.37</v>
      </c>
      <c r="G1709">
        <v>29.61</v>
      </c>
      <c r="H1709">
        <v>226.98</v>
      </c>
    </row>
    <row r="1710" spans="1:8" x14ac:dyDescent="0.35">
      <c r="A1710" t="s">
        <v>9</v>
      </c>
      <c r="B1710" t="s">
        <v>1937</v>
      </c>
      <c r="C1710" t="s">
        <v>11</v>
      </c>
      <c r="D1710" t="s">
        <v>1938</v>
      </c>
      <c r="E1710" t="s">
        <v>13</v>
      </c>
      <c r="F1710">
        <v>138.56</v>
      </c>
      <c r="G1710">
        <v>15.39</v>
      </c>
      <c r="H1710">
        <v>153.94999999999999</v>
      </c>
    </row>
    <row r="1711" spans="1:8" x14ac:dyDescent="0.35">
      <c r="A1711" t="s">
        <v>9</v>
      </c>
      <c r="B1711" t="s">
        <v>1939</v>
      </c>
      <c r="C1711" t="s">
        <v>11</v>
      </c>
      <c r="D1711" t="s">
        <v>1938</v>
      </c>
      <c r="E1711" t="s">
        <v>13</v>
      </c>
      <c r="F1711">
        <v>119.08</v>
      </c>
      <c r="G1711">
        <v>17.86</v>
      </c>
      <c r="H1711">
        <v>136.94</v>
      </c>
    </row>
    <row r="1712" spans="1:8" x14ac:dyDescent="0.35">
      <c r="A1712" t="s">
        <v>9</v>
      </c>
      <c r="B1712" t="s">
        <v>1940</v>
      </c>
      <c r="C1712" t="s">
        <v>11</v>
      </c>
      <c r="D1712" t="s">
        <v>1938</v>
      </c>
      <c r="E1712" t="s">
        <v>13</v>
      </c>
      <c r="F1712">
        <v>638.32000000000005</v>
      </c>
      <c r="G1712">
        <v>53.85</v>
      </c>
      <c r="H1712">
        <v>692.17</v>
      </c>
    </row>
    <row r="1713" spans="1:8" x14ac:dyDescent="0.35">
      <c r="A1713" t="s">
        <v>9</v>
      </c>
      <c r="B1713" t="s">
        <v>1941</v>
      </c>
      <c r="C1713" t="s">
        <v>11</v>
      </c>
      <c r="D1713" t="s">
        <v>1938</v>
      </c>
      <c r="E1713" t="s">
        <v>13</v>
      </c>
      <c r="F1713">
        <v>545.16</v>
      </c>
      <c r="G1713">
        <v>53.73</v>
      </c>
      <c r="H1713">
        <v>598.89</v>
      </c>
    </row>
    <row r="1714" spans="1:8" x14ac:dyDescent="0.35">
      <c r="A1714" t="s">
        <v>9</v>
      </c>
      <c r="B1714" t="s">
        <v>1942</v>
      </c>
      <c r="C1714" t="s">
        <v>11</v>
      </c>
      <c r="D1714" t="s">
        <v>1938</v>
      </c>
      <c r="E1714" t="s">
        <v>13</v>
      </c>
      <c r="F1714">
        <v>525.54999999999995</v>
      </c>
      <c r="G1714">
        <v>71.33</v>
      </c>
      <c r="H1714">
        <v>596.88</v>
      </c>
    </row>
    <row r="1715" spans="1:8" x14ac:dyDescent="0.35">
      <c r="A1715" t="s">
        <v>9</v>
      </c>
      <c r="B1715" t="s">
        <v>1943</v>
      </c>
      <c r="C1715" t="s">
        <v>11</v>
      </c>
      <c r="D1715" t="s">
        <v>1938</v>
      </c>
      <c r="E1715" t="s">
        <v>13</v>
      </c>
      <c r="F1715">
        <v>305.58999999999997</v>
      </c>
      <c r="G1715">
        <v>44.34</v>
      </c>
      <c r="H1715">
        <v>349.93</v>
      </c>
    </row>
    <row r="1716" spans="1:8" x14ac:dyDescent="0.35">
      <c r="A1716" t="s">
        <v>9</v>
      </c>
      <c r="B1716" t="s">
        <v>1944</v>
      </c>
      <c r="C1716" t="s">
        <v>11</v>
      </c>
      <c r="D1716" t="s">
        <v>1938</v>
      </c>
      <c r="E1716" t="s">
        <v>13</v>
      </c>
      <c r="F1716">
        <v>383.71</v>
      </c>
      <c r="G1716">
        <v>43.61</v>
      </c>
      <c r="H1716">
        <v>427.32</v>
      </c>
    </row>
    <row r="1717" spans="1:8" x14ac:dyDescent="0.35">
      <c r="A1717" t="s">
        <v>9</v>
      </c>
      <c r="B1717" t="s">
        <v>1945</v>
      </c>
      <c r="C1717" t="s">
        <v>11</v>
      </c>
      <c r="D1717" t="s">
        <v>1946</v>
      </c>
      <c r="E1717" t="s">
        <v>13</v>
      </c>
      <c r="F1717">
        <v>167.03</v>
      </c>
      <c r="G1717">
        <v>19.809999999999999</v>
      </c>
      <c r="H1717">
        <v>186.84</v>
      </c>
    </row>
    <row r="1718" spans="1:8" x14ac:dyDescent="0.35">
      <c r="A1718" t="s">
        <v>9</v>
      </c>
      <c r="B1718" t="s">
        <v>1947</v>
      </c>
      <c r="C1718" t="s">
        <v>11</v>
      </c>
      <c r="D1718" t="s">
        <v>1946</v>
      </c>
      <c r="E1718" t="s">
        <v>13</v>
      </c>
      <c r="F1718">
        <v>229.24</v>
      </c>
      <c r="G1718">
        <v>22.84</v>
      </c>
      <c r="H1718">
        <v>252.08</v>
      </c>
    </row>
    <row r="1719" spans="1:8" x14ac:dyDescent="0.35">
      <c r="A1719" t="s">
        <v>9</v>
      </c>
      <c r="B1719" t="s">
        <v>1948</v>
      </c>
      <c r="C1719" t="s">
        <v>11</v>
      </c>
      <c r="D1719" t="s">
        <v>1946</v>
      </c>
      <c r="E1719" t="s">
        <v>13</v>
      </c>
      <c r="F1719">
        <v>247.2</v>
      </c>
      <c r="G1719">
        <v>28.08</v>
      </c>
      <c r="H1719">
        <v>275.27999999999997</v>
      </c>
    </row>
    <row r="1720" spans="1:8" x14ac:dyDescent="0.35">
      <c r="A1720" t="s">
        <v>9</v>
      </c>
      <c r="B1720" t="s">
        <v>1949</v>
      </c>
      <c r="C1720" t="s">
        <v>11</v>
      </c>
      <c r="D1720" t="s">
        <v>1946</v>
      </c>
      <c r="E1720" t="s">
        <v>13</v>
      </c>
      <c r="F1720">
        <v>388.72</v>
      </c>
      <c r="G1720">
        <v>45.11</v>
      </c>
      <c r="H1720">
        <v>433.83</v>
      </c>
    </row>
    <row r="1721" spans="1:8" x14ac:dyDescent="0.35">
      <c r="A1721" t="s">
        <v>9</v>
      </c>
      <c r="B1721" t="s">
        <v>1950</v>
      </c>
      <c r="C1721" t="s">
        <v>11</v>
      </c>
      <c r="D1721" t="s">
        <v>1946</v>
      </c>
      <c r="E1721" t="s">
        <v>13</v>
      </c>
      <c r="F1721">
        <v>362.17</v>
      </c>
      <c r="G1721">
        <v>48.63</v>
      </c>
      <c r="H1721">
        <v>410.8</v>
      </c>
    </row>
    <row r="1722" spans="1:8" x14ac:dyDescent="0.35">
      <c r="A1722" t="s">
        <v>9</v>
      </c>
      <c r="B1722" t="s">
        <v>1951</v>
      </c>
      <c r="C1722" t="s">
        <v>11</v>
      </c>
      <c r="D1722" t="s">
        <v>1946</v>
      </c>
      <c r="E1722" t="s">
        <v>13</v>
      </c>
      <c r="F1722">
        <v>102.14</v>
      </c>
      <c r="G1722">
        <v>13.82</v>
      </c>
      <c r="H1722">
        <v>115.96</v>
      </c>
    </row>
    <row r="1723" spans="1:8" x14ac:dyDescent="0.35">
      <c r="A1723" t="s">
        <v>9</v>
      </c>
      <c r="B1723" t="s">
        <v>1952</v>
      </c>
      <c r="C1723" t="s">
        <v>11</v>
      </c>
      <c r="D1723" t="s">
        <v>1946</v>
      </c>
      <c r="E1723" t="s">
        <v>13</v>
      </c>
      <c r="F1723">
        <v>207.31</v>
      </c>
      <c r="G1723">
        <v>29.6</v>
      </c>
      <c r="H1723">
        <v>236.91</v>
      </c>
    </row>
    <row r="1724" spans="1:8" x14ac:dyDescent="0.35">
      <c r="A1724" t="s">
        <v>9</v>
      </c>
      <c r="B1724" t="s">
        <v>1953</v>
      </c>
      <c r="C1724" t="s">
        <v>11</v>
      </c>
      <c r="D1724" t="s">
        <v>1946</v>
      </c>
      <c r="E1724" t="s">
        <v>13</v>
      </c>
      <c r="F1724">
        <v>644.88</v>
      </c>
      <c r="G1724">
        <v>74.39</v>
      </c>
      <c r="H1724">
        <v>719.27</v>
      </c>
    </row>
    <row r="1725" spans="1:8" x14ac:dyDescent="0.35">
      <c r="A1725" t="s">
        <v>9</v>
      </c>
      <c r="B1725" t="s">
        <v>1954</v>
      </c>
      <c r="C1725" t="s">
        <v>11</v>
      </c>
      <c r="D1725" t="s">
        <v>1955</v>
      </c>
      <c r="E1725" t="s">
        <v>13</v>
      </c>
      <c r="F1725">
        <v>1071.51</v>
      </c>
      <c r="G1725">
        <v>146.47999999999999</v>
      </c>
      <c r="H1725">
        <v>1217.99</v>
      </c>
    </row>
    <row r="1726" spans="1:8" x14ac:dyDescent="0.35">
      <c r="A1726" t="s">
        <v>9</v>
      </c>
      <c r="B1726" t="s">
        <v>1956</v>
      </c>
      <c r="C1726" t="s">
        <v>11</v>
      </c>
      <c r="D1726" t="s">
        <v>1955</v>
      </c>
      <c r="E1726" t="s">
        <v>13</v>
      </c>
      <c r="F1726">
        <v>1972.93</v>
      </c>
      <c r="G1726">
        <v>244.05</v>
      </c>
      <c r="H1726">
        <v>2216.98</v>
      </c>
    </row>
    <row r="1727" spans="1:8" x14ac:dyDescent="0.35">
      <c r="A1727" t="s">
        <v>9</v>
      </c>
      <c r="B1727" t="s">
        <v>1957</v>
      </c>
      <c r="C1727" t="s">
        <v>11</v>
      </c>
      <c r="D1727" t="s">
        <v>1955</v>
      </c>
      <c r="E1727" t="s">
        <v>13</v>
      </c>
      <c r="F1727">
        <v>168.95</v>
      </c>
      <c r="G1727">
        <v>18</v>
      </c>
      <c r="H1727">
        <v>186.95</v>
      </c>
    </row>
    <row r="1728" spans="1:8" x14ac:dyDescent="0.35">
      <c r="A1728" t="s">
        <v>9</v>
      </c>
      <c r="B1728" t="s">
        <v>1958</v>
      </c>
      <c r="C1728" t="s">
        <v>11</v>
      </c>
      <c r="D1728" t="s">
        <v>1955</v>
      </c>
      <c r="E1728" t="s">
        <v>13</v>
      </c>
      <c r="F1728">
        <v>274.26</v>
      </c>
      <c r="G1728">
        <v>30.64</v>
      </c>
      <c r="H1728">
        <v>304.89999999999998</v>
      </c>
    </row>
    <row r="1729" spans="1:8" x14ac:dyDescent="0.35">
      <c r="A1729" t="s">
        <v>9</v>
      </c>
      <c r="B1729" t="s">
        <v>1959</v>
      </c>
      <c r="C1729" t="s">
        <v>11</v>
      </c>
      <c r="D1729" t="s">
        <v>1955</v>
      </c>
      <c r="E1729" t="s">
        <v>13</v>
      </c>
      <c r="F1729">
        <v>490.49</v>
      </c>
      <c r="G1729">
        <v>66.38</v>
      </c>
      <c r="H1729">
        <v>556.87</v>
      </c>
    </row>
    <row r="1730" spans="1:8" x14ac:dyDescent="0.35">
      <c r="A1730" t="s">
        <v>9</v>
      </c>
      <c r="B1730" t="s">
        <v>1960</v>
      </c>
      <c r="C1730" t="s">
        <v>11</v>
      </c>
      <c r="D1730" t="s">
        <v>1955</v>
      </c>
      <c r="E1730" t="s">
        <v>13</v>
      </c>
      <c r="F1730">
        <v>315.19</v>
      </c>
      <c r="G1730">
        <v>38.729999999999997</v>
      </c>
      <c r="H1730">
        <v>353.92</v>
      </c>
    </row>
    <row r="1731" spans="1:8" x14ac:dyDescent="0.35">
      <c r="A1731" t="s">
        <v>9</v>
      </c>
      <c r="B1731" t="s">
        <v>1961</v>
      </c>
      <c r="C1731" t="s">
        <v>11</v>
      </c>
      <c r="D1731" t="s">
        <v>1955</v>
      </c>
      <c r="E1731" t="s">
        <v>13</v>
      </c>
      <c r="F1731">
        <v>136.52000000000001</v>
      </c>
      <c r="G1731">
        <v>16.43</v>
      </c>
      <c r="H1731">
        <v>152.94999999999999</v>
      </c>
    </row>
    <row r="1732" spans="1:8" x14ac:dyDescent="0.35">
      <c r="A1732" t="s">
        <v>9</v>
      </c>
      <c r="B1732" t="s">
        <v>1962</v>
      </c>
      <c r="C1732" t="s">
        <v>11</v>
      </c>
      <c r="D1732" t="s">
        <v>1955</v>
      </c>
      <c r="E1732" t="s">
        <v>13</v>
      </c>
      <c r="F1732">
        <v>206.45</v>
      </c>
      <c r="G1732">
        <v>21.52</v>
      </c>
      <c r="H1732">
        <v>227.97</v>
      </c>
    </row>
    <row r="1733" spans="1:8" x14ac:dyDescent="0.35">
      <c r="A1733" t="s">
        <v>9</v>
      </c>
      <c r="B1733" t="s">
        <v>1963</v>
      </c>
      <c r="C1733" t="s">
        <v>11</v>
      </c>
      <c r="D1733" t="s">
        <v>1955</v>
      </c>
      <c r="E1733" t="s">
        <v>13</v>
      </c>
      <c r="F1733">
        <v>145.21</v>
      </c>
      <c r="G1733">
        <v>21.78</v>
      </c>
      <c r="H1733">
        <v>166.99</v>
      </c>
    </row>
    <row r="1734" spans="1:8" x14ac:dyDescent="0.35">
      <c r="A1734" t="s">
        <v>9</v>
      </c>
      <c r="B1734" t="s">
        <v>1964</v>
      </c>
      <c r="C1734" t="s">
        <v>11</v>
      </c>
      <c r="D1734" t="s">
        <v>1955</v>
      </c>
      <c r="E1734" t="s">
        <v>13</v>
      </c>
      <c r="F1734">
        <v>260.14</v>
      </c>
      <c r="G1734">
        <v>34.82</v>
      </c>
      <c r="H1734">
        <v>294.95999999999998</v>
      </c>
    </row>
    <row r="1735" spans="1:8" x14ac:dyDescent="0.35">
      <c r="A1735" t="s">
        <v>9</v>
      </c>
      <c r="B1735" t="s">
        <v>1965</v>
      </c>
      <c r="C1735" t="s">
        <v>11</v>
      </c>
      <c r="D1735" t="s">
        <v>1966</v>
      </c>
      <c r="E1735" t="s">
        <v>13</v>
      </c>
      <c r="F1735">
        <v>316.83</v>
      </c>
      <c r="G1735">
        <v>23.08</v>
      </c>
      <c r="H1735">
        <v>339.91</v>
      </c>
    </row>
    <row r="1736" spans="1:8" x14ac:dyDescent="0.35">
      <c r="A1736" t="s">
        <v>9</v>
      </c>
      <c r="B1736" t="s">
        <v>1967</v>
      </c>
      <c r="C1736" t="s">
        <v>11</v>
      </c>
      <c r="D1736" t="s">
        <v>1966</v>
      </c>
      <c r="E1736" t="s">
        <v>13</v>
      </c>
      <c r="F1736">
        <v>146.32</v>
      </c>
      <c r="G1736">
        <v>19.100000000000001</v>
      </c>
      <c r="H1736">
        <v>165.42</v>
      </c>
    </row>
    <row r="1737" spans="1:8" x14ac:dyDescent="0.35">
      <c r="A1737" t="s">
        <v>9</v>
      </c>
      <c r="B1737" t="s">
        <v>1968</v>
      </c>
      <c r="C1737" t="s">
        <v>11</v>
      </c>
      <c r="D1737" t="s">
        <v>1966</v>
      </c>
      <c r="E1737" t="s">
        <v>13</v>
      </c>
      <c r="F1737">
        <v>153.58000000000001</v>
      </c>
      <c r="G1737">
        <v>17.34</v>
      </c>
      <c r="H1737">
        <v>170.92</v>
      </c>
    </row>
    <row r="1738" spans="1:8" x14ac:dyDescent="0.35">
      <c r="A1738" t="s">
        <v>9</v>
      </c>
      <c r="B1738" t="s">
        <v>1969</v>
      </c>
      <c r="C1738" t="s">
        <v>11</v>
      </c>
      <c r="D1738" t="s">
        <v>1966</v>
      </c>
      <c r="E1738" t="s">
        <v>13</v>
      </c>
      <c r="F1738">
        <v>551.13</v>
      </c>
      <c r="G1738">
        <v>66.63</v>
      </c>
      <c r="H1738">
        <v>617.76</v>
      </c>
    </row>
    <row r="1739" spans="1:8" x14ac:dyDescent="0.35">
      <c r="A1739" t="s">
        <v>9</v>
      </c>
      <c r="B1739" t="s">
        <v>1970</v>
      </c>
      <c r="C1739" t="s">
        <v>11</v>
      </c>
      <c r="D1739" t="s">
        <v>1966</v>
      </c>
      <c r="E1739" t="s">
        <v>13</v>
      </c>
      <c r="F1739">
        <v>257.14</v>
      </c>
      <c r="G1739">
        <v>27.77</v>
      </c>
      <c r="H1739">
        <v>284.91000000000003</v>
      </c>
    </row>
    <row r="1740" spans="1:8" x14ac:dyDescent="0.35">
      <c r="A1740" t="s">
        <v>9</v>
      </c>
      <c r="B1740" t="s">
        <v>1971</v>
      </c>
      <c r="C1740" t="s">
        <v>11</v>
      </c>
      <c r="D1740" t="s">
        <v>1966</v>
      </c>
      <c r="E1740" t="s">
        <v>13</v>
      </c>
      <c r="F1740">
        <v>202.96</v>
      </c>
      <c r="G1740">
        <v>28.94</v>
      </c>
      <c r="H1740">
        <v>231.9</v>
      </c>
    </row>
    <row r="1741" spans="1:8" x14ac:dyDescent="0.35">
      <c r="A1741" t="s">
        <v>9</v>
      </c>
      <c r="B1741" t="s">
        <v>1972</v>
      </c>
      <c r="C1741" t="s">
        <v>11</v>
      </c>
      <c r="D1741" t="s">
        <v>1966</v>
      </c>
      <c r="E1741" t="s">
        <v>13</v>
      </c>
      <c r="F1741">
        <v>257.79000000000002</v>
      </c>
      <c r="G1741">
        <v>20.82</v>
      </c>
      <c r="H1741">
        <v>278.61</v>
      </c>
    </row>
    <row r="1742" spans="1:8" x14ac:dyDescent="0.35">
      <c r="A1742" t="s">
        <v>9</v>
      </c>
      <c r="B1742" t="s">
        <v>1973</v>
      </c>
      <c r="C1742" t="s">
        <v>11</v>
      </c>
      <c r="D1742" t="s">
        <v>1974</v>
      </c>
      <c r="E1742" t="s">
        <v>13</v>
      </c>
      <c r="F1742">
        <v>159.46</v>
      </c>
      <c r="G1742">
        <v>20.47</v>
      </c>
      <c r="H1742">
        <v>179.93</v>
      </c>
    </row>
    <row r="1743" spans="1:8" x14ac:dyDescent="0.35">
      <c r="A1743" t="s">
        <v>9</v>
      </c>
      <c r="B1743" t="s">
        <v>1975</v>
      </c>
      <c r="C1743" t="s">
        <v>11</v>
      </c>
      <c r="D1743" t="s">
        <v>1974</v>
      </c>
      <c r="E1743" t="s">
        <v>13</v>
      </c>
      <c r="F1743">
        <v>460.37</v>
      </c>
      <c r="G1743">
        <v>61.56</v>
      </c>
      <c r="H1743">
        <v>521.92999999999995</v>
      </c>
    </row>
    <row r="1744" spans="1:8" x14ac:dyDescent="0.35">
      <c r="A1744" t="s">
        <v>9</v>
      </c>
      <c r="B1744" t="s">
        <v>1976</v>
      </c>
      <c r="C1744" t="s">
        <v>11</v>
      </c>
      <c r="D1744" t="s">
        <v>1974</v>
      </c>
      <c r="E1744" t="s">
        <v>13</v>
      </c>
      <c r="F1744">
        <v>363.33</v>
      </c>
      <c r="G1744">
        <v>42.5</v>
      </c>
      <c r="H1744">
        <v>405.83</v>
      </c>
    </row>
    <row r="1745" spans="1:8" x14ac:dyDescent="0.35">
      <c r="A1745" t="s">
        <v>9</v>
      </c>
      <c r="B1745" t="s">
        <v>1977</v>
      </c>
      <c r="C1745" t="s">
        <v>11</v>
      </c>
      <c r="D1745" t="s">
        <v>1974</v>
      </c>
      <c r="E1745" t="s">
        <v>13</v>
      </c>
      <c r="F1745">
        <v>602.55999999999995</v>
      </c>
      <c r="G1745">
        <v>59.2</v>
      </c>
      <c r="H1745">
        <v>661.76</v>
      </c>
    </row>
    <row r="1746" spans="1:8" x14ac:dyDescent="0.35">
      <c r="A1746" t="s">
        <v>9</v>
      </c>
      <c r="B1746" t="s">
        <v>1978</v>
      </c>
      <c r="C1746" t="s">
        <v>11</v>
      </c>
      <c r="D1746" t="s">
        <v>1974</v>
      </c>
      <c r="E1746" t="s">
        <v>13</v>
      </c>
      <c r="F1746">
        <v>251.86</v>
      </c>
      <c r="G1746">
        <v>32.08</v>
      </c>
      <c r="H1746">
        <v>283.94</v>
      </c>
    </row>
    <row r="1747" spans="1:8" x14ac:dyDescent="0.35">
      <c r="A1747" t="s">
        <v>9</v>
      </c>
      <c r="B1747" t="s">
        <v>1979</v>
      </c>
      <c r="C1747" t="s">
        <v>11</v>
      </c>
      <c r="D1747" t="s">
        <v>1974</v>
      </c>
      <c r="E1747" t="s">
        <v>13</v>
      </c>
      <c r="F1747">
        <v>238.6</v>
      </c>
      <c r="G1747">
        <v>34.29</v>
      </c>
      <c r="H1747">
        <v>272.89</v>
      </c>
    </row>
    <row r="1748" spans="1:8" x14ac:dyDescent="0.35">
      <c r="A1748" t="s">
        <v>9</v>
      </c>
      <c r="B1748" t="s">
        <v>1980</v>
      </c>
      <c r="C1748" t="s">
        <v>11</v>
      </c>
      <c r="D1748" t="s">
        <v>1974</v>
      </c>
      <c r="E1748" t="s">
        <v>13</v>
      </c>
      <c r="F1748">
        <v>244.72</v>
      </c>
      <c r="G1748">
        <v>35.21</v>
      </c>
      <c r="H1748">
        <v>279.93</v>
      </c>
    </row>
    <row r="1749" spans="1:8" x14ac:dyDescent="0.35">
      <c r="A1749" t="s">
        <v>9</v>
      </c>
      <c r="B1749" t="s">
        <v>1981</v>
      </c>
      <c r="C1749" t="s">
        <v>11</v>
      </c>
      <c r="D1749" t="s">
        <v>1982</v>
      </c>
      <c r="E1749" t="s">
        <v>13</v>
      </c>
      <c r="F1749">
        <v>419.01</v>
      </c>
      <c r="G1749">
        <v>41.41</v>
      </c>
      <c r="H1749">
        <v>460.42</v>
      </c>
    </row>
    <row r="1750" spans="1:8" x14ac:dyDescent="0.35">
      <c r="A1750" t="s">
        <v>9</v>
      </c>
      <c r="B1750" t="s">
        <v>1983</v>
      </c>
      <c r="C1750" t="s">
        <v>11</v>
      </c>
      <c r="D1750" t="s">
        <v>1982</v>
      </c>
      <c r="E1750" t="s">
        <v>13</v>
      </c>
      <c r="F1750">
        <v>366.06</v>
      </c>
      <c r="G1750">
        <v>54.91</v>
      </c>
      <c r="H1750">
        <v>420.97</v>
      </c>
    </row>
    <row r="1751" spans="1:8" x14ac:dyDescent="0.35">
      <c r="A1751" t="s">
        <v>9</v>
      </c>
      <c r="B1751" t="s">
        <v>1984</v>
      </c>
      <c r="C1751" t="s">
        <v>11</v>
      </c>
      <c r="D1751" t="s">
        <v>1982</v>
      </c>
      <c r="E1751" t="s">
        <v>13</v>
      </c>
      <c r="F1751">
        <v>530.14</v>
      </c>
      <c r="G1751">
        <v>44.74</v>
      </c>
      <c r="H1751">
        <v>574.88</v>
      </c>
    </row>
    <row r="1752" spans="1:8" x14ac:dyDescent="0.35">
      <c r="A1752" t="s">
        <v>9</v>
      </c>
      <c r="B1752" t="s">
        <v>1985</v>
      </c>
      <c r="C1752" t="s">
        <v>11</v>
      </c>
      <c r="D1752" t="s">
        <v>1982</v>
      </c>
      <c r="E1752" t="s">
        <v>13</v>
      </c>
      <c r="F1752">
        <v>132.91999999999999</v>
      </c>
      <c r="G1752">
        <v>9.26</v>
      </c>
      <c r="H1752">
        <v>142.18</v>
      </c>
    </row>
    <row r="1753" spans="1:8" x14ac:dyDescent="0.35">
      <c r="A1753" t="s">
        <v>9</v>
      </c>
      <c r="B1753" t="s">
        <v>1986</v>
      </c>
      <c r="C1753" t="s">
        <v>11</v>
      </c>
      <c r="D1753" t="s">
        <v>1982</v>
      </c>
      <c r="E1753" t="s">
        <v>13</v>
      </c>
      <c r="F1753">
        <v>256.20999999999998</v>
      </c>
      <c r="G1753">
        <v>28.69</v>
      </c>
      <c r="H1753">
        <v>284.89999999999998</v>
      </c>
    </row>
    <row r="1754" spans="1:8" x14ac:dyDescent="0.35">
      <c r="A1754" t="s">
        <v>9</v>
      </c>
      <c r="B1754" t="s">
        <v>1987</v>
      </c>
      <c r="C1754" t="s">
        <v>11</v>
      </c>
      <c r="D1754" t="s">
        <v>1988</v>
      </c>
      <c r="E1754" t="s">
        <v>13</v>
      </c>
      <c r="F1754">
        <v>434.04</v>
      </c>
      <c r="G1754">
        <v>56.86</v>
      </c>
      <c r="H1754">
        <v>490.9</v>
      </c>
    </row>
    <row r="1755" spans="1:8" x14ac:dyDescent="0.35">
      <c r="A1755" t="s">
        <v>9</v>
      </c>
      <c r="B1755" t="s">
        <v>1989</v>
      </c>
      <c r="C1755" t="s">
        <v>11</v>
      </c>
      <c r="D1755" t="s">
        <v>1988</v>
      </c>
      <c r="E1755" t="s">
        <v>13</v>
      </c>
      <c r="F1755">
        <v>865.8</v>
      </c>
      <c r="G1755">
        <v>95.07</v>
      </c>
      <c r="H1755">
        <v>960.87</v>
      </c>
    </row>
    <row r="1756" spans="1:8" x14ac:dyDescent="0.35">
      <c r="A1756" t="s">
        <v>9</v>
      </c>
      <c r="B1756" t="s">
        <v>1990</v>
      </c>
      <c r="C1756" t="s">
        <v>11</v>
      </c>
      <c r="D1756" t="s">
        <v>1988</v>
      </c>
      <c r="E1756" t="s">
        <v>13</v>
      </c>
      <c r="F1756">
        <v>226.03</v>
      </c>
      <c r="G1756">
        <v>33.909999999999997</v>
      </c>
      <c r="H1756">
        <v>259.94</v>
      </c>
    </row>
    <row r="1757" spans="1:8" x14ac:dyDescent="0.35">
      <c r="A1757" t="s">
        <v>9</v>
      </c>
      <c r="B1757" t="s">
        <v>1991</v>
      </c>
      <c r="C1757" t="s">
        <v>11</v>
      </c>
      <c r="D1757" t="s">
        <v>1988</v>
      </c>
      <c r="E1757" t="s">
        <v>13</v>
      </c>
      <c r="F1757">
        <v>538.03</v>
      </c>
      <c r="G1757">
        <v>49.81</v>
      </c>
      <c r="H1757">
        <v>587.84</v>
      </c>
    </row>
    <row r="1758" spans="1:8" x14ac:dyDescent="0.35">
      <c r="A1758" t="s">
        <v>9</v>
      </c>
      <c r="B1758" t="s">
        <v>1992</v>
      </c>
      <c r="C1758" t="s">
        <v>11</v>
      </c>
      <c r="D1758" t="s">
        <v>1988</v>
      </c>
      <c r="E1758" t="s">
        <v>13</v>
      </c>
      <c r="F1758">
        <v>137.15</v>
      </c>
      <c r="G1758">
        <v>13.82</v>
      </c>
      <c r="H1758">
        <v>150.97</v>
      </c>
    </row>
    <row r="1759" spans="1:8" x14ac:dyDescent="0.35">
      <c r="A1759" t="s">
        <v>9</v>
      </c>
      <c r="B1759" t="s">
        <v>1993</v>
      </c>
      <c r="C1759" t="s">
        <v>11</v>
      </c>
      <c r="D1759" t="s">
        <v>1988</v>
      </c>
      <c r="E1759" t="s">
        <v>13</v>
      </c>
      <c r="F1759">
        <v>507.33</v>
      </c>
      <c r="G1759">
        <v>67.55</v>
      </c>
      <c r="H1759">
        <v>574.88</v>
      </c>
    </row>
    <row r="1760" spans="1:8" x14ac:dyDescent="0.35">
      <c r="A1760" t="s">
        <v>9</v>
      </c>
      <c r="B1760" t="s">
        <v>1994</v>
      </c>
      <c r="C1760" t="s">
        <v>11</v>
      </c>
      <c r="D1760" t="s">
        <v>1988</v>
      </c>
      <c r="E1760" t="s">
        <v>13</v>
      </c>
      <c r="F1760">
        <v>138.65</v>
      </c>
      <c r="G1760">
        <v>20.8</v>
      </c>
      <c r="H1760">
        <v>159.44999999999999</v>
      </c>
    </row>
    <row r="1761" spans="1:8" x14ac:dyDescent="0.35">
      <c r="A1761" t="s">
        <v>9</v>
      </c>
      <c r="B1761" t="s">
        <v>1995</v>
      </c>
      <c r="C1761" t="s">
        <v>11</v>
      </c>
      <c r="D1761" t="s">
        <v>1996</v>
      </c>
      <c r="E1761" t="s">
        <v>13</v>
      </c>
      <c r="F1761">
        <v>347.92</v>
      </c>
      <c r="G1761">
        <v>49.04</v>
      </c>
      <c r="H1761">
        <v>396.96</v>
      </c>
    </row>
    <row r="1762" spans="1:8" x14ac:dyDescent="0.35">
      <c r="A1762" t="s">
        <v>9</v>
      </c>
      <c r="B1762" t="s">
        <v>1997</v>
      </c>
      <c r="C1762" t="s">
        <v>11</v>
      </c>
      <c r="D1762" t="s">
        <v>1996</v>
      </c>
      <c r="E1762" t="s">
        <v>13</v>
      </c>
      <c r="F1762">
        <v>1008.12</v>
      </c>
      <c r="G1762">
        <v>142.66999999999999</v>
      </c>
      <c r="H1762">
        <v>1150.79</v>
      </c>
    </row>
    <row r="1763" spans="1:8" x14ac:dyDescent="0.35">
      <c r="A1763" t="s">
        <v>9</v>
      </c>
      <c r="B1763" t="s">
        <v>1998</v>
      </c>
      <c r="C1763" t="s">
        <v>11</v>
      </c>
      <c r="D1763" t="s">
        <v>1996</v>
      </c>
      <c r="E1763" t="s">
        <v>13</v>
      </c>
      <c r="F1763">
        <v>641.80999999999995</v>
      </c>
      <c r="G1763">
        <v>79.03</v>
      </c>
      <c r="H1763">
        <v>720.84</v>
      </c>
    </row>
    <row r="1764" spans="1:8" x14ac:dyDescent="0.35">
      <c r="A1764" t="s">
        <v>9</v>
      </c>
      <c r="B1764" t="s">
        <v>1999</v>
      </c>
      <c r="C1764" t="s">
        <v>11</v>
      </c>
      <c r="D1764" t="s">
        <v>1996</v>
      </c>
      <c r="E1764" t="s">
        <v>13</v>
      </c>
      <c r="F1764">
        <v>320.26</v>
      </c>
      <c r="G1764">
        <v>10.69</v>
      </c>
      <c r="H1764">
        <v>330.95</v>
      </c>
    </row>
    <row r="1765" spans="1:8" x14ac:dyDescent="0.35">
      <c r="A1765" t="s">
        <v>9</v>
      </c>
      <c r="B1765" t="s">
        <v>2000</v>
      </c>
      <c r="C1765" t="s">
        <v>11</v>
      </c>
      <c r="D1765" t="s">
        <v>1996</v>
      </c>
      <c r="E1765" t="s">
        <v>13</v>
      </c>
      <c r="F1765">
        <v>294.20999999999998</v>
      </c>
      <c r="G1765">
        <v>34.69</v>
      </c>
      <c r="H1765">
        <v>328.9</v>
      </c>
    </row>
    <row r="1766" spans="1:8" x14ac:dyDescent="0.35">
      <c r="A1766" t="s">
        <v>9</v>
      </c>
      <c r="B1766" t="s">
        <v>2001</v>
      </c>
      <c r="C1766" t="s">
        <v>11</v>
      </c>
      <c r="D1766" t="s">
        <v>1996</v>
      </c>
      <c r="E1766" t="s">
        <v>13</v>
      </c>
      <c r="F1766">
        <v>219.94</v>
      </c>
      <c r="G1766">
        <v>32.99</v>
      </c>
      <c r="H1766">
        <v>252.93</v>
      </c>
    </row>
    <row r="1767" spans="1:8" x14ac:dyDescent="0.35">
      <c r="A1767" t="s">
        <v>9</v>
      </c>
      <c r="B1767" t="s">
        <v>2002</v>
      </c>
      <c r="C1767" t="s">
        <v>11</v>
      </c>
      <c r="D1767" t="s">
        <v>1996</v>
      </c>
      <c r="E1767" t="s">
        <v>13</v>
      </c>
      <c r="F1767">
        <v>598.79</v>
      </c>
      <c r="G1767">
        <v>86.07</v>
      </c>
      <c r="H1767">
        <v>684.86</v>
      </c>
    </row>
    <row r="1768" spans="1:8" x14ac:dyDescent="0.35">
      <c r="A1768" t="s">
        <v>9</v>
      </c>
      <c r="B1768" t="s">
        <v>2003</v>
      </c>
      <c r="C1768" t="s">
        <v>11</v>
      </c>
      <c r="D1768" t="s">
        <v>2004</v>
      </c>
      <c r="E1768" t="s">
        <v>13</v>
      </c>
      <c r="F1768">
        <v>386.08</v>
      </c>
      <c r="G1768">
        <v>50.57</v>
      </c>
      <c r="H1768">
        <v>436.65</v>
      </c>
    </row>
    <row r="1769" spans="1:8" x14ac:dyDescent="0.35">
      <c r="A1769" t="s">
        <v>9</v>
      </c>
      <c r="B1769" t="s">
        <v>2005</v>
      </c>
      <c r="C1769" t="s">
        <v>11</v>
      </c>
      <c r="D1769" t="s">
        <v>2004</v>
      </c>
      <c r="E1769" t="s">
        <v>13</v>
      </c>
      <c r="F1769">
        <v>142.99</v>
      </c>
      <c r="G1769">
        <v>19.95</v>
      </c>
      <c r="H1769">
        <v>162.94</v>
      </c>
    </row>
    <row r="1770" spans="1:8" x14ac:dyDescent="0.35">
      <c r="A1770" t="s">
        <v>9</v>
      </c>
      <c r="B1770" t="s">
        <v>2006</v>
      </c>
      <c r="C1770" t="s">
        <v>11</v>
      </c>
      <c r="D1770" t="s">
        <v>2004</v>
      </c>
      <c r="E1770" t="s">
        <v>13</v>
      </c>
      <c r="F1770">
        <v>194.3</v>
      </c>
      <c r="G1770">
        <v>27.65</v>
      </c>
      <c r="H1770">
        <v>221.95</v>
      </c>
    </row>
    <row r="1771" spans="1:8" x14ac:dyDescent="0.35">
      <c r="A1771" t="s">
        <v>9</v>
      </c>
      <c r="B1771" t="s">
        <v>2007</v>
      </c>
      <c r="C1771" t="s">
        <v>11</v>
      </c>
      <c r="D1771" t="s">
        <v>2004</v>
      </c>
      <c r="E1771" t="s">
        <v>13</v>
      </c>
      <c r="F1771">
        <v>558.1</v>
      </c>
      <c r="G1771">
        <v>61.82</v>
      </c>
      <c r="H1771">
        <v>619.91999999999996</v>
      </c>
    </row>
    <row r="1772" spans="1:8" x14ac:dyDescent="0.35">
      <c r="A1772" t="s">
        <v>9</v>
      </c>
      <c r="B1772" t="s">
        <v>2008</v>
      </c>
      <c r="C1772" t="s">
        <v>11</v>
      </c>
      <c r="D1772" t="s">
        <v>2004</v>
      </c>
      <c r="E1772" t="s">
        <v>13</v>
      </c>
      <c r="F1772">
        <v>641.77</v>
      </c>
      <c r="G1772">
        <v>71.069999999999993</v>
      </c>
      <c r="H1772">
        <v>712.84</v>
      </c>
    </row>
    <row r="1773" spans="1:8" x14ac:dyDescent="0.35">
      <c r="A1773" t="s">
        <v>9</v>
      </c>
      <c r="B1773" t="s">
        <v>2009</v>
      </c>
      <c r="C1773" t="s">
        <v>11</v>
      </c>
      <c r="D1773" t="s">
        <v>2004</v>
      </c>
      <c r="E1773" t="s">
        <v>13</v>
      </c>
      <c r="F1773">
        <v>309.3</v>
      </c>
      <c r="G1773">
        <v>33.65</v>
      </c>
      <c r="H1773">
        <v>342.95</v>
      </c>
    </row>
    <row r="1774" spans="1:8" x14ac:dyDescent="0.35">
      <c r="A1774" t="s">
        <v>9</v>
      </c>
      <c r="B1774" t="s">
        <v>2010</v>
      </c>
      <c r="C1774" t="s">
        <v>11</v>
      </c>
      <c r="D1774" t="s">
        <v>2004</v>
      </c>
      <c r="E1774" t="s">
        <v>13</v>
      </c>
      <c r="F1774">
        <v>164.31</v>
      </c>
      <c r="G1774">
        <v>21.65</v>
      </c>
      <c r="H1774">
        <v>185.96</v>
      </c>
    </row>
    <row r="1775" spans="1:8" x14ac:dyDescent="0.35">
      <c r="A1775" t="s">
        <v>9</v>
      </c>
      <c r="B1775" t="s">
        <v>2011</v>
      </c>
      <c r="C1775" t="s">
        <v>11</v>
      </c>
      <c r="D1775" t="s">
        <v>2012</v>
      </c>
      <c r="E1775" t="s">
        <v>13</v>
      </c>
      <c r="F1775">
        <v>711.4</v>
      </c>
      <c r="G1775">
        <v>70.42</v>
      </c>
      <c r="H1775">
        <v>781.82</v>
      </c>
    </row>
    <row r="1776" spans="1:8" x14ac:dyDescent="0.35">
      <c r="A1776" t="s">
        <v>9</v>
      </c>
      <c r="B1776" t="s">
        <v>2013</v>
      </c>
      <c r="C1776" t="s">
        <v>11</v>
      </c>
      <c r="D1776" t="s">
        <v>2012</v>
      </c>
      <c r="E1776" t="s">
        <v>13</v>
      </c>
      <c r="F1776">
        <v>97.38</v>
      </c>
      <c r="G1776">
        <v>14.61</v>
      </c>
      <c r="H1776">
        <v>111.99</v>
      </c>
    </row>
    <row r="1777" spans="1:8" x14ac:dyDescent="0.35">
      <c r="A1777" t="s">
        <v>9</v>
      </c>
      <c r="B1777" t="s">
        <v>2014</v>
      </c>
      <c r="C1777" t="s">
        <v>11</v>
      </c>
      <c r="D1777" t="s">
        <v>2012</v>
      </c>
      <c r="E1777" t="s">
        <v>13</v>
      </c>
      <c r="F1777">
        <v>1027.95</v>
      </c>
      <c r="G1777">
        <v>132.30000000000001</v>
      </c>
      <c r="H1777">
        <v>1160.25</v>
      </c>
    </row>
    <row r="1778" spans="1:8" x14ac:dyDescent="0.35">
      <c r="A1778" t="s">
        <v>9</v>
      </c>
      <c r="B1778" t="s">
        <v>2015</v>
      </c>
      <c r="C1778" t="s">
        <v>11</v>
      </c>
      <c r="D1778" t="s">
        <v>2012</v>
      </c>
      <c r="E1778" t="s">
        <v>13</v>
      </c>
      <c r="F1778">
        <v>394.77</v>
      </c>
      <c r="G1778">
        <v>30.12</v>
      </c>
      <c r="H1778">
        <v>424.89</v>
      </c>
    </row>
    <row r="1779" spans="1:8" x14ac:dyDescent="0.35">
      <c r="A1779" t="s">
        <v>9</v>
      </c>
      <c r="B1779" t="s">
        <v>2016</v>
      </c>
      <c r="C1779" t="s">
        <v>11</v>
      </c>
      <c r="D1779" t="s">
        <v>2012</v>
      </c>
      <c r="E1779" t="s">
        <v>13</v>
      </c>
      <c r="F1779">
        <v>268.24</v>
      </c>
      <c r="G1779">
        <v>38.74</v>
      </c>
      <c r="H1779">
        <v>306.98</v>
      </c>
    </row>
    <row r="1780" spans="1:8" x14ac:dyDescent="0.35">
      <c r="A1780" t="s">
        <v>9</v>
      </c>
      <c r="B1780" t="s">
        <v>2017</v>
      </c>
      <c r="C1780" t="s">
        <v>11</v>
      </c>
      <c r="D1780" t="s">
        <v>2012</v>
      </c>
      <c r="E1780" t="s">
        <v>13</v>
      </c>
      <c r="F1780">
        <v>169.39</v>
      </c>
      <c r="G1780">
        <v>4.57</v>
      </c>
      <c r="H1780">
        <v>173.96</v>
      </c>
    </row>
    <row r="1781" spans="1:8" x14ac:dyDescent="0.35">
      <c r="A1781" t="s">
        <v>9</v>
      </c>
      <c r="B1781" t="s">
        <v>2018</v>
      </c>
      <c r="C1781" t="s">
        <v>11</v>
      </c>
      <c r="D1781" t="s">
        <v>2012</v>
      </c>
      <c r="E1781" t="s">
        <v>13</v>
      </c>
      <c r="F1781">
        <v>282.06</v>
      </c>
      <c r="G1781">
        <v>34.81</v>
      </c>
      <c r="H1781">
        <v>316.87</v>
      </c>
    </row>
    <row r="1782" spans="1:8" x14ac:dyDescent="0.35">
      <c r="A1782" t="s">
        <v>9</v>
      </c>
      <c r="B1782" t="s">
        <v>2019</v>
      </c>
      <c r="C1782" t="s">
        <v>11</v>
      </c>
      <c r="D1782" t="s">
        <v>2012</v>
      </c>
      <c r="E1782" t="s">
        <v>13</v>
      </c>
      <c r="F1782">
        <v>147.33000000000001</v>
      </c>
      <c r="G1782">
        <v>20.6</v>
      </c>
      <c r="H1782">
        <v>167.93</v>
      </c>
    </row>
    <row r="1783" spans="1:8" x14ac:dyDescent="0.35">
      <c r="A1783" t="s">
        <v>9</v>
      </c>
      <c r="B1783" t="s">
        <v>2020</v>
      </c>
      <c r="C1783" t="s">
        <v>11</v>
      </c>
      <c r="D1783" t="s">
        <v>2021</v>
      </c>
      <c r="E1783" t="s">
        <v>13</v>
      </c>
      <c r="F1783">
        <v>501.44</v>
      </c>
      <c r="G1783">
        <v>50.47</v>
      </c>
      <c r="H1783">
        <v>551.91</v>
      </c>
    </row>
    <row r="1784" spans="1:8" x14ac:dyDescent="0.35">
      <c r="A1784" t="s">
        <v>9</v>
      </c>
      <c r="B1784" t="s">
        <v>2022</v>
      </c>
      <c r="C1784" t="s">
        <v>11</v>
      </c>
      <c r="D1784" t="s">
        <v>2021</v>
      </c>
      <c r="E1784" t="s">
        <v>13</v>
      </c>
      <c r="F1784">
        <v>715.3</v>
      </c>
      <c r="G1784">
        <v>93.5</v>
      </c>
      <c r="H1784">
        <v>808.8</v>
      </c>
    </row>
    <row r="1785" spans="1:8" x14ac:dyDescent="0.35">
      <c r="A1785" t="s">
        <v>9</v>
      </c>
      <c r="B1785" t="s">
        <v>2023</v>
      </c>
      <c r="C1785" t="s">
        <v>11</v>
      </c>
      <c r="D1785" t="s">
        <v>2021</v>
      </c>
      <c r="E1785" t="s">
        <v>13</v>
      </c>
      <c r="F1785">
        <v>252.18</v>
      </c>
      <c r="G1785">
        <v>21.78</v>
      </c>
      <c r="H1785">
        <v>273.95999999999998</v>
      </c>
    </row>
    <row r="1786" spans="1:8" x14ac:dyDescent="0.35">
      <c r="A1786" t="s">
        <v>9</v>
      </c>
      <c r="B1786" t="s">
        <v>2024</v>
      </c>
      <c r="C1786" t="s">
        <v>11</v>
      </c>
      <c r="D1786" t="s">
        <v>2021</v>
      </c>
      <c r="E1786" t="s">
        <v>13</v>
      </c>
      <c r="F1786">
        <v>197.28</v>
      </c>
      <c r="G1786">
        <v>29.59</v>
      </c>
      <c r="H1786">
        <v>226.87</v>
      </c>
    </row>
    <row r="1787" spans="1:8" x14ac:dyDescent="0.35">
      <c r="A1787" t="s">
        <v>9</v>
      </c>
      <c r="B1787" t="s">
        <v>2025</v>
      </c>
      <c r="C1787" t="s">
        <v>11</v>
      </c>
      <c r="D1787" t="s">
        <v>2021</v>
      </c>
      <c r="E1787" t="s">
        <v>13</v>
      </c>
      <c r="F1787">
        <v>218.18</v>
      </c>
      <c r="G1787">
        <v>17.8</v>
      </c>
      <c r="H1787">
        <v>235.98</v>
      </c>
    </row>
    <row r="1788" spans="1:8" x14ac:dyDescent="0.35">
      <c r="A1788" t="s">
        <v>9</v>
      </c>
      <c r="B1788" t="s">
        <v>2026</v>
      </c>
      <c r="C1788" t="s">
        <v>11</v>
      </c>
      <c r="D1788" t="s">
        <v>2021</v>
      </c>
      <c r="E1788" t="s">
        <v>13</v>
      </c>
      <c r="F1788">
        <v>477.7</v>
      </c>
      <c r="G1788">
        <v>70.16</v>
      </c>
      <c r="H1788">
        <v>547.86</v>
      </c>
    </row>
    <row r="1789" spans="1:8" x14ac:dyDescent="0.35">
      <c r="A1789" t="s">
        <v>9</v>
      </c>
      <c r="B1789" t="s">
        <v>2027</v>
      </c>
      <c r="C1789" t="s">
        <v>11</v>
      </c>
      <c r="D1789" t="s">
        <v>2021</v>
      </c>
      <c r="E1789" t="s">
        <v>13</v>
      </c>
      <c r="F1789">
        <v>78.67</v>
      </c>
      <c r="G1789">
        <v>10.3</v>
      </c>
      <c r="H1789">
        <v>88.97</v>
      </c>
    </row>
    <row r="1790" spans="1:8" x14ac:dyDescent="0.35">
      <c r="A1790" t="s">
        <v>9</v>
      </c>
      <c r="B1790" t="s">
        <v>2028</v>
      </c>
      <c r="C1790" t="s">
        <v>11</v>
      </c>
      <c r="D1790" t="s">
        <v>2021</v>
      </c>
      <c r="E1790" t="s">
        <v>13</v>
      </c>
      <c r="F1790">
        <v>148.47999999999999</v>
      </c>
      <c r="G1790">
        <v>8.48</v>
      </c>
      <c r="H1790">
        <v>156.96</v>
      </c>
    </row>
    <row r="1791" spans="1:8" x14ac:dyDescent="0.35">
      <c r="A1791" t="s">
        <v>9</v>
      </c>
      <c r="B1791" t="s">
        <v>2029</v>
      </c>
      <c r="C1791" t="s">
        <v>11</v>
      </c>
      <c r="D1791" t="s">
        <v>2021</v>
      </c>
      <c r="E1791" t="s">
        <v>13</v>
      </c>
      <c r="F1791">
        <v>520.57000000000005</v>
      </c>
      <c r="G1791">
        <v>42.24</v>
      </c>
      <c r="H1791">
        <v>562.80999999999995</v>
      </c>
    </row>
    <row r="1792" spans="1:8" x14ac:dyDescent="0.35">
      <c r="A1792" t="s">
        <v>9</v>
      </c>
      <c r="B1792" t="s">
        <v>2030</v>
      </c>
      <c r="C1792" t="s">
        <v>11</v>
      </c>
      <c r="D1792" t="s">
        <v>2021</v>
      </c>
      <c r="E1792" t="s">
        <v>13</v>
      </c>
      <c r="F1792">
        <v>302.10000000000002</v>
      </c>
      <c r="G1792">
        <v>31.82</v>
      </c>
      <c r="H1792">
        <v>333.92</v>
      </c>
    </row>
    <row r="1793" spans="1:8" x14ac:dyDescent="0.35">
      <c r="A1793" t="s">
        <v>9</v>
      </c>
      <c r="B1793" t="s">
        <v>2031</v>
      </c>
      <c r="C1793" t="s">
        <v>11</v>
      </c>
      <c r="D1793" t="s">
        <v>2021</v>
      </c>
      <c r="E1793" t="s">
        <v>13</v>
      </c>
      <c r="F1793">
        <v>283.88</v>
      </c>
      <c r="G1793">
        <v>25.03</v>
      </c>
      <c r="H1793">
        <v>308.91000000000003</v>
      </c>
    </row>
    <row r="1794" spans="1:8" x14ac:dyDescent="0.35">
      <c r="A1794" t="s">
        <v>9</v>
      </c>
      <c r="B1794" t="s">
        <v>2032</v>
      </c>
      <c r="C1794" t="s">
        <v>11</v>
      </c>
      <c r="D1794" t="s">
        <v>2033</v>
      </c>
      <c r="E1794" t="s">
        <v>13</v>
      </c>
      <c r="F1794">
        <v>147.28</v>
      </c>
      <c r="G1794">
        <v>13.84</v>
      </c>
      <c r="H1794">
        <v>161.12</v>
      </c>
    </row>
    <row r="1795" spans="1:8" x14ac:dyDescent="0.35">
      <c r="A1795" t="s">
        <v>9</v>
      </c>
      <c r="B1795" t="s">
        <v>2034</v>
      </c>
      <c r="C1795" t="s">
        <v>11</v>
      </c>
      <c r="D1795" t="s">
        <v>2033</v>
      </c>
      <c r="E1795" t="s">
        <v>13</v>
      </c>
      <c r="F1795">
        <v>634.16999999999996</v>
      </c>
      <c r="G1795">
        <v>74.13</v>
      </c>
      <c r="H1795">
        <v>708.3</v>
      </c>
    </row>
    <row r="1796" spans="1:8" x14ac:dyDescent="0.35">
      <c r="A1796" t="s">
        <v>9</v>
      </c>
      <c r="B1796" t="s">
        <v>2035</v>
      </c>
      <c r="C1796" t="s">
        <v>11</v>
      </c>
      <c r="D1796" t="s">
        <v>2033</v>
      </c>
      <c r="E1796" t="s">
        <v>13</v>
      </c>
      <c r="F1796">
        <v>144.05000000000001</v>
      </c>
      <c r="G1796">
        <v>6.91</v>
      </c>
      <c r="H1796">
        <v>150.96</v>
      </c>
    </row>
    <row r="1797" spans="1:8" x14ac:dyDescent="0.35">
      <c r="A1797" t="s">
        <v>9</v>
      </c>
      <c r="B1797" t="s">
        <v>2036</v>
      </c>
      <c r="C1797" t="s">
        <v>11</v>
      </c>
      <c r="D1797" t="s">
        <v>2033</v>
      </c>
      <c r="E1797" t="s">
        <v>13</v>
      </c>
      <c r="F1797">
        <v>215.91</v>
      </c>
      <c r="G1797">
        <v>16.04</v>
      </c>
      <c r="H1797">
        <v>231.95</v>
      </c>
    </row>
    <row r="1798" spans="1:8" x14ac:dyDescent="0.35">
      <c r="A1798" t="s">
        <v>9</v>
      </c>
      <c r="B1798" t="s">
        <v>2037</v>
      </c>
      <c r="C1798" t="s">
        <v>11</v>
      </c>
      <c r="D1798" t="s">
        <v>2038</v>
      </c>
      <c r="E1798" t="s">
        <v>13</v>
      </c>
      <c r="F1798">
        <v>128.66999999999999</v>
      </c>
      <c r="G1798">
        <v>19.3</v>
      </c>
      <c r="H1798">
        <v>147.97</v>
      </c>
    </row>
    <row r="1799" spans="1:8" x14ac:dyDescent="0.35">
      <c r="A1799" t="s">
        <v>9</v>
      </c>
      <c r="B1799" t="s">
        <v>2039</v>
      </c>
      <c r="C1799" t="s">
        <v>11</v>
      </c>
      <c r="D1799" t="s">
        <v>2038</v>
      </c>
      <c r="E1799" t="s">
        <v>13</v>
      </c>
      <c r="F1799">
        <v>309.02999999999997</v>
      </c>
      <c r="G1799">
        <v>44.86</v>
      </c>
      <c r="H1799">
        <v>353.89</v>
      </c>
    </row>
    <row r="1800" spans="1:8" x14ac:dyDescent="0.35">
      <c r="A1800" t="s">
        <v>9</v>
      </c>
      <c r="B1800" t="s">
        <v>2040</v>
      </c>
      <c r="C1800" t="s">
        <v>11</v>
      </c>
      <c r="D1800" t="s">
        <v>2038</v>
      </c>
      <c r="E1800" t="s">
        <v>13</v>
      </c>
      <c r="F1800">
        <v>149.6</v>
      </c>
      <c r="G1800">
        <v>11.35</v>
      </c>
      <c r="H1800">
        <v>160.94999999999999</v>
      </c>
    </row>
    <row r="1801" spans="1:8" x14ac:dyDescent="0.35">
      <c r="A1801" t="s">
        <v>9</v>
      </c>
      <c r="B1801" t="s">
        <v>2041</v>
      </c>
      <c r="C1801" t="s">
        <v>11</v>
      </c>
      <c r="D1801" t="s">
        <v>2042</v>
      </c>
      <c r="E1801" t="s">
        <v>13</v>
      </c>
      <c r="F1801">
        <v>175.83</v>
      </c>
      <c r="G1801">
        <v>12.13</v>
      </c>
      <c r="H1801">
        <v>187.96</v>
      </c>
    </row>
    <row r="1802" spans="1:8" x14ac:dyDescent="0.35">
      <c r="A1802" t="s">
        <v>9</v>
      </c>
      <c r="B1802" t="s">
        <v>2043</v>
      </c>
      <c r="C1802" t="s">
        <v>11</v>
      </c>
      <c r="D1802" t="s">
        <v>2042</v>
      </c>
      <c r="E1802" t="s">
        <v>13</v>
      </c>
      <c r="F1802">
        <v>677.42</v>
      </c>
      <c r="G1802">
        <v>75.37</v>
      </c>
      <c r="H1802">
        <v>752.79</v>
      </c>
    </row>
    <row r="1803" spans="1:8" x14ac:dyDescent="0.35">
      <c r="A1803" t="s">
        <v>9</v>
      </c>
      <c r="B1803" t="s">
        <v>2044</v>
      </c>
      <c r="C1803" t="s">
        <v>11</v>
      </c>
      <c r="D1803" t="s">
        <v>2042</v>
      </c>
      <c r="E1803" t="s">
        <v>13</v>
      </c>
      <c r="F1803">
        <v>501.12</v>
      </c>
      <c r="G1803">
        <v>56.72</v>
      </c>
      <c r="H1803">
        <v>557.84</v>
      </c>
    </row>
    <row r="1804" spans="1:8" x14ac:dyDescent="0.35">
      <c r="A1804" t="s">
        <v>9</v>
      </c>
      <c r="B1804" t="s">
        <v>2045</v>
      </c>
      <c r="C1804" t="s">
        <v>11</v>
      </c>
      <c r="D1804" t="s">
        <v>2042</v>
      </c>
      <c r="E1804" t="s">
        <v>13</v>
      </c>
      <c r="F1804">
        <v>810.07</v>
      </c>
      <c r="G1804">
        <v>94.22</v>
      </c>
      <c r="H1804">
        <v>904.29</v>
      </c>
    </row>
    <row r="1805" spans="1:8" x14ac:dyDescent="0.35">
      <c r="A1805" t="s">
        <v>9</v>
      </c>
      <c r="B1805" t="s">
        <v>2046</v>
      </c>
      <c r="C1805" t="s">
        <v>11</v>
      </c>
      <c r="D1805" t="s">
        <v>2042</v>
      </c>
      <c r="E1805" t="s">
        <v>13</v>
      </c>
      <c r="F1805">
        <v>147.74</v>
      </c>
      <c r="G1805">
        <v>14.99</v>
      </c>
      <c r="H1805">
        <v>162.72999999999999</v>
      </c>
    </row>
    <row r="1806" spans="1:8" x14ac:dyDescent="0.35">
      <c r="A1806" t="s">
        <v>9</v>
      </c>
      <c r="B1806" t="s">
        <v>2047</v>
      </c>
      <c r="C1806" t="s">
        <v>11</v>
      </c>
      <c r="D1806" t="s">
        <v>2048</v>
      </c>
      <c r="E1806" t="s">
        <v>13</v>
      </c>
      <c r="F1806">
        <v>417.39</v>
      </c>
      <c r="G1806">
        <v>30.51</v>
      </c>
      <c r="H1806">
        <v>447.9</v>
      </c>
    </row>
    <row r="1807" spans="1:8" x14ac:dyDescent="0.35">
      <c r="A1807" t="s">
        <v>9</v>
      </c>
      <c r="B1807" t="s">
        <v>2049</v>
      </c>
      <c r="C1807" t="s">
        <v>11</v>
      </c>
      <c r="D1807" t="s">
        <v>2048</v>
      </c>
      <c r="E1807" t="s">
        <v>13</v>
      </c>
      <c r="F1807">
        <v>702.53</v>
      </c>
      <c r="G1807">
        <v>59.34</v>
      </c>
      <c r="H1807">
        <v>761.87</v>
      </c>
    </row>
    <row r="1808" spans="1:8" x14ac:dyDescent="0.35">
      <c r="A1808" t="s">
        <v>9</v>
      </c>
      <c r="B1808" t="s">
        <v>2050</v>
      </c>
      <c r="C1808" t="s">
        <v>11</v>
      </c>
      <c r="D1808" t="s">
        <v>2048</v>
      </c>
      <c r="E1808" t="s">
        <v>13</v>
      </c>
      <c r="F1808">
        <v>529.63</v>
      </c>
      <c r="G1808">
        <v>50.21</v>
      </c>
      <c r="H1808">
        <v>579.84</v>
      </c>
    </row>
    <row r="1809" spans="1:8" x14ac:dyDescent="0.35">
      <c r="A1809" t="s">
        <v>9</v>
      </c>
      <c r="B1809" t="s">
        <v>2051</v>
      </c>
      <c r="C1809" t="s">
        <v>11</v>
      </c>
      <c r="D1809" t="s">
        <v>2048</v>
      </c>
      <c r="E1809" t="s">
        <v>13</v>
      </c>
      <c r="F1809">
        <v>688.54</v>
      </c>
      <c r="G1809">
        <v>70.290000000000006</v>
      </c>
      <c r="H1809">
        <v>758.83</v>
      </c>
    </row>
    <row r="1810" spans="1:8" x14ac:dyDescent="0.35">
      <c r="A1810" t="s">
        <v>9</v>
      </c>
      <c r="B1810" t="s">
        <v>2052</v>
      </c>
      <c r="C1810" t="s">
        <v>11</v>
      </c>
      <c r="D1810" t="s">
        <v>2048</v>
      </c>
      <c r="E1810" t="s">
        <v>13</v>
      </c>
      <c r="F1810">
        <v>249.29</v>
      </c>
      <c r="G1810">
        <v>18.649999999999999</v>
      </c>
      <c r="H1810">
        <v>267.94</v>
      </c>
    </row>
    <row r="1811" spans="1:8" x14ac:dyDescent="0.35">
      <c r="A1811" t="s">
        <v>9</v>
      </c>
      <c r="B1811" t="s">
        <v>2053</v>
      </c>
      <c r="C1811" t="s">
        <v>11</v>
      </c>
      <c r="D1811" t="s">
        <v>2048</v>
      </c>
      <c r="E1811" t="s">
        <v>13</v>
      </c>
      <c r="F1811">
        <v>217.51</v>
      </c>
      <c r="G1811">
        <v>25.43</v>
      </c>
      <c r="H1811">
        <v>242.94</v>
      </c>
    </row>
    <row r="1812" spans="1:8" x14ac:dyDescent="0.35">
      <c r="A1812" t="s">
        <v>9</v>
      </c>
      <c r="B1812" t="s">
        <v>2054</v>
      </c>
      <c r="C1812" t="s">
        <v>11</v>
      </c>
      <c r="D1812" t="s">
        <v>2048</v>
      </c>
      <c r="E1812" t="s">
        <v>13</v>
      </c>
      <c r="F1812">
        <v>628.70000000000005</v>
      </c>
      <c r="G1812">
        <v>67.41</v>
      </c>
      <c r="H1812">
        <v>696.11</v>
      </c>
    </row>
    <row r="1813" spans="1:8" x14ac:dyDescent="0.35">
      <c r="A1813" t="s">
        <v>9</v>
      </c>
      <c r="B1813" t="s">
        <v>2055</v>
      </c>
      <c r="C1813" t="s">
        <v>11</v>
      </c>
      <c r="D1813" t="s">
        <v>2056</v>
      </c>
      <c r="E1813" t="s">
        <v>13</v>
      </c>
      <c r="F1813">
        <v>410.95</v>
      </c>
      <c r="G1813">
        <v>22.95</v>
      </c>
      <c r="H1813">
        <v>433.9</v>
      </c>
    </row>
    <row r="1814" spans="1:8" x14ac:dyDescent="0.35">
      <c r="A1814" t="s">
        <v>9</v>
      </c>
      <c r="B1814" t="s">
        <v>2057</v>
      </c>
      <c r="C1814" t="s">
        <v>11</v>
      </c>
      <c r="D1814" t="s">
        <v>2056</v>
      </c>
      <c r="E1814" t="s">
        <v>13</v>
      </c>
      <c r="F1814">
        <v>909.49</v>
      </c>
      <c r="G1814">
        <v>134.03</v>
      </c>
      <c r="H1814">
        <v>1043.52</v>
      </c>
    </row>
    <row r="1815" spans="1:8" x14ac:dyDescent="0.35">
      <c r="A1815" t="s">
        <v>9</v>
      </c>
      <c r="B1815" t="s">
        <v>2058</v>
      </c>
      <c r="C1815" t="s">
        <v>11</v>
      </c>
      <c r="D1815" t="s">
        <v>2056</v>
      </c>
      <c r="E1815" t="s">
        <v>13</v>
      </c>
      <c r="F1815">
        <v>682.55</v>
      </c>
      <c r="G1815">
        <v>89.34</v>
      </c>
      <c r="H1815">
        <v>771.89</v>
      </c>
    </row>
    <row r="1816" spans="1:8" x14ac:dyDescent="0.35">
      <c r="A1816" t="s">
        <v>9</v>
      </c>
      <c r="B1816" t="s">
        <v>2059</v>
      </c>
      <c r="C1816" t="s">
        <v>11</v>
      </c>
      <c r="D1816" t="s">
        <v>2056</v>
      </c>
      <c r="E1816" t="s">
        <v>13</v>
      </c>
      <c r="F1816">
        <v>1016.25</v>
      </c>
      <c r="G1816">
        <v>114.49</v>
      </c>
      <c r="H1816">
        <v>1130.74</v>
      </c>
    </row>
    <row r="1817" spans="1:8" x14ac:dyDescent="0.35">
      <c r="A1817" t="s">
        <v>9</v>
      </c>
      <c r="B1817" t="s">
        <v>2060</v>
      </c>
      <c r="C1817" t="s">
        <v>11</v>
      </c>
      <c r="D1817" t="s">
        <v>2056</v>
      </c>
      <c r="E1817" t="s">
        <v>13</v>
      </c>
      <c r="F1817">
        <v>335.15</v>
      </c>
      <c r="G1817">
        <v>45.77</v>
      </c>
      <c r="H1817">
        <v>380.92</v>
      </c>
    </row>
    <row r="1818" spans="1:8" x14ac:dyDescent="0.35">
      <c r="A1818" t="s">
        <v>9</v>
      </c>
      <c r="B1818" t="s">
        <v>2061</v>
      </c>
      <c r="C1818" t="s">
        <v>11</v>
      </c>
      <c r="D1818" t="s">
        <v>2056</v>
      </c>
      <c r="E1818" t="s">
        <v>13</v>
      </c>
      <c r="F1818">
        <v>398.63</v>
      </c>
      <c r="G1818">
        <v>45.25</v>
      </c>
      <c r="H1818">
        <v>443.88</v>
      </c>
    </row>
    <row r="1819" spans="1:8" x14ac:dyDescent="0.35">
      <c r="A1819" t="s">
        <v>9</v>
      </c>
      <c r="B1819" t="s">
        <v>2062</v>
      </c>
      <c r="C1819" t="s">
        <v>11</v>
      </c>
      <c r="D1819" t="s">
        <v>2056</v>
      </c>
      <c r="E1819" t="s">
        <v>13</v>
      </c>
      <c r="F1819">
        <v>440.92</v>
      </c>
      <c r="G1819">
        <v>54.89</v>
      </c>
      <c r="H1819">
        <v>495.81</v>
      </c>
    </row>
    <row r="1820" spans="1:8" x14ac:dyDescent="0.35">
      <c r="A1820" t="s">
        <v>9</v>
      </c>
      <c r="B1820" t="s">
        <v>2063</v>
      </c>
      <c r="C1820" t="s">
        <v>11</v>
      </c>
      <c r="D1820" t="s">
        <v>2056</v>
      </c>
      <c r="E1820" t="s">
        <v>13</v>
      </c>
      <c r="F1820">
        <v>565.33000000000004</v>
      </c>
      <c r="G1820">
        <v>54.96</v>
      </c>
      <c r="H1820">
        <v>620.29</v>
      </c>
    </row>
    <row r="1821" spans="1:8" x14ac:dyDescent="0.35">
      <c r="A1821" t="s">
        <v>9</v>
      </c>
      <c r="B1821" t="s">
        <v>2064</v>
      </c>
      <c r="C1821" t="s">
        <v>11</v>
      </c>
      <c r="D1821" t="s">
        <v>2056</v>
      </c>
      <c r="E1821" t="s">
        <v>13</v>
      </c>
      <c r="F1821">
        <v>237.78</v>
      </c>
      <c r="G1821">
        <v>31.17</v>
      </c>
      <c r="H1821">
        <v>268.95</v>
      </c>
    </row>
    <row r="1822" spans="1:8" x14ac:dyDescent="0.35">
      <c r="A1822" t="s">
        <v>9</v>
      </c>
      <c r="B1822" t="s">
        <v>2065</v>
      </c>
      <c r="C1822" t="s">
        <v>11</v>
      </c>
      <c r="D1822" t="s">
        <v>2056</v>
      </c>
      <c r="E1822" t="s">
        <v>13</v>
      </c>
      <c r="F1822">
        <v>564.69000000000005</v>
      </c>
      <c r="G1822">
        <v>83.2</v>
      </c>
      <c r="H1822">
        <v>647.89</v>
      </c>
    </row>
    <row r="1823" spans="1:8" x14ac:dyDescent="0.35">
      <c r="A1823" t="s">
        <v>9</v>
      </c>
      <c r="B1823" t="s">
        <v>2066</v>
      </c>
      <c r="C1823" t="s">
        <v>11</v>
      </c>
      <c r="D1823" t="s">
        <v>2056</v>
      </c>
      <c r="E1823" t="s">
        <v>13</v>
      </c>
      <c r="F1823">
        <v>410.54</v>
      </c>
      <c r="G1823">
        <v>38.33</v>
      </c>
      <c r="H1823">
        <v>448.87</v>
      </c>
    </row>
    <row r="1824" spans="1:8" x14ac:dyDescent="0.35">
      <c r="A1824" t="s">
        <v>9</v>
      </c>
      <c r="B1824" t="s">
        <v>2067</v>
      </c>
      <c r="C1824" t="s">
        <v>11</v>
      </c>
      <c r="D1824" t="s">
        <v>2056</v>
      </c>
      <c r="E1824" t="s">
        <v>13</v>
      </c>
      <c r="F1824">
        <v>511.57</v>
      </c>
      <c r="G1824">
        <v>50.34</v>
      </c>
      <c r="H1824">
        <v>561.91</v>
      </c>
    </row>
    <row r="1825" spans="1:8" x14ac:dyDescent="0.35">
      <c r="A1825" t="s">
        <v>9</v>
      </c>
      <c r="B1825" t="s">
        <v>2068</v>
      </c>
      <c r="C1825" t="s">
        <v>11</v>
      </c>
      <c r="D1825" t="s">
        <v>2056</v>
      </c>
      <c r="E1825" t="s">
        <v>13</v>
      </c>
      <c r="F1825">
        <v>125.61</v>
      </c>
      <c r="G1825">
        <v>11.34</v>
      </c>
      <c r="H1825">
        <v>136.94999999999999</v>
      </c>
    </row>
    <row r="1826" spans="1:8" x14ac:dyDescent="0.35">
      <c r="A1826" t="s">
        <v>9</v>
      </c>
      <c r="B1826" t="s">
        <v>2069</v>
      </c>
      <c r="C1826" t="s">
        <v>11</v>
      </c>
      <c r="D1826" t="s">
        <v>2070</v>
      </c>
      <c r="E1826" t="s">
        <v>13</v>
      </c>
      <c r="F1826">
        <v>1043.6099999999999</v>
      </c>
      <c r="G1826">
        <v>134.35</v>
      </c>
      <c r="H1826">
        <v>1177.96</v>
      </c>
    </row>
    <row r="1827" spans="1:8" x14ac:dyDescent="0.35">
      <c r="A1827" t="s">
        <v>9</v>
      </c>
      <c r="B1827" t="s">
        <v>2071</v>
      </c>
      <c r="C1827" t="s">
        <v>11</v>
      </c>
      <c r="D1827" t="s">
        <v>2070</v>
      </c>
      <c r="E1827" t="s">
        <v>13</v>
      </c>
      <c r="F1827">
        <v>248.26</v>
      </c>
      <c r="G1827">
        <v>34.69</v>
      </c>
      <c r="H1827">
        <v>282.95</v>
      </c>
    </row>
    <row r="1828" spans="1:8" x14ac:dyDescent="0.35">
      <c r="A1828" t="s">
        <v>9</v>
      </c>
      <c r="B1828" t="s">
        <v>2072</v>
      </c>
      <c r="C1828" t="s">
        <v>11</v>
      </c>
      <c r="D1828" t="s">
        <v>2070</v>
      </c>
      <c r="E1828" t="s">
        <v>13</v>
      </c>
      <c r="F1828">
        <v>247.33</v>
      </c>
      <c r="G1828">
        <v>37.1</v>
      </c>
      <c r="H1828">
        <v>284.43</v>
      </c>
    </row>
    <row r="1829" spans="1:8" x14ac:dyDescent="0.35">
      <c r="A1829" t="s">
        <v>9</v>
      </c>
      <c r="B1829" t="s">
        <v>2073</v>
      </c>
      <c r="C1829" t="s">
        <v>11</v>
      </c>
      <c r="D1829" t="s">
        <v>2070</v>
      </c>
      <c r="E1829" t="s">
        <v>13</v>
      </c>
      <c r="F1829">
        <v>821.54</v>
      </c>
      <c r="G1829">
        <v>102.09</v>
      </c>
      <c r="H1829">
        <v>923.63</v>
      </c>
    </row>
    <row r="1830" spans="1:8" x14ac:dyDescent="0.35">
      <c r="A1830" t="s">
        <v>9</v>
      </c>
      <c r="B1830" t="s">
        <v>2074</v>
      </c>
      <c r="C1830" t="s">
        <v>11</v>
      </c>
      <c r="D1830" t="s">
        <v>2070</v>
      </c>
      <c r="E1830" t="s">
        <v>13</v>
      </c>
      <c r="F1830">
        <v>226.06</v>
      </c>
      <c r="G1830">
        <v>32.409999999999997</v>
      </c>
      <c r="H1830">
        <v>258.47000000000003</v>
      </c>
    </row>
    <row r="1831" spans="1:8" x14ac:dyDescent="0.35">
      <c r="A1831" t="s">
        <v>9</v>
      </c>
      <c r="B1831" t="s">
        <v>2075</v>
      </c>
      <c r="C1831" t="s">
        <v>11</v>
      </c>
      <c r="D1831" t="s">
        <v>2070</v>
      </c>
      <c r="E1831" t="s">
        <v>13</v>
      </c>
      <c r="F1831">
        <v>242.76</v>
      </c>
      <c r="G1831">
        <v>19.170000000000002</v>
      </c>
      <c r="H1831">
        <v>261.93</v>
      </c>
    </row>
    <row r="1832" spans="1:8" x14ac:dyDescent="0.35">
      <c r="A1832" t="s">
        <v>9</v>
      </c>
      <c r="B1832" t="s">
        <v>2076</v>
      </c>
      <c r="C1832" t="s">
        <v>11</v>
      </c>
      <c r="D1832" t="s">
        <v>2070</v>
      </c>
      <c r="E1832" t="s">
        <v>13</v>
      </c>
      <c r="F1832">
        <v>396.37</v>
      </c>
      <c r="G1832">
        <v>56.45</v>
      </c>
      <c r="H1832">
        <v>452.82</v>
      </c>
    </row>
    <row r="1833" spans="1:8" x14ac:dyDescent="0.35">
      <c r="A1833" t="s">
        <v>9</v>
      </c>
      <c r="B1833" t="s">
        <v>2077</v>
      </c>
      <c r="C1833" t="s">
        <v>11</v>
      </c>
      <c r="D1833" t="s">
        <v>2078</v>
      </c>
      <c r="E1833" t="s">
        <v>13</v>
      </c>
      <c r="F1833">
        <v>300.83</v>
      </c>
      <c r="G1833">
        <v>45.13</v>
      </c>
      <c r="H1833">
        <v>345.96</v>
      </c>
    </row>
    <row r="1834" spans="1:8" x14ac:dyDescent="0.35">
      <c r="A1834" t="s">
        <v>9</v>
      </c>
      <c r="B1834" t="s">
        <v>2079</v>
      </c>
      <c r="C1834" t="s">
        <v>11</v>
      </c>
      <c r="D1834" t="s">
        <v>2078</v>
      </c>
      <c r="E1834" t="s">
        <v>13</v>
      </c>
      <c r="F1834">
        <v>659.45</v>
      </c>
      <c r="G1834">
        <v>83.17</v>
      </c>
      <c r="H1834">
        <v>742.62</v>
      </c>
    </row>
    <row r="1835" spans="1:8" x14ac:dyDescent="0.35">
      <c r="A1835" t="s">
        <v>9</v>
      </c>
      <c r="B1835" t="s">
        <v>2080</v>
      </c>
      <c r="C1835" t="s">
        <v>11</v>
      </c>
      <c r="D1835" t="s">
        <v>2078</v>
      </c>
      <c r="E1835" t="s">
        <v>13</v>
      </c>
      <c r="F1835">
        <v>235.76</v>
      </c>
      <c r="G1835">
        <v>31.17</v>
      </c>
      <c r="H1835">
        <v>266.93</v>
      </c>
    </row>
    <row r="1836" spans="1:8" x14ac:dyDescent="0.35">
      <c r="A1836" t="s">
        <v>9</v>
      </c>
      <c r="B1836" t="s">
        <v>2081</v>
      </c>
      <c r="C1836" t="s">
        <v>11</v>
      </c>
      <c r="D1836" t="s">
        <v>2078</v>
      </c>
      <c r="E1836" t="s">
        <v>13</v>
      </c>
      <c r="F1836">
        <v>1034.8900000000001</v>
      </c>
      <c r="G1836">
        <v>137.84</v>
      </c>
      <c r="H1836">
        <v>1172.73</v>
      </c>
    </row>
    <row r="1837" spans="1:8" x14ac:dyDescent="0.35">
      <c r="A1837" t="s">
        <v>9</v>
      </c>
      <c r="B1837" t="s">
        <v>2082</v>
      </c>
      <c r="C1837" t="s">
        <v>11</v>
      </c>
      <c r="D1837" t="s">
        <v>2078</v>
      </c>
      <c r="E1837" t="s">
        <v>13</v>
      </c>
      <c r="F1837">
        <v>155.19</v>
      </c>
      <c r="G1837">
        <v>21.78</v>
      </c>
      <c r="H1837">
        <v>176.97</v>
      </c>
    </row>
    <row r="1838" spans="1:8" x14ac:dyDescent="0.35">
      <c r="A1838" t="s">
        <v>9</v>
      </c>
      <c r="B1838" t="s">
        <v>2083</v>
      </c>
      <c r="C1838" t="s">
        <v>11</v>
      </c>
      <c r="D1838" t="s">
        <v>2078</v>
      </c>
      <c r="E1838" t="s">
        <v>13</v>
      </c>
      <c r="F1838">
        <v>267.3</v>
      </c>
      <c r="G1838">
        <v>24.65</v>
      </c>
      <c r="H1838">
        <v>291.95</v>
      </c>
    </row>
    <row r="1839" spans="1:8" x14ac:dyDescent="0.35">
      <c r="A1839" t="s">
        <v>9</v>
      </c>
      <c r="B1839" t="s">
        <v>2084</v>
      </c>
      <c r="C1839" t="s">
        <v>11</v>
      </c>
      <c r="D1839" t="s">
        <v>2078</v>
      </c>
      <c r="E1839" t="s">
        <v>13</v>
      </c>
      <c r="F1839">
        <v>322.10000000000002</v>
      </c>
      <c r="G1839">
        <v>46.82</v>
      </c>
      <c r="H1839">
        <v>368.92</v>
      </c>
    </row>
    <row r="1840" spans="1:8" x14ac:dyDescent="0.35">
      <c r="A1840" t="s">
        <v>9</v>
      </c>
      <c r="B1840" t="s">
        <v>2085</v>
      </c>
      <c r="C1840" t="s">
        <v>11</v>
      </c>
      <c r="D1840" t="s">
        <v>2078</v>
      </c>
      <c r="E1840" t="s">
        <v>13</v>
      </c>
      <c r="F1840">
        <v>310.55</v>
      </c>
      <c r="G1840">
        <v>21.39</v>
      </c>
      <c r="H1840">
        <v>331.94</v>
      </c>
    </row>
    <row r="1841" spans="1:8" x14ac:dyDescent="0.35">
      <c r="A1841" t="s">
        <v>9</v>
      </c>
      <c r="B1841" t="s">
        <v>2086</v>
      </c>
      <c r="C1841" t="s">
        <v>11</v>
      </c>
      <c r="D1841" t="s">
        <v>2078</v>
      </c>
      <c r="E1841" t="s">
        <v>13</v>
      </c>
      <c r="F1841">
        <v>301.95999999999998</v>
      </c>
      <c r="G1841">
        <v>25.95</v>
      </c>
      <c r="H1841">
        <v>327.91</v>
      </c>
    </row>
    <row r="1842" spans="1:8" x14ac:dyDescent="0.35">
      <c r="A1842" t="s">
        <v>9</v>
      </c>
      <c r="B1842" t="s">
        <v>2087</v>
      </c>
      <c r="C1842" t="s">
        <v>11</v>
      </c>
      <c r="D1842" t="s">
        <v>2088</v>
      </c>
      <c r="E1842" t="s">
        <v>13</v>
      </c>
      <c r="F1842">
        <v>149.09</v>
      </c>
      <c r="G1842">
        <v>20.86</v>
      </c>
      <c r="H1842">
        <v>169.95</v>
      </c>
    </row>
    <row r="1843" spans="1:8" x14ac:dyDescent="0.35">
      <c r="A1843" t="s">
        <v>9</v>
      </c>
      <c r="B1843" t="s">
        <v>2089</v>
      </c>
      <c r="C1843" t="s">
        <v>11</v>
      </c>
      <c r="D1843" t="s">
        <v>2088</v>
      </c>
      <c r="E1843" t="s">
        <v>13</v>
      </c>
      <c r="F1843">
        <v>123.46</v>
      </c>
      <c r="G1843">
        <v>18.52</v>
      </c>
      <c r="H1843">
        <v>141.97999999999999</v>
      </c>
    </row>
    <row r="1844" spans="1:8" x14ac:dyDescent="0.35">
      <c r="A1844" t="s">
        <v>9</v>
      </c>
      <c r="B1844" t="s">
        <v>2090</v>
      </c>
      <c r="C1844" t="s">
        <v>11</v>
      </c>
      <c r="D1844" t="s">
        <v>2088</v>
      </c>
      <c r="E1844" t="s">
        <v>13</v>
      </c>
      <c r="F1844">
        <v>857.93</v>
      </c>
      <c r="G1844">
        <v>117.38</v>
      </c>
      <c r="H1844">
        <v>975.31</v>
      </c>
    </row>
    <row r="1845" spans="1:8" x14ac:dyDescent="0.35">
      <c r="A1845" t="s">
        <v>9</v>
      </c>
      <c r="B1845" t="s">
        <v>2091</v>
      </c>
      <c r="C1845" t="s">
        <v>11</v>
      </c>
      <c r="D1845" t="s">
        <v>2088</v>
      </c>
      <c r="E1845" t="s">
        <v>13</v>
      </c>
      <c r="F1845">
        <v>211.28</v>
      </c>
      <c r="G1845">
        <v>16.690000000000001</v>
      </c>
      <c r="H1845">
        <v>227.97</v>
      </c>
    </row>
    <row r="1846" spans="1:8" x14ac:dyDescent="0.35">
      <c r="A1846" t="s">
        <v>9</v>
      </c>
      <c r="B1846" t="s">
        <v>2092</v>
      </c>
      <c r="C1846" t="s">
        <v>11</v>
      </c>
      <c r="D1846" t="s">
        <v>2088</v>
      </c>
      <c r="E1846" t="s">
        <v>13</v>
      </c>
      <c r="F1846">
        <v>535.98</v>
      </c>
      <c r="G1846">
        <v>78.900000000000006</v>
      </c>
      <c r="H1846">
        <v>614.88</v>
      </c>
    </row>
    <row r="1847" spans="1:8" x14ac:dyDescent="0.35">
      <c r="A1847" t="s">
        <v>9</v>
      </c>
      <c r="B1847" t="s">
        <v>2093</v>
      </c>
      <c r="C1847" t="s">
        <v>11</v>
      </c>
      <c r="D1847" t="s">
        <v>2094</v>
      </c>
      <c r="E1847" t="s">
        <v>13</v>
      </c>
      <c r="F1847">
        <v>507.3</v>
      </c>
      <c r="G1847">
        <v>74.59</v>
      </c>
      <c r="H1847">
        <v>581.89</v>
      </c>
    </row>
    <row r="1848" spans="1:8" x14ac:dyDescent="0.35">
      <c r="A1848" t="s">
        <v>9</v>
      </c>
      <c r="B1848" t="s">
        <v>2095</v>
      </c>
      <c r="C1848" t="s">
        <v>11</v>
      </c>
      <c r="D1848" t="s">
        <v>2094</v>
      </c>
      <c r="E1848" t="s">
        <v>13</v>
      </c>
      <c r="F1848">
        <v>809.63</v>
      </c>
      <c r="G1848">
        <v>75.25</v>
      </c>
      <c r="H1848">
        <v>884.88</v>
      </c>
    </row>
    <row r="1849" spans="1:8" x14ac:dyDescent="0.35">
      <c r="A1849" t="s">
        <v>9</v>
      </c>
      <c r="B1849" t="s">
        <v>2096</v>
      </c>
      <c r="C1849" t="s">
        <v>11</v>
      </c>
      <c r="D1849" t="s">
        <v>2094</v>
      </c>
      <c r="E1849" t="s">
        <v>13</v>
      </c>
      <c r="F1849">
        <v>939.9</v>
      </c>
      <c r="G1849">
        <v>140.99</v>
      </c>
      <c r="H1849">
        <v>1080.8900000000001</v>
      </c>
    </row>
    <row r="1850" spans="1:8" x14ac:dyDescent="0.35">
      <c r="A1850" t="s">
        <v>9</v>
      </c>
      <c r="B1850" t="s">
        <v>2097</v>
      </c>
      <c r="C1850" t="s">
        <v>11</v>
      </c>
      <c r="D1850" t="s">
        <v>2094</v>
      </c>
      <c r="E1850" t="s">
        <v>13</v>
      </c>
      <c r="F1850">
        <v>314.94</v>
      </c>
      <c r="G1850">
        <v>35.99</v>
      </c>
      <c r="H1850">
        <v>350.93</v>
      </c>
    </row>
    <row r="1851" spans="1:8" x14ac:dyDescent="0.35">
      <c r="A1851" t="s">
        <v>9</v>
      </c>
      <c r="B1851" t="s">
        <v>2098</v>
      </c>
      <c r="C1851" t="s">
        <v>11</v>
      </c>
      <c r="D1851" t="s">
        <v>2094</v>
      </c>
      <c r="E1851" t="s">
        <v>13</v>
      </c>
      <c r="F1851">
        <v>136.86000000000001</v>
      </c>
      <c r="G1851">
        <v>20.53</v>
      </c>
      <c r="H1851">
        <v>157.38999999999999</v>
      </c>
    </row>
    <row r="1852" spans="1:8" x14ac:dyDescent="0.35">
      <c r="A1852" t="s">
        <v>9</v>
      </c>
      <c r="B1852" t="s">
        <v>2099</v>
      </c>
      <c r="C1852" t="s">
        <v>11</v>
      </c>
      <c r="D1852" t="s">
        <v>2094</v>
      </c>
      <c r="E1852" t="s">
        <v>13</v>
      </c>
      <c r="F1852">
        <v>135.63</v>
      </c>
      <c r="G1852">
        <v>20.34</v>
      </c>
      <c r="H1852">
        <v>155.97</v>
      </c>
    </row>
    <row r="1853" spans="1:8" x14ac:dyDescent="0.35">
      <c r="A1853" t="s">
        <v>9</v>
      </c>
      <c r="B1853" t="s">
        <v>2100</v>
      </c>
      <c r="C1853" t="s">
        <v>11</v>
      </c>
      <c r="D1853" t="s">
        <v>2094</v>
      </c>
      <c r="E1853" t="s">
        <v>13</v>
      </c>
      <c r="F1853">
        <v>337.77</v>
      </c>
      <c r="G1853">
        <v>46.16</v>
      </c>
      <c r="H1853">
        <v>383.93</v>
      </c>
    </row>
    <row r="1854" spans="1:8" x14ac:dyDescent="0.35">
      <c r="A1854" t="s">
        <v>9</v>
      </c>
      <c r="B1854" t="s">
        <v>2101</v>
      </c>
      <c r="C1854" t="s">
        <v>11</v>
      </c>
      <c r="D1854" t="s">
        <v>2102</v>
      </c>
      <c r="E1854" t="s">
        <v>13</v>
      </c>
      <c r="F1854">
        <v>705.1</v>
      </c>
      <c r="G1854">
        <v>29.73</v>
      </c>
      <c r="H1854">
        <v>734.83</v>
      </c>
    </row>
    <row r="1855" spans="1:8" x14ac:dyDescent="0.35">
      <c r="A1855" t="s">
        <v>9</v>
      </c>
      <c r="B1855" t="s">
        <v>2103</v>
      </c>
      <c r="C1855" t="s">
        <v>11</v>
      </c>
      <c r="D1855" t="s">
        <v>2102</v>
      </c>
      <c r="E1855" t="s">
        <v>13</v>
      </c>
      <c r="F1855">
        <v>382.14</v>
      </c>
      <c r="G1855">
        <v>55.82</v>
      </c>
      <c r="H1855">
        <v>437.96</v>
      </c>
    </row>
    <row r="1856" spans="1:8" x14ac:dyDescent="0.35">
      <c r="A1856" t="s">
        <v>9</v>
      </c>
      <c r="B1856" t="s">
        <v>2104</v>
      </c>
      <c r="C1856" t="s">
        <v>11</v>
      </c>
      <c r="D1856" t="s">
        <v>2102</v>
      </c>
      <c r="E1856" t="s">
        <v>13</v>
      </c>
      <c r="F1856">
        <v>225.65</v>
      </c>
      <c r="G1856">
        <v>19.3</v>
      </c>
      <c r="H1856">
        <v>244.95</v>
      </c>
    </row>
    <row r="1857" spans="1:8" x14ac:dyDescent="0.35">
      <c r="A1857" t="s">
        <v>9</v>
      </c>
      <c r="B1857" t="s">
        <v>2105</v>
      </c>
      <c r="C1857" t="s">
        <v>11</v>
      </c>
      <c r="D1857" t="s">
        <v>2102</v>
      </c>
      <c r="E1857" t="s">
        <v>13</v>
      </c>
      <c r="F1857">
        <v>417.68</v>
      </c>
      <c r="G1857">
        <v>47.21</v>
      </c>
      <c r="H1857">
        <v>464.89</v>
      </c>
    </row>
    <row r="1858" spans="1:8" x14ac:dyDescent="0.35">
      <c r="A1858" t="s">
        <v>9</v>
      </c>
      <c r="B1858" t="s">
        <v>2106</v>
      </c>
      <c r="C1858" t="s">
        <v>11</v>
      </c>
      <c r="D1858" t="s">
        <v>2102</v>
      </c>
      <c r="E1858" t="s">
        <v>13</v>
      </c>
      <c r="F1858">
        <v>496.62</v>
      </c>
      <c r="G1858">
        <v>48.25</v>
      </c>
      <c r="H1858">
        <v>544.87</v>
      </c>
    </row>
    <row r="1859" spans="1:8" x14ac:dyDescent="0.35">
      <c r="A1859" t="s">
        <v>9</v>
      </c>
      <c r="B1859" t="s">
        <v>2107</v>
      </c>
      <c r="C1859" t="s">
        <v>11</v>
      </c>
      <c r="D1859" t="s">
        <v>2102</v>
      </c>
      <c r="E1859" t="s">
        <v>13</v>
      </c>
      <c r="F1859">
        <v>142.99</v>
      </c>
      <c r="G1859">
        <v>19.95</v>
      </c>
      <c r="H1859">
        <v>162.94</v>
      </c>
    </row>
    <row r="1860" spans="1:8" x14ac:dyDescent="0.35">
      <c r="A1860" t="s">
        <v>9</v>
      </c>
      <c r="B1860" t="s">
        <v>2108</v>
      </c>
      <c r="C1860" t="s">
        <v>11</v>
      </c>
      <c r="D1860" t="s">
        <v>2109</v>
      </c>
      <c r="E1860" t="s">
        <v>13</v>
      </c>
      <c r="F1860">
        <v>262.11</v>
      </c>
      <c r="G1860">
        <v>34.82</v>
      </c>
      <c r="H1860">
        <v>296.93</v>
      </c>
    </row>
    <row r="1861" spans="1:8" x14ac:dyDescent="0.35">
      <c r="A1861" t="s">
        <v>9</v>
      </c>
      <c r="B1861" t="s">
        <v>2110</v>
      </c>
      <c r="C1861" t="s">
        <v>11</v>
      </c>
      <c r="D1861" t="s">
        <v>2109</v>
      </c>
      <c r="E1861" t="s">
        <v>13</v>
      </c>
      <c r="F1861">
        <v>282.58999999999997</v>
      </c>
      <c r="G1861">
        <v>42.39</v>
      </c>
      <c r="H1861">
        <v>324.98</v>
      </c>
    </row>
    <row r="1862" spans="1:8" x14ac:dyDescent="0.35">
      <c r="A1862" t="s">
        <v>9</v>
      </c>
      <c r="B1862" t="s">
        <v>2111</v>
      </c>
      <c r="C1862" t="s">
        <v>11</v>
      </c>
      <c r="D1862" t="s">
        <v>2109</v>
      </c>
      <c r="E1862" t="s">
        <v>13</v>
      </c>
      <c r="F1862">
        <v>661.38</v>
      </c>
      <c r="G1862">
        <v>71.459999999999994</v>
      </c>
      <c r="H1862">
        <v>732.84</v>
      </c>
    </row>
    <row r="1863" spans="1:8" x14ac:dyDescent="0.35">
      <c r="A1863" t="s">
        <v>9</v>
      </c>
      <c r="B1863" t="s">
        <v>2112</v>
      </c>
      <c r="C1863" t="s">
        <v>11</v>
      </c>
      <c r="D1863" t="s">
        <v>2109</v>
      </c>
      <c r="E1863" t="s">
        <v>13</v>
      </c>
      <c r="F1863">
        <v>442.79</v>
      </c>
      <c r="G1863">
        <v>60.12</v>
      </c>
      <c r="H1863">
        <v>502.91</v>
      </c>
    </row>
    <row r="1864" spans="1:8" x14ac:dyDescent="0.35">
      <c r="A1864" t="s">
        <v>9</v>
      </c>
      <c r="B1864" t="s">
        <v>2113</v>
      </c>
      <c r="C1864" t="s">
        <v>11</v>
      </c>
      <c r="D1864" t="s">
        <v>2109</v>
      </c>
      <c r="E1864" t="s">
        <v>13</v>
      </c>
      <c r="F1864">
        <v>226.76</v>
      </c>
      <c r="G1864">
        <v>31.17</v>
      </c>
      <c r="H1864">
        <v>257.93</v>
      </c>
    </row>
    <row r="1865" spans="1:8" x14ac:dyDescent="0.35">
      <c r="A1865" t="s">
        <v>9</v>
      </c>
      <c r="B1865" t="s">
        <v>2114</v>
      </c>
      <c r="C1865" t="s">
        <v>11</v>
      </c>
      <c r="D1865" t="s">
        <v>2109</v>
      </c>
      <c r="E1865" t="s">
        <v>13</v>
      </c>
      <c r="F1865">
        <v>870.95</v>
      </c>
      <c r="G1865">
        <v>93.45</v>
      </c>
      <c r="H1865">
        <v>964.4</v>
      </c>
    </row>
    <row r="1866" spans="1:8" x14ac:dyDescent="0.35">
      <c r="A1866" t="s">
        <v>9</v>
      </c>
      <c r="B1866" t="s">
        <v>2115</v>
      </c>
      <c r="C1866" t="s">
        <v>11</v>
      </c>
      <c r="D1866" t="s">
        <v>2109</v>
      </c>
      <c r="E1866" t="s">
        <v>13</v>
      </c>
      <c r="F1866">
        <v>169.09</v>
      </c>
      <c r="G1866">
        <v>14.86</v>
      </c>
      <c r="H1866">
        <v>183.95</v>
      </c>
    </row>
    <row r="1867" spans="1:8" x14ac:dyDescent="0.35">
      <c r="A1867" t="s">
        <v>9</v>
      </c>
      <c r="B1867" t="s">
        <v>2116</v>
      </c>
      <c r="C1867" t="s">
        <v>11</v>
      </c>
      <c r="D1867" t="s">
        <v>2117</v>
      </c>
      <c r="E1867" t="s">
        <v>13</v>
      </c>
      <c r="F1867">
        <v>348.12</v>
      </c>
      <c r="G1867">
        <v>47.72</v>
      </c>
      <c r="H1867">
        <v>395.84</v>
      </c>
    </row>
    <row r="1868" spans="1:8" x14ac:dyDescent="0.35">
      <c r="A1868" t="s">
        <v>9</v>
      </c>
      <c r="B1868" t="s">
        <v>2118</v>
      </c>
      <c r="C1868" t="s">
        <v>11</v>
      </c>
      <c r="D1868" t="s">
        <v>2117</v>
      </c>
      <c r="E1868" t="s">
        <v>13</v>
      </c>
      <c r="F1868">
        <v>999.39</v>
      </c>
      <c r="G1868">
        <v>136.41</v>
      </c>
      <c r="H1868">
        <v>1135.8</v>
      </c>
    </row>
    <row r="1869" spans="1:8" x14ac:dyDescent="0.35">
      <c r="A1869" t="s">
        <v>9</v>
      </c>
      <c r="B1869" t="s">
        <v>2119</v>
      </c>
      <c r="C1869" t="s">
        <v>11</v>
      </c>
      <c r="D1869" t="s">
        <v>2117</v>
      </c>
      <c r="E1869" t="s">
        <v>13</v>
      </c>
      <c r="F1869">
        <v>278.18</v>
      </c>
      <c r="G1869">
        <v>32.729999999999997</v>
      </c>
      <c r="H1869">
        <v>310.91000000000003</v>
      </c>
    </row>
    <row r="1870" spans="1:8" x14ac:dyDescent="0.35">
      <c r="A1870" t="s">
        <v>9</v>
      </c>
      <c r="B1870" t="s">
        <v>2120</v>
      </c>
      <c r="C1870" t="s">
        <v>11</v>
      </c>
      <c r="D1870" t="s">
        <v>2117</v>
      </c>
      <c r="E1870" t="s">
        <v>13</v>
      </c>
      <c r="F1870">
        <v>1086.3699999999999</v>
      </c>
      <c r="G1870">
        <v>127.41</v>
      </c>
      <c r="H1870">
        <v>1213.78</v>
      </c>
    </row>
    <row r="1871" spans="1:8" x14ac:dyDescent="0.35">
      <c r="A1871" t="s">
        <v>9</v>
      </c>
      <c r="B1871" t="s">
        <v>2121</v>
      </c>
      <c r="C1871" t="s">
        <v>11</v>
      </c>
      <c r="D1871" t="s">
        <v>2117</v>
      </c>
      <c r="E1871" t="s">
        <v>13</v>
      </c>
      <c r="F1871">
        <v>940.59</v>
      </c>
      <c r="G1871">
        <v>122.19</v>
      </c>
      <c r="H1871">
        <v>1062.78</v>
      </c>
    </row>
    <row r="1872" spans="1:8" x14ac:dyDescent="0.35">
      <c r="A1872" t="s">
        <v>9</v>
      </c>
      <c r="B1872" t="s">
        <v>2122</v>
      </c>
      <c r="C1872" t="s">
        <v>11</v>
      </c>
      <c r="D1872" t="s">
        <v>2117</v>
      </c>
      <c r="E1872" t="s">
        <v>13</v>
      </c>
      <c r="F1872">
        <v>356.85</v>
      </c>
      <c r="G1872">
        <v>38.86</v>
      </c>
      <c r="H1872">
        <v>395.71</v>
      </c>
    </row>
    <row r="1873" spans="1:8" x14ac:dyDescent="0.35">
      <c r="A1873" t="s">
        <v>9</v>
      </c>
      <c r="B1873" t="s">
        <v>2123</v>
      </c>
      <c r="C1873" t="s">
        <v>11</v>
      </c>
      <c r="D1873" t="s">
        <v>2117</v>
      </c>
      <c r="E1873" t="s">
        <v>13</v>
      </c>
      <c r="F1873">
        <v>266.67</v>
      </c>
      <c r="G1873">
        <v>36.25</v>
      </c>
      <c r="H1873">
        <v>302.92</v>
      </c>
    </row>
    <row r="1874" spans="1:8" x14ac:dyDescent="0.35">
      <c r="A1874" t="s">
        <v>9</v>
      </c>
      <c r="B1874" t="s">
        <v>2124</v>
      </c>
      <c r="C1874" t="s">
        <v>11</v>
      </c>
      <c r="D1874" t="s">
        <v>2117</v>
      </c>
      <c r="E1874" t="s">
        <v>13</v>
      </c>
      <c r="F1874">
        <v>222.12</v>
      </c>
      <c r="G1874">
        <v>31.82</v>
      </c>
      <c r="H1874">
        <v>253.94</v>
      </c>
    </row>
    <row r="1875" spans="1:8" x14ac:dyDescent="0.35">
      <c r="A1875" t="s">
        <v>9</v>
      </c>
      <c r="B1875" t="s">
        <v>2125</v>
      </c>
      <c r="C1875" t="s">
        <v>11</v>
      </c>
      <c r="D1875" t="s">
        <v>2117</v>
      </c>
      <c r="E1875" t="s">
        <v>13</v>
      </c>
      <c r="F1875">
        <v>177.41</v>
      </c>
      <c r="G1875">
        <v>3.52</v>
      </c>
      <c r="H1875">
        <v>180.93</v>
      </c>
    </row>
    <row r="1876" spans="1:8" x14ac:dyDescent="0.35">
      <c r="A1876" t="s">
        <v>9</v>
      </c>
      <c r="B1876" t="s">
        <v>2126</v>
      </c>
      <c r="C1876" t="s">
        <v>11</v>
      </c>
      <c r="D1876" t="s">
        <v>2117</v>
      </c>
      <c r="E1876" t="s">
        <v>13</v>
      </c>
      <c r="F1876">
        <v>497.35</v>
      </c>
      <c r="G1876">
        <v>52.56</v>
      </c>
      <c r="H1876">
        <v>549.91</v>
      </c>
    </row>
    <row r="1877" spans="1:8" x14ac:dyDescent="0.35">
      <c r="A1877" t="s">
        <v>9</v>
      </c>
      <c r="B1877" t="s">
        <v>2127</v>
      </c>
      <c r="C1877" t="s">
        <v>11</v>
      </c>
      <c r="D1877" t="s">
        <v>2117</v>
      </c>
      <c r="E1877" t="s">
        <v>13</v>
      </c>
      <c r="F1877">
        <v>189.52</v>
      </c>
      <c r="G1877">
        <v>28.43</v>
      </c>
      <c r="H1877">
        <v>217.95</v>
      </c>
    </row>
    <row r="1878" spans="1:8" x14ac:dyDescent="0.35">
      <c r="A1878" t="s">
        <v>9</v>
      </c>
      <c r="B1878" t="s">
        <v>2128</v>
      </c>
      <c r="C1878" t="s">
        <v>11</v>
      </c>
      <c r="D1878" t="s">
        <v>2117</v>
      </c>
      <c r="E1878" t="s">
        <v>13</v>
      </c>
      <c r="F1878">
        <v>119.11</v>
      </c>
      <c r="G1878">
        <v>17.87</v>
      </c>
      <c r="H1878">
        <v>136.97999999999999</v>
      </c>
    </row>
    <row r="1879" spans="1:8" x14ac:dyDescent="0.35">
      <c r="A1879" t="s">
        <v>9</v>
      </c>
      <c r="B1879" t="s">
        <v>2129</v>
      </c>
      <c r="C1879" t="s">
        <v>11</v>
      </c>
      <c r="D1879" t="s">
        <v>2117</v>
      </c>
      <c r="E1879" t="s">
        <v>13</v>
      </c>
      <c r="F1879">
        <v>164.8</v>
      </c>
      <c r="G1879">
        <v>15.13</v>
      </c>
      <c r="H1879">
        <v>179.93</v>
      </c>
    </row>
    <row r="1880" spans="1:8" x14ac:dyDescent="0.35">
      <c r="A1880" t="s">
        <v>9</v>
      </c>
      <c r="B1880" t="s">
        <v>2130</v>
      </c>
      <c r="C1880" t="s">
        <v>11</v>
      </c>
      <c r="D1880" t="s">
        <v>2117</v>
      </c>
      <c r="E1880" t="s">
        <v>13</v>
      </c>
      <c r="F1880">
        <v>99.11</v>
      </c>
      <c r="G1880">
        <v>14.87</v>
      </c>
      <c r="H1880">
        <v>113.98</v>
      </c>
    </row>
    <row r="1881" spans="1:8" x14ac:dyDescent="0.35">
      <c r="A1881" t="s">
        <v>9</v>
      </c>
      <c r="B1881" t="s">
        <v>2131</v>
      </c>
      <c r="C1881" t="s">
        <v>11</v>
      </c>
      <c r="D1881" t="s">
        <v>2132</v>
      </c>
      <c r="E1881" t="s">
        <v>13</v>
      </c>
      <c r="F1881">
        <v>1308.93</v>
      </c>
      <c r="G1881">
        <v>169.19</v>
      </c>
      <c r="H1881">
        <v>1478.12</v>
      </c>
    </row>
    <row r="1882" spans="1:8" x14ac:dyDescent="0.35">
      <c r="A1882" t="s">
        <v>9</v>
      </c>
      <c r="B1882" t="s">
        <v>2133</v>
      </c>
      <c r="C1882" t="s">
        <v>11</v>
      </c>
      <c r="D1882" t="s">
        <v>2132</v>
      </c>
      <c r="E1882" t="s">
        <v>13</v>
      </c>
      <c r="F1882">
        <v>535.35</v>
      </c>
      <c r="G1882">
        <v>55.56</v>
      </c>
      <c r="H1882">
        <v>590.91</v>
      </c>
    </row>
    <row r="1883" spans="1:8" x14ac:dyDescent="0.35">
      <c r="A1883" t="s">
        <v>9</v>
      </c>
      <c r="B1883" t="s">
        <v>2134</v>
      </c>
      <c r="C1883" t="s">
        <v>11</v>
      </c>
      <c r="D1883" t="s">
        <v>2132</v>
      </c>
      <c r="E1883" t="s">
        <v>13</v>
      </c>
      <c r="F1883">
        <v>214.79</v>
      </c>
      <c r="G1883">
        <v>30.72</v>
      </c>
      <c r="H1883">
        <v>245.51</v>
      </c>
    </row>
    <row r="1884" spans="1:8" x14ac:dyDescent="0.35">
      <c r="A1884" t="s">
        <v>9</v>
      </c>
      <c r="B1884" t="s">
        <v>2135</v>
      </c>
      <c r="C1884" t="s">
        <v>11</v>
      </c>
      <c r="D1884" t="s">
        <v>2132</v>
      </c>
      <c r="E1884" t="s">
        <v>13</v>
      </c>
      <c r="F1884">
        <v>448.88</v>
      </c>
      <c r="G1884">
        <v>49.49</v>
      </c>
      <c r="H1884">
        <v>498.37</v>
      </c>
    </row>
    <row r="1885" spans="1:8" x14ac:dyDescent="0.35">
      <c r="A1885" t="s">
        <v>9</v>
      </c>
      <c r="B1885" t="s">
        <v>2136</v>
      </c>
      <c r="C1885" t="s">
        <v>11</v>
      </c>
      <c r="D1885" t="s">
        <v>2132</v>
      </c>
      <c r="E1885" t="s">
        <v>13</v>
      </c>
      <c r="F1885">
        <v>163</v>
      </c>
      <c r="G1885">
        <v>22.95</v>
      </c>
      <c r="H1885">
        <v>185.95</v>
      </c>
    </row>
    <row r="1886" spans="1:8" x14ac:dyDescent="0.35">
      <c r="A1886" t="s">
        <v>9</v>
      </c>
      <c r="B1886" t="s">
        <v>2137</v>
      </c>
      <c r="C1886" t="s">
        <v>11</v>
      </c>
      <c r="D1886" t="s">
        <v>2132</v>
      </c>
      <c r="E1886" t="s">
        <v>13</v>
      </c>
      <c r="F1886">
        <v>379.43</v>
      </c>
      <c r="G1886">
        <v>40.42</v>
      </c>
      <c r="H1886">
        <v>419.85</v>
      </c>
    </row>
    <row r="1887" spans="1:8" x14ac:dyDescent="0.35">
      <c r="A1887" t="s">
        <v>9</v>
      </c>
      <c r="B1887" t="s">
        <v>2138</v>
      </c>
      <c r="C1887" t="s">
        <v>11</v>
      </c>
      <c r="D1887" t="s">
        <v>2132</v>
      </c>
      <c r="E1887" t="s">
        <v>13</v>
      </c>
      <c r="F1887">
        <v>215.16</v>
      </c>
      <c r="G1887">
        <v>27.78</v>
      </c>
      <c r="H1887">
        <v>242.94</v>
      </c>
    </row>
    <row r="1888" spans="1:8" x14ac:dyDescent="0.35">
      <c r="A1888" t="s">
        <v>9</v>
      </c>
      <c r="B1888" t="s">
        <v>2139</v>
      </c>
      <c r="C1888" t="s">
        <v>11</v>
      </c>
      <c r="D1888" t="s">
        <v>2132</v>
      </c>
      <c r="E1888" t="s">
        <v>13</v>
      </c>
      <c r="F1888">
        <v>488.44</v>
      </c>
      <c r="G1888">
        <v>62.47</v>
      </c>
      <c r="H1888">
        <v>550.91</v>
      </c>
    </row>
    <row r="1889" spans="1:8" x14ac:dyDescent="0.35">
      <c r="A1889" t="s">
        <v>9</v>
      </c>
      <c r="B1889" t="s">
        <v>2140</v>
      </c>
      <c r="C1889" t="s">
        <v>11</v>
      </c>
      <c r="D1889" t="s">
        <v>2132</v>
      </c>
      <c r="E1889" t="s">
        <v>13</v>
      </c>
      <c r="F1889">
        <v>202.14</v>
      </c>
      <c r="G1889">
        <v>28.82</v>
      </c>
      <c r="H1889">
        <v>230.96</v>
      </c>
    </row>
    <row r="1890" spans="1:8" x14ac:dyDescent="0.35">
      <c r="A1890" t="s">
        <v>9</v>
      </c>
      <c r="B1890" t="s">
        <v>2141</v>
      </c>
      <c r="C1890" t="s">
        <v>11</v>
      </c>
      <c r="D1890" t="s">
        <v>2132</v>
      </c>
      <c r="E1890" t="s">
        <v>13</v>
      </c>
      <c r="F1890">
        <v>337.79</v>
      </c>
      <c r="G1890">
        <v>32.08</v>
      </c>
      <c r="H1890">
        <v>369.87</v>
      </c>
    </row>
    <row r="1891" spans="1:8" x14ac:dyDescent="0.35">
      <c r="A1891" t="s">
        <v>9</v>
      </c>
      <c r="B1891" t="s">
        <v>2142</v>
      </c>
      <c r="C1891" t="s">
        <v>11</v>
      </c>
      <c r="D1891" t="s">
        <v>2132</v>
      </c>
      <c r="E1891" t="s">
        <v>13</v>
      </c>
      <c r="F1891">
        <v>222.12</v>
      </c>
      <c r="G1891">
        <v>13.82</v>
      </c>
      <c r="H1891">
        <v>235.94</v>
      </c>
    </row>
    <row r="1892" spans="1:8" x14ac:dyDescent="0.35">
      <c r="A1892" t="s">
        <v>9</v>
      </c>
      <c r="B1892" t="s">
        <v>2143</v>
      </c>
      <c r="C1892" t="s">
        <v>11</v>
      </c>
      <c r="D1892" t="s">
        <v>2132</v>
      </c>
      <c r="E1892" t="s">
        <v>13</v>
      </c>
      <c r="F1892">
        <v>806.69</v>
      </c>
      <c r="G1892">
        <v>97.46</v>
      </c>
      <c r="H1892">
        <v>904.15</v>
      </c>
    </row>
    <row r="1893" spans="1:8" x14ac:dyDescent="0.35">
      <c r="A1893" t="s">
        <v>9</v>
      </c>
      <c r="B1893" t="s">
        <v>2144</v>
      </c>
      <c r="C1893" t="s">
        <v>11</v>
      </c>
      <c r="D1893" t="s">
        <v>2145</v>
      </c>
      <c r="E1893" t="s">
        <v>13</v>
      </c>
      <c r="F1893">
        <v>236.02</v>
      </c>
      <c r="G1893">
        <v>33.9</v>
      </c>
      <c r="H1893">
        <v>269.92</v>
      </c>
    </row>
    <row r="1894" spans="1:8" x14ac:dyDescent="0.35">
      <c r="A1894" t="s">
        <v>9</v>
      </c>
      <c r="B1894" t="s">
        <v>2146</v>
      </c>
      <c r="C1894" t="s">
        <v>11</v>
      </c>
      <c r="D1894" t="s">
        <v>2145</v>
      </c>
      <c r="E1894" t="s">
        <v>13</v>
      </c>
      <c r="F1894">
        <v>169.1</v>
      </c>
      <c r="G1894">
        <v>17.87</v>
      </c>
      <c r="H1894">
        <v>186.97</v>
      </c>
    </row>
    <row r="1895" spans="1:8" x14ac:dyDescent="0.35">
      <c r="A1895" t="s">
        <v>9</v>
      </c>
      <c r="B1895" t="s">
        <v>2147</v>
      </c>
      <c r="C1895" t="s">
        <v>11</v>
      </c>
      <c r="D1895" t="s">
        <v>2148</v>
      </c>
      <c r="E1895" t="s">
        <v>13</v>
      </c>
      <c r="F1895">
        <v>256.89999999999998</v>
      </c>
      <c r="G1895">
        <v>34.04</v>
      </c>
      <c r="H1895">
        <v>290.94</v>
      </c>
    </row>
    <row r="1896" spans="1:8" x14ac:dyDescent="0.35">
      <c r="A1896" t="s">
        <v>9</v>
      </c>
      <c r="B1896" t="s">
        <v>2149</v>
      </c>
      <c r="C1896" t="s">
        <v>11</v>
      </c>
      <c r="D1896" t="s">
        <v>2148</v>
      </c>
      <c r="E1896" t="s">
        <v>13</v>
      </c>
      <c r="F1896">
        <v>153</v>
      </c>
      <c r="G1896">
        <v>19.95</v>
      </c>
      <c r="H1896">
        <v>172.95</v>
      </c>
    </row>
    <row r="1897" spans="1:8" x14ac:dyDescent="0.35">
      <c r="A1897" t="s">
        <v>9</v>
      </c>
      <c r="B1897" t="s">
        <v>2150</v>
      </c>
      <c r="C1897" t="s">
        <v>11</v>
      </c>
      <c r="D1897" t="s">
        <v>2148</v>
      </c>
      <c r="E1897" t="s">
        <v>13</v>
      </c>
      <c r="F1897">
        <v>536.22</v>
      </c>
      <c r="G1897">
        <v>66.64</v>
      </c>
      <c r="H1897">
        <v>602.86</v>
      </c>
    </row>
    <row r="1898" spans="1:8" x14ac:dyDescent="0.35">
      <c r="A1898" t="s">
        <v>9</v>
      </c>
      <c r="B1898" t="s">
        <v>2151</v>
      </c>
      <c r="C1898" t="s">
        <v>11</v>
      </c>
      <c r="D1898" t="s">
        <v>2148</v>
      </c>
      <c r="E1898" t="s">
        <v>13</v>
      </c>
      <c r="F1898">
        <v>173.85</v>
      </c>
      <c r="G1898">
        <v>26.08</v>
      </c>
      <c r="H1898">
        <v>199.93</v>
      </c>
    </row>
    <row r="1899" spans="1:8" x14ac:dyDescent="0.35">
      <c r="A1899" t="s">
        <v>9</v>
      </c>
      <c r="B1899" t="s">
        <v>2152</v>
      </c>
      <c r="C1899" t="s">
        <v>11</v>
      </c>
      <c r="D1899" t="s">
        <v>2148</v>
      </c>
      <c r="E1899" t="s">
        <v>13</v>
      </c>
      <c r="F1899">
        <v>205.41</v>
      </c>
      <c r="G1899">
        <v>16.559999999999999</v>
      </c>
      <c r="H1899">
        <v>221.97</v>
      </c>
    </row>
    <row r="1900" spans="1:8" x14ac:dyDescent="0.35">
      <c r="A1900" t="s">
        <v>9</v>
      </c>
      <c r="B1900" t="s">
        <v>2153</v>
      </c>
      <c r="C1900" t="s">
        <v>11</v>
      </c>
      <c r="D1900" t="s">
        <v>2148</v>
      </c>
      <c r="E1900" t="s">
        <v>13</v>
      </c>
      <c r="F1900">
        <v>165.62</v>
      </c>
      <c r="G1900">
        <v>23.34</v>
      </c>
      <c r="H1900">
        <v>188.96</v>
      </c>
    </row>
    <row r="1901" spans="1:8" x14ac:dyDescent="0.35">
      <c r="A1901" t="s">
        <v>9</v>
      </c>
      <c r="B1901" t="s">
        <v>2154</v>
      </c>
      <c r="C1901" t="s">
        <v>11</v>
      </c>
      <c r="D1901" t="s">
        <v>2148</v>
      </c>
      <c r="E1901" t="s">
        <v>13</v>
      </c>
      <c r="F1901">
        <v>196.9</v>
      </c>
      <c r="G1901">
        <v>28.03</v>
      </c>
      <c r="H1901">
        <v>224.93</v>
      </c>
    </row>
    <row r="1902" spans="1:8" x14ac:dyDescent="0.35">
      <c r="A1902" t="s">
        <v>9</v>
      </c>
      <c r="B1902" t="s">
        <v>2155</v>
      </c>
      <c r="C1902" t="s">
        <v>11</v>
      </c>
      <c r="D1902" t="s">
        <v>2156</v>
      </c>
      <c r="E1902" t="s">
        <v>13</v>
      </c>
      <c r="F1902">
        <v>280.60000000000002</v>
      </c>
      <c r="G1902">
        <v>29.35</v>
      </c>
      <c r="H1902">
        <v>309.95</v>
      </c>
    </row>
    <row r="1903" spans="1:8" x14ac:dyDescent="0.35">
      <c r="A1903" t="s">
        <v>9</v>
      </c>
      <c r="B1903" t="s">
        <v>2157</v>
      </c>
      <c r="C1903" t="s">
        <v>11</v>
      </c>
      <c r="D1903" t="s">
        <v>2156</v>
      </c>
      <c r="E1903" t="s">
        <v>13</v>
      </c>
      <c r="F1903">
        <v>500.69</v>
      </c>
      <c r="G1903">
        <v>59.21</v>
      </c>
      <c r="H1903">
        <v>559.9</v>
      </c>
    </row>
    <row r="1904" spans="1:8" x14ac:dyDescent="0.35">
      <c r="A1904" t="s">
        <v>9</v>
      </c>
      <c r="B1904" t="s">
        <v>2158</v>
      </c>
      <c r="C1904" t="s">
        <v>11</v>
      </c>
      <c r="D1904" t="s">
        <v>2156</v>
      </c>
      <c r="E1904" t="s">
        <v>13</v>
      </c>
      <c r="F1904">
        <v>313.27999999999997</v>
      </c>
      <c r="G1904">
        <v>31.1</v>
      </c>
      <c r="H1904">
        <v>344.38</v>
      </c>
    </row>
    <row r="1905" spans="1:8" x14ac:dyDescent="0.35">
      <c r="A1905" t="s">
        <v>9</v>
      </c>
      <c r="B1905" t="s">
        <v>2159</v>
      </c>
      <c r="C1905" t="s">
        <v>11</v>
      </c>
      <c r="D1905" t="s">
        <v>2156</v>
      </c>
      <c r="E1905" t="s">
        <v>13</v>
      </c>
      <c r="F1905">
        <v>248.23</v>
      </c>
      <c r="G1905">
        <v>35.74</v>
      </c>
      <c r="H1905">
        <v>283.97000000000003</v>
      </c>
    </row>
    <row r="1906" spans="1:8" x14ac:dyDescent="0.35">
      <c r="A1906" t="s">
        <v>9</v>
      </c>
      <c r="B1906" t="s">
        <v>2160</v>
      </c>
      <c r="C1906" t="s">
        <v>11</v>
      </c>
      <c r="D1906" t="s">
        <v>2156</v>
      </c>
      <c r="E1906" t="s">
        <v>13</v>
      </c>
      <c r="F1906">
        <v>190.37</v>
      </c>
      <c r="G1906">
        <v>28.56</v>
      </c>
      <c r="H1906">
        <v>218.93</v>
      </c>
    </row>
    <row r="1907" spans="1:8" x14ac:dyDescent="0.35">
      <c r="A1907" t="s">
        <v>9</v>
      </c>
      <c r="B1907" t="s">
        <v>2161</v>
      </c>
      <c r="C1907" t="s">
        <v>11</v>
      </c>
      <c r="D1907" t="s">
        <v>2156</v>
      </c>
      <c r="E1907" t="s">
        <v>13</v>
      </c>
      <c r="F1907">
        <v>262.31</v>
      </c>
      <c r="G1907">
        <v>14.61</v>
      </c>
      <c r="H1907">
        <v>276.92</v>
      </c>
    </row>
    <row r="1908" spans="1:8" x14ac:dyDescent="0.35">
      <c r="A1908" t="s">
        <v>9</v>
      </c>
      <c r="B1908" t="s">
        <v>2162</v>
      </c>
      <c r="C1908" t="s">
        <v>11</v>
      </c>
      <c r="D1908" t="s">
        <v>2156</v>
      </c>
      <c r="E1908" t="s">
        <v>13</v>
      </c>
      <c r="F1908">
        <v>262.36</v>
      </c>
      <c r="G1908">
        <v>37.85</v>
      </c>
      <c r="H1908">
        <v>300.20999999999998</v>
      </c>
    </row>
    <row r="1909" spans="1:8" x14ac:dyDescent="0.35">
      <c r="A1909" t="s">
        <v>9</v>
      </c>
      <c r="B1909" t="s">
        <v>2163</v>
      </c>
      <c r="C1909" t="s">
        <v>11</v>
      </c>
      <c r="D1909" t="s">
        <v>2156</v>
      </c>
      <c r="E1909" t="s">
        <v>13</v>
      </c>
      <c r="F1909">
        <v>711.51</v>
      </c>
      <c r="G1909">
        <v>102.38</v>
      </c>
      <c r="H1909">
        <v>813.89</v>
      </c>
    </row>
    <row r="1910" spans="1:8" x14ac:dyDescent="0.35">
      <c r="A1910" t="s">
        <v>9</v>
      </c>
      <c r="B1910" t="s">
        <v>2164</v>
      </c>
      <c r="C1910" t="s">
        <v>11</v>
      </c>
      <c r="D1910" t="s">
        <v>2156</v>
      </c>
      <c r="E1910" t="s">
        <v>13</v>
      </c>
      <c r="F1910">
        <v>813.9</v>
      </c>
      <c r="G1910">
        <v>68.73</v>
      </c>
      <c r="H1910">
        <v>882.63</v>
      </c>
    </row>
    <row r="1911" spans="1:8" x14ac:dyDescent="0.35">
      <c r="A1911" t="s">
        <v>9</v>
      </c>
      <c r="B1911" t="s">
        <v>2165</v>
      </c>
      <c r="C1911" t="s">
        <v>11</v>
      </c>
      <c r="D1911" t="s">
        <v>2156</v>
      </c>
      <c r="E1911" t="s">
        <v>13</v>
      </c>
      <c r="F1911">
        <v>307.08999999999997</v>
      </c>
      <c r="G1911">
        <v>22.82</v>
      </c>
      <c r="H1911">
        <v>329.91</v>
      </c>
    </row>
    <row r="1912" spans="1:8" x14ac:dyDescent="0.35">
      <c r="A1912" t="s">
        <v>9</v>
      </c>
      <c r="B1912" t="s">
        <v>2166</v>
      </c>
      <c r="C1912" t="s">
        <v>11</v>
      </c>
      <c r="D1912" t="s">
        <v>2156</v>
      </c>
      <c r="E1912" t="s">
        <v>13</v>
      </c>
      <c r="F1912">
        <v>232.59</v>
      </c>
      <c r="G1912">
        <v>17.350000000000001</v>
      </c>
      <c r="H1912">
        <v>249.94</v>
      </c>
    </row>
    <row r="1913" spans="1:8" x14ac:dyDescent="0.35">
      <c r="A1913" t="s">
        <v>9</v>
      </c>
      <c r="B1913" t="s">
        <v>2167</v>
      </c>
      <c r="C1913" t="s">
        <v>11</v>
      </c>
      <c r="D1913" t="s">
        <v>2168</v>
      </c>
      <c r="E1913" t="s">
        <v>13</v>
      </c>
      <c r="F1913">
        <v>725.98</v>
      </c>
      <c r="G1913">
        <v>104.85</v>
      </c>
      <c r="H1913">
        <v>830.83</v>
      </c>
    </row>
    <row r="1914" spans="1:8" x14ac:dyDescent="0.35">
      <c r="A1914" t="s">
        <v>9</v>
      </c>
      <c r="B1914" t="s">
        <v>2169</v>
      </c>
      <c r="C1914" t="s">
        <v>11</v>
      </c>
      <c r="D1914" t="s">
        <v>2168</v>
      </c>
      <c r="E1914" t="s">
        <v>13</v>
      </c>
      <c r="F1914">
        <v>204.52</v>
      </c>
      <c r="G1914">
        <v>30.68</v>
      </c>
      <c r="H1914">
        <v>235.2</v>
      </c>
    </row>
    <row r="1915" spans="1:8" x14ac:dyDescent="0.35">
      <c r="A1915" t="s">
        <v>9</v>
      </c>
      <c r="B1915" t="s">
        <v>2170</v>
      </c>
      <c r="C1915" t="s">
        <v>11</v>
      </c>
      <c r="D1915" t="s">
        <v>2168</v>
      </c>
      <c r="E1915" t="s">
        <v>13</v>
      </c>
      <c r="F1915">
        <v>322.38</v>
      </c>
      <c r="G1915">
        <v>32.46</v>
      </c>
      <c r="H1915">
        <v>354.84</v>
      </c>
    </row>
    <row r="1916" spans="1:8" x14ac:dyDescent="0.35">
      <c r="A1916" t="s">
        <v>9</v>
      </c>
      <c r="B1916" t="s">
        <v>2171</v>
      </c>
      <c r="C1916" t="s">
        <v>11</v>
      </c>
      <c r="D1916" t="s">
        <v>2168</v>
      </c>
      <c r="E1916" t="s">
        <v>13</v>
      </c>
      <c r="F1916">
        <v>973.25</v>
      </c>
      <c r="G1916">
        <v>120.04</v>
      </c>
      <c r="H1916">
        <v>1093.29</v>
      </c>
    </row>
    <row r="1917" spans="1:8" x14ac:dyDescent="0.35">
      <c r="A1917" t="s">
        <v>9</v>
      </c>
      <c r="B1917" t="s">
        <v>2172</v>
      </c>
      <c r="C1917" t="s">
        <v>11</v>
      </c>
      <c r="D1917" t="s">
        <v>2168</v>
      </c>
      <c r="E1917" t="s">
        <v>13</v>
      </c>
      <c r="F1917">
        <v>861.89</v>
      </c>
      <c r="G1917">
        <v>106.04</v>
      </c>
      <c r="H1917">
        <v>967.93</v>
      </c>
    </row>
    <row r="1918" spans="1:8" x14ac:dyDescent="0.35">
      <c r="A1918" t="s">
        <v>9</v>
      </c>
      <c r="B1918" t="s">
        <v>2173</v>
      </c>
      <c r="C1918" t="s">
        <v>11</v>
      </c>
      <c r="D1918" t="s">
        <v>2174</v>
      </c>
      <c r="E1918" t="s">
        <v>13</v>
      </c>
      <c r="F1918">
        <v>196.71</v>
      </c>
      <c r="G1918">
        <v>9.26</v>
      </c>
      <c r="H1918">
        <v>205.97</v>
      </c>
    </row>
    <row r="1919" spans="1:8" x14ac:dyDescent="0.35">
      <c r="A1919" t="s">
        <v>9</v>
      </c>
      <c r="B1919" t="s">
        <v>2175</v>
      </c>
      <c r="C1919" t="s">
        <v>11</v>
      </c>
      <c r="D1919" t="s">
        <v>2174</v>
      </c>
      <c r="E1919" t="s">
        <v>13</v>
      </c>
      <c r="F1919">
        <v>586.66</v>
      </c>
      <c r="G1919">
        <v>69.25</v>
      </c>
      <c r="H1919">
        <v>655.91</v>
      </c>
    </row>
    <row r="1920" spans="1:8" x14ac:dyDescent="0.35">
      <c r="A1920" t="s">
        <v>9</v>
      </c>
      <c r="B1920" t="s">
        <v>2176</v>
      </c>
      <c r="C1920" t="s">
        <v>11</v>
      </c>
      <c r="D1920" t="s">
        <v>2174</v>
      </c>
      <c r="E1920" t="s">
        <v>13</v>
      </c>
      <c r="F1920">
        <v>142.62</v>
      </c>
      <c r="G1920">
        <v>14.35</v>
      </c>
      <c r="H1920">
        <v>156.97</v>
      </c>
    </row>
    <row r="1921" spans="1:8" x14ac:dyDescent="0.35">
      <c r="A1921" t="s">
        <v>9</v>
      </c>
      <c r="B1921" t="s">
        <v>2177</v>
      </c>
      <c r="C1921" t="s">
        <v>11</v>
      </c>
      <c r="D1921" t="s">
        <v>2174</v>
      </c>
      <c r="E1921" t="s">
        <v>13</v>
      </c>
      <c r="F1921">
        <v>241.35</v>
      </c>
      <c r="G1921">
        <v>22.56</v>
      </c>
      <c r="H1921">
        <v>263.91000000000003</v>
      </c>
    </row>
    <row r="1922" spans="1:8" x14ac:dyDescent="0.35">
      <c r="A1922" t="s">
        <v>9</v>
      </c>
      <c r="B1922" t="s">
        <v>2178</v>
      </c>
      <c r="C1922" t="s">
        <v>11</v>
      </c>
      <c r="D1922" t="s">
        <v>2174</v>
      </c>
      <c r="E1922" t="s">
        <v>13</v>
      </c>
      <c r="F1922">
        <v>1775.52</v>
      </c>
      <c r="G1922">
        <v>174.55</v>
      </c>
      <c r="H1922">
        <v>1950.07</v>
      </c>
    </row>
    <row r="1923" spans="1:8" x14ac:dyDescent="0.35">
      <c r="A1923" t="s">
        <v>9</v>
      </c>
      <c r="B1923" t="s">
        <v>2179</v>
      </c>
      <c r="C1923" t="s">
        <v>11</v>
      </c>
      <c r="D1923" t="s">
        <v>2174</v>
      </c>
      <c r="E1923" t="s">
        <v>13</v>
      </c>
      <c r="F1923">
        <v>477.09</v>
      </c>
      <c r="G1923">
        <v>61.81</v>
      </c>
      <c r="H1923">
        <v>538.9</v>
      </c>
    </row>
    <row r="1924" spans="1:8" x14ac:dyDescent="0.35">
      <c r="A1924" t="s">
        <v>9</v>
      </c>
      <c r="B1924" t="s">
        <v>2180</v>
      </c>
      <c r="C1924" t="s">
        <v>11</v>
      </c>
      <c r="D1924" t="s">
        <v>2174</v>
      </c>
      <c r="E1924" t="s">
        <v>13</v>
      </c>
      <c r="F1924">
        <v>652.45000000000005</v>
      </c>
      <c r="G1924">
        <v>66.37</v>
      </c>
      <c r="H1924">
        <v>718.82</v>
      </c>
    </row>
    <row r="1925" spans="1:8" x14ac:dyDescent="0.35">
      <c r="A1925" t="s">
        <v>9</v>
      </c>
      <c r="B1925" t="s">
        <v>2181</v>
      </c>
      <c r="C1925" t="s">
        <v>11</v>
      </c>
      <c r="D1925" t="s">
        <v>2174</v>
      </c>
      <c r="E1925" t="s">
        <v>13</v>
      </c>
      <c r="F1925">
        <v>333.65</v>
      </c>
      <c r="G1925">
        <v>31.3</v>
      </c>
      <c r="H1925">
        <v>364.95</v>
      </c>
    </row>
    <row r="1926" spans="1:8" x14ac:dyDescent="0.35">
      <c r="A1926" t="s">
        <v>9</v>
      </c>
      <c r="B1926" t="s">
        <v>2182</v>
      </c>
      <c r="C1926" t="s">
        <v>11</v>
      </c>
      <c r="D1926" t="s">
        <v>2183</v>
      </c>
      <c r="E1926" t="s">
        <v>13</v>
      </c>
      <c r="F1926">
        <v>267.04000000000002</v>
      </c>
      <c r="G1926">
        <v>32.86</v>
      </c>
      <c r="H1926">
        <v>299.89999999999998</v>
      </c>
    </row>
    <row r="1927" spans="1:8" x14ac:dyDescent="0.35">
      <c r="A1927" t="s">
        <v>9</v>
      </c>
      <c r="B1927" t="s">
        <v>2184</v>
      </c>
      <c r="C1927" t="s">
        <v>11</v>
      </c>
      <c r="D1927" t="s">
        <v>2183</v>
      </c>
      <c r="E1927" t="s">
        <v>13</v>
      </c>
      <c r="F1927">
        <v>488.94</v>
      </c>
      <c r="G1927">
        <v>59.09</v>
      </c>
      <c r="H1927">
        <v>548.03</v>
      </c>
    </row>
    <row r="1928" spans="1:8" x14ac:dyDescent="0.35">
      <c r="A1928" t="s">
        <v>9</v>
      </c>
      <c r="B1928" t="s">
        <v>2185</v>
      </c>
      <c r="C1928" t="s">
        <v>11</v>
      </c>
      <c r="D1928" t="s">
        <v>2183</v>
      </c>
      <c r="E1928" t="s">
        <v>13</v>
      </c>
      <c r="F1928">
        <v>185.18</v>
      </c>
      <c r="G1928">
        <v>27.78</v>
      </c>
      <c r="H1928">
        <v>212.96</v>
      </c>
    </row>
    <row r="1929" spans="1:8" x14ac:dyDescent="0.35">
      <c r="A1929" t="s">
        <v>9</v>
      </c>
      <c r="B1929" t="s">
        <v>2186</v>
      </c>
      <c r="C1929" t="s">
        <v>11</v>
      </c>
      <c r="D1929" t="s">
        <v>2183</v>
      </c>
      <c r="E1929" t="s">
        <v>13</v>
      </c>
      <c r="F1929">
        <v>564.15</v>
      </c>
      <c r="G1929">
        <v>65.73</v>
      </c>
      <c r="H1929">
        <v>629.88</v>
      </c>
    </row>
    <row r="1930" spans="1:8" x14ac:dyDescent="0.35">
      <c r="A1930" t="s">
        <v>9</v>
      </c>
      <c r="B1930" t="s">
        <v>2187</v>
      </c>
      <c r="C1930" t="s">
        <v>11</v>
      </c>
      <c r="D1930" t="s">
        <v>2183</v>
      </c>
      <c r="E1930" t="s">
        <v>13</v>
      </c>
      <c r="F1930">
        <v>308.55</v>
      </c>
      <c r="G1930">
        <v>18.09</v>
      </c>
      <c r="H1930">
        <v>326.64</v>
      </c>
    </row>
    <row r="1931" spans="1:8" x14ac:dyDescent="0.35">
      <c r="A1931" t="s">
        <v>9</v>
      </c>
      <c r="B1931" t="s">
        <v>2188</v>
      </c>
      <c r="C1931" t="s">
        <v>11</v>
      </c>
      <c r="D1931" t="s">
        <v>2183</v>
      </c>
      <c r="E1931" t="s">
        <v>13</v>
      </c>
      <c r="F1931">
        <v>625.08000000000004</v>
      </c>
      <c r="G1931">
        <v>68.72</v>
      </c>
      <c r="H1931">
        <v>693.8</v>
      </c>
    </row>
    <row r="1932" spans="1:8" x14ac:dyDescent="0.35">
      <c r="A1932" t="s">
        <v>9</v>
      </c>
      <c r="B1932" t="s">
        <v>2189</v>
      </c>
      <c r="C1932" t="s">
        <v>11</v>
      </c>
      <c r="D1932" t="s">
        <v>2183</v>
      </c>
      <c r="E1932" t="s">
        <v>13</v>
      </c>
      <c r="F1932">
        <v>358.14</v>
      </c>
      <c r="G1932">
        <v>38.72</v>
      </c>
      <c r="H1932">
        <v>396.86</v>
      </c>
    </row>
    <row r="1933" spans="1:8" x14ac:dyDescent="0.35">
      <c r="A1933" t="s">
        <v>9</v>
      </c>
      <c r="B1933" t="s">
        <v>2190</v>
      </c>
      <c r="C1933" t="s">
        <v>11</v>
      </c>
      <c r="D1933" t="s">
        <v>2183</v>
      </c>
      <c r="E1933" t="s">
        <v>13</v>
      </c>
      <c r="F1933">
        <v>554.70000000000005</v>
      </c>
      <c r="G1933">
        <v>80.209999999999994</v>
      </c>
      <c r="H1933">
        <v>634.91</v>
      </c>
    </row>
    <row r="1934" spans="1:8" x14ac:dyDescent="0.35">
      <c r="A1934" t="s">
        <v>9</v>
      </c>
      <c r="B1934" t="s">
        <v>2191</v>
      </c>
      <c r="C1934" t="s">
        <v>11</v>
      </c>
      <c r="D1934" t="s">
        <v>2192</v>
      </c>
      <c r="E1934" t="s">
        <v>13</v>
      </c>
      <c r="F1934">
        <v>249.24</v>
      </c>
      <c r="G1934">
        <v>31.69</v>
      </c>
      <c r="H1934">
        <v>280.93</v>
      </c>
    </row>
    <row r="1935" spans="1:8" x14ac:dyDescent="0.35">
      <c r="A1935" t="s">
        <v>9</v>
      </c>
      <c r="B1935" t="s">
        <v>2193</v>
      </c>
      <c r="C1935" t="s">
        <v>11</v>
      </c>
      <c r="D1935" t="s">
        <v>2192</v>
      </c>
      <c r="E1935" t="s">
        <v>13</v>
      </c>
      <c r="F1935">
        <v>234.71</v>
      </c>
      <c r="G1935">
        <v>35.21</v>
      </c>
      <c r="H1935">
        <v>269.92</v>
      </c>
    </row>
    <row r="1936" spans="1:8" x14ac:dyDescent="0.35">
      <c r="A1936" t="s">
        <v>9</v>
      </c>
      <c r="B1936" t="s">
        <v>2194</v>
      </c>
      <c r="C1936" t="s">
        <v>11</v>
      </c>
      <c r="D1936" t="s">
        <v>2192</v>
      </c>
      <c r="E1936" t="s">
        <v>13</v>
      </c>
      <c r="F1936">
        <v>146.04</v>
      </c>
      <c r="G1936">
        <v>18.91</v>
      </c>
      <c r="H1936">
        <v>164.95</v>
      </c>
    </row>
    <row r="1937" spans="1:8" x14ac:dyDescent="0.35">
      <c r="A1937" t="s">
        <v>9</v>
      </c>
      <c r="B1937" t="s">
        <v>2195</v>
      </c>
      <c r="C1937" t="s">
        <v>11</v>
      </c>
      <c r="D1937" t="s">
        <v>2192</v>
      </c>
      <c r="E1937" t="s">
        <v>13</v>
      </c>
      <c r="F1937">
        <v>888.48</v>
      </c>
      <c r="G1937">
        <v>114.53</v>
      </c>
      <c r="H1937">
        <v>1003.01</v>
      </c>
    </row>
    <row r="1938" spans="1:8" x14ac:dyDescent="0.35">
      <c r="A1938" t="s">
        <v>9</v>
      </c>
      <c r="B1938" t="s">
        <v>2196</v>
      </c>
      <c r="C1938" t="s">
        <v>11</v>
      </c>
      <c r="D1938" t="s">
        <v>2192</v>
      </c>
      <c r="E1938" t="s">
        <v>13</v>
      </c>
      <c r="F1938">
        <v>643.38</v>
      </c>
      <c r="G1938">
        <v>60.51</v>
      </c>
      <c r="H1938">
        <v>703.89</v>
      </c>
    </row>
    <row r="1939" spans="1:8" x14ac:dyDescent="0.35">
      <c r="A1939" t="s">
        <v>9</v>
      </c>
      <c r="B1939" t="s">
        <v>2197</v>
      </c>
      <c r="C1939" t="s">
        <v>11</v>
      </c>
      <c r="D1939" t="s">
        <v>2192</v>
      </c>
      <c r="E1939" t="s">
        <v>13</v>
      </c>
      <c r="F1939">
        <v>139.1</v>
      </c>
      <c r="G1939">
        <v>17.87</v>
      </c>
      <c r="H1939">
        <v>156.97</v>
      </c>
    </row>
    <row r="1940" spans="1:8" x14ac:dyDescent="0.35">
      <c r="A1940" t="s">
        <v>9</v>
      </c>
      <c r="B1940" t="s">
        <v>2198</v>
      </c>
      <c r="C1940" t="s">
        <v>11</v>
      </c>
      <c r="D1940" t="s">
        <v>2192</v>
      </c>
      <c r="E1940" t="s">
        <v>13</v>
      </c>
      <c r="F1940">
        <v>256.11</v>
      </c>
      <c r="G1940">
        <v>28.82</v>
      </c>
      <c r="H1940">
        <v>284.93</v>
      </c>
    </row>
    <row r="1941" spans="1:8" x14ac:dyDescent="0.35">
      <c r="A1941" t="s">
        <v>9</v>
      </c>
      <c r="B1941" t="s">
        <v>2199</v>
      </c>
      <c r="C1941" t="s">
        <v>11</v>
      </c>
      <c r="D1941" t="s">
        <v>2192</v>
      </c>
      <c r="E1941" t="s">
        <v>13</v>
      </c>
      <c r="F1941">
        <v>219.29</v>
      </c>
      <c r="G1941">
        <v>6.65</v>
      </c>
      <c r="H1941">
        <v>225.94</v>
      </c>
    </row>
    <row r="1942" spans="1:8" x14ac:dyDescent="0.35">
      <c r="A1942" t="s">
        <v>9</v>
      </c>
      <c r="B1942" t="s">
        <v>2200</v>
      </c>
      <c r="C1942" t="s">
        <v>11</v>
      </c>
      <c r="D1942" t="s">
        <v>2192</v>
      </c>
      <c r="E1942" t="s">
        <v>13</v>
      </c>
      <c r="F1942">
        <v>135.62</v>
      </c>
      <c r="G1942">
        <v>20.34</v>
      </c>
      <c r="H1942">
        <v>155.96</v>
      </c>
    </row>
    <row r="1943" spans="1:8" x14ac:dyDescent="0.35">
      <c r="A1943" t="s">
        <v>9</v>
      </c>
      <c r="B1943" t="s">
        <v>2201</v>
      </c>
      <c r="C1943" t="s">
        <v>11</v>
      </c>
      <c r="D1943" t="s">
        <v>2202</v>
      </c>
      <c r="E1943" t="s">
        <v>13</v>
      </c>
      <c r="F1943">
        <v>105.19</v>
      </c>
      <c r="G1943">
        <v>15.78</v>
      </c>
      <c r="H1943">
        <v>120.97</v>
      </c>
    </row>
    <row r="1944" spans="1:8" x14ac:dyDescent="0.35">
      <c r="A1944" t="s">
        <v>9</v>
      </c>
      <c r="B1944" t="s">
        <v>2203</v>
      </c>
      <c r="C1944" t="s">
        <v>11</v>
      </c>
      <c r="D1944" t="s">
        <v>2202</v>
      </c>
      <c r="E1944" t="s">
        <v>13</v>
      </c>
      <c r="F1944">
        <v>849.5</v>
      </c>
      <c r="G1944">
        <v>82.29</v>
      </c>
      <c r="H1944">
        <v>931.79</v>
      </c>
    </row>
    <row r="1945" spans="1:8" x14ac:dyDescent="0.35">
      <c r="A1945" t="s">
        <v>9</v>
      </c>
      <c r="B1945" t="s">
        <v>2204</v>
      </c>
      <c r="C1945" t="s">
        <v>11</v>
      </c>
      <c r="D1945" t="s">
        <v>2202</v>
      </c>
      <c r="E1945" t="s">
        <v>13</v>
      </c>
      <c r="F1945">
        <v>574.49</v>
      </c>
      <c r="G1945">
        <v>64.28</v>
      </c>
      <c r="H1945">
        <v>638.77</v>
      </c>
    </row>
    <row r="1946" spans="1:8" x14ac:dyDescent="0.35">
      <c r="A1946" t="s">
        <v>9</v>
      </c>
      <c r="B1946" t="s">
        <v>2205</v>
      </c>
      <c r="C1946" t="s">
        <v>11</v>
      </c>
      <c r="D1946" t="s">
        <v>2202</v>
      </c>
      <c r="E1946" t="s">
        <v>13</v>
      </c>
      <c r="F1946">
        <v>331.06</v>
      </c>
      <c r="G1946">
        <v>13.82</v>
      </c>
      <c r="H1946">
        <v>344.88</v>
      </c>
    </row>
    <row r="1947" spans="1:8" x14ac:dyDescent="0.35">
      <c r="A1947" t="s">
        <v>9</v>
      </c>
      <c r="B1947" t="s">
        <v>2206</v>
      </c>
      <c r="C1947" t="s">
        <v>11</v>
      </c>
      <c r="D1947" t="s">
        <v>2202</v>
      </c>
      <c r="E1947" t="s">
        <v>13</v>
      </c>
      <c r="F1947">
        <v>654.64</v>
      </c>
      <c r="G1947">
        <v>95.2</v>
      </c>
      <c r="H1947">
        <v>749.84</v>
      </c>
    </row>
    <row r="1948" spans="1:8" x14ac:dyDescent="0.35">
      <c r="A1948" t="s">
        <v>9</v>
      </c>
      <c r="B1948" t="s">
        <v>2207</v>
      </c>
      <c r="C1948" t="s">
        <v>11</v>
      </c>
      <c r="D1948" t="s">
        <v>2202</v>
      </c>
      <c r="E1948" t="s">
        <v>13</v>
      </c>
      <c r="F1948">
        <v>124.29</v>
      </c>
      <c r="G1948">
        <v>18.64</v>
      </c>
      <c r="H1948">
        <v>142.93</v>
      </c>
    </row>
    <row r="1949" spans="1:8" x14ac:dyDescent="0.35">
      <c r="A1949" t="s">
        <v>9</v>
      </c>
      <c r="B1949" t="s">
        <v>2208</v>
      </c>
      <c r="C1949" t="s">
        <v>11</v>
      </c>
      <c r="D1949" t="s">
        <v>2202</v>
      </c>
      <c r="E1949" t="s">
        <v>13</v>
      </c>
      <c r="F1949">
        <v>190.21</v>
      </c>
      <c r="G1949">
        <v>17.739999999999998</v>
      </c>
      <c r="H1949">
        <v>207.95</v>
      </c>
    </row>
    <row r="1950" spans="1:8" x14ac:dyDescent="0.35">
      <c r="A1950" t="s">
        <v>9</v>
      </c>
      <c r="B1950" t="s">
        <v>2209</v>
      </c>
      <c r="C1950" t="s">
        <v>11</v>
      </c>
      <c r="D1950" t="s">
        <v>2202</v>
      </c>
      <c r="E1950" t="s">
        <v>13</v>
      </c>
      <c r="F1950">
        <v>81.73</v>
      </c>
      <c r="G1950">
        <v>12.26</v>
      </c>
      <c r="H1950">
        <v>93.99</v>
      </c>
    </row>
    <row r="1951" spans="1:8" x14ac:dyDescent="0.35">
      <c r="A1951" t="s">
        <v>9</v>
      </c>
      <c r="B1951" t="s">
        <v>2210</v>
      </c>
      <c r="C1951" t="s">
        <v>11</v>
      </c>
      <c r="D1951" t="s">
        <v>2211</v>
      </c>
      <c r="E1951" t="s">
        <v>13</v>
      </c>
      <c r="F1951">
        <v>507.21</v>
      </c>
      <c r="G1951">
        <v>39.49</v>
      </c>
      <c r="H1951">
        <v>546.70000000000005</v>
      </c>
    </row>
    <row r="1952" spans="1:8" x14ac:dyDescent="0.35">
      <c r="A1952" t="s">
        <v>9</v>
      </c>
      <c r="B1952" t="s">
        <v>2212</v>
      </c>
      <c r="C1952" t="s">
        <v>11</v>
      </c>
      <c r="D1952" t="s">
        <v>2211</v>
      </c>
      <c r="E1952" t="s">
        <v>13</v>
      </c>
      <c r="F1952">
        <v>641.16999999999996</v>
      </c>
      <c r="G1952">
        <v>31.69</v>
      </c>
      <c r="H1952">
        <v>672.86</v>
      </c>
    </row>
    <row r="1953" spans="1:8" x14ac:dyDescent="0.35">
      <c r="A1953" t="s">
        <v>9</v>
      </c>
      <c r="B1953" t="s">
        <v>2213</v>
      </c>
      <c r="C1953" t="s">
        <v>11</v>
      </c>
      <c r="D1953" t="s">
        <v>2211</v>
      </c>
      <c r="E1953" t="s">
        <v>13</v>
      </c>
      <c r="F1953">
        <v>219.73</v>
      </c>
      <c r="G1953">
        <v>26.21</v>
      </c>
      <c r="H1953">
        <v>245.94</v>
      </c>
    </row>
    <row r="1954" spans="1:8" x14ac:dyDescent="0.35">
      <c r="A1954" t="s">
        <v>9</v>
      </c>
      <c r="B1954" t="s">
        <v>2214</v>
      </c>
      <c r="C1954" t="s">
        <v>11</v>
      </c>
      <c r="D1954" t="s">
        <v>2211</v>
      </c>
      <c r="E1954" t="s">
        <v>13</v>
      </c>
      <c r="F1954">
        <v>834.13</v>
      </c>
      <c r="G1954">
        <v>90.78</v>
      </c>
      <c r="H1954">
        <v>924.91</v>
      </c>
    </row>
    <row r="1955" spans="1:8" x14ac:dyDescent="0.35">
      <c r="A1955" t="s">
        <v>9</v>
      </c>
      <c r="B1955" t="s">
        <v>2215</v>
      </c>
      <c r="C1955" t="s">
        <v>11</v>
      </c>
      <c r="D1955" t="s">
        <v>2211</v>
      </c>
      <c r="E1955" t="s">
        <v>13</v>
      </c>
      <c r="F1955">
        <v>193.16</v>
      </c>
      <c r="G1955">
        <v>21.78</v>
      </c>
      <c r="H1955">
        <v>214.94</v>
      </c>
    </row>
    <row r="1956" spans="1:8" x14ac:dyDescent="0.35">
      <c r="A1956" t="s">
        <v>9</v>
      </c>
      <c r="B1956" t="s">
        <v>2216</v>
      </c>
      <c r="C1956" t="s">
        <v>11</v>
      </c>
      <c r="D1956" t="s">
        <v>2217</v>
      </c>
      <c r="E1956" t="s">
        <v>13</v>
      </c>
      <c r="F1956">
        <v>930.62</v>
      </c>
      <c r="G1956">
        <v>129.1</v>
      </c>
      <c r="H1956">
        <v>1059.72</v>
      </c>
    </row>
    <row r="1957" spans="1:8" x14ac:dyDescent="0.35">
      <c r="A1957" t="s">
        <v>9</v>
      </c>
      <c r="B1957" t="s">
        <v>2218</v>
      </c>
      <c r="C1957" t="s">
        <v>11</v>
      </c>
      <c r="D1957" t="s">
        <v>2217</v>
      </c>
      <c r="E1957" t="s">
        <v>13</v>
      </c>
      <c r="F1957">
        <v>269.95</v>
      </c>
      <c r="G1957">
        <v>38.99</v>
      </c>
      <c r="H1957">
        <v>308.94</v>
      </c>
    </row>
    <row r="1958" spans="1:8" x14ac:dyDescent="0.35">
      <c r="A1958" t="s">
        <v>9</v>
      </c>
      <c r="B1958" t="s">
        <v>2219</v>
      </c>
      <c r="C1958" t="s">
        <v>11</v>
      </c>
      <c r="D1958" t="s">
        <v>2217</v>
      </c>
      <c r="E1958" t="s">
        <v>13</v>
      </c>
      <c r="F1958">
        <v>202.67</v>
      </c>
      <c r="G1958">
        <v>9.26</v>
      </c>
      <c r="H1958">
        <v>211.93</v>
      </c>
    </row>
    <row r="1959" spans="1:8" x14ac:dyDescent="0.35">
      <c r="A1959" t="s">
        <v>9</v>
      </c>
      <c r="B1959" t="s">
        <v>2220</v>
      </c>
      <c r="C1959" t="s">
        <v>11</v>
      </c>
      <c r="D1959" t="s">
        <v>2217</v>
      </c>
      <c r="E1959" t="s">
        <v>13</v>
      </c>
      <c r="F1959">
        <v>177.78</v>
      </c>
      <c r="G1959">
        <v>19.170000000000002</v>
      </c>
      <c r="H1959">
        <v>196.95</v>
      </c>
    </row>
    <row r="1960" spans="1:8" x14ac:dyDescent="0.35">
      <c r="A1960" t="s">
        <v>9</v>
      </c>
      <c r="B1960" t="s">
        <v>2221</v>
      </c>
      <c r="C1960" t="s">
        <v>11</v>
      </c>
      <c r="D1960" t="s">
        <v>2217</v>
      </c>
      <c r="E1960" t="s">
        <v>13</v>
      </c>
      <c r="F1960">
        <v>194.33</v>
      </c>
      <c r="G1960">
        <v>24.65</v>
      </c>
      <c r="H1960">
        <v>218.98</v>
      </c>
    </row>
    <row r="1961" spans="1:8" x14ac:dyDescent="0.35">
      <c r="A1961" t="s">
        <v>9</v>
      </c>
      <c r="B1961" t="s">
        <v>2222</v>
      </c>
      <c r="C1961" t="s">
        <v>11</v>
      </c>
      <c r="D1961" t="s">
        <v>2217</v>
      </c>
      <c r="E1961" t="s">
        <v>13</v>
      </c>
      <c r="F1961">
        <v>359.89</v>
      </c>
      <c r="G1961">
        <v>47.99</v>
      </c>
      <c r="H1961">
        <v>407.88</v>
      </c>
    </row>
    <row r="1962" spans="1:8" x14ac:dyDescent="0.35">
      <c r="A1962" t="s">
        <v>9</v>
      </c>
      <c r="B1962" t="s">
        <v>2223</v>
      </c>
      <c r="C1962" t="s">
        <v>11</v>
      </c>
      <c r="D1962" t="s">
        <v>2217</v>
      </c>
      <c r="E1962" t="s">
        <v>13</v>
      </c>
      <c r="F1962">
        <v>222.95</v>
      </c>
      <c r="G1962">
        <v>29.99</v>
      </c>
      <c r="H1962">
        <v>252.94</v>
      </c>
    </row>
    <row r="1963" spans="1:8" x14ac:dyDescent="0.35">
      <c r="A1963" t="s">
        <v>9</v>
      </c>
      <c r="B1963" t="s">
        <v>2224</v>
      </c>
      <c r="C1963" t="s">
        <v>11</v>
      </c>
      <c r="D1963" t="s">
        <v>2217</v>
      </c>
      <c r="E1963" t="s">
        <v>13</v>
      </c>
      <c r="F1963">
        <v>368.21</v>
      </c>
      <c r="G1963">
        <v>38.729999999999997</v>
      </c>
      <c r="H1963">
        <v>406.94</v>
      </c>
    </row>
    <row r="1964" spans="1:8" x14ac:dyDescent="0.35">
      <c r="A1964" t="s">
        <v>9</v>
      </c>
      <c r="B1964" t="s">
        <v>2225</v>
      </c>
      <c r="C1964" t="s">
        <v>11</v>
      </c>
      <c r="D1964" t="s">
        <v>2217</v>
      </c>
      <c r="E1964" t="s">
        <v>13</v>
      </c>
      <c r="F1964">
        <v>153.66999999999999</v>
      </c>
      <c r="G1964">
        <v>7.3</v>
      </c>
      <c r="H1964">
        <v>160.97</v>
      </c>
    </row>
    <row r="1965" spans="1:8" x14ac:dyDescent="0.35">
      <c r="A1965" t="s">
        <v>9</v>
      </c>
      <c r="B1965" t="s">
        <v>2226</v>
      </c>
      <c r="C1965" t="s">
        <v>11</v>
      </c>
      <c r="D1965" t="s">
        <v>2217</v>
      </c>
      <c r="E1965" t="s">
        <v>13</v>
      </c>
      <c r="F1965">
        <v>129.03</v>
      </c>
      <c r="G1965">
        <v>16.96</v>
      </c>
      <c r="H1965">
        <v>145.99</v>
      </c>
    </row>
    <row r="1966" spans="1:8" x14ac:dyDescent="0.35">
      <c r="A1966" t="s">
        <v>9</v>
      </c>
      <c r="B1966" t="s">
        <v>2227</v>
      </c>
      <c r="C1966" t="s">
        <v>11</v>
      </c>
      <c r="D1966" t="s">
        <v>2217</v>
      </c>
      <c r="E1966" t="s">
        <v>13</v>
      </c>
      <c r="F1966">
        <v>221.32</v>
      </c>
      <c r="G1966">
        <v>17.899999999999999</v>
      </c>
      <c r="H1966">
        <v>239.22</v>
      </c>
    </row>
    <row r="1967" spans="1:8" x14ac:dyDescent="0.35">
      <c r="A1967" t="s">
        <v>9</v>
      </c>
      <c r="B1967" t="s">
        <v>2228</v>
      </c>
      <c r="C1967" t="s">
        <v>11</v>
      </c>
      <c r="D1967" t="s">
        <v>2229</v>
      </c>
      <c r="E1967" t="s">
        <v>13</v>
      </c>
      <c r="F1967">
        <v>457.44</v>
      </c>
      <c r="G1967">
        <v>50.47</v>
      </c>
      <c r="H1967">
        <v>507.91</v>
      </c>
    </row>
    <row r="1968" spans="1:8" x14ac:dyDescent="0.35">
      <c r="A1968" t="s">
        <v>9</v>
      </c>
      <c r="B1968" t="s">
        <v>2230</v>
      </c>
      <c r="C1968" t="s">
        <v>11</v>
      </c>
      <c r="D1968" t="s">
        <v>2229</v>
      </c>
      <c r="E1968" t="s">
        <v>13</v>
      </c>
      <c r="F1968">
        <v>167.77</v>
      </c>
      <c r="G1968">
        <v>25.16</v>
      </c>
      <c r="H1968">
        <v>192.93</v>
      </c>
    </row>
    <row r="1969" spans="1:8" x14ac:dyDescent="0.35">
      <c r="A1969" t="s">
        <v>9</v>
      </c>
      <c r="B1969" t="s">
        <v>2231</v>
      </c>
      <c r="C1969" t="s">
        <v>11</v>
      </c>
      <c r="D1969" t="s">
        <v>2229</v>
      </c>
      <c r="E1969" t="s">
        <v>13</v>
      </c>
      <c r="F1969">
        <v>250.84</v>
      </c>
      <c r="G1969">
        <v>34.630000000000003</v>
      </c>
      <c r="H1969">
        <v>285.47000000000003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Insights</vt:lpstr>
      <vt:lpstr>Weekly Forecast</vt:lpstr>
      <vt:lpstr>Transactions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Gerhard Stimie</cp:lastModifiedBy>
  <cp:lastPrinted>2026-09-11T13:45:30Z</cp:lastPrinted>
  <dcterms:created xsi:type="dcterms:W3CDTF">2026-09-11T13:36:35Z</dcterms:created>
  <dcterms:modified xsi:type="dcterms:W3CDTF">2026-09-11T15:55:41Z</dcterms:modified>
</cp:coreProperties>
</file>